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PAY\Mouvement 20\"/>
    </mc:Choice>
  </mc:AlternateContent>
  <xr:revisionPtr revIDLastSave="0" documentId="13_ncr:1_{2886DCF8-001E-4976-9C2B-F1C74836947F}" xr6:coauthVersionLast="47" xr6:coauthVersionMax="47" xr10:uidLastSave="{00000000-0000-0000-0000-000000000000}"/>
  <bookViews>
    <workbookView xWindow="-110" yWindow="-110" windowWidth="19420" windowHeight="11500" xr2:uid="{106BE020-33C7-4050-BCEF-90B721C141CF}"/>
  </bookViews>
  <sheets>
    <sheet name="Mode opératoire" sheetId="1" r:id="rId1"/>
    <sheet name="Axe 1 Enchainement des RG" sheetId="5" r:id="rId2"/>
    <sheet name="Axe 2 Règles de gestion" sheetId="2" r:id="rId3"/>
  </sheets>
  <definedNames>
    <definedName name="_xlnm._FilterDatabase" localSheetId="1" hidden="1">'Axe 1 Enchainement des RG'!$A$1:$OJ$1</definedName>
    <definedName name="_xlnm._FilterDatabase" localSheetId="2" hidden="1">'Axe 2 Règles de gestion'!$A$1:$Z$23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Y27" i="5" l="1"/>
  <c r="AW27" i="5"/>
  <c r="AW12" i="5"/>
  <c r="AU27" i="5"/>
  <c r="AU26" i="5"/>
  <c r="AU21" i="5"/>
  <c r="AU17" i="5"/>
  <c r="AU16" i="5"/>
  <c r="AU12" i="5"/>
  <c r="AU11" i="5"/>
  <c r="AU7" i="5"/>
  <c r="AU6" i="5"/>
  <c r="AU2" i="5"/>
  <c r="AS27" i="5"/>
  <c r="AS26" i="5"/>
  <c r="AS21" i="5"/>
  <c r="AS17" i="5"/>
  <c r="AS16" i="5"/>
  <c r="AS12" i="5"/>
  <c r="AS11" i="5"/>
  <c r="AS7" i="5"/>
  <c r="AS6" i="5"/>
  <c r="AS2" i="5"/>
  <c r="AQ27" i="5"/>
  <c r="AQ26" i="5"/>
  <c r="AQ21" i="5"/>
  <c r="AQ17" i="5"/>
  <c r="AQ16" i="5"/>
  <c r="AQ12" i="5"/>
  <c r="AQ11" i="5"/>
  <c r="AQ7" i="5"/>
  <c r="AQ6" i="5"/>
  <c r="AQ2" i="5"/>
  <c r="AO27" i="5"/>
  <c r="AO26" i="5"/>
  <c r="AO24" i="5"/>
  <c r="AO23" i="5"/>
  <c r="AO21" i="5"/>
  <c r="AO19" i="5"/>
  <c r="AO18" i="5"/>
  <c r="AO17" i="5"/>
  <c r="AO16" i="5"/>
  <c r="AO14" i="5"/>
  <c r="AO13" i="5"/>
  <c r="AO12" i="5"/>
  <c r="AO11" i="5"/>
  <c r="AO9" i="5"/>
  <c r="AO8" i="5"/>
  <c r="AO7" i="5"/>
  <c r="AO6" i="5"/>
  <c r="AO4" i="5"/>
  <c r="AO3" i="5"/>
  <c r="AO2" i="5"/>
  <c r="AM27" i="5"/>
  <c r="AM26" i="5"/>
  <c r="AM24" i="5"/>
  <c r="AM23" i="5"/>
  <c r="AM21" i="5"/>
  <c r="AM19" i="5"/>
  <c r="AM18" i="5"/>
  <c r="AM17" i="5"/>
  <c r="AM16" i="5"/>
  <c r="AM14" i="5"/>
  <c r="AM13" i="5"/>
  <c r="AM12" i="5"/>
  <c r="AM11" i="5"/>
  <c r="AM9" i="5"/>
  <c r="AM8" i="5"/>
  <c r="AM7" i="5"/>
  <c r="AM6" i="5"/>
  <c r="AM4" i="5"/>
  <c r="AM3" i="5"/>
  <c r="AM2" i="5"/>
  <c r="AK27" i="5"/>
  <c r="AK26" i="5"/>
  <c r="AK24" i="5"/>
  <c r="AK23" i="5"/>
  <c r="AK21" i="5"/>
  <c r="AK19" i="5"/>
  <c r="AK18" i="5"/>
  <c r="AK17" i="5"/>
  <c r="AK16" i="5"/>
  <c r="AK14" i="5"/>
  <c r="AK13" i="5"/>
  <c r="AK12" i="5"/>
  <c r="AK11" i="5"/>
  <c r="AK9" i="5"/>
  <c r="AK8" i="5"/>
  <c r="AK7" i="5"/>
  <c r="AK6" i="5"/>
  <c r="AK4" i="5"/>
  <c r="AK3" i="5"/>
  <c r="AK2" i="5"/>
  <c r="AI27" i="5"/>
  <c r="AI26" i="5"/>
  <c r="AI24" i="5"/>
  <c r="AI23" i="5"/>
  <c r="AI21" i="5"/>
  <c r="AI19" i="5"/>
  <c r="AI18" i="5"/>
  <c r="AI17" i="5"/>
  <c r="AI16" i="5"/>
  <c r="AI14" i="5"/>
  <c r="AI13" i="5"/>
  <c r="AI12" i="5"/>
  <c r="AI11" i="5"/>
  <c r="AI9" i="5"/>
  <c r="AI8" i="5"/>
  <c r="AI7" i="5"/>
  <c r="AI6" i="5"/>
  <c r="AI4" i="5"/>
  <c r="AI3" i="5"/>
  <c r="AI2" i="5"/>
  <c r="AG27" i="5"/>
  <c r="AG26" i="5"/>
  <c r="AG24" i="5"/>
  <c r="AG23" i="5"/>
  <c r="AG21" i="5"/>
  <c r="AG19" i="5"/>
  <c r="AG18" i="5"/>
  <c r="AG17" i="5"/>
  <c r="AG16" i="5"/>
  <c r="AG14" i="5"/>
  <c r="AG13" i="5"/>
  <c r="AG12" i="5"/>
  <c r="AG11" i="5"/>
  <c r="AG9" i="5"/>
  <c r="AG8" i="5"/>
  <c r="AG7" i="5"/>
  <c r="AG6" i="5"/>
  <c r="AG4" i="5"/>
  <c r="AG3" i="5"/>
  <c r="AG2" i="5"/>
  <c r="AE27" i="5"/>
  <c r="AE26" i="5"/>
  <c r="AE24" i="5"/>
  <c r="AE23" i="5"/>
  <c r="AE21" i="5"/>
  <c r="AE19" i="5"/>
  <c r="AE18" i="5"/>
  <c r="AE17" i="5"/>
  <c r="AE16" i="5"/>
  <c r="AE14" i="5"/>
  <c r="AE13" i="5"/>
  <c r="AE12" i="5"/>
  <c r="AE11" i="5"/>
  <c r="AE9" i="5"/>
  <c r="AE8" i="5"/>
  <c r="AE7" i="5"/>
  <c r="AE6" i="5"/>
  <c r="AE4" i="5"/>
  <c r="AE3" i="5"/>
  <c r="AE2" i="5"/>
  <c r="AC27" i="5"/>
  <c r="AC26" i="5"/>
  <c r="AC24" i="5"/>
  <c r="AC23" i="5"/>
  <c r="AC21" i="5"/>
  <c r="AC19" i="5"/>
  <c r="AC18" i="5"/>
  <c r="AC17" i="5"/>
  <c r="AC16" i="5"/>
  <c r="AC14" i="5"/>
  <c r="AC13" i="5"/>
  <c r="AC12" i="5"/>
  <c r="AC11" i="5"/>
  <c r="AC9" i="5"/>
  <c r="AC8" i="5"/>
  <c r="AC7" i="5"/>
  <c r="AC6" i="5"/>
  <c r="AC4" i="5"/>
  <c r="AC3" i="5"/>
  <c r="AC2" i="5"/>
  <c r="AA27" i="5"/>
  <c r="AA26" i="5"/>
  <c r="AA24" i="5"/>
  <c r="AA23" i="5"/>
  <c r="AA21" i="5"/>
  <c r="AA19" i="5"/>
  <c r="AA18" i="5"/>
  <c r="AA17" i="5"/>
  <c r="AA16" i="5"/>
  <c r="AA14" i="5"/>
  <c r="AA13" i="5"/>
  <c r="AA12" i="5"/>
  <c r="AA11" i="5"/>
  <c r="AA9" i="5"/>
  <c r="AA8" i="5"/>
  <c r="AA7" i="5"/>
  <c r="AA6" i="5"/>
  <c r="AA4" i="5"/>
  <c r="AA3" i="5"/>
  <c r="AA2" i="5"/>
  <c r="Y27" i="5"/>
  <c r="Y26" i="5"/>
  <c r="Y24" i="5"/>
  <c r="Y23" i="5"/>
  <c r="Y21" i="5"/>
  <c r="Y19" i="5"/>
  <c r="Y18" i="5"/>
  <c r="Y17" i="5"/>
  <c r="Y16" i="5"/>
  <c r="Y14" i="5"/>
  <c r="Y13" i="5"/>
  <c r="Y12" i="5"/>
  <c r="Y11" i="5"/>
  <c r="Y9" i="5"/>
  <c r="Y8" i="5"/>
  <c r="Y7" i="5"/>
  <c r="Y6" i="5"/>
  <c r="Y4" i="5"/>
  <c r="Y3" i="5"/>
  <c r="Y2" i="5"/>
</calcChain>
</file>

<file path=xl/sharedStrings.xml><?xml version="1.0" encoding="utf-8"?>
<sst xmlns="http://schemas.openxmlformats.org/spreadsheetml/2006/main" count="990" uniqueCount="204">
  <si>
    <t>MODE OPERATOIRE</t>
  </si>
  <si>
    <t>Une fois l'ensemble des mouvements créés pour une remise de paie d'un mois donné, les contrôles s'effectuent successivement sur les mouvements de type 20 présents dans la remise de paie.
Les contrôles d'alimentation automatique des zones du mouvement par les données du dossier agent sont portés par la modélisation du dictionnaire de données qui précise le cas échéant quelle donnée du dossier agent alimente la zone du mouvement avec ou sans transformation. Pour les zones concernées, ces contrôles doivent garantir la cohérence entre la donnée du dossier agent et la zone du mouvement. Ils ne sont pas redécrits dans les tableaux structurés de RG PAY.</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</si>
  <si>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</si>
  <si>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</si>
  <si>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</si>
  <si>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</si>
  <si>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</si>
  <si>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</si>
  <si>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</si>
  <si>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</si>
  <si>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</si>
  <si>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</si>
  <si>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</si>
  <si>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</si>
  <si>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</si>
  <si>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</si>
  <si>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</si>
  <si>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</si>
  <si>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</si>
  <si>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</si>
  <si>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</si>
  <si>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</si>
  <si>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</si>
  <si>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</si>
  <si>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</si>
  <si>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</si>
  <si>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</si>
  <si>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</si>
  <si>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</si>
  <si>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</si>
  <si>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</si>
  <si>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</si>
  <si>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</si>
  <si>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</si>
  <si>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</si>
  <si>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</si>
  <si>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</si>
  <si>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</si>
  <si>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</si>
  <si>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</si>
  <si>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</si>
  <si>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</si>
  <si>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</si>
  <si>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</si>
  <si>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</si>
  <si>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</si>
  <si>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</si>
  <si>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</si>
  <si>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</si>
  <si>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</si>
  <si>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</si>
  <si>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</si>
  <si>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FIME</t>
  </si>
  <si>
    <t>Statut de travail</t>
  </si>
  <si>
    <t>25.00.00</t>
  </si>
  <si>
    <t>A</t>
  </si>
  <si>
    <t>D0016</t>
  </si>
  <si>
    <t>Contrôles PAY</t>
  </si>
  <si>
    <t>S0177</t>
  </si>
  <si>
    <t>Mouvement 20</t>
  </si>
  <si>
    <t>E1012</t>
  </si>
  <si>
    <t>Contrôles d'alimentation du mouvement 20</t>
  </si>
  <si>
    <t>Le code indemnité d'un mouvement 20 est saisi</t>
  </si>
  <si>
    <t>BG20_COD_IND [BG_Occurrence_courante] &lt;&gt; Vide</t>
  </si>
  <si>
    <t>T2445</t>
  </si>
  <si>
    <t>Contrôles Précompte cotis. sal. RAFP</t>
  </si>
  <si>
    <t>Création Modification</t>
  </si>
  <si>
    <t>Le code indemnité saisi est 'Précompte cotis. sal. RAFP'</t>
  </si>
  <si>
    <t>BG20_COD_IND [BG_Occurrence_courante] = '0954'</t>
  </si>
  <si>
    <t>Titulaire ou magistrat</t>
  </si>
  <si>
    <t>P0001</t>
  </si>
  <si>
    <t>Général</t>
  </si>
  <si>
    <t>Passant</t>
  </si>
  <si>
    <t>G20_C_001 ET G20_C_003 ET G20_C_004 ET G20_C_005 ET G20_C_006 ET G20_C_007 ET G20_C_015 ET G20_C_016 ET G20_C_017 ET G20_C_021 ET G20_C_019 ET G20_C_020</t>
  </si>
  <si>
    <t>G20_C_001</t>
  </si>
  <si>
    <t>Le code origine doit être "0" (mois courant) pour l'indemnité '0954 - Précompte cotis. sal. RAFP'.</t>
  </si>
  <si>
    <t>G20_C_003</t>
  </si>
  <si>
    <t>Il est interdit de codifier le sens 1 (sens contraire) si le code origine est 0 (mois courant).</t>
  </si>
  <si>
    <t>G20_C_004</t>
  </si>
  <si>
    <t>Si le mode de calcul est "A - Montant précalculé", alors il faut laisser à vide la zone nombre d'unités.</t>
  </si>
  <si>
    <t>G20_C_005</t>
  </si>
  <si>
    <t>Le terme « GREVE » ne doit pas être utilisé dans la zone "Libellé complémentaire".</t>
  </si>
  <si>
    <t>G20_C_006</t>
  </si>
  <si>
    <t>Si le mode de calcul est "A - Montant précalculé", il faut que le montant soit différent de vide.</t>
  </si>
  <si>
    <t>G20_C_007</t>
  </si>
  <si>
    <t>Si le mode de calcul est "B - Nombre d'unités x montant unitaire", il faut que le nombre d'unités et le montant soient différents de vide.</t>
  </si>
  <si>
    <t>G20_C_015</t>
  </si>
  <si>
    <t>Le code sens est obligatoire.</t>
  </si>
  <si>
    <t>G20_C_016</t>
  </si>
  <si>
    <t>Le code origine est obligatoire.</t>
  </si>
  <si>
    <t>G20_C_017</t>
  </si>
  <si>
    <t>Seuls les modes de calcul "A - Montant précalculé", "B - Nombre d'unités x montant unitaire", "G - Indemnité à déduire" sont autorisés.</t>
  </si>
  <si>
    <t>G20_C_021</t>
  </si>
  <si>
    <t>Le nombre total de mouvements 20 pour le mois de paie en cours doit être inférieur ou égal à 30.</t>
  </si>
  <si>
    <t>G20_C_019</t>
  </si>
  <si>
    <t>Si le mode de calcul est "G - Indemnité à déduire", alors il faut laisser vide la zone nombre d'unités.</t>
  </si>
  <si>
    <t>G20_C_020</t>
  </si>
  <si>
    <t>Si le mode de calcul est "G - Indemnité à déduire", il faut que le montant soit différent de vide.</t>
  </si>
  <si>
    <t>T2446</t>
  </si>
  <si>
    <t>Contrôles Cotis. prefon</t>
  </si>
  <si>
    <t>Le code indemnité saisi est 'Cotis. prefon'</t>
  </si>
  <si>
    <t>BG20_COD_IND [BG_Occurrence_courante] = '0879'</t>
  </si>
  <si>
    <t>G20_C_002 ET G20_C_003 ET G20_C_005 ET G20_C_011 ET G20_C_012 ET G20_C_014 ET G20_C_015 ET G20_C_016 ET G20_C_021</t>
  </si>
  <si>
    <t>G20_C_002</t>
  </si>
  <si>
    <t>Lorsque la date de paye correspond au mois de janvier, le code origine "1" (année courante) ne doit pas être notifié.</t>
  </si>
  <si>
    <t>G20_C_011</t>
  </si>
  <si>
    <t>Si la zone mode de calcul est "Calcul PREFON" (MC = E), la zone "Nombre d'unités" doit être vide.</t>
  </si>
  <si>
    <t>G20_C_012</t>
  </si>
  <si>
    <t>Pour la retenue PREFON (code '0879'), seuls les deux derniers caractères (positions 57 à 58) de la zone MONTANT doivent être servies.</t>
  </si>
  <si>
    <t>G20_C_014</t>
  </si>
  <si>
    <t>Pour la retenue PREFON (code '0879'), le mode de calcul doit être "E - Calcul PREFON (code classe)".</t>
  </si>
  <si>
    <t>T2447</t>
  </si>
  <si>
    <t>Contrôles Avantages en nature et Avantage en nature ntic et Avantage en nature nourriture et Avantage en nature véhicule et Avantages en nature divers</t>
  </si>
  <si>
    <t>Le code indemnité saisi est 'Avantages en nature' ou 'Avantage en nature ntic' ou 'Avantage en nature nourriture' ou 'Avantage en nature véhicule' ou 'Avantages en nature divers'</t>
  </si>
  <si>
    <t>BG20_COD_IND [BG_Occurrence_courante] DANS ('0136', '1404', '1405', '1406', '1407')</t>
  </si>
  <si>
    <t>G20_C_002 ET G20_C_003 ET G20_C_005 ET G20_C_008 ET G20_C_009 ET G20_C_013 ET G20_C_015 ET G20_C_016 ET G20_C_021</t>
  </si>
  <si>
    <t>G20_C_008</t>
  </si>
  <si>
    <t>Si le mode de calcul est "H - Indemnité à ne pas payer (avantage en nature)", il faut que le nombre d'unités soit vide.</t>
  </si>
  <si>
    <t>G20_C_009</t>
  </si>
  <si>
    <t>Si le mode de calcul est "H - Indemnité à ne pas payer (avantage en nature)", il faut que le montant soit différent de vide.</t>
  </si>
  <si>
    <t>G20_C_013</t>
  </si>
  <si>
    <t>Pour les avantages en nature (codes '0136','1404','1405','1406','1407), le mode de calcul doit être "H - Indemnité à ne pas payer (avantage en nature)".</t>
  </si>
  <si>
    <t>T2448</t>
  </si>
  <si>
    <t>Contrôles Cotisation assurance chômage</t>
  </si>
  <si>
    <t>Le code indemnité saisi est 'Cotisation assurance chômage'</t>
  </si>
  <si>
    <t>BG20_COD_IND [BG_Occurrence_courante] = '0870'</t>
  </si>
  <si>
    <t>Exclu</t>
  </si>
  <si>
    <t>T2449</t>
  </si>
  <si>
    <t>Contrôles autres indemnités et retenues exceptionnelles</t>
  </si>
  <si>
    <t>Le code indemnité/retenue saisi est différent de '0954', '0879', '0136', '1404', '1405', '1406', '1407', '0870'</t>
  </si>
  <si>
    <t>BG20_COD_IND [BG_Occurrence_courante] PAS DANS ('0954', '0879', '0136', '1404', '1405', '1406', '1407', '0870')</t>
  </si>
  <si>
    <t>G20_C_002 ET G20_C_003 ET G20_C_004 ET G20_C_005 ET G20_C_006 ET G20_C_007 ET G20_C_015 ET G20_C_016 ET G20_C_017 ET G20_C_019 ET G20_C_020 ET G20_C_021</t>
  </si>
  <si>
    <t>Militaire</t>
  </si>
  <si>
    <t>P0002</t>
  </si>
  <si>
    <t>Contractuel</t>
  </si>
  <si>
    <t>P0003</t>
  </si>
  <si>
    <t>G20_C_025 ET G20_C_001 ET G20_C_003 ET G20_C_004 ET G20_C_005 ET G20_C_006 ET G20_C_007 ET G20_C_015 ET G20_C_016 ET G20_C_017 ET G20_C_021 ET G20_C_019 ET G20_C_020</t>
  </si>
  <si>
    <t>G20_C_025</t>
  </si>
  <si>
    <t>L'agent doit être détaché sur contrat.</t>
  </si>
  <si>
    <t>Stagiaire ou auditeur ou élève</t>
  </si>
  <si>
    <t>P0004</t>
  </si>
  <si>
    <t>Ouvrier d'état</t>
  </si>
  <si>
    <t>P0005</t>
  </si>
  <si>
    <t>Enseignant privé ou maître délégué - Education</t>
  </si>
  <si>
    <t>P0224</t>
  </si>
  <si>
    <t>Particulier</t>
  </si>
  <si>
    <t>G20_C_001 ET G20_C_003 ET G20_C_004 ET G20_C_005 ET G20_C_006 ET G20_C_007 ET G20_C_015 ET G20_C_016 ET G20_C_017 ET G20_C_021 ET G20_C_019 ET G20_C_020 ET G20_C_023 ET G20_C_024</t>
  </si>
  <si>
    <t>G20_C_023</t>
  </si>
  <si>
    <t>Si le code "0870 - Cotisation assurance chômage" est utilisé pour une régularisation de cotisation avec un code statutaire servi à "92 - Privé simple, laïc et privé simple, religieux affilié à SS et RC et ASSEDIC", le mouvement de type 20 utilisé ressortira en anomalie non bloquante.</t>
  </si>
  <si>
    <t>G20_C_024</t>
  </si>
  <si>
    <t>Si le code "0870 - Cotisation assurance chômage" est utilisé pour une régularisation de cotisation le code statutaire doit être servi avec une valeur égale à "92 - Privé simple, laïc et privé simple, religieux affilié à SS et RC et ASSEDIC".</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</si>
  <si>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</si>
  <si>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</si>
  <si>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</si>
  <si>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</si>
  <si>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</si>
  <si>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</si>
  <si>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</si>
  <si>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</si>
  <si>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</si>
  <si>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</si>
  <si>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</si>
  <si>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</si>
  <si>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</si>
  <si>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</si>
  <si>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M</t>
  </si>
  <si>
    <t>Contrôle</t>
  </si>
  <si>
    <t>BG20_COD_ORI [BG_Occurrence_courante] = '0'</t>
  </si>
  <si>
    <t>Bloquant</t>
  </si>
  <si>
    <t>Références CG règles PAY 20.01</t>
  </si>
  <si>
    <t>SI [Sous-chaine(BG_DAT_PAY [BG_Occurrence_courante],5,2)] = '01'</t>
  </si>
  <si>
    <t>BG20_COD_ORI [BG_Occurrence_courante] &lt;&gt; '1'</t>
  </si>
  <si>
    <t>Références CG règles PAY 20.02</t>
  </si>
  <si>
    <t>SI BG20_COD_ORI [BG_Occurrence_courante] = '0'</t>
  </si>
  <si>
    <t>BG20_COD_SEN [BG_Occurrence_courante] = '0'</t>
  </si>
  <si>
    <t>Références CG règles PAY 20.03</t>
  </si>
  <si>
    <t>SI BG20_MOD_CAL [BG_Occurrence_courante] = 'A'</t>
  </si>
  <si>
    <t>BG20_NBR_UNI [BG_Occurrence_courante] = Vide</t>
  </si>
  <si>
    <t>Références CG règles PAY 20.07</t>
  </si>
  <si>
    <t># Le terme « GREVE » ne doit pas être utilisé dans la zone "Libellé complémentaire"BG20_LIB_CPL [BG_Occurrence_courante].#</t>
  </si>
  <si>
    <t>Non Bloquant</t>
  </si>
  <si>
    <t>Ce contrôle est non bloquant car il s'agit d'une alerte pour le gestionnaire. PAY supprime automatiquement le premier E du mot GREVE.
Références CG règles PAY 20.05</t>
  </si>
  <si>
    <t>BG20_MONTANT [BG_Occurrence_courante] &lt;&gt; Vide</t>
  </si>
  <si>
    <t>SI BG20_MOD_CAL [BG_Occurrence_courante] = 'B'</t>
  </si>
  <si>
    <t>BG20_NBR_UNI [BG_Occurrence_courante] &lt;&gt; Vide ET BG20_MONTANT [BG_Occurrence_courante] &lt;&gt; Vide</t>
  </si>
  <si>
    <t>SI BG20_MOD_CAL [BG_Occurrence_courante] = 'H'</t>
  </si>
  <si>
    <t>SI BG20_MOD_CAL [BG_Occurrence_courante] = 'E'</t>
  </si>
  <si>
    <t>[Sous-chaine (BG20_MONTANT [BG_Occurrence_courante],1,4)] = Vide ET [Sous-chaine (BG20_MONTANT [BG_Occurrence_courante],5,2)] &lt;&gt;Vide</t>
  </si>
  <si>
    <t>BG20_MOD_CAL [BG_Occurrence_courante] = 'H'</t>
  </si>
  <si>
    <t>BG20_MOD_CAL [BG_Occurrence_courante] = 'E'</t>
  </si>
  <si>
    <t>BG20_COD_SEN [BG_Occurrence_courante] &lt;&gt; Vide</t>
  </si>
  <si>
    <t>Références CG règles PAY 20.10</t>
  </si>
  <si>
    <t>BG20_COD_ORI [BG_Occurrence_courante] &lt;&gt; Vide</t>
  </si>
  <si>
    <t>Références CG règles PAY 20.11</t>
  </si>
  <si>
    <t>BG20_MOD_CAL [BG_Occurrence_courante] DANS ('A', 'B', 'G')</t>
  </si>
  <si>
    <t>SI BG20_MOD_CAL [BG_Occurrence_courante] = 'G'</t>
  </si>
  <si>
    <t>[Somme_DAT_PAY (F_NBR_OCC,20)] &lt;= 30</t>
  </si>
  <si>
    <t>Références CG règles PAY 20.09</t>
  </si>
  <si>
    <t>BG02_SIT_STA [BG_Autre_occurrence] &lt;&gt; '92'</t>
  </si>
  <si>
    <t>Ce contrôle est non bloquant car il s'agit d'une alerte pour le gestionnaire. PAY de rappel de cotisation exceptionnelle.
Références CG règles PAY 20.06</t>
  </si>
  <si>
    <t>BG02_SIT_STA [BG_Autre_occurrence] = '92'</t>
  </si>
  <si>
    <t>Références CG règles PAY 20.06</t>
  </si>
  <si>
    <t>A_POS_POSIAD [Dossier] DANS ('DEE04', 'DES04')</t>
  </si>
  <si>
    <t>Références CG règles PAY 20.12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</si>
</sst>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ECA08-19BC-4A81-BE85-965BC8EA84D5}">
  <sheetPr codeName="Feuil2"/>
  <dimension ref="A1:AG425"/>
  <sheetViews>
    <sheetView tabSelected="1" zoomScaleNormal="100" workbookViewId="0"/>
  </sheetViews>
  <sheetFormatPr baseColWidth="10" defaultRowHeight="14.5" x14ac:dyDescent="0.35"/>
  <cols>
    <col min="2" max="2" width="144.26953125" style="9" customWidth="1"/>
    <col min="3" max="3" width="64.81640625" style="2" bestFit="1" customWidth="1"/>
    <col min="18" max="19" width="11.453125" style="2"/>
  </cols>
  <sheetData>
    <row r="1" spans="1:33" x14ac:dyDescent="0.35">
      <c r="B1" s="1" t="s">
        <v>0</v>
      </c>
    </row>
    <row r="2" spans="1:33" ht="87"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437E4-AEC2-4F62-8DC6-4B1CC4FDE877}">
  <dimension ref="A1:BA49"/>
  <sheetViews>
    <sheetView topLeftCell="AT1" workbookViewId="0">
      <pane ySplit="1" topLeftCell="A2" activePane="bottomLeft" state="frozenSplit"/>
      <selection pane="bottomLeft" activeCell="AY3" sqref="AY3"/>
    </sheetView>
  </sheetViews>
  <sheetFormatPr baseColWidth="10" defaultColWidth="11.453125" defaultRowHeight="14.5" x14ac:dyDescent="0.35"/>
  <cols>
    <col min="1" max="1" width="8.7265625" style="12" customWidth="1"/>
    <col min="2" max="2" width="7.7265625" style="12" customWidth="1"/>
    <col min="3" max="3" width="12.7265625" style="12" customWidth="1"/>
    <col min="4" max="4" width="13.7265625" style="12" customWidth="1"/>
    <col min="5" max="5" width="25.7265625" style="17" customWidth="1"/>
    <col min="6" max="6" width="13.7265625" style="12" customWidth="1"/>
    <col min="7" max="7" width="25.7265625" style="17" customWidth="1"/>
    <col min="8" max="8" width="13.7265625" style="12" customWidth="1"/>
    <col min="9" max="11" width="25.7265625" style="17" customWidth="1"/>
    <col min="12" max="12" width="13.7265625" style="12" customWidth="1"/>
    <col min="13" max="13" width="25.7265625" style="17" customWidth="1"/>
    <col min="14" max="14" width="13.7265625" style="12" customWidth="1"/>
    <col min="15" max="16" width="30.7265625" style="17" customWidth="1"/>
    <col min="17" max="17" width="25.7265625" style="17" customWidth="1"/>
    <col min="18" max="20" width="13.7265625" style="12" customWidth="1"/>
    <col min="21" max="22" width="12.7265625" style="12" customWidth="1"/>
    <col min="23" max="23" width="40.7265625" style="17" customWidth="1"/>
    <col min="24" max="24" width="15.7265625" style="18" customWidth="1"/>
    <col min="25" max="25" width="25.7265625" style="17" customWidth="1"/>
    <col min="26" max="26" width="15.7265625" style="18" customWidth="1"/>
    <col min="27" max="27" width="25.7265625" style="17" customWidth="1"/>
    <col min="28" max="28" width="15.7265625" style="18" customWidth="1"/>
    <col min="29" max="29" width="25.7265625" style="17" customWidth="1"/>
    <col min="30" max="30" width="15.7265625" style="18" customWidth="1"/>
    <col min="31" max="31" width="25.7265625" style="17" customWidth="1"/>
    <col min="32" max="32" width="15.7265625" style="18" customWidth="1"/>
    <col min="33" max="33" width="25.7265625" style="17" customWidth="1"/>
    <col min="34" max="34" width="15.7265625" style="18" customWidth="1"/>
    <col min="35" max="35" width="25.7265625" style="17" customWidth="1"/>
    <col min="36" max="36" width="15.7265625" style="18" customWidth="1"/>
    <col min="37" max="37" width="25.7265625" style="17" customWidth="1"/>
    <col min="38" max="38" width="15.7265625" style="18" customWidth="1"/>
    <col min="39" max="39" width="25.7265625" style="17" customWidth="1"/>
    <col min="40" max="40" width="15.7265625" style="18" customWidth="1"/>
    <col min="41" max="41" width="25.7265625" style="17" customWidth="1"/>
    <col min="42" max="42" width="15.7265625" style="18" customWidth="1"/>
    <col min="43" max="43" width="25.7265625" style="17" customWidth="1"/>
    <col min="44" max="44" width="15.7265625" style="18" customWidth="1"/>
    <col min="45" max="45" width="25.7265625" style="17" customWidth="1"/>
    <col min="46" max="46" width="15.7265625" style="18" customWidth="1"/>
    <col min="47" max="47" width="25.7265625" style="17" customWidth="1"/>
    <col min="48" max="48" width="15.7265625" style="18" customWidth="1"/>
    <col min="49" max="49" width="25.7265625" style="17" customWidth="1"/>
    <col min="50" max="50" width="15.7265625" style="18" customWidth="1"/>
    <col min="51" max="51" width="25.7265625" style="17" customWidth="1"/>
    <col min="52" max="52" width="9.7265625" style="18" customWidth="1"/>
    <col min="53" max="53" width="15.7265625" style="12" customWidth="1"/>
    <col min="54" max="16384" width="11.453125" style="12"/>
  </cols>
  <sheetData>
    <row r="1" spans="1:53"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row>
    <row r="2" spans="1:53" ht="87" x14ac:dyDescent="0.35">
      <c r="A2" s="13" t="s">
        <v>54</v>
      </c>
      <c r="B2" s="13" t="s">
        <v>55</v>
      </c>
      <c r="C2" s="14">
        <v>45818.402083333334</v>
      </c>
      <c r="D2" s="13" t="s">
        <v>56</v>
      </c>
      <c r="E2" s="15" t="s">
        <v>57</v>
      </c>
      <c r="F2" s="13" t="s">
        <v>58</v>
      </c>
      <c r="G2" s="15" t="s">
        <v>59</v>
      </c>
      <c r="H2" s="13" t="s">
        <v>60</v>
      </c>
      <c r="I2" s="15" t="s">
        <v>61</v>
      </c>
      <c r="J2" s="15" t="s">
        <v>62</v>
      </c>
      <c r="K2" s="15" t="s">
        <v>63</v>
      </c>
      <c r="L2" s="13" t="s">
        <v>64</v>
      </c>
      <c r="M2" s="15" t="s">
        <v>65</v>
      </c>
      <c r="N2" s="13" t="s">
        <v>66</v>
      </c>
      <c r="O2" s="15" t="s">
        <v>67</v>
      </c>
      <c r="P2" s="15" t="s">
        <v>68</v>
      </c>
      <c r="Q2" s="15" t="s">
        <v>69</v>
      </c>
      <c r="R2" s="13" t="s">
        <v>70</v>
      </c>
      <c r="S2" s="13" t="s">
        <v>71</v>
      </c>
      <c r="T2" s="13" t="s">
        <v>72</v>
      </c>
      <c r="U2" s="14">
        <v>40725</v>
      </c>
      <c r="V2" s="14"/>
      <c r="W2" s="15" t="s">
        <v>73</v>
      </c>
      <c r="X2" s="13" t="s">
        <v>74</v>
      </c>
      <c r="Y2" s="15" t="str">
        <f>VLOOKUP(X2,'Axe 2 Règles de gestion'!$D$2:$F$23,3, FALSE)</f>
        <v>Le code origine doit être "0" (mois courant) pour l'indemnité '0954 - Précompte cotis. sal. RAFP'.</v>
      </c>
      <c r="Z2" s="13" t="s">
        <v>76</v>
      </c>
      <c r="AA2" s="15" t="str">
        <f>VLOOKUP(Z2,'Axe 2 Règles de gestion'!$D$2:$F$23,3, FALSE)</f>
        <v>Il est interdit de codifier le sens 1 (sens contraire) si le code origine est 0 (mois courant).</v>
      </c>
      <c r="AB2" s="13" t="s">
        <v>78</v>
      </c>
      <c r="AC2" s="15" t="str">
        <f>VLOOKUP(AB2,'Axe 2 Règles de gestion'!$D$2:$F$23,3, FALSE)</f>
        <v>Si le mode de calcul est "A - Montant précalculé", alors il faut laisser à vide la zone nombre d'unités.</v>
      </c>
      <c r="AD2" s="13" t="s">
        <v>80</v>
      </c>
      <c r="AE2" s="15" t="str">
        <f>VLOOKUP(AD2,'Axe 2 Règles de gestion'!$D$2:$F$23,3, FALSE)</f>
        <v>Le terme « GREVE » ne doit pas être utilisé dans la zone "Libellé complémentaire".</v>
      </c>
      <c r="AF2" s="13" t="s">
        <v>82</v>
      </c>
      <c r="AG2" s="15" t="str">
        <f>VLOOKUP(AF2,'Axe 2 Règles de gestion'!$D$2:$F$23,3, FALSE)</f>
        <v>Si le mode de calcul est "A - Montant précalculé", il faut que le montant soit différent de vide.</v>
      </c>
      <c r="AH2" s="13" t="s">
        <v>84</v>
      </c>
      <c r="AI2" s="15" t="str">
        <f>VLOOKUP(AH2,'Axe 2 Règles de gestion'!$D$2:$F$23,3, FALSE)</f>
        <v>Si le mode de calcul est "B - Nombre d'unités x montant unitaire", il faut que le nombre d'unités et le montant soient différents de vide.</v>
      </c>
      <c r="AJ2" s="13" t="s">
        <v>86</v>
      </c>
      <c r="AK2" s="15" t="str">
        <f>VLOOKUP(AJ2,'Axe 2 Règles de gestion'!$D$2:$F$23,3, FALSE)</f>
        <v>Le code sens est obligatoire.</v>
      </c>
      <c r="AL2" s="13" t="s">
        <v>88</v>
      </c>
      <c r="AM2" s="15" t="str">
        <f>VLOOKUP(AL2,'Axe 2 Règles de gestion'!$D$2:$F$23,3, FALSE)</f>
        <v>Le code origine est obligatoire.</v>
      </c>
      <c r="AN2" s="13" t="s">
        <v>90</v>
      </c>
      <c r="AO2" s="15" t="str">
        <f>VLOOKUP(AN2,'Axe 2 Règles de gestion'!$D$2:$F$23,3, FALSE)</f>
        <v>Seuls les modes de calcul "A - Montant précalculé", "B - Nombre d'unités x montant unitaire", "G - Indemnité à déduire" sont autorisés.</v>
      </c>
      <c r="AP2" s="13" t="s">
        <v>92</v>
      </c>
      <c r="AQ2" s="15" t="str">
        <f>VLOOKUP(AP2,'Axe 2 Règles de gestion'!$D$2:$F$23,3, FALSE)</f>
        <v>Le nombre total de mouvements 20 pour le mois de paie en cours doit être inférieur ou égal à 30.</v>
      </c>
      <c r="AR2" s="13" t="s">
        <v>94</v>
      </c>
      <c r="AS2" s="15" t="str">
        <f>VLOOKUP(AR2,'Axe 2 Règles de gestion'!$D$2:$F$23,3, FALSE)</f>
        <v>Si le mode de calcul est "G - Indemnité à déduire", alors il faut laisser vide la zone nombre d'unités.</v>
      </c>
      <c r="AT2" s="13" t="s">
        <v>96</v>
      </c>
      <c r="AU2" s="15" t="str">
        <f>VLOOKUP(AT2,'Axe 2 Règles de gestion'!$D$2:$F$23,3, FALSE)</f>
        <v>Si le mode de calcul est "G - Indemnité à déduire", il faut que le montant soit différent de vide.</v>
      </c>
      <c r="AV2" s="13"/>
      <c r="AW2" s="15"/>
      <c r="AX2" s="13"/>
      <c r="AY2" s="15"/>
      <c r="AZ2" s="13"/>
      <c r="BA2" s="13"/>
    </row>
    <row r="3" spans="1:53" ht="72.5" x14ac:dyDescent="0.35">
      <c r="A3" s="13" t="s">
        <v>54</v>
      </c>
      <c r="B3" s="13" t="s">
        <v>55</v>
      </c>
      <c r="C3" s="14">
        <v>45818.40347222222</v>
      </c>
      <c r="D3" s="13" t="s">
        <v>56</v>
      </c>
      <c r="E3" s="15" t="s">
        <v>57</v>
      </c>
      <c r="F3" s="13" t="s">
        <v>58</v>
      </c>
      <c r="G3" s="15" t="s">
        <v>59</v>
      </c>
      <c r="H3" s="13" t="s">
        <v>60</v>
      </c>
      <c r="I3" s="15" t="s">
        <v>61</v>
      </c>
      <c r="J3" s="15" t="s">
        <v>62</v>
      </c>
      <c r="K3" s="15" t="s">
        <v>63</v>
      </c>
      <c r="L3" s="13" t="s">
        <v>98</v>
      </c>
      <c r="M3" s="15" t="s">
        <v>99</v>
      </c>
      <c r="N3" s="13" t="s">
        <v>66</v>
      </c>
      <c r="O3" s="15" t="s">
        <v>100</v>
      </c>
      <c r="P3" s="15" t="s">
        <v>101</v>
      </c>
      <c r="Q3" s="15" t="s">
        <v>69</v>
      </c>
      <c r="R3" s="13" t="s">
        <v>70</v>
      </c>
      <c r="S3" s="13" t="s">
        <v>71</v>
      </c>
      <c r="T3" s="13" t="s">
        <v>72</v>
      </c>
      <c r="U3" s="14">
        <v>40725</v>
      </c>
      <c r="V3" s="14"/>
      <c r="W3" s="15" t="s">
        <v>102</v>
      </c>
      <c r="X3" s="13" t="s">
        <v>103</v>
      </c>
      <c r="Y3" s="15" t="str">
        <f>VLOOKUP(X3,'Axe 2 Règles de gestion'!$D$2:$F$23,3, FALSE)</f>
        <v>Lorsque la date de paye correspond au mois de janvier, le code origine "1" (année courante) ne doit pas être notifié.</v>
      </c>
      <c r="Z3" s="13" t="s">
        <v>76</v>
      </c>
      <c r="AA3" s="15" t="str">
        <f>VLOOKUP(Z3,'Axe 2 Règles de gestion'!$D$2:$F$23,3, FALSE)</f>
        <v>Il est interdit de codifier le sens 1 (sens contraire) si le code origine est 0 (mois courant).</v>
      </c>
      <c r="AB3" s="13" t="s">
        <v>80</v>
      </c>
      <c r="AC3" s="15" t="str">
        <f>VLOOKUP(AB3,'Axe 2 Règles de gestion'!$D$2:$F$23,3, FALSE)</f>
        <v>Le terme « GREVE » ne doit pas être utilisé dans la zone "Libellé complémentaire".</v>
      </c>
      <c r="AD3" s="13" t="s">
        <v>105</v>
      </c>
      <c r="AE3" s="15" t="str">
        <f>VLOOKUP(AD3,'Axe 2 Règles de gestion'!$D$2:$F$23,3, FALSE)</f>
        <v>Si la zone mode de calcul est "Calcul PREFON" (MC = E), la zone "Nombre d'unités" doit être vide.</v>
      </c>
      <c r="AF3" s="13" t="s">
        <v>107</v>
      </c>
      <c r="AG3" s="15" t="str">
        <f>VLOOKUP(AF3,'Axe 2 Règles de gestion'!$D$2:$F$23,3, FALSE)</f>
        <v>Pour la retenue PREFON (code '0879'), seuls les deux derniers caractères (positions 57 à 58) de la zone MONTANT doivent être servies.</v>
      </c>
      <c r="AH3" s="13" t="s">
        <v>109</v>
      </c>
      <c r="AI3" s="15" t="str">
        <f>VLOOKUP(AH3,'Axe 2 Règles de gestion'!$D$2:$F$23,3, FALSE)</f>
        <v>Pour la retenue PREFON (code '0879'), le mode de calcul doit être "E - Calcul PREFON (code classe)".</v>
      </c>
      <c r="AJ3" s="13" t="s">
        <v>86</v>
      </c>
      <c r="AK3" s="15" t="str">
        <f>VLOOKUP(AJ3,'Axe 2 Règles de gestion'!$D$2:$F$23,3, FALSE)</f>
        <v>Le code sens est obligatoire.</v>
      </c>
      <c r="AL3" s="13" t="s">
        <v>88</v>
      </c>
      <c r="AM3" s="15" t="str">
        <f>VLOOKUP(AL3,'Axe 2 Règles de gestion'!$D$2:$F$23,3, FALSE)</f>
        <v>Le code origine est obligatoire.</v>
      </c>
      <c r="AN3" s="13" t="s">
        <v>92</v>
      </c>
      <c r="AO3" s="15" t="str">
        <f>VLOOKUP(AN3,'Axe 2 Règles de gestion'!$D$2:$F$23,3, FALSE)</f>
        <v>Le nombre total de mouvements 20 pour le mois de paie en cours doit être inférieur ou égal à 30.</v>
      </c>
      <c r="AP3" s="13"/>
      <c r="AQ3" s="15"/>
      <c r="AR3" s="13"/>
      <c r="AS3" s="15"/>
      <c r="AT3" s="13"/>
      <c r="AU3" s="15"/>
      <c r="AV3" s="13"/>
      <c r="AW3" s="15"/>
      <c r="AX3" s="13"/>
      <c r="AY3" s="15"/>
      <c r="AZ3" s="13"/>
      <c r="BA3" s="13"/>
    </row>
    <row r="4" spans="1:53" ht="87" x14ac:dyDescent="0.35">
      <c r="A4" s="13" t="s">
        <v>54</v>
      </c>
      <c r="B4" s="13" t="s">
        <v>55</v>
      </c>
      <c r="C4" s="14">
        <v>45818.406944444447</v>
      </c>
      <c r="D4" s="13" t="s">
        <v>56</v>
      </c>
      <c r="E4" s="15" t="s">
        <v>57</v>
      </c>
      <c r="F4" s="13" t="s">
        <v>58</v>
      </c>
      <c r="G4" s="15" t="s">
        <v>59</v>
      </c>
      <c r="H4" s="13" t="s">
        <v>60</v>
      </c>
      <c r="I4" s="15" t="s">
        <v>61</v>
      </c>
      <c r="J4" s="15" t="s">
        <v>62</v>
      </c>
      <c r="K4" s="15" t="s">
        <v>63</v>
      </c>
      <c r="L4" s="13" t="s">
        <v>111</v>
      </c>
      <c r="M4" s="15" t="s">
        <v>112</v>
      </c>
      <c r="N4" s="13" t="s">
        <v>66</v>
      </c>
      <c r="O4" s="15" t="s">
        <v>113</v>
      </c>
      <c r="P4" s="15" t="s">
        <v>114</v>
      </c>
      <c r="Q4" s="15" t="s">
        <v>69</v>
      </c>
      <c r="R4" s="13" t="s">
        <v>70</v>
      </c>
      <c r="S4" s="13" t="s">
        <v>71</v>
      </c>
      <c r="T4" s="13" t="s">
        <v>72</v>
      </c>
      <c r="U4" s="14">
        <v>40725</v>
      </c>
      <c r="V4" s="14"/>
      <c r="W4" s="15" t="s">
        <v>115</v>
      </c>
      <c r="X4" s="13" t="s">
        <v>103</v>
      </c>
      <c r="Y4" s="15" t="str">
        <f>VLOOKUP(X4,'Axe 2 Règles de gestion'!$D$2:$F$23,3, FALSE)</f>
        <v>Lorsque la date de paye correspond au mois de janvier, le code origine "1" (année courante) ne doit pas être notifié.</v>
      </c>
      <c r="Z4" s="13" t="s">
        <v>76</v>
      </c>
      <c r="AA4" s="15" t="str">
        <f>VLOOKUP(Z4,'Axe 2 Règles de gestion'!$D$2:$F$23,3, FALSE)</f>
        <v>Il est interdit de codifier le sens 1 (sens contraire) si le code origine est 0 (mois courant).</v>
      </c>
      <c r="AB4" s="13" t="s">
        <v>80</v>
      </c>
      <c r="AC4" s="15" t="str">
        <f>VLOOKUP(AB4,'Axe 2 Règles de gestion'!$D$2:$F$23,3, FALSE)</f>
        <v>Le terme « GREVE » ne doit pas être utilisé dans la zone "Libellé complémentaire".</v>
      </c>
      <c r="AD4" s="13" t="s">
        <v>116</v>
      </c>
      <c r="AE4" s="15" t="str">
        <f>VLOOKUP(AD4,'Axe 2 Règles de gestion'!$D$2:$F$23,3, FALSE)</f>
        <v>Si le mode de calcul est "H - Indemnité à ne pas payer (avantage en nature)", il faut que le nombre d'unités soit vide.</v>
      </c>
      <c r="AF4" s="13" t="s">
        <v>118</v>
      </c>
      <c r="AG4" s="15" t="str">
        <f>VLOOKUP(AF4,'Axe 2 Règles de gestion'!$D$2:$F$23,3, FALSE)</f>
        <v>Si le mode de calcul est "H - Indemnité à ne pas payer (avantage en nature)", il faut que le montant soit différent de vide.</v>
      </c>
      <c r="AH4" s="13" t="s">
        <v>120</v>
      </c>
      <c r="AI4" s="15" t="str">
        <f>VLOOKUP(AH4,'Axe 2 Règles de gestion'!$D$2:$F$23,3, FALSE)</f>
        <v>Pour les avantages en nature (codes '0136','1404','1405','1406','1407), le mode de calcul doit être "H - Indemnité à ne pas payer (avantage en nature)".</v>
      </c>
      <c r="AJ4" s="13" t="s">
        <v>86</v>
      </c>
      <c r="AK4" s="15" t="str">
        <f>VLOOKUP(AJ4,'Axe 2 Règles de gestion'!$D$2:$F$23,3, FALSE)</f>
        <v>Le code sens est obligatoire.</v>
      </c>
      <c r="AL4" s="13" t="s">
        <v>88</v>
      </c>
      <c r="AM4" s="15" t="str">
        <f>VLOOKUP(AL4,'Axe 2 Règles de gestion'!$D$2:$F$23,3, FALSE)</f>
        <v>Le code origine est obligatoire.</v>
      </c>
      <c r="AN4" s="13" t="s">
        <v>92</v>
      </c>
      <c r="AO4" s="15" t="str">
        <f>VLOOKUP(AN4,'Axe 2 Règles de gestion'!$D$2:$F$23,3, FALSE)</f>
        <v>Le nombre total de mouvements 20 pour le mois de paie en cours doit être inférieur ou égal à 30.</v>
      </c>
      <c r="AP4" s="13"/>
      <c r="AQ4" s="15"/>
      <c r="AR4" s="13"/>
      <c r="AS4" s="15"/>
      <c r="AT4" s="13"/>
      <c r="AU4" s="15"/>
      <c r="AV4" s="13"/>
      <c r="AW4" s="15"/>
      <c r="AX4" s="13"/>
      <c r="AY4" s="15"/>
      <c r="AZ4" s="13"/>
      <c r="BA4" s="13"/>
    </row>
    <row r="5" spans="1:53" ht="43.5" x14ac:dyDescent="0.35">
      <c r="A5" s="13" t="s">
        <v>54</v>
      </c>
      <c r="B5" s="13" t="s">
        <v>55</v>
      </c>
      <c r="C5" s="14">
        <v>45818.408333333333</v>
      </c>
      <c r="D5" s="13" t="s">
        <v>56</v>
      </c>
      <c r="E5" s="15" t="s">
        <v>57</v>
      </c>
      <c r="F5" s="13" t="s">
        <v>58</v>
      </c>
      <c r="G5" s="15" t="s">
        <v>59</v>
      </c>
      <c r="H5" s="13" t="s">
        <v>60</v>
      </c>
      <c r="I5" s="15" t="s">
        <v>61</v>
      </c>
      <c r="J5" s="15" t="s">
        <v>62</v>
      </c>
      <c r="K5" s="15" t="s">
        <v>63</v>
      </c>
      <c r="L5" s="13" t="s">
        <v>122</v>
      </c>
      <c r="M5" s="15" t="s">
        <v>123</v>
      </c>
      <c r="N5" s="13" t="s">
        <v>66</v>
      </c>
      <c r="O5" s="15" t="s">
        <v>124</v>
      </c>
      <c r="P5" s="15" t="s">
        <v>125</v>
      </c>
      <c r="Q5" s="15" t="s">
        <v>69</v>
      </c>
      <c r="R5" s="13" t="s">
        <v>70</v>
      </c>
      <c r="S5" s="13" t="s">
        <v>71</v>
      </c>
      <c r="T5" s="13" t="s">
        <v>126</v>
      </c>
      <c r="U5" s="14">
        <v>40725</v>
      </c>
      <c r="V5" s="14"/>
      <c r="W5" s="15"/>
      <c r="X5" s="13"/>
      <c r="Y5" s="15"/>
      <c r="Z5" s="13"/>
      <c r="AA5" s="15"/>
      <c r="AB5" s="13"/>
      <c r="AC5" s="15"/>
      <c r="AD5" s="13"/>
      <c r="AE5" s="15"/>
      <c r="AF5" s="13"/>
      <c r="AG5" s="15"/>
      <c r="AH5" s="13"/>
      <c r="AI5" s="15"/>
      <c r="AJ5" s="13"/>
      <c r="AK5" s="15"/>
      <c r="AL5" s="13"/>
      <c r="AM5" s="15"/>
      <c r="AN5" s="13"/>
      <c r="AO5" s="15"/>
      <c r="AP5" s="13"/>
      <c r="AQ5" s="15"/>
      <c r="AR5" s="13"/>
      <c r="AS5" s="15"/>
      <c r="AT5" s="13"/>
      <c r="AU5" s="15"/>
      <c r="AV5" s="13"/>
      <c r="AW5" s="15"/>
      <c r="AX5" s="13"/>
      <c r="AY5" s="15"/>
      <c r="AZ5" s="13"/>
      <c r="BA5" s="13"/>
    </row>
    <row r="6" spans="1:53" ht="87" x14ac:dyDescent="0.35">
      <c r="A6" s="13" t="s">
        <v>54</v>
      </c>
      <c r="B6" s="13" t="s">
        <v>55</v>
      </c>
      <c r="C6" s="14">
        <v>45818.40902777778</v>
      </c>
      <c r="D6" s="13" t="s">
        <v>56</v>
      </c>
      <c r="E6" s="15" t="s">
        <v>57</v>
      </c>
      <c r="F6" s="13" t="s">
        <v>58</v>
      </c>
      <c r="G6" s="15" t="s">
        <v>59</v>
      </c>
      <c r="H6" s="13" t="s">
        <v>60</v>
      </c>
      <c r="I6" s="15" t="s">
        <v>61</v>
      </c>
      <c r="J6" s="15" t="s">
        <v>62</v>
      </c>
      <c r="K6" s="15" t="s">
        <v>63</v>
      </c>
      <c r="L6" s="13" t="s">
        <v>127</v>
      </c>
      <c r="M6" s="15" t="s">
        <v>128</v>
      </c>
      <c r="N6" s="13" t="s">
        <v>66</v>
      </c>
      <c r="O6" s="15" t="s">
        <v>129</v>
      </c>
      <c r="P6" s="15" t="s">
        <v>130</v>
      </c>
      <c r="Q6" s="15" t="s">
        <v>69</v>
      </c>
      <c r="R6" s="13" t="s">
        <v>70</v>
      </c>
      <c r="S6" s="13" t="s">
        <v>71</v>
      </c>
      <c r="T6" s="13" t="s">
        <v>72</v>
      </c>
      <c r="U6" s="14">
        <v>40725</v>
      </c>
      <c r="V6" s="14"/>
      <c r="W6" s="15" t="s">
        <v>131</v>
      </c>
      <c r="X6" s="13" t="s">
        <v>103</v>
      </c>
      <c r="Y6" s="15" t="str">
        <f>VLOOKUP(X6,'Axe 2 Règles de gestion'!$D$2:$F$23,3, FALSE)</f>
        <v>Lorsque la date de paye correspond au mois de janvier, le code origine "1" (année courante) ne doit pas être notifié.</v>
      </c>
      <c r="Z6" s="13" t="s">
        <v>76</v>
      </c>
      <c r="AA6" s="15" t="str">
        <f>VLOOKUP(Z6,'Axe 2 Règles de gestion'!$D$2:$F$23,3, FALSE)</f>
        <v>Il est interdit de codifier le sens 1 (sens contraire) si le code origine est 0 (mois courant).</v>
      </c>
      <c r="AB6" s="13" t="s">
        <v>78</v>
      </c>
      <c r="AC6" s="15" t="str">
        <f>VLOOKUP(AB6,'Axe 2 Règles de gestion'!$D$2:$F$23,3, FALSE)</f>
        <v>Si le mode de calcul est "A - Montant précalculé", alors il faut laisser à vide la zone nombre d'unités.</v>
      </c>
      <c r="AD6" s="13" t="s">
        <v>80</v>
      </c>
      <c r="AE6" s="15" t="str">
        <f>VLOOKUP(AD6,'Axe 2 Règles de gestion'!$D$2:$F$23,3, FALSE)</f>
        <v>Le terme « GREVE » ne doit pas être utilisé dans la zone "Libellé complémentaire".</v>
      </c>
      <c r="AF6" s="13" t="s">
        <v>82</v>
      </c>
      <c r="AG6" s="15" t="str">
        <f>VLOOKUP(AF6,'Axe 2 Règles de gestion'!$D$2:$F$23,3, FALSE)</f>
        <v>Si le mode de calcul est "A - Montant précalculé", il faut que le montant soit différent de vide.</v>
      </c>
      <c r="AH6" s="13" t="s">
        <v>84</v>
      </c>
      <c r="AI6" s="15" t="str">
        <f>VLOOKUP(AH6,'Axe 2 Règles de gestion'!$D$2:$F$23,3, FALSE)</f>
        <v>Si le mode de calcul est "B - Nombre d'unités x montant unitaire", il faut que le nombre d'unités et le montant soient différents de vide.</v>
      </c>
      <c r="AJ6" s="13" t="s">
        <v>86</v>
      </c>
      <c r="AK6" s="15" t="str">
        <f>VLOOKUP(AJ6,'Axe 2 Règles de gestion'!$D$2:$F$23,3, FALSE)</f>
        <v>Le code sens est obligatoire.</v>
      </c>
      <c r="AL6" s="13" t="s">
        <v>88</v>
      </c>
      <c r="AM6" s="15" t="str">
        <f>VLOOKUP(AL6,'Axe 2 Règles de gestion'!$D$2:$F$23,3, FALSE)</f>
        <v>Le code origine est obligatoire.</v>
      </c>
      <c r="AN6" s="13" t="s">
        <v>90</v>
      </c>
      <c r="AO6" s="15" t="str">
        <f>VLOOKUP(AN6,'Axe 2 Règles de gestion'!$D$2:$F$23,3, FALSE)</f>
        <v>Seuls les modes de calcul "A - Montant précalculé", "B - Nombre d'unités x montant unitaire", "G - Indemnité à déduire" sont autorisés.</v>
      </c>
      <c r="AP6" s="13" t="s">
        <v>94</v>
      </c>
      <c r="AQ6" s="15" t="str">
        <f>VLOOKUP(AP6,'Axe 2 Règles de gestion'!$D$2:$F$23,3, FALSE)</f>
        <v>Si le mode de calcul est "G - Indemnité à déduire", alors il faut laisser vide la zone nombre d'unités.</v>
      </c>
      <c r="AR6" s="13" t="s">
        <v>96</v>
      </c>
      <c r="AS6" s="15" t="str">
        <f>VLOOKUP(AR6,'Axe 2 Règles de gestion'!$D$2:$F$23,3, FALSE)</f>
        <v>Si le mode de calcul est "G - Indemnité à déduire", il faut que le montant soit différent de vide.</v>
      </c>
      <c r="AT6" s="13" t="s">
        <v>92</v>
      </c>
      <c r="AU6" s="15" t="str">
        <f>VLOOKUP(AT6,'Axe 2 Règles de gestion'!$D$2:$F$23,3, FALSE)</f>
        <v>Le nombre total de mouvements 20 pour le mois de paie en cours doit être inférieur ou égal à 30.</v>
      </c>
      <c r="AV6" s="13"/>
      <c r="AW6" s="15"/>
      <c r="AX6" s="13"/>
      <c r="AY6" s="15"/>
      <c r="AZ6" s="13"/>
      <c r="BA6" s="13"/>
    </row>
    <row r="7" spans="1:53" ht="87" x14ac:dyDescent="0.35">
      <c r="A7" s="13" t="s">
        <v>54</v>
      </c>
      <c r="B7" s="13" t="s">
        <v>55</v>
      </c>
      <c r="C7" s="14">
        <v>45818.402083333334</v>
      </c>
      <c r="D7" s="13" t="s">
        <v>56</v>
      </c>
      <c r="E7" s="15" t="s">
        <v>57</v>
      </c>
      <c r="F7" s="13" t="s">
        <v>58</v>
      </c>
      <c r="G7" s="15" t="s">
        <v>59</v>
      </c>
      <c r="H7" s="13" t="s">
        <v>60</v>
      </c>
      <c r="I7" s="15" t="s">
        <v>61</v>
      </c>
      <c r="J7" s="15" t="s">
        <v>62</v>
      </c>
      <c r="K7" s="15" t="s">
        <v>63</v>
      </c>
      <c r="L7" s="13" t="s">
        <v>64</v>
      </c>
      <c r="M7" s="15" t="s">
        <v>65</v>
      </c>
      <c r="N7" s="13" t="s">
        <v>66</v>
      </c>
      <c r="O7" s="15" t="s">
        <v>67</v>
      </c>
      <c r="P7" s="15" t="s">
        <v>68</v>
      </c>
      <c r="Q7" s="15" t="s">
        <v>132</v>
      </c>
      <c r="R7" s="13" t="s">
        <v>133</v>
      </c>
      <c r="S7" s="13" t="s">
        <v>71</v>
      </c>
      <c r="T7" s="13" t="s">
        <v>72</v>
      </c>
      <c r="U7" s="14">
        <v>40725</v>
      </c>
      <c r="V7" s="14"/>
      <c r="W7" s="15" t="s">
        <v>73</v>
      </c>
      <c r="X7" s="13" t="s">
        <v>74</v>
      </c>
      <c r="Y7" s="15" t="str">
        <f>VLOOKUP(X7,'Axe 2 Règles de gestion'!$D$2:$F$23,3, FALSE)</f>
        <v>Le code origine doit être "0" (mois courant) pour l'indemnité '0954 - Précompte cotis. sal. RAFP'.</v>
      </c>
      <c r="Z7" s="13" t="s">
        <v>76</v>
      </c>
      <c r="AA7" s="15" t="str">
        <f>VLOOKUP(Z7,'Axe 2 Règles de gestion'!$D$2:$F$23,3, FALSE)</f>
        <v>Il est interdit de codifier le sens 1 (sens contraire) si le code origine est 0 (mois courant).</v>
      </c>
      <c r="AB7" s="13" t="s">
        <v>78</v>
      </c>
      <c r="AC7" s="15" t="str">
        <f>VLOOKUP(AB7,'Axe 2 Règles de gestion'!$D$2:$F$23,3, FALSE)</f>
        <v>Si le mode de calcul est "A - Montant précalculé", alors il faut laisser à vide la zone nombre d'unités.</v>
      </c>
      <c r="AD7" s="13" t="s">
        <v>80</v>
      </c>
      <c r="AE7" s="15" t="str">
        <f>VLOOKUP(AD7,'Axe 2 Règles de gestion'!$D$2:$F$23,3, FALSE)</f>
        <v>Le terme « GREVE » ne doit pas être utilisé dans la zone "Libellé complémentaire".</v>
      </c>
      <c r="AF7" s="13" t="s">
        <v>82</v>
      </c>
      <c r="AG7" s="15" t="str">
        <f>VLOOKUP(AF7,'Axe 2 Règles de gestion'!$D$2:$F$23,3, FALSE)</f>
        <v>Si le mode de calcul est "A - Montant précalculé", il faut que le montant soit différent de vide.</v>
      </c>
      <c r="AH7" s="13" t="s">
        <v>84</v>
      </c>
      <c r="AI7" s="15" t="str">
        <f>VLOOKUP(AH7,'Axe 2 Règles de gestion'!$D$2:$F$23,3, FALSE)</f>
        <v>Si le mode de calcul est "B - Nombre d'unités x montant unitaire", il faut que le nombre d'unités et le montant soient différents de vide.</v>
      </c>
      <c r="AJ7" s="13" t="s">
        <v>86</v>
      </c>
      <c r="AK7" s="15" t="str">
        <f>VLOOKUP(AJ7,'Axe 2 Règles de gestion'!$D$2:$F$23,3, FALSE)</f>
        <v>Le code sens est obligatoire.</v>
      </c>
      <c r="AL7" s="13" t="s">
        <v>88</v>
      </c>
      <c r="AM7" s="15" t="str">
        <f>VLOOKUP(AL7,'Axe 2 Règles de gestion'!$D$2:$F$23,3, FALSE)</f>
        <v>Le code origine est obligatoire.</v>
      </c>
      <c r="AN7" s="13" t="s">
        <v>90</v>
      </c>
      <c r="AO7" s="15" t="str">
        <f>VLOOKUP(AN7,'Axe 2 Règles de gestion'!$D$2:$F$23,3, FALSE)</f>
        <v>Seuls les modes de calcul "A - Montant précalculé", "B - Nombre d'unités x montant unitaire", "G - Indemnité à déduire" sont autorisés.</v>
      </c>
      <c r="AP7" s="13" t="s">
        <v>92</v>
      </c>
      <c r="AQ7" s="15" t="str">
        <f>VLOOKUP(AP7,'Axe 2 Règles de gestion'!$D$2:$F$23,3, FALSE)</f>
        <v>Le nombre total de mouvements 20 pour le mois de paie en cours doit être inférieur ou égal à 30.</v>
      </c>
      <c r="AR7" s="13" t="s">
        <v>94</v>
      </c>
      <c r="AS7" s="15" t="str">
        <f>VLOOKUP(AR7,'Axe 2 Règles de gestion'!$D$2:$F$23,3, FALSE)</f>
        <v>Si le mode de calcul est "G - Indemnité à déduire", alors il faut laisser vide la zone nombre d'unités.</v>
      </c>
      <c r="AT7" s="13" t="s">
        <v>96</v>
      </c>
      <c r="AU7" s="15" t="str">
        <f>VLOOKUP(AT7,'Axe 2 Règles de gestion'!$D$2:$F$23,3, FALSE)</f>
        <v>Si le mode de calcul est "G - Indemnité à déduire", il faut que le montant soit différent de vide.</v>
      </c>
      <c r="AV7" s="13"/>
      <c r="AW7" s="15"/>
      <c r="AX7" s="13"/>
      <c r="AY7" s="15"/>
      <c r="AZ7" s="13"/>
      <c r="BA7" s="13"/>
    </row>
    <row r="8" spans="1:53" ht="72.5" x14ac:dyDescent="0.35">
      <c r="A8" s="13" t="s">
        <v>54</v>
      </c>
      <c r="B8" s="13" t="s">
        <v>55</v>
      </c>
      <c r="C8" s="14">
        <v>45818.404166666667</v>
      </c>
      <c r="D8" s="13" t="s">
        <v>56</v>
      </c>
      <c r="E8" s="15" t="s">
        <v>57</v>
      </c>
      <c r="F8" s="13" t="s">
        <v>58</v>
      </c>
      <c r="G8" s="15" t="s">
        <v>59</v>
      </c>
      <c r="H8" s="13" t="s">
        <v>60</v>
      </c>
      <c r="I8" s="15" t="s">
        <v>61</v>
      </c>
      <c r="J8" s="15" t="s">
        <v>62</v>
      </c>
      <c r="K8" s="15" t="s">
        <v>63</v>
      </c>
      <c r="L8" s="13" t="s">
        <v>98</v>
      </c>
      <c r="M8" s="15" t="s">
        <v>99</v>
      </c>
      <c r="N8" s="13" t="s">
        <v>66</v>
      </c>
      <c r="O8" s="15" t="s">
        <v>100</v>
      </c>
      <c r="P8" s="15" t="s">
        <v>101</v>
      </c>
      <c r="Q8" s="15" t="s">
        <v>132</v>
      </c>
      <c r="R8" s="13" t="s">
        <v>133</v>
      </c>
      <c r="S8" s="13" t="s">
        <v>71</v>
      </c>
      <c r="T8" s="13" t="s">
        <v>72</v>
      </c>
      <c r="U8" s="14">
        <v>40725</v>
      </c>
      <c r="V8" s="14"/>
      <c r="W8" s="15" t="s">
        <v>102</v>
      </c>
      <c r="X8" s="13" t="s">
        <v>103</v>
      </c>
      <c r="Y8" s="15" t="str">
        <f>VLOOKUP(X8,'Axe 2 Règles de gestion'!$D$2:$F$23,3, FALSE)</f>
        <v>Lorsque la date de paye correspond au mois de janvier, le code origine "1" (année courante) ne doit pas être notifié.</v>
      </c>
      <c r="Z8" s="13" t="s">
        <v>76</v>
      </c>
      <c r="AA8" s="15" t="str">
        <f>VLOOKUP(Z8,'Axe 2 Règles de gestion'!$D$2:$F$23,3, FALSE)</f>
        <v>Il est interdit de codifier le sens 1 (sens contraire) si le code origine est 0 (mois courant).</v>
      </c>
      <c r="AB8" s="13" t="s">
        <v>80</v>
      </c>
      <c r="AC8" s="15" t="str">
        <f>VLOOKUP(AB8,'Axe 2 Règles de gestion'!$D$2:$F$23,3, FALSE)</f>
        <v>Le terme « GREVE » ne doit pas être utilisé dans la zone "Libellé complémentaire".</v>
      </c>
      <c r="AD8" s="13" t="s">
        <v>105</v>
      </c>
      <c r="AE8" s="15" t="str">
        <f>VLOOKUP(AD8,'Axe 2 Règles de gestion'!$D$2:$F$23,3, FALSE)</f>
        <v>Si la zone mode de calcul est "Calcul PREFON" (MC = E), la zone "Nombre d'unités" doit être vide.</v>
      </c>
      <c r="AF8" s="13" t="s">
        <v>107</v>
      </c>
      <c r="AG8" s="15" t="str">
        <f>VLOOKUP(AF8,'Axe 2 Règles de gestion'!$D$2:$F$23,3, FALSE)</f>
        <v>Pour la retenue PREFON (code '0879'), seuls les deux derniers caractères (positions 57 à 58) de la zone MONTANT doivent être servies.</v>
      </c>
      <c r="AH8" s="13" t="s">
        <v>109</v>
      </c>
      <c r="AI8" s="15" t="str">
        <f>VLOOKUP(AH8,'Axe 2 Règles de gestion'!$D$2:$F$23,3, FALSE)</f>
        <v>Pour la retenue PREFON (code '0879'), le mode de calcul doit être "E - Calcul PREFON (code classe)".</v>
      </c>
      <c r="AJ8" s="13" t="s">
        <v>86</v>
      </c>
      <c r="AK8" s="15" t="str">
        <f>VLOOKUP(AJ8,'Axe 2 Règles de gestion'!$D$2:$F$23,3, FALSE)</f>
        <v>Le code sens est obligatoire.</v>
      </c>
      <c r="AL8" s="13" t="s">
        <v>88</v>
      </c>
      <c r="AM8" s="15" t="str">
        <f>VLOOKUP(AL8,'Axe 2 Règles de gestion'!$D$2:$F$23,3, FALSE)</f>
        <v>Le code origine est obligatoire.</v>
      </c>
      <c r="AN8" s="13" t="s">
        <v>92</v>
      </c>
      <c r="AO8" s="15" t="str">
        <f>VLOOKUP(AN8,'Axe 2 Règles de gestion'!$D$2:$F$23,3, FALSE)</f>
        <v>Le nombre total de mouvements 20 pour le mois de paie en cours doit être inférieur ou égal à 30.</v>
      </c>
      <c r="AP8" s="13"/>
      <c r="AQ8" s="15"/>
      <c r="AR8" s="13"/>
      <c r="AS8" s="15"/>
      <c r="AT8" s="13"/>
      <c r="AU8" s="15"/>
      <c r="AV8" s="13"/>
      <c r="AW8" s="15"/>
      <c r="AX8" s="13"/>
      <c r="AY8" s="15"/>
      <c r="AZ8" s="13"/>
      <c r="BA8" s="13"/>
    </row>
    <row r="9" spans="1:53" ht="87" x14ac:dyDescent="0.35">
      <c r="A9" s="13" t="s">
        <v>54</v>
      </c>
      <c r="B9" s="13" t="s">
        <v>55</v>
      </c>
      <c r="C9" s="14">
        <v>45818.407638888886</v>
      </c>
      <c r="D9" s="13" t="s">
        <v>56</v>
      </c>
      <c r="E9" s="15" t="s">
        <v>57</v>
      </c>
      <c r="F9" s="13" t="s">
        <v>58</v>
      </c>
      <c r="G9" s="15" t="s">
        <v>59</v>
      </c>
      <c r="H9" s="13" t="s">
        <v>60</v>
      </c>
      <c r="I9" s="15" t="s">
        <v>61</v>
      </c>
      <c r="J9" s="15" t="s">
        <v>62</v>
      </c>
      <c r="K9" s="15" t="s">
        <v>63</v>
      </c>
      <c r="L9" s="13" t="s">
        <v>111</v>
      </c>
      <c r="M9" s="15" t="s">
        <v>112</v>
      </c>
      <c r="N9" s="13" t="s">
        <v>66</v>
      </c>
      <c r="O9" s="15" t="s">
        <v>113</v>
      </c>
      <c r="P9" s="15" t="s">
        <v>114</v>
      </c>
      <c r="Q9" s="15" t="s">
        <v>132</v>
      </c>
      <c r="R9" s="13" t="s">
        <v>133</v>
      </c>
      <c r="S9" s="13" t="s">
        <v>71</v>
      </c>
      <c r="T9" s="13" t="s">
        <v>72</v>
      </c>
      <c r="U9" s="14">
        <v>40725</v>
      </c>
      <c r="V9" s="14"/>
      <c r="W9" s="15" t="s">
        <v>115</v>
      </c>
      <c r="X9" s="13" t="s">
        <v>103</v>
      </c>
      <c r="Y9" s="15" t="str">
        <f>VLOOKUP(X9,'Axe 2 Règles de gestion'!$D$2:$F$23,3, FALSE)</f>
        <v>Lorsque la date de paye correspond au mois de janvier, le code origine "1" (année courante) ne doit pas être notifié.</v>
      </c>
      <c r="Z9" s="13" t="s">
        <v>76</v>
      </c>
      <c r="AA9" s="15" t="str">
        <f>VLOOKUP(Z9,'Axe 2 Règles de gestion'!$D$2:$F$23,3, FALSE)</f>
        <v>Il est interdit de codifier le sens 1 (sens contraire) si le code origine est 0 (mois courant).</v>
      </c>
      <c r="AB9" s="13" t="s">
        <v>80</v>
      </c>
      <c r="AC9" s="15" t="str">
        <f>VLOOKUP(AB9,'Axe 2 Règles de gestion'!$D$2:$F$23,3, FALSE)</f>
        <v>Le terme « GREVE » ne doit pas être utilisé dans la zone "Libellé complémentaire".</v>
      </c>
      <c r="AD9" s="13" t="s">
        <v>116</v>
      </c>
      <c r="AE9" s="15" t="str">
        <f>VLOOKUP(AD9,'Axe 2 Règles de gestion'!$D$2:$F$23,3, FALSE)</f>
        <v>Si le mode de calcul est "H - Indemnité à ne pas payer (avantage en nature)", il faut que le nombre d'unités soit vide.</v>
      </c>
      <c r="AF9" s="13" t="s">
        <v>118</v>
      </c>
      <c r="AG9" s="15" t="str">
        <f>VLOOKUP(AF9,'Axe 2 Règles de gestion'!$D$2:$F$23,3, FALSE)</f>
        <v>Si le mode de calcul est "H - Indemnité à ne pas payer (avantage en nature)", il faut que le montant soit différent de vide.</v>
      </c>
      <c r="AH9" s="13" t="s">
        <v>120</v>
      </c>
      <c r="AI9" s="15" t="str">
        <f>VLOOKUP(AH9,'Axe 2 Règles de gestion'!$D$2:$F$23,3, FALSE)</f>
        <v>Pour les avantages en nature (codes '0136','1404','1405','1406','1407), le mode de calcul doit être "H - Indemnité à ne pas payer (avantage en nature)".</v>
      </c>
      <c r="AJ9" s="13" t="s">
        <v>86</v>
      </c>
      <c r="AK9" s="15" t="str">
        <f>VLOOKUP(AJ9,'Axe 2 Règles de gestion'!$D$2:$F$23,3, FALSE)</f>
        <v>Le code sens est obligatoire.</v>
      </c>
      <c r="AL9" s="13" t="s">
        <v>88</v>
      </c>
      <c r="AM9" s="15" t="str">
        <f>VLOOKUP(AL9,'Axe 2 Règles de gestion'!$D$2:$F$23,3, FALSE)</f>
        <v>Le code origine est obligatoire.</v>
      </c>
      <c r="AN9" s="13" t="s">
        <v>92</v>
      </c>
      <c r="AO9" s="15" t="str">
        <f>VLOOKUP(AN9,'Axe 2 Règles de gestion'!$D$2:$F$23,3, FALSE)</f>
        <v>Le nombre total de mouvements 20 pour le mois de paie en cours doit être inférieur ou égal à 30.</v>
      </c>
      <c r="AP9" s="13"/>
      <c r="AQ9" s="15"/>
      <c r="AR9" s="13"/>
      <c r="AS9" s="15"/>
      <c r="AT9" s="13"/>
      <c r="AU9" s="15"/>
      <c r="AV9" s="13"/>
      <c r="AW9" s="15"/>
      <c r="AX9" s="13"/>
      <c r="AY9" s="15"/>
      <c r="AZ9" s="13"/>
      <c r="BA9" s="13"/>
    </row>
    <row r="10" spans="1:53" ht="43.5" x14ac:dyDescent="0.35">
      <c r="A10" s="13" t="s">
        <v>54</v>
      </c>
      <c r="B10" s="13" t="s">
        <v>55</v>
      </c>
      <c r="C10" s="14">
        <v>45818.408333333333</v>
      </c>
      <c r="D10" s="13" t="s">
        <v>56</v>
      </c>
      <c r="E10" s="15" t="s">
        <v>57</v>
      </c>
      <c r="F10" s="13" t="s">
        <v>58</v>
      </c>
      <c r="G10" s="15" t="s">
        <v>59</v>
      </c>
      <c r="H10" s="13" t="s">
        <v>60</v>
      </c>
      <c r="I10" s="15" t="s">
        <v>61</v>
      </c>
      <c r="J10" s="15" t="s">
        <v>62</v>
      </c>
      <c r="K10" s="15" t="s">
        <v>63</v>
      </c>
      <c r="L10" s="13" t="s">
        <v>122</v>
      </c>
      <c r="M10" s="15" t="s">
        <v>123</v>
      </c>
      <c r="N10" s="13" t="s">
        <v>66</v>
      </c>
      <c r="O10" s="15" t="s">
        <v>124</v>
      </c>
      <c r="P10" s="15" t="s">
        <v>125</v>
      </c>
      <c r="Q10" s="15" t="s">
        <v>132</v>
      </c>
      <c r="R10" s="13" t="s">
        <v>133</v>
      </c>
      <c r="S10" s="13" t="s">
        <v>71</v>
      </c>
      <c r="T10" s="13" t="s">
        <v>126</v>
      </c>
      <c r="U10" s="14">
        <v>40725</v>
      </c>
      <c r="V10" s="14"/>
      <c r="W10" s="15"/>
      <c r="X10" s="13"/>
      <c r="Y10" s="15"/>
      <c r="Z10" s="13"/>
      <c r="AA10" s="15"/>
      <c r="AB10" s="13"/>
      <c r="AC10" s="15"/>
      <c r="AD10" s="13"/>
      <c r="AE10" s="15"/>
      <c r="AF10" s="13"/>
      <c r="AG10" s="15"/>
      <c r="AH10" s="13"/>
      <c r="AI10" s="15"/>
      <c r="AJ10" s="13"/>
      <c r="AK10" s="15"/>
      <c r="AL10" s="13"/>
      <c r="AM10" s="15"/>
      <c r="AN10" s="13"/>
      <c r="AO10" s="15"/>
      <c r="AP10" s="13"/>
      <c r="AQ10" s="15"/>
      <c r="AR10" s="13"/>
      <c r="AS10" s="15"/>
      <c r="AT10" s="13"/>
      <c r="AU10" s="15"/>
      <c r="AV10" s="13"/>
      <c r="AW10" s="15"/>
      <c r="AX10" s="13"/>
      <c r="AY10" s="15"/>
      <c r="AZ10" s="13"/>
      <c r="BA10" s="13"/>
    </row>
    <row r="11" spans="1:53" ht="87" x14ac:dyDescent="0.35">
      <c r="A11" s="13" t="s">
        <v>54</v>
      </c>
      <c r="B11" s="13" t="s">
        <v>55</v>
      </c>
      <c r="C11" s="14">
        <v>45818.409722222219</v>
      </c>
      <c r="D11" s="13" t="s">
        <v>56</v>
      </c>
      <c r="E11" s="15" t="s">
        <v>57</v>
      </c>
      <c r="F11" s="13" t="s">
        <v>58</v>
      </c>
      <c r="G11" s="15" t="s">
        <v>59</v>
      </c>
      <c r="H11" s="13" t="s">
        <v>60</v>
      </c>
      <c r="I11" s="15" t="s">
        <v>61</v>
      </c>
      <c r="J11" s="15" t="s">
        <v>62</v>
      </c>
      <c r="K11" s="15" t="s">
        <v>63</v>
      </c>
      <c r="L11" s="13" t="s">
        <v>127</v>
      </c>
      <c r="M11" s="15" t="s">
        <v>128</v>
      </c>
      <c r="N11" s="13" t="s">
        <v>66</v>
      </c>
      <c r="O11" s="15" t="s">
        <v>129</v>
      </c>
      <c r="P11" s="15" t="s">
        <v>130</v>
      </c>
      <c r="Q11" s="15" t="s">
        <v>132</v>
      </c>
      <c r="R11" s="13" t="s">
        <v>133</v>
      </c>
      <c r="S11" s="13" t="s">
        <v>71</v>
      </c>
      <c r="T11" s="13" t="s">
        <v>72</v>
      </c>
      <c r="U11" s="14">
        <v>40725</v>
      </c>
      <c r="V11" s="14"/>
      <c r="W11" s="15" t="s">
        <v>131</v>
      </c>
      <c r="X11" s="13" t="s">
        <v>103</v>
      </c>
      <c r="Y11" s="15" t="str">
        <f>VLOOKUP(X11,'Axe 2 Règles de gestion'!$D$2:$F$23,3, FALSE)</f>
        <v>Lorsque la date de paye correspond au mois de janvier, le code origine "1" (année courante) ne doit pas être notifié.</v>
      </c>
      <c r="Z11" s="13" t="s">
        <v>76</v>
      </c>
      <c r="AA11" s="15" t="str">
        <f>VLOOKUP(Z11,'Axe 2 Règles de gestion'!$D$2:$F$23,3, FALSE)</f>
        <v>Il est interdit de codifier le sens 1 (sens contraire) si le code origine est 0 (mois courant).</v>
      </c>
      <c r="AB11" s="13" t="s">
        <v>78</v>
      </c>
      <c r="AC11" s="15" t="str">
        <f>VLOOKUP(AB11,'Axe 2 Règles de gestion'!$D$2:$F$23,3, FALSE)</f>
        <v>Si le mode de calcul est "A - Montant précalculé", alors il faut laisser à vide la zone nombre d'unités.</v>
      </c>
      <c r="AD11" s="13" t="s">
        <v>80</v>
      </c>
      <c r="AE11" s="15" t="str">
        <f>VLOOKUP(AD11,'Axe 2 Règles de gestion'!$D$2:$F$23,3, FALSE)</f>
        <v>Le terme « GREVE » ne doit pas être utilisé dans la zone "Libellé complémentaire".</v>
      </c>
      <c r="AF11" s="13" t="s">
        <v>82</v>
      </c>
      <c r="AG11" s="15" t="str">
        <f>VLOOKUP(AF11,'Axe 2 Règles de gestion'!$D$2:$F$23,3, FALSE)</f>
        <v>Si le mode de calcul est "A - Montant précalculé", il faut que le montant soit différent de vide.</v>
      </c>
      <c r="AH11" s="13" t="s">
        <v>84</v>
      </c>
      <c r="AI11" s="15" t="str">
        <f>VLOOKUP(AH11,'Axe 2 Règles de gestion'!$D$2:$F$23,3, FALSE)</f>
        <v>Si le mode de calcul est "B - Nombre d'unités x montant unitaire", il faut que le nombre d'unités et le montant soient différents de vide.</v>
      </c>
      <c r="AJ11" s="13" t="s">
        <v>86</v>
      </c>
      <c r="AK11" s="15" t="str">
        <f>VLOOKUP(AJ11,'Axe 2 Règles de gestion'!$D$2:$F$23,3, FALSE)</f>
        <v>Le code sens est obligatoire.</v>
      </c>
      <c r="AL11" s="13" t="s">
        <v>88</v>
      </c>
      <c r="AM11" s="15" t="str">
        <f>VLOOKUP(AL11,'Axe 2 Règles de gestion'!$D$2:$F$23,3, FALSE)</f>
        <v>Le code origine est obligatoire.</v>
      </c>
      <c r="AN11" s="13" t="s">
        <v>90</v>
      </c>
      <c r="AO11" s="15" t="str">
        <f>VLOOKUP(AN11,'Axe 2 Règles de gestion'!$D$2:$F$23,3, FALSE)</f>
        <v>Seuls les modes de calcul "A - Montant précalculé", "B - Nombre d'unités x montant unitaire", "G - Indemnité à déduire" sont autorisés.</v>
      </c>
      <c r="AP11" s="13" t="s">
        <v>94</v>
      </c>
      <c r="AQ11" s="15" t="str">
        <f>VLOOKUP(AP11,'Axe 2 Règles de gestion'!$D$2:$F$23,3, FALSE)</f>
        <v>Si le mode de calcul est "G - Indemnité à déduire", alors il faut laisser vide la zone nombre d'unités.</v>
      </c>
      <c r="AR11" s="13" t="s">
        <v>96</v>
      </c>
      <c r="AS11" s="15" t="str">
        <f>VLOOKUP(AR11,'Axe 2 Règles de gestion'!$D$2:$F$23,3, FALSE)</f>
        <v>Si le mode de calcul est "G - Indemnité à déduire", il faut que le montant soit différent de vide.</v>
      </c>
      <c r="AT11" s="13" t="s">
        <v>92</v>
      </c>
      <c r="AU11" s="15" t="str">
        <f>VLOOKUP(AT11,'Axe 2 Règles de gestion'!$D$2:$F$23,3, FALSE)</f>
        <v>Le nombre total de mouvements 20 pour le mois de paie en cours doit être inférieur ou égal à 30.</v>
      </c>
      <c r="AV11" s="13"/>
      <c r="AW11" s="15"/>
      <c r="AX11" s="13"/>
      <c r="AY11" s="15"/>
      <c r="AZ11" s="13"/>
      <c r="BA11" s="13"/>
    </row>
    <row r="12" spans="1:53" ht="87" x14ac:dyDescent="0.35">
      <c r="A12" s="13" t="s">
        <v>54</v>
      </c>
      <c r="B12" s="13" t="s">
        <v>55</v>
      </c>
      <c r="C12" s="14">
        <v>45818.402777777781</v>
      </c>
      <c r="D12" s="13" t="s">
        <v>56</v>
      </c>
      <c r="E12" s="15" t="s">
        <v>57</v>
      </c>
      <c r="F12" s="13" t="s">
        <v>58</v>
      </c>
      <c r="G12" s="15" t="s">
        <v>59</v>
      </c>
      <c r="H12" s="13" t="s">
        <v>60</v>
      </c>
      <c r="I12" s="15" t="s">
        <v>61</v>
      </c>
      <c r="J12" s="15" t="s">
        <v>62</v>
      </c>
      <c r="K12" s="15" t="s">
        <v>63</v>
      </c>
      <c r="L12" s="13" t="s">
        <v>64</v>
      </c>
      <c r="M12" s="15" t="s">
        <v>65</v>
      </c>
      <c r="N12" s="13" t="s">
        <v>66</v>
      </c>
      <c r="O12" s="15" t="s">
        <v>67</v>
      </c>
      <c r="P12" s="15" t="s">
        <v>68</v>
      </c>
      <c r="Q12" s="15" t="s">
        <v>134</v>
      </c>
      <c r="R12" s="13" t="s">
        <v>135</v>
      </c>
      <c r="S12" s="13" t="s">
        <v>71</v>
      </c>
      <c r="T12" s="13" t="s">
        <v>72</v>
      </c>
      <c r="U12" s="14">
        <v>40725</v>
      </c>
      <c r="V12" s="14"/>
      <c r="W12" s="15" t="s">
        <v>136</v>
      </c>
      <c r="X12" s="13" t="s">
        <v>137</v>
      </c>
      <c r="Y12" s="15" t="str">
        <f>VLOOKUP(X12,'Axe 2 Règles de gestion'!$D$2:$F$23,3, FALSE)</f>
        <v>L'agent doit être détaché sur contrat.</v>
      </c>
      <c r="Z12" s="13" t="s">
        <v>74</v>
      </c>
      <c r="AA12" s="15" t="str">
        <f>VLOOKUP(Z12,'Axe 2 Règles de gestion'!$D$2:$F$23,3, FALSE)</f>
        <v>Le code origine doit être "0" (mois courant) pour l'indemnité '0954 - Précompte cotis. sal. RAFP'.</v>
      </c>
      <c r="AB12" s="13" t="s">
        <v>76</v>
      </c>
      <c r="AC12" s="15" t="str">
        <f>VLOOKUP(AB12,'Axe 2 Règles de gestion'!$D$2:$F$23,3, FALSE)</f>
        <v>Il est interdit de codifier le sens 1 (sens contraire) si le code origine est 0 (mois courant).</v>
      </c>
      <c r="AD12" s="13" t="s">
        <v>78</v>
      </c>
      <c r="AE12" s="15" t="str">
        <f>VLOOKUP(AD12,'Axe 2 Règles de gestion'!$D$2:$F$23,3, FALSE)</f>
        <v>Si le mode de calcul est "A - Montant précalculé", alors il faut laisser à vide la zone nombre d'unités.</v>
      </c>
      <c r="AF12" s="13" t="s">
        <v>80</v>
      </c>
      <c r="AG12" s="15" t="str">
        <f>VLOOKUP(AF12,'Axe 2 Règles de gestion'!$D$2:$F$23,3, FALSE)</f>
        <v>Le terme « GREVE » ne doit pas être utilisé dans la zone "Libellé complémentaire".</v>
      </c>
      <c r="AH12" s="13" t="s">
        <v>82</v>
      </c>
      <c r="AI12" s="15" t="str">
        <f>VLOOKUP(AH12,'Axe 2 Règles de gestion'!$D$2:$F$23,3, FALSE)</f>
        <v>Si le mode de calcul est "A - Montant précalculé", il faut que le montant soit différent de vide.</v>
      </c>
      <c r="AJ12" s="13" t="s">
        <v>84</v>
      </c>
      <c r="AK12" s="15" t="str">
        <f>VLOOKUP(AJ12,'Axe 2 Règles de gestion'!$D$2:$F$23,3, FALSE)</f>
        <v>Si le mode de calcul est "B - Nombre d'unités x montant unitaire", il faut que le nombre d'unités et le montant soient différents de vide.</v>
      </c>
      <c r="AL12" s="13" t="s">
        <v>86</v>
      </c>
      <c r="AM12" s="15" t="str">
        <f>VLOOKUP(AL12,'Axe 2 Règles de gestion'!$D$2:$F$23,3, FALSE)</f>
        <v>Le code sens est obligatoire.</v>
      </c>
      <c r="AN12" s="13" t="s">
        <v>88</v>
      </c>
      <c r="AO12" s="15" t="str">
        <f>VLOOKUP(AN12,'Axe 2 Règles de gestion'!$D$2:$F$23,3, FALSE)</f>
        <v>Le code origine est obligatoire.</v>
      </c>
      <c r="AP12" s="13" t="s">
        <v>90</v>
      </c>
      <c r="AQ12" s="15" t="str">
        <f>VLOOKUP(AP12,'Axe 2 Règles de gestion'!$D$2:$F$23,3, FALSE)</f>
        <v>Seuls les modes de calcul "A - Montant précalculé", "B - Nombre d'unités x montant unitaire", "G - Indemnité à déduire" sont autorisés.</v>
      </c>
      <c r="AR12" s="13" t="s">
        <v>92</v>
      </c>
      <c r="AS12" s="15" t="str">
        <f>VLOOKUP(AR12,'Axe 2 Règles de gestion'!$D$2:$F$23,3, FALSE)</f>
        <v>Le nombre total de mouvements 20 pour le mois de paie en cours doit être inférieur ou égal à 30.</v>
      </c>
      <c r="AT12" s="13" t="s">
        <v>94</v>
      </c>
      <c r="AU12" s="15" t="str">
        <f>VLOOKUP(AT12,'Axe 2 Règles de gestion'!$D$2:$F$23,3, FALSE)</f>
        <v>Si le mode de calcul est "G - Indemnité à déduire", alors il faut laisser vide la zone nombre d'unités.</v>
      </c>
      <c r="AV12" s="13" t="s">
        <v>96</v>
      </c>
      <c r="AW12" s="15" t="str">
        <f>VLOOKUP(AV12,'Axe 2 Règles de gestion'!$D$2:$F$23,3, FALSE)</f>
        <v>Si le mode de calcul est "G - Indemnité à déduire", il faut que le montant soit différent de vide.</v>
      </c>
      <c r="AX12" s="13"/>
      <c r="AY12" s="15"/>
      <c r="AZ12" s="13"/>
      <c r="BA12" s="13"/>
    </row>
    <row r="13" spans="1:53" ht="72.5" x14ac:dyDescent="0.35">
      <c r="A13" s="13" t="s">
        <v>54</v>
      </c>
      <c r="B13" s="13" t="s">
        <v>55</v>
      </c>
      <c r="C13" s="14">
        <v>45818.404166666667</v>
      </c>
      <c r="D13" s="13" t="s">
        <v>56</v>
      </c>
      <c r="E13" s="15" t="s">
        <v>57</v>
      </c>
      <c r="F13" s="13" t="s">
        <v>58</v>
      </c>
      <c r="G13" s="15" t="s">
        <v>59</v>
      </c>
      <c r="H13" s="13" t="s">
        <v>60</v>
      </c>
      <c r="I13" s="15" t="s">
        <v>61</v>
      </c>
      <c r="J13" s="15" t="s">
        <v>62</v>
      </c>
      <c r="K13" s="15" t="s">
        <v>63</v>
      </c>
      <c r="L13" s="13" t="s">
        <v>98</v>
      </c>
      <c r="M13" s="15" t="s">
        <v>99</v>
      </c>
      <c r="N13" s="13" t="s">
        <v>66</v>
      </c>
      <c r="O13" s="15" t="s">
        <v>100</v>
      </c>
      <c r="P13" s="15" t="s">
        <v>101</v>
      </c>
      <c r="Q13" s="15" t="s">
        <v>134</v>
      </c>
      <c r="R13" s="13" t="s">
        <v>135</v>
      </c>
      <c r="S13" s="13" t="s">
        <v>71</v>
      </c>
      <c r="T13" s="13" t="s">
        <v>72</v>
      </c>
      <c r="U13" s="14">
        <v>40725</v>
      </c>
      <c r="V13" s="14"/>
      <c r="W13" s="15" t="s">
        <v>102</v>
      </c>
      <c r="X13" s="13" t="s">
        <v>103</v>
      </c>
      <c r="Y13" s="15" t="str">
        <f>VLOOKUP(X13,'Axe 2 Règles de gestion'!$D$2:$F$23,3, FALSE)</f>
        <v>Lorsque la date de paye correspond au mois de janvier, le code origine "1" (année courante) ne doit pas être notifié.</v>
      </c>
      <c r="Z13" s="13" t="s">
        <v>76</v>
      </c>
      <c r="AA13" s="15" t="str">
        <f>VLOOKUP(Z13,'Axe 2 Règles de gestion'!$D$2:$F$23,3, FALSE)</f>
        <v>Il est interdit de codifier le sens 1 (sens contraire) si le code origine est 0 (mois courant).</v>
      </c>
      <c r="AB13" s="13" t="s">
        <v>80</v>
      </c>
      <c r="AC13" s="15" t="str">
        <f>VLOOKUP(AB13,'Axe 2 Règles de gestion'!$D$2:$F$23,3, FALSE)</f>
        <v>Le terme « GREVE » ne doit pas être utilisé dans la zone "Libellé complémentaire".</v>
      </c>
      <c r="AD13" s="13" t="s">
        <v>105</v>
      </c>
      <c r="AE13" s="15" t="str">
        <f>VLOOKUP(AD13,'Axe 2 Règles de gestion'!$D$2:$F$23,3, FALSE)</f>
        <v>Si la zone mode de calcul est "Calcul PREFON" (MC = E), la zone "Nombre d'unités" doit être vide.</v>
      </c>
      <c r="AF13" s="13" t="s">
        <v>107</v>
      </c>
      <c r="AG13" s="15" t="str">
        <f>VLOOKUP(AF13,'Axe 2 Règles de gestion'!$D$2:$F$23,3, FALSE)</f>
        <v>Pour la retenue PREFON (code '0879'), seuls les deux derniers caractères (positions 57 à 58) de la zone MONTANT doivent être servies.</v>
      </c>
      <c r="AH13" s="13" t="s">
        <v>109</v>
      </c>
      <c r="AI13" s="15" t="str">
        <f>VLOOKUP(AH13,'Axe 2 Règles de gestion'!$D$2:$F$23,3, FALSE)</f>
        <v>Pour la retenue PREFON (code '0879'), le mode de calcul doit être "E - Calcul PREFON (code classe)".</v>
      </c>
      <c r="AJ13" s="13" t="s">
        <v>86</v>
      </c>
      <c r="AK13" s="15" t="str">
        <f>VLOOKUP(AJ13,'Axe 2 Règles de gestion'!$D$2:$F$23,3, FALSE)</f>
        <v>Le code sens est obligatoire.</v>
      </c>
      <c r="AL13" s="13" t="s">
        <v>88</v>
      </c>
      <c r="AM13" s="15" t="str">
        <f>VLOOKUP(AL13,'Axe 2 Règles de gestion'!$D$2:$F$23,3, FALSE)</f>
        <v>Le code origine est obligatoire.</v>
      </c>
      <c r="AN13" s="13" t="s">
        <v>92</v>
      </c>
      <c r="AO13" s="15" t="str">
        <f>VLOOKUP(AN13,'Axe 2 Règles de gestion'!$D$2:$F$23,3, FALSE)</f>
        <v>Le nombre total de mouvements 20 pour le mois de paie en cours doit être inférieur ou égal à 30.</v>
      </c>
      <c r="AP13" s="13"/>
      <c r="AQ13" s="15"/>
      <c r="AR13" s="13"/>
      <c r="AS13" s="15"/>
      <c r="AT13" s="13"/>
      <c r="AU13" s="15"/>
      <c r="AV13" s="13"/>
      <c r="AW13" s="15"/>
      <c r="AX13" s="13"/>
      <c r="AY13" s="15"/>
      <c r="AZ13" s="13"/>
      <c r="BA13" s="13"/>
    </row>
    <row r="14" spans="1:53" ht="87" x14ac:dyDescent="0.35">
      <c r="A14" s="13" t="s">
        <v>54</v>
      </c>
      <c r="B14" s="13" t="s">
        <v>55</v>
      </c>
      <c r="C14" s="14">
        <v>45818.406944444447</v>
      </c>
      <c r="D14" s="13" t="s">
        <v>56</v>
      </c>
      <c r="E14" s="15" t="s">
        <v>57</v>
      </c>
      <c r="F14" s="13" t="s">
        <v>58</v>
      </c>
      <c r="G14" s="15" t="s">
        <v>59</v>
      </c>
      <c r="H14" s="13" t="s">
        <v>60</v>
      </c>
      <c r="I14" s="15" t="s">
        <v>61</v>
      </c>
      <c r="J14" s="15" t="s">
        <v>62</v>
      </c>
      <c r="K14" s="15" t="s">
        <v>63</v>
      </c>
      <c r="L14" s="13" t="s">
        <v>111</v>
      </c>
      <c r="M14" s="15" t="s">
        <v>112</v>
      </c>
      <c r="N14" s="13" t="s">
        <v>66</v>
      </c>
      <c r="O14" s="15" t="s">
        <v>113</v>
      </c>
      <c r="P14" s="15" t="s">
        <v>114</v>
      </c>
      <c r="Q14" s="15" t="s">
        <v>134</v>
      </c>
      <c r="R14" s="13" t="s">
        <v>135</v>
      </c>
      <c r="S14" s="13" t="s">
        <v>71</v>
      </c>
      <c r="T14" s="13" t="s">
        <v>72</v>
      </c>
      <c r="U14" s="14">
        <v>40725</v>
      </c>
      <c r="V14" s="14"/>
      <c r="W14" s="15" t="s">
        <v>115</v>
      </c>
      <c r="X14" s="13" t="s">
        <v>103</v>
      </c>
      <c r="Y14" s="15" t="str">
        <f>VLOOKUP(X14,'Axe 2 Règles de gestion'!$D$2:$F$23,3, FALSE)</f>
        <v>Lorsque la date de paye correspond au mois de janvier, le code origine "1" (année courante) ne doit pas être notifié.</v>
      </c>
      <c r="Z14" s="13" t="s">
        <v>76</v>
      </c>
      <c r="AA14" s="15" t="str">
        <f>VLOOKUP(Z14,'Axe 2 Règles de gestion'!$D$2:$F$23,3, FALSE)</f>
        <v>Il est interdit de codifier le sens 1 (sens contraire) si le code origine est 0 (mois courant).</v>
      </c>
      <c r="AB14" s="13" t="s">
        <v>80</v>
      </c>
      <c r="AC14" s="15" t="str">
        <f>VLOOKUP(AB14,'Axe 2 Règles de gestion'!$D$2:$F$23,3, FALSE)</f>
        <v>Le terme « GREVE » ne doit pas être utilisé dans la zone "Libellé complémentaire".</v>
      </c>
      <c r="AD14" s="13" t="s">
        <v>116</v>
      </c>
      <c r="AE14" s="15" t="str">
        <f>VLOOKUP(AD14,'Axe 2 Règles de gestion'!$D$2:$F$23,3, FALSE)</f>
        <v>Si le mode de calcul est "H - Indemnité à ne pas payer (avantage en nature)", il faut que le nombre d'unités soit vide.</v>
      </c>
      <c r="AF14" s="13" t="s">
        <v>118</v>
      </c>
      <c r="AG14" s="15" t="str">
        <f>VLOOKUP(AF14,'Axe 2 Règles de gestion'!$D$2:$F$23,3, FALSE)</f>
        <v>Si le mode de calcul est "H - Indemnité à ne pas payer (avantage en nature)", il faut que le montant soit différent de vide.</v>
      </c>
      <c r="AH14" s="13" t="s">
        <v>120</v>
      </c>
      <c r="AI14" s="15" t="str">
        <f>VLOOKUP(AH14,'Axe 2 Règles de gestion'!$D$2:$F$23,3, FALSE)</f>
        <v>Pour les avantages en nature (codes '0136','1404','1405','1406','1407), le mode de calcul doit être "H - Indemnité à ne pas payer (avantage en nature)".</v>
      </c>
      <c r="AJ14" s="13" t="s">
        <v>86</v>
      </c>
      <c r="AK14" s="15" t="str">
        <f>VLOOKUP(AJ14,'Axe 2 Règles de gestion'!$D$2:$F$23,3, FALSE)</f>
        <v>Le code sens est obligatoire.</v>
      </c>
      <c r="AL14" s="13" t="s">
        <v>88</v>
      </c>
      <c r="AM14" s="15" t="str">
        <f>VLOOKUP(AL14,'Axe 2 Règles de gestion'!$D$2:$F$23,3, FALSE)</f>
        <v>Le code origine est obligatoire.</v>
      </c>
      <c r="AN14" s="13" t="s">
        <v>92</v>
      </c>
      <c r="AO14" s="15" t="str">
        <f>VLOOKUP(AN14,'Axe 2 Règles de gestion'!$D$2:$F$23,3, FALSE)</f>
        <v>Le nombre total de mouvements 20 pour le mois de paie en cours doit être inférieur ou égal à 30.</v>
      </c>
      <c r="AP14" s="13"/>
      <c r="AQ14" s="15"/>
      <c r="AR14" s="13"/>
      <c r="AS14" s="15"/>
      <c r="AT14" s="13"/>
      <c r="AU14" s="15"/>
      <c r="AV14" s="13"/>
      <c r="AW14" s="15"/>
      <c r="AX14" s="13"/>
      <c r="AY14" s="15"/>
      <c r="AZ14" s="13"/>
      <c r="BA14" s="13"/>
    </row>
    <row r="15" spans="1:53" ht="43.5" x14ac:dyDescent="0.35">
      <c r="A15" s="13" t="s">
        <v>54</v>
      </c>
      <c r="B15" s="13" t="s">
        <v>55</v>
      </c>
      <c r="C15" s="14">
        <v>45818.408333333333</v>
      </c>
      <c r="D15" s="13" t="s">
        <v>56</v>
      </c>
      <c r="E15" s="15" t="s">
        <v>57</v>
      </c>
      <c r="F15" s="13" t="s">
        <v>58</v>
      </c>
      <c r="G15" s="15" t="s">
        <v>59</v>
      </c>
      <c r="H15" s="13" t="s">
        <v>60</v>
      </c>
      <c r="I15" s="15" t="s">
        <v>61</v>
      </c>
      <c r="J15" s="15" t="s">
        <v>62</v>
      </c>
      <c r="K15" s="15" t="s">
        <v>63</v>
      </c>
      <c r="L15" s="13" t="s">
        <v>122</v>
      </c>
      <c r="M15" s="15" t="s">
        <v>123</v>
      </c>
      <c r="N15" s="13" t="s">
        <v>66</v>
      </c>
      <c r="O15" s="15" t="s">
        <v>124</v>
      </c>
      <c r="P15" s="15" t="s">
        <v>125</v>
      </c>
      <c r="Q15" s="15" t="s">
        <v>134</v>
      </c>
      <c r="R15" s="13" t="s">
        <v>135</v>
      </c>
      <c r="S15" s="13" t="s">
        <v>71</v>
      </c>
      <c r="T15" s="13" t="s">
        <v>126</v>
      </c>
      <c r="U15" s="14">
        <v>40725</v>
      </c>
      <c r="V15" s="14"/>
      <c r="W15" s="15"/>
      <c r="X15" s="13"/>
      <c r="Y15" s="15"/>
      <c r="Z15" s="13"/>
      <c r="AA15" s="15"/>
      <c r="AB15" s="13"/>
      <c r="AC15" s="15"/>
      <c r="AD15" s="13"/>
      <c r="AE15" s="15"/>
      <c r="AF15" s="13"/>
      <c r="AG15" s="15"/>
      <c r="AH15" s="13"/>
      <c r="AI15" s="15"/>
      <c r="AJ15" s="13"/>
      <c r="AK15" s="15"/>
      <c r="AL15" s="13"/>
      <c r="AM15" s="15"/>
      <c r="AN15" s="13"/>
      <c r="AO15" s="15"/>
      <c r="AP15" s="13"/>
      <c r="AQ15" s="15"/>
      <c r="AR15" s="13"/>
      <c r="AS15" s="15"/>
      <c r="AT15" s="13"/>
      <c r="AU15" s="15"/>
      <c r="AV15" s="13"/>
      <c r="AW15" s="15"/>
      <c r="AX15" s="13"/>
      <c r="AY15" s="15"/>
      <c r="AZ15" s="13"/>
      <c r="BA15" s="13"/>
    </row>
    <row r="16" spans="1:53" ht="87" x14ac:dyDescent="0.35">
      <c r="A16" s="13" t="s">
        <v>54</v>
      </c>
      <c r="B16" s="13" t="s">
        <v>55</v>
      </c>
      <c r="C16" s="14">
        <v>45818.409722222219</v>
      </c>
      <c r="D16" s="13" t="s">
        <v>56</v>
      </c>
      <c r="E16" s="15" t="s">
        <v>57</v>
      </c>
      <c r="F16" s="13" t="s">
        <v>58</v>
      </c>
      <c r="G16" s="15" t="s">
        <v>59</v>
      </c>
      <c r="H16" s="13" t="s">
        <v>60</v>
      </c>
      <c r="I16" s="15" t="s">
        <v>61</v>
      </c>
      <c r="J16" s="15" t="s">
        <v>62</v>
      </c>
      <c r="K16" s="15" t="s">
        <v>63</v>
      </c>
      <c r="L16" s="13" t="s">
        <v>127</v>
      </c>
      <c r="M16" s="15" t="s">
        <v>128</v>
      </c>
      <c r="N16" s="13" t="s">
        <v>66</v>
      </c>
      <c r="O16" s="15" t="s">
        <v>129</v>
      </c>
      <c r="P16" s="15" t="s">
        <v>130</v>
      </c>
      <c r="Q16" s="15" t="s">
        <v>134</v>
      </c>
      <c r="R16" s="13" t="s">
        <v>135</v>
      </c>
      <c r="S16" s="13" t="s">
        <v>71</v>
      </c>
      <c r="T16" s="13" t="s">
        <v>72</v>
      </c>
      <c r="U16" s="14">
        <v>40725</v>
      </c>
      <c r="V16" s="14"/>
      <c r="W16" s="15" t="s">
        <v>131</v>
      </c>
      <c r="X16" s="13" t="s">
        <v>103</v>
      </c>
      <c r="Y16" s="15" t="str">
        <f>VLOOKUP(X16,'Axe 2 Règles de gestion'!$D$2:$F$23,3, FALSE)</f>
        <v>Lorsque la date de paye correspond au mois de janvier, le code origine "1" (année courante) ne doit pas être notifié.</v>
      </c>
      <c r="Z16" s="13" t="s">
        <v>76</v>
      </c>
      <c r="AA16" s="15" t="str">
        <f>VLOOKUP(Z16,'Axe 2 Règles de gestion'!$D$2:$F$23,3, FALSE)</f>
        <v>Il est interdit de codifier le sens 1 (sens contraire) si le code origine est 0 (mois courant).</v>
      </c>
      <c r="AB16" s="13" t="s">
        <v>78</v>
      </c>
      <c r="AC16" s="15" t="str">
        <f>VLOOKUP(AB16,'Axe 2 Règles de gestion'!$D$2:$F$23,3, FALSE)</f>
        <v>Si le mode de calcul est "A - Montant précalculé", alors il faut laisser à vide la zone nombre d'unités.</v>
      </c>
      <c r="AD16" s="13" t="s">
        <v>80</v>
      </c>
      <c r="AE16" s="15" t="str">
        <f>VLOOKUP(AD16,'Axe 2 Règles de gestion'!$D$2:$F$23,3, FALSE)</f>
        <v>Le terme « GREVE » ne doit pas être utilisé dans la zone "Libellé complémentaire".</v>
      </c>
      <c r="AF16" s="13" t="s">
        <v>82</v>
      </c>
      <c r="AG16" s="15" t="str">
        <f>VLOOKUP(AF16,'Axe 2 Règles de gestion'!$D$2:$F$23,3, FALSE)</f>
        <v>Si le mode de calcul est "A - Montant précalculé", il faut que le montant soit différent de vide.</v>
      </c>
      <c r="AH16" s="13" t="s">
        <v>84</v>
      </c>
      <c r="AI16" s="15" t="str">
        <f>VLOOKUP(AH16,'Axe 2 Règles de gestion'!$D$2:$F$23,3, FALSE)</f>
        <v>Si le mode de calcul est "B - Nombre d'unités x montant unitaire", il faut que le nombre d'unités et le montant soient différents de vide.</v>
      </c>
      <c r="AJ16" s="13" t="s">
        <v>86</v>
      </c>
      <c r="AK16" s="15" t="str">
        <f>VLOOKUP(AJ16,'Axe 2 Règles de gestion'!$D$2:$F$23,3, FALSE)</f>
        <v>Le code sens est obligatoire.</v>
      </c>
      <c r="AL16" s="13" t="s">
        <v>88</v>
      </c>
      <c r="AM16" s="15" t="str">
        <f>VLOOKUP(AL16,'Axe 2 Règles de gestion'!$D$2:$F$23,3, FALSE)</f>
        <v>Le code origine est obligatoire.</v>
      </c>
      <c r="AN16" s="13" t="s">
        <v>90</v>
      </c>
      <c r="AO16" s="15" t="str">
        <f>VLOOKUP(AN16,'Axe 2 Règles de gestion'!$D$2:$F$23,3, FALSE)</f>
        <v>Seuls les modes de calcul "A - Montant précalculé", "B - Nombre d'unités x montant unitaire", "G - Indemnité à déduire" sont autorisés.</v>
      </c>
      <c r="AP16" s="13" t="s">
        <v>94</v>
      </c>
      <c r="AQ16" s="15" t="str">
        <f>VLOOKUP(AP16,'Axe 2 Règles de gestion'!$D$2:$F$23,3, FALSE)</f>
        <v>Si le mode de calcul est "G - Indemnité à déduire", alors il faut laisser vide la zone nombre d'unités.</v>
      </c>
      <c r="AR16" s="13" t="s">
        <v>96</v>
      </c>
      <c r="AS16" s="15" t="str">
        <f>VLOOKUP(AR16,'Axe 2 Règles de gestion'!$D$2:$F$23,3, FALSE)</f>
        <v>Si le mode de calcul est "G - Indemnité à déduire", il faut que le montant soit différent de vide.</v>
      </c>
      <c r="AT16" s="13" t="s">
        <v>92</v>
      </c>
      <c r="AU16" s="15" t="str">
        <f>VLOOKUP(AT16,'Axe 2 Règles de gestion'!$D$2:$F$23,3, FALSE)</f>
        <v>Le nombre total de mouvements 20 pour le mois de paie en cours doit être inférieur ou égal à 30.</v>
      </c>
      <c r="AV16" s="13"/>
      <c r="AW16" s="15"/>
      <c r="AX16" s="13"/>
      <c r="AY16" s="15"/>
      <c r="AZ16" s="13"/>
      <c r="BA16" s="13"/>
    </row>
    <row r="17" spans="1:53" ht="87" x14ac:dyDescent="0.35">
      <c r="A17" s="13" t="s">
        <v>54</v>
      </c>
      <c r="B17" s="13" t="s">
        <v>55</v>
      </c>
      <c r="C17" s="14">
        <v>45818.402083333334</v>
      </c>
      <c r="D17" s="13" t="s">
        <v>56</v>
      </c>
      <c r="E17" s="15" t="s">
        <v>57</v>
      </c>
      <c r="F17" s="13" t="s">
        <v>58</v>
      </c>
      <c r="G17" s="15" t="s">
        <v>59</v>
      </c>
      <c r="H17" s="13" t="s">
        <v>60</v>
      </c>
      <c r="I17" s="15" t="s">
        <v>61</v>
      </c>
      <c r="J17" s="15" t="s">
        <v>62</v>
      </c>
      <c r="K17" s="15" t="s">
        <v>63</v>
      </c>
      <c r="L17" s="13" t="s">
        <v>64</v>
      </c>
      <c r="M17" s="15" t="s">
        <v>65</v>
      </c>
      <c r="N17" s="13" t="s">
        <v>66</v>
      </c>
      <c r="O17" s="15" t="s">
        <v>67</v>
      </c>
      <c r="P17" s="15" t="s">
        <v>68</v>
      </c>
      <c r="Q17" s="15" t="s">
        <v>139</v>
      </c>
      <c r="R17" s="13" t="s">
        <v>140</v>
      </c>
      <c r="S17" s="13" t="s">
        <v>71</v>
      </c>
      <c r="T17" s="13" t="s">
        <v>72</v>
      </c>
      <c r="U17" s="14">
        <v>40725</v>
      </c>
      <c r="V17" s="14"/>
      <c r="W17" s="15" t="s">
        <v>73</v>
      </c>
      <c r="X17" s="13" t="s">
        <v>74</v>
      </c>
      <c r="Y17" s="15" t="str">
        <f>VLOOKUP(X17,'Axe 2 Règles de gestion'!$D$2:$F$23,3, FALSE)</f>
        <v>Le code origine doit être "0" (mois courant) pour l'indemnité '0954 - Précompte cotis. sal. RAFP'.</v>
      </c>
      <c r="Z17" s="13" t="s">
        <v>76</v>
      </c>
      <c r="AA17" s="15" t="str">
        <f>VLOOKUP(Z17,'Axe 2 Règles de gestion'!$D$2:$F$23,3, FALSE)</f>
        <v>Il est interdit de codifier le sens 1 (sens contraire) si le code origine est 0 (mois courant).</v>
      </c>
      <c r="AB17" s="13" t="s">
        <v>78</v>
      </c>
      <c r="AC17" s="15" t="str">
        <f>VLOOKUP(AB17,'Axe 2 Règles de gestion'!$D$2:$F$23,3, FALSE)</f>
        <v>Si le mode de calcul est "A - Montant précalculé", alors il faut laisser à vide la zone nombre d'unités.</v>
      </c>
      <c r="AD17" s="13" t="s">
        <v>80</v>
      </c>
      <c r="AE17" s="15" t="str">
        <f>VLOOKUP(AD17,'Axe 2 Règles de gestion'!$D$2:$F$23,3, FALSE)</f>
        <v>Le terme « GREVE » ne doit pas être utilisé dans la zone "Libellé complémentaire".</v>
      </c>
      <c r="AF17" s="13" t="s">
        <v>82</v>
      </c>
      <c r="AG17" s="15" t="str">
        <f>VLOOKUP(AF17,'Axe 2 Règles de gestion'!$D$2:$F$23,3, FALSE)</f>
        <v>Si le mode de calcul est "A - Montant précalculé", il faut que le montant soit différent de vide.</v>
      </c>
      <c r="AH17" s="13" t="s">
        <v>84</v>
      </c>
      <c r="AI17" s="15" t="str">
        <f>VLOOKUP(AH17,'Axe 2 Règles de gestion'!$D$2:$F$23,3, FALSE)</f>
        <v>Si le mode de calcul est "B - Nombre d'unités x montant unitaire", il faut que le nombre d'unités et le montant soient différents de vide.</v>
      </c>
      <c r="AJ17" s="13" t="s">
        <v>86</v>
      </c>
      <c r="AK17" s="15" t="str">
        <f>VLOOKUP(AJ17,'Axe 2 Règles de gestion'!$D$2:$F$23,3, FALSE)</f>
        <v>Le code sens est obligatoire.</v>
      </c>
      <c r="AL17" s="13" t="s">
        <v>88</v>
      </c>
      <c r="AM17" s="15" t="str">
        <f>VLOOKUP(AL17,'Axe 2 Règles de gestion'!$D$2:$F$23,3, FALSE)</f>
        <v>Le code origine est obligatoire.</v>
      </c>
      <c r="AN17" s="13" t="s">
        <v>90</v>
      </c>
      <c r="AO17" s="15" t="str">
        <f>VLOOKUP(AN17,'Axe 2 Règles de gestion'!$D$2:$F$23,3, FALSE)</f>
        <v>Seuls les modes de calcul "A - Montant précalculé", "B - Nombre d'unités x montant unitaire", "G - Indemnité à déduire" sont autorisés.</v>
      </c>
      <c r="AP17" s="13" t="s">
        <v>92</v>
      </c>
      <c r="AQ17" s="15" t="str">
        <f>VLOOKUP(AP17,'Axe 2 Règles de gestion'!$D$2:$F$23,3, FALSE)</f>
        <v>Le nombre total de mouvements 20 pour le mois de paie en cours doit être inférieur ou égal à 30.</v>
      </c>
      <c r="AR17" s="13" t="s">
        <v>94</v>
      </c>
      <c r="AS17" s="15" t="str">
        <f>VLOOKUP(AR17,'Axe 2 Règles de gestion'!$D$2:$F$23,3, FALSE)</f>
        <v>Si le mode de calcul est "G - Indemnité à déduire", alors il faut laisser vide la zone nombre d'unités.</v>
      </c>
      <c r="AT17" s="13" t="s">
        <v>96</v>
      </c>
      <c r="AU17" s="15" t="str">
        <f>VLOOKUP(AT17,'Axe 2 Règles de gestion'!$D$2:$F$23,3, FALSE)</f>
        <v>Si le mode de calcul est "G - Indemnité à déduire", il faut que le montant soit différent de vide.</v>
      </c>
      <c r="AV17" s="13"/>
      <c r="AW17" s="15"/>
      <c r="AX17" s="13"/>
      <c r="AY17" s="15"/>
      <c r="AZ17" s="13"/>
      <c r="BA17" s="13"/>
    </row>
    <row r="18" spans="1:53" ht="72.5" x14ac:dyDescent="0.35">
      <c r="A18" s="13" t="s">
        <v>54</v>
      </c>
      <c r="B18" s="13" t="s">
        <v>55</v>
      </c>
      <c r="C18" s="14">
        <v>45818.40347222222</v>
      </c>
      <c r="D18" s="13" t="s">
        <v>56</v>
      </c>
      <c r="E18" s="15" t="s">
        <v>57</v>
      </c>
      <c r="F18" s="13" t="s">
        <v>58</v>
      </c>
      <c r="G18" s="15" t="s">
        <v>59</v>
      </c>
      <c r="H18" s="13" t="s">
        <v>60</v>
      </c>
      <c r="I18" s="15" t="s">
        <v>61</v>
      </c>
      <c r="J18" s="15" t="s">
        <v>62</v>
      </c>
      <c r="K18" s="15" t="s">
        <v>63</v>
      </c>
      <c r="L18" s="13" t="s">
        <v>98</v>
      </c>
      <c r="M18" s="15" t="s">
        <v>99</v>
      </c>
      <c r="N18" s="13" t="s">
        <v>66</v>
      </c>
      <c r="O18" s="15" t="s">
        <v>100</v>
      </c>
      <c r="P18" s="15" t="s">
        <v>101</v>
      </c>
      <c r="Q18" s="15" t="s">
        <v>139</v>
      </c>
      <c r="R18" s="13" t="s">
        <v>140</v>
      </c>
      <c r="S18" s="13" t="s">
        <v>71</v>
      </c>
      <c r="T18" s="13" t="s">
        <v>72</v>
      </c>
      <c r="U18" s="14">
        <v>40725</v>
      </c>
      <c r="V18" s="14"/>
      <c r="W18" s="15" t="s">
        <v>102</v>
      </c>
      <c r="X18" s="13" t="s">
        <v>103</v>
      </c>
      <c r="Y18" s="15" t="str">
        <f>VLOOKUP(X18,'Axe 2 Règles de gestion'!$D$2:$F$23,3, FALSE)</f>
        <v>Lorsque la date de paye correspond au mois de janvier, le code origine "1" (année courante) ne doit pas être notifié.</v>
      </c>
      <c r="Z18" s="13" t="s">
        <v>76</v>
      </c>
      <c r="AA18" s="15" t="str">
        <f>VLOOKUP(Z18,'Axe 2 Règles de gestion'!$D$2:$F$23,3, FALSE)</f>
        <v>Il est interdit de codifier le sens 1 (sens contraire) si le code origine est 0 (mois courant).</v>
      </c>
      <c r="AB18" s="13" t="s">
        <v>80</v>
      </c>
      <c r="AC18" s="15" t="str">
        <f>VLOOKUP(AB18,'Axe 2 Règles de gestion'!$D$2:$F$23,3, FALSE)</f>
        <v>Le terme « GREVE » ne doit pas être utilisé dans la zone "Libellé complémentaire".</v>
      </c>
      <c r="AD18" s="13" t="s">
        <v>105</v>
      </c>
      <c r="AE18" s="15" t="str">
        <f>VLOOKUP(AD18,'Axe 2 Règles de gestion'!$D$2:$F$23,3, FALSE)</f>
        <v>Si la zone mode de calcul est "Calcul PREFON" (MC = E), la zone "Nombre d'unités" doit être vide.</v>
      </c>
      <c r="AF18" s="13" t="s">
        <v>107</v>
      </c>
      <c r="AG18" s="15" t="str">
        <f>VLOOKUP(AF18,'Axe 2 Règles de gestion'!$D$2:$F$23,3, FALSE)</f>
        <v>Pour la retenue PREFON (code '0879'), seuls les deux derniers caractères (positions 57 à 58) de la zone MONTANT doivent être servies.</v>
      </c>
      <c r="AH18" s="13" t="s">
        <v>109</v>
      </c>
      <c r="AI18" s="15" t="str">
        <f>VLOOKUP(AH18,'Axe 2 Règles de gestion'!$D$2:$F$23,3, FALSE)</f>
        <v>Pour la retenue PREFON (code '0879'), le mode de calcul doit être "E - Calcul PREFON (code classe)".</v>
      </c>
      <c r="AJ18" s="13" t="s">
        <v>86</v>
      </c>
      <c r="AK18" s="15" t="str">
        <f>VLOOKUP(AJ18,'Axe 2 Règles de gestion'!$D$2:$F$23,3, FALSE)</f>
        <v>Le code sens est obligatoire.</v>
      </c>
      <c r="AL18" s="13" t="s">
        <v>88</v>
      </c>
      <c r="AM18" s="15" t="str">
        <f>VLOOKUP(AL18,'Axe 2 Règles de gestion'!$D$2:$F$23,3, FALSE)</f>
        <v>Le code origine est obligatoire.</v>
      </c>
      <c r="AN18" s="13" t="s">
        <v>92</v>
      </c>
      <c r="AO18" s="15" t="str">
        <f>VLOOKUP(AN18,'Axe 2 Règles de gestion'!$D$2:$F$23,3, FALSE)</f>
        <v>Le nombre total de mouvements 20 pour le mois de paie en cours doit être inférieur ou égal à 30.</v>
      </c>
      <c r="AP18" s="13"/>
      <c r="AQ18" s="15"/>
      <c r="AR18" s="13"/>
      <c r="AS18" s="15"/>
      <c r="AT18" s="13"/>
      <c r="AU18" s="15"/>
      <c r="AV18" s="13"/>
      <c r="AW18" s="15"/>
      <c r="AX18" s="13"/>
      <c r="AY18" s="15"/>
      <c r="AZ18" s="13"/>
      <c r="BA18" s="13"/>
    </row>
    <row r="19" spans="1:53" ht="87" x14ac:dyDescent="0.35">
      <c r="A19" s="13" t="s">
        <v>54</v>
      </c>
      <c r="B19" s="13" t="s">
        <v>55</v>
      </c>
      <c r="C19" s="14">
        <v>45818.406944444447</v>
      </c>
      <c r="D19" s="13" t="s">
        <v>56</v>
      </c>
      <c r="E19" s="15" t="s">
        <v>57</v>
      </c>
      <c r="F19" s="13" t="s">
        <v>58</v>
      </c>
      <c r="G19" s="15" t="s">
        <v>59</v>
      </c>
      <c r="H19" s="13" t="s">
        <v>60</v>
      </c>
      <c r="I19" s="15" t="s">
        <v>61</v>
      </c>
      <c r="J19" s="15" t="s">
        <v>62</v>
      </c>
      <c r="K19" s="15" t="s">
        <v>63</v>
      </c>
      <c r="L19" s="13" t="s">
        <v>111</v>
      </c>
      <c r="M19" s="15" t="s">
        <v>112</v>
      </c>
      <c r="N19" s="13" t="s">
        <v>66</v>
      </c>
      <c r="O19" s="15" t="s">
        <v>113</v>
      </c>
      <c r="P19" s="15" t="s">
        <v>114</v>
      </c>
      <c r="Q19" s="15" t="s">
        <v>139</v>
      </c>
      <c r="R19" s="13" t="s">
        <v>140</v>
      </c>
      <c r="S19" s="13" t="s">
        <v>71</v>
      </c>
      <c r="T19" s="13" t="s">
        <v>72</v>
      </c>
      <c r="U19" s="14">
        <v>40725</v>
      </c>
      <c r="V19" s="14"/>
      <c r="W19" s="15" t="s">
        <v>115</v>
      </c>
      <c r="X19" s="13" t="s">
        <v>103</v>
      </c>
      <c r="Y19" s="15" t="str">
        <f>VLOOKUP(X19,'Axe 2 Règles de gestion'!$D$2:$F$23,3, FALSE)</f>
        <v>Lorsque la date de paye correspond au mois de janvier, le code origine "1" (année courante) ne doit pas être notifié.</v>
      </c>
      <c r="Z19" s="13" t="s">
        <v>76</v>
      </c>
      <c r="AA19" s="15" t="str">
        <f>VLOOKUP(Z19,'Axe 2 Règles de gestion'!$D$2:$F$23,3, FALSE)</f>
        <v>Il est interdit de codifier le sens 1 (sens contraire) si le code origine est 0 (mois courant).</v>
      </c>
      <c r="AB19" s="13" t="s">
        <v>80</v>
      </c>
      <c r="AC19" s="15" t="str">
        <f>VLOOKUP(AB19,'Axe 2 Règles de gestion'!$D$2:$F$23,3, FALSE)</f>
        <v>Le terme « GREVE » ne doit pas être utilisé dans la zone "Libellé complémentaire".</v>
      </c>
      <c r="AD19" s="13" t="s">
        <v>116</v>
      </c>
      <c r="AE19" s="15" t="str">
        <f>VLOOKUP(AD19,'Axe 2 Règles de gestion'!$D$2:$F$23,3, FALSE)</f>
        <v>Si le mode de calcul est "H - Indemnité à ne pas payer (avantage en nature)", il faut que le nombre d'unités soit vide.</v>
      </c>
      <c r="AF19" s="13" t="s">
        <v>118</v>
      </c>
      <c r="AG19" s="15" t="str">
        <f>VLOOKUP(AF19,'Axe 2 Règles de gestion'!$D$2:$F$23,3, FALSE)</f>
        <v>Si le mode de calcul est "H - Indemnité à ne pas payer (avantage en nature)", il faut que le montant soit différent de vide.</v>
      </c>
      <c r="AH19" s="13" t="s">
        <v>120</v>
      </c>
      <c r="AI19" s="15" t="str">
        <f>VLOOKUP(AH19,'Axe 2 Règles de gestion'!$D$2:$F$23,3, FALSE)</f>
        <v>Pour les avantages en nature (codes '0136','1404','1405','1406','1407), le mode de calcul doit être "H - Indemnité à ne pas payer (avantage en nature)".</v>
      </c>
      <c r="AJ19" s="13" t="s">
        <v>86</v>
      </c>
      <c r="AK19" s="15" t="str">
        <f>VLOOKUP(AJ19,'Axe 2 Règles de gestion'!$D$2:$F$23,3, FALSE)</f>
        <v>Le code sens est obligatoire.</v>
      </c>
      <c r="AL19" s="13" t="s">
        <v>88</v>
      </c>
      <c r="AM19" s="15" t="str">
        <f>VLOOKUP(AL19,'Axe 2 Règles de gestion'!$D$2:$F$23,3, FALSE)</f>
        <v>Le code origine est obligatoire.</v>
      </c>
      <c r="AN19" s="13" t="s">
        <v>92</v>
      </c>
      <c r="AO19" s="15" t="str">
        <f>VLOOKUP(AN19,'Axe 2 Règles de gestion'!$D$2:$F$23,3, FALSE)</f>
        <v>Le nombre total de mouvements 20 pour le mois de paie en cours doit être inférieur ou égal à 30.</v>
      </c>
      <c r="AP19" s="13"/>
      <c r="AQ19" s="15"/>
      <c r="AR19" s="13"/>
      <c r="AS19" s="15"/>
      <c r="AT19" s="13"/>
      <c r="AU19" s="15"/>
      <c r="AV19" s="13"/>
      <c r="AW19" s="15"/>
      <c r="AX19" s="13"/>
      <c r="AY19" s="15"/>
      <c r="AZ19" s="13"/>
      <c r="BA19" s="13"/>
    </row>
    <row r="20" spans="1:53" ht="43.5" x14ac:dyDescent="0.35">
      <c r="A20" s="13" t="s">
        <v>54</v>
      </c>
      <c r="B20" s="13" t="s">
        <v>55</v>
      </c>
      <c r="C20" s="14">
        <v>45818.408333333333</v>
      </c>
      <c r="D20" s="13" t="s">
        <v>56</v>
      </c>
      <c r="E20" s="15" t="s">
        <v>57</v>
      </c>
      <c r="F20" s="13" t="s">
        <v>58</v>
      </c>
      <c r="G20" s="15" t="s">
        <v>59</v>
      </c>
      <c r="H20" s="13" t="s">
        <v>60</v>
      </c>
      <c r="I20" s="15" t="s">
        <v>61</v>
      </c>
      <c r="J20" s="15" t="s">
        <v>62</v>
      </c>
      <c r="K20" s="15" t="s">
        <v>63</v>
      </c>
      <c r="L20" s="13" t="s">
        <v>122</v>
      </c>
      <c r="M20" s="15" t="s">
        <v>123</v>
      </c>
      <c r="N20" s="13" t="s">
        <v>66</v>
      </c>
      <c r="O20" s="15" t="s">
        <v>124</v>
      </c>
      <c r="P20" s="15" t="s">
        <v>125</v>
      </c>
      <c r="Q20" s="15" t="s">
        <v>139</v>
      </c>
      <c r="R20" s="13" t="s">
        <v>140</v>
      </c>
      <c r="S20" s="13" t="s">
        <v>71</v>
      </c>
      <c r="T20" s="13" t="s">
        <v>126</v>
      </c>
      <c r="U20" s="14">
        <v>40725</v>
      </c>
      <c r="V20" s="14"/>
      <c r="W20" s="15"/>
      <c r="X20" s="13"/>
      <c r="Y20" s="15"/>
      <c r="Z20" s="13"/>
      <c r="AA20" s="15"/>
      <c r="AB20" s="13"/>
      <c r="AC20" s="15"/>
      <c r="AD20" s="13"/>
      <c r="AE20" s="15"/>
      <c r="AF20" s="13"/>
      <c r="AG20" s="15"/>
      <c r="AH20" s="13"/>
      <c r="AI20" s="15"/>
      <c r="AJ20" s="13"/>
      <c r="AK20" s="15"/>
      <c r="AL20" s="13"/>
      <c r="AM20" s="15"/>
      <c r="AN20" s="13"/>
      <c r="AO20" s="15"/>
      <c r="AP20" s="13"/>
      <c r="AQ20" s="15"/>
      <c r="AR20" s="13"/>
      <c r="AS20" s="15"/>
      <c r="AT20" s="13"/>
      <c r="AU20" s="15"/>
      <c r="AV20" s="13"/>
      <c r="AW20" s="15"/>
      <c r="AX20" s="13"/>
      <c r="AY20" s="15"/>
      <c r="AZ20" s="13"/>
      <c r="BA20" s="13"/>
    </row>
    <row r="21" spans="1:53" ht="87" x14ac:dyDescent="0.35">
      <c r="A21" s="13" t="s">
        <v>54</v>
      </c>
      <c r="B21" s="13" t="s">
        <v>55</v>
      </c>
      <c r="C21" s="14">
        <v>45818.40902777778</v>
      </c>
      <c r="D21" s="13" t="s">
        <v>56</v>
      </c>
      <c r="E21" s="15" t="s">
        <v>57</v>
      </c>
      <c r="F21" s="13" t="s">
        <v>58</v>
      </c>
      <c r="G21" s="15" t="s">
        <v>59</v>
      </c>
      <c r="H21" s="13" t="s">
        <v>60</v>
      </c>
      <c r="I21" s="15" t="s">
        <v>61</v>
      </c>
      <c r="J21" s="15" t="s">
        <v>62</v>
      </c>
      <c r="K21" s="15" t="s">
        <v>63</v>
      </c>
      <c r="L21" s="13" t="s">
        <v>127</v>
      </c>
      <c r="M21" s="15" t="s">
        <v>128</v>
      </c>
      <c r="N21" s="13" t="s">
        <v>66</v>
      </c>
      <c r="O21" s="15" t="s">
        <v>129</v>
      </c>
      <c r="P21" s="15" t="s">
        <v>130</v>
      </c>
      <c r="Q21" s="15" t="s">
        <v>139</v>
      </c>
      <c r="R21" s="13" t="s">
        <v>140</v>
      </c>
      <c r="S21" s="13" t="s">
        <v>71</v>
      </c>
      <c r="T21" s="13" t="s">
        <v>72</v>
      </c>
      <c r="U21" s="14">
        <v>40725</v>
      </c>
      <c r="V21" s="14"/>
      <c r="W21" s="15" t="s">
        <v>131</v>
      </c>
      <c r="X21" s="13" t="s">
        <v>103</v>
      </c>
      <c r="Y21" s="15" t="str">
        <f>VLOOKUP(X21,'Axe 2 Règles de gestion'!$D$2:$F$23,3, FALSE)</f>
        <v>Lorsque la date de paye correspond au mois de janvier, le code origine "1" (année courante) ne doit pas être notifié.</v>
      </c>
      <c r="Z21" s="13" t="s">
        <v>76</v>
      </c>
      <c r="AA21" s="15" t="str">
        <f>VLOOKUP(Z21,'Axe 2 Règles de gestion'!$D$2:$F$23,3, FALSE)</f>
        <v>Il est interdit de codifier le sens 1 (sens contraire) si le code origine est 0 (mois courant).</v>
      </c>
      <c r="AB21" s="13" t="s">
        <v>78</v>
      </c>
      <c r="AC21" s="15" t="str">
        <f>VLOOKUP(AB21,'Axe 2 Règles de gestion'!$D$2:$F$23,3, FALSE)</f>
        <v>Si le mode de calcul est "A - Montant précalculé", alors il faut laisser à vide la zone nombre d'unités.</v>
      </c>
      <c r="AD21" s="13" t="s">
        <v>80</v>
      </c>
      <c r="AE21" s="15" t="str">
        <f>VLOOKUP(AD21,'Axe 2 Règles de gestion'!$D$2:$F$23,3, FALSE)</f>
        <v>Le terme « GREVE » ne doit pas être utilisé dans la zone "Libellé complémentaire".</v>
      </c>
      <c r="AF21" s="13" t="s">
        <v>82</v>
      </c>
      <c r="AG21" s="15" t="str">
        <f>VLOOKUP(AF21,'Axe 2 Règles de gestion'!$D$2:$F$23,3, FALSE)</f>
        <v>Si le mode de calcul est "A - Montant précalculé", il faut que le montant soit différent de vide.</v>
      </c>
      <c r="AH21" s="13" t="s">
        <v>84</v>
      </c>
      <c r="AI21" s="15" t="str">
        <f>VLOOKUP(AH21,'Axe 2 Règles de gestion'!$D$2:$F$23,3, FALSE)</f>
        <v>Si le mode de calcul est "B - Nombre d'unités x montant unitaire", il faut que le nombre d'unités et le montant soient différents de vide.</v>
      </c>
      <c r="AJ21" s="13" t="s">
        <v>86</v>
      </c>
      <c r="AK21" s="15" t="str">
        <f>VLOOKUP(AJ21,'Axe 2 Règles de gestion'!$D$2:$F$23,3, FALSE)</f>
        <v>Le code sens est obligatoire.</v>
      </c>
      <c r="AL21" s="13" t="s">
        <v>88</v>
      </c>
      <c r="AM21" s="15" t="str">
        <f>VLOOKUP(AL21,'Axe 2 Règles de gestion'!$D$2:$F$23,3, FALSE)</f>
        <v>Le code origine est obligatoire.</v>
      </c>
      <c r="AN21" s="13" t="s">
        <v>90</v>
      </c>
      <c r="AO21" s="15" t="str">
        <f>VLOOKUP(AN21,'Axe 2 Règles de gestion'!$D$2:$F$23,3, FALSE)</f>
        <v>Seuls les modes de calcul "A - Montant précalculé", "B - Nombre d'unités x montant unitaire", "G - Indemnité à déduire" sont autorisés.</v>
      </c>
      <c r="AP21" s="13" t="s">
        <v>94</v>
      </c>
      <c r="AQ21" s="15" t="str">
        <f>VLOOKUP(AP21,'Axe 2 Règles de gestion'!$D$2:$F$23,3, FALSE)</f>
        <v>Si le mode de calcul est "G - Indemnité à déduire", alors il faut laisser vide la zone nombre d'unités.</v>
      </c>
      <c r="AR21" s="13" t="s">
        <v>96</v>
      </c>
      <c r="AS21" s="15" t="str">
        <f>VLOOKUP(AR21,'Axe 2 Règles de gestion'!$D$2:$F$23,3, FALSE)</f>
        <v>Si le mode de calcul est "G - Indemnité à déduire", il faut que le montant soit différent de vide.</v>
      </c>
      <c r="AT21" s="13" t="s">
        <v>92</v>
      </c>
      <c r="AU21" s="15" t="str">
        <f>VLOOKUP(AT21,'Axe 2 Règles de gestion'!$D$2:$F$23,3, FALSE)</f>
        <v>Le nombre total de mouvements 20 pour le mois de paie en cours doit être inférieur ou égal à 30.</v>
      </c>
      <c r="AV21" s="13"/>
      <c r="AW21" s="15"/>
      <c r="AX21" s="13"/>
      <c r="AY21" s="15"/>
      <c r="AZ21" s="13"/>
      <c r="BA21" s="13"/>
    </row>
    <row r="22" spans="1:53" ht="43.5" x14ac:dyDescent="0.35">
      <c r="A22" s="13" t="s">
        <v>54</v>
      </c>
      <c r="B22" s="13" t="s">
        <v>55</v>
      </c>
      <c r="C22" s="14">
        <v>45818.402777777781</v>
      </c>
      <c r="D22" s="13" t="s">
        <v>56</v>
      </c>
      <c r="E22" s="15" t="s">
        <v>57</v>
      </c>
      <c r="F22" s="13" t="s">
        <v>58</v>
      </c>
      <c r="G22" s="15" t="s">
        <v>59</v>
      </c>
      <c r="H22" s="13" t="s">
        <v>60</v>
      </c>
      <c r="I22" s="15" t="s">
        <v>61</v>
      </c>
      <c r="J22" s="15" t="s">
        <v>62</v>
      </c>
      <c r="K22" s="15" t="s">
        <v>63</v>
      </c>
      <c r="L22" s="13" t="s">
        <v>64</v>
      </c>
      <c r="M22" s="15" t="s">
        <v>65</v>
      </c>
      <c r="N22" s="13" t="s">
        <v>66</v>
      </c>
      <c r="O22" s="15" t="s">
        <v>67</v>
      </c>
      <c r="P22" s="15" t="s">
        <v>68</v>
      </c>
      <c r="Q22" s="15" t="s">
        <v>141</v>
      </c>
      <c r="R22" s="13" t="s">
        <v>142</v>
      </c>
      <c r="S22" s="13" t="s">
        <v>71</v>
      </c>
      <c r="T22" s="13" t="s">
        <v>126</v>
      </c>
      <c r="U22" s="14">
        <v>40725</v>
      </c>
      <c r="V22" s="14"/>
      <c r="W22" s="15"/>
      <c r="X22" s="13"/>
      <c r="Y22" s="15"/>
      <c r="Z22" s="13"/>
      <c r="AA22" s="15"/>
      <c r="AB22" s="13"/>
      <c r="AC22" s="15"/>
      <c r="AD22" s="13"/>
      <c r="AE22" s="15"/>
      <c r="AF22" s="13"/>
      <c r="AG22" s="15"/>
      <c r="AH22" s="13"/>
      <c r="AI22" s="15"/>
      <c r="AJ22" s="13"/>
      <c r="AK22" s="15"/>
      <c r="AL22" s="13"/>
      <c r="AM22" s="15"/>
      <c r="AN22" s="13"/>
      <c r="AO22" s="15"/>
      <c r="AP22" s="13"/>
      <c r="AQ22" s="15"/>
      <c r="AR22" s="13"/>
      <c r="AS22" s="15"/>
      <c r="AT22" s="13"/>
      <c r="AU22" s="15"/>
      <c r="AV22" s="13"/>
      <c r="AW22" s="15"/>
      <c r="AX22" s="13"/>
      <c r="AY22" s="15"/>
      <c r="AZ22" s="13"/>
      <c r="BA22" s="13"/>
    </row>
    <row r="23" spans="1:53" ht="72.5" x14ac:dyDescent="0.35">
      <c r="A23" s="13" t="s">
        <v>54</v>
      </c>
      <c r="B23" s="13" t="s">
        <v>55</v>
      </c>
      <c r="C23" s="14">
        <v>45818.404166666667</v>
      </c>
      <c r="D23" s="13" t="s">
        <v>56</v>
      </c>
      <c r="E23" s="15" t="s">
        <v>57</v>
      </c>
      <c r="F23" s="13" t="s">
        <v>58</v>
      </c>
      <c r="G23" s="15" t="s">
        <v>59</v>
      </c>
      <c r="H23" s="13" t="s">
        <v>60</v>
      </c>
      <c r="I23" s="15" t="s">
        <v>61</v>
      </c>
      <c r="J23" s="15" t="s">
        <v>62</v>
      </c>
      <c r="K23" s="15" t="s">
        <v>63</v>
      </c>
      <c r="L23" s="13" t="s">
        <v>98</v>
      </c>
      <c r="M23" s="15" t="s">
        <v>99</v>
      </c>
      <c r="N23" s="13" t="s">
        <v>66</v>
      </c>
      <c r="O23" s="15" t="s">
        <v>100</v>
      </c>
      <c r="P23" s="15" t="s">
        <v>101</v>
      </c>
      <c r="Q23" s="15" t="s">
        <v>141</v>
      </c>
      <c r="R23" s="13" t="s">
        <v>142</v>
      </c>
      <c r="S23" s="13" t="s">
        <v>71</v>
      </c>
      <c r="T23" s="13" t="s">
        <v>72</v>
      </c>
      <c r="U23" s="14">
        <v>40725</v>
      </c>
      <c r="V23" s="14"/>
      <c r="W23" s="15" t="s">
        <v>102</v>
      </c>
      <c r="X23" s="13" t="s">
        <v>103</v>
      </c>
      <c r="Y23" s="15" t="str">
        <f>VLOOKUP(X23,'Axe 2 Règles de gestion'!$D$2:$F$23,3, FALSE)</f>
        <v>Lorsque la date de paye correspond au mois de janvier, le code origine "1" (année courante) ne doit pas être notifié.</v>
      </c>
      <c r="Z23" s="13" t="s">
        <v>76</v>
      </c>
      <c r="AA23" s="15" t="str">
        <f>VLOOKUP(Z23,'Axe 2 Règles de gestion'!$D$2:$F$23,3, FALSE)</f>
        <v>Il est interdit de codifier le sens 1 (sens contraire) si le code origine est 0 (mois courant).</v>
      </c>
      <c r="AB23" s="13" t="s">
        <v>80</v>
      </c>
      <c r="AC23" s="15" t="str">
        <f>VLOOKUP(AB23,'Axe 2 Règles de gestion'!$D$2:$F$23,3, FALSE)</f>
        <v>Le terme « GREVE » ne doit pas être utilisé dans la zone "Libellé complémentaire".</v>
      </c>
      <c r="AD23" s="13" t="s">
        <v>105</v>
      </c>
      <c r="AE23" s="15" t="str">
        <f>VLOOKUP(AD23,'Axe 2 Règles de gestion'!$D$2:$F$23,3, FALSE)</f>
        <v>Si la zone mode de calcul est "Calcul PREFON" (MC = E), la zone "Nombre d'unités" doit être vide.</v>
      </c>
      <c r="AF23" s="13" t="s">
        <v>107</v>
      </c>
      <c r="AG23" s="15" t="str">
        <f>VLOOKUP(AF23,'Axe 2 Règles de gestion'!$D$2:$F$23,3, FALSE)</f>
        <v>Pour la retenue PREFON (code '0879'), seuls les deux derniers caractères (positions 57 à 58) de la zone MONTANT doivent être servies.</v>
      </c>
      <c r="AH23" s="13" t="s">
        <v>109</v>
      </c>
      <c r="AI23" s="15" t="str">
        <f>VLOOKUP(AH23,'Axe 2 Règles de gestion'!$D$2:$F$23,3, FALSE)</f>
        <v>Pour la retenue PREFON (code '0879'), le mode de calcul doit être "E - Calcul PREFON (code classe)".</v>
      </c>
      <c r="AJ23" s="13" t="s">
        <v>86</v>
      </c>
      <c r="AK23" s="15" t="str">
        <f>VLOOKUP(AJ23,'Axe 2 Règles de gestion'!$D$2:$F$23,3, FALSE)</f>
        <v>Le code sens est obligatoire.</v>
      </c>
      <c r="AL23" s="13" t="s">
        <v>88</v>
      </c>
      <c r="AM23" s="15" t="str">
        <f>VLOOKUP(AL23,'Axe 2 Règles de gestion'!$D$2:$F$23,3, FALSE)</f>
        <v>Le code origine est obligatoire.</v>
      </c>
      <c r="AN23" s="13" t="s">
        <v>92</v>
      </c>
      <c r="AO23" s="15" t="str">
        <f>VLOOKUP(AN23,'Axe 2 Règles de gestion'!$D$2:$F$23,3, FALSE)</f>
        <v>Le nombre total de mouvements 20 pour le mois de paie en cours doit être inférieur ou égal à 30.</v>
      </c>
      <c r="AP23" s="13"/>
      <c r="AQ23" s="15"/>
      <c r="AR23" s="13"/>
      <c r="AS23" s="15"/>
      <c r="AT23" s="13"/>
      <c r="AU23" s="15"/>
      <c r="AV23" s="13"/>
      <c r="AW23" s="15"/>
      <c r="AX23" s="13"/>
      <c r="AY23" s="15"/>
      <c r="AZ23" s="13"/>
      <c r="BA23" s="13"/>
    </row>
    <row r="24" spans="1:53" ht="87" x14ac:dyDescent="0.35">
      <c r="A24" s="13" t="s">
        <v>54</v>
      </c>
      <c r="B24" s="13" t="s">
        <v>55</v>
      </c>
      <c r="C24" s="14">
        <v>45818.406944444447</v>
      </c>
      <c r="D24" s="13" t="s">
        <v>56</v>
      </c>
      <c r="E24" s="15" t="s">
        <v>57</v>
      </c>
      <c r="F24" s="13" t="s">
        <v>58</v>
      </c>
      <c r="G24" s="15" t="s">
        <v>59</v>
      </c>
      <c r="H24" s="13" t="s">
        <v>60</v>
      </c>
      <c r="I24" s="15" t="s">
        <v>61</v>
      </c>
      <c r="J24" s="15" t="s">
        <v>62</v>
      </c>
      <c r="K24" s="15" t="s">
        <v>63</v>
      </c>
      <c r="L24" s="13" t="s">
        <v>111</v>
      </c>
      <c r="M24" s="15" t="s">
        <v>112</v>
      </c>
      <c r="N24" s="13" t="s">
        <v>66</v>
      </c>
      <c r="O24" s="15" t="s">
        <v>113</v>
      </c>
      <c r="P24" s="15" t="s">
        <v>114</v>
      </c>
      <c r="Q24" s="15" t="s">
        <v>141</v>
      </c>
      <c r="R24" s="13" t="s">
        <v>142</v>
      </c>
      <c r="S24" s="13" t="s">
        <v>71</v>
      </c>
      <c r="T24" s="13" t="s">
        <v>72</v>
      </c>
      <c r="U24" s="14">
        <v>40725</v>
      </c>
      <c r="V24" s="14"/>
      <c r="W24" s="15" t="s">
        <v>115</v>
      </c>
      <c r="X24" s="13" t="s">
        <v>103</v>
      </c>
      <c r="Y24" s="15" t="str">
        <f>VLOOKUP(X24,'Axe 2 Règles de gestion'!$D$2:$F$23,3, FALSE)</f>
        <v>Lorsque la date de paye correspond au mois de janvier, le code origine "1" (année courante) ne doit pas être notifié.</v>
      </c>
      <c r="Z24" s="13" t="s">
        <v>76</v>
      </c>
      <c r="AA24" s="15" t="str">
        <f>VLOOKUP(Z24,'Axe 2 Règles de gestion'!$D$2:$F$23,3, FALSE)</f>
        <v>Il est interdit de codifier le sens 1 (sens contraire) si le code origine est 0 (mois courant).</v>
      </c>
      <c r="AB24" s="13" t="s">
        <v>80</v>
      </c>
      <c r="AC24" s="15" t="str">
        <f>VLOOKUP(AB24,'Axe 2 Règles de gestion'!$D$2:$F$23,3, FALSE)</f>
        <v>Le terme « GREVE » ne doit pas être utilisé dans la zone "Libellé complémentaire".</v>
      </c>
      <c r="AD24" s="13" t="s">
        <v>116</v>
      </c>
      <c r="AE24" s="15" t="str">
        <f>VLOOKUP(AD24,'Axe 2 Règles de gestion'!$D$2:$F$23,3, FALSE)</f>
        <v>Si le mode de calcul est "H - Indemnité à ne pas payer (avantage en nature)", il faut que le nombre d'unités soit vide.</v>
      </c>
      <c r="AF24" s="13" t="s">
        <v>118</v>
      </c>
      <c r="AG24" s="15" t="str">
        <f>VLOOKUP(AF24,'Axe 2 Règles de gestion'!$D$2:$F$23,3, FALSE)</f>
        <v>Si le mode de calcul est "H - Indemnité à ne pas payer (avantage en nature)", il faut que le montant soit différent de vide.</v>
      </c>
      <c r="AH24" s="13" t="s">
        <v>120</v>
      </c>
      <c r="AI24" s="15" t="str">
        <f>VLOOKUP(AH24,'Axe 2 Règles de gestion'!$D$2:$F$23,3, FALSE)</f>
        <v>Pour les avantages en nature (codes '0136','1404','1405','1406','1407), le mode de calcul doit être "H - Indemnité à ne pas payer (avantage en nature)".</v>
      </c>
      <c r="AJ24" s="13" t="s">
        <v>86</v>
      </c>
      <c r="AK24" s="15" t="str">
        <f>VLOOKUP(AJ24,'Axe 2 Règles de gestion'!$D$2:$F$23,3, FALSE)</f>
        <v>Le code sens est obligatoire.</v>
      </c>
      <c r="AL24" s="13" t="s">
        <v>88</v>
      </c>
      <c r="AM24" s="15" t="str">
        <f>VLOOKUP(AL24,'Axe 2 Règles de gestion'!$D$2:$F$23,3, FALSE)</f>
        <v>Le code origine est obligatoire.</v>
      </c>
      <c r="AN24" s="13" t="s">
        <v>92</v>
      </c>
      <c r="AO24" s="15" t="str">
        <f>VLOOKUP(AN24,'Axe 2 Règles de gestion'!$D$2:$F$23,3, FALSE)</f>
        <v>Le nombre total de mouvements 20 pour le mois de paie en cours doit être inférieur ou égal à 30.</v>
      </c>
      <c r="AP24" s="13"/>
      <c r="AQ24" s="15"/>
      <c r="AR24" s="13"/>
      <c r="AS24" s="15"/>
      <c r="AT24" s="13"/>
      <c r="AU24" s="15"/>
      <c r="AV24" s="13"/>
      <c r="AW24" s="15"/>
      <c r="AX24" s="13"/>
      <c r="AY24" s="15"/>
      <c r="AZ24" s="13"/>
      <c r="BA24" s="13"/>
    </row>
    <row r="25" spans="1:53" ht="43.5" x14ac:dyDescent="0.35">
      <c r="A25" s="13" t="s">
        <v>54</v>
      </c>
      <c r="B25" s="13" t="s">
        <v>55</v>
      </c>
      <c r="C25" s="14">
        <v>45818.40902777778</v>
      </c>
      <c r="D25" s="13" t="s">
        <v>56</v>
      </c>
      <c r="E25" s="15" t="s">
        <v>57</v>
      </c>
      <c r="F25" s="13" t="s">
        <v>58</v>
      </c>
      <c r="G25" s="15" t="s">
        <v>59</v>
      </c>
      <c r="H25" s="13" t="s">
        <v>60</v>
      </c>
      <c r="I25" s="15" t="s">
        <v>61</v>
      </c>
      <c r="J25" s="15" t="s">
        <v>62</v>
      </c>
      <c r="K25" s="15" t="s">
        <v>63</v>
      </c>
      <c r="L25" s="13" t="s">
        <v>122</v>
      </c>
      <c r="M25" s="15" t="s">
        <v>123</v>
      </c>
      <c r="N25" s="13" t="s">
        <v>66</v>
      </c>
      <c r="O25" s="15" t="s">
        <v>124</v>
      </c>
      <c r="P25" s="15" t="s">
        <v>125</v>
      </c>
      <c r="Q25" s="15" t="s">
        <v>141</v>
      </c>
      <c r="R25" s="13" t="s">
        <v>142</v>
      </c>
      <c r="S25" s="13" t="s">
        <v>71</v>
      </c>
      <c r="T25" s="13" t="s">
        <v>126</v>
      </c>
      <c r="U25" s="14">
        <v>40725</v>
      </c>
      <c r="V25" s="14"/>
      <c r="W25" s="15"/>
      <c r="X25" s="13"/>
      <c r="Y25" s="15"/>
      <c r="Z25" s="13"/>
      <c r="AA25" s="15"/>
      <c r="AB25" s="13"/>
      <c r="AC25" s="15"/>
      <c r="AD25" s="13"/>
      <c r="AE25" s="15"/>
      <c r="AF25" s="13"/>
      <c r="AG25" s="15"/>
      <c r="AH25" s="13"/>
      <c r="AI25" s="15"/>
      <c r="AJ25" s="13"/>
      <c r="AK25" s="15"/>
      <c r="AL25" s="13"/>
      <c r="AM25" s="15"/>
      <c r="AN25" s="13"/>
      <c r="AO25" s="15"/>
      <c r="AP25" s="13"/>
      <c r="AQ25" s="15"/>
      <c r="AR25" s="13"/>
      <c r="AS25" s="15"/>
      <c r="AT25" s="13"/>
      <c r="AU25" s="15"/>
      <c r="AV25" s="13"/>
      <c r="AW25" s="15"/>
      <c r="AX25" s="13"/>
      <c r="AY25" s="15"/>
      <c r="AZ25" s="13"/>
      <c r="BA25" s="13"/>
    </row>
    <row r="26" spans="1:53" ht="87" x14ac:dyDescent="0.35">
      <c r="A26" s="13" t="s">
        <v>54</v>
      </c>
      <c r="B26" s="13" t="s">
        <v>55</v>
      </c>
      <c r="C26" s="14">
        <v>45818.409722222219</v>
      </c>
      <c r="D26" s="13" t="s">
        <v>56</v>
      </c>
      <c r="E26" s="15" t="s">
        <v>57</v>
      </c>
      <c r="F26" s="13" t="s">
        <v>58</v>
      </c>
      <c r="G26" s="15" t="s">
        <v>59</v>
      </c>
      <c r="H26" s="13" t="s">
        <v>60</v>
      </c>
      <c r="I26" s="15" t="s">
        <v>61</v>
      </c>
      <c r="J26" s="15" t="s">
        <v>62</v>
      </c>
      <c r="K26" s="15" t="s">
        <v>63</v>
      </c>
      <c r="L26" s="13" t="s">
        <v>127</v>
      </c>
      <c r="M26" s="15" t="s">
        <v>128</v>
      </c>
      <c r="N26" s="13" t="s">
        <v>66</v>
      </c>
      <c r="O26" s="15" t="s">
        <v>129</v>
      </c>
      <c r="P26" s="15" t="s">
        <v>130</v>
      </c>
      <c r="Q26" s="15" t="s">
        <v>141</v>
      </c>
      <c r="R26" s="13" t="s">
        <v>142</v>
      </c>
      <c r="S26" s="13" t="s">
        <v>71</v>
      </c>
      <c r="T26" s="13" t="s">
        <v>72</v>
      </c>
      <c r="U26" s="14">
        <v>40725</v>
      </c>
      <c r="V26" s="14"/>
      <c r="W26" s="15" t="s">
        <v>131</v>
      </c>
      <c r="X26" s="13" t="s">
        <v>103</v>
      </c>
      <c r="Y26" s="15" t="str">
        <f>VLOOKUP(X26,'Axe 2 Règles de gestion'!$D$2:$F$23,3, FALSE)</f>
        <v>Lorsque la date de paye correspond au mois de janvier, le code origine "1" (année courante) ne doit pas être notifié.</v>
      </c>
      <c r="Z26" s="13" t="s">
        <v>76</v>
      </c>
      <c r="AA26" s="15" t="str">
        <f>VLOOKUP(Z26,'Axe 2 Règles de gestion'!$D$2:$F$23,3, FALSE)</f>
        <v>Il est interdit de codifier le sens 1 (sens contraire) si le code origine est 0 (mois courant).</v>
      </c>
      <c r="AB26" s="13" t="s">
        <v>78</v>
      </c>
      <c r="AC26" s="15" t="str">
        <f>VLOOKUP(AB26,'Axe 2 Règles de gestion'!$D$2:$F$23,3, FALSE)</f>
        <v>Si le mode de calcul est "A - Montant précalculé", alors il faut laisser à vide la zone nombre d'unités.</v>
      </c>
      <c r="AD26" s="13" t="s">
        <v>80</v>
      </c>
      <c r="AE26" s="15" t="str">
        <f>VLOOKUP(AD26,'Axe 2 Règles de gestion'!$D$2:$F$23,3, FALSE)</f>
        <v>Le terme « GREVE » ne doit pas être utilisé dans la zone "Libellé complémentaire".</v>
      </c>
      <c r="AF26" s="13" t="s">
        <v>82</v>
      </c>
      <c r="AG26" s="15" t="str">
        <f>VLOOKUP(AF26,'Axe 2 Règles de gestion'!$D$2:$F$23,3, FALSE)</f>
        <v>Si le mode de calcul est "A - Montant précalculé", il faut que le montant soit différent de vide.</v>
      </c>
      <c r="AH26" s="13" t="s">
        <v>84</v>
      </c>
      <c r="AI26" s="15" t="str">
        <f>VLOOKUP(AH26,'Axe 2 Règles de gestion'!$D$2:$F$23,3, FALSE)</f>
        <v>Si le mode de calcul est "B - Nombre d'unités x montant unitaire", il faut que le nombre d'unités et le montant soient différents de vide.</v>
      </c>
      <c r="AJ26" s="13" t="s">
        <v>86</v>
      </c>
      <c r="AK26" s="15" t="str">
        <f>VLOOKUP(AJ26,'Axe 2 Règles de gestion'!$D$2:$F$23,3, FALSE)</f>
        <v>Le code sens est obligatoire.</v>
      </c>
      <c r="AL26" s="13" t="s">
        <v>88</v>
      </c>
      <c r="AM26" s="15" t="str">
        <f>VLOOKUP(AL26,'Axe 2 Règles de gestion'!$D$2:$F$23,3, FALSE)</f>
        <v>Le code origine est obligatoire.</v>
      </c>
      <c r="AN26" s="13" t="s">
        <v>90</v>
      </c>
      <c r="AO26" s="15" t="str">
        <f>VLOOKUP(AN26,'Axe 2 Règles de gestion'!$D$2:$F$23,3, FALSE)</f>
        <v>Seuls les modes de calcul "A - Montant précalculé", "B - Nombre d'unités x montant unitaire", "G - Indemnité à déduire" sont autorisés.</v>
      </c>
      <c r="AP26" s="13" t="s">
        <v>94</v>
      </c>
      <c r="AQ26" s="15" t="str">
        <f>VLOOKUP(AP26,'Axe 2 Règles de gestion'!$D$2:$F$23,3, FALSE)</f>
        <v>Si le mode de calcul est "G - Indemnité à déduire", alors il faut laisser vide la zone nombre d'unités.</v>
      </c>
      <c r="AR26" s="13" t="s">
        <v>96</v>
      </c>
      <c r="AS26" s="15" t="str">
        <f>VLOOKUP(AR26,'Axe 2 Règles de gestion'!$D$2:$F$23,3, FALSE)</f>
        <v>Si le mode de calcul est "G - Indemnité à déduire", il faut que le montant soit différent de vide.</v>
      </c>
      <c r="AT26" s="13" t="s">
        <v>92</v>
      </c>
      <c r="AU26" s="15" t="str">
        <f>VLOOKUP(AT26,'Axe 2 Règles de gestion'!$D$2:$F$23,3, FALSE)</f>
        <v>Le nombre total de mouvements 20 pour le mois de paie en cours doit être inférieur ou égal à 30.</v>
      </c>
      <c r="AV26" s="13"/>
      <c r="AW26" s="15"/>
      <c r="AX26" s="13"/>
      <c r="AY26" s="15"/>
      <c r="AZ26" s="13"/>
      <c r="BA26" s="13"/>
    </row>
    <row r="27" spans="1:53" ht="159.5" x14ac:dyDescent="0.35">
      <c r="A27" s="13" t="s">
        <v>54</v>
      </c>
      <c r="B27" s="13" t="s">
        <v>55</v>
      </c>
      <c r="C27" s="14">
        <v>45818.400694444441</v>
      </c>
      <c r="D27" s="13" t="s">
        <v>56</v>
      </c>
      <c r="E27" s="15" t="s">
        <v>57</v>
      </c>
      <c r="F27" s="13" t="s">
        <v>58</v>
      </c>
      <c r="G27" s="15" t="s">
        <v>59</v>
      </c>
      <c r="H27" s="13" t="s">
        <v>60</v>
      </c>
      <c r="I27" s="15" t="s">
        <v>61</v>
      </c>
      <c r="J27" s="15" t="s">
        <v>62</v>
      </c>
      <c r="K27" s="15" t="s">
        <v>63</v>
      </c>
      <c r="L27" s="13" t="s">
        <v>122</v>
      </c>
      <c r="M27" s="15" t="s">
        <v>123</v>
      </c>
      <c r="N27" s="13" t="s">
        <v>66</v>
      </c>
      <c r="O27" s="15" t="s">
        <v>124</v>
      </c>
      <c r="P27" s="15" t="s">
        <v>125</v>
      </c>
      <c r="Q27" s="15" t="s">
        <v>143</v>
      </c>
      <c r="R27" s="13" t="s">
        <v>144</v>
      </c>
      <c r="S27" s="13" t="s">
        <v>145</v>
      </c>
      <c r="T27" s="13" t="s">
        <v>72</v>
      </c>
      <c r="U27" s="14">
        <v>40725</v>
      </c>
      <c r="V27" s="14"/>
      <c r="W27" s="15" t="s">
        <v>146</v>
      </c>
      <c r="X27" s="13" t="s">
        <v>74</v>
      </c>
      <c r="Y27" s="15" t="str">
        <f>VLOOKUP(X27,'Axe 2 Règles de gestion'!$D$2:$F$23,3, FALSE)</f>
        <v>Le code origine doit être "0" (mois courant) pour l'indemnité '0954 - Précompte cotis. sal. RAFP'.</v>
      </c>
      <c r="Z27" s="13" t="s">
        <v>76</v>
      </c>
      <c r="AA27" s="15" t="str">
        <f>VLOOKUP(Z27,'Axe 2 Règles de gestion'!$D$2:$F$23,3, FALSE)</f>
        <v>Il est interdit de codifier le sens 1 (sens contraire) si le code origine est 0 (mois courant).</v>
      </c>
      <c r="AB27" s="13" t="s">
        <v>78</v>
      </c>
      <c r="AC27" s="15" t="str">
        <f>VLOOKUP(AB27,'Axe 2 Règles de gestion'!$D$2:$F$23,3, FALSE)</f>
        <v>Si le mode de calcul est "A - Montant précalculé", alors il faut laisser à vide la zone nombre d'unités.</v>
      </c>
      <c r="AD27" s="13" t="s">
        <v>80</v>
      </c>
      <c r="AE27" s="15" t="str">
        <f>VLOOKUP(AD27,'Axe 2 Règles de gestion'!$D$2:$F$23,3, FALSE)</f>
        <v>Le terme « GREVE » ne doit pas être utilisé dans la zone "Libellé complémentaire".</v>
      </c>
      <c r="AF27" s="13" t="s">
        <v>82</v>
      </c>
      <c r="AG27" s="15" t="str">
        <f>VLOOKUP(AF27,'Axe 2 Règles de gestion'!$D$2:$F$23,3, FALSE)</f>
        <v>Si le mode de calcul est "A - Montant précalculé", il faut que le montant soit différent de vide.</v>
      </c>
      <c r="AH27" s="13" t="s">
        <v>84</v>
      </c>
      <c r="AI27" s="15" t="str">
        <f>VLOOKUP(AH27,'Axe 2 Règles de gestion'!$D$2:$F$23,3, FALSE)</f>
        <v>Si le mode de calcul est "B - Nombre d'unités x montant unitaire", il faut que le nombre d'unités et le montant soient différents de vide.</v>
      </c>
      <c r="AJ27" s="13" t="s">
        <v>86</v>
      </c>
      <c r="AK27" s="15" t="str">
        <f>VLOOKUP(AJ27,'Axe 2 Règles de gestion'!$D$2:$F$23,3, FALSE)</f>
        <v>Le code sens est obligatoire.</v>
      </c>
      <c r="AL27" s="13" t="s">
        <v>88</v>
      </c>
      <c r="AM27" s="15" t="str">
        <f>VLOOKUP(AL27,'Axe 2 Règles de gestion'!$D$2:$F$23,3, FALSE)</f>
        <v>Le code origine est obligatoire.</v>
      </c>
      <c r="AN27" s="13" t="s">
        <v>90</v>
      </c>
      <c r="AO27" s="15" t="str">
        <f>VLOOKUP(AN27,'Axe 2 Règles de gestion'!$D$2:$F$23,3, FALSE)</f>
        <v>Seuls les modes de calcul "A - Montant précalculé", "B - Nombre d'unités x montant unitaire", "G - Indemnité à déduire" sont autorisés.</v>
      </c>
      <c r="AP27" s="13" t="s">
        <v>92</v>
      </c>
      <c r="AQ27" s="15" t="str">
        <f>VLOOKUP(AP27,'Axe 2 Règles de gestion'!$D$2:$F$23,3, FALSE)</f>
        <v>Le nombre total de mouvements 20 pour le mois de paie en cours doit être inférieur ou égal à 30.</v>
      </c>
      <c r="AR27" s="13" t="s">
        <v>94</v>
      </c>
      <c r="AS27" s="15" t="str">
        <f>VLOOKUP(AR27,'Axe 2 Règles de gestion'!$D$2:$F$23,3, FALSE)</f>
        <v>Si le mode de calcul est "G - Indemnité à déduire", alors il faut laisser vide la zone nombre d'unités.</v>
      </c>
      <c r="AT27" s="13" t="s">
        <v>96</v>
      </c>
      <c r="AU27" s="15" t="str">
        <f>VLOOKUP(AT27,'Axe 2 Règles de gestion'!$D$2:$F$23,3, FALSE)</f>
        <v>Si le mode de calcul est "G - Indemnité à déduire", il faut que le montant soit différent de vide.</v>
      </c>
      <c r="AV27" s="13" t="s">
        <v>147</v>
      </c>
      <c r="AW27" s="15" t="str">
        <f>VLOOKUP(AV27,'Axe 2 Règles de gestion'!$D$2:$F$23,3, FALSE)</f>
        <v>Si le code "0870 - Cotisation assurance chômage" est utilisé pour une régularisation de cotisation avec un code statutaire servi à "92 - Privé simple, laïc et privé simple, religieux affilié à SS et RC et ASSEDIC", le mouvement de type 20 utilisé ressortira en anomalie non bloquante.</v>
      </c>
      <c r="AX27" s="13" t="s">
        <v>149</v>
      </c>
      <c r="AY27" s="15" t="str">
        <f>VLOOKUP(AX27,'Axe 2 Règles de gestion'!$D$2:$F$23,3, FALSE)</f>
        <v>Si le code "0870 - Cotisation assurance chômage" est utilisé pour une régularisation de cotisation le code statutaire doit être servi avec une valeur égale à "92 - Privé simple, laïc et privé simple, religieux affilié à SS et RC et ASSEDIC".</v>
      </c>
      <c r="AZ27" s="13"/>
      <c r="BA27" s="13"/>
    </row>
    <row r="28" spans="1:53" x14ac:dyDescent="0.35">
      <c r="C28" s="16"/>
      <c r="U28" s="16"/>
      <c r="V28" s="16"/>
    </row>
    <row r="29" spans="1:53" x14ac:dyDescent="0.35">
      <c r="C29" s="16"/>
      <c r="U29" s="16"/>
      <c r="V29" s="16"/>
    </row>
    <row r="30" spans="1:53" x14ac:dyDescent="0.35">
      <c r="C30" s="16"/>
      <c r="U30" s="16"/>
      <c r="V30" s="16"/>
    </row>
    <row r="31" spans="1:53" x14ac:dyDescent="0.35">
      <c r="C31" s="16"/>
      <c r="U31" s="16"/>
      <c r="V31" s="16"/>
    </row>
    <row r="32" spans="1:53" x14ac:dyDescent="0.35">
      <c r="C32" s="16"/>
      <c r="U32" s="16"/>
      <c r="V32" s="16"/>
    </row>
    <row r="33" spans="3:22" x14ac:dyDescent="0.35">
      <c r="C33" s="16"/>
      <c r="U33" s="16"/>
      <c r="V33" s="16"/>
    </row>
    <row r="34" spans="3:22" x14ac:dyDescent="0.35">
      <c r="C34" s="16"/>
      <c r="U34" s="16"/>
      <c r="V34" s="16"/>
    </row>
    <row r="35" spans="3:22" x14ac:dyDescent="0.35">
      <c r="C35" s="16"/>
      <c r="U35" s="16"/>
      <c r="V35" s="16"/>
    </row>
    <row r="36" spans="3:22" x14ac:dyDescent="0.35">
      <c r="C36" s="16"/>
      <c r="U36" s="16"/>
      <c r="V36" s="16"/>
    </row>
    <row r="37" spans="3:22" x14ac:dyDescent="0.35">
      <c r="C37" s="16"/>
      <c r="U37" s="16"/>
      <c r="V37" s="16"/>
    </row>
    <row r="38" spans="3:22" x14ac:dyDescent="0.35">
      <c r="C38" s="16"/>
      <c r="U38" s="16"/>
      <c r="V38" s="16"/>
    </row>
    <row r="39" spans="3:22" x14ac:dyDescent="0.35">
      <c r="C39" s="16"/>
      <c r="U39" s="16"/>
      <c r="V39" s="16"/>
    </row>
    <row r="40" spans="3:22" x14ac:dyDescent="0.35">
      <c r="C40" s="16"/>
      <c r="U40" s="16"/>
      <c r="V40" s="16"/>
    </row>
    <row r="41" spans="3:22" x14ac:dyDescent="0.35">
      <c r="C41" s="16"/>
      <c r="U41" s="16"/>
      <c r="V41" s="16"/>
    </row>
    <row r="42" spans="3:22" x14ac:dyDescent="0.35">
      <c r="C42" s="16"/>
      <c r="U42" s="16"/>
      <c r="V42" s="16"/>
    </row>
    <row r="43" spans="3:22" x14ac:dyDescent="0.35">
      <c r="C43" s="16"/>
      <c r="U43" s="16"/>
      <c r="V43" s="16"/>
    </row>
    <row r="44" spans="3:22" x14ac:dyDescent="0.35">
      <c r="C44" s="16"/>
      <c r="U44" s="16"/>
      <c r="V44" s="16"/>
    </row>
    <row r="45" spans="3:22" x14ac:dyDescent="0.35">
      <c r="C45" s="16"/>
      <c r="U45" s="16"/>
      <c r="V45" s="16"/>
    </row>
    <row r="46" spans="3:22" x14ac:dyDescent="0.35">
      <c r="C46" s="16"/>
      <c r="U46" s="16"/>
      <c r="V46" s="16"/>
    </row>
    <row r="47" spans="3:22" x14ac:dyDescent="0.35">
      <c r="C47" s="16"/>
      <c r="U47" s="16"/>
      <c r="V47" s="16"/>
    </row>
    <row r="48" spans="3:22" x14ac:dyDescent="0.35">
      <c r="C48" s="16"/>
      <c r="U48" s="16"/>
      <c r="V48" s="16"/>
    </row>
    <row r="49" spans="3:22" x14ac:dyDescent="0.35">
      <c r="C49" s="16"/>
      <c r="U49" s="16"/>
      <c r="V49" s="16"/>
    </row>
  </sheetData>
  <autoFilter ref="A1:OJ1" xr:uid="{EDE437E4-AEC2-4F62-8DC6-4B1CC4FDE87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4FAF2-759B-4633-AA0C-34FDDDBB3A04}">
  <dimension ref="A1:U49"/>
  <sheetViews>
    <sheetView workbookViewId="0">
      <pane ySplit="1" topLeftCell="A2" activePane="bottomLeft" state="frozenSplit"/>
      <selection pane="bottomLeft" activeCell="P4" sqref="P4"/>
    </sheetView>
  </sheetViews>
  <sheetFormatPr baseColWidth="10" defaultColWidth="11.453125" defaultRowHeight="14.5" x14ac:dyDescent="0.35"/>
  <cols>
    <col min="1" max="1" width="8.7265625" style="12" customWidth="1"/>
    <col min="2" max="2" width="7.7265625" style="12" customWidth="1"/>
    <col min="3" max="4" width="12.7265625" style="12" customWidth="1"/>
    <col min="5" max="5" width="14.7265625" style="12" customWidth="1"/>
    <col min="6" max="6" width="40.7265625" style="17" customWidth="1"/>
    <col min="7" max="7" width="25.7265625" style="12" customWidth="1"/>
    <col min="8" max="9" width="12.7265625" style="12" customWidth="1"/>
    <col min="10" max="11" width="40.7265625" style="17" customWidth="1"/>
    <col min="12" max="12" width="14.7265625" style="12" customWidth="1"/>
    <col min="13" max="13" width="25.7265625" style="17" customWidth="1"/>
    <col min="14" max="17" width="25.7265625" style="12" customWidth="1"/>
    <col min="18" max="18" width="9.7265625" style="12" customWidth="1"/>
    <col min="19" max="20" width="15.7265625" style="12" customWidth="1"/>
    <col min="21" max="21" width="40.7265625" style="17" customWidth="1"/>
    <col min="22" max="16384" width="11.453125" style="12"/>
  </cols>
  <sheetData>
    <row r="1" spans="1:21" ht="43.5" x14ac:dyDescent="0.35">
      <c r="A1" s="10" t="s">
        <v>2</v>
      </c>
      <c r="B1" s="10" t="s">
        <v>3</v>
      </c>
      <c r="C1" s="11" t="s">
        <v>4</v>
      </c>
      <c r="D1" s="10" t="s">
        <v>152</v>
      </c>
      <c r="E1" s="10" t="s">
        <v>153</v>
      </c>
      <c r="F1" s="10" t="s">
        <v>154</v>
      </c>
      <c r="G1" s="10" t="s">
        <v>155</v>
      </c>
      <c r="H1" s="11" t="s">
        <v>21</v>
      </c>
      <c r="I1" s="11" t="s">
        <v>22</v>
      </c>
      <c r="J1" s="10" t="s">
        <v>156</v>
      </c>
      <c r="K1" s="10" t="s">
        <v>157</v>
      </c>
      <c r="L1" s="10" t="s">
        <v>158</v>
      </c>
      <c r="M1" s="10" t="s">
        <v>151</v>
      </c>
      <c r="N1" s="10" t="s">
        <v>159</v>
      </c>
      <c r="O1" s="10" t="s">
        <v>160</v>
      </c>
      <c r="P1" s="10" t="s">
        <v>161</v>
      </c>
      <c r="Q1" s="10" t="s">
        <v>162</v>
      </c>
      <c r="R1" s="10" t="s">
        <v>52</v>
      </c>
      <c r="S1" s="10" t="s">
        <v>53</v>
      </c>
      <c r="T1" s="10" t="s">
        <v>163</v>
      </c>
      <c r="U1" s="10" t="s">
        <v>164</v>
      </c>
    </row>
    <row r="2" spans="1:21" ht="43.5" x14ac:dyDescent="0.35">
      <c r="A2" s="13" t="s">
        <v>54</v>
      </c>
      <c r="B2" s="13" t="s">
        <v>165</v>
      </c>
      <c r="C2" s="14">
        <v>45818.384722222225</v>
      </c>
      <c r="D2" s="13" t="s">
        <v>74</v>
      </c>
      <c r="E2" s="13" t="s">
        <v>166</v>
      </c>
      <c r="F2" s="15" t="s">
        <v>75</v>
      </c>
      <c r="G2" s="13"/>
      <c r="H2" s="14">
        <v>40725</v>
      </c>
      <c r="I2" s="14"/>
      <c r="J2" s="15"/>
      <c r="K2" s="15" t="s">
        <v>167</v>
      </c>
      <c r="L2" s="13" t="s">
        <v>168</v>
      </c>
      <c r="M2" s="15" t="s">
        <v>169</v>
      </c>
      <c r="N2" s="13"/>
      <c r="O2" s="13"/>
      <c r="P2" s="13"/>
      <c r="Q2" s="13"/>
      <c r="R2" s="13"/>
      <c r="S2" s="13"/>
      <c r="T2" s="13"/>
      <c r="U2" s="15"/>
    </row>
    <row r="3" spans="1:21" ht="43.5" x14ac:dyDescent="0.35">
      <c r="A3" s="13" t="s">
        <v>54</v>
      </c>
      <c r="B3" s="13" t="s">
        <v>165</v>
      </c>
      <c r="C3" s="14">
        <v>45818.386111111111</v>
      </c>
      <c r="D3" s="13" t="s">
        <v>103</v>
      </c>
      <c r="E3" s="13" t="s">
        <v>166</v>
      </c>
      <c r="F3" s="15" t="s">
        <v>104</v>
      </c>
      <c r="G3" s="13"/>
      <c r="H3" s="14">
        <v>40725</v>
      </c>
      <c r="I3" s="14"/>
      <c r="J3" s="15" t="s">
        <v>170</v>
      </c>
      <c r="K3" s="15" t="s">
        <v>171</v>
      </c>
      <c r="L3" s="13" t="s">
        <v>168</v>
      </c>
      <c r="M3" s="15" t="s">
        <v>172</v>
      </c>
      <c r="N3" s="13"/>
      <c r="O3" s="13"/>
      <c r="P3" s="13"/>
      <c r="Q3" s="13"/>
      <c r="R3" s="13"/>
      <c r="S3" s="13"/>
      <c r="T3" s="13"/>
      <c r="U3" s="15"/>
    </row>
    <row r="4" spans="1:21" ht="43.5" x14ac:dyDescent="0.35">
      <c r="A4" s="13" t="s">
        <v>54</v>
      </c>
      <c r="B4" s="13" t="s">
        <v>165</v>
      </c>
      <c r="C4" s="14">
        <v>45818.386111111111</v>
      </c>
      <c r="D4" s="13" t="s">
        <v>76</v>
      </c>
      <c r="E4" s="13" t="s">
        <v>166</v>
      </c>
      <c r="F4" s="15" t="s">
        <v>77</v>
      </c>
      <c r="G4" s="13"/>
      <c r="H4" s="14">
        <v>40725</v>
      </c>
      <c r="I4" s="14"/>
      <c r="J4" s="15" t="s">
        <v>173</v>
      </c>
      <c r="K4" s="15" t="s">
        <v>174</v>
      </c>
      <c r="L4" s="13" t="s">
        <v>168</v>
      </c>
      <c r="M4" s="15" t="s">
        <v>175</v>
      </c>
      <c r="N4" s="13"/>
      <c r="O4" s="13"/>
      <c r="P4" s="13"/>
      <c r="Q4" s="13"/>
      <c r="R4" s="13"/>
      <c r="S4" s="13"/>
      <c r="T4" s="13"/>
      <c r="U4" s="15"/>
    </row>
    <row r="5" spans="1:21" ht="43.5" x14ac:dyDescent="0.35">
      <c r="A5" s="13" t="s">
        <v>54</v>
      </c>
      <c r="B5" s="13" t="s">
        <v>165</v>
      </c>
      <c r="C5" s="14">
        <v>45818.386111111111</v>
      </c>
      <c r="D5" s="13" t="s">
        <v>78</v>
      </c>
      <c r="E5" s="13" t="s">
        <v>166</v>
      </c>
      <c r="F5" s="15" t="s">
        <v>79</v>
      </c>
      <c r="G5" s="13"/>
      <c r="H5" s="14">
        <v>40725</v>
      </c>
      <c r="I5" s="14"/>
      <c r="J5" s="15" t="s">
        <v>176</v>
      </c>
      <c r="K5" s="15" t="s">
        <v>177</v>
      </c>
      <c r="L5" s="13" t="s">
        <v>168</v>
      </c>
      <c r="M5" s="15" t="s">
        <v>178</v>
      </c>
      <c r="N5" s="13"/>
      <c r="O5" s="13"/>
      <c r="P5" s="13"/>
      <c r="Q5" s="13"/>
      <c r="R5" s="13"/>
      <c r="S5" s="13"/>
      <c r="T5" s="13"/>
      <c r="U5" s="15"/>
    </row>
    <row r="6" spans="1:21" ht="116" x14ac:dyDescent="0.35">
      <c r="A6" s="13" t="s">
        <v>54</v>
      </c>
      <c r="B6" s="13" t="s">
        <v>165</v>
      </c>
      <c r="C6" s="14">
        <v>45818.386111111111</v>
      </c>
      <c r="D6" s="13" t="s">
        <v>80</v>
      </c>
      <c r="E6" s="13" t="s">
        <v>166</v>
      </c>
      <c r="F6" s="15" t="s">
        <v>81</v>
      </c>
      <c r="G6" s="13"/>
      <c r="H6" s="14">
        <v>40725</v>
      </c>
      <c r="I6" s="14"/>
      <c r="J6" s="15"/>
      <c r="K6" s="15" t="s">
        <v>179</v>
      </c>
      <c r="L6" s="13" t="s">
        <v>180</v>
      </c>
      <c r="M6" s="15" t="s">
        <v>181</v>
      </c>
      <c r="N6" s="13"/>
      <c r="O6" s="13"/>
      <c r="P6" s="13"/>
      <c r="Q6" s="13"/>
      <c r="R6" s="13"/>
      <c r="S6" s="13"/>
      <c r="T6" s="13"/>
      <c r="U6" s="15"/>
    </row>
    <row r="7" spans="1:21" ht="43.5" x14ac:dyDescent="0.35">
      <c r="A7" s="13" t="s">
        <v>54</v>
      </c>
      <c r="B7" s="13" t="s">
        <v>165</v>
      </c>
      <c r="C7" s="14">
        <v>45818.386111111111</v>
      </c>
      <c r="D7" s="13" t="s">
        <v>82</v>
      </c>
      <c r="E7" s="13" t="s">
        <v>166</v>
      </c>
      <c r="F7" s="15" t="s">
        <v>83</v>
      </c>
      <c r="G7" s="13"/>
      <c r="H7" s="14">
        <v>40725</v>
      </c>
      <c r="I7" s="14"/>
      <c r="J7" s="15" t="s">
        <v>176</v>
      </c>
      <c r="K7" s="15" t="s">
        <v>182</v>
      </c>
      <c r="L7" s="13" t="s">
        <v>168</v>
      </c>
      <c r="M7" s="15" t="s">
        <v>178</v>
      </c>
      <c r="N7" s="13"/>
      <c r="O7" s="13"/>
      <c r="P7" s="13"/>
      <c r="Q7" s="13"/>
      <c r="R7" s="13"/>
      <c r="S7" s="13"/>
      <c r="T7" s="13"/>
      <c r="U7" s="15"/>
    </row>
    <row r="8" spans="1:21" ht="43.5" x14ac:dyDescent="0.35">
      <c r="A8" s="13" t="s">
        <v>54</v>
      </c>
      <c r="B8" s="13" t="s">
        <v>165</v>
      </c>
      <c r="C8" s="14">
        <v>45818.386111111111</v>
      </c>
      <c r="D8" s="13" t="s">
        <v>84</v>
      </c>
      <c r="E8" s="13" t="s">
        <v>166</v>
      </c>
      <c r="F8" s="15" t="s">
        <v>85</v>
      </c>
      <c r="G8" s="13"/>
      <c r="H8" s="14">
        <v>40725</v>
      </c>
      <c r="I8" s="14"/>
      <c r="J8" s="15" t="s">
        <v>183</v>
      </c>
      <c r="K8" s="15" t="s">
        <v>184</v>
      </c>
      <c r="L8" s="13" t="s">
        <v>168</v>
      </c>
      <c r="M8" s="15" t="s">
        <v>178</v>
      </c>
      <c r="N8" s="13"/>
      <c r="O8" s="13"/>
      <c r="P8" s="13"/>
      <c r="Q8" s="13"/>
      <c r="R8" s="13"/>
      <c r="S8" s="13"/>
      <c r="T8" s="13"/>
      <c r="U8" s="15"/>
    </row>
    <row r="9" spans="1:21" ht="43.5" x14ac:dyDescent="0.35">
      <c r="A9" s="13" t="s">
        <v>54</v>
      </c>
      <c r="B9" s="13" t="s">
        <v>165</v>
      </c>
      <c r="C9" s="14">
        <v>45818.386111111111</v>
      </c>
      <c r="D9" s="13" t="s">
        <v>116</v>
      </c>
      <c r="E9" s="13" t="s">
        <v>166</v>
      </c>
      <c r="F9" s="15" t="s">
        <v>117</v>
      </c>
      <c r="G9" s="13"/>
      <c r="H9" s="14">
        <v>40725</v>
      </c>
      <c r="I9" s="14"/>
      <c r="J9" s="15" t="s">
        <v>185</v>
      </c>
      <c r="K9" s="15" t="s">
        <v>177</v>
      </c>
      <c r="L9" s="13" t="s">
        <v>168</v>
      </c>
      <c r="M9" s="15" t="s">
        <v>178</v>
      </c>
      <c r="N9" s="13"/>
      <c r="O9" s="13"/>
      <c r="P9" s="13"/>
      <c r="Q9" s="13"/>
      <c r="R9" s="13"/>
      <c r="S9" s="13"/>
      <c r="T9" s="13"/>
      <c r="U9" s="15"/>
    </row>
    <row r="10" spans="1:21" ht="43.5" x14ac:dyDescent="0.35">
      <c r="A10" s="13" t="s">
        <v>54</v>
      </c>
      <c r="B10" s="13" t="s">
        <v>165</v>
      </c>
      <c r="C10" s="14">
        <v>45818.386111111111</v>
      </c>
      <c r="D10" s="13" t="s">
        <v>118</v>
      </c>
      <c r="E10" s="13" t="s">
        <v>166</v>
      </c>
      <c r="F10" s="15" t="s">
        <v>119</v>
      </c>
      <c r="G10" s="13"/>
      <c r="H10" s="14">
        <v>40725</v>
      </c>
      <c r="I10" s="14"/>
      <c r="J10" s="15" t="s">
        <v>185</v>
      </c>
      <c r="K10" s="15" t="s">
        <v>182</v>
      </c>
      <c r="L10" s="13" t="s">
        <v>168</v>
      </c>
      <c r="M10" s="15" t="s">
        <v>178</v>
      </c>
      <c r="N10" s="13"/>
      <c r="O10" s="13"/>
      <c r="P10" s="13"/>
      <c r="Q10" s="13"/>
      <c r="R10" s="13"/>
      <c r="S10" s="13"/>
      <c r="T10" s="13"/>
      <c r="U10" s="15"/>
    </row>
    <row r="11" spans="1:21" ht="43.5" x14ac:dyDescent="0.35">
      <c r="A11" s="13" t="s">
        <v>54</v>
      </c>
      <c r="B11" s="13" t="s">
        <v>165</v>
      </c>
      <c r="C11" s="14">
        <v>45818.386111111111</v>
      </c>
      <c r="D11" s="13" t="s">
        <v>105</v>
      </c>
      <c r="E11" s="13" t="s">
        <v>166</v>
      </c>
      <c r="F11" s="15" t="s">
        <v>106</v>
      </c>
      <c r="G11" s="13"/>
      <c r="H11" s="14">
        <v>40725</v>
      </c>
      <c r="I11" s="14"/>
      <c r="J11" s="15" t="s">
        <v>186</v>
      </c>
      <c r="K11" s="15" t="s">
        <v>177</v>
      </c>
      <c r="L11" s="13" t="s">
        <v>168</v>
      </c>
      <c r="M11" s="15" t="s">
        <v>178</v>
      </c>
      <c r="N11" s="13"/>
      <c r="O11" s="13"/>
      <c r="P11" s="13"/>
      <c r="Q11" s="13"/>
      <c r="R11" s="13"/>
      <c r="S11" s="13"/>
      <c r="T11" s="13"/>
      <c r="U11" s="15"/>
    </row>
    <row r="12" spans="1:21" ht="58" x14ac:dyDescent="0.35">
      <c r="A12" s="13" t="s">
        <v>54</v>
      </c>
      <c r="B12" s="13" t="s">
        <v>165</v>
      </c>
      <c r="C12" s="14">
        <v>45818.386111111111</v>
      </c>
      <c r="D12" s="13" t="s">
        <v>107</v>
      </c>
      <c r="E12" s="13" t="s">
        <v>166</v>
      </c>
      <c r="F12" s="15" t="s">
        <v>108</v>
      </c>
      <c r="G12" s="13"/>
      <c r="H12" s="14">
        <v>40725</v>
      </c>
      <c r="I12" s="14"/>
      <c r="J12" s="15" t="s">
        <v>186</v>
      </c>
      <c r="K12" s="15" t="s">
        <v>187</v>
      </c>
      <c r="L12" s="13" t="s">
        <v>168</v>
      </c>
      <c r="M12" s="15" t="s">
        <v>178</v>
      </c>
      <c r="N12" s="13"/>
      <c r="O12" s="13"/>
      <c r="P12" s="13"/>
      <c r="Q12" s="13"/>
      <c r="R12" s="13"/>
      <c r="S12" s="13"/>
      <c r="T12" s="13"/>
      <c r="U12" s="15"/>
    </row>
    <row r="13" spans="1:21" ht="58" x14ac:dyDescent="0.35">
      <c r="A13" s="13" t="s">
        <v>54</v>
      </c>
      <c r="B13" s="13" t="s">
        <v>165</v>
      </c>
      <c r="C13" s="14">
        <v>45818.386111111111</v>
      </c>
      <c r="D13" s="13" t="s">
        <v>120</v>
      </c>
      <c r="E13" s="13" t="s">
        <v>166</v>
      </c>
      <c r="F13" s="15" t="s">
        <v>121</v>
      </c>
      <c r="G13" s="13"/>
      <c r="H13" s="14">
        <v>40725</v>
      </c>
      <c r="I13" s="14"/>
      <c r="J13" s="15"/>
      <c r="K13" s="15" t="s">
        <v>188</v>
      </c>
      <c r="L13" s="13" t="s">
        <v>168</v>
      </c>
      <c r="M13" s="15" t="s">
        <v>178</v>
      </c>
      <c r="N13" s="13"/>
      <c r="O13" s="13"/>
      <c r="P13" s="13"/>
      <c r="Q13" s="13"/>
      <c r="R13" s="13"/>
      <c r="S13" s="13"/>
      <c r="T13" s="13"/>
      <c r="U13" s="15"/>
    </row>
    <row r="14" spans="1:21" ht="43.5" x14ac:dyDescent="0.35">
      <c r="A14" s="13" t="s">
        <v>54</v>
      </c>
      <c r="B14" s="13" t="s">
        <v>165</v>
      </c>
      <c r="C14" s="14">
        <v>45818.386111111111</v>
      </c>
      <c r="D14" s="13" t="s">
        <v>109</v>
      </c>
      <c r="E14" s="13" t="s">
        <v>166</v>
      </c>
      <c r="F14" s="15" t="s">
        <v>110</v>
      </c>
      <c r="G14" s="13"/>
      <c r="H14" s="14">
        <v>40725</v>
      </c>
      <c r="I14" s="14"/>
      <c r="J14" s="15"/>
      <c r="K14" s="15" t="s">
        <v>189</v>
      </c>
      <c r="L14" s="13" t="s">
        <v>168</v>
      </c>
      <c r="M14" s="15" t="s">
        <v>178</v>
      </c>
      <c r="N14" s="13"/>
      <c r="O14" s="13"/>
      <c r="P14" s="13"/>
      <c r="Q14" s="13"/>
      <c r="R14" s="13"/>
      <c r="S14" s="13"/>
      <c r="T14" s="13"/>
      <c r="U14" s="15"/>
    </row>
    <row r="15" spans="1:21" ht="29" x14ac:dyDescent="0.35">
      <c r="A15" s="13" t="s">
        <v>54</v>
      </c>
      <c r="B15" s="13" t="s">
        <v>165</v>
      </c>
      <c r="C15" s="14">
        <v>45818.386111111111</v>
      </c>
      <c r="D15" s="13" t="s">
        <v>86</v>
      </c>
      <c r="E15" s="13" t="s">
        <v>166</v>
      </c>
      <c r="F15" s="15" t="s">
        <v>87</v>
      </c>
      <c r="G15" s="13"/>
      <c r="H15" s="14">
        <v>40725</v>
      </c>
      <c r="I15" s="14"/>
      <c r="J15" s="15"/>
      <c r="K15" s="15" t="s">
        <v>190</v>
      </c>
      <c r="L15" s="13" t="s">
        <v>168</v>
      </c>
      <c r="M15" s="15" t="s">
        <v>191</v>
      </c>
      <c r="N15" s="13"/>
      <c r="O15" s="13"/>
      <c r="P15" s="13"/>
      <c r="Q15" s="13"/>
      <c r="R15" s="13"/>
      <c r="S15" s="13"/>
      <c r="T15" s="13"/>
      <c r="U15" s="15"/>
    </row>
    <row r="16" spans="1:21" ht="29" x14ac:dyDescent="0.35">
      <c r="A16" s="13" t="s">
        <v>54</v>
      </c>
      <c r="B16" s="13" t="s">
        <v>165</v>
      </c>
      <c r="C16" s="14">
        <v>45818.386111111111</v>
      </c>
      <c r="D16" s="13" t="s">
        <v>88</v>
      </c>
      <c r="E16" s="13" t="s">
        <v>166</v>
      </c>
      <c r="F16" s="15" t="s">
        <v>89</v>
      </c>
      <c r="G16" s="13"/>
      <c r="H16" s="14">
        <v>40725</v>
      </c>
      <c r="I16" s="14"/>
      <c r="J16" s="15"/>
      <c r="K16" s="15" t="s">
        <v>192</v>
      </c>
      <c r="L16" s="13" t="s">
        <v>168</v>
      </c>
      <c r="M16" s="15" t="s">
        <v>193</v>
      </c>
      <c r="N16" s="13"/>
      <c r="O16" s="13"/>
      <c r="P16" s="13"/>
      <c r="Q16" s="13"/>
      <c r="R16" s="13"/>
      <c r="S16" s="13"/>
      <c r="T16" s="13"/>
      <c r="U16" s="15"/>
    </row>
    <row r="17" spans="1:21" ht="58" x14ac:dyDescent="0.35">
      <c r="A17" s="13" t="s">
        <v>54</v>
      </c>
      <c r="B17" s="13" t="s">
        <v>165</v>
      </c>
      <c r="C17" s="14">
        <v>45818.386111111111</v>
      </c>
      <c r="D17" s="13" t="s">
        <v>90</v>
      </c>
      <c r="E17" s="13" t="s">
        <v>166</v>
      </c>
      <c r="F17" s="15" t="s">
        <v>91</v>
      </c>
      <c r="G17" s="13"/>
      <c r="H17" s="14">
        <v>40725</v>
      </c>
      <c r="I17" s="14"/>
      <c r="J17" s="15"/>
      <c r="K17" s="15" t="s">
        <v>194</v>
      </c>
      <c r="L17" s="13" t="s">
        <v>168</v>
      </c>
      <c r="M17" s="15" t="s">
        <v>178</v>
      </c>
      <c r="N17" s="13"/>
      <c r="O17" s="13"/>
      <c r="P17" s="13"/>
      <c r="Q17" s="13"/>
      <c r="R17" s="13"/>
      <c r="S17" s="13"/>
      <c r="T17" s="13"/>
      <c r="U17" s="15"/>
    </row>
    <row r="18" spans="1:21" ht="43.5" x14ac:dyDescent="0.35">
      <c r="A18" s="13" t="s">
        <v>54</v>
      </c>
      <c r="B18" s="13" t="s">
        <v>165</v>
      </c>
      <c r="C18" s="14">
        <v>45818.386111111111</v>
      </c>
      <c r="D18" s="13" t="s">
        <v>94</v>
      </c>
      <c r="E18" s="13" t="s">
        <v>166</v>
      </c>
      <c r="F18" s="15" t="s">
        <v>95</v>
      </c>
      <c r="G18" s="13"/>
      <c r="H18" s="14">
        <v>40725</v>
      </c>
      <c r="I18" s="14"/>
      <c r="J18" s="15" t="s">
        <v>195</v>
      </c>
      <c r="K18" s="15" t="s">
        <v>177</v>
      </c>
      <c r="L18" s="13" t="s">
        <v>168</v>
      </c>
      <c r="M18" s="15" t="s">
        <v>178</v>
      </c>
      <c r="N18" s="13"/>
      <c r="O18" s="13"/>
      <c r="P18" s="13"/>
      <c r="Q18" s="13"/>
      <c r="R18" s="13"/>
      <c r="S18" s="13"/>
      <c r="T18" s="13"/>
      <c r="U18" s="15"/>
    </row>
    <row r="19" spans="1:21" ht="43.5" x14ac:dyDescent="0.35">
      <c r="A19" s="13" t="s">
        <v>54</v>
      </c>
      <c r="B19" s="13" t="s">
        <v>165</v>
      </c>
      <c r="C19" s="14">
        <v>45818.386111111111</v>
      </c>
      <c r="D19" s="13" t="s">
        <v>96</v>
      </c>
      <c r="E19" s="13" t="s">
        <v>166</v>
      </c>
      <c r="F19" s="15" t="s">
        <v>97</v>
      </c>
      <c r="G19" s="13"/>
      <c r="H19" s="14">
        <v>40725</v>
      </c>
      <c r="I19" s="14"/>
      <c r="J19" s="15" t="s">
        <v>195</v>
      </c>
      <c r="K19" s="15" t="s">
        <v>182</v>
      </c>
      <c r="L19" s="13" t="s">
        <v>168</v>
      </c>
      <c r="M19" s="15" t="s">
        <v>178</v>
      </c>
      <c r="N19" s="13"/>
      <c r="O19" s="13"/>
      <c r="P19" s="13"/>
      <c r="Q19" s="13"/>
      <c r="R19" s="13"/>
      <c r="S19" s="13"/>
      <c r="T19" s="13"/>
      <c r="U19" s="15"/>
    </row>
    <row r="20" spans="1:21" ht="43.5" x14ac:dyDescent="0.35">
      <c r="A20" s="13" t="s">
        <v>54</v>
      </c>
      <c r="B20" s="13" t="s">
        <v>165</v>
      </c>
      <c r="C20" s="14">
        <v>45818.386111111111</v>
      </c>
      <c r="D20" s="13" t="s">
        <v>92</v>
      </c>
      <c r="E20" s="13" t="s">
        <v>166</v>
      </c>
      <c r="F20" s="15" t="s">
        <v>93</v>
      </c>
      <c r="G20" s="13"/>
      <c r="H20" s="14">
        <v>40725</v>
      </c>
      <c r="I20" s="14"/>
      <c r="J20" s="15"/>
      <c r="K20" s="15" t="s">
        <v>196</v>
      </c>
      <c r="L20" s="13" t="s">
        <v>168</v>
      </c>
      <c r="M20" s="15" t="s">
        <v>197</v>
      </c>
      <c r="N20" s="13"/>
      <c r="O20" s="13"/>
      <c r="P20" s="13"/>
      <c r="Q20" s="13"/>
      <c r="R20" s="13"/>
      <c r="S20" s="13"/>
      <c r="T20" s="13"/>
      <c r="U20" s="15"/>
    </row>
    <row r="21" spans="1:21" ht="101.5" x14ac:dyDescent="0.35">
      <c r="A21" s="13" t="s">
        <v>54</v>
      </c>
      <c r="B21" s="13" t="s">
        <v>165</v>
      </c>
      <c r="C21" s="14">
        <v>45818.386111111111</v>
      </c>
      <c r="D21" s="13" t="s">
        <v>147</v>
      </c>
      <c r="E21" s="13" t="s">
        <v>166</v>
      </c>
      <c r="F21" s="15" t="s">
        <v>148</v>
      </c>
      <c r="G21" s="13"/>
      <c r="H21" s="14">
        <v>40725</v>
      </c>
      <c r="I21" s="14"/>
      <c r="J21" s="15"/>
      <c r="K21" s="15" t="s">
        <v>198</v>
      </c>
      <c r="L21" s="13" t="s">
        <v>180</v>
      </c>
      <c r="M21" s="15" t="s">
        <v>199</v>
      </c>
      <c r="N21" s="13"/>
      <c r="O21" s="13"/>
      <c r="P21" s="13"/>
      <c r="Q21" s="13"/>
      <c r="R21" s="13"/>
      <c r="S21" s="13"/>
      <c r="T21" s="13"/>
      <c r="U21" s="15"/>
    </row>
    <row r="22" spans="1:21" ht="87" x14ac:dyDescent="0.35">
      <c r="A22" s="13" t="s">
        <v>54</v>
      </c>
      <c r="B22" s="13" t="s">
        <v>165</v>
      </c>
      <c r="C22" s="14">
        <v>45818.386111111111</v>
      </c>
      <c r="D22" s="13" t="s">
        <v>149</v>
      </c>
      <c r="E22" s="13" t="s">
        <v>166</v>
      </c>
      <c r="F22" s="15" t="s">
        <v>150</v>
      </c>
      <c r="G22" s="13"/>
      <c r="H22" s="14">
        <v>40725</v>
      </c>
      <c r="I22" s="14"/>
      <c r="J22" s="15"/>
      <c r="K22" s="15" t="s">
        <v>200</v>
      </c>
      <c r="L22" s="13" t="s">
        <v>168</v>
      </c>
      <c r="M22" s="15" t="s">
        <v>201</v>
      </c>
      <c r="N22" s="13"/>
      <c r="O22" s="13"/>
      <c r="P22" s="13"/>
      <c r="Q22" s="13"/>
      <c r="R22" s="13"/>
      <c r="S22" s="13"/>
      <c r="T22" s="13"/>
      <c r="U22" s="15"/>
    </row>
    <row r="23" spans="1:21" ht="29" x14ac:dyDescent="0.35">
      <c r="A23" s="13" t="s">
        <v>54</v>
      </c>
      <c r="B23" s="13" t="s">
        <v>55</v>
      </c>
      <c r="C23" s="14">
        <v>45818.387499999997</v>
      </c>
      <c r="D23" s="13" t="s">
        <v>137</v>
      </c>
      <c r="E23" s="13" t="s">
        <v>166</v>
      </c>
      <c r="F23" s="15" t="s">
        <v>138</v>
      </c>
      <c r="G23" s="13"/>
      <c r="H23" s="14">
        <v>40725</v>
      </c>
      <c r="I23" s="14"/>
      <c r="J23" s="15"/>
      <c r="K23" s="15" t="s">
        <v>202</v>
      </c>
      <c r="L23" s="13" t="s">
        <v>168</v>
      </c>
      <c r="M23" s="15" t="s">
        <v>203</v>
      </c>
      <c r="N23" s="13"/>
      <c r="O23" s="13"/>
      <c r="P23" s="13"/>
      <c r="Q23" s="13"/>
      <c r="R23" s="13"/>
      <c r="S23" s="13"/>
      <c r="T23" s="13"/>
      <c r="U23" s="15"/>
    </row>
    <row r="24" spans="1:21" x14ac:dyDescent="0.35">
      <c r="C24" s="16"/>
      <c r="H24" s="16"/>
      <c r="I24" s="16"/>
    </row>
    <row r="25" spans="1:21" x14ac:dyDescent="0.35">
      <c r="C25" s="16"/>
      <c r="H25" s="16"/>
      <c r="I25" s="16"/>
    </row>
    <row r="26" spans="1:21" x14ac:dyDescent="0.35">
      <c r="C26" s="16"/>
      <c r="H26" s="16"/>
      <c r="I26" s="16"/>
    </row>
    <row r="27" spans="1:21" x14ac:dyDescent="0.35">
      <c r="C27" s="16"/>
      <c r="H27" s="16"/>
      <c r="I27" s="16"/>
    </row>
    <row r="28" spans="1:21" x14ac:dyDescent="0.35">
      <c r="C28" s="16"/>
      <c r="H28" s="16"/>
      <c r="I28" s="16"/>
    </row>
    <row r="29" spans="1:21" x14ac:dyDescent="0.35">
      <c r="C29" s="16"/>
      <c r="H29" s="16"/>
      <c r="I29" s="16"/>
    </row>
    <row r="30" spans="1:21" x14ac:dyDescent="0.35">
      <c r="C30" s="16"/>
      <c r="H30" s="16"/>
      <c r="I30" s="16"/>
    </row>
    <row r="31" spans="1:21" x14ac:dyDescent="0.35">
      <c r="C31" s="16"/>
      <c r="H31" s="16"/>
      <c r="I31" s="16"/>
    </row>
    <row r="32" spans="1:21" x14ac:dyDescent="0.35">
      <c r="C32" s="16"/>
      <c r="H32" s="16"/>
      <c r="I32" s="16"/>
    </row>
    <row r="33" spans="3:9" x14ac:dyDescent="0.35">
      <c r="C33" s="16"/>
      <c r="H33" s="16"/>
      <c r="I33" s="16"/>
    </row>
    <row r="34" spans="3:9" x14ac:dyDescent="0.35">
      <c r="C34" s="16"/>
      <c r="H34" s="16"/>
      <c r="I34" s="16"/>
    </row>
    <row r="35" spans="3:9" x14ac:dyDescent="0.35">
      <c r="C35" s="16"/>
      <c r="H35" s="16"/>
      <c r="I35" s="16"/>
    </row>
    <row r="36" spans="3:9" x14ac:dyDescent="0.35">
      <c r="C36" s="16"/>
      <c r="H36" s="16"/>
      <c r="I36" s="16"/>
    </row>
    <row r="37" spans="3:9" x14ac:dyDescent="0.35">
      <c r="C37" s="16"/>
      <c r="H37" s="16"/>
      <c r="I37" s="16"/>
    </row>
    <row r="38" spans="3:9" x14ac:dyDescent="0.35">
      <c r="C38" s="16"/>
      <c r="H38" s="16"/>
      <c r="I38" s="16"/>
    </row>
    <row r="39" spans="3:9" x14ac:dyDescent="0.35">
      <c r="C39" s="16"/>
      <c r="H39" s="16"/>
      <c r="I39" s="16"/>
    </row>
    <row r="40" spans="3:9" x14ac:dyDescent="0.35">
      <c r="C40" s="16"/>
      <c r="H40" s="16"/>
      <c r="I40" s="16"/>
    </row>
    <row r="41" spans="3:9" x14ac:dyDescent="0.35">
      <c r="C41" s="16"/>
      <c r="H41" s="16"/>
      <c r="I41" s="16"/>
    </row>
    <row r="42" spans="3:9" x14ac:dyDescent="0.35">
      <c r="C42" s="16"/>
      <c r="H42" s="16"/>
      <c r="I42" s="16"/>
    </row>
    <row r="43" spans="3:9" x14ac:dyDescent="0.35">
      <c r="C43" s="16"/>
      <c r="H43" s="16"/>
      <c r="I43" s="16"/>
    </row>
    <row r="44" spans="3:9" x14ac:dyDescent="0.35">
      <c r="C44" s="16"/>
      <c r="H44" s="16"/>
      <c r="I44" s="16"/>
    </row>
    <row r="45" spans="3:9" x14ac:dyDescent="0.35">
      <c r="C45" s="16"/>
      <c r="H45" s="16"/>
      <c r="I45" s="16"/>
    </row>
    <row r="46" spans="3:9" x14ac:dyDescent="0.35">
      <c r="C46" s="16"/>
      <c r="H46" s="16"/>
      <c r="I46" s="16"/>
    </row>
    <row r="47" spans="3:9" x14ac:dyDescent="0.35">
      <c r="C47" s="16"/>
      <c r="H47" s="16"/>
      <c r="I47" s="16"/>
    </row>
    <row r="48" spans="3:9" x14ac:dyDescent="0.35">
      <c r="C48" s="16"/>
      <c r="H48" s="16"/>
      <c r="I48" s="16"/>
    </row>
    <row r="49" spans="3:9" x14ac:dyDescent="0.35">
      <c r="C49" s="16"/>
      <c r="H49" s="16"/>
      <c r="I49" s="16"/>
    </row>
  </sheetData>
  <autoFilter ref="A1:Z23" xr:uid="{1A34FAF2-759B-4633-AA0C-34FDDDBB3A0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Mode opératoire</vt:lpstr>
      <vt:lpstr>Axe 1 Enchainement des RG</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2025-06-12T11:44:05Z</dcterms:created>
  <dcterms:modified xsi:type="dcterms:W3CDTF">2026-01-14T09:15:43Z</dcterms:modified>
</cp:coreProperties>
</file>