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BDCB7F35-F993-412C-932E-2180AADCF118}" xr6:coauthVersionLast="47" xr6:coauthVersionMax="47" xr10:uidLastSave="{00000000-0000-0000-0000-000000000000}"/>
  <bookViews>
    <workbookView xWindow="-110" yWindow="-110" windowWidth="19420" windowHeight="11500" xr2:uid="{52F78F4B-6C58-4C94-9D09-F87143FBD6C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6" i="5" l="1"/>
  <c r="Z5" i="5"/>
  <c r="Z4" i="5"/>
  <c r="Z3" i="5"/>
  <c r="Z2" i="5"/>
</calcChain>
</file>

<file path=xl/sharedStrings.xml><?xml version="1.0" encoding="utf-8"?>
<sst xmlns="http://schemas.openxmlformats.org/spreadsheetml/2006/main" count="590" uniqueCount="100">
  <si>
    <t>MODE OPERATOIRE</t>
  </si>
  <si>
    <t>Une fois l'ensemble des mouvements créés pour une remise de paie d'un mois donné, les contrôles s'effectuent successivement sur les mouvements de type 67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</si>
  <si>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</si>
  <si>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</si>
  <si>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</si>
  <si>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</si>
  <si>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</si>
  <si>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</si>
  <si>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</si>
  <si>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</si>
  <si>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</si>
  <si>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</si>
  <si>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</si>
  <si>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</si>
  <si>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</si>
  <si>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</si>
  <si>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</si>
  <si>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</si>
  <si>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</si>
  <si>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</si>
  <si>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</si>
  <si>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</si>
  <si>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</si>
  <si>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</si>
  <si>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</si>
  <si>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</si>
  <si>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</si>
  <si>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FIME</t>
  </si>
  <si>
    <t>Statut de travail</t>
  </si>
  <si>
    <t>25.10.00</t>
  </si>
  <si>
    <t>A</t>
  </si>
  <si>
    <t>D0016</t>
  </si>
  <si>
    <t>Contrôles PAY</t>
  </si>
  <si>
    <t>S0186</t>
  </si>
  <si>
    <t>Mouvement 67</t>
  </si>
  <si>
    <t>E1014</t>
  </si>
  <si>
    <t>Contrôles d'alimentation du mouvement 67</t>
  </si>
  <si>
    <t>La date d'effet d'un mouvement 67 est saisie</t>
  </si>
  <si>
    <t>BG67_DAT_EFF [BG_Occurrence_courante] &lt;&gt; Vide</t>
  </si>
  <si>
    <t>T2451</t>
  </si>
  <si>
    <t>Création Modification</t>
  </si>
  <si>
    <t/>
  </si>
  <si>
    <t>Titulaire ou magistrat</t>
  </si>
  <si>
    <t>P0001</t>
  </si>
  <si>
    <t>T</t>
  </si>
  <si>
    <t>Général</t>
  </si>
  <si>
    <t>Passant</t>
  </si>
  <si>
    <t>G67_C_001</t>
  </si>
  <si>
    <t>Si au moins 1 journée de carence est envoyée dans le mouvement 67 alors dans la même remise de paie à la même date d'effet on doit trouver un mouvement 02 avec REM 09 (CMO90%) ou REM 10 (CMO50%).</t>
  </si>
  <si>
    <t>Militaire</t>
  </si>
  <si>
    <t>P0002</t>
  </si>
  <si>
    <t>M</t>
  </si>
  <si>
    <t>Contractuel</t>
  </si>
  <si>
    <t>P0003</t>
  </si>
  <si>
    <t>N</t>
  </si>
  <si>
    <t>Stagiaire ou auditeur ou élève</t>
  </si>
  <si>
    <t>P0004</t>
  </si>
  <si>
    <t>S</t>
  </si>
  <si>
    <t>Ouvrier d'état</t>
  </si>
  <si>
    <t>P0005</t>
  </si>
  <si>
    <t>O</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</si>
  <si>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</si>
  <si>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</si>
  <si>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</si>
  <si>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</si>
  <si>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</si>
  <si>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</si>
  <si>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</si>
  <si>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</si>
  <si>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</si>
  <si>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</si>
  <si>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</si>
  <si>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</si>
  <si>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</si>
  <si>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</si>
  <si>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</si>
  <si>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</si>
  <si>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</si>
  <si>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</si>
  <si>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</si>
  <si>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</si>
  <si>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</si>
  <si>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</si>
  <si>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</si>
  <si>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</si>
  <si>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</si>
  <si>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</si>
  <si>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</si>
  <si>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</si>
  <si>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</si>
  <si>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</si>
  <si>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</si>
  <si>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</si>
  <si>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</si>
  <si>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02.58</t>
  </si>
  <si>
    <t>SI BG67_NBJ_CAR [BG_Occurrence_courante] &lt;&gt; VIDE</t>
  </si>
  <si>
    <t>BG67_DAT_EFF [BG_Occurrence_courante] = BG02_DAT_EFF [Autres occurrences] POUR BG02_REM [Autres occurrences] DANS ('09', '10')</t>
  </si>
  <si>
    <t>Non Bloquant</t>
  </si>
  <si>
    <t>Références CG règles PAY 02.58</t>
  </si>
  <si>
    <t>P0001 / P0002 / P0003 / P0004 / P0005 - E1014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</si>
</sst>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493A-796A-42E6-80EB-D786C11D23F9}">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2009-C9F2-481D-BFB2-D8EF176E9907}">
  <dimension ref="A1:AB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9.6328125" style="23" customWidth="1"/>
    <col min="28" max="28" width="15.6328125" style="24" customWidth="1"/>
    <col min="29" max="16384" width="10.90625" style="13"/>
  </cols>
  <sheetData>
    <row r="1" spans="1:2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0" t="s">
        <v>27</v>
      </c>
      <c r="AB1" s="10" t="s">
        <v>28</v>
      </c>
    </row>
    <row r="2" spans="1:28" ht="116" x14ac:dyDescent="0.35">
      <c r="A2" s="14" t="s">
        <v>29</v>
      </c>
      <c r="B2" s="14" t="s">
        <v>30</v>
      </c>
      <c r="C2" s="15">
        <v>45910.635416666664</v>
      </c>
      <c r="D2" s="14" t="s">
        <v>31</v>
      </c>
      <c r="E2" s="16" t="s">
        <v>32</v>
      </c>
      <c r="F2" s="14" t="s">
        <v>33</v>
      </c>
      <c r="G2" s="16" t="s">
        <v>34</v>
      </c>
      <c r="H2" s="14" t="s">
        <v>35</v>
      </c>
      <c r="I2" s="16" t="s">
        <v>36</v>
      </c>
      <c r="J2" s="16" t="s">
        <v>37</v>
      </c>
      <c r="K2" s="16" t="s">
        <v>38</v>
      </c>
      <c r="L2" s="14" t="s">
        <v>39</v>
      </c>
      <c r="M2" s="16" t="s">
        <v>34</v>
      </c>
      <c r="N2" s="14" t="s">
        <v>40</v>
      </c>
      <c r="O2" s="16" t="s">
        <v>41</v>
      </c>
      <c r="P2" s="16" t="s">
        <v>41</v>
      </c>
      <c r="Q2" s="16" t="s">
        <v>42</v>
      </c>
      <c r="R2" s="14" t="s">
        <v>43</v>
      </c>
      <c r="S2" s="14" t="s">
        <v>44</v>
      </c>
      <c r="T2" s="14" t="s">
        <v>45</v>
      </c>
      <c r="U2" s="14" t="s">
        <v>46</v>
      </c>
      <c r="V2" s="15">
        <v>45717</v>
      </c>
      <c r="W2" s="15"/>
      <c r="X2" s="16" t="s">
        <v>47</v>
      </c>
      <c r="Y2" s="17" t="s">
        <v>47</v>
      </c>
      <c r="Z2" s="18" t="str">
        <f>VLOOKUP(Y2,'Axe 2 Règles de gestion'!$D$2:$F$2,3, FALSE)</f>
        <v>Si au moins 1 journée de carence est envoyée dans le mouvement 67 alors dans la même remise de paie à la même date d'effet on doit trouver un mouvement 02 avec REM 09 (CMO90%) ou REM 10 (CMO50%).</v>
      </c>
      <c r="AA2" s="14" t="s">
        <v>41</v>
      </c>
      <c r="AB2" s="16" t="s">
        <v>41</v>
      </c>
    </row>
    <row r="3" spans="1:28" ht="116" x14ac:dyDescent="0.35">
      <c r="A3" s="14" t="s">
        <v>29</v>
      </c>
      <c r="B3" s="14" t="s">
        <v>30</v>
      </c>
      <c r="C3" s="15">
        <v>45910.636805555558</v>
      </c>
      <c r="D3" s="14" t="s">
        <v>31</v>
      </c>
      <c r="E3" s="16" t="s">
        <v>32</v>
      </c>
      <c r="F3" s="14" t="s">
        <v>33</v>
      </c>
      <c r="G3" s="16" t="s">
        <v>34</v>
      </c>
      <c r="H3" s="14" t="s">
        <v>35</v>
      </c>
      <c r="I3" s="16" t="s">
        <v>36</v>
      </c>
      <c r="J3" s="16" t="s">
        <v>37</v>
      </c>
      <c r="K3" s="16" t="s">
        <v>38</v>
      </c>
      <c r="L3" s="14" t="s">
        <v>39</v>
      </c>
      <c r="M3" s="16" t="s">
        <v>34</v>
      </c>
      <c r="N3" s="14" t="s">
        <v>40</v>
      </c>
      <c r="O3" s="16" t="s">
        <v>41</v>
      </c>
      <c r="P3" s="16" t="s">
        <v>41</v>
      </c>
      <c r="Q3" s="16" t="s">
        <v>49</v>
      </c>
      <c r="R3" s="14" t="s">
        <v>50</v>
      </c>
      <c r="S3" s="14" t="s">
        <v>51</v>
      </c>
      <c r="T3" s="14" t="s">
        <v>45</v>
      </c>
      <c r="U3" s="14" t="s">
        <v>46</v>
      </c>
      <c r="V3" s="15">
        <v>45717</v>
      </c>
      <c r="W3" s="15"/>
      <c r="X3" s="16" t="s">
        <v>47</v>
      </c>
      <c r="Y3" s="17" t="s">
        <v>47</v>
      </c>
      <c r="Z3" s="18" t="str">
        <f>VLOOKUP(Y3,'Axe 2 Règles de gestion'!$D$2:$F$2,3, FALSE)</f>
        <v>Si au moins 1 journée de carence est envoyée dans le mouvement 67 alors dans la même remise de paie à la même date d'effet on doit trouver un mouvement 02 avec REM 09 (CMO90%) ou REM 10 (CMO50%).</v>
      </c>
      <c r="AA3" s="14" t="s">
        <v>41</v>
      </c>
      <c r="AB3" s="16" t="s">
        <v>41</v>
      </c>
    </row>
    <row r="4" spans="1:28" ht="116" x14ac:dyDescent="0.35">
      <c r="A4" s="14" t="s">
        <v>29</v>
      </c>
      <c r="B4" s="14" t="s">
        <v>30</v>
      </c>
      <c r="C4" s="15">
        <v>45910.636111111111</v>
      </c>
      <c r="D4" s="14" t="s">
        <v>31</v>
      </c>
      <c r="E4" s="16" t="s">
        <v>32</v>
      </c>
      <c r="F4" s="14" t="s">
        <v>33</v>
      </c>
      <c r="G4" s="16" t="s">
        <v>34</v>
      </c>
      <c r="H4" s="14" t="s">
        <v>35</v>
      </c>
      <c r="I4" s="16" t="s">
        <v>36</v>
      </c>
      <c r="J4" s="16" t="s">
        <v>37</v>
      </c>
      <c r="K4" s="16" t="s">
        <v>38</v>
      </c>
      <c r="L4" s="14" t="s">
        <v>39</v>
      </c>
      <c r="M4" s="16" t="s">
        <v>34</v>
      </c>
      <c r="N4" s="14" t="s">
        <v>40</v>
      </c>
      <c r="O4" s="16" t="s">
        <v>41</v>
      </c>
      <c r="P4" s="16" t="s">
        <v>41</v>
      </c>
      <c r="Q4" s="16" t="s">
        <v>52</v>
      </c>
      <c r="R4" s="14" t="s">
        <v>53</v>
      </c>
      <c r="S4" s="14" t="s">
        <v>54</v>
      </c>
      <c r="T4" s="14" t="s">
        <v>45</v>
      </c>
      <c r="U4" s="14" t="s">
        <v>46</v>
      </c>
      <c r="V4" s="15">
        <v>45717</v>
      </c>
      <c r="W4" s="15"/>
      <c r="X4" s="16" t="s">
        <v>47</v>
      </c>
      <c r="Y4" s="17" t="s">
        <v>47</v>
      </c>
      <c r="Z4" s="18" t="str">
        <f>VLOOKUP(Y4,'Axe 2 Règles de gestion'!$D$2:$F$2,3, FALSE)</f>
        <v>Si au moins 1 journée de carence est envoyée dans le mouvement 67 alors dans la même remise de paie à la même date d'effet on doit trouver un mouvement 02 avec REM 09 (CMO90%) ou REM 10 (CMO50%).</v>
      </c>
      <c r="AA4" s="14" t="s">
        <v>41</v>
      </c>
      <c r="AB4" s="16" t="s">
        <v>41</v>
      </c>
    </row>
    <row r="5" spans="1:28" ht="116" x14ac:dyDescent="0.35">
      <c r="A5" s="14" t="s">
        <v>29</v>
      </c>
      <c r="B5" s="14" t="s">
        <v>30</v>
      </c>
      <c r="C5" s="15">
        <v>45910.636111111111</v>
      </c>
      <c r="D5" s="14" t="s">
        <v>31</v>
      </c>
      <c r="E5" s="16" t="s">
        <v>32</v>
      </c>
      <c r="F5" s="14" t="s">
        <v>33</v>
      </c>
      <c r="G5" s="16" t="s">
        <v>34</v>
      </c>
      <c r="H5" s="14" t="s">
        <v>35</v>
      </c>
      <c r="I5" s="16" t="s">
        <v>36</v>
      </c>
      <c r="J5" s="16" t="s">
        <v>37</v>
      </c>
      <c r="K5" s="16" t="s">
        <v>38</v>
      </c>
      <c r="L5" s="14" t="s">
        <v>39</v>
      </c>
      <c r="M5" s="16" t="s">
        <v>34</v>
      </c>
      <c r="N5" s="14" t="s">
        <v>40</v>
      </c>
      <c r="O5" s="16" t="s">
        <v>41</v>
      </c>
      <c r="P5" s="16" t="s">
        <v>41</v>
      </c>
      <c r="Q5" s="16" t="s">
        <v>55</v>
      </c>
      <c r="R5" s="14" t="s">
        <v>56</v>
      </c>
      <c r="S5" s="14" t="s">
        <v>57</v>
      </c>
      <c r="T5" s="14" t="s">
        <v>45</v>
      </c>
      <c r="U5" s="14" t="s">
        <v>46</v>
      </c>
      <c r="V5" s="15">
        <v>45717</v>
      </c>
      <c r="W5" s="15"/>
      <c r="X5" s="16" t="s">
        <v>47</v>
      </c>
      <c r="Y5" s="17" t="s">
        <v>47</v>
      </c>
      <c r="Z5" s="18" t="str">
        <f>VLOOKUP(Y5,'Axe 2 Règles de gestion'!$D$2:$F$2,3, FALSE)</f>
        <v>Si au moins 1 journée de carence est envoyée dans le mouvement 67 alors dans la même remise de paie à la même date d'effet on doit trouver un mouvement 02 avec REM 09 (CMO90%) ou REM 10 (CMO50%).</v>
      </c>
      <c r="AA5" s="14" t="s">
        <v>41</v>
      </c>
      <c r="AB5" s="16" t="s">
        <v>41</v>
      </c>
    </row>
    <row r="6" spans="1:28" ht="116" x14ac:dyDescent="0.35">
      <c r="A6" s="14" t="s">
        <v>29</v>
      </c>
      <c r="B6" s="14" t="s">
        <v>30</v>
      </c>
      <c r="C6" s="15">
        <v>45910.636805555558</v>
      </c>
      <c r="D6" s="14" t="s">
        <v>31</v>
      </c>
      <c r="E6" s="16" t="s">
        <v>32</v>
      </c>
      <c r="F6" s="14" t="s">
        <v>33</v>
      </c>
      <c r="G6" s="16" t="s">
        <v>34</v>
      </c>
      <c r="H6" s="14" t="s">
        <v>35</v>
      </c>
      <c r="I6" s="16" t="s">
        <v>36</v>
      </c>
      <c r="J6" s="16" t="s">
        <v>37</v>
      </c>
      <c r="K6" s="16" t="s">
        <v>38</v>
      </c>
      <c r="L6" s="14" t="s">
        <v>39</v>
      </c>
      <c r="M6" s="16" t="s">
        <v>34</v>
      </c>
      <c r="N6" s="14" t="s">
        <v>40</v>
      </c>
      <c r="O6" s="16" t="s">
        <v>41</v>
      </c>
      <c r="P6" s="16" t="s">
        <v>41</v>
      </c>
      <c r="Q6" s="16" t="s">
        <v>58</v>
      </c>
      <c r="R6" s="14" t="s">
        <v>59</v>
      </c>
      <c r="S6" s="14" t="s">
        <v>60</v>
      </c>
      <c r="T6" s="14" t="s">
        <v>45</v>
      </c>
      <c r="U6" s="14" t="s">
        <v>46</v>
      </c>
      <c r="V6" s="15">
        <v>45717</v>
      </c>
      <c r="W6" s="15"/>
      <c r="X6" s="16" t="s">
        <v>47</v>
      </c>
      <c r="Y6" s="17" t="s">
        <v>47</v>
      </c>
      <c r="Z6" s="18" t="str">
        <f>VLOOKUP(Y6,'Axe 2 Règles de gestion'!$D$2:$F$2,3, FALSE)</f>
        <v>Si au moins 1 journée de carence est envoyée dans le mouvement 67 alors dans la même remise de paie à la même date d'effet on doit trouver un mouvement 02 avec REM 09 (CMO90%) ou REM 10 (CMO50%).</v>
      </c>
      <c r="AA6" s="14" t="s">
        <v>41</v>
      </c>
      <c r="AB6" s="16" t="s">
        <v>41</v>
      </c>
    </row>
    <row r="7" spans="1:28" x14ac:dyDescent="0.35">
      <c r="A7" s="19"/>
      <c r="B7" s="20"/>
      <c r="C7" s="21"/>
      <c r="D7" s="19"/>
      <c r="E7" s="20"/>
      <c r="F7" s="19"/>
      <c r="G7" s="20"/>
      <c r="H7" s="19"/>
      <c r="I7" s="20"/>
      <c r="J7" s="20" t="s">
        <v>41</v>
      </c>
      <c r="K7" s="20" t="s">
        <v>41</v>
      </c>
      <c r="L7" s="20"/>
      <c r="M7" s="20"/>
      <c r="N7" s="20" t="s">
        <v>41</v>
      </c>
      <c r="O7" s="20" t="s">
        <v>41</v>
      </c>
      <c r="P7" s="20" t="s">
        <v>41</v>
      </c>
      <c r="Q7" s="20"/>
      <c r="R7" s="20"/>
      <c r="T7" s="20"/>
      <c r="U7" s="19"/>
      <c r="V7" s="22"/>
      <c r="W7" s="22"/>
      <c r="X7" s="20"/>
      <c r="AA7" s="25"/>
      <c r="AB7" s="20"/>
    </row>
  </sheetData>
  <autoFilter ref="A1:OJ1" xr:uid="{60712009-C9F2-481D-BFB2-D8EF176E990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F45BC-A5E8-4FEF-9BD6-CD6FC80D3E6F}">
  <dimension ref="A1:Z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61</v>
      </c>
      <c r="Y1" s="10" t="s">
        <v>27</v>
      </c>
      <c r="Z1" s="10" t="s">
        <v>28</v>
      </c>
    </row>
    <row r="2" spans="1:26" ht="43.5" x14ac:dyDescent="0.35">
      <c r="A2" s="14" t="s">
        <v>29</v>
      </c>
      <c r="B2" s="14" t="s">
        <v>30</v>
      </c>
      <c r="C2" s="15">
        <v>45910.635416666664</v>
      </c>
      <c r="D2" s="14" t="s">
        <v>31</v>
      </c>
      <c r="E2" s="16" t="s">
        <v>32</v>
      </c>
      <c r="F2" s="14" t="s">
        <v>33</v>
      </c>
      <c r="G2" s="16" t="s">
        <v>34</v>
      </c>
      <c r="H2" s="14" t="s">
        <v>35</v>
      </c>
      <c r="I2" s="16" t="s">
        <v>36</v>
      </c>
      <c r="J2" s="16" t="s">
        <v>37</v>
      </c>
      <c r="K2" s="16" t="s">
        <v>38</v>
      </c>
      <c r="L2" s="14" t="s">
        <v>39</v>
      </c>
      <c r="M2" s="16" t="s">
        <v>34</v>
      </c>
      <c r="N2" s="14" t="s">
        <v>40</v>
      </c>
      <c r="O2" s="16" t="s">
        <v>41</v>
      </c>
      <c r="P2" s="16" t="s">
        <v>41</v>
      </c>
      <c r="Q2" s="16" t="s">
        <v>42</v>
      </c>
      <c r="R2" s="14" t="s">
        <v>43</v>
      </c>
      <c r="S2" s="14" t="s">
        <v>44</v>
      </c>
      <c r="T2" s="14" t="s">
        <v>45</v>
      </c>
      <c r="U2" s="14" t="s">
        <v>46</v>
      </c>
      <c r="V2" s="15">
        <v>45717</v>
      </c>
      <c r="W2" s="15"/>
      <c r="X2" s="16" t="s">
        <v>41</v>
      </c>
      <c r="Y2" s="14" t="s">
        <v>41</v>
      </c>
      <c r="Z2" s="16" t="s">
        <v>41</v>
      </c>
    </row>
    <row r="3" spans="1:26" ht="43.5" x14ac:dyDescent="0.35">
      <c r="A3" s="14" t="s">
        <v>29</v>
      </c>
      <c r="B3" s="14" t="s">
        <v>30</v>
      </c>
      <c r="C3" s="15">
        <v>45910.636805555558</v>
      </c>
      <c r="D3" s="14" t="s">
        <v>31</v>
      </c>
      <c r="E3" s="16" t="s">
        <v>32</v>
      </c>
      <c r="F3" s="14" t="s">
        <v>33</v>
      </c>
      <c r="G3" s="16" t="s">
        <v>34</v>
      </c>
      <c r="H3" s="14" t="s">
        <v>35</v>
      </c>
      <c r="I3" s="16" t="s">
        <v>36</v>
      </c>
      <c r="J3" s="16" t="s">
        <v>37</v>
      </c>
      <c r="K3" s="16" t="s">
        <v>38</v>
      </c>
      <c r="L3" s="14" t="s">
        <v>39</v>
      </c>
      <c r="M3" s="16" t="s">
        <v>34</v>
      </c>
      <c r="N3" s="14" t="s">
        <v>40</v>
      </c>
      <c r="O3" s="16" t="s">
        <v>41</v>
      </c>
      <c r="P3" s="16" t="s">
        <v>41</v>
      </c>
      <c r="Q3" s="16" t="s">
        <v>49</v>
      </c>
      <c r="R3" s="14" t="s">
        <v>50</v>
      </c>
      <c r="S3" s="14" t="s">
        <v>51</v>
      </c>
      <c r="T3" s="14" t="s">
        <v>45</v>
      </c>
      <c r="U3" s="14" t="s">
        <v>46</v>
      </c>
      <c r="V3" s="15">
        <v>45717</v>
      </c>
      <c r="W3" s="15"/>
      <c r="X3" s="16" t="s">
        <v>41</v>
      </c>
      <c r="Y3" s="14" t="s">
        <v>41</v>
      </c>
      <c r="Z3" s="16" t="s">
        <v>41</v>
      </c>
    </row>
    <row r="4" spans="1:26" ht="43.5" x14ac:dyDescent="0.35">
      <c r="A4" s="14" t="s">
        <v>29</v>
      </c>
      <c r="B4" s="14" t="s">
        <v>30</v>
      </c>
      <c r="C4" s="15">
        <v>45910.636111111111</v>
      </c>
      <c r="D4" s="14" t="s">
        <v>31</v>
      </c>
      <c r="E4" s="16" t="s">
        <v>32</v>
      </c>
      <c r="F4" s="14" t="s">
        <v>33</v>
      </c>
      <c r="G4" s="16" t="s">
        <v>34</v>
      </c>
      <c r="H4" s="14" t="s">
        <v>35</v>
      </c>
      <c r="I4" s="16" t="s">
        <v>36</v>
      </c>
      <c r="J4" s="16" t="s">
        <v>37</v>
      </c>
      <c r="K4" s="16" t="s">
        <v>38</v>
      </c>
      <c r="L4" s="14" t="s">
        <v>39</v>
      </c>
      <c r="M4" s="16" t="s">
        <v>34</v>
      </c>
      <c r="N4" s="14" t="s">
        <v>40</v>
      </c>
      <c r="O4" s="16" t="s">
        <v>41</v>
      </c>
      <c r="P4" s="16" t="s">
        <v>41</v>
      </c>
      <c r="Q4" s="16" t="s">
        <v>52</v>
      </c>
      <c r="R4" s="14" t="s">
        <v>53</v>
      </c>
      <c r="S4" s="14" t="s">
        <v>54</v>
      </c>
      <c r="T4" s="14" t="s">
        <v>45</v>
      </c>
      <c r="U4" s="14" t="s">
        <v>46</v>
      </c>
      <c r="V4" s="15">
        <v>45717</v>
      </c>
      <c r="W4" s="15"/>
      <c r="X4" s="16" t="s">
        <v>41</v>
      </c>
      <c r="Y4" s="14" t="s">
        <v>41</v>
      </c>
      <c r="Z4" s="16" t="s">
        <v>41</v>
      </c>
    </row>
    <row r="5" spans="1:26" ht="43.5" x14ac:dyDescent="0.35">
      <c r="A5" s="14" t="s">
        <v>29</v>
      </c>
      <c r="B5" s="14" t="s">
        <v>30</v>
      </c>
      <c r="C5" s="15">
        <v>45910.636111111111</v>
      </c>
      <c r="D5" s="14" t="s">
        <v>31</v>
      </c>
      <c r="E5" s="16" t="s">
        <v>32</v>
      </c>
      <c r="F5" s="14" t="s">
        <v>33</v>
      </c>
      <c r="G5" s="16" t="s">
        <v>34</v>
      </c>
      <c r="H5" s="14" t="s">
        <v>35</v>
      </c>
      <c r="I5" s="16" t="s">
        <v>36</v>
      </c>
      <c r="J5" s="16" t="s">
        <v>37</v>
      </c>
      <c r="K5" s="16" t="s">
        <v>38</v>
      </c>
      <c r="L5" s="14" t="s">
        <v>39</v>
      </c>
      <c r="M5" s="16" t="s">
        <v>34</v>
      </c>
      <c r="N5" s="14" t="s">
        <v>40</v>
      </c>
      <c r="O5" s="16" t="s">
        <v>41</v>
      </c>
      <c r="P5" s="16" t="s">
        <v>41</v>
      </c>
      <c r="Q5" s="16" t="s">
        <v>55</v>
      </c>
      <c r="R5" s="14" t="s">
        <v>56</v>
      </c>
      <c r="S5" s="14" t="s">
        <v>57</v>
      </c>
      <c r="T5" s="14" t="s">
        <v>45</v>
      </c>
      <c r="U5" s="14" t="s">
        <v>46</v>
      </c>
      <c r="V5" s="15">
        <v>45717</v>
      </c>
      <c r="W5" s="15"/>
      <c r="X5" s="16" t="s">
        <v>41</v>
      </c>
      <c r="Y5" s="14" t="s">
        <v>41</v>
      </c>
      <c r="Z5" s="16" t="s">
        <v>41</v>
      </c>
    </row>
    <row r="6" spans="1:26" ht="43.5" x14ac:dyDescent="0.35">
      <c r="A6" s="14" t="s">
        <v>29</v>
      </c>
      <c r="B6" s="14" t="s">
        <v>30</v>
      </c>
      <c r="C6" s="15">
        <v>45910.636805555558</v>
      </c>
      <c r="D6" s="14" t="s">
        <v>31</v>
      </c>
      <c r="E6" s="16" t="s">
        <v>32</v>
      </c>
      <c r="F6" s="14" t="s">
        <v>33</v>
      </c>
      <c r="G6" s="16" t="s">
        <v>34</v>
      </c>
      <c r="H6" s="14" t="s">
        <v>35</v>
      </c>
      <c r="I6" s="16" t="s">
        <v>36</v>
      </c>
      <c r="J6" s="16" t="s">
        <v>37</v>
      </c>
      <c r="K6" s="16" t="s">
        <v>38</v>
      </c>
      <c r="L6" s="14" t="s">
        <v>39</v>
      </c>
      <c r="M6" s="16" t="s">
        <v>34</v>
      </c>
      <c r="N6" s="14" t="s">
        <v>40</v>
      </c>
      <c r="O6" s="16" t="s">
        <v>41</v>
      </c>
      <c r="P6" s="16" t="s">
        <v>41</v>
      </c>
      <c r="Q6" s="16" t="s">
        <v>58</v>
      </c>
      <c r="R6" s="14" t="s">
        <v>59</v>
      </c>
      <c r="S6" s="14" t="s">
        <v>60</v>
      </c>
      <c r="T6" s="14" t="s">
        <v>45</v>
      </c>
      <c r="U6" s="14" t="s">
        <v>46</v>
      </c>
      <c r="V6" s="15">
        <v>45717</v>
      </c>
      <c r="W6" s="15"/>
      <c r="X6" s="16" t="s">
        <v>41</v>
      </c>
      <c r="Y6" s="14" t="s">
        <v>41</v>
      </c>
      <c r="Z6" s="16" t="s">
        <v>41</v>
      </c>
    </row>
    <row r="7" spans="1:26" x14ac:dyDescent="0.35">
      <c r="A7" s="19"/>
      <c r="B7" s="20"/>
      <c r="C7" s="21"/>
      <c r="D7" s="19"/>
      <c r="E7" s="20"/>
      <c r="F7" s="19"/>
      <c r="G7" s="20"/>
      <c r="H7" s="19"/>
      <c r="I7" s="20"/>
      <c r="J7" s="20" t="s">
        <v>41</v>
      </c>
      <c r="K7" s="20" t="s">
        <v>41</v>
      </c>
      <c r="L7" s="20"/>
      <c r="M7" s="20"/>
      <c r="N7" s="20" t="s">
        <v>41</v>
      </c>
      <c r="O7" s="20" t="s">
        <v>41</v>
      </c>
      <c r="P7" s="20" t="s">
        <v>41</v>
      </c>
      <c r="Q7" s="20"/>
      <c r="R7" s="20"/>
      <c r="S7" s="19"/>
      <c r="T7" s="20"/>
      <c r="U7" s="19"/>
      <c r="V7" s="22"/>
      <c r="W7" s="22"/>
      <c r="X7" s="20"/>
      <c r="Y7" s="25"/>
      <c r="Z7" s="20"/>
    </row>
  </sheetData>
  <autoFilter ref="A1:OJ1" xr:uid="{B3DF45BC-A5E8-4FEF-9BD6-CD6FC80D3E6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7EA5-4EA4-44C2-8157-DDF8ACAA79B3}">
  <dimension ref="A1:AO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62</v>
      </c>
      <c r="X1" s="10" t="s">
        <v>63</v>
      </c>
      <c r="Y1" s="10" t="s">
        <v>64</v>
      </c>
      <c r="Z1" s="10" t="s">
        <v>65</v>
      </c>
      <c r="AA1" s="10" t="s">
        <v>66</v>
      </c>
      <c r="AB1" s="10" t="s">
        <v>67</v>
      </c>
      <c r="AC1" s="10" t="s">
        <v>68</v>
      </c>
      <c r="AD1" s="10" t="s">
        <v>69</v>
      </c>
      <c r="AE1" s="10" t="s">
        <v>70</v>
      </c>
      <c r="AF1" s="10" t="s">
        <v>71</v>
      </c>
      <c r="AG1" s="10" t="s">
        <v>72</v>
      </c>
      <c r="AH1" s="10" t="s">
        <v>73</v>
      </c>
      <c r="AI1" s="10" t="s">
        <v>74</v>
      </c>
      <c r="AJ1" s="10" t="s">
        <v>75</v>
      </c>
      <c r="AK1" s="10" t="s">
        <v>76</v>
      </c>
      <c r="AL1" s="10" t="s">
        <v>77</v>
      </c>
      <c r="AM1" s="10" t="s">
        <v>78</v>
      </c>
      <c r="AN1" s="10" t="s">
        <v>27</v>
      </c>
      <c r="AO1" s="10" t="s">
        <v>28</v>
      </c>
    </row>
    <row r="2" spans="1:41" ht="43.5" x14ac:dyDescent="0.35">
      <c r="A2" s="14" t="s">
        <v>29</v>
      </c>
      <c r="B2" s="14" t="s">
        <v>30</v>
      </c>
      <c r="C2" s="15">
        <v>45910.635416666664</v>
      </c>
      <c r="D2" s="14" t="s">
        <v>31</v>
      </c>
      <c r="E2" s="16" t="s">
        <v>32</v>
      </c>
      <c r="F2" s="14" t="s">
        <v>33</v>
      </c>
      <c r="G2" s="16" t="s">
        <v>34</v>
      </c>
      <c r="H2" s="14" t="s">
        <v>35</v>
      </c>
      <c r="I2" s="16" t="s">
        <v>36</v>
      </c>
      <c r="J2" s="16" t="s">
        <v>37</v>
      </c>
      <c r="K2" s="16" t="s">
        <v>38</v>
      </c>
      <c r="L2" s="14" t="s">
        <v>39</v>
      </c>
      <c r="M2" s="16" t="s">
        <v>34</v>
      </c>
      <c r="N2" s="14" t="s">
        <v>40</v>
      </c>
      <c r="O2" s="16" t="s">
        <v>41</v>
      </c>
      <c r="P2" s="16" t="s">
        <v>41</v>
      </c>
      <c r="Q2" s="16" t="s">
        <v>42</v>
      </c>
      <c r="R2" s="14" t="s">
        <v>43</v>
      </c>
      <c r="S2" s="14" t="s">
        <v>45</v>
      </c>
      <c r="T2" s="14" t="s">
        <v>46</v>
      </c>
      <c r="U2" s="15">
        <v>45660</v>
      </c>
      <c r="V2" s="15"/>
      <c r="W2" s="16"/>
      <c r="X2" s="16" t="s">
        <v>41</v>
      </c>
      <c r="Y2" s="14" t="s">
        <v>41</v>
      </c>
      <c r="Z2" s="16" t="s">
        <v>41</v>
      </c>
      <c r="AA2" s="16" t="s">
        <v>41</v>
      </c>
      <c r="AB2" s="16" t="s">
        <v>41</v>
      </c>
      <c r="AC2" s="14" t="s">
        <v>41</v>
      </c>
      <c r="AD2" s="16" t="s">
        <v>41</v>
      </c>
      <c r="AE2" s="16" t="s">
        <v>41</v>
      </c>
      <c r="AF2" s="16" t="s">
        <v>41</v>
      </c>
      <c r="AG2" s="14" t="s">
        <v>41</v>
      </c>
      <c r="AH2" s="16" t="s">
        <v>41</v>
      </c>
      <c r="AI2" s="16" t="s">
        <v>41</v>
      </c>
      <c r="AJ2" s="16" t="s">
        <v>41</v>
      </c>
      <c r="AK2" s="14" t="s">
        <v>41</v>
      </c>
      <c r="AL2" s="16" t="s">
        <v>41</v>
      </c>
      <c r="AM2" s="16" t="s">
        <v>41</v>
      </c>
      <c r="AN2" s="14" t="s">
        <v>41</v>
      </c>
      <c r="AO2" s="14" t="s">
        <v>41</v>
      </c>
    </row>
    <row r="3" spans="1:41" ht="43.5" x14ac:dyDescent="0.35">
      <c r="A3" s="14" t="s">
        <v>29</v>
      </c>
      <c r="B3" s="14" t="s">
        <v>30</v>
      </c>
      <c r="C3" s="15">
        <v>45910.636805555558</v>
      </c>
      <c r="D3" s="14" t="s">
        <v>31</v>
      </c>
      <c r="E3" s="16" t="s">
        <v>32</v>
      </c>
      <c r="F3" s="14" t="s">
        <v>33</v>
      </c>
      <c r="G3" s="16" t="s">
        <v>34</v>
      </c>
      <c r="H3" s="14" t="s">
        <v>35</v>
      </c>
      <c r="I3" s="16" t="s">
        <v>36</v>
      </c>
      <c r="J3" s="16" t="s">
        <v>37</v>
      </c>
      <c r="K3" s="16" t="s">
        <v>38</v>
      </c>
      <c r="L3" s="14" t="s">
        <v>39</v>
      </c>
      <c r="M3" s="16" t="s">
        <v>34</v>
      </c>
      <c r="N3" s="14" t="s">
        <v>40</v>
      </c>
      <c r="O3" s="16" t="s">
        <v>41</v>
      </c>
      <c r="P3" s="16" t="s">
        <v>41</v>
      </c>
      <c r="Q3" s="16" t="s">
        <v>49</v>
      </c>
      <c r="R3" s="14" t="s">
        <v>50</v>
      </c>
      <c r="S3" s="14" t="s">
        <v>45</v>
      </c>
      <c r="T3" s="14" t="s">
        <v>46</v>
      </c>
      <c r="U3" s="15">
        <v>45660</v>
      </c>
      <c r="V3" s="15"/>
      <c r="W3" s="16"/>
      <c r="X3" s="16" t="s">
        <v>41</v>
      </c>
      <c r="Y3" s="14" t="s">
        <v>41</v>
      </c>
      <c r="Z3" s="16" t="s">
        <v>41</v>
      </c>
      <c r="AA3" s="16" t="s">
        <v>41</v>
      </c>
      <c r="AB3" s="16" t="s">
        <v>41</v>
      </c>
      <c r="AC3" s="14" t="s">
        <v>41</v>
      </c>
      <c r="AD3" s="16" t="s">
        <v>41</v>
      </c>
      <c r="AE3" s="16" t="s">
        <v>41</v>
      </c>
      <c r="AF3" s="16" t="s">
        <v>41</v>
      </c>
      <c r="AG3" s="14" t="s">
        <v>41</v>
      </c>
      <c r="AH3" s="16" t="s">
        <v>41</v>
      </c>
      <c r="AI3" s="16" t="s">
        <v>41</v>
      </c>
      <c r="AJ3" s="16" t="s">
        <v>41</v>
      </c>
      <c r="AK3" s="14" t="s">
        <v>41</v>
      </c>
      <c r="AL3" s="16" t="s">
        <v>41</v>
      </c>
      <c r="AM3" s="16" t="s">
        <v>41</v>
      </c>
      <c r="AN3" s="14" t="s">
        <v>41</v>
      </c>
      <c r="AO3" s="14" t="s">
        <v>41</v>
      </c>
    </row>
    <row r="4" spans="1:41" ht="43.5" x14ac:dyDescent="0.35">
      <c r="A4" s="14" t="s">
        <v>29</v>
      </c>
      <c r="B4" s="14" t="s">
        <v>30</v>
      </c>
      <c r="C4" s="15">
        <v>45910.636111111111</v>
      </c>
      <c r="D4" s="14" t="s">
        <v>31</v>
      </c>
      <c r="E4" s="16" t="s">
        <v>32</v>
      </c>
      <c r="F4" s="14" t="s">
        <v>33</v>
      </c>
      <c r="G4" s="16" t="s">
        <v>34</v>
      </c>
      <c r="H4" s="14" t="s">
        <v>35</v>
      </c>
      <c r="I4" s="16" t="s">
        <v>36</v>
      </c>
      <c r="J4" s="16" t="s">
        <v>37</v>
      </c>
      <c r="K4" s="16" t="s">
        <v>38</v>
      </c>
      <c r="L4" s="14" t="s">
        <v>39</v>
      </c>
      <c r="M4" s="16" t="s">
        <v>34</v>
      </c>
      <c r="N4" s="14" t="s">
        <v>40</v>
      </c>
      <c r="O4" s="16" t="s">
        <v>41</v>
      </c>
      <c r="P4" s="16" t="s">
        <v>41</v>
      </c>
      <c r="Q4" s="16" t="s">
        <v>52</v>
      </c>
      <c r="R4" s="14" t="s">
        <v>53</v>
      </c>
      <c r="S4" s="14" t="s">
        <v>45</v>
      </c>
      <c r="T4" s="14" t="s">
        <v>46</v>
      </c>
      <c r="U4" s="15">
        <v>45660</v>
      </c>
      <c r="V4" s="15"/>
      <c r="W4" s="16"/>
      <c r="X4" s="16" t="s">
        <v>41</v>
      </c>
      <c r="Y4" s="14" t="s">
        <v>41</v>
      </c>
      <c r="Z4" s="16" t="s">
        <v>41</v>
      </c>
      <c r="AA4" s="16" t="s">
        <v>41</v>
      </c>
      <c r="AB4" s="16" t="s">
        <v>41</v>
      </c>
      <c r="AC4" s="14" t="s">
        <v>41</v>
      </c>
      <c r="AD4" s="16" t="s">
        <v>41</v>
      </c>
      <c r="AE4" s="16" t="s">
        <v>41</v>
      </c>
      <c r="AF4" s="16" t="s">
        <v>41</v>
      </c>
      <c r="AG4" s="14" t="s">
        <v>41</v>
      </c>
      <c r="AH4" s="16" t="s">
        <v>41</v>
      </c>
      <c r="AI4" s="16" t="s">
        <v>41</v>
      </c>
      <c r="AJ4" s="16" t="s">
        <v>41</v>
      </c>
      <c r="AK4" s="14" t="s">
        <v>41</v>
      </c>
      <c r="AL4" s="16" t="s">
        <v>41</v>
      </c>
      <c r="AM4" s="16" t="s">
        <v>41</v>
      </c>
      <c r="AN4" s="14" t="s">
        <v>41</v>
      </c>
      <c r="AO4" s="14" t="s">
        <v>41</v>
      </c>
    </row>
    <row r="5" spans="1:41" ht="43.5" x14ac:dyDescent="0.35">
      <c r="A5" s="14" t="s">
        <v>29</v>
      </c>
      <c r="B5" s="14" t="s">
        <v>30</v>
      </c>
      <c r="C5" s="15">
        <v>45910.636111111111</v>
      </c>
      <c r="D5" s="14" t="s">
        <v>31</v>
      </c>
      <c r="E5" s="16" t="s">
        <v>32</v>
      </c>
      <c r="F5" s="14" t="s">
        <v>33</v>
      </c>
      <c r="G5" s="16" t="s">
        <v>34</v>
      </c>
      <c r="H5" s="14" t="s">
        <v>35</v>
      </c>
      <c r="I5" s="16" t="s">
        <v>36</v>
      </c>
      <c r="J5" s="16" t="s">
        <v>37</v>
      </c>
      <c r="K5" s="16" t="s">
        <v>38</v>
      </c>
      <c r="L5" s="14" t="s">
        <v>39</v>
      </c>
      <c r="M5" s="16" t="s">
        <v>34</v>
      </c>
      <c r="N5" s="14" t="s">
        <v>40</v>
      </c>
      <c r="O5" s="16" t="s">
        <v>41</v>
      </c>
      <c r="P5" s="16" t="s">
        <v>41</v>
      </c>
      <c r="Q5" s="16" t="s">
        <v>55</v>
      </c>
      <c r="R5" s="14" t="s">
        <v>56</v>
      </c>
      <c r="S5" s="14" t="s">
        <v>45</v>
      </c>
      <c r="T5" s="14" t="s">
        <v>46</v>
      </c>
      <c r="U5" s="15">
        <v>45660</v>
      </c>
      <c r="V5" s="15"/>
      <c r="W5" s="16"/>
      <c r="X5" s="16" t="s">
        <v>41</v>
      </c>
      <c r="Y5" s="14" t="s">
        <v>41</v>
      </c>
      <c r="Z5" s="16" t="s">
        <v>41</v>
      </c>
      <c r="AA5" s="16" t="s">
        <v>41</v>
      </c>
      <c r="AB5" s="16" t="s">
        <v>41</v>
      </c>
      <c r="AC5" s="14" t="s">
        <v>41</v>
      </c>
      <c r="AD5" s="16" t="s">
        <v>41</v>
      </c>
      <c r="AE5" s="16" t="s">
        <v>41</v>
      </c>
      <c r="AF5" s="16" t="s">
        <v>41</v>
      </c>
      <c r="AG5" s="14" t="s">
        <v>41</v>
      </c>
      <c r="AH5" s="16" t="s">
        <v>41</v>
      </c>
      <c r="AI5" s="16" t="s">
        <v>41</v>
      </c>
      <c r="AJ5" s="16" t="s">
        <v>41</v>
      </c>
      <c r="AK5" s="14" t="s">
        <v>41</v>
      </c>
      <c r="AL5" s="16" t="s">
        <v>41</v>
      </c>
      <c r="AM5" s="16" t="s">
        <v>41</v>
      </c>
      <c r="AN5" s="14" t="s">
        <v>41</v>
      </c>
      <c r="AO5" s="14" t="s">
        <v>41</v>
      </c>
    </row>
    <row r="6" spans="1:41" ht="43.5" x14ac:dyDescent="0.35">
      <c r="A6" s="14" t="s">
        <v>29</v>
      </c>
      <c r="B6" s="14" t="s">
        <v>30</v>
      </c>
      <c r="C6" s="15">
        <v>45910.636805555558</v>
      </c>
      <c r="D6" s="14" t="s">
        <v>31</v>
      </c>
      <c r="E6" s="16" t="s">
        <v>32</v>
      </c>
      <c r="F6" s="14" t="s">
        <v>33</v>
      </c>
      <c r="G6" s="16" t="s">
        <v>34</v>
      </c>
      <c r="H6" s="14" t="s">
        <v>35</v>
      </c>
      <c r="I6" s="16" t="s">
        <v>36</v>
      </c>
      <c r="J6" s="16" t="s">
        <v>37</v>
      </c>
      <c r="K6" s="16" t="s">
        <v>38</v>
      </c>
      <c r="L6" s="14" t="s">
        <v>39</v>
      </c>
      <c r="M6" s="16" t="s">
        <v>34</v>
      </c>
      <c r="N6" s="14" t="s">
        <v>40</v>
      </c>
      <c r="O6" s="16" t="s">
        <v>41</v>
      </c>
      <c r="P6" s="16" t="s">
        <v>41</v>
      </c>
      <c r="Q6" s="16" t="s">
        <v>58</v>
      </c>
      <c r="R6" s="14" t="s">
        <v>59</v>
      </c>
      <c r="S6" s="14" t="s">
        <v>45</v>
      </c>
      <c r="T6" s="14" t="s">
        <v>46</v>
      </c>
      <c r="U6" s="15">
        <v>45660</v>
      </c>
      <c r="V6" s="15"/>
      <c r="W6" s="16"/>
      <c r="X6" s="16" t="s">
        <v>41</v>
      </c>
      <c r="Y6" s="14" t="s">
        <v>41</v>
      </c>
      <c r="Z6" s="16" t="s">
        <v>41</v>
      </c>
      <c r="AA6" s="16" t="s">
        <v>41</v>
      </c>
      <c r="AB6" s="16" t="s">
        <v>41</v>
      </c>
      <c r="AC6" s="14" t="s">
        <v>41</v>
      </c>
      <c r="AD6" s="16" t="s">
        <v>41</v>
      </c>
      <c r="AE6" s="16" t="s">
        <v>41</v>
      </c>
      <c r="AF6" s="16" t="s">
        <v>41</v>
      </c>
      <c r="AG6" s="14" t="s">
        <v>41</v>
      </c>
      <c r="AH6" s="16" t="s">
        <v>41</v>
      </c>
      <c r="AI6" s="16" t="s">
        <v>41</v>
      </c>
      <c r="AJ6" s="16" t="s">
        <v>41</v>
      </c>
      <c r="AK6" s="14" t="s">
        <v>41</v>
      </c>
      <c r="AL6" s="16" t="s">
        <v>41</v>
      </c>
      <c r="AM6" s="16" t="s">
        <v>41</v>
      </c>
      <c r="AN6" s="14" t="s">
        <v>41</v>
      </c>
      <c r="AO6" s="14" t="s">
        <v>41</v>
      </c>
    </row>
  </sheetData>
  <autoFilter ref="A1:AS1" xr:uid="{C14B7EA5-4EA4-44C2-8157-DDF8ACAA79B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D745-5254-4806-B219-F88517AE0A3F}">
  <dimension ref="A1:V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79</v>
      </c>
      <c r="E1" s="10" t="s">
        <v>80</v>
      </c>
      <c r="F1" s="10" t="s">
        <v>81</v>
      </c>
      <c r="G1" s="10" t="s">
        <v>82</v>
      </c>
      <c r="H1" s="11" t="s">
        <v>22</v>
      </c>
      <c r="I1" s="11" t="s">
        <v>23</v>
      </c>
      <c r="J1" s="10" t="s">
        <v>83</v>
      </c>
      <c r="K1" s="10" t="s">
        <v>84</v>
      </c>
      <c r="L1" s="10" t="s">
        <v>85</v>
      </c>
      <c r="M1" s="10" t="s">
        <v>78</v>
      </c>
      <c r="N1" s="10" t="s">
        <v>86</v>
      </c>
      <c r="O1" s="12" t="s">
        <v>87</v>
      </c>
      <c r="P1" s="12" t="s">
        <v>88</v>
      </c>
      <c r="Q1" s="12" t="s">
        <v>89</v>
      </c>
      <c r="R1" s="12" t="s">
        <v>90</v>
      </c>
      <c r="S1" s="10" t="s">
        <v>27</v>
      </c>
      <c r="T1" s="10" t="s">
        <v>28</v>
      </c>
      <c r="U1" s="10" t="s">
        <v>91</v>
      </c>
      <c r="V1" s="10" t="s">
        <v>92</v>
      </c>
    </row>
    <row r="2" spans="1:22" ht="72.5" x14ac:dyDescent="0.35">
      <c r="A2" s="14" t="s">
        <v>29</v>
      </c>
      <c r="B2" s="14" t="s">
        <v>30</v>
      </c>
      <c r="C2" s="15">
        <v>46196.491666666669</v>
      </c>
      <c r="D2" s="14" t="s">
        <v>47</v>
      </c>
      <c r="E2" s="14" t="s">
        <v>93</v>
      </c>
      <c r="F2" s="16" t="s">
        <v>48</v>
      </c>
      <c r="G2" s="14" t="s">
        <v>94</v>
      </c>
      <c r="H2" s="15">
        <v>45717</v>
      </c>
      <c r="I2" s="15"/>
      <c r="J2" s="16" t="s">
        <v>95</v>
      </c>
      <c r="K2" s="16" t="s">
        <v>96</v>
      </c>
      <c r="L2" s="14" t="s">
        <v>97</v>
      </c>
      <c r="M2" s="16" t="s">
        <v>98</v>
      </c>
      <c r="N2" s="14" t="s">
        <v>41</v>
      </c>
      <c r="O2" s="17"/>
      <c r="P2" s="17" t="s">
        <v>99</v>
      </c>
      <c r="Q2" s="17"/>
      <c r="R2" s="17"/>
      <c r="S2" s="14" t="s">
        <v>41</v>
      </c>
      <c r="T2" s="14" t="s">
        <v>41</v>
      </c>
      <c r="U2" s="14" t="s">
        <v>41</v>
      </c>
      <c r="V2" s="16" t="s">
        <v>41</v>
      </c>
    </row>
    <row r="3" spans="1:22" x14ac:dyDescent="0.35">
      <c r="A3" s="19"/>
      <c r="B3" s="19"/>
      <c r="C3" s="22"/>
      <c r="D3" s="19"/>
      <c r="E3" s="19"/>
      <c r="F3" s="20" t="s">
        <v>41</v>
      </c>
      <c r="G3" s="19"/>
      <c r="H3" s="22"/>
      <c r="I3" s="22"/>
      <c r="J3" s="20" t="s">
        <v>41</v>
      </c>
      <c r="K3" s="20" t="s">
        <v>41</v>
      </c>
      <c r="L3" s="19"/>
      <c r="M3" s="20" t="s">
        <v>41</v>
      </c>
      <c r="N3" s="19"/>
      <c r="S3" s="19"/>
      <c r="T3" s="19"/>
      <c r="U3" s="19"/>
      <c r="V3" s="20" t="s">
        <v>41</v>
      </c>
    </row>
    <row r="4" spans="1:22" x14ac:dyDescent="0.35">
      <c r="A4" s="19"/>
      <c r="B4" s="19"/>
      <c r="C4" s="22"/>
      <c r="D4" s="19"/>
      <c r="E4" s="19"/>
      <c r="F4" s="20" t="s">
        <v>41</v>
      </c>
      <c r="G4" s="19"/>
      <c r="H4" s="22"/>
      <c r="I4" s="22"/>
      <c r="J4" s="20" t="s">
        <v>41</v>
      </c>
      <c r="K4" s="20" t="s">
        <v>41</v>
      </c>
      <c r="L4" s="19"/>
      <c r="M4" s="20" t="s">
        <v>41</v>
      </c>
      <c r="N4" s="19"/>
      <c r="S4" s="19"/>
      <c r="T4" s="19"/>
      <c r="U4" s="19"/>
      <c r="V4" s="20" t="s">
        <v>41</v>
      </c>
    </row>
    <row r="5" spans="1:22" x14ac:dyDescent="0.35">
      <c r="A5" s="19"/>
      <c r="B5" s="19"/>
      <c r="C5" s="22"/>
      <c r="D5" s="19"/>
      <c r="E5" s="19"/>
      <c r="F5" s="20" t="s">
        <v>41</v>
      </c>
      <c r="G5" s="19"/>
      <c r="H5" s="22"/>
      <c r="I5" s="22"/>
      <c r="J5" s="20" t="s">
        <v>41</v>
      </c>
      <c r="K5" s="20" t="s">
        <v>41</v>
      </c>
      <c r="L5" s="19"/>
      <c r="M5" s="20" t="s">
        <v>41</v>
      </c>
      <c r="N5" s="19"/>
      <c r="S5" s="19"/>
      <c r="T5" s="19"/>
      <c r="U5" s="19"/>
      <c r="V5" s="20" t="s">
        <v>41</v>
      </c>
    </row>
    <row r="6" spans="1:22" x14ac:dyDescent="0.35">
      <c r="A6" s="19"/>
      <c r="B6" s="19"/>
      <c r="C6" s="22"/>
      <c r="D6" s="19"/>
      <c r="E6" s="19"/>
      <c r="F6" s="20" t="s">
        <v>41</v>
      </c>
      <c r="G6" s="19"/>
      <c r="H6" s="22"/>
      <c r="I6" s="22"/>
      <c r="J6" s="20" t="s">
        <v>41</v>
      </c>
      <c r="K6" s="20" t="s">
        <v>41</v>
      </c>
      <c r="L6" s="19"/>
      <c r="M6" s="20" t="s">
        <v>41</v>
      </c>
      <c r="N6" s="19"/>
      <c r="S6" s="19"/>
      <c r="T6" s="19"/>
      <c r="U6" s="19"/>
      <c r="V6" s="20" t="s">
        <v>41</v>
      </c>
    </row>
    <row r="7" spans="1:22" x14ac:dyDescent="0.35">
      <c r="A7" s="19"/>
      <c r="B7" s="19"/>
      <c r="C7" s="22"/>
      <c r="D7" s="19"/>
      <c r="E7" s="19"/>
      <c r="F7" s="20" t="s">
        <v>41</v>
      </c>
      <c r="G7" s="19"/>
      <c r="H7" s="22"/>
      <c r="I7" s="22"/>
      <c r="J7" s="20" t="s">
        <v>41</v>
      </c>
      <c r="K7" s="20" t="s">
        <v>41</v>
      </c>
      <c r="L7" s="19"/>
      <c r="M7" s="20" t="s">
        <v>41</v>
      </c>
      <c r="N7" s="19"/>
      <c r="S7" s="19"/>
      <c r="T7" s="19"/>
      <c r="U7" s="19"/>
      <c r="V7" s="20" t="s">
        <v>41</v>
      </c>
    </row>
  </sheetData>
  <autoFilter ref="A1:Z1" xr:uid="{47BFD745-5254-4806-B219-F88517AE0A3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2026-06-26T07:07:31Z</dcterms:created>
  <dcterms:modified xsi:type="dcterms:W3CDTF">2026-06-26T07:07:32Z</dcterms:modified>
</cp:coreProperties>
</file>