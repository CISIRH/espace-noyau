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543FEED1-A7B9-4F63-8AE4-230BD478CED8}" xr6:coauthVersionLast="47" xr6:coauthVersionMax="47" xr10:uidLastSave="{00000000-0000-0000-0000-000000000000}"/>
  <bookViews>
    <workbookView xWindow="-110" yWindow="-110" windowWidth="19420" windowHeight="11500" xr2:uid="{FD8D2024-F17E-4443-89C0-E7D8CBB39E00}"/>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Z27" i="5" l="1"/>
  <c r="AX27" i="5"/>
  <c r="AX12" i="5"/>
  <c r="AV27" i="5"/>
  <c r="AV26" i="5"/>
  <c r="AV21" i="5"/>
  <c r="AV17" i="5"/>
  <c r="AV16" i="5"/>
  <c r="AV12" i="5"/>
  <c r="AV11" i="5"/>
  <c r="AV7" i="5"/>
  <c r="AV6" i="5"/>
  <c r="AV2" i="5"/>
  <c r="AT27" i="5"/>
  <c r="AT26" i="5"/>
  <c r="AT21" i="5"/>
  <c r="AT17" i="5"/>
  <c r="AT16" i="5"/>
  <c r="AT12" i="5"/>
  <c r="AT11" i="5"/>
  <c r="AT7" i="5"/>
  <c r="AT6" i="5"/>
  <c r="AT2" i="5"/>
  <c r="AR27" i="5"/>
  <c r="AR26" i="5"/>
  <c r="AR21" i="5"/>
  <c r="AR17" i="5"/>
  <c r="AR16" i="5"/>
  <c r="AR12" i="5"/>
  <c r="AR11" i="5"/>
  <c r="AR7" i="5"/>
  <c r="AR6" i="5"/>
  <c r="AR2" i="5"/>
  <c r="AP27" i="5"/>
  <c r="AP26" i="5"/>
  <c r="AP24" i="5"/>
  <c r="AP23" i="5"/>
  <c r="AP21" i="5"/>
  <c r="AP19" i="5"/>
  <c r="AP18" i="5"/>
  <c r="AP17" i="5"/>
  <c r="AP16" i="5"/>
  <c r="AP14" i="5"/>
  <c r="AP13" i="5"/>
  <c r="AP12" i="5"/>
  <c r="AP11" i="5"/>
  <c r="AP9" i="5"/>
  <c r="AP8" i="5"/>
  <c r="AP7" i="5"/>
  <c r="AP6" i="5"/>
  <c r="AP4" i="5"/>
  <c r="AP3" i="5"/>
  <c r="AP2" i="5"/>
  <c r="AN27" i="5"/>
  <c r="AN26" i="5"/>
  <c r="AN24" i="5"/>
  <c r="AN23" i="5"/>
  <c r="AN21" i="5"/>
  <c r="AN19" i="5"/>
  <c r="AN18" i="5"/>
  <c r="AN17" i="5"/>
  <c r="AN16" i="5"/>
  <c r="AN14" i="5"/>
  <c r="AN13" i="5"/>
  <c r="AN12" i="5"/>
  <c r="AN11" i="5"/>
  <c r="AN9" i="5"/>
  <c r="AN8" i="5"/>
  <c r="AN7" i="5"/>
  <c r="AN6" i="5"/>
  <c r="AN4" i="5"/>
  <c r="AN3" i="5"/>
  <c r="AN2" i="5"/>
  <c r="AL27" i="5"/>
  <c r="AL26" i="5"/>
  <c r="AL24" i="5"/>
  <c r="AL23" i="5"/>
  <c r="AL21" i="5"/>
  <c r="AL19" i="5"/>
  <c r="AL18" i="5"/>
  <c r="AL17" i="5"/>
  <c r="AL16" i="5"/>
  <c r="AL14" i="5"/>
  <c r="AL13" i="5"/>
  <c r="AL12" i="5"/>
  <c r="AL11" i="5"/>
  <c r="AL9" i="5"/>
  <c r="AL8" i="5"/>
  <c r="AL7" i="5"/>
  <c r="AL6" i="5"/>
  <c r="AL4" i="5"/>
  <c r="AL3" i="5"/>
  <c r="AL2" i="5"/>
  <c r="AJ27" i="5"/>
  <c r="AJ26" i="5"/>
  <c r="AJ24" i="5"/>
  <c r="AJ23" i="5"/>
  <c r="AJ21" i="5"/>
  <c r="AJ19" i="5"/>
  <c r="AJ18" i="5"/>
  <c r="AJ17" i="5"/>
  <c r="AJ16" i="5"/>
  <c r="AJ14" i="5"/>
  <c r="AJ13" i="5"/>
  <c r="AJ12" i="5"/>
  <c r="AJ11" i="5"/>
  <c r="AJ9" i="5"/>
  <c r="AJ8" i="5"/>
  <c r="AJ7" i="5"/>
  <c r="AJ6" i="5"/>
  <c r="AJ4" i="5"/>
  <c r="AJ3" i="5"/>
  <c r="AJ2" i="5"/>
  <c r="AH27" i="5"/>
  <c r="AH26" i="5"/>
  <c r="AH24" i="5"/>
  <c r="AH23" i="5"/>
  <c r="AH21" i="5"/>
  <c r="AH19" i="5"/>
  <c r="AH18" i="5"/>
  <c r="AH17" i="5"/>
  <c r="AH16" i="5"/>
  <c r="AH14" i="5"/>
  <c r="AH13" i="5"/>
  <c r="AH12" i="5"/>
  <c r="AH11" i="5"/>
  <c r="AH9" i="5"/>
  <c r="AH8" i="5"/>
  <c r="AH7" i="5"/>
  <c r="AH6" i="5"/>
  <c r="AH4" i="5"/>
  <c r="AH3" i="5"/>
  <c r="AH2" i="5"/>
  <c r="AF27" i="5"/>
  <c r="AF26" i="5"/>
  <c r="AF24" i="5"/>
  <c r="AF23" i="5"/>
  <c r="AF21" i="5"/>
  <c r="AF19" i="5"/>
  <c r="AF18" i="5"/>
  <c r="AF17" i="5"/>
  <c r="AF16" i="5"/>
  <c r="AF14" i="5"/>
  <c r="AF13" i="5"/>
  <c r="AF12" i="5"/>
  <c r="AF11" i="5"/>
  <c r="AF9" i="5"/>
  <c r="AF8" i="5"/>
  <c r="AF7" i="5"/>
  <c r="AF6" i="5"/>
  <c r="AF4" i="5"/>
  <c r="AF3" i="5"/>
  <c r="AF2" i="5"/>
  <c r="AD27" i="5"/>
  <c r="AD26" i="5"/>
  <c r="AD24" i="5"/>
  <c r="AD23" i="5"/>
  <c r="AD21" i="5"/>
  <c r="AD19" i="5"/>
  <c r="AD18" i="5"/>
  <c r="AD17" i="5"/>
  <c r="AD16" i="5"/>
  <c r="AD14" i="5"/>
  <c r="AD13" i="5"/>
  <c r="AD12" i="5"/>
  <c r="AD11" i="5"/>
  <c r="AD9" i="5"/>
  <c r="AD8" i="5"/>
  <c r="AD7" i="5"/>
  <c r="AD6" i="5"/>
  <c r="AD4" i="5"/>
  <c r="AD3" i="5"/>
  <c r="AD2" i="5"/>
  <c r="AB27" i="5"/>
  <c r="AB26" i="5"/>
  <c r="AB24" i="5"/>
  <c r="AB23" i="5"/>
  <c r="AB21" i="5"/>
  <c r="AB19" i="5"/>
  <c r="AB18" i="5"/>
  <c r="AB17" i="5"/>
  <c r="AB16" i="5"/>
  <c r="AB14" i="5"/>
  <c r="AB13" i="5"/>
  <c r="AB12" i="5"/>
  <c r="AB11" i="5"/>
  <c r="AB9" i="5"/>
  <c r="AB8" i="5"/>
  <c r="AB7" i="5"/>
  <c r="AB6" i="5"/>
  <c r="AB4" i="5"/>
  <c r="AB3" i="5"/>
  <c r="AB2" i="5"/>
  <c r="Z27" i="5"/>
  <c r="Z26" i="5"/>
  <c r="Z24" i="5"/>
  <c r="Z23" i="5"/>
  <c r="Z21" i="5"/>
  <c r="Z19" i="5"/>
  <c r="Z18" i="5"/>
  <c r="Z17" i="5"/>
  <c r="Z16" i="5"/>
  <c r="Z14" i="5"/>
  <c r="Z13" i="5"/>
  <c r="Z12" i="5"/>
  <c r="Z11" i="5"/>
  <c r="Z9" i="5"/>
  <c r="Z8" i="5"/>
  <c r="Z7" i="5"/>
  <c r="Z6" i="5"/>
  <c r="Z4" i="5"/>
  <c r="Z3" i="5"/>
  <c r="Z2" i="5"/>
</calcChain>
</file>

<file path=xl/sharedStrings.xml><?xml version="1.0" encoding="utf-8"?>
<sst xmlns="http://schemas.openxmlformats.org/spreadsheetml/2006/main" count="3196" uniqueCount="238">
  <si>
    <t>MODE OPERATOIRE</t>
  </si>
  <si>
    <t>Une fois l'ensemble des mouvements créés pour une remise de paie d'un mois donné, les contrôles s'effectuent successivement sur les mouvements de type 20 présents dans la remise de paie.
Les contrôles d'alimentation automatique des zones du mouvement par les données du dossier agent sont portés par la modélisation du dictionnaire de données qui précise le cas échéant quelle donnée du dossier agent alimente la zone du mouvement avec ou sans transformation. Pour les zones concernées, ces contrôles doivent garantir la cohérence entre la donnée du dossier agent et la zone du mouvement. Ils ne sont pas redécrits dans les tableaux structurés de RG PAY.</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</si>
  <si>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</si>
  <si>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</si>
  <si>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</si>
  <si>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</si>
  <si>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</si>
  <si>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</si>
  <si>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</si>
  <si>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</si>
  <si>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</si>
  <si>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</si>
  <si>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</si>
  <si>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</si>
  <si>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</si>
  <si>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</si>
  <si>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</si>
  <si>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</si>
  <si>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</si>
  <si>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</si>
  <si>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</si>
  <si>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</si>
  <si>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</si>
  <si>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</si>
  <si>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</si>
  <si>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</si>
  <si>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</si>
  <si>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</si>
  <si>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</si>
  <si>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</si>
  <si>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</si>
  <si>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</si>
  <si>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</si>
  <si>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</si>
  <si>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</si>
  <si>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</si>
  <si>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</si>
  <si>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</si>
  <si>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</si>
  <si>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</si>
  <si>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</si>
  <si>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</si>
  <si>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</si>
  <si>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</si>
  <si>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</si>
  <si>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</si>
  <si>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</si>
  <si>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</si>
  <si>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</si>
  <si>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</si>
  <si>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</si>
  <si>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</si>
  <si>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</si>
  <si>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FIME</t>
  </si>
  <si>
    <t>Statut de travail</t>
  </si>
  <si>
    <t>25.00.00</t>
  </si>
  <si>
    <t>A</t>
  </si>
  <si>
    <t>D0016</t>
  </si>
  <si>
    <t>Contrôles PAY</t>
  </si>
  <si>
    <t>S0177</t>
  </si>
  <si>
    <t>Mouvement 20</t>
  </si>
  <si>
    <t>E1012</t>
  </si>
  <si>
    <t>Contrôles d'alimentation du mouvement 20</t>
  </si>
  <si>
    <t>Le code indemnité d'un mouvement 20 est saisi</t>
  </si>
  <si>
    <t>BG20_COD_IND [BG_Occurrence_courante] &lt;&gt; Vide</t>
  </si>
  <si>
    <t>T2445</t>
  </si>
  <si>
    <t>Contrôles Précompte cotis. sal. RAFP</t>
  </si>
  <si>
    <t>Création Modification</t>
  </si>
  <si>
    <t>Le code indemnité saisi est 'Précompte cotis. sal. RAFP'</t>
  </si>
  <si>
    <t>BG20_COD_IND [BG_Occurrence_courante] = '0954'</t>
  </si>
  <si>
    <t>Titulaire ou magistrat</t>
  </si>
  <si>
    <t>P0001</t>
  </si>
  <si>
    <t>T</t>
  </si>
  <si>
    <t>Général</t>
  </si>
  <si>
    <t>Passant</t>
  </si>
  <si>
    <t>G20_C_001 ET G20_C_003 ET G20_C_004 ET G20_C_005 ET G20_C_006 ET G20_C_007 ET G20_C_015 ET G20_C_016 ET G20_C_017 ET G20_C_021 ET G20_C_019 ET G20_C_020</t>
  </si>
  <si>
    <t>G20_C_001</t>
  </si>
  <si>
    <t>Le code origine doit être "0" (mois courant) pour l'indemnité '0954 - Précompte cotis. sal. RAFP'.</t>
  </si>
  <si>
    <t>G20_C_003</t>
  </si>
  <si>
    <t>Il est interdit de codifier le sens 1 (sens contraire) si le code origine est 0 (mois courant).</t>
  </si>
  <si>
    <t>G20_C_004</t>
  </si>
  <si>
    <t>Si le mode de calcul est "A - Montant précalculé", alors il faut laisser à vide la zone nombre d'unités.</t>
  </si>
  <si>
    <t>G20_C_005</t>
  </si>
  <si>
    <t>Le terme « GREVE » ne doit pas être utilisé dans la zone "Libellé complémentaire".</t>
  </si>
  <si>
    <t>G20_C_006</t>
  </si>
  <si>
    <t>Si le mode de calcul est "A - Montant précalculé", il faut que le montant soit différent de vide.</t>
  </si>
  <si>
    <t>G20_C_007</t>
  </si>
  <si>
    <t>Si le mode de calcul est "B - Nombre d'unités x montant unitaire", il faut que le nombre d'unités et le montant soient différents de vide.</t>
  </si>
  <si>
    <t>G20_C_015</t>
  </si>
  <si>
    <t>Le code sens est obligatoire.</t>
  </si>
  <si>
    <t>G20_C_016</t>
  </si>
  <si>
    <t>Le code origine est obligatoire.</t>
  </si>
  <si>
    <t>G20_C_017</t>
  </si>
  <si>
    <t>Seuls les modes de calcul "A - Montant précalculé", "B - Nombre d'unités x montant unitaire", "G - Indemnité à déduire" sont autorisés.</t>
  </si>
  <si>
    <t>G20_C_021</t>
  </si>
  <si>
    <t>Le nombre total de mouvements 20 pour le mois de paie en cours doit être inférieur ou égal à 30.</t>
  </si>
  <si>
    <t>G20_C_019</t>
  </si>
  <si>
    <t>Si le mode de calcul est "G - Indemnité à déduire", alors il faut laisser vide la zone nombre d'unités.</t>
  </si>
  <si>
    <t>G20_C_020</t>
  </si>
  <si>
    <t>Si le mode de calcul est "G - Indemnité à déduire", il faut que le montant soit différent de vide.</t>
  </si>
  <si>
    <t/>
  </si>
  <si>
    <t>T2446</t>
  </si>
  <si>
    <t>Contrôles Cotis. prefon</t>
  </si>
  <si>
    <t>Le code indemnité saisi est 'Cotis. prefon'</t>
  </si>
  <si>
    <t>BG20_COD_IND [BG_Occurrence_courante] = '0879'</t>
  </si>
  <si>
    <t>G20_C_002 ET G20_C_003 ET G20_C_005 ET G20_C_011 ET G20_C_012 ET G20_C_014 ET G20_C_015 ET G20_C_016 ET G20_C_021</t>
  </si>
  <si>
    <t>G20_C_002</t>
  </si>
  <si>
    <t>Lorsque la date de paye correspond au mois de janvier, le code origine "1" (année courante) ne doit pas être notifié.</t>
  </si>
  <si>
    <t>G20_C_011</t>
  </si>
  <si>
    <t>Si la zone mode de calcul est "Calcul PREFON" (MC = E), la zone "Nombre d'unités" doit être vide.</t>
  </si>
  <si>
    <t>G20_C_012</t>
  </si>
  <si>
    <t>Pour la retenue PREFON (code '0879'), seuls les deux derniers caractères (positions 57 à 58) de la zone MONTANT doivent être servies.</t>
  </si>
  <si>
    <t>G20_C_014</t>
  </si>
  <si>
    <t>Pour la retenue PREFON (code '0879'), le mode de calcul doit être "E - Calcul PREFON (code classe)".</t>
  </si>
  <si>
    <t>T2447</t>
  </si>
  <si>
    <t>Contrôles Avantages en nature et Avantage en nature ntic et Avantage en nature nourriture et Avantage en nature véhicule et Avantages en nature divers</t>
  </si>
  <si>
    <t>Le code indemnité saisi est 'Avantages en nature' ou 'Avantage en nature ntic' ou 'Avantage en nature nourriture' ou 'Avantage en nature véhicule' ou 'Avantages en nature divers'</t>
  </si>
  <si>
    <t>BG20_COD_IND [BG_Occurrence_courante] DANS ('0136', '1404', '1405', '1406', '1407')</t>
  </si>
  <si>
    <t>G20_C_002 ET G20_C_003 ET G20_C_005 ET G20_C_008 ET G20_C_009 ET G20_C_013 ET G20_C_015 ET G20_C_016 ET G20_C_021</t>
  </si>
  <si>
    <t>G20_C_008</t>
  </si>
  <si>
    <t>Si le mode de calcul est "H - Indemnité à ne pas payer (avantage en nature)", il faut que le nombre d'unités soit vide.</t>
  </si>
  <si>
    <t>G20_C_009</t>
  </si>
  <si>
    <t>Si le mode de calcul est "H - Indemnité à ne pas payer (avantage en nature)", il faut que le montant soit différent de vide.</t>
  </si>
  <si>
    <t>G20_C_013</t>
  </si>
  <si>
    <t>Pour les avantages en nature (codes '0136','1404','1405','1406','1407), le mode de calcul doit être "H - Indemnité à ne pas payer (avantage en nature)".</t>
  </si>
  <si>
    <t>T2448</t>
  </si>
  <si>
    <t>Contrôles Cotisation assurance chômage</t>
  </si>
  <si>
    <t>Le code indemnité saisi est 'Cotisation assurance chômage'</t>
  </si>
  <si>
    <t>BG20_COD_IND [BG_Occurrence_courante] = '0870'</t>
  </si>
  <si>
    <t>Exclu</t>
  </si>
  <si>
    <t>T2449</t>
  </si>
  <si>
    <t>Contrôles autres indemnités et retenues exceptionnelles</t>
  </si>
  <si>
    <t>Le code indemnité/retenue saisi est différent de '0954', '0879', '0136', '1404', '1405', '1406', '1407', '0870'</t>
  </si>
  <si>
    <t>BG20_COD_IND [BG_Occurrence_courante] PAS DANS ('0954', '0879', '0136', '1404', '1405', '1406', '1407', '0870')</t>
  </si>
  <si>
    <t>G20_C_002 ET G20_C_003 ET G20_C_004 ET G20_C_005 ET G20_C_006 ET G20_C_007 ET G20_C_015 ET G20_C_016 ET G20_C_017 ET G20_C_019 ET G20_C_020 ET G20_C_021</t>
  </si>
  <si>
    <t>Militaire</t>
  </si>
  <si>
    <t>P0002</t>
  </si>
  <si>
    <t>M</t>
  </si>
  <si>
    <t>Contractuel</t>
  </si>
  <si>
    <t>P0003</t>
  </si>
  <si>
    <t>N</t>
  </si>
  <si>
    <t>G20_C_025 ET G20_C_001 ET G20_C_003 ET G20_C_004 ET G20_C_005 ET G20_C_006 ET G20_C_007 ET G20_C_015 ET G20_C_016 ET G20_C_017 ET G20_C_021 ET G20_C_019 ET G20_C_020</t>
  </si>
  <si>
    <t>G20_C_025</t>
  </si>
  <si>
    <t>L'agent doit être détaché sur contrat.</t>
  </si>
  <si>
    <t>Stagiaire ou auditeur ou élève</t>
  </si>
  <si>
    <t>P0004</t>
  </si>
  <si>
    <t>S</t>
  </si>
  <si>
    <t>Ouvrier d'état</t>
  </si>
  <si>
    <t>P0005</t>
  </si>
  <si>
    <t>O</t>
  </si>
  <si>
    <t>Enseignant privé ou maître délégué - Education</t>
  </si>
  <si>
    <t>P0224</t>
  </si>
  <si>
    <t>Particulier</t>
  </si>
  <si>
    <t>G20_C_001 ET G20_C_003 ET G20_C_004 ET G20_C_005 ET G20_C_006 ET G20_C_007 ET G20_C_015 ET G20_C_016 ET G20_C_017 ET G20_C_021 ET G20_C_019 ET G20_C_020 ET G20_C_023 ET G20_C_024</t>
  </si>
  <si>
    <t>G20_C_023</t>
  </si>
  <si>
    <t>Si le code "0870 - Cotisation assurance chômage" est utilisé pour une régularisation de cotisation avec un code statutaire servi à "92 - Privé simple, laïc et privé simple, religieux affilié à SS et RC et ASSEDIC", le mouvement de type 20 utilisé ressortira en anomalie non bloquante.</t>
  </si>
  <si>
    <t>G20_C_024</t>
  </si>
  <si>
    <t>Si le code "0870 - Cotisation assurance chômage" est utilisé pour une régularisation de cotisation le code statutaire doit être servi avec une valeur égale à "92 - Privé simple, laïc et privé simple, religieux affilié à SS et RC et ASSEDIC".</t>
  </si>
  <si>
    <t>Impacts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</si>
  <si>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</si>
  <si>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</si>
  <si>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</si>
  <si>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</si>
  <si>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</si>
  <si>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</si>
  <si>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</si>
  <si>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</si>
  <si>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</si>
  <si>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</si>
  <si>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</si>
  <si>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</si>
  <si>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</si>
  <si>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</si>
  <si>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</si>
  <si>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</si>
  <si>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</si>
  <si>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</si>
  <si>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</si>
  <si>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</si>
  <si>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</si>
  <si>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</si>
  <si>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</si>
  <si>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</si>
  <si>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</si>
  <si>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</si>
  <si>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</si>
  <si>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</si>
  <si>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</si>
  <si>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</si>
  <si>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</si>
  <si>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Contrôle</t>
  </si>
  <si>
    <t>Guide des règles de gestion du fichier GEST Référence 20.01</t>
  </si>
  <si>
    <t>BG20_COD_ORI [BG_Occurrence_courante] = '0'</t>
  </si>
  <si>
    <t>Bloquant</t>
  </si>
  <si>
    <t>Références CG règles PAY 20.01</t>
  </si>
  <si>
    <t>Guide des règles de gestion du fichier GEST Référence 20.02</t>
  </si>
  <si>
    <t>SI [Sous-chaine(BG_DAT_PAY [BG_Occurrence_courante],5,2)] = '01'</t>
  </si>
  <si>
    <t>BG20_COD_ORI [BG_Occurrence_courante] &lt;&gt; '1'</t>
  </si>
  <si>
    <t>Références CG règles PAY 20.02</t>
  </si>
  <si>
    <t>Guide des règles de gestion du fichier GEST Référence 20.03</t>
  </si>
  <si>
    <t>SI BG20_COD_ORI [BG_Occurrence_courante] = '0'</t>
  </si>
  <si>
    <t>BG20_COD_SEN [BG_Occurrence_courante] = '0'</t>
  </si>
  <si>
    <t>Références CG règles PAY 20.03</t>
  </si>
  <si>
    <t>Guide des règles de gestion du fichier GEST Référence 20.07</t>
  </si>
  <si>
    <t>SI BG20_MOD_CAL [BG_Occurrence_courante] = 'A'</t>
  </si>
  <si>
    <t>BG20_NBR_UNI [BG_Occurrence_courante] = Vide</t>
  </si>
  <si>
    <t>Références CG règles PAY 20.07</t>
  </si>
  <si>
    <t>Guide des règles de gestion du fichier GEST Référence 20.05</t>
  </si>
  <si>
    <t># Le terme « GREVE » ne doit pas être utilisé dans la zone "Libellé complémentaire"BG20_LIB_CPL [BG_Occurrence_courante].#</t>
  </si>
  <si>
    <t>Non Bloquant</t>
  </si>
  <si>
    <t>Ce contrôle est non bloquant car il s'agit d'une alerte pour le gestionnaire. PAY supprime automatiquement le premier E du mot GREVE.
Références CG règles PAY 20.05</t>
  </si>
  <si>
    <t>BG20_MONTANT [BG_Occurrence_courante] &lt;&gt; Vide</t>
  </si>
  <si>
    <t>SI BG20_MOD_CAL [BG_Occurrence_courante] = 'B'</t>
  </si>
  <si>
    <t>BG20_NBR_UNI [BG_Occurrence_courante] &lt;&gt; Vide ET BG20_MONTANT [BG_Occurrence_courante] &lt;&gt; Vide</t>
  </si>
  <si>
    <t>SI BG20_MOD_CAL [BG_Occurrence_courante] = 'H'</t>
  </si>
  <si>
    <t>SI BG20_MOD_CAL [BG_Occurrence_courante] = 'E'</t>
  </si>
  <si>
    <t>[Sous-chaine (BG20_MONTANT [BG_Occurrence_courante],1,4)] = Vide ET [Sous-chaine (BG20_MONTANT [BG_Occurrence_courante],5,2)] &lt;&gt;Vide</t>
  </si>
  <si>
    <t>BG20_MOD_CAL [BG_Occurrence_courante] = 'H'</t>
  </si>
  <si>
    <t>BG20_MOD_CAL [BG_Occurrence_courante] = 'E'</t>
  </si>
  <si>
    <t>Guide des règles de gestion du fichier GEST Référence 20.10</t>
  </si>
  <si>
    <t>BG20_COD_SEN [BG_Occurrence_courante] &lt;&gt; Vide</t>
  </si>
  <si>
    <t>Références CG règles PAY 20.10</t>
  </si>
  <si>
    <t>Guide des règles de gestion du fichier GEST Référence 20.11</t>
  </si>
  <si>
    <t>BG20_COD_ORI [BG_Occurrence_courante] &lt;&gt; Vide</t>
  </si>
  <si>
    <t>Références CG règles PAY 20.11</t>
  </si>
  <si>
    <t>BG20_MOD_CAL [BG_Occurrence_courante] DANS ('A', 'B', 'G')</t>
  </si>
  <si>
    <t>SI BG20_MOD_CAL [BG_Occurrence_courante] = 'G'</t>
  </si>
  <si>
    <t>Guide des règles de gestion du fichier GEST Référence 20.09</t>
  </si>
  <si>
    <t>[Somme_DAT_PAY (F_NBR_OCC,20)] &lt;= 30</t>
  </si>
  <si>
    <t>Références CG règles PAY 20.09</t>
  </si>
  <si>
    <t>Guide des règles de gestion du fichier GEST Référence 20.06</t>
  </si>
  <si>
    <t>BG02_SIT_STA [BG_Autre_occurrence] &lt;&gt; '92'</t>
  </si>
  <si>
    <t>Ce contrôle est non bloquant car il s'agit d'une alerte pour le gestionnaire. PAY de rappel de cotisation exceptionnelle.
Références CG règles PAY 20.06</t>
  </si>
  <si>
    <t>BG02_SIT_STA [BG_Autre_occurrence] = '92'</t>
  </si>
  <si>
    <t>Références CG règles PAY 20.06</t>
  </si>
  <si>
    <t>Guide des règles de gestion du fichier GEST Référence 20.12</t>
  </si>
  <si>
    <t>A_POS_POSIAD [Dossier] DANS ('DEE04', 'DES04')</t>
  </si>
  <si>
    <t>Références CG règles PAY 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</si>
</sst>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711AA-B0AA-4C97-803C-52101778090E}">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87"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742C6-FAF8-4707-975B-3EB93DD2F930}">
  <dimension ref="A1:BB49"/>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9.6328125" style="23" customWidth="1"/>
    <col min="54" max="54" width="15.6328125" style="24" customWidth="1"/>
    <col min="55" max="16384" width="10.90625" style="13"/>
  </cols>
  <sheetData>
    <row r="1" spans="1:54"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0" t="s">
        <v>53</v>
      </c>
      <c r="BB1" s="10" t="s">
        <v>54</v>
      </c>
    </row>
    <row r="2" spans="1:54" ht="87" x14ac:dyDescent="0.35">
      <c r="A2" s="14" t="s">
        <v>55</v>
      </c>
      <c r="B2" s="14" t="s">
        <v>56</v>
      </c>
      <c r="C2" s="15">
        <v>45818.402083333334</v>
      </c>
      <c r="D2" s="14" t="s">
        <v>57</v>
      </c>
      <c r="E2" s="16" t="s">
        <v>58</v>
      </c>
      <c r="F2" s="14" t="s">
        <v>59</v>
      </c>
      <c r="G2" s="16" t="s">
        <v>60</v>
      </c>
      <c r="H2" s="14" t="s">
        <v>61</v>
      </c>
      <c r="I2" s="16" t="s">
        <v>62</v>
      </c>
      <c r="J2" s="16" t="s">
        <v>63</v>
      </c>
      <c r="K2" s="16" t="s">
        <v>64</v>
      </c>
      <c r="L2" s="14" t="s">
        <v>65</v>
      </c>
      <c r="M2" s="16" t="s">
        <v>66</v>
      </c>
      <c r="N2" s="14" t="s">
        <v>67</v>
      </c>
      <c r="O2" s="16" t="s">
        <v>68</v>
      </c>
      <c r="P2" s="16" t="s">
        <v>69</v>
      </c>
      <c r="Q2" s="16" t="s">
        <v>70</v>
      </c>
      <c r="R2" s="14" t="s">
        <v>71</v>
      </c>
      <c r="S2" s="14" t="s">
        <v>72</v>
      </c>
      <c r="T2" s="14" t="s">
        <v>73</v>
      </c>
      <c r="U2" s="14" t="s">
        <v>74</v>
      </c>
      <c r="V2" s="15">
        <v>40725</v>
      </c>
      <c r="W2" s="15"/>
      <c r="X2" s="16" t="s">
        <v>75</v>
      </c>
      <c r="Y2" s="17" t="s">
        <v>76</v>
      </c>
      <c r="Z2" s="18" t="str">
        <f>VLOOKUP(Y2,'Axe 2 Règles de gestion'!$D$2:$F$23,3, FALSE)</f>
        <v>Le code origine doit être "0" (mois courant) pour l'indemnité '0954 - Précompte cotis. sal. RAFP'.</v>
      </c>
      <c r="AA2" s="17" t="s">
        <v>78</v>
      </c>
      <c r="AB2" s="18" t="str">
        <f>VLOOKUP(AA2,'Axe 2 Règles de gestion'!$D$2:$F$23,3, FALSE)</f>
        <v>Il est interdit de codifier le sens 1 (sens contraire) si le code origine est 0 (mois courant).</v>
      </c>
      <c r="AC2" s="17" t="s">
        <v>80</v>
      </c>
      <c r="AD2" s="18" t="str">
        <f>VLOOKUP(AC2,'Axe 2 Règles de gestion'!$D$2:$F$23,3, FALSE)</f>
        <v>Si le mode de calcul est "A - Montant précalculé", alors il faut laisser à vide la zone nombre d'unités.</v>
      </c>
      <c r="AE2" s="17" t="s">
        <v>82</v>
      </c>
      <c r="AF2" s="18" t="str">
        <f>VLOOKUP(AE2,'Axe 2 Règles de gestion'!$D$2:$F$23,3, FALSE)</f>
        <v>Le terme « GREVE » ne doit pas être utilisé dans la zone "Libellé complémentaire".</v>
      </c>
      <c r="AG2" s="17" t="s">
        <v>84</v>
      </c>
      <c r="AH2" s="18" t="str">
        <f>VLOOKUP(AG2,'Axe 2 Règles de gestion'!$D$2:$F$23,3, FALSE)</f>
        <v>Si le mode de calcul est "A - Montant précalculé", il faut que le montant soit différent de vide.</v>
      </c>
      <c r="AI2" s="17" t="s">
        <v>86</v>
      </c>
      <c r="AJ2" s="18" t="str">
        <f>VLOOKUP(AI2,'Axe 2 Règles de gestion'!$D$2:$F$23,3, FALSE)</f>
        <v>Si le mode de calcul est "B - Nombre d'unités x montant unitaire", il faut que le nombre d'unités et le montant soient différents de vide.</v>
      </c>
      <c r="AK2" s="17" t="s">
        <v>88</v>
      </c>
      <c r="AL2" s="18" t="str">
        <f>VLOOKUP(AK2,'Axe 2 Règles de gestion'!$D$2:$F$23,3, FALSE)</f>
        <v>Le code sens est obligatoire.</v>
      </c>
      <c r="AM2" s="17" t="s">
        <v>90</v>
      </c>
      <c r="AN2" s="18" t="str">
        <f>VLOOKUP(AM2,'Axe 2 Règles de gestion'!$D$2:$F$23,3, FALSE)</f>
        <v>Le code origine est obligatoire.</v>
      </c>
      <c r="AO2" s="17" t="s">
        <v>92</v>
      </c>
      <c r="AP2" s="18" t="str">
        <f>VLOOKUP(AO2,'Axe 2 Règles de gestion'!$D$2:$F$23,3, FALSE)</f>
        <v>Seuls les modes de calcul "A - Montant précalculé", "B - Nombre d'unités x montant unitaire", "G - Indemnité à déduire" sont autorisés.</v>
      </c>
      <c r="AQ2" s="17" t="s">
        <v>94</v>
      </c>
      <c r="AR2" s="18" t="str">
        <f>VLOOKUP(AQ2,'Axe 2 Règles de gestion'!$D$2:$F$23,3, FALSE)</f>
        <v>Le nombre total de mouvements 20 pour le mois de paie en cours doit être inférieur ou égal à 30.</v>
      </c>
      <c r="AS2" s="17" t="s">
        <v>96</v>
      </c>
      <c r="AT2" s="18" t="str">
        <f>VLOOKUP(AS2,'Axe 2 Règles de gestion'!$D$2:$F$23,3, FALSE)</f>
        <v>Si le mode de calcul est "G - Indemnité à déduire", alors il faut laisser vide la zone nombre d'unités.</v>
      </c>
      <c r="AU2" s="17" t="s">
        <v>98</v>
      </c>
      <c r="AV2" s="18" t="str">
        <f>VLOOKUP(AU2,'Axe 2 Règles de gestion'!$D$2:$F$23,3, FALSE)</f>
        <v>Si le mode de calcul est "G - Indemnité à déduire", il faut que le montant soit différent de vide.</v>
      </c>
      <c r="AW2" s="17"/>
      <c r="AX2" s="18"/>
      <c r="AY2" s="17"/>
      <c r="AZ2" s="18"/>
      <c r="BA2" s="14" t="s">
        <v>100</v>
      </c>
      <c r="BB2" s="16" t="s">
        <v>100</v>
      </c>
    </row>
    <row r="3" spans="1:54" ht="87" x14ac:dyDescent="0.35">
      <c r="A3" s="14" t="s">
        <v>55</v>
      </c>
      <c r="B3" s="14" t="s">
        <v>56</v>
      </c>
      <c r="C3" s="15">
        <v>45818.40347222222</v>
      </c>
      <c r="D3" s="14" t="s">
        <v>57</v>
      </c>
      <c r="E3" s="16" t="s">
        <v>58</v>
      </c>
      <c r="F3" s="14" t="s">
        <v>59</v>
      </c>
      <c r="G3" s="16" t="s">
        <v>60</v>
      </c>
      <c r="H3" s="14" t="s">
        <v>61</v>
      </c>
      <c r="I3" s="16" t="s">
        <v>62</v>
      </c>
      <c r="J3" s="16" t="s">
        <v>63</v>
      </c>
      <c r="K3" s="16" t="s">
        <v>64</v>
      </c>
      <c r="L3" s="14" t="s">
        <v>101</v>
      </c>
      <c r="M3" s="16" t="s">
        <v>102</v>
      </c>
      <c r="N3" s="14" t="s">
        <v>67</v>
      </c>
      <c r="O3" s="16" t="s">
        <v>103</v>
      </c>
      <c r="P3" s="16" t="s">
        <v>104</v>
      </c>
      <c r="Q3" s="16" t="s">
        <v>70</v>
      </c>
      <c r="R3" s="14" t="s">
        <v>71</v>
      </c>
      <c r="S3" s="14" t="s">
        <v>72</v>
      </c>
      <c r="T3" s="14" t="s">
        <v>73</v>
      </c>
      <c r="U3" s="14" t="s">
        <v>74</v>
      </c>
      <c r="V3" s="15">
        <v>40725</v>
      </c>
      <c r="W3" s="15"/>
      <c r="X3" s="16" t="s">
        <v>105</v>
      </c>
      <c r="Y3" s="17" t="s">
        <v>106</v>
      </c>
      <c r="Z3" s="18" t="str">
        <f>VLOOKUP(Y3,'Axe 2 Règles de gestion'!$D$2:$F$23,3, FALSE)</f>
        <v>Lorsque la date de paye correspond au mois de janvier, le code origine "1" (année courante) ne doit pas être notifié.</v>
      </c>
      <c r="AA3" s="17" t="s">
        <v>78</v>
      </c>
      <c r="AB3" s="18" t="str">
        <f>VLOOKUP(AA3,'Axe 2 Règles de gestion'!$D$2:$F$23,3, FALSE)</f>
        <v>Il est interdit de codifier le sens 1 (sens contraire) si le code origine est 0 (mois courant).</v>
      </c>
      <c r="AC3" s="17" t="s">
        <v>82</v>
      </c>
      <c r="AD3" s="18" t="str">
        <f>VLOOKUP(AC3,'Axe 2 Règles de gestion'!$D$2:$F$23,3, FALSE)</f>
        <v>Le terme « GREVE » ne doit pas être utilisé dans la zone "Libellé complémentaire".</v>
      </c>
      <c r="AE3" s="17" t="s">
        <v>108</v>
      </c>
      <c r="AF3" s="18" t="str">
        <f>VLOOKUP(AE3,'Axe 2 Règles de gestion'!$D$2:$F$23,3, FALSE)</f>
        <v>Si la zone mode de calcul est "Calcul PREFON" (MC = E), la zone "Nombre d'unités" doit être vide.</v>
      </c>
      <c r="AG3" s="17" t="s">
        <v>110</v>
      </c>
      <c r="AH3" s="18" t="str">
        <f>VLOOKUP(AG3,'Axe 2 Règles de gestion'!$D$2:$F$23,3, FALSE)</f>
        <v>Pour la retenue PREFON (code '0879'), seuls les deux derniers caractères (positions 57 à 58) de la zone MONTANT doivent être servies.</v>
      </c>
      <c r="AI3" s="17" t="s">
        <v>112</v>
      </c>
      <c r="AJ3" s="18" t="str">
        <f>VLOOKUP(AI3,'Axe 2 Règles de gestion'!$D$2:$F$23,3, FALSE)</f>
        <v>Pour la retenue PREFON (code '0879'), le mode de calcul doit être "E - Calcul PREFON (code classe)".</v>
      </c>
      <c r="AK3" s="17" t="s">
        <v>88</v>
      </c>
      <c r="AL3" s="18" t="str">
        <f>VLOOKUP(AK3,'Axe 2 Règles de gestion'!$D$2:$F$23,3, FALSE)</f>
        <v>Le code sens est obligatoire.</v>
      </c>
      <c r="AM3" s="17" t="s">
        <v>90</v>
      </c>
      <c r="AN3" s="18" t="str">
        <f>VLOOKUP(AM3,'Axe 2 Règles de gestion'!$D$2:$F$23,3, FALSE)</f>
        <v>Le code origine est obligatoire.</v>
      </c>
      <c r="AO3" s="17" t="s">
        <v>94</v>
      </c>
      <c r="AP3" s="18" t="str">
        <f>VLOOKUP(AO3,'Axe 2 Règles de gestion'!$D$2:$F$23,3, FALSE)</f>
        <v>Le nombre total de mouvements 20 pour le mois de paie en cours doit être inférieur ou égal à 30.</v>
      </c>
      <c r="AQ3" s="17"/>
      <c r="AR3" s="18"/>
      <c r="AS3" s="17"/>
      <c r="AT3" s="18"/>
      <c r="AU3" s="17"/>
      <c r="AV3" s="18"/>
      <c r="AW3" s="17"/>
      <c r="AX3" s="18"/>
      <c r="AY3" s="17"/>
      <c r="AZ3" s="18"/>
      <c r="BA3" s="14" t="s">
        <v>100</v>
      </c>
      <c r="BB3" s="16" t="s">
        <v>100</v>
      </c>
    </row>
    <row r="4" spans="1:54" ht="87" x14ac:dyDescent="0.35">
      <c r="A4" s="14" t="s">
        <v>55</v>
      </c>
      <c r="B4" s="14" t="s">
        <v>56</v>
      </c>
      <c r="C4" s="15">
        <v>45818.406944444447</v>
      </c>
      <c r="D4" s="14" t="s">
        <v>57</v>
      </c>
      <c r="E4" s="16" t="s">
        <v>58</v>
      </c>
      <c r="F4" s="14" t="s">
        <v>59</v>
      </c>
      <c r="G4" s="16" t="s">
        <v>60</v>
      </c>
      <c r="H4" s="14" t="s">
        <v>61</v>
      </c>
      <c r="I4" s="16" t="s">
        <v>62</v>
      </c>
      <c r="J4" s="16" t="s">
        <v>63</v>
      </c>
      <c r="K4" s="16" t="s">
        <v>64</v>
      </c>
      <c r="L4" s="14" t="s">
        <v>114</v>
      </c>
      <c r="M4" s="16" t="s">
        <v>115</v>
      </c>
      <c r="N4" s="14" t="s">
        <v>67</v>
      </c>
      <c r="O4" s="16" t="s">
        <v>116</v>
      </c>
      <c r="P4" s="16" t="s">
        <v>117</v>
      </c>
      <c r="Q4" s="16" t="s">
        <v>70</v>
      </c>
      <c r="R4" s="14" t="s">
        <v>71</v>
      </c>
      <c r="S4" s="14" t="s">
        <v>72</v>
      </c>
      <c r="T4" s="14" t="s">
        <v>73</v>
      </c>
      <c r="U4" s="14" t="s">
        <v>74</v>
      </c>
      <c r="V4" s="15">
        <v>40725</v>
      </c>
      <c r="W4" s="15"/>
      <c r="X4" s="16" t="s">
        <v>118</v>
      </c>
      <c r="Y4" s="17" t="s">
        <v>106</v>
      </c>
      <c r="Z4" s="18" t="str">
        <f>VLOOKUP(Y4,'Axe 2 Règles de gestion'!$D$2:$F$23,3, FALSE)</f>
        <v>Lorsque la date de paye correspond au mois de janvier, le code origine "1" (année courante) ne doit pas être notifié.</v>
      </c>
      <c r="AA4" s="17" t="s">
        <v>78</v>
      </c>
      <c r="AB4" s="18" t="str">
        <f>VLOOKUP(AA4,'Axe 2 Règles de gestion'!$D$2:$F$23,3, FALSE)</f>
        <v>Il est interdit de codifier le sens 1 (sens contraire) si le code origine est 0 (mois courant).</v>
      </c>
      <c r="AC4" s="17" t="s">
        <v>82</v>
      </c>
      <c r="AD4" s="18" t="str">
        <f>VLOOKUP(AC4,'Axe 2 Règles de gestion'!$D$2:$F$23,3, FALSE)</f>
        <v>Le terme « GREVE » ne doit pas être utilisé dans la zone "Libellé complémentaire".</v>
      </c>
      <c r="AE4" s="17" t="s">
        <v>119</v>
      </c>
      <c r="AF4" s="18" t="str">
        <f>VLOOKUP(AE4,'Axe 2 Règles de gestion'!$D$2:$F$23,3, FALSE)</f>
        <v>Si le mode de calcul est "H - Indemnité à ne pas payer (avantage en nature)", il faut que le nombre d'unités soit vide.</v>
      </c>
      <c r="AG4" s="17" t="s">
        <v>121</v>
      </c>
      <c r="AH4" s="18" t="str">
        <f>VLOOKUP(AG4,'Axe 2 Règles de gestion'!$D$2:$F$23,3, FALSE)</f>
        <v>Si le mode de calcul est "H - Indemnité à ne pas payer (avantage en nature)", il faut que le montant soit différent de vide.</v>
      </c>
      <c r="AI4" s="17" t="s">
        <v>123</v>
      </c>
      <c r="AJ4" s="18" t="str">
        <f>VLOOKUP(AI4,'Axe 2 Règles de gestion'!$D$2:$F$23,3, FALSE)</f>
        <v>Pour les avantages en nature (codes '0136','1404','1405','1406','1407), le mode de calcul doit être "H - Indemnité à ne pas payer (avantage en nature)".</v>
      </c>
      <c r="AK4" s="17" t="s">
        <v>88</v>
      </c>
      <c r="AL4" s="18" t="str">
        <f>VLOOKUP(AK4,'Axe 2 Règles de gestion'!$D$2:$F$23,3, FALSE)</f>
        <v>Le code sens est obligatoire.</v>
      </c>
      <c r="AM4" s="17" t="s">
        <v>90</v>
      </c>
      <c r="AN4" s="18" t="str">
        <f>VLOOKUP(AM4,'Axe 2 Règles de gestion'!$D$2:$F$23,3, FALSE)</f>
        <v>Le code origine est obligatoire.</v>
      </c>
      <c r="AO4" s="17" t="s">
        <v>94</v>
      </c>
      <c r="AP4" s="18" t="str">
        <f>VLOOKUP(AO4,'Axe 2 Règles de gestion'!$D$2:$F$23,3, FALSE)</f>
        <v>Le nombre total de mouvements 20 pour le mois de paie en cours doit être inférieur ou égal à 30.</v>
      </c>
      <c r="AQ4" s="17"/>
      <c r="AR4" s="18"/>
      <c r="AS4" s="17"/>
      <c r="AT4" s="18"/>
      <c r="AU4" s="17"/>
      <c r="AV4" s="18"/>
      <c r="AW4" s="17"/>
      <c r="AX4" s="18"/>
      <c r="AY4" s="17"/>
      <c r="AZ4" s="18"/>
      <c r="BA4" s="14" t="s">
        <v>100</v>
      </c>
      <c r="BB4" s="16" t="s">
        <v>100</v>
      </c>
    </row>
    <row r="5" spans="1:54" ht="43.5" x14ac:dyDescent="0.35">
      <c r="A5" s="14" t="s">
        <v>55</v>
      </c>
      <c r="B5" s="14" t="s">
        <v>56</v>
      </c>
      <c r="C5" s="15">
        <v>45818.408333333333</v>
      </c>
      <c r="D5" s="14" t="s">
        <v>57</v>
      </c>
      <c r="E5" s="16" t="s">
        <v>58</v>
      </c>
      <c r="F5" s="14" t="s">
        <v>59</v>
      </c>
      <c r="G5" s="16" t="s">
        <v>60</v>
      </c>
      <c r="H5" s="14" t="s">
        <v>61</v>
      </c>
      <c r="I5" s="16" t="s">
        <v>62</v>
      </c>
      <c r="J5" s="16" t="s">
        <v>63</v>
      </c>
      <c r="K5" s="16" t="s">
        <v>64</v>
      </c>
      <c r="L5" s="14" t="s">
        <v>125</v>
      </c>
      <c r="M5" s="16" t="s">
        <v>126</v>
      </c>
      <c r="N5" s="14" t="s">
        <v>67</v>
      </c>
      <c r="O5" s="16" t="s">
        <v>127</v>
      </c>
      <c r="P5" s="16" t="s">
        <v>128</v>
      </c>
      <c r="Q5" s="16" t="s">
        <v>70</v>
      </c>
      <c r="R5" s="14" t="s">
        <v>71</v>
      </c>
      <c r="S5" s="14" t="s">
        <v>72</v>
      </c>
      <c r="T5" s="14" t="s">
        <v>73</v>
      </c>
      <c r="U5" s="14" t="s">
        <v>129</v>
      </c>
      <c r="V5" s="15">
        <v>40725</v>
      </c>
      <c r="W5" s="15"/>
      <c r="X5" s="16" t="s">
        <v>100</v>
      </c>
      <c r="Y5" s="17"/>
      <c r="Z5" s="18"/>
      <c r="AA5" s="17"/>
      <c r="AB5" s="18"/>
      <c r="AC5" s="17"/>
      <c r="AD5" s="18"/>
      <c r="AE5" s="17"/>
      <c r="AF5" s="18"/>
      <c r="AG5" s="17"/>
      <c r="AH5" s="18"/>
      <c r="AI5" s="17"/>
      <c r="AJ5" s="18"/>
      <c r="AK5" s="17"/>
      <c r="AL5" s="18"/>
      <c r="AM5" s="17"/>
      <c r="AN5" s="18"/>
      <c r="AO5" s="17"/>
      <c r="AP5" s="18"/>
      <c r="AQ5" s="17"/>
      <c r="AR5" s="18"/>
      <c r="AS5" s="17"/>
      <c r="AT5" s="18"/>
      <c r="AU5" s="17"/>
      <c r="AV5" s="18"/>
      <c r="AW5" s="17"/>
      <c r="AX5" s="18"/>
      <c r="AY5" s="17"/>
      <c r="AZ5" s="18"/>
      <c r="BA5" s="14" t="s">
        <v>100</v>
      </c>
      <c r="BB5" s="16" t="s">
        <v>100</v>
      </c>
    </row>
    <row r="6" spans="1:54" ht="87" x14ac:dyDescent="0.35">
      <c r="A6" s="14" t="s">
        <v>55</v>
      </c>
      <c r="B6" s="14" t="s">
        <v>56</v>
      </c>
      <c r="C6" s="15">
        <v>45818.40902777778</v>
      </c>
      <c r="D6" s="14" t="s">
        <v>57</v>
      </c>
      <c r="E6" s="16" t="s">
        <v>58</v>
      </c>
      <c r="F6" s="14" t="s">
        <v>59</v>
      </c>
      <c r="G6" s="16" t="s">
        <v>60</v>
      </c>
      <c r="H6" s="14" t="s">
        <v>61</v>
      </c>
      <c r="I6" s="16" t="s">
        <v>62</v>
      </c>
      <c r="J6" s="16" t="s">
        <v>63</v>
      </c>
      <c r="K6" s="16" t="s">
        <v>64</v>
      </c>
      <c r="L6" s="14" t="s">
        <v>130</v>
      </c>
      <c r="M6" s="16" t="s">
        <v>131</v>
      </c>
      <c r="N6" s="14" t="s">
        <v>67</v>
      </c>
      <c r="O6" s="16" t="s">
        <v>132</v>
      </c>
      <c r="P6" s="16" t="s">
        <v>133</v>
      </c>
      <c r="Q6" s="16" t="s">
        <v>70</v>
      </c>
      <c r="R6" s="14" t="s">
        <v>71</v>
      </c>
      <c r="S6" s="14" t="s">
        <v>72</v>
      </c>
      <c r="T6" s="14" t="s">
        <v>73</v>
      </c>
      <c r="U6" s="14" t="s">
        <v>74</v>
      </c>
      <c r="V6" s="15">
        <v>40725</v>
      </c>
      <c r="W6" s="15"/>
      <c r="X6" s="16" t="s">
        <v>134</v>
      </c>
      <c r="Y6" s="17" t="s">
        <v>106</v>
      </c>
      <c r="Z6" s="18" t="str">
        <f>VLOOKUP(Y6,'Axe 2 Règles de gestion'!$D$2:$F$23,3, FALSE)</f>
        <v>Lorsque la date de paye correspond au mois de janvier, le code origine "1" (année courante) ne doit pas être notifié.</v>
      </c>
      <c r="AA6" s="17" t="s">
        <v>78</v>
      </c>
      <c r="AB6" s="18" t="str">
        <f>VLOOKUP(AA6,'Axe 2 Règles de gestion'!$D$2:$F$23,3, FALSE)</f>
        <v>Il est interdit de codifier le sens 1 (sens contraire) si le code origine est 0 (mois courant).</v>
      </c>
      <c r="AC6" s="17" t="s">
        <v>80</v>
      </c>
      <c r="AD6" s="18" t="str">
        <f>VLOOKUP(AC6,'Axe 2 Règles de gestion'!$D$2:$F$23,3, FALSE)</f>
        <v>Si le mode de calcul est "A - Montant précalculé", alors il faut laisser à vide la zone nombre d'unités.</v>
      </c>
      <c r="AE6" s="17" t="s">
        <v>82</v>
      </c>
      <c r="AF6" s="18" t="str">
        <f>VLOOKUP(AE6,'Axe 2 Règles de gestion'!$D$2:$F$23,3, FALSE)</f>
        <v>Le terme « GREVE » ne doit pas être utilisé dans la zone "Libellé complémentaire".</v>
      </c>
      <c r="AG6" s="17" t="s">
        <v>84</v>
      </c>
      <c r="AH6" s="18" t="str">
        <f>VLOOKUP(AG6,'Axe 2 Règles de gestion'!$D$2:$F$23,3, FALSE)</f>
        <v>Si le mode de calcul est "A - Montant précalculé", il faut que le montant soit différent de vide.</v>
      </c>
      <c r="AI6" s="17" t="s">
        <v>86</v>
      </c>
      <c r="AJ6" s="18" t="str">
        <f>VLOOKUP(AI6,'Axe 2 Règles de gestion'!$D$2:$F$23,3, FALSE)</f>
        <v>Si le mode de calcul est "B - Nombre d'unités x montant unitaire", il faut que le nombre d'unités et le montant soient différents de vide.</v>
      </c>
      <c r="AK6" s="17" t="s">
        <v>88</v>
      </c>
      <c r="AL6" s="18" t="str">
        <f>VLOOKUP(AK6,'Axe 2 Règles de gestion'!$D$2:$F$23,3, FALSE)</f>
        <v>Le code sens est obligatoire.</v>
      </c>
      <c r="AM6" s="17" t="s">
        <v>90</v>
      </c>
      <c r="AN6" s="18" t="str">
        <f>VLOOKUP(AM6,'Axe 2 Règles de gestion'!$D$2:$F$23,3, FALSE)</f>
        <v>Le code origine est obligatoire.</v>
      </c>
      <c r="AO6" s="17" t="s">
        <v>92</v>
      </c>
      <c r="AP6" s="18" t="str">
        <f>VLOOKUP(AO6,'Axe 2 Règles de gestion'!$D$2:$F$23,3, FALSE)</f>
        <v>Seuls les modes de calcul "A - Montant précalculé", "B - Nombre d'unités x montant unitaire", "G - Indemnité à déduire" sont autorisés.</v>
      </c>
      <c r="AQ6" s="17" t="s">
        <v>96</v>
      </c>
      <c r="AR6" s="18" t="str">
        <f>VLOOKUP(AQ6,'Axe 2 Règles de gestion'!$D$2:$F$23,3, FALSE)</f>
        <v>Si le mode de calcul est "G - Indemnité à déduire", alors il faut laisser vide la zone nombre d'unités.</v>
      </c>
      <c r="AS6" s="17" t="s">
        <v>98</v>
      </c>
      <c r="AT6" s="18" t="str">
        <f>VLOOKUP(AS6,'Axe 2 Règles de gestion'!$D$2:$F$23,3, FALSE)</f>
        <v>Si le mode de calcul est "G - Indemnité à déduire", il faut que le montant soit différent de vide.</v>
      </c>
      <c r="AU6" s="17" t="s">
        <v>94</v>
      </c>
      <c r="AV6" s="18" t="str">
        <f>VLOOKUP(AU6,'Axe 2 Règles de gestion'!$D$2:$F$23,3, FALSE)</f>
        <v>Le nombre total de mouvements 20 pour le mois de paie en cours doit être inférieur ou égal à 30.</v>
      </c>
      <c r="AW6" s="17"/>
      <c r="AX6" s="18"/>
      <c r="AY6" s="17"/>
      <c r="AZ6" s="18"/>
      <c r="BA6" s="14" t="s">
        <v>100</v>
      </c>
      <c r="BB6" s="16" t="s">
        <v>100</v>
      </c>
    </row>
    <row r="7" spans="1:54" ht="87" x14ac:dyDescent="0.35">
      <c r="A7" s="14" t="s">
        <v>55</v>
      </c>
      <c r="B7" s="14" t="s">
        <v>56</v>
      </c>
      <c r="C7" s="15">
        <v>45818.402083333334</v>
      </c>
      <c r="D7" s="14" t="s">
        <v>57</v>
      </c>
      <c r="E7" s="16" t="s">
        <v>58</v>
      </c>
      <c r="F7" s="14" t="s">
        <v>59</v>
      </c>
      <c r="G7" s="16" t="s">
        <v>60</v>
      </c>
      <c r="H7" s="14" t="s">
        <v>61</v>
      </c>
      <c r="I7" s="16" t="s">
        <v>62</v>
      </c>
      <c r="J7" s="16" t="s">
        <v>63</v>
      </c>
      <c r="K7" s="16" t="s">
        <v>64</v>
      </c>
      <c r="L7" s="14" t="s">
        <v>65</v>
      </c>
      <c r="M7" s="16" t="s">
        <v>66</v>
      </c>
      <c r="N7" s="14" t="s">
        <v>67</v>
      </c>
      <c r="O7" s="16" t="s">
        <v>68</v>
      </c>
      <c r="P7" s="16" t="s">
        <v>69</v>
      </c>
      <c r="Q7" s="16" t="s">
        <v>135</v>
      </c>
      <c r="R7" s="14" t="s">
        <v>136</v>
      </c>
      <c r="S7" s="14" t="s">
        <v>137</v>
      </c>
      <c r="T7" s="14" t="s">
        <v>73</v>
      </c>
      <c r="U7" s="14" t="s">
        <v>74</v>
      </c>
      <c r="V7" s="15">
        <v>40725</v>
      </c>
      <c r="W7" s="15"/>
      <c r="X7" s="16" t="s">
        <v>75</v>
      </c>
      <c r="Y7" s="17" t="s">
        <v>76</v>
      </c>
      <c r="Z7" s="18" t="str">
        <f>VLOOKUP(Y7,'Axe 2 Règles de gestion'!$D$2:$F$23,3, FALSE)</f>
        <v>Le code origine doit être "0" (mois courant) pour l'indemnité '0954 - Précompte cotis. sal. RAFP'.</v>
      </c>
      <c r="AA7" s="17" t="s">
        <v>78</v>
      </c>
      <c r="AB7" s="18" t="str">
        <f>VLOOKUP(AA7,'Axe 2 Règles de gestion'!$D$2:$F$23,3, FALSE)</f>
        <v>Il est interdit de codifier le sens 1 (sens contraire) si le code origine est 0 (mois courant).</v>
      </c>
      <c r="AC7" s="17" t="s">
        <v>80</v>
      </c>
      <c r="AD7" s="18" t="str">
        <f>VLOOKUP(AC7,'Axe 2 Règles de gestion'!$D$2:$F$23,3, FALSE)</f>
        <v>Si le mode de calcul est "A - Montant précalculé", alors il faut laisser à vide la zone nombre d'unités.</v>
      </c>
      <c r="AE7" s="17" t="s">
        <v>82</v>
      </c>
      <c r="AF7" s="18" t="str">
        <f>VLOOKUP(AE7,'Axe 2 Règles de gestion'!$D$2:$F$23,3, FALSE)</f>
        <v>Le terme « GREVE » ne doit pas être utilisé dans la zone "Libellé complémentaire".</v>
      </c>
      <c r="AG7" s="17" t="s">
        <v>84</v>
      </c>
      <c r="AH7" s="18" t="str">
        <f>VLOOKUP(AG7,'Axe 2 Règles de gestion'!$D$2:$F$23,3, FALSE)</f>
        <v>Si le mode de calcul est "A - Montant précalculé", il faut que le montant soit différent de vide.</v>
      </c>
      <c r="AI7" s="17" t="s">
        <v>86</v>
      </c>
      <c r="AJ7" s="18" t="str">
        <f>VLOOKUP(AI7,'Axe 2 Règles de gestion'!$D$2:$F$23,3, FALSE)</f>
        <v>Si le mode de calcul est "B - Nombre d'unités x montant unitaire", il faut que le nombre d'unités et le montant soient différents de vide.</v>
      </c>
      <c r="AK7" s="17" t="s">
        <v>88</v>
      </c>
      <c r="AL7" s="18" t="str">
        <f>VLOOKUP(AK7,'Axe 2 Règles de gestion'!$D$2:$F$23,3, FALSE)</f>
        <v>Le code sens est obligatoire.</v>
      </c>
      <c r="AM7" s="17" t="s">
        <v>90</v>
      </c>
      <c r="AN7" s="18" t="str">
        <f>VLOOKUP(AM7,'Axe 2 Règles de gestion'!$D$2:$F$23,3, FALSE)</f>
        <v>Le code origine est obligatoire.</v>
      </c>
      <c r="AO7" s="17" t="s">
        <v>92</v>
      </c>
      <c r="AP7" s="18" t="str">
        <f>VLOOKUP(AO7,'Axe 2 Règles de gestion'!$D$2:$F$23,3, FALSE)</f>
        <v>Seuls les modes de calcul "A - Montant précalculé", "B - Nombre d'unités x montant unitaire", "G - Indemnité à déduire" sont autorisés.</v>
      </c>
      <c r="AQ7" s="17" t="s">
        <v>94</v>
      </c>
      <c r="AR7" s="18" t="str">
        <f>VLOOKUP(AQ7,'Axe 2 Règles de gestion'!$D$2:$F$23,3, FALSE)</f>
        <v>Le nombre total de mouvements 20 pour le mois de paie en cours doit être inférieur ou égal à 30.</v>
      </c>
      <c r="AS7" s="17" t="s">
        <v>96</v>
      </c>
      <c r="AT7" s="18" t="str">
        <f>VLOOKUP(AS7,'Axe 2 Règles de gestion'!$D$2:$F$23,3, FALSE)</f>
        <v>Si le mode de calcul est "G - Indemnité à déduire", alors il faut laisser vide la zone nombre d'unités.</v>
      </c>
      <c r="AU7" s="17" t="s">
        <v>98</v>
      </c>
      <c r="AV7" s="18" t="str">
        <f>VLOOKUP(AU7,'Axe 2 Règles de gestion'!$D$2:$F$23,3, FALSE)</f>
        <v>Si le mode de calcul est "G - Indemnité à déduire", il faut que le montant soit différent de vide.</v>
      </c>
      <c r="AW7" s="17"/>
      <c r="AX7" s="18"/>
      <c r="AY7" s="17"/>
      <c r="AZ7" s="18"/>
      <c r="BA7" s="14" t="s">
        <v>100</v>
      </c>
      <c r="BB7" s="16" t="s">
        <v>100</v>
      </c>
    </row>
    <row r="8" spans="1:54" ht="87" x14ac:dyDescent="0.35">
      <c r="A8" s="14" t="s">
        <v>55</v>
      </c>
      <c r="B8" s="14" t="s">
        <v>56</v>
      </c>
      <c r="C8" s="15">
        <v>45818.404166666667</v>
      </c>
      <c r="D8" s="14" t="s">
        <v>57</v>
      </c>
      <c r="E8" s="16" t="s">
        <v>58</v>
      </c>
      <c r="F8" s="14" t="s">
        <v>59</v>
      </c>
      <c r="G8" s="16" t="s">
        <v>60</v>
      </c>
      <c r="H8" s="14" t="s">
        <v>61</v>
      </c>
      <c r="I8" s="16" t="s">
        <v>62</v>
      </c>
      <c r="J8" s="16" t="s">
        <v>63</v>
      </c>
      <c r="K8" s="16" t="s">
        <v>64</v>
      </c>
      <c r="L8" s="14" t="s">
        <v>101</v>
      </c>
      <c r="M8" s="16" t="s">
        <v>102</v>
      </c>
      <c r="N8" s="14" t="s">
        <v>67</v>
      </c>
      <c r="O8" s="16" t="s">
        <v>103</v>
      </c>
      <c r="P8" s="16" t="s">
        <v>104</v>
      </c>
      <c r="Q8" s="16" t="s">
        <v>135</v>
      </c>
      <c r="R8" s="14" t="s">
        <v>136</v>
      </c>
      <c r="S8" s="14" t="s">
        <v>137</v>
      </c>
      <c r="T8" s="14" t="s">
        <v>73</v>
      </c>
      <c r="U8" s="14" t="s">
        <v>74</v>
      </c>
      <c r="V8" s="15">
        <v>40725</v>
      </c>
      <c r="W8" s="15"/>
      <c r="X8" s="16" t="s">
        <v>105</v>
      </c>
      <c r="Y8" s="17" t="s">
        <v>106</v>
      </c>
      <c r="Z8" s="18" t="str">
        <f>VLOOKUP(Y8,'Axe 2 Règles de gestion'!$D$2:$F$23,3, FALSE)</f>
        <v>Lorsque la date de paye correspond au mois de janvier, le code origine "1" (année courante) ne doit pas être notifié.</v>
      </c>
      <c r="AA8" s="17" t="s">
        <v>78</v>
      </c>
      <c r="AB8" s="18" t="str">
        <f>VLOOKUP(AA8,'Axe 2 Règles de gestion'!$D$2:$F$23,3, FALSE)</f>
        <v>Il est interdit de codifier le sens 1 (sens contraire) si le code origine est 0 (mois courant).</v>
      </c>
      <c r="AC8" s="17" t="s">
        <v>82</v>
      </c>
      <c r="AD8" s="18" t="str">
        <f>VLOOKUP(AC8,'Axe 2 Règles de gestion'!$D$2:$F$23,3, FALSE)</f>
        <v>Le terme « GREVE » ne doit pas être utilisé dans la zone "Libellé complémentaire".</v>
      </c>
      <c r="AE8" s="17" t="s">
        <v>108</v>
      </c>
      <c r="AF8" s="18" t="str">
        <f>VLOOKUP(AE8,'Axe 2 Règles de gestion'!$D$2:$F$23,3, FALSE)</f>
        <v>Si la zone mode de calcul est "Calcul PREFON" (MC = E), la zone "Nombre d'unités" doit être vide.</v>
      </c>
      <c r="AG8" s="17" t="s">
        <v>110</v>
      </c>
      <c r="AH8" s="18" t="str">
        <f>VLOOKUP(AG8,'Axe 2 Règles de gestion'!$D$2:$F$23,3, FALSE)</f>
        <v>Pour la retenue PREFON (code '0879'), seuls les deux derniers caractères (positions 57 à 58) de la zone MONTANT doivent être servies.</v>
      </c>
      <c r="AI8" s="17" t="s">
        <v>112</v>
      </c>
      <c r="AJ8" s="18" t="str">
        <f>VLOOKUP(AI8,'Axe 2 Règles de gestion'!$D$2:$F$23,3, FALSE)</f>
        <v>Pour la retenue PREFON (code '0879'), le mode de calcul doit être "E - Calcul PREFON (code classe)".</v>
      </c>
      <c r="AK8" s="17" t="s">
        <v>88</v>
      </c>
      <c r="AL8" s="18" t="str">
        <f>VLOOKUP(AK8,'Axe 2 Règles de gestion'!$D$2:$F$23,3, FALSE)</f>
        <v>Le code sens est obligatoire.</v>
      </c>
      <c r="AM8" s="17" t="s">
        <v>90</v>
      </c>
      <c r="AN8" s="18" t="str">
        <f>VLOOKUP(AM8,'Axe 2 Règles de gestion'!$D$2:$F$23,3, FALSE)</f>
        <v>Le code origine est obligatoire.</v>
      </c>
      <c r="AO8" s="17" t="s">
        <v>94</v>
      </c>
      <c r="AP8" s="18" t="str">
        <f>VLOOKUP(AO8,'Axe 2 Règles de gestion'!$D$2:$F$23,3, FALSE)</f>
        <v>Le nombre total de mouvements 20 pour le mois de paie en cours doit être inférieur ou égal à 30.</v>
      </c>
      <c r="AQ8" s="17"/>
      <c r="AR8" s="18"/>
      <c r="AS8" s="17"/>
      <c r="AT8" s="18"/>
      <c r="AU8" s="17"/>
      <c r="AV8" s="18"/>
      <c r="AW8" s="17"/>
      <c r="AX8" s="18"/>
      <c r="AY8" s="17"/>
      <c r="AZ8" s="18"/>
      <c r="BA8" s="14" t="s">
        <v>100</v>
      </c>
      <c r="BB8" s="16" t="s">
        <v>100</v>
      </c>
    </row>
    <row r="9" spans="1:54" ht="87" x14ac:dyDescent="0.35">
      <c r="A9" s="14" t="s">
        <v>55</v>
      </c>
      <c r="B9" s="14" t="s">
        <v>56</v>
      </c>
      <c r="C9" s="15">
        <v>45818.407638888886</v>
      </c>
      <c r="D9" s="14" t="s">
        <v>57</v>
      </c>
      <c r="E9" s="16" t="s">
        <v>58</v>
      </c>
      <c r="F9" s="14" t="s">
        <v>59</v>
      </c>
      <c r="G9" s="16" t="s">
        <v>60</v>
      </c>
      <c r="H9" s="14" t="s">
        <v>61</v>
      </c>
      <c r="I9" s="16" t="s">
        <v>62</v>
      </c>
      <c r="J9" s="16" t="s">
        <v>63</v>
      </c>
      <c r="K9" s="16" t="s">
        <v>64</v>
      </c>
      <c r="L9" s="14" t="s">
        <v>114</v>
      </c>
      <c r="M9" s="16" t="s">
        <v>115</v>
      </c>
      <c r="N9" s="14" t="s">
        <v>67</v>
      </c>
      <c r="O9" s="16" t="s">
        <v>116</v>
      </c>
      <c r="P9" s="16" t="s">
        <v>117</v>
      </c>
      <c r="Q9" s="16" t="s">
        <v>135</v>
      </c>
      <c r="R9" s="14" t="s">
        <v>136</v>
      </c>
      <c r="S9" s="14" t="s">
        <v>137</v>
      </c>
      <c r="T9" s="14" t="s">
        <v>73</v>
      </c>
      <c r="U9" s="14" t="s">
        <v>74</v>
      </c>
      <c r="V9" s="15">
        <v>40725</v>
      </c>
      <c r="W9" s="15"/>
      <c r="X9" s="16" t="s">
        <v>118</v>
      </c>
      <c r="Y9" s="17" t="s">
        <v>106</v>
      </c>
      <c r="Z9" s="18" t="str">
        <f>VLOOKUP(Y9,'Axe 2 Règles de gestion'!$D$2:$F$23,3, FALSE)</f>
        <v>Lorsque la date de paye correspond au mois de janvier, le code origine "1" (année courante) ne doit pas être notifié.</v>
      </c>
      <c r="AA9" s="17" t="s">
        <v>78</v>
      </c>
      <c r="AB9" s="18" t="str">
        <f>VLOOKUP(AA9,'Axe 2 Règles de gestion'!$D$2:$F$23,3, FALSE)</f>
        <v>Il est interdit de codifier le sens 1 (sens contraire) si le code origine est 0 (mois courant).</v>
      </c>
      <c r="AC9" s="17" t="s">
        <v>82</v>
      </c>
      <c r="AD9" s="18" t="str">
        <f>VLOOKUP(AC9,'Axe 2 Règles de gestion'!$D$2:$F$23,3, FALSE)</f>
        <v>Le terme « GREVE » ne doit pas être utilisé dans la zone "Libellé complémentaire".</v>
      </c>
      <c r="AE9" s="17" t="s">
        <v>119</v>
      </c>
      <c r="AF9" s="18" t="str">
        <f>VLOOKUP(AE9,'Axe 2 Règles de gestion'!$D$2:$F$23,3, FALSE)</f>
        <v>Si le mode de calcul est "H - Indemnité à ne pas payer (avantage en nature)", il faut que le nombre d'unités soit vide.</v>
      </c>
      <c r="AG9" s="17" t="s">
        <v>121</v>
      </c>
      <c r="AH9" s="18" t="str">
        <f>VLOOKUP(AG9,'Axe 2 Règles de gestion'!$D$2:$F$23,3, FALSE)</f>
        <v>Si le mode de calcul est "H - Indemnité à ne pas payer (avantage en nature)", il faut que le montant soit différent de vide.</v>
      </c>
      <c r="AI9" s="17" t="s">
        <v>123</v>
      </c>
      <c r="AJ9" s="18" t="str">
        <f>VLOOKUP(AI9,'Axe 2 Règles de gestion'!$D$2:$F$23,3, FALSE)</f>
        <v>Pour les avantages en nature (codes '0136','1404','1405','1406','1407), le mode de calcul doit être "H - Indemnité à ne pas payer (avantage en nature)".</v>
      </c>
      <c r="AK9" s="17" t="s">
        <v>88</v>
      </c>
      <c r="AL9" s="18" t="str">
        <f>VLOOKUP(AK9,'Axe 2 Règles de gestion'!$D$2:$F$23,3, FALSE)</f>
        <v>Le code sens est obligatoire.</v>
      </c>
      <c r="AM9" s="17" t="s">
        <v>90</v>
      </c>
      <c r="AN9" s="18" t="str">
        <f>VLOOKUP(AM9,'Axe 2 Règles de gestion'!$D$2:$F$23,3, FALSE)</f>
        <v>Le code origine est obligatoire.</v>
      </c>
      <c r="AO9" s="17" t="s">
        <v>94</v>
      </c>
      <c r="AP9" s="18" t="str">
        <f>VLOOKUP(AO9,'Axe 2 Règles de gestion'!$D$2:$F$23,3, FALSE)</f>
        <v>Le nombre total de mouvements 20 pour le mois de paie en cours doit être inférieur ou égal à 30.</v>
      </c>
      <c r="AQ9" s="17"/>
      <c r="AR9" s="18"/>
      <c r="AS9" s="17"/>
      <c r="AT9" s="18"/>
      <c r="AU9" s="17"/>
      <c r="AV9" s="18"/>
      <c r="AW9" s="17"/>
      <c r="AX9" s="18"/>
      <c r="AY9" s="17"/>
      <c r="AZ9" s="18"/>
      <c r="BA9" s="14" t="s">
        <v>100</v>
      </c>
      <c r="BB9" s="16" t="s">
        <v>100</v>
      </c>
    </row>
    <row r="10" spans="1:54" ht="43.5" x14ac:dyDescent="0.35">
      <c r="A10" s="14" t="s">
        <v>55</v>
      </c>
      <c r="B10" s="14" t="s">
        <v>56</v>
      </c>
      <c r="C10" s="15">
        <v>45818.408333333333</v>
      </c>
      <c r="D10" s="14" t="s">
        <v>57</v>
      </c>
      <c r="E10" s="16" t="s">
        <v>58</v>
      </c>
      <c r="F10" s="14" t="s">
        <v>59</v>
      </c>
      <c r="G10" s="16" t="s">
        <v>60</v>
      </c>
      <c r="H10" s="14" t="s">
        <v>61</v>
      </c>
      <c r="I10" s="16" t="s">
        <v>62</v>
      </c>
      <c r="J10" s="16" t="s">
        <v>63</v>
      </c>
      <c r="K10" s="16" t="s">
        <v>64</v>
      </c>
      <c r="L10" s="14" t="s">
        <v>125</v>
      </c>
      <c r="M10" s="16" t="s">
        <v>126</v>
      </c>
      <c r="N10" s="14" t="s">
        <v>67</v>
      </c>
      <c r="O10" s="16" t="s">
        <v>127</v>
      </c>
      <c r="P10" s="16" t="s">
        <v>128</v>
      </c>
      <c r="Q10" s="16" t="s">
        <v>135</v>
      </c>
      <c r="R10" s="14" t="s">
        <v>136</v>
      </c>
      <c r="S10" s="14" t="s">
        <v>137</v>
      </c>
      <c r="T10" s="14" t="s">
        <v>73</v>
      </c>
      <c r="U10" s="14" t="s">
        <v>129</v>
      </c>
      <c r="V10" s="15">
        <v>40725</v>
      </c>
      <c r="W10" s="15"/>
      <c r="X10" s="16" t="s">
        <v>100</v>
      </c>
      <c r="Y10" s="17"/>
      <c r="Z10" s="18"/>
      <c r="AA10" s="17"/>
      <c r="AB10" s="18"/>
      <c r="AC10" s="17"/>
      <c r="AD10" s="18"/>
      <c r="AE10" s="17"/>
      <c r="AF10" s="18"/>
      <c r="AG10" s="17"/>
      <c r="AH10" s="18"/>
      <c r="AI10" s="17"/>
      <c r="AJ10" s="18"/>
      <c r="AK10" s="17"/>
      <c r="AL10" s="18"/>
      <c r="AM10" s="17"/>
      <c r="AN10" s="18"/>
      <c r="AO10" s="17"/>
      <c r="AP10" s="18"/>
      <c r="AQ10" s="17"/>
      <c r="AR10" s="18"/>
      <c r="AS10" s="17"/>
      <c r="AT10" s="18"/>
      <c r="AU10" s="17"/>
      <c r="AV10" s="18"/>
      <c r="AW10" s="17"/>
      <c r="AX10" s="18"/>
      <c r="AY10" s="17"/>
      <c r="AZ10" s="18"/>
      <c r="BA10" s="14" t="s">
        <v>100</v>
      </c>
      <c r="BB10" s="16" t="s">
        <v>100</v>
      </c>
    </row>
    <row r="11" spans="1:54" ht="87" x14ac:dyDescent="0.35">
      <c r="A11" s="14" t="s">
        <v>55</v>
      </c>
      <c r="B11" s="14" t="s">
        <v>56</v>
      </c>
      <c r="C11" s="15">
        <v>45818.409722222219</v>
      </c>
      <c r="D11" s="14" t="s">
        <v>57</v>
      </c>
      <c r="E11" s="16" t="s">
        <v>58</v>
      </c>
      <c r="F11" s="14" t="s">
        <v>59</v>
      </c>
      <c r="G11" s="16" t="s">
        <v>60</v>
      </c>
      <c r="H11" s="14" t="s">
        <v>61</v>
      </c>
      <c r="I11" s="16" t="s">
        <v>62</v>
      </c>
      <c r="J11" s="16" t="s">
        <v>63</v>
      </c>
      <c r="K11" s="16" t="s">
        <v>64</v>
      </c>
      <c r="L11" s="14" t="s">
        <v>130</v>
      </c>
      <c r="M11" s="16" t="s">
        <v>131</v>
      </c>
      <c r="N11" s="14" t="s">
        <v>67</v>
      </c>
      <c r="O11" s="16" t="s">
        <v>132</v>
      </c>
      <c r="P11" s="16" t="s">
        <v>133</v>
      </c>
      <c r="Q11" s="16" t="s">
        <v>135</v>
      </c>
      <c r="R11" s="14" t="s">
        <v>136</v>
      </c>
      <c r="S11" s="14" t="s">
        <v>137</v>
      </c>
      <c r="T11" s="14" t="s">
        <v>73</v>
      </c>
      <c r="U11" s="14" t="s">
        <v>74</v>
      </c>
      <c r="V11" s="15">
        <v>40725</v>
      </c>
      <c r="W11" s="15"/>
      <c r="X11" s="16" t="s">
        <v>134</v>
      </c>
      <c r="Y11" s="17" t="s">
        <v>106</v>
      </c>
      <c r="Z11" s="18" t="str">
        <f>VLOOKUP(Y11,'Axe 2 Règles de gestion'!$D$2:$F$23,3, FALSE)</f>
        <v>Lorsque la date de paye correspond au mois de janvier, le code origine "1" (année courante) ne doit pas être notifié.</v>
      </c>
      <c r="AA11" s="17" t="s">
        <v>78</v>
      </c>
      <c r="AB11" s="18" t="str">
        <f>VLOOKUP(AA11,'Axe 2 Règles de gestion'!$D$2:$F$23,3, FALSE)</f>
        <v>Il est interdit de codifier le sens 1 (sens contraire) si le code origine est 0 (mois courant).</v>
      </c>
      <c r="AC11" s="17" t="s">
        <v>80</v>
      </c>
      <c r="AD11" s="18" t="str">
        <f>VLOOKUP(AC11,'Axe 2 Règles de gestion'!$D$2:$F$23,3, FALSE)</f>
        <v>Si le mode de calcul est "A - Montant précalculé", alors il faut laisser à vide la zone nombre d'unités.</v>
      </c>
      <c r="AE11" s="17" t="s">
        <v>82</v>
      </c>
      <c r="AF11" s="18" t="str">
        <f>VLOOKUP(AE11,'Axe 2 Règles de gestion'!$D$2:$F$23,3, FALSE)</f>
        <v>Le terme « GREVE » ne doit pas être utilisé dans la zone "Libellé complémentaire".</v>
      </c>
      <c r="AG11" s="17" t="s">
        <v>84</v>
      </c>
      <c r="AH11" s="18" t="str">
        <f>VLOOKUP(AG11,'Axe 2 Règles de gestion'!$D$2:$F$23,3, FALSE)</f>
        <v>Si le mode de calcul est "A - Montant précalculé", il faut que le montant soit différent de vide.</v>
      </c>
      <c r="AI11" s="17" t="s">
        <v>86</v>
      </c>
      <c r="AJ11" s="18" t="str">
        <f>VLOOKUP(AI11,'Axe 2 Règles de gestion'!$D$2:$F$23,3, FALSE)</f>
        <v>Si le mode de calcul est "B - Nombre d'unités x montant unitaire", il faut que le nombre d'unités et le montant soient différents de vide.</v>
      </c>
      <c r="AK11" s="17" t="s">
        <v>88</v>
      </c>
      <c r="AL11" s="18" t="str">
        <f>VLOOKUP(AK11,'Axe 2 Règles de gestion'!$D$2:$F$23,3, FALSE)</f>
        <v>Le code sens est obligatoire.</v>
      </c>
      <c r="AM11" s="17" t="s">
        <v>90</v>
      </c>
      <c r="AN11" s="18" t="str">
        <f>VLOOKUP(AM11,'Axe 2 Règles de gestion'!$D$2:$F$23,3, FALSE)</f>
        <v>Le code origine est obligatoire.</v>
      </c>
      <c r="AO11" s="17" t="s">
        <v>92</v>
      </c>
      <c r="AP11" s="18" t="str">
        <f>VLOOKUP(AO11,'Axe 2 Règles de gestion'!$D$2:$F$23,3, FALSE)</f>
        <v>Seuls les modes de calcul "A - Montant précalculé", "B - Nombre d'unités x montant unitaire", "G - Indemnité à déduire" sont autorisés.</v>
      </c>
      <c r="AQ11" s="17" t="s">
        <v>96</v>
      </c>
      <c r="AR11" s="18" t="str">
        <f>VLOOKUP(AQ11,'Axe 2 Règles de gestion'!$D$2:$F$23,3, FALSE)</f>
        <v>Si le mode de calcul est "G - Indemnité à déduire", alors il faut laisser vide la zone nombre d'unités.</v>
      </c>
      <c r="AS11" s="17" t="s">
        <v>98</v>
      </c>
      <c r="AT11" s="18" t="str">
        <f>VLOOKUP(AS11,'Axe 2 Règles de gestion'!$D$2:$F$23,3, FALSE)</f>
        <v>Si le mode de calcul est "G - Indemnité à déduire", il faut que le montant soit différent de vide.</v>
      </c>
      <c r="AU11" s="17" t="s">
        <v>94</v>
      </c>
      <c r="AV11" s="18" t="str">
        <f>VLOOKUP(AU11,'Axe 2 Règles de gestion'!$D$2:$F$23,3, FALSE)</f>
        <v>Le nombre total de mouvements 20 pour le mois de paie en cours doit être inférieur ou égal à 30.</v>
      </c>
      <c r="AW11" s="17"/>
      <c r="AX11" s="18"/>
      <c r="AY11" s="17"/>
      <c r="AZ11" s="18"/>
      <c r="BA11" s="14" t="s">
        <v>100</v>
      </c>
      <c r="BB11" s="16" t="s">
        <v>100</v>
      </c>
    </row>
    <row r="12" spans="1:54" ht="87" x14ac:dyDescent="0.35">
      <c r="A12" s="14" t="s">
        <v>55</v>
      </c>
      <c r="B12" s="14" t="s">
        <v>56</v>
      </c>
      <c r="C12" s="15">
        <v>45818.402777777781</v>
      </c>
      <c r="D12" s="14" t="s">
        <v>57</v>
      </c>
      <c r="E12" s="16" t="s">
        <v>58</v>
      </c>
      <c r="F12" s="14" t="s">
        <v>59</v>
      </c>
      <c r="G12" s="16" t="s">
        <v>60</v>
      </c>
      <c r="H12" s="14" t="s">
        <v>61</v>
      </c>
      <c r="I12" s="16" t="s">
        <v>62</v>
      </c>
      <c r="J12" s="16" t="s">
        <v>63</v>
      </c>
      <c r="K12" s="16" t="s">
        <v>64</v>
      </c>
      <c r="L12" s="14" t="s">
        <v>65</v>
      </c>
      <c r="M12" s="16" t="s">
        <v>66</v>
      </c>
      <c r="N12" s="14" t="s">
        <v>67</v>
      </c>
      <c r="O12" s="16" t="s">
        <v>68</v>
      </c>
      <c r="P12" s="16" t="s">
        <v>69</v>
      </c>
      <c r="Q12" s="16" t="s">
        <v>138</v>
      </c>
      <c r="R12" s="14" t="s">
        <v>139</v>
      </c>
      <c r="S12" s="14" t="s">
        <v>140</v>
      </c>
      <c r="T12" s="14" t="s">
        <v>73</v>
      </c>
      <c r="U12" s="14" t="s">
        <v>74</v>
      </c>
      <c r="V12" s="15">
        <v>40725</v>
      </c>
      <c r="W12" s="15"/>
      <c r="X12" s="16" t="s">
        <v>141</v>
      </c>
      <c r="Y12" s="17" t="s">
        <v>142</v>
      </c>
      <c r="Z12" s="18" t="str">
        <f>VLOOKUP(Y12,'Axe 2 Règles de gestion'!$D$2:$F$23,3, FALSE)</f>
        <v>L'agent doit être détaché sur contrat.</v>
      </c>
      <c r="AA12" s="17" t="s">
        <v>76</v>
      </c>
      <c r="AB12" s="18" t="str">
        <f>VLOOKUP(AA12,'Axe 2 Règles de gestion'!$D$2:$F$23,3, FALSE)</f>
        <v>Le code origine doit être "0" (mois courant) pour l'indemnité '0954 - Précompte cotis. sal. RAFP'.</v>
      </c>
      <c r="AC12" s="17" t="s">
        <v>78</v>
      </c>
      <c r="AD12" s="18" t="str">
        <f>VLOOKUP(AC12,'Axe 2 Règles de gestion'!$D$2:$F$23,3, FALSE)</f>
        <v>Il est interdit de codifier le sens 1 (sens contraire) si le code origine est 0 (mois courant).</v>
      </c>
      <c r="AE12" s="17" t="s">
        <v>80</v>
      </c>
      <c r="AF12" s="18" t="str">
        <f>VLOOKUP(AE12,'Axe 2 Règles de gestion'!$D$2:$F$23,3, FALSE)</f>
        <v>Si le mode de calcul est "A - Montant précalculé", alors il faut laisser à vide la zone nombre d'unités.</v>
      </c>
      <c r="AG12" s="17" t="s">
        <v>82</v>
      </c>
      <c r="AH12" s="18" t="str">
        <f>VLOOKUP(AG12,'Axe 2 Règles de gestion'!$D$2:$F$23,3, FALSE)</f>
        <v>Le terme « GREVE » ne doit pas être utilisé dans la zone "Libellé complémentaire".</v>
      </c>
      <c r="AI12" s="17" t="s">
        <v>84</v>
      </c>
      <c r="AJ12" s="18" t="str">
        <f>VLOOKUP(AI12,'Axe 2 Règles de gestion'!$D$2:$F$23,3, FALSE)</f>
        <v>Si le mode de calcul est "A - Montant précalculé", il faut que le montant soit différent de vide.</v>
      </c>
      <c r="AK12" s="17" t="s">
        <v>86</v>
      </c>
      <c r="AL12" s="18" t="str">
        <f>VLOOKUP(AK12,'Axe 2 Règles de gestion'!$D$2:$F$23,3, FALSE)</f>
        <v>Si le mode de calcul est "B - Nombre d'unités x montant unitaire", il faut que le nombre d'unités et le montant soient différents de vide.</v>
      </c>
      <c r="AM12" s="17" t="s">
        <v>88</v>
      </c>
      <c r="AN12" s="18" t="str">
        <f>VLOOKUP(AM12,'Axe 2 Règles de gestion'!$D$2:$F$23,3, FALSE)</f>
        <v>Le code sens est obligatoire.</v>
      </c>
      <c r="AO12" s="17" t="s">
        <v>90</v>
      </c>
      <c r="AP12" s="18" t="str">
        <f>VLOOKUP(AO12,'Axe 2 Règles de gestion'!$D$2:$F$23,3, FALSE)</f>
        <v>Le code origine est obligatoire.</v>
      </c>
      <c r="AQ12" s="17" t="s">
        <v>92</v>
      </c>
      <c r="AR12" s="18" t="str">
        <f>VLOOKUP(AQ12,'Axe 2 Règles de gestion'!$D$2:$F$23,3, FALSE)</f>
        <v>Seuls les modes de calcul "A - Montant précalculé", "B - Nombre d'unités x montant unitaire", "G - Indemnité à déduire" sont autorisés.</v>
      </c>
      <c r="AS12" s="17" t="s">
        <v>94</v>
      </c>
      <c r="AT12" s="18" t="str">
        <f>VLOOKUP(AS12,'Axe 2 Règles de gestion'!$D$2:$F$23,3, FALSE)</f>
        <v>Le nombre total de mouvements 20 pour le mois de paie en cours doit être inférieur ou égal à 30.</v>
      </c>
      <c r="AU12" s="17" t="s">
        <v>96</v>
      </c>
      <c r="AV12" s="18" t="str">
        <f>VLOOKUP(AU12,'Axe 2 Règles de gestion'!$D$2:$F$23,3, FALSE)</f>
        <v>Si le mode de calcul est "G - Indemnité à déduire", alors il faut laisser vide la zone nombre d'unités.</v>
      </c>
      <c r="AW12" s="17" t="s">
        <v>98</v>
      </c>
      <c r="AX12" s="18" t="str">
        <f>VLOOKUP(AW12,'Axe 2 Règles de gestion'!$D$2:$F$23,3, FALSE)</f>
        <v>Si le mode de calcul est "G - Indemnité à déduire", il faut que le montant soit différent de vide.</v>
      </c>
      <c r="AY12" s="17"/>
      <c r="AZ12" s="18"/>
      <c r="BA12" s="14" t="s">
        <v>100</v>
      </c>
      <c r="BB12" s="16" t="s">
        <v>100</v>
      </c>
    </row>
    <row r="13" spans="1:54" ht="87" x14ac:dyDescent="0.35">
      <c r="A13" s="14" t="s">
        <v>55</v>
      </c>
      <c r="B13" s="14" t="s">
        <v>56</v>
      </c>
      <c r="C13" s="15">
        <v>45818.404166666667</v>
      </c>
      <c r="D13" s="14" t="s">
        <v>57</v>
      </c>
      <c r="E13" s="16" t="s">
        <v>58</v>
      </c>
      <c r="F13" s="14" t="s">
        <v>59</v>
      </c>
      <c r="G13" s="16" t="s">
        <v>60</v>
      </c>
      <c r="H13" s="14" t="s">
        <v>61</v>
      </c>
      <c r="I13" s="16" t="s">
        <v>62</v>
      </c>
      <c r="J13" s="16" t="s">
        <v>63</v>
      </c>
      <c r="K13" s="16" t="s">
        <v>64</v>
      </c>
      <c r="L13" s="14" t="s">
        <v>101</v>
      </c>
      <c r="M13" s="16" t="s">
        <v>102</v>
      </c>
      <c r="N13" s="14" t="s">
        <v>67</v>
      </c>
      <c r="O13" s="16" t="s">
        <v>103</v>
      </c>
      <c r="P13" s="16" t="s">
        <v>104</v>
      </c>
      <c r="Q13" s="16" t="s">
        <v>138</v>
      </c>
      <c r="R13" s="14" t="s">
        <v>139</v>
      </c>
      <c r="S13" s="14" t="s">
        <v>140</v>
      </c>
      <c r="T13" s="14" t="s">
        <v>73</v>
      </c>
      <c r="U13" s="14" t="s">
        <v>74</v>
      </c>
      <c r="V13" s="15">
        <v>40725</v>
      </c>
      <c r="W13" s="15"/>
      <c r="X13" s="16" t="s">
        <v>105</v>
      </c>
      <c r="Y13" s="17" t="s">
        <v>106</v>
      </c>
      <c r="Z13" s="18" t="str">
        <f>VLOOKUP(Y13,'Axe 2 Règles de gestion'!$D$2:$F$23,3, FALSE)</f>
        <v>Lorsque la date de paye correspond au mois de janvier, le code origine "1" (année courante) ne doit pas être notifié.</v>
      </c>
      <c r="AA13" s="17" t="s">
        <v>78</v>
      </c>
      <c r="AB13" s="18" t="str">
        <f>VLOOKUP(AA13,'Axe 2 Règles de gestion'!$D$2:$F$23,3, FALSE)</f>
        <v>Il est interdit de codifier le sens 1 (sens contraire) si le code origine est 0 (mois courant).</v>
      </c>
      <c r="AC13" s="17" t="s">
        <v>82</v>
      </c>
      <c r="AD13" s="18" t="str">
        <f>VLOOKUP(AC13,'Axe 2 Règles de gestion'!$D$2:$F$23,3, FALSE)</f>
        <v>Le terme « GREVE » ne doit pas être utilisé dans la zone "Libellé complémentaire".</v>
      </c>
      <c r="AE13" s="17" t="s">
        <v>108</v>
      </c>
      <c r="AF13" s="18" t="str">
        <f>VLOOKUP(AE13,'Axe 2 Règles de gestion'!$D$2:$F$23,3, FALSE)</f>
        <v>Si la zone mode de calcul est "Calcul PREFON" (MC = E), la zone "Nombre d'unités" doit être vide.</v>
      </c>
      <c r="AG13" s="17" t="s">
        <v>110</v>
      </c>
      <c r="AH13" s="18" t="str">
        <f>VLOOKUP(AG13,'Axe 2 Règles de gestion'!$D$2:$F$23,3, FALSE)</f>
        <v>Pour la retenue PREFON (code '0879'), seuls les deux derniers caractères (positions 57 à 58) de la zone MONTANT doivent être servies.</v>
      </c>
      <c r="AI13" s="17" t="s">
        <v>112</v>
      </c>
      <c r="AJ13" s="18" t="str">
        <f>VLOOKUP(AI13,'Axe 2 Règles de gestion'!$D$2:$F$23,3, FALSE)</f>
        <v>Pour la retenue PREFON (code '0879'), le mode de calcul doit être "E - Calcul PREFON (code classe)".</v>
      </c>
      <c r="AK13" s="17" t="s">
        <v>88</v>
      </c>
      <c r="AL13" s="18" t="str">
        <f>VLOOKUP(AK13,'Axe 2 Règles de gestion'!$D$2:$F$23,3, FALSE)</f>
        <v>Le code sens est obligatoire.</v>
      </c>
      <c r="AM13" s="17" t="s">
        <v>90</v>
      </c>
      <c r="AN13" s="18" t="str">
        <f>VLOOKUP(AM13,'Axe 2 Règles de gestion'!$D$2:$F$23,3, FALSE)</f>
        <v>Le code origine est obligatoire.</v>
      </c>
      <c r="AO13" s="17" t="s">
        <v>94</v>
      </c>
      <c r="AP13" s="18" t="str">
        <f>VLOOKUP(AO13,'Axe 2 Règles de gestion'!$D$2:$F$23,3, FALSE)</f>
        <v>Le nombre total de mouvements 20 pour le mois de paie en cours doit être inférieur ou égal à 30.</v>
      </c>
      <c r="AQ13" s="17"/>
      <c r="AR13" s="18"/>
      <c r="AS13" s="17"/>
      <c r="AT13" s="18"/>
      <c r="AU13" s="17"/>
      <c r="AV13" s="18"/>
      <c r="AW13" s="17"/>
      <c r="AX13" s="18"/>
      <c r="AY13" s="17"/>
      <c r="AZ13" s="18"/>
      <c r="BA13" s="14" t="s">
        <v>100</v>
      </c>
      <c r="BB13" s="16" t="s">
        <v>100</v>
      </c>
    </row>
    <row r="14" spans="1:54" ht="87" x14ac:dyDescent="0.35">
      <c r="A14" s="14" t="s">
        <v>55</v>
      </c>
      <c r="B14" s="14" t="s">
        <v>56</v>
      </c>
      <c r="C14" s="15">
        <v>45818.406944444447</v>
      </c>
      <c r="D14" s="14" t="s">
        <v>57</v>
      </c>
      <c r="E14" s="16" t="s">
        <v>58</v>
      </c>
      <c r="F14" s="14" t="s">
        <v>59</v>
      </c>
      <c r="G14" s="16" t="s">
        <v>60</v>
      </c>
      <c r="H14" s="14" t="s">
        <v>61</v>
      </c>
      <c r="I14" s="16" t="s">
        <v>62</v>
      </c>
      <c r="J14" s="16" t="s">
        <v>63</v>
      </c>
      <c r="K14" s="16" t="s">
        <v>64</v>
      </c>
      <c r="L14" s="14" t="s">
        <v>114</v>
      </c>
      <c r="M14" s="16" t="s">
        <v>115</v>
      </c>
      <c r="N14" s="14" t="s">
        <v>67</v>
      </c>
      <c r="O14" s="16" t="s">
        <v>116</v>
      </c>
      <c r="P14" s="16" t="s">
        <v>117</v>
      </c>
      <c r="Q14" s="16" t="s">
        <v>138</v>
      </c>
      <c r="R14" s="14" t="s">
        <v>139</v>
      </c>
      <c r="S14" s="14" t="s">
        <v>140</v>
      </c>
      <c r="T14" s="14" t="s">
        <v>73</v>
      </c>
      <c r="U14" s="14" t="s">
        <v>74</v>
      </c>
      <c r="V14" s="15">
        <v>40725</v>
      </c>
      <c r="W14" s="15"/>
      <c r="X14" s="16" t="s">
        <v>118</v>
      </c>
      <c r="Y14" s="17" t="s">
        <v>106</v>
      </c>
      <c r="Z14" s="18" t="str">
        <f>VLOOKUP(Y14,'Axe 2 Règles de gestion'!$D$2:$F$23,3, FALSE)</f>
        <v>Lorsque la date de paye correspond au mois de janvier, le code origine "1" (année courante) ne doit pas être notifié.</v>
      </c>
      <c r="AA14" s="17" t="s">
        <v>78</v>
      </c>
      <c r="AB14" s="18" t="str">
        <f>VLOOKUP(AA14,'Axe 2 Règles de gestion'!$D$2:$F$23,3, FALSE)</f>
        <v>Il est interdit de codifier le sens 1 (sens contraire) si le code origine est 0 (mois courant).</v>
      </c>
      <c r="AC14" s="17" t="s">
        <v>82</v>
      </c>
      <c r="AD14" s="18" t="str">
        <f>VLOOKUP(AC14,'Axe 2 Règles de gestion'!$D$2:$F$23,3, FALSE)</f>
        <v>Le terme « GREVE » ne doit pas être utilisé dans la zone "Libellé complémentaire".</v>
      </c>
      <c r="AE14" s="17" t="s">
        <v>119</v>
      </c>
      <c r="AF14" s="18" t="str">
        <f>VLOOKUP(AE14,'Axe 2 Règles de gestion'!$D$2:$F$23,3, FALSE)</f>
        <v>Si le mode de calcul est "H - Indemnité à ne pas payer (avantage en nature)", il faut que le nombre d'unités soit vide.</v>
      </c>
      <c r="AG14" s="17" t="s">
        <v>121</v>
      </c>
      <c r="AH14" s="18" t="str">
        <f>VLOOKUP(AG14,'Axe 2 Règles de gestion'!$D$2:$F$23,3, FALSE)</f>
        <v>Si le mode de calcul est "H - Indemnité à ne pas payer (avantage en nature)", il faut que le montant soit différent de vide.</v>
      </c>
      <c r="AI14" s="17" t="s">
        <v>123</v>
      </c>
      <c r="AJ14" s="18" t="str">
        <f>VLOOKUP(AI14,'Axe 2 Règles de gestion'!$D$2:$F$23,3, FALSE)</f>
        <v>Pour les avantages en nature (codes '0136','1404','1405','1406','1407), le mode de calcul doit être "H - Indemnité à ne pas payer (avantage en nature)".</v>
      </c>
      <c r="AK14" s="17" t="s">
        <v>88</v>
      </c>
      <c r="AL14" s="18" t="str">
        <f>VLOOKUP(AK14,'Axe 2 Règles de gestion'!$D$2:$F$23,3, FALSE)</f>
        <v>Le code sens est obligatoire.</v>
      </c>
      <c r="AM14" s="17" t="s">
        <v>90</v>
      </c>
      <c r="AN14" s="18" t="str">
        <f>VLOOKUP(AM14,'Axe 2 Règles de gestion'!$D$2:$F$23,3, FALSE)</f>
        <v>Le code origine est obligatoire.</v>
      </c>
      <c r="AO14" s="17" t="s">
        <v>94</v>
      </c>
      <c r="AP14" s="18" t="str">
        <f>VLOOKUP(AO14,'Axe 2 Règles de gestion'!$D$2:$F$23,3, FALSE)</f>
        <v>Le nombre total de mouvements 20 pour le mois de paie en cours doit être inférieur ou égal à 30.</v>
      </c>
      <c r="AQ14" s="17"/>
      <c r="AR14" s="18"/>
      <c r="AS14" s="17"/>
      <c r="AT14" s="18"/>
      <c r="AU14" s="17"/>
      <c r="AV14" s="18"/>
      <c r="AW14" s="17"/>
      <c r="AX14" s="18"/>
      <c r="AY14" s="17"/>
      <c r="AZ14" s="18"/>
      <c r="BA14" s="14" t="s">
        <v>100</v>
      </c>
      <c r="BB14" s="16" t="s">
        <v>100</v>
      </c>
    </row>
    <row r="15" spans="1:54" ht="43.5" x14ac:dyDescent="0.35">
      <c r="A15" s="14" t="s">
        <v>55</v>
      </c>
      <c r="B15" s="14" t="s">
        <v>56</v>
      </c>
      <c r="C15" s="15">
        <v>45818.408333333333</v>
      </c>
      <c r="D15" s="14" t="s">
        <v>57</v>
      </c>
      <c r="E15" s="16" t="s">
        <v>58</v>
      </c>
      <c r="F15" s="14" t="s">
        <v>59</v>
      </c>
      <c r="G15" s="16" t="s">
        <v>60</v>
      </c>
      <c r="H15" s="14" t="s">
        <v>61</v>
      </c>
      <c r="I15" s="16" t="s">
        <v>62</v>
      </c>
      <c r="J15" s="16" t="s">
        <v>63</v>
      </c>
      <c r="K15" s="16" t="s">
        <v>64</v>
      </c>
      <c r="L15" s="14" t="s">
        <v>125</v>
      </c>
      <c r="M15" s="16" t="s">
        <v>126</v>
      </c>
      <c r="N15" s="14" t="s">
        <v>67</v>
      </c>
      <c r="O15" s="16" t="s">
        <v>127</v>
      </c>
      <c r="P15" s="16" t="s">
        <v>128</v>
      </c>
      <c r="Q15" s="16" t="s">
        <v>138</v>
      </c>
      <c r="R15" s="14" t="s">
        <v>139</v>
      </c>
      <c r="S15" s="14" t="s">
        <v>140</v>
      </c>
      <c r="T15" s="14" t="s">
        <v>73</v>
      </c>
      <c r="U15" s="14" t="s">
        <v>129</v>
      </c>
      <c r="V15" s="15">
        <v>40725</v>
      </c>
      <c r="W15" s="15"/>
      <c r="X15" s="16" t="s">
        <v>100</v>
      </c>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4" t="s">
        <v>100</v>
      </c>
      <c r="BB15" s="16" t="s">
        <v>100</v>
      </c>
    </row>
    <row r="16" spans="1:54" ht="87" x14ac:dyDescent="0.35">
      <c r="A16" s="14" t="s">
        <v>55</v>
      </c>
      <c r="B16" s="14" t="s">
        <v>56</v>
      </c>
      <c r="C16" s="15">
        <v>45818.409722222219</v>
      </c>
      <c r="D16" s="14" t="s">
        <v>57</v>
      </c>
      <c r="E16" s="16" t="s">
        <v>58</v>
      </c>
      <c r="F16" s="14" t="s">
        <v>59</v>
      </c>
      <c r="G16" s="16" t="s">
        <v>60</v>
      </c>
      <c r="H16" s="14" t="s">
        <v>61</v>
      </c>
      <c r="I16" s="16" t="s">
        <v>62</v>
      </c>
      <c r="J16" s="16" t="s">
        <v>63</v>
      </c>
      <c r="K16" s="16" t="s">
        <v>64</v>
      </c>
      <c r="L16" s="14" t="s">
        <v>130</v>
      </c>
      <c r="M16" s="16" t="s">
        <v>131</v>
      </c>
      <c r="N16" s="14" t="s">
        <v>67</v>
      </c>
      <c r="O16" s="16" t="s">
        <v>132</v>
      </c>
      <c r="P16" s="16" t="s">
        <v>133</v>
      </c>
      <c r="Q16" s="16" t="s">
        <v>138</v>
      </c>
      <c r="R16" s="14" t="s">
        <v>139</v>
      </c>
      <c r="S16" s="14" t="s">
        <v>140</v>
      </c>
      <c r="T16" s="14" t="s">
        <v>73</v>
      </c>
      <c r="U16" s="14" t="s">
        <v>74</v>
      </c>
      <c r="V16" s="15">
        <v>40725</v>
      </c>
      <c r="W16" s="15"/>
      <c r="X16" s="16" t="s">
        <v>134</v>
      </c>
      <c r="Y16" s="17" t="s">
        <v>106</v>
      </c>
      <c r="Z16" s="18" t="str">
        <f>VLOOKUP(Y16,'Axe 2 Règles de gestion'!$D$2:$F$23,3, FALSE)</f>
        <v>Lorsque la date de paye correspond au mois de janvier, le code origine "1" (année courante) ne doit pas être notifié.</v>
      </c>
      <c r="AA16" s="17" t="s">
        <v>78</v>
      </c>
      <c r="AB16" s="18" t="str">
        <f>VLOOKUP(AA16,'Axe 2 Règles de gestion'!$D$2:$F$23,3, FALSE)</f>
        <v>Il est interdit de codifier le sens 1 (sens contraire) si le code origine est 0 (mois courant).</v>
      </c>
      <c r="AC16" s="17" t="s">
        <v>80</v>
      </c>
      <c r="AD16" s="18" t="str">
        <f>VLOOKUP(AC16,'Axe 2 Règles de gestion'!$D$2:$F$23,3, FALSE)</f>
        <v>Si le mode de calcul est "A - Montant précalculé", alors il faut laisser à vide la zone nombre d'unités.</v>
      </c>
      <c r="AE16" s="17" t="s">
        <v>82</v>
      </c>
      <c r="AF16" s="18" t="str">
        <f>VLOOKUP(AE16,'Axe 2 Règles de gestion'!$D$2:$F$23,3, FALSE)</f>
        <v>Le terme « GREVE » ne doit pas être utilisé dans la zone "Libellé complémentaire".</v>
      </c>
      <c r="AG16" s="17" t="s">
        <v>84</v>
      </c>
      <c r="AH16" s="18" t="str">
        <f>VLOOKUP(AG16,'Axe 2 Règles de gestion'!$D$2:$F$23,3, FALSE)</f>
        <v>Si le mode de calcul est "A - Montant précalculé", il faut que le montant soit différent de vide.</v>
      </c>
      <c r="AI16" s="17" t="s">
        <v>86</v>
      </c>
      <c r="AJ16" s="18" t="str">
        <f>VLOOKUP(AI16,'Axe 2 Règles de gestion'!$D$2:$F$23,3, FALSE)</f>
        <v>Si le mode de calcul est "B - Nombre d'unités x montant unitaire", il faut que le nombre d'unités et le montant soient différents de vide.</v>
      </c>
      <c r="AK16" s="17" t="s">
        <v>88</v>
      </c>
      <c r="AL16" s="18" t="str">
        <f>VLOOKUP(AK16,'Axe 2 Règles de gestion'!$D$2:$F$23,3, FALSE)</f>
        <v>Le code sens est obligatoire.</v>
      </c>
      <c r="AM16" s="17" t="s">
        <v>90</v>
      </c>
      <c r="AN16" s="18" t="str">
        <f>VLOOKUP(AM16,'Axe 2 Règles de gestion'!$D$2:$F$23,3, FALSE)</f>
        <v>Le code origine est obligatoire.</v>
      </c>
      <c r="AO16" s="17" t="s">
        <v>92</v>
      </c>
      <c r="AP16" s="18" t="str">
        <f>VLOOKUP(AO16,'Axe 2 Règles de gestion'!$D$2:$F$23,3, FALSE)</f>
        <v>Seuls les modes de calcul "A - Montant précalculé", "B - Nombre d'unités x montant unitaire", "G - Indemnité à déduire" sont autorisés.</v>
      </c>
      <c r="AQ16" s="17" t="s">
        <v>96</v>
      </c>
      <c r="AR16" s="18" t="str">
        <f>VLOOKUP(AQ16,'Axe 2 Règles de gestion'!$D$2:$F$23,3, FALSE)</f>
        <v>Si le mode de calcul est "G - Indemnité à déduire", alors il faut laisser vide la zone nombre d'unités.</v>
      </c>
      <c r="AS16" s="17" t="s">
        <v>98</v>
      </c>
      <c r="AT16" s="18" t="str">
        <f>VLOOKUP(AS16,'Axe 2 Règles de gestion'!$D$2:$F$23,3, FALSE)</f>
        <v>Si le mode de calcul est "G - Indemnité à déduire", il faut que le montant soit différent de vide.</v>
      </c>
      <c r="AU16" s="17" t="s">
        <v>94</v>
      </c>
      <c r="AV16" s="18" t="str">
        <f>VLOOKUP(AU16,'Axe 2 Règles de gestion'!$D$2:$F$23,3, FALSE)</f>
        <v>Le nombre total de mouvements 20 pour le mois de paie en cours doit être inférieur ou égal à 30.</v>
      </c>
      <c r="AW16" s="17"/>
      <c r="AX16" s="18"/>
      <c r="AY16" s="17"/>
      <c r="AZ16" s="18"/>
      <c r="BA16" s="14" t="s">
        <v>100</v>
      </c>
      <c r="BB16" s="16" t="s">
        <v>100</v>
      </c>
    </row>
    <row r="17" spans="1:54" ht="87" x14ac:dyDescent="0.35">
      <c r="A17" s="14" t="s">
        <v>55</v>
      </c>
      <c r="B17" s="14" t="s">
        <v>56</v>
      </c>
      <c r="C17" s="15">
        <v>45818.402083333334</v>
      </c>
      <c r="D17" s="14" t="s">
        <v>57</v>
      </c>
      <c r="E17" s="16" t="s">
        <v>58</v>
      </c>
      <c r="F17" s="14" t="s">
        <v>59</v>
      </c>
      <c r="G17" s="16" t="s">
        <v>60</v>
      </c>
      <c r="H17" s="14" t="s">
        <v>61</v>
      </c>
      <c r="I17" s="16" t="s">
        <v>62</v>
      </c>
      <c r="J17" s="16" t="s">
        <v>63</v>
      </c>
      <c r="K17" s="16" t="s">
        <v>64</v>
      </c>
      <c r="L17" s="14" t="s">
        <v>65</v>
      </c>
      <c r="M17" s="16" t="s">
        <v>66</v>
      </c>
      <c r="N17" s="14" t="s">
        <v>67</v>
      </c>
      <c r="O17" s="16" t="s">
        <v>68</v>
      </c>
      <c r="P17" s="16" t="s">
        <v>69</v>
      </c>
      <c r="Q17" s="16" t="s">
        <v>144</v>
      </c>
      <c r="R17" s="14" t="s">
        <v>145</v>
      </c>
      <c r="S17" s="14" t="s">
        <v>146</v>
      </c>
      <c r="T17" s="14" t="s">
        <v>73</v>
      </c>
      <c r="U17" s="14" t="s">
        <v>74</v>
      </c>
      <c r="V17" s="15">
        <v>40725</v>
      </c>
      <c r="W17" s="15"/>
      <c r="X17" s="16" t="s">
        <v>75</v>
      </c>
      <c r="Y17" s="17" t="s">
        <v>76</v>
      </c>
      <c r="Z17" s="18" t="str">
        <f>VLOOKUP(Y17,'Axe 2 Règles de gestion'!$D$2:$F$23,3, FALSE)</f>
        <v>Le code origine doit être "0" (mois courant) pour l'indemnité '0954 - Précompte cotis. sal. RAFP'.</v>
      </c>
      <c r="AA17" s="17" t="s">
        <v>78</v>
      </c>
      <c r="AB17" s="18" t="str">
        <f>VLOOKUP(AA17,'Axe 2 Règles de gestion'!$D$2:$F$23,3, FALSE)</f>
        <v>Il est interdit de codifier le sens 1 (sens contraire) si le code origine est 0 (mois courant).</v>
      </c>
      <c r="AC17" s="17" t="s">
        <v>80</v>
      </c>
      <c r="AD17" s="18" t="str">
        <f>VLOOKUP(AC17,'Axe 2 Règles de gestion'!$D$2:$F$23,3, FALSE)</f>
        <v>Si le mode de calcul est "A - Montant précalculé", alors il faut laisser à vide la zone nombre d'unités.</v>
      </c>
      <c r="AE17" s="17" t="s">
        <v>82</v>
      </c>
      <c r="AF17" s="18" t="str">
        <f>VLOOKUP(AE17,'Axe 2 Règles de gestion'!$D$2:$F$23,3, FALSE)</f>
        <v>Le terme « GREVE » ne doit pas être utilisé dans la zone "Libellé complémentaire".</v>
      </c>
      <c r="AG17" s="17" t="s">
        <v>84</v>
      </c>
      <c r="AH17" s="18" t="str">
        <f>VLOOKUP(AG17,'Axe 2 Règles de gestion'!$D$2:$F$23,3, FALSE)</f>
        <v>Si le mode de calcul est "A - Montant précalculé", il faut que le montant soit différent de vide.</v>
      </c>
      <c r="AI17" s="17" t="s">
        <v>86</v>
      </c>
      <c r="AJ17" s="18" t="str">
        <f>VLOOKUP(AI17,'Axe 2 Règles de gestion'!$D$2:$F$23,3, FALSE)</f>
        <v>Si le mode de calcul est "B - Nombre d'unités x montant unitaire", il faut que le nombre d'unités et le montant soient différents de vide.</v>
      </c>
      <c r="AK17" s="17" t="s">
        <v>88</v>
      </c>
      <c r="AL17" s="18" t="str">
        <f>VLOOKUP(AK17,'Axe 2 Règles de gestion'!$D$2:$F$23,3, FALSE)</f>
        <v>Le code sens est obligatoire.</v>
      </c>
      <c r="AM17" s="17" t="s">
        <v>90</v>
      </c>
      <c r="AN17" s="18" t="str">
        <f>VLOOKUP(AM17,'Axe 2 Règles de gestion'!$D$2:$F$23,3, FALSE)</f>
        <v>Le code origine est obligatoire.</v>
      </c>
      <c r="AO17" s="17" t="s">
        <v>92</v>
      </c>
      <c r="AP17" s="18" t="str">
        <f>VLOOKUP(AO17,'Axe 2 Règles de gestion'!$D$2:$F$23,3, FALSE)</f>
        <v>Seuls les modes de calcul "A - Montant précalculé", "B - Nombre d'unités x montant unitaire", "G - Indemnité à déduire" sont autorisés.</v>
      </c>
      <c r="AQ17" s="17" t="s">
        <v>94</v>
      </c>
      <c r="AR17" s="18" t="str">
        <f>VLOOKUP(AQ17,'Axe 2 Règles de gestion'!$D$2:$F$23,3, FALSE)</f>
        <v>Le nombre total de mouvements 20 pour le mois de paie en cours doit être inférieur ou égal à 30.</v>
      </c>
      <c r="AS17" s="17" t="s">
        <v>96</v>
      </c>
      <c r="AT17" s="18" t="str">
        <f>VLOOKUP(AS17,'Axe 2 Règles de gestion'!$D$2:$F$23,3, FALSE)</f>
        <v>Si le mode de calcul est "G - Indemnité à déduire", alors il faut laisser vide la zone nombre d'unités.</v>
      </c>
      <c r="AU17" s="17" t="s">
        <v>98</v>
      </c>
      <c r="AV17" s="18" t="str">
        <f>VLOOKUP(AU17,'Axe 2 Règles de gestion'!$D$2:$F$23,3, FALSE)</f>
        <v>Si le mode de calcul est "G - Indemnité à déduire", il faut que le montant soit différent de vide.</v>
      </c>
      <c r="AW17" s="17"/>
      <c r="AX17" s="18"/>
      <c r="AY17" s="17"/>
      <c r="AZ17" s="18"/>
      <c r="BA17" s="14" t="s">
        <v>100</v>
      </c>
      <c r="BB17" s="16" t="s">
        <v>100</v>
      </c>
    </row>
    <row r="18" spans="1:54" ht="87" x14ac:dyDescent="0.35">
      <c r="A18" s="14" t="s">
        <v>55</v>
      </c>
      <c r="B18" s="14" t="s">
        <v>56</v>
      </c>
      <c r="C18" s="15">
        <v>45818.40347222222</v>
      </c>
      <c r="D18" s="14" t="s">
        <v>57</v>
      </c>
      <c r="E18" s="16" t="s">
        <v>58</v>
      </c>
      <c r="F18" s="14" t="s">
        <v>59</v>
      </c>
      <c r="G18" s="16" t="s">
        <v>60</v>
      </c>
      <c r="H18" s="14" t="s">
        <v>61</v>
      </c>
      <c r="I18" s="16" t="s">
        <v>62</v>
      </c>
      <c r="J18" s="16" t="s">
        <v>63</v>
      </c>
      <c r="K18" s="16" t="s">
        <v>64</v>
      </c>
      <c r="L18" s="14" t="s">
        <v>101</v>
      </c>
      <c r="M18" s="16" t="s">
        <v>102</v>
      </c>
      <c r="N18" s="14" t="s">
        <v>67</v>
      </c>
      <c r="O18" s="16" t="s">
        <v>103</v>
      </c>
      <c r="P18" s="16" t="s">
        <v>104</v>
      </c>
      <c r="Q18" s="16" t="s">
        <v>144</v>
      </c>
      <c r="R18" s="14" t="s">
        <v>145</v>
      </c>
      <c r="S18" s="14" t="s">
        <v>146</v>
      </c>
      <c r="T18" s="14" t="s">
        <v>73</v>
      </c>
      <c r="U18" s="14" t="s">
        <v>74</v>
      </c>
      <c r="V18" s="15">
        <v>40725</v>
      </c>
      <c r="W18" s="15"/>
      <c r="X18" s="16" t="s">
        <v>105</v>
      </c>
      <c r="Y18" s="17" t="s">
        <v>106</v>
      </c>
      <c r="Z18" s="18" t="str">
        <f>VLOOKUP(Y18,'Axe 2 Règles de gestion'!$D$2:$F$23,3, FALSE)</f>
        <v>Lorsque la date de paye correspond au mois de janvier, le code origine "1" (année courante) ne doit pas être notifié.</v>
      </c>
      <c r="AA18" s="17" t="s">
        <v>78</v>
      </c>
      <c r="AB18" s="18" t="str">
        <f>VLOOKUP(AA18,'Axe 2 Règles de gestion'!$D$2:$F$23,3, FALSE)</f>
        <v>Il est interdit de codifier le sens 1 (sens contraire) si le code origine est 0 (mois courant).</v>
      </c>
      <c r="AC18" s="17" t="s">
        <v>82</v>
      </c>
      <c r="AD18" s="18" t="str">
        <f>VLOOKUP(AC18,'Axe 2 Règles de gestion'!$D$2:$F$23,3, FALSE)</f>
        <v>Le terme « GREVE » ne doit pas être utilisé dans la zone "Libellé complémentaire".</v>
      </c>
      <c r="AE18" s="17" t="s">
        <v>108</v>
      </c>
      <c r="AF18" s="18" t="str">
        <f>VLOOKUP(AE18,'Axe 2 Règles de gestion'!$D$2:$F$23,3, FALSE)</f>
        <v>Si la zone mode de calcul est "Calcul PREFON" (MC = E), la zone "Nombre d'unités" doit être vide.</v>
      </c>
      <c r="AG18" s="17" t="s">
        <v>110</v>
      </c>
      <c r="AH18" s="18" t="str">
        <f>VLOOKUP(AG18,'Axe 2 Règles de gestion'!$D$2:$F$23,3, FALSE)</f>
        <v>Pour la retenue PREFON (code '0879'), seuls les deux derniers caractères (positions 57 à 58) de la zone MONTANT doivent être servies.</v>
      </c>
      <c r="AI18" s="17" t="s">
        <v>112</v>
      </c>
      <c r="AJ18" s="18" t="str">
        <f>VLOOKUP(AI18,'Axe 2 Règles de gestion'!$D$2:$F$23,3, FALSE)</f>
        <v>Pour la retenue PREFON (code '0879'), le mode de calcul doit être "E - Calcul PREFON (code classe)".</v>
      </c>
      <c r="AK18" s="17" t="s">
        <v>88</v>
      </c>
      <c r="AL18" s="18" t="str">
        <f>VLOOKUP(AK18,'Axe 2 Règles de gestion'!$D$2:$F$23,3, FALSE)</f>
        <v>Le code sens est obligatoire.</v>
      </c>
      <c r="AM18" s="17" t="s">
        <v>90</v>
      </c>
      <c r="AN18" s="18" t="str">
        <f>VLOOKUP(AM18,'Axe 2 Règles de gestion'!$D$2:$F$23,3, FALSE)</f>
        <v>Le code origine est obligatoire.</v>
      </c>
      <c r="AO18" s="17" t="s">
        <v>94</v>
      </c>
      <c r="AP18" s="18" t="str">
        <f>VLOOKUP(AO18,'Axe 2 Règles de gestion'!$D$2:$F$23,3, FALSE)</f>
        <v>Le nombre total de mouvements 20 pour le mois de paie en cours doit être inférieur ou égal à 30.</v>
      </c>
      <c r="AQ18" s="17"/>
      <c r="AR18" s="18"/>
      <c r="AS18" s="17"/>
      <c r="AT18" s="18"/>
      <c r="AU18" s="17"/>
      <c r="AV18" s="18"/>
      <c r="AW18" s="17"/>
      <c r="AX18" s="18"/>
      <c r="AY18" s="17"/>
      <c r="AZ18" s="18"/>
      <c r="BA18" s="14" t="s">
        <v>100</v>
      </c>
      <c r="BB18" s="16" t="s">
        <v>100</v>
      </c>
    </row>
    <row r="19" spans="1:54" ht="87" x14ac:dyDescent="0.35">
      <c r="A19" s="14" t="s">
        <v>55</v>
      </c>
      <c r="B19" s="14" t="s">
        <v>56</v>
      </c>
      <c r="C19" s="15">
        <v>45818.406944444447</v>
      </c>
      <c r="D19" s="14" t="s">
        <v>57</v>
      </c>
      <c r="E19" s="16" t="s">
        <v>58</v>
      </c>
      <c r="F19" s="14" t="s">
        <v>59</v>
      </c>
      <c r="G19" s="16" t="s">
        <v>60</v>
      </c>
      <c r="H19" s="14" t="s">
        <v>61</v>
      </c>
      <c r="I19" s="16" t="s">
        <v>62</v>
      </c>
      <c r="J19" s="16" t="s">
        <v>63</v>
      </c>
      <c r="K19" s="16" t="s">
        <v>64</v>
      </c>
      <c r="L19" s="14" t="s">
        <v>114</v>
      </c>
      <c r="M19" s="16" t="s">
        <v>115</v>
      </c>
      <c r="N19" s="14" t="s">
        <v>67</v>
      </c>
      <c r="O19" s="16" t="s">
        <v>116</v>
      </c>
      <c r="P19" s="16" t="s">
        <v>117</v>
      </c>
      <c r="Q19" s="16" t="s">
        <v>144</v>
      </c>
      <c r="R19" s="14" t="s">
        <v>145</v>
      </c>
      <c r="S19" s="14" t="s">
        <v>146</v>
      </c>
      <c r="T19" s="14" t="s">
        <v>73</v>
      </c>
      <c r="U19" s="14" t="s">
        <v>74</v>
      </c>
      <c r="V19" s="15">
        <v>40725</v>
      </c>
      <c r="W19" s="15"/>
      <c r="X19" s="16" t="s">
        <v>118</v>
      </c>
      <c r="Y19" s="17" t="s">
        <v>106</v>
      </c>
      <c r="Z19" s="18" t="str">
        <f>VLOOKUP(Y19,'Axe 2 Règles de gestion'!$D$2:$F$23,3, FALSE)</f>
        <v>Lorsque la date de paye correspond au mois de janvier, le code origine "1" (année courante) ne doit pas être notifié.</v>
      </c>
      <c r="AA19" s="17" t="s">
        <v>78</v>
      </c>
      <c r="AB19" s="18" t="str">
        <f>VLOOKUP(AA19,'Axe 2 Règles de gestion'!$D$2:$F$23,3, FALSE)</f>
        <v>Il est interdit de codifier le sens 1 (sens contraire) si le code origine est 0 (mois courant).</v>
      </c>
      <c r="AC19" s="17" t="s">
        <v>82</v>
      </c>
      <c r="AD19" s="18" t="str">
        <f>VLOOKUP(AC19,'Axe 2 Règles de gestion'!$D$2:$F$23,3, FALSE)</f>
        <v>Le terme « GREVE » ne doit pas être utilisé dans la zone "Libellé complémentaire".</v>
      </c>
      <c r="AE19" s="17" t="s">
        <v>119</v>
      </c>
      <c r="AF19" s="18" t="str">
        <f>VLOOKUP(AE19,'Axe 2 Règles de gestion'!$D$2:$F$23,3, FALSE)</f>
        <v>Si le mode de calcul est "H - Indemnité à ne pas payer (avantage en nature)", il faut que le nombre d'unités soit vide.</v>
      </c>
      <c r="AG19" s="17" t="s">
        <v>121</v>
      </c>
      <c r="AH19" s="18" t="str">
        <f>VLOOKUP(AG19,'Axe 2 Règles de gestion'!$D$2:$F$23,3, FALSE)</f>
        <v>Si le mode de calcul est "H - Indemnité à ne pas payer (avantage en nature)", il faut que le montant soit différent de vide.</v>
      </c>
      <c r="AI19" s="17" t="s">
        <v>123</v>
      </c>
      <c r="AJ19" s="18" t="str">
        <f>VLOOKUP(AI19,'Axe 2 Règles de gestion'!$D$2:$F$23,3, FALSE)</f>
        <v>Pour les avantages en nature (codes '0136','1404','1405','1406','1407), le mode de calcul doit être "H - Indemnité à ne pas payer (avantage en nature)".</v>
      </c>
      <c r="AK19" s="17" t="s">
        <v>88</v>
      </c>
      <c r="AL19" s="18" t="str">
        <f>VLOOKUP(AK19,'Axe 2 Règles de gestion'!$D$2:$F$23,3, FALSE)</f>
        <v>Le code sens est obligatoire.</v>
      </c>
      <c r="AM19" s="17" t="s">
        <v>90</v>
      </c>
      <c r="AN19" s="18" t="str">
        <f>VLOOKUP(AM19,'Axe 2 Règles de gestion'!$D$2:$F$23,3, FALSE)</f>
        <v>Le code origine est obligatoire.</v>
      </c>
      <c r="AO19" s="17" t="s">
        <v>94</v>
      </c>
      <c r="AP19" s="18" t="str">
        <f>VLOOKUP(AO19,'Axe 2 Règles de gestion'!$D$2:$F$23,3, FALSE)</f>
        <v>Le nombre total de mouvements 20 pour le mois de paie en cours doit être inférieur ou égal à 30.</v>
      </c>
      <c r="AQ19" s="17"/>
      <c r="AR19" s="18"/>
      <c r="AS19" s="17"/>
      <c r="AT19" s="18"/>
      <c r="AU19" s="17"/>
      <c r="AV19" s="18"/>
      <c r="AW19" s="17"/>
      <c r="AX19" s="18"/>
      <c r="AY19" s="17"/>
      <c r="AZ19" s="18"/>
      <c r="BA19" s="14" t="s">
        <v>100</v>
      </c>
      <c r="BB19" s="16" t="s">
        <v>100</v>
      </c>
    </row>
    <row r="20" spans="1:54" ht="43.5" x14ac:dyDescent="0.35">
      <c r="A20" s="14" t="s">
        <v>55</v>
      </c>
      <c r="B20" s="14" t="s">
        <v>56</v>
      </c>
      <c r="C20" s="15">
        <v>45818.408333333333</v>
      </c>
      <c r="D20" s="14" t="s">
        <v>57</v>
      </c>
      <c r="E20" s="16" t="s">
        <v>58</v>
      </c>
      <c r="F20" s="14" t="s">
        <v>59</v>
      </c>
      <c r="G20" s="16" t="s">
        <v>60</v>
      </c>
      <c r="H20" s="14" t="s">
        <v>61</v>
      </c>
      <c r="I20" s="16" t="s">
        <v>62</v>
      </c>
      <c r="J20" s="16" t="s">
        <v>63</v>
      </c>
      <c r="K20" s="16" t="s">
        <v>64</v>
      </c>
      <c r="L20" s="14" t="s">
        <v>125</v>
      </c>
      <c r="M20" s="16" t="s">
        <v>126</v>
      </c>
      <c r="N20" s="14" t="s">
        <v>67</v>
      </c>
      <c r="O20" s="16" t="s">
        <v>127</v>
      </c>
      <c r="P20" s="16" t="s">
        <v>128</v>
      </c>
      <c r="Q20" s="16" t="s">
        <v>144</v>
      </c>
      <c r="R20" s="14" t="s">
        <v>145</v>
      </c>
      <c r="S20" s="14" t="s">
        <v>146</v>
      </c>
      <c r="T20" s="14" t="s">
        <v>73</v>
      </c>
      <c r="U20" s="14" t="s">
        <v>129</v>
      </c>
      <c r="V20" s="15">
        <v>40725</v>
      </c>
      <c r="W20" s="15"/>
      <c r="X20" s="16" t="s">
        <v>100</v>
      </c>
      <c r="Y20" s="17"/>
      <c r="Z20" s="18"/>
      <c r="AA20" s="17"/>
      <c r="AB20" s="18"/>
      <c r="AC20" s="17"/>
      <c r="AD20" s="18"/>
      <c r="AE20" s="17"/>
      <c r="AF20" s="18"/>
      <c r="AG20" s="17"/>
      <c r="AH20" s="18"/>
      <c r="AI20" s="17"/>
      <c r="AJ20" s="18"/>
      <c r="AK20" s="17"/>
      <c r="AL20" s="18"/>
      <c r="AM20" s="17"/>
      <c r="AN20" s="18"/>
      <c r="AO20" s="17"/>
      <c r="AP20" s="18"/>
      <c r="AQ20" s="17"/>
      <c r="AR20" s="18"/>
      <c r="AS20" s="17"/>
      <c r="AT20" s="18"/>
      <c r="AU20" s="17"/>
      <c r="AV20" s="18"/>
      <c r="AW20" s="17"/>
      <c r="AX20" s="18"/>
      <c r="AY20" s="17"/>
      <c r="AZ20" s="18"/>
      <c r="BA20" s="14" t="s">
        <v>100</v>
      </c>
      <c r="BB20" s="16" t="s">
        <v>100</v>
      </c>
    </row>
    <row r="21" spans="1:54" ht="87" x14ac:dyDescent="0.35">
      <c r="A21" s="14" t="s">
        <v>55</v>
      </c>
      <c r="B21" s="14" t="s">
        <v>56</v>
      </c>
      <c r="C21" s="15">
        <v>45818.40902777778</v>
      </c>
      <c r="D21" s="14" t="s">
        <v>57</v>
      </c>
      <c r="E21" s="16" t="s">
        <v>58</v>
      </c>
      <c r="F21" s="14" t="s">
        <v>59</v>
      </c>
      <c r="G21" s="16" t="s">
        <v>60</v>
      </c>
      <c r="H21" s="14" t="s">
        <v>61</v>
      </c>
      <c r="I21" s="16" t="s">
        <v>62</v>
      </c>
      <c r="J21" s="16" t="s">
        <v>63</v>
      </c>
      <c r="K21" s="16" t="s">
        <v>64</v>
      </c>
      <c r="L21" s="14" t="s">
        <v>130</v>
      </c>
      <c r="M21" s="16" t="s">
        <v>131</v>
      </c>
      <c r="N21" s="14" t="s">
        <v>67</v>
      </c>
      <c r="O21" s="16" t="s">
        <v>132</v>
      </c>
      <c r="P21" s="16" t="s">
        <v>133</v>
      </c>
      <c r="Q21" s="16" t="s">
        <v>144</v>
      </c>
      <c r="R21" s="14" t="s">
        <v>145</v>
      </c>
      <c r="S21" s="14" t="s">
        <v>146</v>
      </c>
      <c r="T21" s="14" t="s">
        <v>73</v>
      </c>
      <c r="U21" s="14" t="s">
        <v>74</v>
      </c>
      <c r="V21" s="15">
        <v>40725</v>
      </c>
      <c r="W21" s="15"/>
      <c r="X21" s="16" t="s">
        <v>134</v>
      </c>
      <c r="Y21" s="17" t="s">
        <v>106</v>
      </c>
      <c r="Z21" s="18" t="str">
        <f>VLOOKUP(Y21,'Axe 2 Règles de gestion'!$D$2:$F$23,3, FALSE)</f>
        <v>Lorsque la date de paye correspond au mois de janvier, le code origine "1" (année courante) ne doit pas être notifié.</v>
      </c>
      <c r="AA21" s="17" t="s">
        <v>78</v>
      </c>
      <c r="AB21" s="18" t="str">
        <f>VLOOKUP(AA21,'Axe 2 Règles de gestion'!$D$2:$F$23,3, FALSE)</f>
        <v>Il est interdit de codifier le sens 1 (sens contraire) si le code origine est 0 (mois courant).</v>
      </c>
      <c r="AC21" s="17" t="s">
        <v>80</v>
      </c>
      <c r="AD21" s="18" t="str">
        <f>VLOOKUP(AC21,'Axe 2 Règles de gestion'!$D$2:$F$23,3, FALSE)</f>
        <v>Si le mode de calcul est "A - Montant précalculé", alors il faut laisser à vide la zone nombre d'unités.</v>
      </c>
      <c r="AE21" s="17" t="s">
        <v>82</v>
      </c>
      <c r="AF21" s="18" t="str">
        <f>VLOOKUP(AE21,'Axe 2 Règles de gestion'!$D$2:$F$23,3, FALSE)</f>
        <v>Le terme « GREVE » ne doit pas être utilisé dans la zone "Libellé complémentaire".</v>
      </c>
      <c r="AG21" s="17" t="s">
        <v>84</v>
      </c>
      <c r="AH21" s="18" t="str">
        <f>VLOOKUP(AG21,'Axe 2 Règles de gestion'!$D$2:$F$23,3, FALSE)</f>
        <v>Si le mode de calcul est "A - Montant précalculé", il faut que le montant soit différent de vide.</v>
      </c>
      <c r="AI21" s="17" t="s">
        <v>86</v>
      </c>
      <c r="AJ21" s="18" t="str">
        <f>VLOOKUP(AI21,'Axe 2 Règles de gestion'!$D$2:$F$23,3, FALSE)</f>
        <v>Si le mode de calcul est "B - Nombre d'unités x montant unitaire", il faut que le nombre d'unités et le montant soient différents de vide.</v>
      </c>
      <c r="AK21" s="17" t="s">
        <v>88</v>
      </c>
      <c r="AL21" s="18" t="str">
        <f>VLOOKUP(AK21,'Axe 2 Règles de gestion'!$D$2:$F$23,3, FALSE)</f>
        <v>Le code sens est obligatoire.</v>
      </c>
      <c r="AM21" s="17" t="s">
        <v>90</v>
      </c>
      <c r="AN21" s="18" t="str">
        <f>VLOOKUP(AM21,'Axe 2 Règles de gestion'!$D$2:$F$23,3, FALSE)</f>
        <v>Le code origine est obligatoire.</v>
      </c>
      <c r="AO21" s="17" t="s">
        <v>92</v>
      </c>
      <c r="AP21" s="18" t="str">
        <f>VLOOKUP(AO21,'Axe 2 Règles de gestion'!$D$2:$F$23,3, FALSE)</f>
        <v>Seuls les modes de calcul "A - Montant précalculé", "B - Nombre d'unités x montant unitaire", "G - Indemnité à déduire" sont autorisés.</v>
      </c>
      <c r="AQ21" s="17" t="s">
        <v>96</v>
      </c>
      <c r="AR21" s="18" t="str">
        <f>VLOOKUP(AQ21,'Axe 2 Règles de gestion'!$D$2:$F$23,3, FALSE)</f>
        <v>Si le mode de calcul est "G - Indemnité à déduire", alors il faut laisser vide la zone nombre d'unités.</v>
      </c>
      <c r="AS21" s="17" t="s">
        <v>98</v>
      </c>
      <c r="AT21" s="18" t="str">
        <f>VLOOKUP(AS21,'Axe 2 Règles de gestion'!$D$2:$F$23,3, FALSE)</f>
        <v>Si le mode de calcul est "G - Indemnité à déduire", il faut que le montant soit différent de vide.</v>
      </c>
      <c r="AU21" s="17" t="s">
        <v>94</v>
      </c>
      <c r="AV21" s="18" t="str">
        <f>VLOOKUP(AU21,'Axe 2 Règles de gestion'!$D$2:$F$23,3, FALSE)</f>
        <v>Le nombre total de mouvements 20 pour le mois de paie en cours doit être inférieur ou égal à 30.</v>
      </c>
      <c r="AW21" s="17"/>
      <c r="AX21" s="18"/>
      <c r="AY21" s="17"/>
      <c r="AZ21" s="18"/>
      <c r="BA21" s="14" t="s">
        <v>100</v>
      </c>
      <c r="BB21" s="16" t="s">
        <v>100</v>
      </c>
    </row>
    <row r="22" spans="1:54" ht="43.5" x14ac:dyDescent="0.35">
      <c r="A22" s="14" t="s">
        <v>55</v>
      </c>
      <c r="B22" s="14" t="s">
        <v>56</v>
      </c>
      <c r="C22" s="15">
        <v>45818.402777777781</v>
      </c>
      <c r="D22" s="14" t="s">
        <v>57</v>
      </c>
      <c r="E22" s="16" t="s">
        <v>58</v>
      </c>
      <c r="F22" s="14" t="s">
        <v>59</v>
      </c>
      <c r="G22" s="16" t="s">
        <v>60</v>
      </c>
      <c r="H22" s="14" t="s">
        <v>61</v>
      </c>
      <c r="I22" s="16" t="s">
        <v>62</v>
      </c>
      <c r="J22" s="16" t="s">
        <v>63</v>
      </c>
      <c r="K22" s="16" t="s">
        <v>64</v>
      </c>
      <c r="L22" s="14" t="s">
        <v>65</v>
      </c>
      <c r="M22" s="16" t="s">
        <v>66</v>
      </c>
      <c r="N22" s="14" t="s">
        <v>67</v>
      </c>
      <c r="O22" s="16" t="s">
        <v>68</v>
      </c>
      <c r="P22" s="16" t="s">
        <v>69</v>
      </c>
      <c r="Q22" s="16" t="s">
        <v>147</v>
      </c>
      <c r="R22" s="14" t="s">
        <v>148</v>
      </c>
      <c r="S22" s="14" t="s">
        <v>149</v>
      </c>
      <c r="T22" s="14" t="s">
        <v>73</v>
      </c>
      <c r="U22" s="14" t="s">
        <v>129</v>
      </c>
      <c r="V22" s="15">
        <v>40725</v>
      </c>
      <c r="W22" s="15"/>
      <c r="X22" s="16" t="s">
        <v>100</v>
      </c>
      <c r="Y22" s="17"/>
      <c r="Z22" s="18"/>
      <c r="AA22" s="17"/>
      <c r="AB22" s="18"/>
      <c r="AC22" s="17"/>
      <c r="AD22" s="18"/>
      <c r="AE22" s="17"/>
      <c r="AF22" s="18"/>
      <c r="AG22" s="17"/>
      <c r="AH22" s="18"/>
      <c r="AI22" s="17"/>
      <c r="AJ22" s="18"/>
      <c r="AK22" s="17"/>
      <c r="AL22" s="18"/>
      <c r="AM22" s="17"/>
      <c r="AN22" s="18"/>
      <c r="AO22" s="17"/>
      <c r="AP22" s="18"/>
      <c r="AQ22" s="17"/>
      <c r="AR22" s="18"/>
      <c r="AS22" s="17"/>
      <c r="AT22" s="18"/>
      <c r="AU22" s="17"/>
      <c r="AV22" s="18"/>
      <c r="AW22" s="17"/>
      <c r="AX22" s="18"/>
      <c r="AY22" s="17"/>
      <c r="AZ22" s="18"/>
      <c r="BA22" s="14" t="s">
        <v>100</v>
      </c>
      <c r="BB22" s="16" t="s">
        <v>100</v>
      </c>
    </row>
    <row r="23" spans="1:54" ht="87" x14ac:dyDescent="0.35">
      <c r="A23" s="14" t="s">
        <v>55</v>
      </c>
      <c r="B23" s="14" t="s">
        <v>56</v>
      </c>
      <c r="C23" s="15">
        <v>45818.404166666667</v>
      </c>
      <c r="D23" s="14" t="s">
        <v>57</v>
      </c>
      <c r="E23" s="16" t="s">
        <v>58</v>
      </c>
      <c r="F23" s="14" t="s">
        <v>59</v>
      </c>
      <c r="G23" s="16" t="s">
        <v>60</v>
      </c>
      <c r="H23" s="14" t="s">
        <v>61</v>
      </c>
      <c r="I23" s="16" t="s">
        <v>62</v>
      </c>
      <c r="J23" s="16" t="s">
        <v>63</v>
      </c>
      <c r="K23" s="16" t="s">
        <v>64</v>
      </c>
      <c r="L23" s="14" t="s">
        <v>101</v>
      </c>
      <c r="M23" s="16" t="s">
        <v>102</v>
      </c>
      <c r="N23" s="14" t="s">
        <v>67</v>
      </c>
      <c r="O23" s="16" t="s">
        <v>103</v>
      </c>
      <c r="P23" s="16" t="s">
        <v>104</v>
      </c>
      <c r="Q23" s="16" t="s">
        <v>147</v>
      </c>
      <c r="R23" s="14" t="s">
        <v>148</v>
      </c>
      <c r="S23" s="14" t="s">
        <v>149</v>
      </c>
      <c r="T23" s="14" t="s">
        <v>73</v>
      </c>
      <c r="U23" s="14" t="s">
        <v>74</v>
      </c>
      <c r="V23" s="15">
        <v>40725</v>
      </c>
      <c r="W23" s="15"/>
      <c r="X23" s="16" t="s">
        <v>105</v>
      </c>
      <c r="Y23" s="17" t="s">
        <v>106</v>
      </c>
      <c r="Z23" s="18" t="str">
        <f>VLOOKUP(Y23,'Axe 2 Règles de gestion'!$D$2:$F$23,3, FALSE)</f>
        <v>Lorsque la date de paye correspond au mois de janvier, le code origine "1" (année courante) ne doit pas être notifié.</v>
      </c>
      <c r="AA23" s="17" t="s">
        <v>78</v>
      </c>
      <c r="AB23" s="18" t="str">
        <f>VLOOKUP(AA23,'Axe 2 Règles de gestion'!$D$2:$F$23,3, FALSE)</f>
        <v>Il est interdit de codifier le sens 1 (sens contraire) si le code origine est 0 (mois courant).</v>
      </c>
      <c r="AC23" s="17" t="s">
        <v>82</v>
      </c>
      <c r="AD23" s="18" t="str">
        <f>VLOOKUP(AC23,'Axe 2 Règles de gestion'!$D$2:$F$23,3, FALSE)</f>
        <v>Le terme « GREVE » ne doit pas être utilisé dans la zone "Libellé complémentaire".</v>
      </c>
      <c r="AE23" s="17" t="s">
        <v>108</v>
      </c>
      <c r="AF23" s="18" t="str">
        <f>VLOOKUP(AE23,'Axe 2 Règles de gestion'!$D$2:$F$23,3, FALSE)</f>
        <v>Si la zone mode de calcul est "Calcul PREFON" (MC = E), la zone "Nombre d'unités" doit être vide.</v>
      </c>
      <c r="AG23" s="17" t="s">
        <v>110</v>
      </c>
      <c r="AH23" s="18" t="str">
        <f>VLOOKUP(AG23,'Axe 2 Règles de gestion'!$D$2:$F$23,3, FALSE)</f>
        <v>Pour la retenue PREFON (code '0879'), seuls les deux derniers caractères (positions 57 à 58) de la zone MONTANT doivent être servies.</v>
      </c>
      <c r="AI23" s="17" t="s">
        <v>112</v>
      </c>
      <c r="AJ23" s="18" t="str">
        <f>VLOOKUP(AI23,'Axe 2 Règles de gestion'!$D$2:$F$23,3, FALSE)</f>
        <v>Pour la retenue PREFON (code '0879'), le mode de calcul doit être "E - Calcul PREFON (code classe)".</v>
      </c>
      <c r="AK23" s="17" t="s">
        <v>88</v>
      </c>
      <c r="AL23" s="18" t="str">
        <f>VLOOKUP(AK23,'Axe 2 Règles de gestion'!$D$2:$F$23,3, FALSE)</f>
        <v>Le code sens est obligatoire.</v>
      </c>
      <c r="AM23" s="17" t="s">
        <v>90</v>
      </c>
      <c r="AN23" s="18" t="str">
        <f>VLOOKUP(AM23,'Axe 2 Règles de gestion'!$D$2:$F$23,3, FALSE)</f>
        <v>Le code origine est obligatoire.</v>
      </c>
      <c r="AO23" s="17" t="s">
        <v>94</v>
      </c>
      <c r="AP23" s="18" t="str">
        <f>VLOOKUP(AO23,'Axe 2 Règles de gestion'!$D$2:$F$23,3, FALSE)</f>
        <v>Le nombre total de mouvements 20 pour le mois de paie en cours doit être inférieur ou égal à 30.</v>
      </c>
      <c r="AQ23" s="17"/>
      <c r="AR23" s="18"/>
      <c r="AS23" s="17"/>
      <c r="AT23" s="18"/>
      <c r="AU23" s="17"/>
      <c r="AV23" s="18"/>
      <c r="AW23" s="17"/>
      <c r="AX23" s="18"/>
      <c r="AY23" s="17"/>
      <c r="AZ23" s="18"/>
      <c r="BA23" s="14" t="s">
        <v>100</v>
      </c>
      <c r="BB23" s="16" t="s">
        <v>100</v>
      </c>
    </row>
    <row r="24" spans="1:54" ht="87" x14ac:dyDescent="0.35">
      <c r="A24" s="14" t="s">
        <v>55</v>
      </c>
      <c r="B24" s="14" t="s">
        <v>56</v>
      </c>
      <c r="C24" s="15">
        <v>45818.406944444447</v>
      </c>
      <c r="D24" s="14" t="s">
        <v>57</v>
      </c>
      <c r="E24" s="16" t="s">
        <v>58</v>
      </c>
      <c r="F24" s="14" t="s">
        <v>59</v>
      </c>
      <c r="G24" s="16" t="s">
        <v>60</v>
      </c>
      <c r="H24" s="14" t="s">
        <v>61</v>
      </c>
      <c r="I24" s="16" t="s">
        <v>62</v>
      </c>
      <c r="J24" s="16" t="s">
        <v>63</v>
      </c>
      <c r="K24" s="16" t="s">
        <v>64</v>
      </c>
      <c r="L24" s="14" t="s">
        <v>114</v>
      </c>
      <c r="M24" s="16" t="s">
        <v>115</v>
      </c>
      <c r="N24" s="14" t="s">
        <v>67</v>
      </c>
      <c r="O24" s="16" t="s">
        <v>116</v>
      </c>
      <c r="P24" s="16" t="s">
        <v>117</v>
      </c>
      <c r="Q24" s="16" t="s">
        <v>147</v>
      </c>
      <c r="R24" s="14" t="s">
        <v>148</v>
      </c>
      <c r="S24" s="14" t="s">
        <v>149</v>
      </c>
      <c r="T24" s="14" t="s">
        <v>73</v>
      </c>
      <c r="U24" s="14" t="s">
        <v>74</v>
      </c>
      <c r="V24" s="15">
        <v>40725</v>
      </c>
      <c r="W24" s="15"/>
      <c r="X24" s="16" t="s">
        <v>118</v>
      </c>
      <c r="Y24" s="17" t="s">
        <v>106</v>
      </c>
      <c r="Z24" s="18" t="str">
        <f>VLOOKUP(Y24,'Axe 2 Règles de gestion'!$D$2:$F$23,3, FALSE)</f>
        <v>Lorsque la date de paye correspond au mois de janvier, le code origine "1" (année courante) ne doit pas être notifié.</v>
      </c>
      <c r="AA24" s="17" t="s">
        <v>78</v>
      </c>
      <c r="AB24" s="18" t="str">
        <f>VLOOKUP(AA24,'Axe 2 Règles de gestion'!$D$2:$F$23,3, FALSE)</f>
        <v>Il est interdit de codifier le sens 1 (sens contraire) si le code origine est 0 (mois courant).</v>
      </c>
      <c r="AC24" s="17" t="s">
        <v>82</v>
      </c>
      <c r="AD24" s="18" t="str">
        <f>VLOOKUP(AC24,'Axe 2 Règles de gestion'!$D$2:$F$23,3, FALSE)</f>
        <v>Le terme « GREVE » ne doit pas être utilisé dans la zone "Libellé complémentaire".</v>
      </c>
      <c r="AE24" s="17" t="s">
        <v>119</v>
      </c>
      <c r="AF24" s="18" t="str">
        <f>VLOOKUP(AE24,'Axe 2 Règles de gestion'!$D$2:$F$23,3, FALSE)</f>
        <v>Si le mode de calcul est "H - Indemnité à ne pas payer (avantage en nature)", il faut que le nombre d'unités soit vide.</v>
      </c>
      <c r="AG24" s="17" t="s">
        <v>121</v>
      </c>
      <c r="AH24" s="18" t="str">
        <f>VLOOKUP(AG24,'Axe 2 Règles de gestion'!$D$2:$F$23,3, FALSE)</f>
        <v>Si le mode de calcul est "H - Indemnité à ne pas payer (avantage en nature)", il faut que le montant soit différent de vide.</v>
      </c>
      <c r="AI24" s="17" t="s">
        <v>123</v>
      </c>
      <c r="AJ24" s="18" t="str">
        <f>VLOOKUP(AI24,'Axe 2 Règles de gestion'!$D$2:$F$23,3, FALSE)</f>
        <v>Pour les avantages en nature (codes '0136','1404','1405','1406','1407), le mode de calcul doit être "H - Indemnité à ne pas payer (avantage en nature)".</v>
      </c>
      <c r="AK24" s="17" t="s">
        <v>88</v>
      </c>
      <c r="AL24" s="18" t="str">
        <f>VLOOKUP(AK24,'Axe 2 Règles de gestion'!$D$2:$F$23,3, FALSE)</f>
        <v>Le code sens est obligatoire.</v>
      </c>
      <c r="AM24" s="17" t="s">
        <v>90</v>
      </c>
      <c r="AN24" s="18" t="str">
        <f>VLOOKUP(AM24,'Axe 2 Règles de gestion'!$D$2:$F$23,3, FALSE)</f>
        <v>Le code origine est obligatoire.</v>
      </c>
      <c r="AO24" s="17" t="s">
        <v>94</v>
      </c>
      <c r="AP24" s="18" t="str">
        <f>VLOOKUP(AO24,'Axe 2 Règles de gestion'!$D$2:$F$23,3, FALSE)</f>
        <v>Le nombre total de mouvements 20 pour le mois de paie en cours doit être inférieur ou égal à 30.</v>
      </c>
      <c r="AQ24" s="17"/>
      <c r="AR24" s="18"/>
      <c r="AS24" s="17"/>
      <c r="AT24" s="18"/>
      <c r="AU24" s="17"/>
      <c r="AV24" s="18"/>
      <c r="AW24" s="17"/>
      <c r="AX24" s="18"/>
      <c r="AY24" s="17"/>
      <c r="AZ24" s="18"/>
      <c r="BA24" s="14" t="s">
        <v>100</v>
      </c>
      <c r="BB24" s="16" t="s">
        <v>100</v>
      </c>
    </row>
    <row r="25" spans="1:54" ht="43.5" x14ac:dyDescent="0.35">
      <c r="A25" s="14" t="s">
        <v>55</v>
      </c>
      <c r="B25" s="14" t="s">
        <v>56</v>
      </c>
      <c r="C25" s="15">
        <v>45818.40902777778</v>
      </c>
      <c r="D25" s="14" t="s">
        <v>57</v>
      </c>
      <c r="E25" s="16" t="s">
        <v>58</v>
      </c>
      <c r="F25" s="14" t="s">
        <v>59</v>
      </c>
      <c r="G25" s="16" t="s">
        <v>60</v>
      </c>
      <c r="H25" s="14" t="s">
        <v>61</v>
      </c>
      <c r="I25" s="16" t="s">
        <v>62</v>
      </c>
      <c r="J25" s="16" t="s">
        <v>63</v>
      </c>
      <c r="K25" s="16" t="s">
        <v>64</v>
      </c>
      <c r="L25" s="14" t="s">
        <v>125</v>
      </c>
      <c r="M25" s="16" t="s">
        <v>126</v>
      </c>
      <c r="N25" s="14" t="s">
        <v>67</v>
      </c>
      <c r="O25" s="16" t="s">
        <v>127</v>
      </c>
      <c r="P25" s="16" t="s">
        <v>128</v>
      </c>
      <c r="Q25" s="16" t="s">
        <v>147</v>
      </c>
      <c r="R25" s="14" t="s">
        <v>148</v>
      </c>
      <c r="S25" s="14" t="s">
        <v>149</v>
      </c>
      <c r="T25" s="14" t="s">
        <v>73</v>
      </c>
      <c r="U25" s="14" t="s">
        <v>129</v>
      </c>
      <c r="V25" s="15">
        <v>40725</v>
      </c>
      <c r="W25" s="15"/>
      <c r="X25" s="16" t="s">
        <v>100</v>
      </c>
      <c r="Y25" s="17"/>
      <c r="Z25" s="18"/>
      <c r="AA25" s="17"/>
      <c r="AB25" s="18"/>
      <c r="AC25" s="17"/>
      <c r="AD25" s="18"/>
      <c r="AE25" s="17"/>
      <c r="AF25" s="18"/>
      <c r="AG25" s="17"/>
      <c r="AH25" s="18"/>
      <c r="AI25" s="17"/>
      <c r="AJ25" s="18"/>
      <c r="AK25" s="17"/>
      <c r="AL25" s="18"/>
      <c r="AM25" s="17"/>
      <c r="AN25" s="18"/>
      <c r="AO25" s="17"/>
      <c r="AP25" s="18"/>
      <c r="AQ25" s="17"/>
      <c r="AR25" s="18"/>
      <c r="AS25" s="17"/>
      <c r="AT25" s="18"/>
      <c r="AU25" s="17"/>
      <c r="AV25" s="18"/>
      <c r="AW25" s="17"/>
      <c r="AX25" s="18"/>
      <c r="AY25" s="17"/>
      <c r="AZ25" s="18"/>
      <c r="BA25" s="14" t="s">
        <v>100</v>
      </c>
      <c r="BB25" s="16" t="s">
        <v>100</v>
      </c>
    </row>
    <row r="26" spans="1:54" ht="87" x14ac:dyDescent="0.35">
      <c r="A26" s="14" t="s">
        <v>55</v>
      </c>
      <c r="B26" s="14" t="s">
        <v>56</v>
      </c>
      <c r="C26" s="15">
        <v>45818.409722222219</v>
      </c>
      <c r="D26" s="14" t="s">
        <v>57</v>
      </c>
      <c r="E26" s="16" t="s">
        <v>58</v>
      </c>
      <c r="F26" s="14" t="s">
        <v>59</v>
      </c>
      <c r="G26" s="16" t="s">
        <v>60</v>
      </c>
      <c r="H26" s="14" t="s">
        <v>61</v>
      </c>
      <c r="I26" s="16" t="s">
        <v>62</v>
      </c>
      <c r="J26" s="16" t="s">
        <v>63</v>
      </c>
      <c r="K26" s="16" t="s">
        <v>64</v>
      </c>
      <c r="L26" s="14" t="s">
        <v>130</v>
      </c>
      <c r="M26" s="16" t="s">
        <v>131</v>
      </c>
      <c r="N26" s="14" t="s">
        <v>67</v>
      </c>
      <c r="O26" s="16" t="s">
        <v>132</v>
      </c>
      <c r="P26" s="16" t="s">
        <v>133</v>
      </c>
      <c r="Q26" s="16" t="s">
        <v>147</v>
      </c>
      <c r="R26" s="14" t="s">
        <v>148</v>
      </c>
      <c r="S26" s="14" t="s">
        <v>149</v>
      </c>
      <c r="T26" s="14" t="s">
        <v>73</v>
      </c>
      <c r="U26" s="14" t="s">
        <v>74</v>
      </c>
      <c r="V26" s="15">
        <v>40725</v>
      </c>
      <c r="W26" s="15"/>
      <c r="X26" s="16" t="s">
        <v>134</v>
      </c>
      <c r="Y26" s="17" t="s">
        <v>106</v>
      </c>
      <c r="Z26" s="18" t="str">
        <f>VLOOKUP(Y26,'Axe 2 Règles de gestion'!$D$2:$F$23,3, FALSE)</f>
        <v>Lorsque la date de paye correspond au mois de janvier, le code origine "1" (année courante) ne doit pas être notifié.</v>
      </c>
      <c r="AA26" s="17" t="s">
        <v>78</v>
      </c>
      <c r="AB26" s="18" t="str">
        <f>VLOOKUP(AA26,'Axe 2 Règles de gestion'!$D$2:$F$23,3, FALSE)</f>
        <v>Il est interdit de codifier le sens 1 (sens contraire) si le code origine est 0 (mois courant).</v>
      </c>
      <c r="AC26" s="17" t="s">
        <v>80</v>
      </c>
      <c r="AD26" s="18" t="str">
        <f>VLOOKUP(AC26,'Axe 2 Règles de gestion'!$D$2:$F$23,3, FALSE)</f>
        <v>Si le mode de calcul est "A - Montant précalculé", alors il faut laisser à vide la zone nombre d'unités.</v>
      </c>
      <c r="AE26" s="17" t="s">
        <v>82</v>
      </c>
      <c r="AF26" s="18" t="str">
        <f>VLOOKUP(AE26,'Axe 2 Règles de gestion'!$D$2:$F$23,3, FALSE)</f>
        <v>Le terme « GREVE » ne doit pas être utilisé dans la zone "Libellé complémentaire".</v>
      </c>
      <c r="AG26" s="17" t="s">
        <v>84</v>
      </c>
      <c r="AH26" s="18" t="str">
        <f>VLOOKUP(AG26,'Axe 2 Règles de gestion'!$D$2:$F$23,3, FALSE)</f>
        <v>Si le mode de calcul est "A - Montant précalculé", il faut que le montant soit différent de vide.</v>
      </c>
      <c r="AI26" s="17" t="s">
        <v>86</v>
      </c>
      <c r="AJ26" s="18" t="str">
        <f>VLOOKUP(AI26,'Axe 2 Règles de gestion'!$D$2:$F$23,3, FALSE)</f>
        <v>Si le mode de calcul est "B - Nombre d'unités x montant unitaire", il faut que le nombre d'unités et le montant soient différents de vide.</v>
      </c>
      <c r="AK26" s="17" t="s">
        <v>88</v>
      </c>
      <c r="AL26" s="18" t="str">
        <f>VLOOKUP(AK26,'Axe 2 Règles de gestion'!$D$2:$F$23,3, FALSE)</f>
        <v>Le code sens est obligatoire.</v>
      </c>
      <c r="AM26" s="17" t="s">
        <v>90</v>
      </c>
      <c r="AN26" s="18" t="str">
        <f>VLOOKUP(AM26,'Axe 2 Règles de gestion'!$D$2:$F$23,3, FALSE)</f>
        <v>Le code origine est obligatoire.</v>
      </c>
      <c r="AO26" s="17" t="s">
        <v>92</v>
      </c>
      <c r="AP26" s="18" t="str">
        <f>VLOOKUP(AO26,'Axe 2 Règles de gestion'!$D$2:$F$23,3, FALSE)</f>
        <v>Seuls les modes de calcul "A - Montant précalculé", "B - Nombre d'unités x montant unitaire", "G - Indemnité à déduire" sont autorisés.</v>
      </c>
      <c r="AQ26" s="17" t="s">
        <v>96</v>
      </c>
      <c r="AR26" s="18" t="str">
        <f>VLOOKUP(AQ26,'Axe 2 Règles de gestion'!$D$2:$F$23,3, FALSE)</f>
        <v>Si le mode de calcul est "G - Indemnité à déduire", alors il faut laisser vide la zone nombre d'unités.</v>
      </c>
      <c r="AS26" s="17" t="s">
        <v>98</v>
      </c>
      <c r="AT26" s="18" t="str">
        <f>VLOOKUP(AS26,'Axe 2 Règles de gestion'!$D$2:$F$23,3, FALSE)</f>
        <v>Si le mode de calcul est "G - Indemnité à déduire", il faut que le montant soit différent de vide.</v>
      </c>
      <c r="AU26" s="17" t="s">
        <v>94</v>
      </c>
      <c r="AV26" s="18" t="str">
        <f>VLOOKUP(AU26,'Axe 2 Règles de gestion'!$D$2:$F$23,3, FALSE)</f>
        <v>Le nombre total de mouvements 20 pour le mois de paie en cours doit être inférieur ou égal à 30.</v>
      </c>
      <c r="AW26" s="17"/>
      <c r="AX26" s="18"/>
      <c r="AY26" s="17"/>
      <c r="AZ26" s="18"/>
      <c r="BA26" s="14" t="s">
        <v>100</v>
      </c>
      <c r="BB26" s="16" t="s">
        <v>100</v>
      </c>
    </row>
    <row r="27" spans="1:54" ht="159.5" x14ac:dyDescent="0.35">
      <c r="A27" s="14" t="s">
        <v>55</v>
      </c>
      <c r="B27" s="14" t="s">
        <v>56</v>
      </c>
      <c r="C27" s="15">
        <v>45818.400694444441</v>
      </c>
      <c r="D27" s="14" t="s">
        <v>57</v>
      </c>
      <c r="E27" s="16" t="s">
        <v>58</v>
      </c>
      <c r="F27" s="14" t="s">
        <v>59</v>
      </c>
      <c r="G27" s="16" t="s">
        <v>60</v>
      </c>
      <c r="H27" s="14" t="s">
        <v>61</v>
      </c>
      <c r="I27" s="16" t="s">
        <v>62</v>
      </c>
      <c r="J27" s="16" t="s">
        <v>63</v>
      </c>
      <c r="K27" s="16" t="s">
        <v>64</v>
      </c>
      <c r="L27" s="14" t="s">
        <v>125</v>
      </c>
      <c r="M27" s="16" t="s">
        <v>126</v>
      </c>
      <c r="N27" s="14" t="s">
        <v>67</v>
      </c>
      <c r="O27" s="16" t="s">
        <v>127</v>
      </c>
      <c r="P27" s="16" t="s">
        <v>128</v>
      </c>
      <c r="Q27" s="16" t="s">
        <v>150</v>
      </c>
      <c r="R27" s="14" t="s">
        <v>151</v>
      </c>
      <c r="S27" s="14" t="s">
        <v>140</v>
      </c>
      <c r="T27" s="14" t="s">
        <v>152</v>
      </c>
      <c r="U27" s="14" t="s">
        <v>74</v>
      </c>
      <c r="V27" s="15">
        <v>40725</v>
      </c>
      <c r="W27" s="15"/>
      <c r="X27" s="16" t="s">
        <v>153</v>
      </c>
      <c r="Y27" s="17" t="s">
        <v>76</v>
      </c>
      <c r="Z27" s="18" t="str">
        <f>VLOOKUP(Y27,'Axe 2 Règles de gestion'!$D$2:$F$23,3, FALSE)</f>
        <v>Le code origine doit être "0" (mois courant) pour l'indemnité '0954 - Précompte cotis. sal. RAFP'.</v>
      </c>
      <c r="AA27" s="17" t="s">
        <v>78</v>
      </c>
      <c r="AB27" s="18" t="str">
        <f>VLOOKUP(AA27,'Axe 2 Règles de gestion'!$D$2:$F$23,3, FALSE)</f>
        <v>Il est interdit de codifier le sens 1 (sens contraire) si le code origine est 0 (mois courant).</v>
      </c>
      <c r="AC27" s="17" t="s">
        <v>80</v>
      </c>
      <c r="AD27" s="18" t="str">
        <f>VLOOKUP(AC27,'Axe 2 Règles de gestion'!$D$2:$F$23,3, FALSE)</f>
        <v>Si le mode de calcul est "A - Montant précalculé", alors il faut laisser à vide la zone nombre d'unités.</v>
      </c>
      <c r="AE27" s="17" t="s">
        <v>82</v>
      </c>
      <c r="AF27" s="18" t="str">
        <f>VLOOKUP(AE27,'Axe 2 Règles de gestion'!$D$2:$F$23,3, FALSE)</f>
        <v>Le terme « GREVE » ne doit pas être utilisé dans la zone "Libellé complémentaire".</v>
      </c>
      <c r="AG27" s="17" t="s">
        <v>84</v>
      </c>
      <c r="AH27" s="18" t="str">
        <f>VLOOKUP(AG27,'Axe 2 Règles de gestion'!$D$2:$F$23,3, FALSE)</f>
        <v>Si le mode de calcul est "A - Montant précalculé", il faut que le montant soit différent de vide.</v>
      </c>
      <c r="AI27" s="17" t="s">
        <v>86</v>
      </c>
      <c r="AJ27" s="18" t="str">
        <f>VLOOKUP(AI27,'Axe 2 Règles de gestion'!$D$2:$F$23,3, FALSE)</f>
        <v>Si le mode de calcul est "B - Nombre d'unités x montant unitaire", il faut que le nombre d'unités et le montant soient différents de vide.</v>
      </c>
      <c r="AK27" s="17" t="s">
        <v>88</v>
      </c>
      <c r="AL27" s="18" t="str">
        <f>VLOOKUP(AK27,'Axe 2 Règles de gestion'!$D$2:$F$23,3, FALSE)</f>
        <v>Le code sens est obligatoire.</v>
      </c>
      <c r="AM27" s="17" t="s">
        <v>90</v>
      </c>
      <c r="AN27" s="18" t="str">
        <f>VLOOKUP(AM27,'Axe 2 Règles de gestion'!$D$2:$F$23,3, FALSE)</f>
        <v>Le code origine est obligatoire.</v>
      </c>
      <c r="AO27" s="17" t="s">
        <v>92</v>
      </c>
      <c r="AP27" s="18" t="str">
        <f>VLOOKUP(AO27,'Axe 2 Règles de gestion'!$D$2:$F$23,3, FALSE)</f>
        <v>Seuls les modes de calcul "A - Montant précalculé", "B - Nombre d'unités x montant unitaire", "G - Indemnité à déduire" sont autorisés.</v>
      </c>
      <c r="AQ27" s="17" t="s">
        <v>94</v>
      </c>
      <c r="AR27" s="18" t="str">
        <f>VLOOKUP(AQ27,'Axe 2 Règles de gestion'!$D$2:$F$23,3, FALSE)</f>
        <v>Le nombre total de mouvements 20 pour le mois de paie en cours doit être inférieur ou égal à 30.</v>
      </c>
      <c r="AS27" s="17" t="s">
        <v>96</v>
      </c>
      <c r="AT27" s="18" t="str">
        <f>VLOOKUP(AS27,'Axe 2 Règles de gestion'!$D$2:$F$23,3, FALSE)</f>
        <v>Si le mode de calcul est "G - Indemnité à déduire", alors il faut laisser vide la zone nombre d'unités.</v>
      </c>
      <c r="AU27" s="17" t="s">
        <v>98</v>
      </c>
      <c r="AV27" s="18" t="str">
        <f>VLOOKUP(AU27,'Axe 2 Règles de gestion'!$D$2:$F$23,3, FALSE)</f>
        <v>Si le mode de calcul est "G - Indemnité à déduire", il faut que le montant soit différent de vide.</v>
      </c>
      <c r="AW27" s="17" t="s">
        <v>154</v>
      </c>
      <c r="AX27" s="18" t="str">
        <f>VLOOKUP(AW27,'Axe 2 Règles de gestion'!$D$2:$F$23,3, FALSE)</f>
        <v>Si le code "0870 - Cotisation assurance chômage" est utilisé pour une régularisation de cotisation avec un code statutaire servi à "92 - Privé simple, laïc et privé simple, religieux affilié à SS et RC et ASSEDIC", le mouvement de type 20 utilisé ressortira en anomalie non bloquante.</v>
      </c>
      <c r="AY27" s="17" t="s">
        <v>156</v>
      </c>
      <c r="AZ27" s="18" t="str">
        <f>VLOOKUP(AY27,'Axe 2 Règles de gestion'!$D$2:$F$23,3, FALSE)</f>
        <v>Si le code "0870 - Cotisation assurance chômage" est utilisé pour une régularisation de cotisation le code statutaire doit être servi avec une valeur égale à "92 - Privé simple, laïc et privé simple, religieux affilié à SS et RC et ASSEDIC".</v>
      </c>
      <c r="BA27" s="14" t="s">
        <v>100</v>
      </c>
      <c r="BB27" s="16" t="s">
        <v>100</v>
      </c>
    </row>
    <row r="28" spans="1:54" x14ac:dyDescent="0.35">
      <c r="A28" s="19"/>
      <c r="B28" s="20"/>
      <c r="C28" s="21"/>
      <c r="D28" s="19"/>
      <c r="E28" s="20"/>
      <c r="F28" s="19"/>
      <c r="G28" s="20"/>
      <c r="H28" s="19"/>
      <c r="I28" s="20"/>
      <c r="J28" s="20" t="s">
        <v>100</v>
      </c>
      <c r="K28" s="20" t="s">
        <v>100</v>
      </c>
      <c r="L28" s="20"/>
      <c r="M28" s="20"/>
      <c r="N28" s="20" t="s">
        <v>100</v>
      </c>
      <c r="O28" s="20" t="s">
        <v>100</v>
      </c>
      <c r="P28" s="20" t="s">
        <v>100</v>
      </c>
      <c r="Q28" s="20"/>
      <c r="R28" s="20"/>
      <c r="T28" s="20"/>
      <c r="U28" s="19"/>
      <c r="V28" s="22"/>
      <c r="W28" s="22"/>
      <c r="X28" s="20"/>
      <c r="BA28" s="25"/>
      <c r="BB28" s="20"/>
    </row>
    <row r="29" spans="1:54" x14ac:dyDescent="0.35">
      <c r="A29" s="19"/>
      <c r="B29" s="20"/>
      <c r="C29" s="21"/>
      <c r="D29" s="19"/>
      <c r="E29" s="20"/>
      <c r="F29" s="19"/>
      <c r="G29" s="20"/>
      <c r="H29" s="19"/>
      <c r="I29" s="20"/>
      <c r="J29" s="20" t="s">
        <v>100</v>
      </c>
      <c r="K29" s="20" t="s">
        <v>100</v>
      </c>
      <c r="L29" s="20"/>
      <c r="M29" s="20"/>
      <c r="N29" s="20" t="s">
        <v>100</v>
      </c>
      <c r="O29" s="20" t="s">
        <v>100</v>
      </c>
      <c r="P29" s="20" t="s">
        <v>100</v>
      </c>
      <c r="Q29" s="20"/>
      <c r="R29" s="20"/>
      <c r="T29" s="20"/>
      <c r="U29" s="19"/>
      <c r="V29" s="22"/>
      <c r="W29" s="22"/>
      <c r="X29" s="20"/>
      <c r="BA29" s="25"/>
      <c r="BB29" s="20"/>
    </row>
    <row r="30" spans="1:54" x14ac:dyDescent="0.35">
      <c r="A30" s="19"/>
      <c r="B30" s="20"/>
      <c r="C30" s="21"/>
      <c r="D30" s="19"/>
      <c r="E30" s="20"/>
      <c r="F30" s="19"/>
      <c r="G30" s="20"/>
      <c r="H30" s="19"/>
      <c r="I30" s="20"/>
      <c r="J30" s="20" t="s">
        <v>100</v>
      </c>
      <c r="K30" s="20" t="s">
        <v>100</v>
      </c>
      <c r="L30" s="20"/>
      <c r="M30" s="20"/>
      <c r="N30" s="20" t="s">
        <v>100</v>
      </c>
      <c r="O30" s="20" t="s">
        <v>100</v>
      </c>
      <c r="P30" s="20" t="s">
        <v>100</v>
      </c>
      <c r="Q30" s="20"/>
      <c r="R30" s="20"/>
      <c r="T30" s="20"/>
      <c r="U30" s="19"/>
      <c r="V30" s="22"/>
      <c r="W30" s="22"/>
      <c r="X30" s="20"/>
      <c r="BA30" s="25"/>
      <c r="BB30" s="20"/>
    </row>
    <row r="31" spans="1:54" x14ac:dyDescent="0.35">
      <c r="A31" s="19"/>
      <c r="B31" s="20"/>
      <c r="C31" s="21"/>
      <c r="D31" s="19"/>
      <c r="E31" s="20"/>
      <c r="F31" s="19"/>
      <c r="G31" s="20"/>
      <c r="H31" s="19"/>
      <c r="I31" s="20"/>
      <c r="J31" s="20" t="s">
        <v>100</v>
      </c>
      <c r="K31" s="20" t="s">
        <v>100</v>
      </c>
      <c r="L31" s="20"/>
      <c r="M31" s="20"/>
      <c r="N31" s="20" t="s">
        <v>100</v>
      </c>
      <c r="O31" s="20" t="s">
        <v>100</v>
      </c>
      <c r="P31" s="20" t="s">
        <v>100</v>
      </c>
      <c r="Q31" s="20"/>
      <c r="R31" s="20"/>
      <c r="T31" s="20"/>
      <c r="U31" s="19"/>
      <c r="V31" s="22"/>
      <c r="W31" s="22"/>
      <c r="X31" s="20"/>
      <c r="BA31" s="25"/>
      <c r="BB31" s="20"/>
    </row>
    <row r="32" spans="1:54" x14ac:dyDescent="0.35">
      <c r="A32" s="19"/>
      <c r="B32" s="20"/>
      <c r="C32" s="21"/>
      <c r="D32" s="19"/>
      <c r="E32" s="20"/>
      <c r="F32" s="19"/>
      <c r="G32" s="20"/>
      <c r="H32" s="19"/>
      <c r="I32" s="20"/>
      <c r="J32" s="20" t="s">
        <v>100</v>
      </c>
      <c r="K32" s="20" t="s">
        <v>100</v>
      </c>
      <c r="L32" s="20"/>
      <c r="M32" s="20"/>
      <c r="N32" s="20" t="s">
        <v>100</v>
      </c>
      <c r="O32" s="20" t="s">
        <v>100</v>
      </c>
      <c r="P32" s="20" t="s">
        <v>100</v>
      </c>
      <c r="Q32" s="20"/>
      <c r="R32" s="20"/>
      <c r="T32" s="20"/>
      <c r="U32" s="19"/>
      <c r="V32" s="22"/>
      <c r="W32" s="22"/>
      <c r="X32" s="20"/>
      <c r="BA32" s="25"/>
      <c r="BB32" s="20"/>
    </row>
    <row r="33" spans="1:54" x14ac:dyDescent="0.35">
      <c r="A33" s="19"/>
      <c r="B33" s="20"/>
      <c r="C33" s="21"/>
      <c r="D33" s="19"/>
      <c r="E33" s="20"/>
      <c r="F33" s="19"/>
      <c r="G33" s="20"/>
      <c r="H33" s="19"/>
      <c r="I33" s="20"/>
      <c r="J33" s="20" t="s">
        <v>100</v>
      </c>
      <c r="K33" s="20" t="s">
        <v>100</v>
      </c>
      <c r="L33" s="20"/>
      <c r="M33" s="20"/>
      <c r="N33" s="20" t="s">
        <v>100</v>
      </c>
      <c r="O33" s="20" t="s">
        <v>100</v>
      </c>
      <c r="P33" s="20" t="s">
        <v>100</v>
      </c>
      <c r="Q33" s="20"/>
      <c r="R33" s="20"/>
      <c r="T33" s="20"/>
      <c r="U33" s="19"/>
      <c r="V33" s="22"/>
      <c r="W33" s="22"/>
      <c r="X33" s="20"/>
      <c r="BA33" s="25"/>
      <c r="BB33" s="20"/>
    </row>
    <row r="34" spans="1:54" x14ac:dyDescent="0.35">
      <c r="A34" s="19"/>
      <c r="B34" s="20"/>
      <c r="C34" s="21"/>
      <c r="D34" s="19"/>
      <c r="E34" s="20"/>
      <c r="F34" s="19"/>
      <c r="G34" s="20"/>
      <c r="H34" s="19"/>
      <c r="I34" s="20"/>
      <c r="J34" s="20" t="s">
        <v>100</v>
      </c>
      <c r="K34" s="20" t="s">
        <v>100</v>
      </c>
      <c r="L34" s="20"/>
      <c r="M34" s="20"/>
      <c r="N34" s="20" t="s">
        <v>100</v>
      </c>
      <c r="O34" s="20" t="s">
        <v>100</v>
      </c>
      <c r="P34" s="20" t="s">
        <v>100</v>
      </c>
      <c r="Q34" s="20"/>
      <c r="R34" s="20"/>
      <c r="T34" s="20"/>
      <c r="U34" s="19"/>
      <c r="V34" s="22"/>
      <c r="W34" s="22"/>
      <c r="X34" s="20"/>
      <c r="BA34" s="25"/>
      <c r="BB34" s="20"/>
    </row>
    <row r="35" spans="1:54" x14ac:dyDescent="0.35">
      <c r="A35" s="19"/>
      <c r="B35" s="20"/>
      <c r="C35" s="21"/>
      <c r="D35" s="19"/>
      <c r="E35" s="20"/>
      <c r="F35" s="19"/>
      <c r="G35" s="20"/>
      <c r="H35" s="19"/>
      <c r="I35" s="20"/>
      <c r="J35" s="20" t="s">
        <v>100</v>
      </c>
      <c r="K35" s="20" t="s">
        <v>100</v>
      </c>
      <c r="L35" s="20"/>
      <c r="M35" s="20"/>
      <c r="N35" s="20" t="s">
        <v>100</v>
      </c>
      <c r="O35" s="20" t="s">
        <v>100</v>
      </c>
      <c r="P35" s="20" t="s">
        <v>100</v>
      </c>
      <c r="Q35" s="20"/>
      <c r="R35" s="20"/>
      <c r="T35" s="20"/>
      <c r="U35" s="19"/>
      <c r="V35" s="22"/>
      <c r="W35" s="22"/>
      <c r="X35" s="20"/>
      <c r="BA35" s="25"/>
      <c r="BB35" s="20"/>
    </row>
    <row r="36" spans="1:54" x14ac:dyDescent="0.35">
      <c r="A36" s="19"/>
      <c r="B36" s="20"/>
      <c r="C36" s="21"/>
      <c r="D36" s="19"/>
      <c r="E36" s="20"/>
      <c r="F36" s="19"/>
      <c r="G36" s="20"/>
      <c r="H36" s="19"/>
      <c r="I36" s="20"/>
      <c r="J36" s="20" t="s">
        <v>100</v>
      </c>
      <c r="K36" s="20" t="s">
        <v>100</v>
      </c>
      <c r="L36" s="20"/>
      <c r="M36" s="20"/>
      <c r="N36" s="20" t="s">
        <v>100</v>
      </c>
      <c r="O36" s="20" t="s">
        <v>100</v>
      </c>
      <c r="P36" s="20" t="s">
        <v>100</v>
      </c>
      <c r="Q36" s="20"/>
      <c r="R36" s="20"/>
      <c r="T36" s="20"/>
      <c r="U36" s="19"/>
      <c r="V36" s="22"/>
      <c r="W36" s="22"/>
      <c r="X36" s="20"/>
      <c r="BA36" s="25"/>
      <c r="BB36" s="20"/>
    </row>
    <row r="37" spans="1:54" x14ac:dyDescent="0.35">
      <c r="A37" s="19"/>
      <c r="B37" s="20"/>
      <c r="C37" s="21"/>
      <c r="D37" s="19"/>
      <c r="E37" s="20"/>
      <c r="F37" s="19"/>
      <c r="G37" s="20"/>
      <c r="H37" s="19"/>
      <c r="I37" s="20"/>
      <c r="J37" s="20" t="s">
        <v>100</v>
      </c>
      <c r="K37" s="20" t="s">
        <v>100</v>
      </c>
      <c r="L37" s="20"/>
      <c r="M37" s="20"/>
      <c r="N37" s="20" t="s">
        <v>100</v>
      </c>
      <c r="O37" s="20" t="s">
        <v>100</v>
      </c>
      <c r="P37" s="20" t="s">
        <v>100</v>
      </c>
      <c r="Q37" s="20"/>
      <c r="R37" s="20"/>
      <c r="T37" s="20"/>
      <c r="U37" s="19"/>
      <c r="V37" s="22"/>
      <c r="W37" s="22"/>
      <c r="X37" s="20"/>
      <c r="BA37" s="25"/>
      <c r="BB37" s="20"/>
    </row>
    <row r="38" spans="1:54" x14ac:dyDescent="0.35">
      <c r="A38" s="19"/>
      <c r="B38" s="20"/>
      <c r="C38" s="21"/>
      <c r="D38" s="19"/>
      <c r="E38" s="20"/>
      <c r="F38" s="19"/>
      <c r="G38" s="20"/>
      <c r="H38" s="19"/>
      <c r="I38" s="20"/>
      <c r="J38" s="20" t="s">
        <v>100</v>
      </c>
      <c r="K38" s="20" t="s">
        <v>100</v>
      </c>
      <c r="L38" s="20"/>
      <c r="M38" s="20"/>
      <c r="N38" s="20" t="s">
        <v>100</v>
      </c>
      <c r="O38" s="20" t="s">
        <v>100</v>
      </c>
      <c r="P38" s="20" t="s">
        <v>100</v>
      </c>
      <c r="Q38" s="20"/>
      <c r="R38" s="20"/>
      <c r="T38" s="20"/>
      <c r="U38" s="19"/>
      <c r="V38" s="22"/>
      <c r="W38" s="22"/>
      <c r="X38" s="20"/>
      <c r="BA38" s="25"/>
      <c r="BB38" s="20"/>
    </row>
    <row r="39" spans="1:54" x14ac:dyDescent="0.35">
      <c r="A39" s="19"/>
      <c r="B39" s="20"/>
      <c r="C39" s="21"/>
      <c r="D39" s="19"/>
      <c r="E39" s="20"/>
      <c r="F39" s="19"/>
      <c r="G39" s="20"/>
      <c r="H39" s="19"/>
      <c r="I39" s="20"/>
      <c r="J39" s="20" t="s">
        <v>100</v>
      </c>
      <c r="K39" s="20" t="s">
        <v>100</v>
      </c>
      <c r="L39" s="20"/>
      <c r="M39" s="20"/>
      <c r="N39" s="20" t="s">
        <v>100</v>
      </c>
      <c r="O39" s="20" t="s">
        <v>100</v>
      </c>
      <c r="P39" s="20" t="s">
        <v>100</v>
      </c>
      <c r="Q39" s="20"/>
      <c r="R39" s="20"/>
      <c r="T39" s="20"/>
      <c r="U39" s="19"/>
      <c r="V39" s="22"/>
      <c r="W39" s="22"/>
      <c r="X39" s="20"/>
      <c r="BA39" s="25"/>
      <c r="BB39" s="20"/>
    </row>
    <row r="40" spans="1:54" x14ac:dyDescent="0.35">
      <c r="A40" s="19"/>
      <c r="B40" s="20"/>
      <c r="C40" s="21"/>
      <c r="D40" s="19"/>
      <c r="E40" s="20"/>
      <c r="F40" s="19"/>
      <c r="G40" s="20"/>
      <c r="H40" s="19"/>
      <c r="I40" s="20"/>
      <c r="J40" s="20" t="s">
        <v>100</v>
      </c>
      <c r="K40" s="20" t="s">
        <v>100</v>
      </c>
      <c r="L40" s="20"/>
      <c r="M40" s="20"/>
      <c r="N40" s="20" t="s">
        <v>100</v>
      </c>
      <c r="O40" s="20" t="s">
        <v>100</v>
      </c>
      <c r="P40" s="20" t="s">
        <v>100</v>
      </c>
      <c r="Q40" s="20"/>
      <c r="R40" s="20"/>
      <c r="T40" s="20"/>
      <c r="U40" s="19"/>
      <c r="V40" s="22"/>
      <c r="W40" s="22"/>
      <c r="X40" s="20"/>
      <c r="BA40" s="25"/>
      <c r="BB40" s="20"/>
    </row>
    <row r="41" spans="1:54" x14ac:dyDescent="0.35">
      <c r="A41" s="19"/>
      <c r="B41" s="20"/>
      <c r="C41" s="21"/>
      <c r="D41" s="19"/>
      <c r="E41" s="20"/>
      <c r="F41" s="19"/>
      <c r="G41" s="20"/>
      <c r="H41" s="19"/>
      <c r="I41" s="20"/>
      <c r="J41" s="20" t="s">
        <v>100</v>
      </c>
      <c r="K41" s="20" t="s">
        <v>100</v>
      </c>
      <c r="L41" s="20"/>
      <c r="M41" s="20"/>
      <c r="N41" s="20" t="s">
        <v>100</v>
      </c>
      <c r="O41" s="20" t="s">
        <v>100</v>
      </c>
      <c r="P41" s="20" t="s">
        <v>100</v>
      </c>
      <c r="Q41" s="20"/>
      <c r="R41" s="20"/>
      <c r="T41" s="20"/>
      <c r="U41" s="19"/>
      <c r="V41" s="22"/>
      <c r="W41" s="22"/>
      <c r="X41" s="20"/>
      <c r="BA41" s="25"/>
      <c r="BB41" s="20"/>
    </row>
    <row r="42" spans="1:54" x14ac:dyDescent="0.35">
      <c r="A42" s="19"/>
      <c r="B42" s="20"/>
      <c r="C42" s="21"/>
      <c r="D42" s="19"/>
      <c r="E42" s="20"/>
      <c r="F42" s="19"/>
      <c r="G42" s="20"/>
      <c r="H42" s="19"/>
      <c r="I42" s="20"/>
      <c r="J42" s="20" t="s">
        <v>100</v>
      </c>
      <c r="K42" s="20" t="s">
        <v>100</v>
      </c>
      <c r="L42" s="20"/>
      <c r="M42" s="20"/>
      <c r="N42" s="20" t="s">
        <v>100</v>
      </c>
      <c r="O42" s="20" t="s">
        <v>100</v>
      </c>
      <c r="P42" s="20" t="s">
        <v>100</v>
      </c>
      <c r="Q42" s="20"/>
      <c r="R42" s="20"/>
      <c r="T42" s="20"/>
      <c r="U42" s="19"/>
      <c r="V42" s="22"/>
      <c r="W42" s="22"/>
      <c r="X42" s="20"/>
      <c r="BA42" s="25"/>
      <c r="BB42" s="20"/>
    </row>
    <row r="43" spans="1:54" x14ac:dyDescent="0.35">
      <c r="A43" s="19"/>
      <c r="B43" s="20"/>
      <c r="C43" s="21"/>
      <c r="D43" s="19"/>
      <c r="E43" s="20"/>
      <c r="F43" s="19"/>
      <c r="G43" s="20"/>
      <c r="H43" s="19"/>
      <c r="I43" s="20"/>
      <c r="J43" s="20" t="s">
        <v>100</v>
      </c>
      <c r="K43" s="20" t="s">
        <v>100</v>
      </c>
      <c r="L43" s="20"/>
      <c r="M43" s="20"/>
      <c r="N43" s="20" t="s">
        <v>100</v>
      </c>
      <c r="O43" s="20" t="s">
        <v>100</v>
      </c>
      <c r="P43" s="20" t="s">
        <v>100</v>
      </c>
      <c r="Q43" s="20"/>
      <c r="R43" s="20"/>
      <c r="T43" s="20"/>
      <c r="U43" s="19"/>
      <c r="V43" s="22"/>
      <c r="W43" s="22"/>
      <c r="X43" s="20"/>
      <c r="BA43" s="25"/>
      <c r="BB43" s="20"/>
    </row>
    <row r="44" spans="1:54" x14ac:dyDescent="0.35">
      <c r="A44" s="19"/>
      <c r="B44" s="20"/>
      <c r="C44" s="21"/>
      <c r="D44" s="19"/>
      <c r="E44" s="20"/>
      <c r="F44" s="19"/>
      <c r="G44" s="20"/>
      <c r="H44" s="19"/>
      <c r="I44" s="20"/>
      <c r="J44" s="20" t="s">
        <v>100</v>
      </c>
      <c r="K44" s="20" t="s">
        <v>100</v>
      </c>
      <c r="L44" s="20"/>
      <c r="M44" s="20"/>
      <c r="N44" s="20" t="s">
        <v>100</v>
      </c>
      <c r="O44" s="20" t="s">
        <v>100</v>
      </c>
      <c r="P44" s="20" t="s">
        <v>100</v>
      </c>
      <c r="Q44" s="20"/>
      <c r="R44" s="20"/>
      <c r="T44" s="20"/>
      <c r="U44" s="19"/>
      <c r="V44" s="22"/>
      <c r="W44" s="22"/>
      <c r="X44" s="20"/>
      <c r="BA44" s="25"/>
      <c r="BB44" s="20"/>
    </row>
    <row r="45" spans="1:54" x14ac:dyDescent="0.35">
      <c r="A45" s="19"/>
      <c r="B45" s="20"/>
      <c r="C45" s="21"/>
      <c r="D45" s="19"/>
      <c r="E45" s="20"/>
      <c r="F45" s="19"/>
      <c r="G45" s="20"/>
      <c r="H45" s="19"/>
      <c r="I45" s="20"/>
      <c r="J45" s="20" t="s">
        <v>100</v>
      </c>
      <c r="K45" s="20" t="s">
        <v>100</v>
      </c>
      <c r="L45" s="20"/>
      <c r="M45" s="20"/>
      <c r="N45" s="20" t="s">
        <v>100</v>
      </c>
      <c r="O45" s="20" t="s">
        <v>100</v>
      </c>
      <c r="P45" s="20" t="s">
        <v>100</v>
      </c>
      <c r="Q45" s="20"/>
      <c r="R45" s="20"/>
      <c r="T45" s="20"/>
      <c r="U45" s="19"/>
      <c r="V45" s="22"/>
      <c r="W45" s="22"/>
      <c r="X45" s="20"/>
      <c r="BA45" s="25"/>
      <c r="BB45" s="20"/>
    </row>
    <row r="46" spans="1:54" x14ac:dyDescent="0.35">
      <c r="A46" s="19"/>
      <c r="B46" s="20"/>
      <c r="C46" s="21"/>
      <c r="D46" s="19"/>
      <c r="E46" s="20"/>
      <c r="F46" s="19"/>
      <c r="G46" s="20"/>
      <c r="H46" s="19"/>
      <c r="I46" s="20"/>
      <c r="J46" s="20" t="s">
        <v>100</v>
      </c>
      <c r="K46" s="20" t="s">
        <v>100</v>
      </c>
      <c r="L46" s="20"/>
      <c r="M46" s="20"/>
      <c r="N46" s="20" t="s">
        <v>100</v>
      </c>
      <c r="O46" s="20" t="s">
        <v>100</v>
      </c>
      <c r="P46" s="20" t="s">
        <v>100</v>
      </c>
      <c r="Q46" s="20"/>
      <c r="R46" s="20"/>
      <c r="T46" s="20"/>
      <c r="U46" s="19"/>
      <c r="V46" s="22"/>
      <c r="W46" s="22"/>
      <c r="X46" s="20"/>
      <c r="BA46" s="25"/>
      <c r="BB46" s="20"/>
    </row>
    <row r="47" spans="1:54" x14ac:dyDescent="0.35">
      <c r="A47" s="19"/>
      <c r="B47" s="20"/>
      <c r="C47" s="21"/>
      <c r="D47" s="19"/>
      <c r="E47" s="20"/>
      <c r="F47" s="19"/>
      <c r="G47" s="20"/>
      <c r="H47" s="19"/>
      <c r="I47" s="20"/>
      <c r="J47" s="20" t="s">
        <v>100</v>
      </c>
      <c r="K47" s="20" t="s">
        <v>100</v>
      </c>
      <c r="L47" s="20"/>
      <c r="M47" s="20"/>
      <c r="N47" s="20" t="s">
        <v>100</v>
      </c>
      <c r="O47" s="20" t="s">
        <v>100</v>
      </c>
      <c r="P47" s="20" t="s">
        <v>100</v>
      </c>
      <c r="Q47" s="20"/>
      <c r="R47" s="20"/>
      <c r="T47" s="20"/>
      <c r="U47" s="19"/>
      <c r="V47" s="22"/>
      <c r="W47" s="22"/>
      <c r="X47" s="20"/>
      <c r="BA47" s="25"/>
      <c r="BB47" s="20"/>
    </row>
    <row r="48" spans="1:54" x14ac:dyDescent="0.35">
      <c r="A48" s="19"/>
      <c r="B48" s="20"/>
      <c r="C48" s="21"/>
      <c r="D48" s="19"/>
      <c r="E48" s="20"/>
      <c r="F48" s="19"/>
      <c r="G48" s="20"/>
      <c r="H48" s="19"/>
      <c r="I48" s="20"/>
      <c r="J48" s="20" t="s">
        <v>100</v>
      </c>
      <c r="K48" s="20" t="s">
        <v>100</v>
      </c>
      <c r="L48" s="20"/>
      <c r="M48" s="20"/>
      <c r="N48" s="20" t="s">
        <v>100</v>
      </c>
      <c r="O48" s="20" t="s">
        <v>100</v>
      </c>
      <c r="P48" s="20" t="s">
        <v>100</v>
      </c>
      <c r="Q48" s="20"/>
      <c r="R48" s="20"/>
      <c r="T48" s="20"/>
      <c r="U48" s="19"/>
      <c r="V48" s="22"/>
      <c r="W48" s="22"/>
      <c r="X48" s="20"/>
      <c r="BA48" s="25"/>
      <c r="BB48" s="20"/>
    </row>
    <row r="49" spans="1:54" x14ac:dyDescent="0.35">
      <c r="A49" s="19"/>
      <c r="B49" s="20"/>
      <c r="C49" s="21"/>
      <c r="D49" s="19"/>
      <c r="E49" s="20"/>
      <c r="F49" s="19"/>
      <c r="G49" s="20"/>
      <c r="H49" s="19"/>
      <c r="I49" s="20"/>
      <c r="J49" s="20" t="s">
        <v>100</v>
      </c>
      <c r="K49" s="20" t="s">
        <v>100</v>
      </c>
      <c r="L49" s="20"/>
      <c r="M49" s="20"/>
      <c r="N49" s="20" t="s">
        <v>100</v>
      </c>
      <c r="O49" s="20" t="s">
        <v>100</v>
      </c>
      <c r="P49" s="20" t="s">
        <v>100</v>
      </c>
      <c r="Q49" s="20"/>
      <c r="R49" s="20"/>
      <c r="T49" s="20"/>
      <c r="U49" s="19"/>
      <c r="V49" s="22"/>
      <c r="W49" s="22"/>
      <c r="X49" s="20"/>
      <c r="BA49" s="25"/>
      <c r="BB49" s="20"/>
    </row>
  </sheetData>
  <autoFilter ref="A1:OJ1" xr:uid="{603742C6-FAF8-4707-975B-3EB93DD2F93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F7054-C80F-4FB1-8B89-FE3414A3EBAA}">
  <dimension ref="A1:Z49"/>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9.6328125" style="23" customWidth="1"/>
    <col min="26" max="26" width="15.6328125" style="24" customWidth="1"/>
    <col min="27" max="16384" width="10.90625" style="13"/>
  </cols>
  <sheetData>
    <row r="1" spans="1:26"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158</v>
      </c>
      <c r="Y1" s="10" t="s">
        <v>53</v>
      </c>
      <c r="Z1" s="10" t="s">
        <v>54</v>
      </c>
    </row>
    <row r="2" spans="1:26" ht="43.5" x14ac:dyDescent="0.35">
      <c r="A2" s="14" t="s">
        <v>55</v>
      </c>
      <c r="B2" s="14" t="s">
        <v>56</v>
      </c>
      <c r="C2" s="15">
        <v>45818.402083333334</v>
      </c>
      <c r="D2" s="14" t="s">
        <v>57</v>
      </c>
      <c r="E2" s="16" t="s">
        <v>58</v>
      </c>
      <c r="F2" s="14" t="s">
        <v>59</v>
      </c>
      <c r="G2" s="16" t="s">
        <v>60</v>
      </c>
      <c r="H2" s="14" t="s">
        <v>61</v>
      </c>
      <c r="I2" s="16" t="s">
        <v>62</v>
      </c>
      <c r="J2" s="16" t="s">
        <v>63</v>
      </c>
      <c r="K2" s="16" t="s">
        <v>64</v>
      </c>
      <c r="L2" s="14" t="s">
        <v>65</v>
      </c>
      <c r="M2" s="16" t="s">
        <v>66</v>
      </c>
      <c r="N2" s="14" t="s">
        <v>67</v>
      </c>
      <c r="O2" s="16" t="s">
        <v>68</v>
      </c>
      <c r="P2" s="16" t="s">
        <v>69</v>
      </c>
      <c r="Q2" s="16" t="s">
        <v>70</v>
      </c>
      <c r="R2" s="14" t="s">
        <v>71</v>
      </c>
      <c r="S2" s="14" t="s">
        <v>72</v>
      </c>
      <c r="T2" s="14" t="s">
        <v>73</v>
      </c>
      <c r="U2" s="14" t="s">
        <v>74</v>
      </c>
      <c r="V2" s="15">
        <v>40725</v>
      </c>
      <c r="W2" s="15"/>
      <c r="X2" s="16" t="s">
        <v>100</v>
      </c>
      <c r="Y2" s="14" t="s">
        <v>100</v>
      </c>
      <c r="Z2" s="16" t="s">
        <v>100</v>
      </c>
    </row>
    <row r="3" spans="1:26" ht="43.5" x14ac:dyDescent="0.35">
      <c r="A3" s="14" t="s">
        <v>55</v>
      </c>
      <c r="B3" s="14" t="s">
        <v>56</v>
      </c>
      <c r="C3" s="15">
        <v>45818.40347222222</v>
      </c>
      <c r="D3" s="14" t="s">
        <v>57</v>
      </c>
      <c r="E3" s="16" t="s">
        <v>58</v>
      </c>
      <c r="F3" s="14" t="s">
        <v>59</v>
      </c>
      <c r="G3" s="16" t="s">
        <v>60</v>
      </c>
      <c r="H3" s="14" t="s">
        <v>61</v>
      </c>
      <c r="I3" s="16" t="s">
        <v>62</v>
      </c>
      <c r="J3" s="16" t="s">
        <v>63</v>
      </c>
      <c r="K3" s="16" t="s">
        <v>64</v>
      </c>
      <c r="L3" s="14" t="s">
        <v>101</v>
      </c>
      <c r="M3" s="16" t="s">
        <v>102</v>
      </c>
      <c r="N3" s="14" t="s">
        <v>67</v>
      </c>
      <c r="O3" s="16" t="s">
        <v>103</v>
      </c>
      <c r="P3" s="16" t="s">
        <v>104</v>
      </c>
      <c r="Q3" s="16" t="s">
        <v>70</v>
      </c>
      <c r="R3" s="14" t="s">
        <v>71</v>
      </c>
      <c r="S3" s="14" t="s">
        <v>72</v>
      </c>
      <c r="T3" s="14" t="s">
        <v>73</v>
      </c>
      <c r="U3" s="14" t="s">
        <v>74</v>
      </c>
      <c r="V3" s="15">
        <v>40725</v>
      </c>
      <c r="W3" s="15"/>
      <c r="X3" s="16" t="s">
        <v>100</v>
      </c>
      <c r="Y3" s="14" t="s">
        <v>100</v>
      </c>
      <c r="Z3" s="16" t="s">
        <v>100</v>
      </c>
    </row>
    <row r="4" spans="1:26" ht="87" x14ac:dyDescent="0.35">
      <c r="A4" s="14" t="s">
        <v>55</v>
      </c>
      <c r="B4" s="14" t="s">
        <v>56</v>
      </c>
      <c r="C4" s="15">
        <v>45818.406944444447</v>
      </c>
      <c r="D4" s="14" t="s">
        <v>57</v>
      </c>
      <c r="E4" s="16" t="s">
        <v>58</v>
      </c>
      <c r="F4" s="14" t="s">
        <v>59</v>
      </c>
      <c r="G4" s="16" t="s">
        <v>60</v>
      </c>
      <c r="H4" s="14" t="s">
        <v>61</v>
      </c>
      <c r="I4" s="16" t="s">
        <v>62</v>
      </c>
      <c r="J4" s="16" t="s">
        <v>63</v>
      </c>
      <c r="K4" s="16" t="s">
        <v>64</v>
      </c>
      <c r="L4" s="14" t="s">
        <v>114</v>
      </c>
      <c r="M4" s="16" t="s">
        <v>115</v>
      </c>
      <c r="N4" s="14" t="s">
        <v>67</v>
      </c>
      <c r="O4" s="16" t="s">
        <v>116</v>
      </c>
      <c r="P4" s="16" t="s">
        <v>117</v>
      </c>
      <c r="Q4" s="16" t="s">
        <v>70</v>
      </c>
      <c r="R4" s="14" t="s">
        <v>71</v>
      </c>
      <c r="S4" s="14" t="s">
        <v>72</v>
      </c>
      <c r="T4" s="14" t="s">
        <v>73</v>
      </c>
      <c r="U4" s="14" t="s">
        <v>74</v>
      </c>
      <c r="V4" s="15">
        <v>40725</v>
      </c>
      <c r="W4" s="15"/>
      <c r="X4" s="16" t="s">
        <v>100</v>
      </c>
      <c r="Y4" s="14" t="s">
        <v>100</v>
      </c>
      <c r="Z4" s="16" t="s">
        <v>100</v>
      </c>
    </row>
    <row r="5" spans="1:26" ht="43.5" x14ac:dyDescent="0.35">
      <c r="A5" s="14" t="s">
        <v>55</v>
      </c>
      <c r="B5" s="14" t="s">
        <v>56</v>
      </c>
      <c r="C5" s="15">
        <v>45818.408333333333</v>
      </c>
      <c r="D5" s="14" t="s">
        <v>57</v>
      </c>
      <c r="E5" s="16" t="s">
        <v>58</v>
      </c>
      <c r="F5" s="14" t="s">
        <v>59</v>
      </c>
      <c r="G5" s="16" t="s">
        <v>60</v>
      </c>
      <c r="H5" s="14" t="s">
        <v>61</v>
      </c>
      <c r="I5" s="16" t="s">
        <v>62</v>
      </c>
      <c r="J5" s="16" t="s">
        <v>63</v>
      </c>
      <c r="K5" s="16" t="s">
        <v>64</v>
      </c>
      <c r="L5" s="14" t="s">
        <v>125</v>
      </c>
      <c r="M5" s="16" t="s">
        <v>126</v>
      </c>
      <c r="N5" s="14" t="s">
        <v>67</v>
      </c>
      <c r="O5" s="16" t="s">
        <v>127</v>
      </c>
      <c r="P5" s="16" t="s">
        <v>128</v>
      </c>
      <c r="Q5" s="16" t="s">
        <v>70</v>
      </c>
      <c r="R5" s="14" t="s">
        <v>71</v>
      </c>
      <c r="S5" s="14" t="s">
        <v>72</v>
      </c>
      <c r="T5" s="14" t="s">
        <v>73</v>
      </c>
      <c r="U5" s="14" t="s">
        <v>129</v>
      </c>
      <c r="V5" s="15">
        <v>40725</v>
      </c>
      <c r="W5" s="15"/>
      <c r="X5" s="16" t="s">
        <v>100</v>
      </c>
      <c r="Y5" s="14" t="s">
        <v>100</v>
      </c>
      <c r="Z5" s="16" t="s">
        <v>100</v>
      </c>
    </row>
    <row r="6" spans="1:26" ht="58" x14ac:dyDescent="0.35">
      <c r="A6" s="14" t="s">
        <v>55</v>
      </c>
      <c r="B6" s="14" t="s">
        <v>56</v>
      </c>
      <c r="C6" s="15">
        <v>45818.40902777778</v>
      </c>
      <c r="D6" s="14" t="s">
        <v>57</v>
      </c>
      <c r="E6" s="16" t="s">
        <v>58</v>
      </c>
      <c r="F6" s="14" t="s">
        <v>59</v>
      </c>
      <c r="G6" s="16" t="s">
        <v>60</v>
      </c>
      <c r="H6" s="14" t="s">
        <v>61</v>
      </c>
      <c r="I6" s="16" t="s">
        <v>62</v>
      </c>
      <c r="J6" s="16" t="s">
        <v>63</v>
      </c>
      <c r="K6" s="16" t="s">
        <v>64</v>
      </c>
      <c r="L6" s="14" t="s">
        <v>130</v>
      </c>
      <c r="M6" s="16" t="s">
        <v>131</v>
      </c>
      <c r="N6" s="14" t="s">
        <v>67</v>
      </c>
      <c r="O6" s="16" t="s">
        <v>132</v>
      </c>
      <c r="P6" s="16" t="s">
        <v>133</v>
      </c>
      <c r="Q6" s="16" t="s">
        <v>70</v>
      </c>
      <c r="R6" s="14" t="s">
        <v>71</v>
      </c>
      <c r="S6" s="14" t="s">
        <v>72</v>
      </c>
      <c r="T6" s="14" t="s">
        <v>73</v>
      </c>
      <c r="U6" s="14" t="s">
        <v>74</v>
      </c>
      <c r="V6" s="15">
        <v>40725</v>
      </c>
      <c r="W6" s="15"/>
      <c r="X6" s="16" t="s">
        <v>100</v>
      </c>
      <c r="Y6" s="14" t="s">
        <v>100</v>
      </c>
      <c r="Z6" s="16" t="s">
        <v>100</v>
      </c>
    </row>
    <row r="7" spans="1:26" ht="43.5" x14ac:dyDescent="0.35">
      <c r="A7" s="14" t="s">
        <v>55</v>
      </c>
      <c r="B7" s="14" t="s">
        <v>56</v>
      </c>
      <c r="C7" s="15">
        <v>45818.402083333334</v>
      </c>
      <c r="D7" s="14" t="s">
        <v>57</v>
      </c>
      <c r="E7" s="16" t="s">
        <v>58</v>
      </c>
      <c r="F7" s="14" t="s">
        <v>59</v>
      </c>
      <c r="G7" s="16" t="s">
        <v>60</v>
      </c>
      <c r="H7" s="14" t="s">
        <v>61</v>
      </c>
      <c r="I7" s="16" t="s">
        <v>62</v>
      </c>
      <c r="J7" s="16" t="s">
        <v>63</v>
      </c>
      <c r="K7" s="16" t="s">
        <v>64</v>
      </c>
      <c r="L7" s="14" t="s">
        <v>65</v>
      </c>
      <c r="M7" s="16" t="s">
        <v>66</v>
      </c>
      <c r="N7" s="14" t="s">
        <v>67</v>
      </c>
      <c r="O7" s="16" t="s">
        <v>68</v>
      </c>
      <c r="P7" s="16" t="s">
        <v>69</v>
      </c>
      <c r="Q7" s="16" t="s">
        <v>135</v>
      </c>
      <c r="R7" s="14" t="s">
        <v>136</v>
      </c>
      <c r="S7" s="14" t="s">
        <v>137</v>
      </c>
      <c r="T7" s="14" t="s">
        <v>73</v>
      </c>
      <c r="U7" s="14" t="s">
        <v>74</v>
      </c>
      <c r="V7" s="15">
        <v>40725</v>
      </c>
      <c r="W7" s="15"/>
      <c r="X7" s="16" t="s">
        <v>100</v>
      </c>
      <c r="Y7" s="14" t="s">
        <v>100</v>
      </c>
      <c r="Z7" s="16" t="s">
        <v>100</v>
      </c>
    </row>
    <row r="8" spans="1:26" ht="43.5" x14ac:dyDescent="0.35">
      <c r="A8" s="14" t="s">
        <v>55</v>
      </c>
      <c r="B8" s="14" t="s">
        <v>56</v>
      </c>
      <c r="C8" s="15">
        <v>45818.404166666667</v>
      </c>
      <c r="D8" s="14" t="s">
        <v>57</v>
      </c>
      <c r="E8" s="16" t="s">
        <v>58</v>
      </c>
      <c r="F8" s="14" t="s">
        <v>59</v>
      </c>
      <c r="G8" s="16" t="s">
        <v>60</v>
      </c>
      <c r="H8" s="14" t="s">
        <v>61</v>
      </c>
      <c r="I8" s="16" t="s">
        <v>62</v>
      </c>
      <c r="J8" s="16" t="s">
        <v>63</v>
      </c>
      <c r="K8" s="16" t="s">
        <v>64</v>
      </c>
      <c r="L8" s="14" t="s">
        <v>101</v>
      </c>
      <c r="M8" s="16" t="s">
        <v>102</v>
      </c>
      <c r="N8" s="14" t="s">
        <v>67</v>
      </c>
      <c r="O8" s="16" t="s">
        <v>103</v>
      </c>
      <c r="P8" s="16" t="s">
        <v>104</v>
      </c>
      <c r="Q8" s="16" t="s">
        <v>135</v>
      </c>
      <c r="R8" s="14" t="s">
        <v>136</v>
      </c>
      <c r="S8" s="14" t="s">
        <v>137</v>
      </c>
      <c r="T8" s="14" t="s">
        <v>73</v>
      </c>
      <c r="U8" s="14" t="s">
        <v>74</v>
      </c>
      <c r="V8" s="15">
        <v>40725</v>
      </c>
      <c r="W8" s="15"/>
      <c r="X8" s="16" t="s">
        <v>100</v>
      </c>
      <c r="Y8" s="14" t="s">
        <v>100</v>
      </c>
      <c r="Z8" s="16" t="s">
        <v>100</v>
      </c>
    </row>
    <row r="9" spans="1:26" ht="87" x14ac:dyDescent="0.35">
      <c r="A9" s="14" t="s">
        <v>55</v>
      </c>
      <c r="B9" s="14" t="s">
        <v>56</v>
      </c>
      <c r="C9" s="15">
        <v>45818.407638888886</v>
      </c>
      <c r="D9" s="14" t="s">
        <v>57</v>
      </c>
      <c r="E9" s="16" t="s">
        <v>58</v>
      </c>
      <c r="F9" s="14" t="s">
        <v>59</v>
      </c>
      <c r="G9" s="16" t="s">
        <v>60</v>
      </c>
      <c r="H9" s="14" t="s">
        <v>61</v>
      </c>
      <c r="I9" s="16" t="s">
        <v>62</v>
      </c>
      <c r="J9" s="16" t="s">
        <v>63</v>
      </c>
      <c r="K9" s="16" t="s">
        <v>64</v>
      </c>
      <c r="L9" s="14" t="s">
        <v>114</v>
      </c>
      <c r="M9" s="16" t="s">
        <v>115</v>
      </c>
      <c r="N9" s="14" t="s">
        <v>67</v>
      </c>
      <c r="O9" s="16" t="s">
        <v>116</v>
      </c>
      <c r="P9" s="16" t="s">
        <v>117</v>
      </c>
      <c r="Q9" s="16" t="s">
        <v>135</v>
      </c>
      <c r="R9" s="14" t="s">
        <v>136</v>
      </c>
      <c r="S9" s="14" t="s">
        <v>137</v>
      </c>
      <c r="T9" s="14" t="s">
        <v>73</v>
      </c>
      <c r="U9" s="14" t="s">
        <v>74</v>
      </c>
      <c r="V9" s="15">
        <v>40725</v>
      </c>
      <c r="W9" s="15"/>
      <c r="X9" s="16" t="s">
        <v>100</v>
      </c>
      <c r="Y9" s="14" t="s">
        <v>100</v>
      </c>
      <c r="Z9" s="16" t="s">
        <v>100</v>
      </c>
    </row>
    <row r="10" spans="1:26" ht="43.5" x14ac:dyDescent="0.35">
      <c r="A10" s="14" t="s">
        <v>55</v>
      </c>
      <c r="B10" s="14" t="s">
        <v>56</v>
      </c>
      <c r="C10" s="15">
        <v>45818.408333333333</v>
      </c>
      <c r="D10" s="14" t="s">
        <v>57</v>
      </c>
      <c r="E10" s="16" t="s">
        <v>58</v>
      </c>
      <c r="F10" s="14" t="s">
        <v>59</v>
      </c>
      <c r="G10" s="16" t="s">
        <v>60</v>
      </c>
      <c r="H10" s="14" t="s">
        <v>61</v>
      </c>
      <c r="I10" s="16" t="s">
        <v>62</v>
      </c>
      <c r="J10" s="16" t="s">
        <v>63</v>
      </c>
      <c r="K10" s="16" t="s">
        <v>64</v>
      </c>
      <c r="L10" s="14" t="s">
        <v>125</v>
      </c>
      <c r="M10" s="16" t="s">
        <v>126</v>
      </c>
      <c r="N10" s="14" t="s">
        <v>67</v>
      </c>
      <c r="O10" s="16" t="s">
        <v>127</v>
      </c>
      <c r="P10" s="16" t="s">
        <v>128</v>
      </c>
      <c r="Q10" s="16" t="s">
        <v>135</v>
      </c>
      <c r="R10" s="14" t="s">
        <v>136</v>
      </c>
      <c r="S10" s="14" t="s">
        <v>137</v>
      </c>
      <c r="T10" s="14" t="s">
        <v>73</v>
      </c>
      <c r="U10" s="14" t="s">
        <v>129</v>
      </c>
      <c r="V10" s="15">
        <v>40725</v>
      </c>
      <c r="W10" s="15"/>
      <c r="X10" s="16" t="s">
        <v>100</v>
      </c>
      <c r="Y10" s="14" t="s">
        <v>100</v>
      </c>
      <c r="Z10" s="16" t="s">
        <v>100</v>
      </c>
    </row>
    <row r="11" spans="1:26" ht="58" x14ac:dyDescent="0.35">
      <c r="A11" s="14" t="s">
        <v>55</v>
      </c>
      <c r="B11" s="14" t="s">
        <v>56</v>
      </c>
      <c r="C11" s="15">
        <v>45818.409722222219</v>
      </c>
      <c r="D11" s="14" t="s">
        <v>57</v>
      </c>
      <c r="E11" s="16" t="s">
        <v>58</v>
      </c>
      <c r="F11" s="14" t="s">
        <v>59</v>
      </c>
      <c r="G11" s="16" t="s">
        <v>60</v>
      </c>
      <c r="H11" s="14" t="s">
        <v>61</v>
      </c>
      <c r="I11" s="16" t="s">
        <v>62</v>
      </c>
      <c r="J11" s="16" t="s">
        <v>63</v>
      </c>
      <c r="K11" s="16" t="s">
        <v>64</v>
      </c>
      <c r="L11" s="14" t="s">
        <v>130</v>
      </c>
      <c r="M11" s="16" t="s">
        <v>131</v>
      </c>
      <c r="N11" s="14" t="s">
        <v>67</v>
      </c>
      <c r="O11" s="16" t="s">
        <v>132</v>
      </c>
      <c r="P11" s="16" t="s">
        <v>133</v>
      </c>
      <c r="Q11" s="16" t="s">
        <v>135</v>
      </c>
      <c r="R11" s="14" t="s">
        <v>136</v>
      </c>
      <c r="S11" s="14" t="s">
        <v>137</v>
      </c>
      <c r="T11" s="14" t="s">
        <v>73</v>
      </c>
      <c r="U11" s="14" t="s">
        <v>74</v>
      </c>
      <c r="V11" s="15">
        <v>40725</v>
      </c>
      <c r="W11" s="15"/>
      <c r="X11" s="16" t="s">
        <v>100</v>
      </c>
      <c r="Y11" s="14" t="s">
        <v>100</v>
      </c>
      <c r="Z11" s="16" t="s">
        <v>100</v>
      </c>
    </row>
    <row r="12" spans="1:26" ht="43.5" x14ac:dyDescent="0.35">
      <c r="A12" s="14" t="s">
        <v>55</v>
      </c>
      <c r="B12" s="14" t="s">
        <v>56</v>
      </c>
      <c r="C12" s="15">
        <v>45818.402777777781</v>
      </c>
      <c r="D12" s="14" t="s">
        <v>57</v>
      </c>
      <c r="E12" s="16" t="s">
        <v>58</v>
      </c>
      <c r="F12" s="14" t="s">
        <v>59</v>
      </c>
      <c r="G12" s="16" t="s">
        <v>60</v>
      </c>
      <c r="H12" s="14" t="s">
        <v>61</v>
      </c>
      <c r="I12" s="16" t="s">
        <v>62</v>
      </c>
      <c r="J12" s="16" t="s">
        <v>63</v>
      </c>
      <c r="K12" s="16" t="s">
        <v>64</v>
      </c>
      <c r="L12" s="14" t="s">
        <v>65</v>
      </c>
      <c r="M12" s="16" t="s">
        <v>66</v>
      </c>
      <c r="N12" s="14" t="s">
        <v>67</v>
      </c>
      <c r="O12" s="16" t="s">
        <v>68</v>
      </c>
      <c r="P12" s="16" t="s">
        <v>69</v>
      </c>
      <c r="Q12" s="16" t="s">
        <v>138</v>
      </c>
      <c r="R12" s="14" t="s">
        <v>139</v>
      </c>
      <c r="S12" s="14" t="s">
        <v>140</v>
      </c>
      <c r="T12" s="14" t="s">
        <v>73</v>
      </c>
      <c r="U12" s="14" t="s">
        <v>74</v>
      </c>
      <c r="V12" s="15">
        <v>40725</v>
      </c>
      <c r="W12" s="15"/>
      <c r="X12" s="16" t="s">
        <v>100</v>
      </c>
      <c r="Y12" s="14" t="s">
        <v>100</v>
      </c>
      <c r="Z12" s="16" t="s">
        <v>100</v>
      </c>
    </row>
    <row r="13" spans="1:26" ht="43.5" x14ac:dyDescent="0.35">
      <c r="A13" s="14" t="s">
        <v>55</v>
      </c>
      <c r="B13" s="14" t="s">
        <v>56</v>
      </c>
      <c r="C13" s="15">
        <v>45818.404166666667</v>
      </c>
      <c r="D13" s="14" t="s">
        <v>57</v>
      </c>
      <c r="E13" s="16" t="s">
        <v>58</v>
      </c>
      <c r="F13" s="14" t="s">
        <v>59</v>
      </c>
      <c r="G13" s="16" t="s">
        <v>60</v>
      </c>
      <c r="H13" s="14" t="s">
        <v>61</v>
      </c>
      <c r="I13" s="16" t="s">
        <v>62</v>
      </c>
      <c r="J13" s="16" t="s">
        <v>63</v>
      </c>
      <c r="K13" s="16" t="s">
        <v>64</v>
      </c>
      <c r="L13" s="14" t="s">
        <v>101</v>
      </c>
      <c r="M13" s="16" t="s">
        <v>102</v>
      </c>
      <c r="N13" s="14" t="s">
        <v>67</v>
      </c>
      <c r="O13" s="16" t="s">
        <v>103</v>
      </c>
      <c r="P13" s="16" t="s">
        <v>104</v>
      </c>
      <c r="Q13" s="16" t="s">
        <v>138</v>
      </c>
      <c r="R13" s="14" t="s">
        <v>139</v>
      </c>
      <c r="S13" s="14" t="s">
        <v>140</v>
      </c>
      <c r="T13" s="14" t="s">
        <v>73</v>
      </c>
      <c r="U13" s="14" t="s">
        <v>74</v>
      </c>
      <c r="V13" s="15">
        <v>40725</v>
      </c>
      <c r="W13" s="15"/>
      <c r="X13" s="16" t="s">
        <v>100</v>
      </c>
      <c r="Y13" s="14" t="s">
        <v>100</v>
      </c>
      <c r="Z13" s="16" t="s">
        <v>100</v>
      </c>
    </row>
    <row r="14" spans="1:26" ht="87" x14ac:dyDescent="0.35">
      <c r="A14" s="14" t="s">
        <v>55</v>
      </c>
      <c r="B14" s="14" t="s">
        <v>56</v>
      </c>
      <c r="C14" s="15">
        <v>45818.406944444447</v>
      </c>
      <c r="D14" s="14" t="s">
        <v>57</v>
      </c>
      <c r="E14" s="16" t="s">
        <v>58</v>
      </c>
      <c r="F14" s="14" t="s">
        <v>59</v>
      </c>
      <c r="G14" s="16" t="s">
        <v>60</v>
      </c>
      <c r="H14" s="14" t="s">
        <v>61</v>
      </c>
      <c r="I14" s="16" t="s">
        <v>62</v>
      </c>
      <c r="J14" s="16" t="s">
        <v>63</v>
      </c>
      <c r="K14" s="16" t="s">
        <v>64</v>
      </c>
      <c r="L14" s="14" t="s">
        <v>114</v>
      </c>
      <c r="M14" s="16" t="s">
        <v>115</v>
      </c>
      <c r="N14" s="14" t="s">
        <v>67</v>
      </c>
      <c r="O14" s="16" t="s">
        <v>116</v>
      </c>
      <c r="P14" s="16" t="s">
        <v>117</v>
      </c>
      <c r="Q14" s="16" t="s">
        <v>138</v>
      </c>
      <c r="R14" s="14" t="s">
        <v>139</v>
      </c>
      <c r="S14" s="14" t="s">
        <v>140</v>
      </c>
      <c r="T14" s="14" t="s">
        <v>73</v>
      </c>
      <c r="U14" s="14" t="s">
        <v>74</v>
      </c>
      <c r="V14" s="15">
        <v>40725</v>
      </c>
      <c r="W14" s="15"/>
      <c r="X14" s="16" t="s">
        <v>100</v>
      </c>
      <c r="Y14" s="14" t="s">
        <v>100</v>
      </c>
      <c r="Z14" s="16" t="s">
        <v>100</v>
      </c>
    </row>
    <row r="15" spans="1:26" ht="43.5" x14ac:dyDescent="0.35">
      <c r="A15" s="14" t="s">
        <v>55</v>
      </c>
      <c r="B15" s="14" t="s">
        <v>56</v>
      </c>
      <c r="C15" s="15">
        <v>45818.408333333333</v>
      </c>
      <c r="D15" s="14" t="s">
        <v>57</v>
      </c>
      <c r="E15" s="16" t="s">
        <v>58</v>
      </c>
      <c r="F15" s="14" t="s">
        <v>59</v>
      </c>
      <c r="G15" s="16" t="s">
        <v>60</v>
      </c>
      <c r="H15" s="14" t="s">
        <v>61</v>
      </c>
      <c r="I15" s="16" t="s">
        <v>62</v>
      </c>
      <c r="J15" s="16" t="s">
        <v>63</v>
      </c>
      <c r="K15" s="16" t="s">
        <v>64</v>
      </c>
      <c r="L15" s="14" t="s">
        <v>125</v>
      </c>
      <c r="M15" s="16" t="s">
        <v>126</v>
      </c>
      <c r="N15" s="14" t="s">
        <v>67</v>
      </c>
      <c r="O15" s="16" t="s">
        <v>127</v>
      </c>
      <c r="P15" s="16" t="s">
        <v>128</v>
      </c>
      <c r="Q15" s="16" t="s">
        <v>138</v>
      </c>
      <c r="R15" s="14" t="s">
        <v>139</v>
      </c>
      <c r="S15" s="14" t="s">
        <v>140</v>
      </c>
      <c r="T15" s="14" t="s">
        <v>73</v>
      </c>
      <c r="U15" s="14" t="s">
        <v>129</v>
      </c>
      <c r="V15" s="15">
        <v>40725</v>
      </c>
      <c r="W15" s="15"/>
      <c r="X15" s="16" t="s">
        <v>100</v>
      </c>
      <c r="Y15" s="14" t="s">
        <v>100</v>
      </c>
      <c r="Z15" s="16" t="s">
        <v>100</v>
      </c>
    </row>
    <row r="16" spans="1:26" ht="58" x14ac:dyDescent="0.35">
      <c r="A16" s="14" t="s">
        <v>55</v>
      </c>
      <c r="B16" s="14" t="s">
        <v>56</v>
      </c>
      <c r="C16" s="15">
        <v>45818.409722222219</v>
      </c>
      <c r="D16" s="14" t="s">
        <v>57</v>
      </c>
      <c r="E16" s="16" t="s">
        <v>58</v>
      </c>
      <c r="F16" s="14" t="s">
        <v>59</v>
      </c>
      <c r="G16" s="16" t="s">
        <v>60</v>
      </c>
      <c r="H16" s="14" t="s">
        <v>61</v>
      </c>
      <c r="I16" s="16" t="s">
        <v>62</v>
      </c>
      <c r="J16" s="16" t="s">
        <v>63</v>
      </c>
      <c r="K16" s="16" t="s">
        <v>64</v>
      </c>
      <c r="L16" s="14" t="s">
        <v>130</v>
      </c>
      <c r="M16" s="16" t="s">
        <v>131</v>
      </c>
      <c r="N16" s="14" t="s">
        <v>67</v>
      </c>
      <c r="O16" s="16" t="s">
        <v>132</v>
      </c>
      <c r="P16" s="16" t="s">
        <v>133</v>
      </c>
      <c r="Q16" s="16" t="s">
        <v>138</v>
      </c>
      <c r="R16" s="14" t="s">
        <v>139</v>
      </c>
      <c r="S16" s="14" t="s">
        <v>140</v>
      </c>
      <c r="T16" s="14" t="s">
        <v>73</v>
      </c>
      <c r="U16" s="14" t="s">
        <v>74</v>
      </c>
      <c r="V16" s="15">
        <v>40725</v>
      </c>
      <c r="W16" s="15"/>
      <c r="X16" s="16" t="s">
        <v>100</v>
      </c>
      <c r="Y16" s="14" t="s">
        <v>100</v>
      </c>
      <c r="Z16" s="16" t="s">
        <v>100</v>
      </c>
    </row>
    <row r="17" spans="1:26" ht="43.5" x14ac:dyDescent="0.35">
      <c r="A17" s="14" t="s">
        <v>55</v>
      </c>
      <c r="B17" s="14" t="s">
        <v>56</v>
      </c>
      <c r="C17" s="15">
        <v>45818.402083333334</v>
      </c>
      <c r="D17" s="14" t="s">
        <v>57</v>
      </c>
      <c r="E17" s="16" t="s">
        <v>58</v>
      </c>
      <c r="F17" s="14" t="s">
        <v>59</v>
      </c>
      <c r="G17" s="16" t="s">
        <v>60</v>
      </c>
      <c r="H17" s="14" t="s">
        <v>61</v>
      </c>
      <c r="I17" s="16" t="s">
        <v>62</v>
      </c>
      <c r="J17" s="16" t="s">
        <v>63</v>
      </c>
      <c r="K17" s="16" t="s">
        <v>64</v>
      </c>
      <c r="L17" s="14" t="s">
        <v>65</v>
      </c>
      <c r="M17" s="16" t="s">
        <v>66</v>
      </c>
      <c r="N17" s="14" t="s">
        <v>67</v>
      </c>
      <c r="O17" s="16" t="s">
        <v>68</v>
      </c>
      <c r="P17" s="16" t="s">
        <v>69</v>
      </c>
      <c r="Q17" s="16" t="s">
        <v>144</v>
      </c>
      <c r="R17" s="14" t="s">
        <v>145</v>
      </c>
      <c r="S17" s="14" t="s">
        <v>146</v>
      </c>
      <c r="T17" s="14" t="s">
        <v>73</v>
      </c>
      <c r="U17" s="14" t="s">
        <v>74</v>
      </c>
      <c r="V17" s="15">
        <v>40725</v>
      </c>
      <c r="W17" s="15"/>
      <c r="X17" s="16" t="s">
        <v>100</v>
      </c>
      <c r="Y17" s="14" t="s">
        <v>100</v>
      </c>
      <c r="Z17" s="16" t="s">
        <v>100</v>
      </c>
    </row>
    <row r="18" spans="1:26" ht="43.5" x14ac:dyDescent="0.35">
      <c r="A18" s="14" t="s">
        <v>55</v>
      </c>
      <c r="B18" s="14" t="s">
        <v>56</v>
      </c>
      <c r="C18" s="15">
        <v>45818.40347222222</v>
      </c>
      <c r="D18" s="14" t="s">
        <v>57</v>
      </c>
      <c r="E18" s="16" t="s">
        <v>58</v>
      </c>
      <c r="F18" s="14" t="s">
        <v>59</v>
      </c>
      <c r="G18" s="16" t="s">
        <v>60</v>
      </c>
      <c r="H18" s="14" t="s">
        <v>61</v>
      </c>
      <c r="I18" s="16" t="s">
        <v>62</v>
      </c>
      <c r="J18" s="16" t="s">
        <v>63</v>
      </c>
      <c r="K18" s="16" t="s">
        <v>64</v>
      </c>
      <c r="L18" s="14" t="s">
        <v>101</v>
      </c>
      <c r="M18" s="16" t="s">
        <v>102</v>
      </c>
      <c r="N18" s="14" t="s">
        <v>67</v>
      </c>
      <c r="O18" s="16" t="s">
        <v>103</v>
      </c>
      <c r="P18" s="16" t="s">
        <v>104</v>
      </c>
      <c r="Q18" s="16" t="s">
        <v>144</v>
      </c>
      <c r="R18" s="14" t="s">
        <v>145</v>
      </c>
      <c r="S18" s="14" t="s">
        <v>146</v>
      </c>
      <c r="T18" s="14" t="s">
        <v>73</v>
      </c>
      <c r="U18" s="14" t="s">
        <v>74</v>
      </c>
      <c r="V18" s="15">
        <v>40725</v>
      </c>
      <c r="W18" s="15"/>
      <c r="X18" s="16" t="s">
        <v>100</v>
      </c>
      <c r="Y18" s="14" t="s">
        <v>100</v>
      </c>
      <c r="Z18" s="16" t="s">
        <v>100</v>
      </c>
    </row>
    <row r="19" spans="1:26" ht="87" x14ac:dyDescent="0.35">
      <c r="A19" s="14" t="s">
        <v>55</v>
      </c>
      <c r="B19" s="14" t="s">
        <v>56</v>
      </c>
      <c r="C19" s="15">
        <v>45818.406944444447</v>
      </c>
      <c r="D19" s="14" t="s">
        <v>57</v>
      </c>
      <c r="E19" s="16" t="s">
        <v>58</v>
      </c>
      <c r="F19" s="14" t="s">
        <v>59</v>
      </c>
      <c r="G19" s="16" t="s">
        <v>60</v>
      </c>
      <c r="H19" s="14" t="s">
        <v>61</v>
      </c>
      <c r="I19" s="16" t="s">
        <v>62</v>
      </c>
      <c r="J19" s="16" t="s">
        <v>63</v>
      </c>
      <c r="K19" s="16" t="s">
        <v>64</v>
      </c>
      <c r="L19" s="14" t="s">
        <v>114</v>
      </c>
      <c r="M19" s="16" t="s">
        <v>115</v>
      </c>
      <c r="N19" s="14" t="s">
        <v>67</v>
      </c>
      <c r="O19" s="16" t="s">
        <v>116</v>
      </c>
      <c r="P19" s="16" t="s">
        <v>117</v>
      </c>
      <c r="Q19" s="16" t="s">
        <v>144</v>
      </c>
      <c r="R19" s="14" t="s">
        <v>145</v>
      </c>
      <c r="S19" s="14" t="s">
        <v>146</v>
      </c>
      <c r="T19" s="14" t="s">
        <v>73</v>
      </c>
      <c r="U19" s="14" t="s">
        <v>74</v>
      </c>
      <c r="V19" s="15">
        <v>40725</v>
      </c>
      <c r="W19" s="15"/>
      <c r="X19" s="16" t="s">
        <v>100</v>
      </c>
      <c r="Y19" s="14" t="s">
        <v>100</v>
      </c>
      <c r="Z19" s="16" t="s">
        <v>100</v>
      </c>
    </row>
    <row r="20" spans="1:26" ht="43.5" x14ac:dyDescent="0.35">
      <c r="A20" s="14" t="s">
        <v>55</v>
      </c>
      <c r="B20" s="14" t="s">
        <v>56</v>
      </c>
      <c r="C20" s="15">
        <v>45818.408333333333</v>
      </c>
      <c r="D20" s="14" t="s">
        <v>57</v>
      </c>
      <c r="E20" s="16" t="s">
        <v>58</v>
      </c>
      <c r="F20" s="14" t="s">
        <v>59</v>
      </c>
      <c r="G20" s="16" t="s">
        <v>60</v>
      </c>
      <c r="H20" s="14" t="s">
        <v>61</v>
      </c>
      <c r="I20" s="16" t="s">
        <v>62</v>
      </c>
      <c r="J20" s="16" t="s">
        <v>63</v>
      </c>
      <c r="K20" s="16" t="s">
        <v>64</v>
      </c>
      <c r="L20" s="14" t="s">
        <v>125</v>
      </c>
      <c r="M20" s="16" t="s">
        <v>126</v>
      </c>
      <c r="N20" s="14" t="s">
        <v>67</v>
      </c>
      <c r="O20" s="16" t="s">
        <v>127</v>
      </c>
      <c r="P20" s="16" t="s">
        <v>128</v>
      </c>
      <c r="Q20" s="16" t="s">
        <v>144</v>
      </c>
      <c r="R20" s="14" t="s">
        <v>145</v>
      </c>
      <c r="S20" s="14" t="s">
        <v>146</v>
      </c>
      <c r="T20" s="14" t="s">
        <v>73</v>
      </c>
      <c r="U20" s="14" t="s">
        <v>129</v>
      </c>
      <c r="V20" s="15">
        <v>40725</v>
      </c>
      <c r="W20" s="15"/>
      <c r="X20" s="16" t="s">
        <v>100</v>
      </c>
      <c r="Y20" s="14" t="s">
        <v>100</v>
      </c>
      <c r="Z20" s="16" t="s">
        <v>100</v>
      </c>
    </row>
    <row r="21" spans="1:26" ht="58" x14ac:dyDescent="0.35">
      <c r="A21" s="14" t="s">
        <v>55</v>
      </c>
      <c r="B21" s="14" t="s">
        <v>56</v>
      </c>
      <c r="C21" s="15">
        <v>45818.40902777778</v>
      </c>
      <c r="D21" s="14" t="s">
        <v>57</v>
      </c>
      <c r="E21" s="16" t="s">
        <v>58</v>
      </c>
      <c r="F21" s="14" t="s">
        <v>59</v>
      </c>
      <c r="G21" s="16" t="s">
        <v>60</v>
      </c>
      <c r="H21" s="14" t="s">
        <v>61</v>
      </c>
      <c r="I21" s="16" t="s">
        <v>62</v>
      </c>
      <c r="J21" s="16" t="s">
        <v>63</v>
      </c>
      <c r="K21" s="16" t="s">
        <v>64</v>
      </c>
      <c r="L21" s="14" t="s">
        <v>130</v>
      </c>
      <c r="M21" s="16" t="s">
        <v>131</v>
      </c>
      <c r="N21" s="14" t="s">
        <v>67</v>
      </c>
      <c r="O21" s="16" t="s">
        <v>132</v>
      </c>
      <c r="P21" s="16" t="s">
        <v>133</v>
      </c>
      <c r="Q21" s="16" t="s">
        <v>144</v>
      </c>
      <c r="R21" s="14" t="s">
        <v>145</v>
      </c>
      <c r="S21" s="14" t="s">
        <v>146</v>
      </c>
      <c r="T21" s="14" t="s">
        <v>73</v>
      </c>
      <c r="U21" s="14" t="s">
        <v>74</v>
      </c>
      <c r="V21" s="15">
        <v>40725</v>
      </c>
      <c r="W21" s="15"/>
      <c r="X21" s="16" t="s">
        <v>100</v>
      </c>
      <c r="Y21" s="14" t="s">
        <v>100</v>
      </c>
      <c r="Z21" s="16" t="s">
        <v>100</v>
      </c>
    </row>
    <row r="22" spans="1:26" ht="43.5" x14ac:dyDescent="0.35">
      <c r="A22" s="14" t="s">
        <v>55</v>
      </c>
      <c r="B22" s="14" t="s">
        <v>56</v>
      </c>
      <c r="C22" s="15">
        <v>45818.402777777781</v>
      </c>
      <c r="D22" s="14" t="s">
        <v>57</v>
      </c>
      <c r="E22" s="16" t="s">
        <v>58</v>
      </c>
      <c r="F22" s="14" t="s">
        <v>59</v>
      </c>
      <c r="G22" s="16" t="s">
        <v>60</v>
      </c>
      <c r="H22" s="14" t="s">
        <v>61</v>
      </c>
      <c r="I22" s="16" t="s">
        <v>62</v>
      </c>
      <c r="J22" s="16" t="s">
        <v>63</v>
      </c>
      <c r="K22" s="16" t="s">
        <v>64</v>
      </c>
      <c r="L22" s="14" t="s">
        <v>65</v>
      </c>
      <c r="M22" s="16" t="s">
        <v>66</v>
      </c>
      <c r="N22" s="14" t="s">
        <v>67</v>
      </c>
      <c r="O22" s="16" t="s">
        <v>68</v>
      </c>
      <c r="P22" s="16" t="s">
        <v>69</v>
      </c>
      <c r="Q22" s="16" t="s">
        <v>147</v>
      </c>
      <c r="R22" s="14" t="s">
        <v>148</v>
      </c>
      <c r="S22" s="14" t="s">
        <v>149</v>
      </c>
      <c r="T22" s="14" t="s">
        <v>73</v>
      </c>
      <c r="U22" s="14" t="s">
        <v>129</v>
      </c>
      <c r="V22" s="15">
        <v>40725</v>
      </c>
      <c r="W22" s="15"/>
      <c r="X22" s="16" t="s">
        <v>100</v>
      </c>
      <c r="Y22" s="14" t="s">
        <v>100</v>
      </c>
      <c r="Z22" s="16" t="s">
        <v>100</v>
      </c>
    </row>
    <row r="23" spans="1:26" ht="43.5" x14ac:dyDescent="0.35">
      <c r="A23" s="14" t="s">
        <v>55</v>
      </c>
      <c r="B23" s="14" t="s">
        <v>56</v>
      </c>
      <c r="C23" s="15">
        <v>45818.404166666667</v>
      </c>
      <c r="D23" s="14" t="s">
        <v>57</v>
      </c>
      <c r="E23" s="16" t="s">
        <v>58</v>
      </c>
      <c r="F23" s="14" t="s">
        <v>59</v>
      </c>
      <c r="G23" s="16" t="s">
        <v>60</v>
      </c>
      <c r="H23" s="14" t="s">
        <v>61</v>
      </c>
      <c r="I23" s="16" t="s">
        <v>62</v>
      </c>
      <c r="J23" s="16" t="s">
        <v>63</v>
      </c>
      <c r="K23" s="16" t="s">
        <v>64</v>
      </c>
      <c r="L23" s="14" t="s">
        <v>101</v>
      </c>
      <c r="M23" s="16" t="s">
        <v>102</v>
      </c>
      <c r="N23" s="14" t="s">
        <v>67</v>
      </c>
      <c r="O23" s="16" t="s">
        <v>103</v>
      </c>
      <c r="P23" s="16" t="s">
        <v>104</v>
      </c>
      <c r="Q23" s="16" t="s">
        <v>147</v>
      </c>
      <c r="R23" s="14" t="s">
        <v>148</v>
      </c>
      <c r="S23" s="14" t="s">
        <v>149</v>
      </c>
      <c r="T23" s="14" t="s">
        <v>73</v>
      </c>
      <c r="U23" s="14" t="s">
        <v>74</v>
      </c>
      <c r="V23" s="15">
        <v>40725</v>
      </c>
      <c r="W23" s="15"/>
      <c r="X23" s="16" t="s">
        <v>100</v>
      </c>
      <c r="Y23" s="14" t="s">
        <v>100</v>
      </c>
      <c r="Z23" s="16" t="s">
        <v>100</v>
      </c>
    </row>
    <row r="24" spans="1:26" ht="87" x14ac:dyDescent="0.35">
      <c r="A24" s="14" t="s">
        <v>55</v>
      </c>
      <c r="B24" s="14" t="s">
        <v>56</v>
      </c>
      <c r="C24" s="15">
        <v>45818.406944444447</v>
      </c>
      <c r="D24" s="14" t="s">
        <v>57</v>
      </c>
      <c r="E24" s="16" t="s">
        <v>58</v>
      </c>
      <c r="F24" s="14" t="s">
        <v>59</v>
      </c>
      <c r="G24" s="16" t="s">
        <v>60</v>
      </c>
      <c r="H24" s="14" t="s">
        <v>61</v>
      </c>
      <c r="I24" s="16" t="s">
        <v>62</v>
      </c>
      <c r="J24" s="16" t="s">
        <v>63</v>
      </c>
      <c r="K24" s="16" t="s">
        <v>64</v>
      </c>
      <c r="L24" s="14" t="s">
        <v>114</v>
      </c>
      <c r="M24" s="16" t="s">
        <v>115</v>
      </c>
      <c r="N24" s="14" t="s">
        <v>67</v>
      </c>
      <c r="O24" s="16" t="s">
        <v>116</v>
      </c>
      <c r="P24" s="16" t="s">
        <v>117</v>
      </c>
      <c r="Q24" s="16" t="s">
        <v>147</v>
      </c>
      <c r="R24" s="14" t="s">
        <v>148</v>
      </c>
      <c r="S24" s="14" t="s">
        <v>149</v>
      </c>
      <c r="T24" s="14" t="s">
        <v>73</v>
      </c>
      <c r="U24" s="14" t="s">
        <v>74</v>
      </c>
      <c r="V24" s="15">
        <v>40725</v>
      </c>
      <c r="W24" s="15"/>
      <c r="X24" s="16" t="s">
        <v>100</v>
      </c>
      <c r="Y24" s="14" t="s">
        <v>100</v>
      </c>
      <c r="Z24" s="16" t="s">
        <v>100</v>
      </c>
    </row>
    <row r="25" spans="1:26" ht="43.5" x14ac:dyDescent="0.35">
      <c r="A25" s="14" t="s">
        <v>55</v>
      </c>
      <c r="B25" s="14" t="s">
        <v>56</v>
      </c>
      <c r="C25" s="15">
        <v>45818.40902777778</v>
      </c>
      <c r="D25" s="14" t="s">
        <v>57</v>
      </c>
      <c r="E25" s="16" t="s">
        <v>58</v>
      </c>
      <c r="F25" s="14" t="s">
        <v>59</v>
      </c>
      <c r="G25" s="16" t="s">
        <v>60</v>
      </c>
      <c r="H25" s="14" t="s">
        <v>61</v>
      </c>
      <c r="I25" s="16" t="s">
        <v>62</v>
      </c>
      <c r="J25" s="16" t="s">
        <v>63</v>
      </c>
      <c r="K25" s="16" t="s">
        <v>64</v>
      </c>
      <c r="L25" s="14" t="s">
        <v>125</v>
      </c>
      <c r="M25" s="16" t="s">
        <v>126</v>
      </c>
      <c r="N25" s="14" t="s">
        <v>67</v>
      </c>
      <c r="O25" s="16" t="s">
        <v>127</v>
      </c>
      <c r="P25" s="16" t="s">
        <v>128</v>
      </c>
      <c r="Q25" s="16" t="s">
        <v>147</v>
      </c>
      <c r="R25" s="14" t="s">
        <v>148</v>
      </c>
      <c r="S25" s="14" t="s">
        <v>149</v>
      </c>
      <c r="T25" s="14" t="s">
        <v>73</v>
      </c>
      <c r="U25" s="14" t="s">
        <v>129</v>
      </c>
      <c r="V25" s="15">
        <v>40725</v>
      </c>
      <c r="W25" s="15"/>
      <c r="X25" s="16" t="s">
        <v>100</v>
      </c>
      <c r="Y25" s="14" t="s">
        <v>100</v>
      </c>
      <c r="Z25" s="16" t="s">
        <v>100</v>
      </c>
    </row>
    <row r="26" spans="1:26" ht="58" x14ac:dyDescent="0.35">
      <c r="A26" s="14" t="s">
        <v>55</v>
      </c>
      <c r="B26" s="14" t="s">
        <v>56</v>
      </c>
      <c r="C26" s="15">
        <v>45818.409722222219</v>
      </c>
      <c r="D26" s="14" t="s">
        <v>57</v>
      </c>
      <c r="E26" s="16" t="s">
        <v>58</v>
      </c>
      <c r="F26" s="14" t="s">
        <v>59</v>
      </c>
      <c r="G26" s="16" t="s">
        <v>60</v>
      </c>
      <c r="H26" s="14" t="s">
        <v>61</v>
      </c>
      <c r="I26" s="16" t="s">
        <v>62</v>
      </c>
      <c r="J26" s="16" t="s">
        <v>63</v>
      </c>
      <c r="K26" s="16" t="s">
        <v>64</v>
      </c>
      <c r="L26" s="14" t="s">
        <v>130</v>
      </c>
      <c r="M26" s="16" t="s">
        <v>131</v>
      </c>
      <c r="N26" s="14" t="s">
        <v>67</v>
      </c>
      <c r="O26" s="16" t="s">
        <v>132</v>
      </c>
      <c r="P26" s="16" t="s">
        <v>133</v>
      </c>
      <c r="Q26" s="16" t="s">
        <v>147</v>
      </c>
      <c r="R26" s="14" t="s">
        <v>148</v>
      </c>
      <c r="S26" s="14" t="s">
        <v>149</v>
      </c>
      <c r="T26" s="14" t="s">
        <v>73</v>
      </c>
      <c r="U26" s="14" t="s">
        <v>74</v>
      </c>
      <c r="V26" s="15">
        <v>40725</v>
      </c>
      <c r="W26" s="15"/>
      <c r="X26" s="16" t="s">
        <v>100</v>
      </c>
      <c r="Y26" s="14" t="s">
        <v>100</v>
      </c>
      <c r="Z26" s="16" t="s">
        <v>100</v>
      </c>
    </row>
    <row r="27" spans="1:26" ht="43.5" x14ac:dyDescent="0.35">
      <c r="A27" s="14" t="s">
        <v>55</v>
      </c>
      <c r="B27" s="14" t="s">
        <v>56</v>
      </c>
      <c r="C27" s="15">
        <v>45818.400694444441</v>
      </c>
      <c r="D27" s="14" t="s">
        <v>57</v>
      </c>
      <c r="E27" s="16" t="s">
        <v>58</v>
      </c>
      <c r="F27" s="14" t="s">
        <v>59</v>
      </c>
      <c r="G27" s="16" t="s">
        <v>60</v>
      </c>
      <c r="H27" s="14" t="s">
        <v>61</v>
      </c>
      <c r="I27" s="16" t="s">
        <v>62</v>
      </c>
      <c r="J27" s="16" t="s">
        <v>63</v>
      </c>
      <c r="K27" s="16" t="s">
        <v>64</v>
      </c>
      <c r="L27" s="14" t="s">
        <v>125</v>
      </c>
      <c r="M27" s="16" t="s">
        <v>126</v>
      </c>
      <c r="N27" s="14" t="s">
        <v>67</v>
      </c>
      <c r="O27" s="16" t="s">
        <v>127</v>
      </c>
      <c r="P27" s="16" t="s">
        <v>128</v>
      </c>
      <c r="Q27" s="16" t="s">
        <v>150</v>
      </c>
      <c r="R27" s="14" t="s">
        <v>151</v>
      </c>
      <c r="S27" s="14" t="s">
        <v>140</v>
      </c>
      <c r="T27" s="14" t="s">
        <v>152</v>
      </c>
      <c r="U27" s="14" t="s">
        <v>74</v>
      </c>
      <c r="V27" s="15">
        <v>40725</v>
      </c>
      <c r="W27" s="15"/>
      <c r="X27" s="16" t="s">
        <v>100</v>
      </c>
      <c r="Y27" s="14" t="s">
        <v>100</v>
      </c>
      <c r="Z27" s="16" t="s">
        <v>100</v>
      </c>
    </row>
    <row r="28" spans="1:26" x14ac:dyDescent="0.35">
      <c r="A28" s="19"/>
      <c r="B28" s="20"/>
      <c r="C28" s="21"/>
      <c r="D28" s="19"/>
      <c r="E28" s="20"/>
      <c r="F28" s="19"/>
      <c r="G28" s="20"/>
      <c r="H28" s="19"/>
      <c r="I28" s="20"/>
      <c r="J28" s="20" t="s">
        <v>100</v>
      </c>
      <c r="K28" s="20" t="s">
        <v>100</v>
      </c>
      <c r="L28" s="20"/>
      <c r="M28" s="20"/>
      <c r="N28" s="20" t="s">
        <v>100</v>
      </c>
      <c r="O28" s="20" t="s">
        <v>100</v>
      </c>
      <c r="P28" s="20" t="s">
        <v>100</v>
      </c>
      <c r="Q28" s="20"/>
      <c r="R28" s="20"/>
      <c r="S28" s="19"/>
      <c r="T28" s="20"/>
      <c r="U28" s="19"/>
      <c r="V28" s="22"/>
      <c r="W28" s="22"/>
      <c r="X28" s="20"/>
      <c r="Y28" s="25"/>
      <c r="Z28" s="20"/>
    </row>
    <row r="29" spans="1:26" x14ac:dyDescent="0.35">
      <c r="A29" s="19"/>
      <c r="B29" s="20"/>
      <c r="C29" s="21"/>
      <c r="D29" s="19"/>
      <c r="E29" s="20"/>
      <c r="F29" s="19"/>
      <c r="G29" s="20"/>
      <c r="H29" s="19"/>
      <c r="I29" s="20"/>
      <c r="J29" s="20" t="s">
        <v>100</v>
      </c>
      <c r="K29" s="20" t="s">
        <v>100</v>
      </c>
      <c r="L29" s="20"/>
      <c r="M29" s="20"/>
      <c r="N29" s="20" t="s">
        <v>100</v>
      </c>
      <c r="O29" s="20" t="s">
        <v>100</v>
      </c>
      <c r="P29" s="20" t="s">
        <v>100</v>
      </c>
      <c r="Q29" s="20"/>
      <c r="R29" s="20"/>
      <c r="S29" s="19"/>
      <c r="T29" s="20"/>
      <c r="U29" s="19"/>
      <c r="V29" s="22"/>
      <c r="W29" s="22"/>
      <c r="X29" s="20"/>
      <c r="Y29" s="25"/>
      <c r="Z29" s="20"/>
    </row>
    <row r="30" spans="1:26" x14ac:dyDescent="0.35">
      <c r="A30" s="19"/>
      <c r="B30" s="20"/>
      <c r="C30" s="21"/>
      <c r="D30" s="19"/>
      <c r="E30" s="20"/>
      <c r="F30" s="19"/>
      <c r="G30" s="20"/>
      <c r="H30" s="19"/>
      <c r="I30" s="20"/>
      <c r="J30" s="20" t="s">
        <v>100</v>
      </c>
      <c r="K30" s="20" t="s">
        <v>100</v>
      </c>
      <c r="L30" s="20"/>
      <c r="M30" s="20"/>
      <c r="N30" s="20" t="s">
        <v>100</v>
      </c>
      <c r="O30" s="20" t="s">
        <v>100</v>
      </c>
      <c r="P30" s="20" t="s">
        <v>100</v>
      </c>
      <c r="Q30" s="20"/>
      <c r="R30" s="20"/>
      <c r="S30" s="19"/>
      <c r="T30" s="20"/>
      <c r="U30" s="19"/>
      <c r="V30" s="22"/>
      <c r="W30" s="22"/>
      <c r="X30" s="20"/>
      <c r="Y30" s="25"/>
      <c r="Z30" s="20"/>
    </row>
    <row r="31" spans="1:26" x14ac:dyDescent="0.35">
      <c r="A31" s="19"/>
      <c r="B31" s="20"/>
      <c r="C31" s="21"/>
      <c r="D31" s="19"/>
      <c r="E31" s="20"/>
      <c r="F31" s="19"/>
      <c r="G31" s="20"/>
      <c r="H31" s="19"/>
      <c r="I31" s="20"/>
      <c r="J31" s="20" t="s">
        <v>100</v>
      </c>
      <c r="K31" s="20" t="s">
        <v>100</v>
      </c>
      <c r="L31" s="20"/>
      <c r="M31" s="20"/>
      <c r="N31" s="20" t="s">
        <v>100</v>
      </c>
      <c r="O31" s="20" t="s">
        <v>100</v>
      </c>
      <c r="P31" s="20" t="s">
        <v>100</v>
      </c>
      <c r="Q31" s="20"/>
      <c r="R31" s="20"/>
      <c r="S31" s="19"/>
      <c r="T31" s="20"/>
      <c r="U31" s="19"/>
      <c r="V31" s="22"/>
      <c r="W31" s="22"/>
      <c r="X31" s="20"/>
      <c r="Y31" s="25"/>
      <c r="Z31" s="20"/>
    </row>
    <row r="32" spans="1:26" x14ac:dyDescent="0.35">
      <c r="A32" s="19"/>
      <c r="B32" s="20"/>
      <c r="C32" s="21"/>
      <c r="D32" s="19"/>
      <c r="E32" s="20"/>
      <c r="F32" s="19"/>
      <c r="G32" s="20"/>
      <c r="H32" s="19"/>
      <c r="I32" s="20"/>
      <c r="J32" s="20" t="s">
        <v>100</v>
      </c>
      <c r="K32" s="20" t="s">
        <v>100</v>
      </c>
      <c r="L32" s="20"/>
      <c r="M32" s="20"/>
      <c r="N32" s="20" t="s">
        <v>100</v>
      </c>
      <c r="O32" s="20" t="s">
        <v>100</v>
      </c>
      <c r="P32" s="20" t="s">
        <v>100</v>
      </c>
      <c r="Q32" s="20"/>
      <c r="R32" s="20"/>
      <c r="S32" s="19"/>
      <c r="T32" s="20"/>
      <c r="U32" s="19"/>
      <c r="V32" s="22"/>
      <c r="W32" s="22"/>
      <c r="X32" s="20"/>
      <c r="Y32" s="25"/>
      <c r="Z32" s="20"/>
    </row>
    <row r="33" spans="1:26" x14ac:dyDescent="0.35">
      <c r="A33" s="19"/>
      <c r="B33" s="20"/>
      <c r="C33" s="21"/>
      <c r="D33" s="19"/>
      <c r="E33" s="20"/>
      <c r="F33" s="19"/>
      <c r="G33" s="20"/>
      <c r="H33" s="19"/>
      <c r="I33" s="20"/>
      <c r="J33" s="20" t="s">
        <v>100</v>
      </c>
      <c r="K33" s="20" t="s">
        <v>100</v>
      </c>
      <c r="L33" s="20"/>
      <c r="M33" s="20"/>
      <c r="N33" s="20" t="s">
        <v>100</v>
      </c>
      <c r="O33" s="20" t="s">
        <v>100</v>
      </c>
      <c r="P33" s="20" t="s">
        <v>100</v>
      </c>
      <c r="Q33" s="20"/>
      <c r="R33" s="20"/>
      <c r="S33" s="19"/>
      <c r="T33" s="20"/>
      <c r="U33" s="19"/>
      <c r="V33" s="22"/>
      <c r="W33" s="22"/>
      <c r="X33" s="20"/>
      <c r="Y33" s="25"/>
      <c r="Z33" s="20"/>
    </row>
    <row r="34" spans="1:26" x14ac:dyDescent="0.35">
      <c r="A34" s="19"/>
      <c r="B34" s="20"/>
      <c r="C34" s="21"/>
      <c r="D34" s="19"/>
      <c r="E34" s="20"/>
      <c r="F34" s="19"/>
      <c r="G34" s="20"/>
      <c r="H34" s="19"/>
      <c r="I34" s="20"/>
      <c r="J34" s="20" t="s">
        <v>100</v>
      </c>
      <c r="K34" s="20" t="s">
        <v>100</v>
      </c>
      <c r="L34" s="20"/>
      <c r="M34" s="20"/>
      <c r="N34" s="20" t="s">
        <v>100</v>
      </c>
      <c r="O34" s="20" t="s">
        <v>100</v>
      </c>
      <c r="P34" s="20" t="s">
        <v>100</v>
      </c>
      <c r="Q34" s="20"/>
      <c r="R34" s="20"/>
      <c r="S34" s="19"/>
      <c r="T34" s="20"/>
      <c r="U34" s="19"/>
      <c r="V34" s="22"/>
      <c r="W34" s="22"/>
      <c r="X34" s="20"/>
      <c r="Y34" s="25"/>
      <c r="Z34" s="20"/>
    </row>
    <row r="35" spans="1:26" x14ac:dyDescent="0.35">
      <c r="A35" s="19"/>
      <c r="B35" s="20"/>
      <c r="C35" s="21"/>
      <c r="D35" s="19"/>
      <c r="E35" s="20"/>
      <c r="F35" s="19"/>
      <c r="G35" s="20"/>
      <c r="H35" s="19"/>
      <c r="I35" s="20"/>
      <c r="J35" s="20" t="s">
        <v>100</v>
      </c>
      <c r="K35" s="20" t="s">
        <v>100</v>
      </c>
      <c r="L35" s="20"/>
      <c r="M35" s="20"/>
      <c r="N35" s="20" t="s">
        <v>100</v>
      </c>
      <c r="O35" s="20" t="s">
        <v>100</v>
      </c>
      <c r="P35" s="20" t="s">
        <v>100</v>
      </c>
      <c r="Q35" s="20"/>
      <c r="R35" s="20"/>
      <c r="S35" s="19"/>
      <c r="T35" s="20"/>
      <c r="U35" s="19"/>
      <c r="V35" s="22"/>
      <c r="W35" s="22"/>
      <c r="X35" s="20"/>
      <c r="Y35" s="25"/>
      <c r="Z35" s="20"/>
    </row>
    <row r="36" spans="1:26" x14ac:dyDescent="0.35">
      <c r="A36" s="19"/>
      <c r="B36" s="20"/>
      <c r="C36" s="21"/>
      <c r="D36" s="19"/>
      <c r="E36" s="20"/>
      <c r="F36" s="19"/>
      <c r="G36" s="20"/>
      <c r="H36" s="19"/>
      <c r="I36" s="20"/>
      <c r="J36" s="20" t="s">
        <v>100</v>
      </c>
      <c r="K36" s="20" t="s">
        <v>100</v>
      </c>
      <c r="L36" s="20"/>
      <c r="M36" s="20"/>
      <c r="N36" s="20" t="s">
        <v>100</v>
      </c>
      <c r="O36" s="20" t="s">
        <v>100</v>
      </c>
      <c r="P36" s="20" t="s">
        <v>100</v>
      </c>
      <c r="Q36" s="20"/>
      <c r="R36" s="20"/>
      <c r="S36" s="19"/>
      <c r="T36" s="20"/>
      <c r="U36" s="19"/>
      <c r="V36" s="22"/>
      <c r="W36" s="22"/>
      <c r="X36" s="20"/>
      <c r="Y36" s="25"/>
      <c r="Z36" s="20"/>
    </row>
    <row r="37" spans="1:26" x14ac:dyDescent="0.35">
      <c r="A37" s="19"/>
      <c r="B37" s="20"/>
      <c r="C37" s="21"/>
      <c r="D37" s="19"/>
      <c r="E37" s="20"/>
      <c r="F37" s="19"/>
      <c r="G37" s="20"/>
      <c r="H37" s="19"/>
      <c r="I37" s="20"/>
      <c r="J37" s="20" t="s">
        <v>100</v>
      </c>
      <c r="K37" s="20" t="s">
        <v>100</v>
      </c>
      <c r="L37" s="20"/>
      <c r="M37" s="20"/>
      <c r="N37" s="20" t="s">
        <v>100</v>
      </c>
      <c r="O37" s="20" t="s">
        <v>100</v>
      </c>
      <c r="P37" s="20" t="s">
        <v>100</v>
      </c>
      <c r="Q37" s="20"/>
      <c r="R37" s="20"/>
      <c r="S37" s="19"/>
      <c r="T37" s="20"/>
      <c r="U37" s="19"/>
      <c r="V37" s="22"/>
      <c r="W37" s="22"/>
      <c r="X37" s="20"/>
      <c r="Y37" s="25"/>
      <c r="Z37" s="20"/>
    </row>
    <row r="38" spans="1:26" x14ac:dyDescent="0.35">
      <c r="A38" s="19"/>
      <c r="B38" s="20"/>
      <c r="C38" s="21"/>
      <c r="D38" s="19"/>
      <c r="E38" s="20"/>
      <c r="F38" s="19"/>
      <c r="G38" s="20"/>
      <c r="H38" s="19"/>
      <c r="I38" s="20"/>
      <c r="J38" s="20" t="s">
        <v>100</v>
      </c>
      <c r="K38" s="20" t="s">
        <v>100</v>
      </c>
      <c r="L38" s="20"/>
      <c r="M38" s="20"/>
      <c r="N38" s="20" t="s">
        <v>100</v>
      </c>
      <c r="O38" s="20" t="s">
        <v>100</v>
      </c>
      <c r="P38" s="20" t="s">
        <v>100</v>
      </c>
      <c r="Q38" s="20"/>
      <c r="R38" s="20"/>
      <c r="S38" s="19"/>
      <c r="T38" s="20"/>
      <c r="U38" s="19"/>
      <c r="V38" s="22"/>
      <c r="W38" s="22"/>
      <c r="X38" s="20"/>
      <c r="Y38" s="25"/>
      <c r="Z38" s="20"/>
    </row>
    <row r="39" spans="1:26" x14ac:dyDescent="0.35">
      <c r="A39" s="19"/>
      <c r="B39" s="20"/>
      <c r="C39" s="21"/>
      <c r="D39" s="19"/>
      <c r="E39" s="20"/>
      <c r="F39" s="19"/>
      <c r="G39" s="20"/>
      <c r="H39" s="19"/>
      <c r="I39" s="20"/>
      <c r="J39" s="20" t="s">
        <v>100</v>
      </c>
      <c r="K39" s="20" t="s">
        <v>100</v>
      </c>
      <c r="L39" s="20"/>
      <c r="M39" s="20"/>
      <c r="N39" s="20" t="s">
        <v>100</v>
      </c>
      <c r="O39" s="20" t="s">
        <v>100</v>
      </c>
      <c r="P39" s="20" t="s">
        <v>100</v>
      </c>
      <c r="Q39" s="20"/>
      <c r="R39" s="20"/>
      <c r="S39" s="19"/>
      <c r="T39" s="20"/>
      <c r="U39" s="19"/>
      <c r="V39" s="22"/>
      <c r="W39" s="22"/>
      <c r="X39" s="20"/>
      <c r="Y39" s="25"/>
      <c r="Z39" s="20"/>
    </row>
    <row r="40" spans="1:26" x14ac:dyDescent="0.35">
      <c r="A40" s="19"/>
      <c r="B40" s="20"/>
      <c r="C40" s="21"/>
      <c r="D40" s="19"/>
      <c r="E40" s="20"/>
      <c r="F40" s="19"/>
      <c r="G40" s="20"/>
      <c r="H40" s="19"/>
      <c r="I40" s="20"/>
      <c r="J40" s="20" t="s">
        <v>100</v>
      </c>
      <c r="K40" s="20" t="s">
        <v>100</v>
      </c>
      <c r="L40" s="20"/>
      <c r="M40" s="20"/>
      <c r="N40" s="20" t="s">
        <v>100</v>
      </c>
      <c r="O40" s="20" t="s">
        <v>100</v>
      </c>
      <c r="P40" s="20" t="s">
        <v>100</v>
      </c>
      <c r="Q40" s="20"/>
      <c r="R40" s="20"/>
      <c r="S40" s="19"/>
      <c r="T40" s="20"/>
      <c r="U40" s="19"/>
      <c r="V40" s="22"/>
      <c r="W40" s="22"/>
      <c r="X40" s="20"/>
      <c r="Y40" s="25"/>
      <c r="Z40" s="20"/>
    </row>
    <row r="41" spans="1:26" x14ac:dyDescent="0.35">
      <c r="A41" s="19"/>
      <c r="B41" s="20"/>
      <c r="C41" s="21"/>
      <c r="D41" s="19"/>
      <c r="E41" s="20"/>
      <c r="F41" s="19"/>
      <c r="G41" s="20"/>
      <c r="H41" s="19"/>
      <c r="I41" s="20"/>
      <c r="J41" s="20" t="s">
        <v>100</v>
      </c>
      <c r="K41" s="20" t="s">
        <v>100</v>
      </c>
      <c r="L41" s="20"/>
      <c r="M41" s="20"/>
      <c r="N41" s="20" t="s">
        <v>100</v>
      </c>
      <c r="O41" s="20" t="s">
        <v>100</v>
      </c>
      <c r="P41" s="20" t="s">
        <v>100</v>
      </c>
      <c r="Q41" s="20"/>
      <c r="R41" s="20"/>
      <c r="S41" s="19"/>
      <c r="T41" s="20"/>
      <c r="U41" s="19"/>
      <c r="V41" s="22"/>
      <c r="W41" s="22"/>
      <c r="X41" s="20"/>
      <c r="Y41" s="25"/>
      <c r="Z41" s="20"/>
    </row>
    <row r="42" spans="1:26" x14ac:dyDescent="0.35">
      <c r="A42" s="19"/>
      <c r="B42" s="20"/>
      <c r="C42" s="21"/>
      <c r="D42" s="19"/>
      <c r="E42" s="20"/>
      <c r="F42" s="19"/>
      <c r="G42" s="20"/>
      <c r="H42" s="19"/>
      <c r="I42" s="20"/>
      <c r="J42" s="20" t="s">
        <v>100</v>
      </c>
      <c r="K42" s="20" t="s">
        <v>100</v>
      </c>
      <c r="L42" s="20"/>
      <c r="M42" s="20"/>
      <c r="N42" s="20" t="s">
        <v>100</v>
      </c>
      <c r="O42" s="20" t="s">
        <v>100</v>
      </c>
      <c r="P42" s="20" t="s">
        <v>100</v>
      </c>
      <c r="Q42" s="20"/>
      <c r="R42" s="20"/>
      <c r="S42" s="19"/>
      <c r="T42" s="20"/>
      <c r="U42" s="19"/>
      <c r="V42" s="22"/>
      <c r="W42" s="22"/>
      <c r="X42" s="20"/>
      <c r="Y42" s="25"/>
      <c r="Z42" s="20"/>
    </row>
    <row r="43" spans="1:26" x14ac:dyDescent="0.35">
      <c r="A43" s="19"/>
      <c r="B43" s="20"/>
      <c r="C43" s="21"/>
      <c r="D43" s="19"/>
      <c r="E43" s="20"/>
      <c r="F43" s="19"/>
      <c r="G43" s="20"/>
      <c r="H43" s="19"/>
      <c r="I43" s="20"/>
      <c r="J43" s="20" t="s">
        <v>100</v>
      </c>
      <c r="K43" s="20" t="s">
        <v>100</v>
      </c>
      <c r="L43" s="20"/>
      <c r="M43" s="20"/>
      <c r="N43" s="20" t="s">
        <v>100</v>
      </c>
      <c r="O43" s="20" t="s">
        <v>100</v>
      </c>
      <c r="P43" s="20" t="s">
        <v>100</v>
      </c>
      <c r="Q43" s="20"/>
      <c r="R43" s="20"/>
      <c r="S43" s="19"/>
      <c r="T43" s="20"/>
      <c r="U43" s="19"/>
      <c r="V43" s="22"/>
      <c r="W43" s="22"/>
      <c r="X43" s="20"/>
      <c r="Y43" s="25"/>
      <c r="Z43" s="20"/>
    </row>
    <row r="44" spans="1:26" x14ac:dyDescent="0.35">
      <c r="A44" s="19"/>
      <c r="B44" s="20"/>
      <c r="C44" s="21"/>
      <c r="D44" s="19"/>
      <c r="E44" s="20"/>
      <c r="F44" s="19"/>
      <c r="G44" s="20"/>
      <c r="H44" s="19"/>
      <c r="I44" s="20"/>
      <c r="J44" s="20" t="s">
        <v>100</v>
      </c>
      <c r="K44" s="20" t="s">
        <v>100</v>
      </c>
      <c r="L44" s="20"/>
      <c r="M44" s="20"/>
      <c r="N44" s="20" t="s">
        <v>100</v>
      </c>
      <c r="O44" s="20" t="s">
        <v>100</v>
      </c>
      <c r="P44" s="20" t="s">
        <v>100</v>
      </c>
      <c r="Q44" s="20"/>
      <c r="R44" s="20"/>
      <c r="S44" s="19"/>
      <c r="T44" s="20"/>
      <c r="U44" s="19"/>
      <c r="V44" s="22"/>
      <c r="W44" s="22"/>
      <c r="X44" s="20"/>
      <c r="Y44" s="25"/>
      <c r="Z44" s="20"/>
    </row>
    <row r="45" spans="1:26" x14ac:dyDescent="0.35">
      <c r="A45" s="19"/>
      <c r="B45" s="20"/>
      <c r="C45" s="21"/>
      <c r="D45" s="19"/>
      <c r="E45" s="20"/>
      <c r="F45" s="19"/>
      <c r="G45" s="20"/>
      <c r="H45" s="19"/>
      <c r="I45" s="20"/>
      <c r="J45" s="20" t="s">
        <v>100</v>
      </c>
      <c r="K45" s="20" t="s">
        <v>100</v>
      </c>
      <c r="L45" s="20"/>
      <c r="M45" s="20"/>
      <c r="N45" s="20" t="s">
        <v>100</v>
      </c>
      <c r="O45" s="20" t="s">
        <v>100</v>
      </c>
      <c r="P45" s="20" t="s">
        <v>100</v>
      </c>
      <c r="Q45" s="20"/>
      <c r="R45" s="20"/>
      <c r="S45" s="19"/>
      <c r="T45" s="20"/>
      <c r="U45" s="19"/>
      <c r="V45" s="22"/>
      <c r="W45" s="22"/>
      <c r="X45" s="20"/>
      <c r="Y45" s="25"/>
      <c r="Z45" s="20"/>
    </row>
    <row r="46" spans="1:26" x14ac:dyDescent="0.35">
      <c r="A46" s="19"/>
      <c r="B46" s="20"/>
      <c r="C46" s="21"/>
      <c r="D46" s="19"/>
      <c r="E46" s="20"/>
      <c r="F46" s="19"/>
      <c r="G46" s="20"/>
      <c r="H46" s="19"/>
      <c r="I46" s="20"/>
      <c r="J46" s="20" t="s">
        <v>100</v>
      </c>
      <c r="K46" s="20" t="s">
        <v>100</v>
      </c>
      <c r="L46" s="20"/>
      <c r="M46" s="20"/>
      <c r="N46" s="20" t="s">
        <v>100</v>
      </c>
      <c r="O46" s="20" t="s">
        <v>100</v>
      </c>
      <c r="P46" s="20" t="s">
        <v>100</v>
      </c>
      <c r="Q46" s="20"/>
      <c r="R46" s="20"/>
      <c r="S46" s="19"/>
      <c r="T46" s="20"/>
      <c r="U46" s="19"/>
      <c r="V46" s="22"/>
      <c r="W46" s="22"/>
      <c r="X46" s="20"/>
      <c r="Y46" s="25"/>
      <c r="Z46" s="20"/>
    </row>
    <row r="47" spans="1:26" x14ac:dyDescent="0.35">
      <c r="A47" s="19"/>
      <c r="B47" s="20"/>
      <c r="C47" s="21"/>
      <c r="D47" s="19"/>
      <c r="E47" s="20"/>
      <c r="F47" s="19"/>
      <c r="G47" s="20"/>
      <c r="H47" s="19"/>
      <c r="I47" s="20"/>
      <c r="J47" s="20" t="s">
        <v>100</v>
      </c>
      <c r="K47" s="20" t="s">
        <v>100</v>
      </c>
      <c r="L47" s="20"/>
      <c r="M47" s="20"/>
      <c r="N47" s="20" t="s">
        <v>100</v>
      </c>
      <c r="O47" s="20" t="s">
        <v>100</v>
      </c>
      <c r="P47" s="20" t="s">
        <v>100</v>
      </c>
      <c r="Q47" s="20"/>
      <c r="R47" s="20"/>
      <c r="S47" s="19"/>
      <c r="T47" s="20"/>
      <c r="U47" s="19"/>
      <c r="V47" s="22"/>
      <c r="W47" s="22"/>
      <c r="X47" s="20"/>
      <c r="Y47" s="25"/>
      <c r="Z47" s="20"/>
    </row>
    <row r="48" spans="1:26" x14ac:dyDescent="0.35">
      <c r="A48" s="19"/>
      <c r="B48" s="20"/>
      <c r="C48" s="21"/>
      <c r="D48" s="19"/>
      <c r="E48" s="20"/>
      <c r="F48" s="19"/>
      <c r="G48" s="20"/>
      <c r="H48" s="19"/>
      <c r="I48" s="20"/>
      <c r="J48" s="20" t="s">
        <v>100</v>
      </c>
      <c r="K48" s="20" t="s">
        <v>100</v>
      </c>
      <c r="L48" s="20"/>
      <c r="M48" s="20"/>
      <c r="N48" s="20" t="s">
        <v>100</v>
      </c>
      <c r="O48" s="20" t="s">
        <v>100</v>
      </c>
      <c r="P48" s="20" t="s">
        <v>100</v>
      </c>
      <c r="Q48" s="20"/>
      <c r="R48" s="20"/>
      <c r="S48" s="19"/>
      <c r="T48" s="20"/>
      <c r="U48" s="19"/>
      <c r="V48" s="22"/>
      <c r="W48" s="22"/>
      <c r="X48" s="20"/>
      <c r="Y48" s="25"/>
      <c r="Z48" s="20"/>
    </row>
    <row r="49" spans="1:26" x14ac:dyDescent="0.35">
      <c r="A49" s="19"/>
      <c r="B49" s="20"/>
      <c r="C49" s="21"/>
      <c r="D49" s="19"/>
      <c r="E49" s="20"/>
      <c r="F49" s="19"/>
      <c r="G49" s="20"/>
      <c r="H49" s="19"/>
      <c r="I49" s="20"/>
      <c r="J49" s="20" t="s">
        <v>100</v>
      </c>
      <c r="K49" s="20" t="s">
        <v>100</v>
      </c>
      <c r="L49" s="20"/>
      <c r="M49" s="20"/>
      <c r="N49" s="20" t="s">
        <v>100</v>
      </c>
      <c r="O49" s="20" t="s">
        <v>100</v>
      </c>
      <c r="P49" s="20" t="s">
        <v>100</v>
      </c>
      <c r="Q49" s="20"/>
      <c r="R49" s="20"/>
      <c r="S49" s="19"/>
      <c r="T49" s="20"/>
      <c r="U49" s="19"/>
      <c r="V49" s="22"/>
      <c r="W49" s="22"/>
      <c r="X49" s="20"/>
      <c r="Y49" s="25"/>
      <c r="Z49" s="20"/>
    </row>
  </sheetData>
  <autoFilter ref="A1:OJ1" xr:uid="{BACF7054-C80F-4FB1-8B89-FE3414A3EBA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EBF1A-CA17-4B05-930B-1743C53CF65C}">
  <dimension ref="A1:AO27"/>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159</v>
      </c>
      <c r="X1" s="10" t="s">
        <v>160</v>
      </c>
      <c r="Y1" s="10" t="s">
        <v>161</v>
      </c>
      <c r="Z1" s="10" t="s">
        <v>162</v>
      </c>
      <c r="AA1" s="10" t="s">
        <v>163</v>
      </c>
      <c r="AB1" s="10" t="s">
        <v>164</v>
      </c>
      <c r="AC1" s="10" t="s">
        <v>165</v>
      </c>
      <c r="AD1" s="10" t="s">
        <v>166</v>
      </c>
      <c r="AE1" s="10" t="s">
        <v>167</v>
      </c>
      <c r="AF1" s="10" t="s">
        <v>168</v>
      </c>
      <c r="AG1" s="10" t="s">
        <v>169</v>
      </c>
      <c r="AH1" s="10" t="s">
        <v>170</v>
      </c>
      <c r="AI1" s="10" t="s">
        <v>171</v>
      </c>
      <c r="AJ1" s="10" t="s">
        <v>172</v>
      </c>
      <c r="AK1" s="10" t="s">
        <v>173</v>
      </c>
      <c r="AL1" s="10" t="s">
        <v>174</v>
      </c>
      <c r="AM1" s="10" t="s">
        <v>175</v>
      </c>
      <c r="AN1" s="10" t="s">
        <v>53</v>
      </c>
      <c r="AO1" s="10" t="s">
        <v>54</v>
      </c>
    </row>
    <row r="2" spans="1:41" ht="43.5" x14ac:dyDescent="0.35">
      <c r="A2" s="14" t="s">
        <v>55</v>
      </c>
      <c r="B2" s="14" t="s">
        <v>56</v>
      </c>
      <c r="C2" s="15">
        <v>45818.402083333334</v>
      </c>
      <c r="D2" s="14" t="s">
        <v>57</v>
      </c>
      <c r="E2" s="16" t="s">
        <v>58</v>
      </c>
      <c r="F2" s="14" t="s">
        <v>59</v>
      </c>
      <c r="G2" s="16" t="s">
        <v>60</v>
      </c>
      <c r="H2" s="14" t="s">
        <v>61</v>
      </c>
      <c r="I2" s="16" t="s">
        <v>62</v>
      </c>
      <c r="J2" s="16" t="s">
        <v>63</v>
      </c>
      <c r="K2" s="16" t="s">
        <v>64</v>
      </c>
      <c r="L2" s="14" t="s">
        <v>65</v>
      </c>
      <c r="M2" s="16" t="s">
        <v>66</v>
      </c>
      <c r="N2" s="14" t="s">
        <v>67</v>
      </c>
      <c r="O2" s="16" t="s">
        <v>68</v>
      </c>
      <c r="P2" s="16" t="s">
        <v>69</v>
      </c>
      <c r="Q2" s="16" t="s">
        <v>70</v>
      </c>
      <c r="R2" s="14" t="s">
        <v>71</v>
      </c>
      <c r="S2" s="14" t="s">
        <v>73</v>
      </c>
      <c r="T2" s="14" t="s">
        <v>74</v>
      </c>
      <c r="U2" s="15">
        <v>40550</v>
      </c>
      <c r="V2" s="15"/>
      <c r="W2" s="16"/>
      <c r="X2" s="16" t="s">
        <v>100</v>
      </c>
      <c r="Y2" s="14" t="s">
        <v>100</v>
      </c>
      <c r="Z2" s="16" t="s">
        <v>100</v>
      </c>
      <c r="AA2" s="16" t="s">
        <v>100</v>
      </c>
      <c r="AB2" s="16" t="s">
        <v>100</v>
      </c>
      <c r="AC2" s="14" t="s">
        <v>100</v>
      </c>
      <c r="AD2" s="16" t="s">
        <v>100</v>
      </c>
      <c r="AE2" s="16" t="s">
        <v>100</v>
      </c>
      <c r="AF2" s="16" t="s">
        <v>100</v>
      </c>
      <c r="AG2" s="14" t="s">
        <v>100</v>
      </c>
      <c r="AH2" s="16" t="s">
        <v>100</v>
      </c>
      <c r="AI2" s="16" t="s">
        <v>100</v>
      </c>
      <c r="AJ2" s="16" t="s">
        <v>100</v>
      </c>
      <c r="AK2" s="14" t="s">
        <v>100</v>
      </c>
      <c r="AL2" s="16" t="s">
        <v>100</v>
      </c>
      <c r="AM2" s="16" t="s">
        <v>100</v>
      </c>
      <c r="AN2" s="14" t="s">
        <v>100</v>
      </c>
      <c r="AO2" s="14" t="s">
        <v>100</v>
      </c>
    </row>
    <row r="3" spans="1:41" ht="43.5" x14ac:dyDescent="0.35">
      <c r="A3" s="14" t="s">
        <v>55</v>
      </c>
      <c r="B3" s="14" t="s">
        <v>56</v>
      </c>
      <c r="C3" s="15">
        <v>45818.40347222222</v>
      </c>
      <c r="D3" s="14" t="s">
        <v>57</v>
      </c>
      <c r="E3" s="16" t="s">
        <v>58</v>
      </c>
      <c r="F3" s="14" t="s">
        <v>59</v>
      </c>
      <c r="G3" s="16" t="s">
        <v>60</v>
      </c>
      <c r="H3" s="14" t="s">
        <v>61</v>
      </c>
      <c r="I3" s="16" t="s">
        <v>62</v>
      </c>
      <c r="J3" s="16" t="s">
        <v>63</v>
      </c>
      <c r="K3" s="16" t="s">
        <v>64</v>
      </c>
      <c r="L3" s="14" t="s">
        <v>101</v>
      </c>
      <c r="M3" s="16" t="s">
        <v>102</v>
      </c>
      <c r="N3" s="14" t="s">
        <v>67</v>
      </c>
      <c r="O3" s="16" t="s">
        <v>103</v>
      </c>
      <c r="P3" s="16" t="s">
        <v>104</v>
      </c>
      <c r="Q3" s="16" t="s">
        <v>70</v>
      </c>
      <c r="R3" s="14" t="s">
        <v>71</v>
      </c>
      <c r="S3" s="14" t="s">
        <v>73</v>
      </c>
      <c r="T3" s="14" t="s">
        <v>74</v>
      </c>
      <c r="U3" s="15">
        <v>40550</v>
      </c>
      <c r="V3" s="15"/>
      <c r="W3" s="16"/>
      <c r="X3" s="16" t="s">
        <v>100</v>
      </c>
      <c r="Y3" s="14" t="s">
        <v>100</v>
      </c>
      <c r="Z3" s="16" t="s">
        <v>100</v>
      </c>
      <c r="AA3" s="16" t="s">
        <v>100</v>
      </c>
      <c r="AB3" s="16" t="s">
        <v>100</v>
      </c>
      <c r="AC3" s="14" t="s">
        <v>100</v>
      </c>
      <c r="AD3" s="16" t="s">
        <v>100</v>
      </c>
      <c r="AE3" s="16" t="s">
        <v>100</v>
      </c>
      <c r="AF3" s="16" t="s">
        <v>100</v>
      </c>
      <c r="AG3" s="14" t="s">
        <v>100</v>
      </c>
      <c r="AH3" s="16" t="s">
        <v>100</v>
      </c>
      <c r="AI3" s="16" t="s">
        <v>100</v>
      </c>
      <c r="AJ3" s="16" t="s">
        <v>100</v>
      </c>
      <c r="AK3" s="14" t="s">
        <v>100</v>
      </c>
      <c r="AL3" s="16" t="s">
        <v>100</v>
      </c>
      <c r="AM3" s="16" t="s">
        <v>100</v>
      </c>
      <c r="AN3" s="14" t="s">
        <v>100</v>
      </c>
      <c r="AO3" s="14" t="s">
        <v>100</v>
      </c>
    </row>
    <row r="4" spans="1:41" ht="87" x14ac:dyDescent="0.35">
      <c r="A4" s="14" t="s">
        <v>55</v>
      </c>
      <c r="B4" s="14" t="s">
        <v>56</v>
      </c>
      <c r="C4" s="15">
        <v>45818.406944444447</v>
      </c>
      <c r="D4" s="14" t="s">
        <v>57</v>
      </c>
      <c r="E4" s="16" t="s">
        <v>58</v>
      </c>
      <c r="F4" s="14" t="s">
        <v>59</v>
      </c>
      <c r="G4" s="16" t="s">
        <v>60</v>
      </c>
      <c r="H4" s="14" t="s">
        <v>61</v>
      </c>
      <c r="I4" s="16" t="s">
        <v>62</v>
      </c>
      <c r="J4" s="16" t="s">
        <v>63</v>
      </c>
      <c r="K4" s="16" t="s">
        <v>64</v>
      </c>
      <c r="L4" s="14" t="s">
        <v>114</v>
      </c>
      <c r="M4" s="16" t="s">
        <v>115</v>
      </c>
      <c r="N4" s="14" t="s">
        <v>67</v>
      </c>
      <c r="O4" s="16" t="s">
        <v>116</v>
      </c>
      <c r="P4" s="16" t="s">
        <v>117</v>
      </c>
      <c r="Q4" s="16" t="s">
        <v>70</v>
      </c>
      <c r="R4" s="14" t="s">
        <v>71</v>
      </c>
      <c r="S4" s="14" t="s">
        <v>73</v>
      </c>
      <c r="T4" s="14" t="s">
        <v>74</v>
      </c>
      <c r="U4" s="15">
        <v>40550</v>
      </c>
      <c r="V4" s="15"/>
      <c r="W4" s="16"/>
      <c r="X4" s="16" t="s">
        <v>100</v>
      </c>
      <c r="Y4" s="14" t="s">
        <v>100</v>
      </c>
      <c r="Z4" s="16" t="s">
        <v>100</v>
      </c>
      <c r="AA4" s="16" t="s">
        <v>100</v>
      </c>
      <c r="AB4" s="16" t="s">
        <v>100</v>
      </c>
      <c r="AC4" s="14" t="s">
        <v>100</v>
      </c>
      <c r="AD4" s="16" t="s">
        <v>100</v>
      </c>
      <c r="AE4" s="16" t="s">
        <v>100</v>
      </c>
      <c r="AF4" s="16" t="s">
        <v>100</v>
      </c>
      <c r="AG4" s="14" t="s">
        <v>100</v>
      </c>
      <c r="AH4" s="16" t="s">
        <v>100</v>
      </c>
      <c r="AI4" s="16" t="s">
        <v>100</v>
      </c>
      <c r="AJ4" s="16" t="s">
        <v>100</v>
      </c>
      <c r="AK4" s="14" t="s">
        <v>100</v>
      </c>
      <c r="AL4" s="16" t="s">
        <v>100</v>
      </c>
      <c r="AM4" s="16" t="s">
        <v>100</v>
      </c>
      <c r="AN4" s="14" t="s">
        <v>100</v>
      </c>
      <c r="AO4" s="14" t="s">
        <v>100</v>
      </c>
    </row>
    <row r="5" spans="1:41" ht="43.5" x14ac:dyDescent="0.35">
      <c r="A5" s="14" t="s">
        <v>55</v>
      </c>
      <c r="B5" s="14" t="s">
        <v>56</v>
      </c>
      <c r="C5" s="15">
        <v>45818.408333333333</v>
      </c>
      <c r="D5" s="14" t="s">
        <v>57</v>
      </c>
      <c r="E5" s="16" t="s">
        <v>58</v>
      </c>
      <c r="F5" s="14" t="s">
        <v>59</v>
      </c>
      <c r="G5" s="16" t="s">
        <v>60</v>
      </c>
      <c r="H5" s="14" t="s">
        <v>61</v>
      </c>
      <c r="I5" s="16" t="s">
        <v>62</v>
      </c>
      <c r="J5" s="16" t="s">
        <v>63</v>
      </c>
      <c r="K5" s="16" t="s">
        <v>64</v>
      </c>
      <c r="L5" s="14" t="s">
        <v>125</v>
      </c>
      <c r="M5" s="16" t="s">
        <v>126</v>
      </c>
      <c r="N5" s="14" t="s">
        <v>67</v>
      </c>
      <c r="O5" s="16" t="s">
        <v>127</v>
      </c>
      <c r="P5" s="16" t="s">
        <v>128</v>
      </c>
      <c r="Q5" s="16" t="s">
        <v>70</v>
      </c>
      <c r="R5" s="14" t="s">
        <v>71</v>
      </c>
      <c r="S5" s="14" t="s">
        <v>73</v>
      </c>
      <c r="T5" s="14" t="s">
        <v>129</v>
      </c>
      <c r="U5" s="15">
        <v>40550</v>
      </c>
      <c r="V5" s="15"/>
      <c r="W5" s="16"/>
      <c r="X5" s="16" t="s">
        <v>100</v>
      </c>
      <c r="Y5" s="14" t="s">
        <v>100</v>
      </c>
      <c r="Z5" s="16" t="s">
        <v>100</v>
      </c>
      <c r="AA5" s="16" t="s">
        <v>100</v>
      </c>
      <c r="AB5" s="16" t="s">
        <v>100</v>
      </c>
      <c r="AC5" s="14" t="s">
        <v>100</v>
      </c>
      <c r="AD5" s="16" t="s">
        <v>100</v>
      </c>
      <c r="AE5" s="16" t="s">
        <v>100</v>
      </c>
      <c r="AF5" s="16" t="s">
        <v>100</v>
      </c>
      <c r="AG5" s="14" t="s">
        <v>100</v>
      </c>
      <c r="AH5" s="16" t="s">
        <v>100</v>
      </c>
      <c r="AI5" s="16" t="s">
        <v>100</v>
      </c>
      <c r="AJ5" s="16" t="s">
        <v>100</v>
      </c>
      <c r="AK5" s="14" t="s">
        <v>100</v>
      </c>
      <c r="AL5" s="16" t="s">
        <v>100</v>
      </c>
      <c r="AM5" s="16" t="s">
        <v>100</v>
      </c>
      <c r="AN5" s="14" t="s">
        <v>100</v>
      </c>
      <c r="AO5" s="14" t="s">
        <v>100</v>
      </c>
    </row>
    <row r="6" spans="1:41" ht="58" x14ac:dyDescent="0.35">
      <c r="A6" s="14" t="s">
        <v>55</v>
      </c>
      <c r="B6" s="14" t="s">
        <v>56</v>
      </c>
      <c r="C6" s="15">
        <v>45818.40902777778</v>
      </c>
      <c r="D6" s="14" t="s">
        <v>57</v>
      </c>
      <c r="E6" s="16" t="s">
        <v>58</v>
      </c>
      <c r="F6" s="14" t="s">
        <v>59</v>
      </c>
      <c r="G6" s="16" t="s">
        <v>60</v>
      </c>
      <c r="H6" s="14" t="s">
        <v>61</v>
      </c>
      <c r="I6" s="16" t="s">
        <v>62</v>
      </c>
      <c r="J6" s="16" t="s">
        <v>63</v>
      </c>
      <c r="K6" s="16" t="s">
        <v>64</v>
      </c>
      <c r="L6" s="14" t="s">
        <v>130</v>
      </c>
      <c r="M6" s="16" t="s">
        <v>131</v>
      </c>
      <c r="N6" s="14" t="s">
        <v>67</v>
      </c>
      <c r="O6" s="16" t="s">
        <v>132</v>
      </c>
      <c r="P6" s="16" t="s">
        <v>133</v>
      </c>
      <c r="Q6" s="16" t="s">
        <v>70</v>
      </c>
      <c r="R6" s="14" t="s">
        <v>71</v>
      </c>
      <c r="S6" s="14" t="s">
        <v>73</v>
      </c>
      <c r="T6" s="14" t="s">
        <v>74</v>
      </c>
      <c r="U6" s="15">
        <v>40550</v>
      </c>
      <c r="V6" s="15"/>
      <c r="W6" s="16"/>
      <c r="X6" s="16" t="s">
        <v>100</v>
      </c>
      <c r="Y6" s="14" t="s">
        <v>100</v>
      </c>
      <c r="Z6" s="16" t="s">
        <v>100</v>
      </c>
      <c r="AA6" s="16" t="s">
        <v>100</v>
      </c>
      <c r="AB6" s="16" t="s">
        <v>100</v>
      </c>
      <c r="AC6" s="14" t="s">
        <v>100</v>
      </c>
      <c r="AD6" s="16" t="s">
        <v>100</v>
      </c>
      <c r="AE6" s="16" t="s">
        <v>100</v>
      </c>
      <c r="AF6" s="16" t="s">
        <v>100</v>
      </c>
      <c r="AG6" s="14" t="s">
        <v>100</v>
      </c>
      <c r="AH6" s="16" t="s">
        <v>100</v>
      </c>
      <c r="AI6" s="16" t="s">
        <v>100</v>
      </c>
      <c r="AJ6" s="16" t="s">
        <v>100</v>
      </c>
      <c r="AK6" s="14" t="s">
        <v>100</v>
      </c>
      <c r="AL6" s="16" t="s">
        <v>100</v>
      </c>
      <c r="AM6" s="16" t="s">
        <v>100</v>
      </c>
      <c r="AN6" s="14" t="s">
        <v>100</v>
      </c>
      <c r="AO6" s="14" t="s">
        <v>100</v>
      </c>
    </row>
    <row r="7" spans="1:41" ht="43.5" x14ac:dyDescent="0.35">
      <c r="A7" s="14" t="s">
        <v>55</v>
      </c>
      <c r="B7" s="14" t="s">
        <v>56</v>
      </c>
      <c r="C7" s="15">
        <v>45818.402083333334</v>
      </c>
      <c r="D7" s="14" t="s">
        <v>57</v>
      </c>
      <c r="E7" s="16" t="s">
        <v>58</v>
      </c>
      <c r="F7" s="14" t="s">
        <v>59</v>
      </c>
      <c r="G7" s="16" t="s">
        <v>60</v>
      </c>
      <c r="H7" s="14" t="s">
        <v>61</v>
      </c>
      <c r="I7" s="16" t="s">
        <v>62</v>
      </c>
      <c r="J7" s="16" t="s">
        <v>63</v>
      </c>
      <c r="K7" s="16" t="s">
        <v>64</v>
      </c>
      <c r="L7" s="14" t="s">
        <v>65</v>
      </c>
      <c r="M7" s="16" t="s">
        <v>66</v>
      </c>
      <c r="N7" s="14" t="s">
        <v>67</v>
      </c>
      <c r="O7" s="16" t="s">
        <v>68</v>
      </c>
      <c r="P7" s="16" t="s">
        <v>69</v>
      </c>
      <c r="Q7" s="16" t="s">
        <v>135</v>
      </c>
      <c r="R7" s="14" t="s">
        <v>136</v>
      </c>
      <c r="S7" s="14" t="s">
        <v>73</v>
      </c>
      <c r="T7" s="14" t="s">
        <v>74</v>
      </c>
      <c r="U7" s="15">
        <v>40550</v>
      </c>
      <c r="V7" s="15"/>
      <c r="W7" s="16"/>
      <c r="X7" s="16" t="s">
        <v>100</v>
      </c>
      <c r="Y7" s="14" t="s">
        <v>100</v>
      </c>
      <c r="Z7" s="16" t="s">
        <v>100</v>
      </c>
      <c r="AA7" s="16" t="s">
        <v>100</v>
      </c>
      <c r="AB7" s="16" t="s">
        <v>100</v>
      </c>
      <c r="AC7" s="14" t="s">
        <v>100</v>
      </c>
      <c r="AD7" s="16" t="s">
        <v>100</v>
      </c>
      <c r="AE7" s="16" t="s">
        <v>100</v>
      </c>
      <c r="AF7" s="16" t="s">
        <v>100</v>
      </c>
      <c r="AG7" s="14" t="s">
        <v>100</v>
      </c>
      <c r="AH7" s="16" t="s">
        <v>100</v>
      </c>
      <c r="AI7" s="16" t="s">
        <v>100</v>
      </c>
      <c r="AJ7" s="16" t="s">
        <v>100</v>
      </c>
      <c r="AK7" s="14" t="s">
        <v>100</v>
      </c>
      <c r="AL7" s="16" t="s">
        <v>100</v>
      </c>
      <c r="AM7" s="16" t="s">
        <v>100</v>
      </c>
      <c r="AN7" s="14" t="s">
        <v>100</v>
      </c>
      <c r="AO7" s="14" t="s">
        <v>100</v>
      </c>
    </row>
    <row r="8" spans="1:41" ht="43.5" x14ac:dyDescent="0.35">
      <c r="A8" s="14" t="s">
        <v>55</v>
      </c>
      <c r="B8" s="14" t="s">
        <v>56</v>
      </c>
      <c r="C8" s="15">
        <v>45818.404166666667</v>
      </c>
      <c r="D8" s="14" t="s">
        <v>57</v>
      </c>
      <c r="E8" s="16" t="s">
        <v>58</v>
      </c>
      <c r="F8" s="14" t="s">
        <v>59</v>
      </c>
      <c r="G8" s="16" t="s">
        <v>60</v>
      </c>
      <c r="H8" s="14" t="s">
        <v>61</v>
      </c>
      <c r="I8" s="16" t="s">
        <v>62</v>
      </c>
      <c r="J8" s="16" t="s">
        <v>63</v>
      </c>
      <c r="K8" s="16" t="s">
        <v>64</v>
      </c>
      <c r="L8" s="14" t="s">
        <v>101</v>
      </c>
      <c r="M8" s="16" t="s">
        <v>102</v>
      </c>
      <c r="N8" s="14" t="s">
        <v>67</v>
      </c>
      <c r="O8" s="16" t="s">
        <v>103</v>
      </c>
      <c r="P8" s="16" t="s">
        <v>104</v>
      </c>
      <c r="Q8" s="16" t="s">
        <v>135</v>
      </c>
      <c r="R8" s="14" t="s">
        <v>136</v>
      </c>
      <c r="S8" s="14" t="s">
        <v>73</v>
      </c>
      <c r="T8" s="14" t="s">
        <v>74</v>
      </c>
      <c r="U8" s="15">
        <v>40550</v>
      </c>
      <c r="V8" s="15"/>
      <c r="W8" s="16"/>
      <c r="X8" s="16" t="s">
        <v>100</v>
      </c>
      <c r="Y8" s="14" t="s">
        <v>100</v>
      </c>
      <c r="Z8" s="16" t="s">
        <v>100</v>
      </c>
      <c r="AA8" s="16" t="s">
        <v>100</v>
      </c>
      <c r="AB8" s="16" t="s">
        <v>100</v>
      </c>
      <c r="AC8" s="14" t="s">
        <v>100</v>
      </c>
      <c r="AD8" s="16" t="s">
        <v>100</v>
      </c>
      <c r="AE8" s="16" t="s">
        <v>100</v>
      </c>
      <c r="AF8" s="16" t="s">
        <v>100</v>
      </c>
      <c r="AG8" s="14" t="s">
        <v>100</v>
      </c>
      <c r="AH8" s="16" t="s">
        <v>100</v>
      </c>
      <c r="AI8" s="16" t="s">
        <v>100</v>
      </c>
      <c r="AJ8" s="16" t="s">
        <v>100</v>
      </c>
      <c r="AK8" s="14" t="s">
        <v>100</v>
      </c>
      <c r="AL8" s="16" t="s">
        <v>100</v>
      </c>
      <c r="AM8" s="16" t="s">
        <v>100</v>
      </c>
      <c r="AN8" s="14" t="s">
        <v>100</v>
      </c>
      <c r="AO8" s="14" t="s">
        <v>100</v>
      </c>
    </row>
    <row r="9" spans="1:41" ht="87" x14ac:dyDescent="0.35">
      <c r="A9" s="14" t="s">
        <v>55</v>
      </c>
      <c r="B9" s="14" t="s">
        <v>56</v>
      </c>
      <c r="C9" s="15">
        <v>45818.407638888886</v>
      </c>
      <c r="D9" s="14" t="s">
        <v>57</v>
      </c>
      <c r="E9" s="16" t="s">
        <v>58</v>
      </c>
      <c r="F9" s="14" t="s">
        <v>59</v>
      </c>
      <c r="G9" s="16" t="s">
        <v>60</v>
      </c>
      <c r="H9" s="14" t="s">
        <v>61</v>
      </c>
      <c r="I9" s="16" t="s">
        <v>62</v>
      </c>
      <c r="J9" s="16" t="s">
        <v>63</v>
      </c>
      <c r="K9" s="16" t="s">
        <v>64</v>
      </c>
      <c r="L9" s="14" t="s">
        <v>114</v>
      </c>
      <c r="M9" s="16" t="s">
        <v>115</v>
      </c>
      <c r="N9" s="14" t="s">
        <v>67</v>
      </c>
      <c r="O9" s="16" t="s">
        <v>116</v>
      </c>
      <c r="P9" s="16" t="s">
        <v>117</v>
      </c>
      <c r="Q9" s="16" t="s">
        <v>135</v>
      </c>
      <c r="R9" s="14" t="s">
        <v>136</v>
      </c>
      <c r="S9" s="14" t="s">
        <v>73</v>
      </c>
      <c r="T9" s="14" t="s">
        <v>74</v>
      </c>
      <c r="U9" s="15">
        <v>40550</v>
      </c>
      <c r="V9" s="15"/>
      <c r="W9" s="16"/>
      <c r="X9" s="16" t="s">
        <v>100</v>
      </c>
      <c r="Y9" s="14" t="s">
        <v>100</v>
      </c>
      <c r="Z9" s="16" t="s">
        <v>100</v>
      </c>
      <c r="AA9" s="16" t="s">
        <v>100</v>
      </c>
      <c r="AB9" s="16" t="s">
        <v>100</v>
      </c>
      <c r="AC9" s="14" t="s">
        <v>100</v>
      </c>
      <c r="AD9" s="16" t="s">
        <v>100</v>
      </c>
      <c r="AE9" s="16" t="s">
        <v>100</v>
      </c>
      <c r="AF9" s="16" t="s">
        <v>100</v>
      </c>
      <c r="AG9" s="14" t="s">
        <v>100</v>
      </c>
      <c r="AH9" s="16" t="s">
        <v>100</v>
      </c>
      <c r="AI9" s="16" t="s">
        <v>100</v>
      </c>
      <c r="AJ9" s="16" t="s">
        <v>100</v>
      </c>
      <c r="AK9" s="14" t="s">
        <v>100</v>
      </c>
      <c r="AL9" s="16" t="s">
        <v>100</v>
      </c>
      <c r="AM9" s="16" t="s">
        <v>100</v>
      </c>
      <c r="AN9" s="14" t="s">
        <v>100</v>
      </c>
      <c r="AO9" s="14" t="s">
        <v>100</v>
      </c>
    </row>
    <row r="10" spans="1:41" ht="43.5" x14ac:dyDescent="0.35">
      <c r="A10" s="14" t="s">
        <v>55</v>
      </c>
      <c r="B10" s="14" t="s">
        <v>56</v>
      </c>
      <c r="C10" s="15">
        <v>45818.408333333333</v>
      </c>
      <c r="D10" s="14" t="s">
        <v>57</v>
      </c>
      <c r="E10" s="16" t="s">
        <v>58</v>
      </c>
      <c r="F10" s="14" t="s">
        <v>59</v>
      </c>
      <c r="G10" s="16" t="s">
        <v>60</v>
      </c>
      <c r="H10" s="14" t="s">
        <v>61</v>
      </c>
      <c r="I10" s="16" t="s">
        <v>62</v>
      </c>
      <c r="J10" s="16" t="s">
        <v>63</v>
      </c>
      <c r="K10" s="16" t="s">
        <v>64</v>
      </c>
      <c r="L10" s="14" t="s">
        <v>125</v>
      </c>
      <c r="M10" s="16" t="s">
        <v>126</v>
      </c>
      <c r="N10" s="14" t="s">
        <v>67</v>
      </c>
      <c r="O10" s="16" t="s">
        <v>127</v>
      </c>
      <c r="P10" s="16" t="s">
        <v>128</v>
      </c>
      <c r="Q10" s="16" t="s">
        <v>135</v>
      </c>
      <c r="R10" s="14" t="s">
        <v>136</v>
      </c>
      <c r="S10" s="14" t="s">
        <v>73</v>
      </c>
      <c r="T10" s="14" t="s">
        <v>129</v>
      </c>
      <c r="U10" s="15">
        <v>40550</v>
      </c>
      <c r="V10" s="15"/>
      <c r="W10" s="16"/>
      <c r="X10" s="16" t="s">
        <v>100</v>
      </c>
      <c r="Y10" s="14" t="s">
        <v>100</v>
      </c>
      <c r="Z10" s="16" t="s">
        <v>100</v>
      </c>
      <c r="AA10" s="16" t="s">
        <v>100</v>
      </c>
      <c r="AB10" s="16" t="s">
        <v>100</v>
      </c>
      <c r="AC10" s="14" t="s">
        <v>100</v>
      </c>
      <c r="AD10" s="16" t="s">
        <v>100</v>
      </c>
      <c r="AE10" s="16" t="s">
        <v>100</v>
      </c>
      <c r="AF10" s="16" t="s">
        <v>100</v>
      </c>
      <c r="AG10" s="14" t="s">
        <v>100</v>
      </c>
      <c r="AH10" s="16" t="s">
        <v>100</v>
      </c>
      <c r="AI10" s="16" t="s">
        <v>100</v>
      </c>
      <c r="AJ10" s="16" t="s">
        <v>100</v>
      </c>
      <c r="AK10" s="14" t="s">
        <v>100</v>
      </c>
      <c r="AL10" s="16" t="s">
        <v>100</v>
      </c>
      <c r="AM10" s="16" t="s">
        <v>100</v>
      </c>
      <c r="AN10" s="14" t="s">
        <v>100</v>
      </c>
      <c r="AO10" s="14" t="s">
        <v>100</v>
      </c>
    </row>
    <row r="11" spans="1:41" ht="58" x14ac:dyDescent="0.35">
      <c r="A11" s="14" t="s">
        <v>55</v>
      </c>
      <c r="B11" s="14" t="s">
        <v>56</v>
      </c>
      <c r="C11" s="15">
        <v>45818.409722222219</v>
      </c>
      <c r="D11" s="14" t="s">
        <v>57</v>
      </c>
      <c r="E11" s="16" t="s">
        <v>58</v>
      </c>
      <c r="F11" s="14" t="s">
        <v>59</v>
      </c>
      <c r="G11" s="16" t="s">
        <v>60</v>
      </c>
      <c r="H11" s="14" t="s">
        <v>61</v>
      </c>
      <c r="I11" s="16" t="s">
        <v>62</v>
      </c>
      <c r="J11" s="16" t="s">
        <v>63</v>
      </c>
      <c r="K11" s="16" t="s">
        <v>64</v>
      </c>
      <c r="L11" s="14" t="s">
        <v>130</v>
      </c>
      <c r="M11" s="16" t="s">
        <v>131</v>
      </c>
      <c r="N11" s="14" t="s">
        <v>67</v>
      </c>
      <c r="O11" s="16" t="s">
        <v>132</v>
      </c>
      <c r="P11" s="16" t="s">
        <v>133</v>
      </c>
      <c r="Q11" s="16" t="s">
        <v>135</v>
      </c>
      <c r="R11" s="14" t="s">
        <v>136</v>
      </c>
      <c r="S11" s="14" t="s">
        <v>73</v>
      </c>
      <c r="T11" s="14" t="s">
        <v>74</v>
      </c>
      <c r="U11" s="15">
        <v>40550</v>
      </c>
      <c r="V11" s="15"/>
      <c r="W11" s="16"/>
      <c r="X11" s="16" t="s">
        <v>100</v>
      </c>
      <c r="Y11" s="14" t="s">
        <v>100</v>
      </c>
      <c r="Z11" s="16" t="s">
        <v>100</v>
      </c>
      <c r="AA11" s="16" t="s">
        <v>100</v>
      </c>
      <c r="AB11" s="16" t="s">
        <v>100</v>
      </c>
      <c r="AC11" s="14" t="s">
        <v>100</v>
      </c>
      <c r="AD11" s="16" t="s">
        <v>100</v>
      </c>
      <c r="AE11" s="16" t="s">
        <v>100</v>
      </c>
      <c r="AF11" s="16" t="s">
        <v>100</v>
      </c>
      <c r="AG11" s="14" t="s">
        <v>100</v>
      </c>
      <c r="AH11" s="16" t="s">
        <v>100</v>
      </c>
      <c r="AI11" s="16" t="s">
        <v>100</v>
      </c>
      <c r="AJ11" s="16" t="s">
        <v>100</v>
      </c>
      <c r="AK11" s="14" t="s">
        <v>100</v>
      </c>
      <c r="AL11" s="16" t="s">
        <v>100</v>
      </c>
      <c r="AM11" s="16" t="s">
        <v>100</v>
      </c>
      <c r="AN11" s="14" t="s">
        <v>100</v>
      </c>
      <c r="AO11" s="14" t="s">
        <v>100</v>
      </c>
    </row>
    <row r="12" spans="1:41" ht="43.5" x14ac:dyDescent="0.35">
      <c r="A12" s="14" t="s">
        <v>55</v>
      </c>
      <c r="B12" s="14" t="s">
        <v>56</v>
      </c>
      <c r="C12" s="15">
        <v>45818.402777777781</v>
      </c>
      <c r="D12" s="14" t="s">
        <v>57</v>
      </c>
      <c r="E12" s="16" t="s">
        <v>58</v>
      </c>
      <c r="F12" s="14" t="s">
        <v>59</v>
      </c>
      <c r="G12" s="16" t="s">
        <v>60</v>
      </c>
      <c r="H12" s="14" t="s">
        <v>61</v>
      </c>
      <c r="I12" s="16" t="s">
        <v>62</v>
      </c>
      <c r="J12" s="16" t="s">
        <v>63</v>
      </c>
      <c r="K12" s="16" t="s">
        <v>64</v>
      </c>
      <c r="L12" s="14" t="s">
        <v>65</v>
      </c>
      <c r="M12" s="16" t="s">
        <v>66</v>
      </c>
      <c r="N12" s="14" t="s">
        <v>67</v>
      </c>
      <c r="O12" s="16" t="s">
        <v>68</v>
      </c>
      <c r="P12" s="16" t="s">
        <v>69</v>
      </c>
      <c r="Q12" s="16" t="s">
        <v>138</v>
      </c>
      <c r="R12" s="14" t="s">
        <v>139</v>
      </c>
      <c r="S12" s="14" t="s">
        <v>73</v>
      </c>
      <c r="T12" s="14" t="s">
        <v>74</v>
      </c>
      <c r="U12" s="15">
        <v>40550</v>
      </c>
      <c r="V12" s="15"/>
      <c r="W12" s="16"/>
      <c r="X12" s="16" t="s">
        <v>100</v>
      </c>
      <c r="Y12" s="14" t="s">
        <v>100</v>
      </c>
      <c r="Z12" s="16" t="s">
        <v>100</v>
      </c>
      <c r="AA12" s="16" t="s">
        <v>100</v>
      </c>
      <c r="AB12" s="16" t="s">
        <v>100</v>
      </c>
      <c r="AC12" s="14" t="s">
        <v>100</v>
      </c>
      <c r="AD12" s="16" t="s">
        <v>100</v>
      </c>
      <c r="AE12" s="16" t="s">
        <v>100</v>
      </c>
      <c r="AF12" s="16" t="s">
        <v>100</v>
      </c>
      <c r="AG12" s="14" t="s">
        <v>100</v>
      </c>
      <c r="AH12" s="16" t="s">
        <v>100</v>
      </c>
      <c r="AI12" s="16" t="s">
        <v>100</v>
      </c>
      <c r="AJ12" s="16" t="s">
        <v>100</v>
      </c>
      <c r="AK12" s="14" t="s">
        <v>100</v>
      </c>
      <c r="AL12" s="16" t="s">
        <v>100</v>
      </c>
      <c r="AM12" s="16" t="s">
        <v>100</v>
      </c>
      <c r="AN12" s="14" t="s">
        <v>100</v>
      </c>
      <c r="AO12" s="14" t="s">
        <v>100</v>
      </c>
    </row>
    <row r="13" spans="1:41" ht="43.5" x14ac:dyDescent="0.35">
      <c r="A13" s="14" t="s">
        <v>55</v>
      </c>
      <c r="B13" s="14" t="s">
        <v>56</v>
      </c>
      <c r="C13" s="15">
        <v>45818.404166666667</v>
      </c>
      <c r="D13" s="14" t="s">
        <v>57</v>
      </c>
      <c r="E13" s="16" t="s">
        <v>58</v>
      </c>
      <c r="F13" s="14" t="s">
        <v>59</v>
      </c>
      <c r="G13" s="16" t="s">
        <v>60</v>
      </c>
      <c r="H13" s="14" t="s">
        <v>61</v>
      </c>
      <c r="I13" s="16" t="s">
        <v>62</v>
      </c>
      <c r="J13" s="16" t="s">
        <v>63</v>
      </c>
      <c r="K13" s="16" t="s">
        <v>64</v>
      </c>
      <c r="L13" s="14" t="s">
        <v>101</v>
      </c>
      <c r="M13" s="16" t="s">
        <v>102</v>
      </c>
      <c r="N13" s="14" t="s">
        <v>67</v>
      </c>
      <c r="O13" s="16" t="s">
        <v>103</v>
      </c>
      <c r="P13" s="16" t="s">
        <v>104</v>
      </c>
      <c r="Q13" s="16" t="s">
        <v>138</v>
      </c>
      <c r="R13" s="14" t="s">
        <v>139</v>
      </c>
      <c r="S13" s="14" t="s">
        <v>73</v>
      </c>
      <c r="T13" s="14" t="s">
        <v>74</v>
      </c>
      <c r="U13" s="15">
        <v>40550</v>
      </c>
      <c r="V13" s="15"/>
      <c r="W13" s="16"/>
      <c r="X13" s="16" t="s">
        <v>100</v>
      </c>
      <c r="Y13" s="14" t="s">
        <v>100</v>
      </c>
      <c r="Z13" s="16" t="s">
        <v>100</v>
      </c>
      <c r="AA13" s="16" t="s">
        <v>100</v>
      </c>
      <c r="AB13" s="16" t="s">
        <v>100</v>
      </c>
      <c r="AC13" s="14" t="s">
        <v>100</v>
      </c>
      <c r="AD13" s="16" t="s">
        <v>100</v>
      </c>
      <c r="AE13" s="16" t="s">
        <v>100</v>
      </c>
      <c r="AF13" s="16" t="s">
        <v>100</v>
      </c>
      <c r="AG13" s="14" t="s">
        <v>100</v>
      </c>
      <c r="AH13" s="16" t="s">
        <v>100</v>
      </c>
      <c r="AI13" s="16" t="s">
        <v>100</v>
      </c>
      <c r="AJ13" s="16" t="s">
        <v>100</v>
      </c>
      <c r="AK13" s="14" t="s">
        <v>100</v>
      </c>
      <c r="AL13" s="16" t="s">
        <v>100</v>
      </c>
      <c r="AM13" s="16" t="s">
        <v>100</v>
      </c>
      <c r="AN13" s="14" t="s">
        <v>100</v>
      </c>
      <c r="AO13" s="14" t="s">
        <v>100</v>
      </c>
    </row>
    <row r="14" spans="1:41" ht="87" x14ac:dyDescent="0.35">
      <c r="A14" s="14" t="s">
        <v>55</v>
      </c>
      <c r="B14" s="14" t="s">
        <v>56</v>
      </c>
      <c r="C14" s="15">
        <v>45818.406944444447</v>
      </c>
      <c r="D14" s="14" t="s">
        <v>57</v>
      </c>
      <c r="E14" s="16" t="s">
        <v>58</v>
      </c>
      <c r="F14" s="14" t="s">
        <v>59</v>
      </c>
      <c r="G14" s="16" t="s">
        <v>60</v>
      </c>
      <c r="H14" s="14" t="s">
        <v>61</v>
      </c>
      <c r="I14" s="16" t="s">
        <v>62</v>
      </c>
      <c r="J14" s="16" t="s">
        <v>63</v>
      </c>
      <c r="K14" s="16" t="s">
        <v>64</v>
      </c>
      <c r="L14" s="14" t="s">
        <v>114</v>
      </c>
      <c r="M14" s="16" t="s">
        <v>115</v>
      </c>
      <c r="N14" s="14" t="s">
        <v>67</v>
      </c>
      <c r="O14" s="16" t="s">
        <v>116</v>
      </c>
      <c r="P14" s="16" t="s">
        <v>117</v>
      </c>
      <c r="Q14" s="16" t="s">
        <v>138</v>
      </c>
      <c r="R14" s="14" t="s">
        <v>139</v>
      </c>
      <c r="S14" s="14" t="s">
        <v>73</v>
      </c>
      <c r="T14" s="14" t="s">
        <v>74</v>
      </c>
      <c r="U14" s="15">
        <v>40550</v>
      </c>
      <c r="V14" s="15"/>
      <c r="W14" s="16"/>
      <c r="X14" s="16" t="s">
        <v>100</v>
      </c>
      <c r="Y14" s="14" t="s">
        <v>100</v>
      </c>
      <c r="Z14" s="16" t="s">
        <v>100</v>
      </c>
      <c r="AA14" s="16" t="s">
        <v>100</v>
      </c>
      <c r="AB14" s="16" t="s">
        <v>100</v>
      </c>
      <c r="AC14" s="14" t="s">
        <v>100</v>
      </c>
      <c r="AD14" s="16" t="s">
        <v>100</v>
      </c>
      <c r="AE14" s="16" t="s">
        <v>100</v>
      </c>
      <c r="AF14" s="16" t="s">
        <v>100</v>
      </c>
      <c r="AG14" s="14" t="s">
        <v>100</v>
      </c>
      <c r="AH14" s="16" t="s">
        <v>100</v>
      </c>
      <c r="AI14" s="16" t="s">
        <v>100</v>
      </c>
      <c r="AJ14" s="16" t="s">
        <v>100</v>
      </c>
      <c r="AK14" s="14" t="s">
        <v>100</v>
      </c>
      <c r="AL14" s="16" t="s">
        <v>100</v>
      </c>
      <c r="AM14" s="16" t="s">
        <v>100</v>
      </c>
      <c r="AN14" s="14" t="s">
        <v>100</v>
      </c>
      <c r="AO14" s="14" t="s">
        <v>100</v>
      </c>
    </row>
    <row r="15" spans="1:41" ht="43.5" x14ac:dyDescent="0.35">
      <c r="A15" s="14" t="s">
        <v>55</v>
      </c>
      <c r="B15" s="14" t="s">
        <v>56</v>
      </c>
      <c r="C15" s="15">
        <v>45818.408333333333</v>
      </c>
      <c r="D15" s="14" t="s">
        <v>57</v>
      </c>
      <c r="E15" s="16" t="s">
        <v>58</v>
      </c>
      <c r="F15" s="14" t="s">
        <v>59</v>
      </c>
      <c r="G15" s="16" t="s">
        <v>60</v>
      </c>
      <c r="H15" s="14" t="s">
        <v>61</v>
      </c>
      <c r="I15" s="16" t="s">
        <v>62</v>
      </c>
      <c r="J15" s="16" t="s">
        <v>63</v>
      </c>
      <c r="K15" s="16" t="s">
        <v>64</v>
      </c>
      <c r="L15" s="14" t="s">
        <v>125</v>
      </c>
      <c r="M15" s="16" t="s">
        <v>126</v>
      </c>
      <c r="N15" s="14" t="s">
        <v>67</v>
      </c>
      <c r="O15" s="16" t="s">
        <v>127</v>
      </c>
      <c r="P15" s="16" t="s">
        <v>128</v>
      </c>
      <c r="Q15" s="16" t="s">
        <v>138</v>
      </c>
      <c r="R15" s="14" t="s">
        <v>139</v>
      </c>
      <c r="S15" s="14" t="s">
        <v>73</v>
      </c>
      <c r="T15" s="14" t="s">
        <v>129</v>
      </c>
      <c r="U15" s="15">
        <v>40550</v>
      </c>
      <c r="V15" s="15"/>
      <c r="W15" s="16"/>
      <c r="X15" s="16" t="s">
        <v>100</v>
      </c>
      <c r="Y15" s="14" t="s">
        <v>100</v>
      </c>
      <c r="Z15" s="16" t="s">
        <v>100</v>
      </c>
      <c r="AA15" s="16" t="s">
        <v>100</v>
      </c>
      <c r="AB15" s="16" t="s">
        <v>100</v>
      </c>
      <c r="AC15" s="14" t="s">
        <v>100</v>
      </c>
      <c r="AD15" s="16" t="s">
        <v>100</v>
      </c>
      <c r="AE15" s="16" t="s">
        <v>100</v>
      </c>
      <c r="AF15" s="16" t="s">
        <v>100</v>
      </c>
      <c r="AG15" s="14" t="s">
        <v>100</v>
      </c>
      <c r="AH15" s="16" t="s">
        <v>100</v>
      </c>
      <c r="AI15" s="16" t="s">
        <v>100</v>
      </c>
      <c r="AJ15" s="16" t="s">
        <v>100</v>
      </c>
      <c r="AK15" s="14" t="s">
        <v>100</v>
      </c>
      <c r="AL15" s="16" t="s">
        <v>100</v>
      </c>
      <c r="AM15" s="16" t="s">
        <v>100</v>
      </c>
      <c r="AN15" s="14" t="s">
        <v>100</v>
      </c>
      <c r="AO15" s="14" t="s">
        <v>100</v>
      </c>
    </row>
    <row r="16" spans="1:41" ht="58" x14ac:dyDescent="0.35">
      <c r="A16" s="14" t="s">
        <v>55</v>
      </c>
      <c r="B16" s="14" t="s">
        <v>56</v>
      </c>
      <c r="C16" s="15">
        <v>45818.409722222219</v>
      </c>
      <c r="D16" s="14" t="s">
        <v>57</v>
      </c>
      <c r="E16" s="16" t="s">
        <v>58</v>
      </c>
      <c r="F16" s="14" t="s">
        <v>59</v>
      </c>
      <c r="G16" s="16" t="s">
        <v>60</v>
      </c>
      <c r="H16" s="14" t="s">
        <v>61</v>
      </c>
      <c r="I16" s="16" t="s">
        <v>62</v>
      </c>
      <c r="J16" s="16" t="s">
        <v>63</v>
      </c>
      <c r="K16" s="16" t="s">
        <v>64</v>
      </c>
      <c r="L16" s="14" t="s">
        <v>130</v>
      </c>
      <c r="M16" s="16" t="s">
        <v>131</v>
      </c>
      <c r="N16" s="14" t="s">
        <v>67</v>
      </c>
      <c r="O16" s="16" t="s">
        <v>132</v>
      </c>
      <c r="P16" s="16" t="s">
        <v>133</v>
      </c>
      <c r="Q16" s="16" t="s">
        <v>138</v>
      </c>
      <c r="R16" s="14" t="s">
        <v>139</v>
      </c>
      <c r="S16" s="14" t="s">
        <v>73</v>
      </c>
      <c r="T16" s="14" t="s">
        <v>74</v>
      </c>
      <c r="U16" s="15">
        <v>40550</v>
      </c>
      <c r="V16" s="15"/>
      <c r="W16" s="16"/>
      <c r="X16" s="16" t="s">
        <v>100</v>
      </c>
      <c r="Y16" s="14" t="s">
        <v>100</v>
      </c>
      <c r="Z16" s="16" t="s">
        <v>100</v>
      </c>
      <c r="AA16" s="16" t="s">
        <v>100</v>
      </c>
      <c r="AB16" s="16" t="s">
        <v>100</v>
      </c>
      <c r="AC16" s="14" t="s">
        <v>100</v>
      </c>
      <c r="AD16" s="16" t="s">
        <v>100</v>
      </c>
      <c r="AE16" s="16" t="s">
        <v>100</v>
      </c>
      <c r="AF16" s="16" t="s">
        <v>100</v>
      </c>
      <c r="AG16" s="14" t="s">
        <v>100</v>
      </c>
      <c r="AH16" s="16" t="s">
        <v>100</v>
      </c>
      <c r="AI16" s="16" t="s">
        <v>100</v>
      </c>
      <c r="AJ16" s="16" t="s">
        <v>100</v>
      </c>
      <c r="AK16" s="14" t="s">
        <v>100</v>
      </c>
      <c r="AL16" s="16" t="s">
        <v>100</v>
      </c>
      <c r="AM16" s="16" t="s">
        <v>100</v>
      </c>
      <c r="AN16" s="14" t="s">
        <v>100</v>
      </c>
      <c r="AO16" s="14" t="s">
        <v>100</v>
      </c>
    </row>
    <row r="17" spans="1:41" ht="43.5" x14ac:dyDescent="0.35">
      <c r="A17" s="14" t="s">
        <v>55</v>
      </c>
      <c r="B17" s="14" t="s">
        <v>56</v>
      </c>
      <c r="C17" s="15">
        <v>45818.402083333334</v>
      </c>
      <c r="D17" s="14" t="s">
        <v>57</v>
      </c>
      <c r="E17" s="16" t="s">
        <v>58</v>
      </c>
      <c r="F17" s="14" t="s">
        <v>59</v>
      </c>
      <c r="G17" s="16" t="s">
        <v>60</v>
      </c>
      <c r="H17" s="14" t="s">
        <v>61</v>
      </c>
      <c r="I17" s="16" t="s">
        <v>62</v>
      </c>
      <c r="J17" s="16" t="s">
        <v>63</v>
      </c>
      <c r="K17" s="16" t="s">
        <v>64</v>
      </c>
      <c r="L17" s="14" t="s">
        <v>65</v>
      </c>
      <c r="M17" s="16" t="s">
        <v>66</v>
      </c>
      <c r="N17" s="14" t="s">
        <v>67</v>
      </c>
      <c r="O17" s="16" t="s">
        <v>68</v>
      </c>
      <c r="P17" s="16" t="s">
        <v>69</v>
      </c>
      <c r="Q17" s="16" t="s">
        <v>144</v>
      </c>
      <c r="R17" s="14" t="s">
        <v>145</v>
      </c>
      <c r="S17" s="14" t="s">
        <v>73</v>
      </c>
      <c r="T17" s="14" t="s">
        <v>74</v>
      </c>
      <c r="U17" s="15">
        <v>40550</v>
      </c>
      <c r="V17" s="15"/>
      <c r="W17" s="16"/>
      <c r="X17" s="16" t="s">
        <v>100</v>
      </c>
      <c r="Y17" s="14" t="s">
        <v>100</v>
      </c>
      <c r="Z17" s="16" t="s">
        <v>100</v>
      </c>
      <c r="AA17" s="16" t="s">
        <v>100</v>
      </c>
      <c r="AB17" s="16" t="s">
        <v>100</v>
      </c>
      <c r="AC17" s="14" t="s">
        <v>100</v>
      </c>
      <c r="AD17" s="16" t="s">
        <v>100</v>
      </c>
      <c r="AE17" s="16" t="s">
        <v>100</v>
      </c>
      <c r="AF17" s="16" t="s">
        <v>100</v>
      </c>
      <c r="AG17" s="14" t="s">
        <v>100</v>
      </c>
      <c r="AH17" s="16" t="s">
        <v>100</v>
      </c>
      <c r="AI17" s="16" t="s">
        <v>100</v>
      </c>
      <c r="AJ17" s="16" t="s">
        <v>100</v>
      </c>
      <c r="AK17" s="14" t="s">
        <v>100</v>
      </c>
      <c r="AL17" s="16" t="s">
        <v>100</v>
      </c>
      <c r="AM17" s="16" t="s">
        <v>100</v>
      </c>
      <c r="AN17" s="14" t="s">
        <v>100</v>
      </c>
      <c r="AO17" s="14" t="s">
        <v>100</v>
      </c>
    </row>
    <row r="18" spans="1:41" ht="43.5" x14ac:dyDescent="0.35">
      <c r="A18" s="14" t="s">
        <v>55</v>
      </c>
      <c r="B18" s="14" t="s">
        <v>56</v>
      </c>
      <c r="C18" s="15">
        <v>45818.40347222222</v>
      </c>
      <c r="D18" s="14" t="s">
        <v>57</v>
      </c>
      <c r="E18" s="16" t="s">
        <v>58</v>
      </c>
      <c r="F18" s="14" t="s">
        <v>59</v>
      </c>
      <c r="G18" s="16" t="s">
        <v>60</v>
      </c>
      <c r="H18" s="14" t="s">
        <v>61</v>
      </c>
      <c r="I18" s="16" t="s">
        <v>62</v>
      </c>
      <c r="J18" s="16" t="s">
        <v>63</v>
      </c>
      <c r="K18" s="16" t="s">
        <v>64</v>
      </c>
      <c r="L18" s="14" t="s">
        <v>101</v>
      </c>
      <c r="M18" s="16" t="s">
        <v>102</v>
      </c>
      <c r="N18" s="14" t="s">
        <v>67</v>
      </c>
      <c r="O18" s="16" t="s">
        <v>103</v>
      </c>
      <c r="P18" s="16" t="s">
        <v>104</v>
      </c>
      <c r="Q18" s="16" t="s">
        <v>144</v>
      </c>
      <c r="R18" s="14" t="s">
        <v>145</v>
      </c>
      <c r="S18" s="14" t="s">
        <v>73</v>
      </c>
      <c r="T18" s="14" t="s">
        <v>74</v>
      </c>
      <c r="U18" s="15">
        <v>40550</v>
      </c>
      <c r="V18" s="15"/>
      <c r="W18" s="16"/>
      <c r="X18" s="16" t="s">
        <v>100</v>
      </c>
      <c r="Y18" s="14" t="s">
        <v>100</v>
      </c>
      <c r="Z18" s="16" t="s">
        <v>100</v>
      </c>
      <c r="AA18" s="16" t="s">
        <v>100</v>
      </c>
      <c r="AB18" s="16" t="s">
        <v>100</v>
      </c>
      <c r="AC18" s="14" t="s">
        <v>100</v>
      </c>
      <c r="AD18" s="16" t="s">
        <v>100</v>
      </c>
      <c r="AE18" s="16" t="s">
        <v>100</v>
      </c>
      <c r="AF18" s="16" t="s">
        <v>100</v>
      </c>
      <c r="AG18" s="14" t="s">
        <v>100</v>
      </c>
      <c r="AH18" s="16" t="s">
        <v>100</v>
      </c>
      <c r="AI18" s="16" t="s">
        <v>100</v>
      </c>
      <c r="AJ18" s="16" t="s">
        <v>100</v>
      </c>
      <c r="AK18" s="14" t="s">
        <v>100</v>
      </c>
      <c r="AL18" s="16" t="s">
        <v>100</v>
      </c>
      <c r="AM18" s="16" t="s">
        <v>100</v>
      </c>
      <c r="AN18" s="14" t="s">
        <v>100</v>
      </c>
      <c r="AO18" s="14" t="s">
        <v>100</v>
      </c>
    </row>
    <row r="19" spans="1:41" ht="87" x14ac:dyDescent="0.35">
      <c r="A19" s="14" t="s">
        <v>55</v>
      </c>
      <c r="B19" s="14" t="s">
        <v>56</v>
      </c>
      <c r="C19" s="15">
        <v>45818.406944444447</v>
      </c>
      <c r="D19" s="14" t="s">
        <v>57</v>
      </c>
      <c r="E19" s="16" t="s">
        <v>58</v>
      </c>
      <c r="F19" s="14" t="s">
        <v>59</v>
      </c>
      <c r="G19" s="16" t="s">
        <v>60</v>
      </c>
      <c r="H19" s="14" t="s">
        <v>61</v>
      </c>
      <c r="I19" s="16" t="s">
        <v>62</v>
      </c>
      <c r="J19" s="16" t="s">
        <v>63</v>
      </c>
      <c r="K19" s="16" t="s">
        <v>64</v>
      </c>
      <c r="L19" s="14" t="s">
        <v>114</v>
      </c>
      <c r="M19" s="16" t="s">
        <v>115</v>
      </c>
      <c r="N19" s="14" t="s">
        <v>67</v>
      </c>
      <c r="O19" s="16" t="s">
        <v>116</v>
      </c>
      <c r="P19" s="16" t="s">
        <v>117</v>
      </c>
      <c r="Q19" s="16" t="s">
        <v>144</v>
      </c>
      <c r="R19" s="14" t="s">
        <v>145</v>
      </c>
      <c r="S19" s="14" t="s">
        <v>73</v>
      </c>
      <c r="T19" s="14" t="s">
        <v>74</v>
      </c>
      <c r="U19" s="15">
        <v>40550</v>
      </c>
      <c r="V19" s="15"/>
      <c r="W19" s="16"/>
      <c r="X19" s="16" t="s">
        <v>100</v>
      </c>
      <c r="Y19" s="14" t="s">
        <v>100</v>
      </c>
      <c r="Z19" s="16" t="s">
        <v>100</v>
      </c>
      <c r="AA19" s="16" t="s">
        <v>100</v>
      </c>
      <c r="AB19" s="16" t="s">
        <v>100</v>
      </c>
      <c r="AC19" s="14" t="s">
        <v>100</v>
      </c>
      <c r="AD19" s="16" t="s">
        <v>100</v>
      </c>
      <c r="AE19" s="16" t="s">
        <v>100</v>
      </c>
      <c r="AF19" s="16" t="s">
        <v>100</v>
      </c>
      <c r="AG19" s="14" t="s">
        <v>100</v>
      </c>
      <c r="AH19" s="16" t="s">
        <v>100</v>
      </c>
      <c r="AI19" s="16" t="s">
        <v>100</v>
      </c>
      <c r="AJ19" s="16" t="s">
        <v>100</v>
      </c>
      <c r="AK19" s="14" t="s">
        <v>100</v>
      </c>
      <c r="AL19" s="16" t="s">
        <v>100</v>
      </c>
      <c r="AM19" s="16" t="s">
        <v>100</v>
      </c>
      <c r="AN19" s="14" t="s">
        <v>100</v>
      </c>
      <c r="AO19" s="14" t="s">
        <v>100</v>
      </c>
    </row>
    <row r="20" spans="1:41" ht="43.5" x14ac:dyDescent="0.35">
      <c r="A20" s="14" t="s">
        <v>55</v>
      </c>
      <c r="B20" s="14" t="s">
        <v>56</v>
      </c>
      <c r="C20" s="15">
        <v>45818.408333333333</v>
      </c>
      <c r="D20" s="14" t="s">
        <v>57</v>
      </c>
      <c r="E20" s="16" t="s">
        <v>58</v>
      </c>
      <c r="F20" s="14" t="s">
        <v>59</v>
      </c>
      <c r="G20" s="16" t="s">
        <v>60</v>
      </c>
      <c r="H20" s="14" t="s">
        <v>61</v>
      </c>
      <c r="I20" s="16" t="s">
        <v>62</v>
      </c>
      <c r="J20" s="16" t="s">
        <v>63</v>
      </c>
      <c r="K20" s="16" t="s">
        <v>64</v>
      </c>
      <c r="L20" s="14" t="s">
        <v>125</v>
      </c>
      <c r="M20" s="16" t="s">
        <v>126</v>
      </c>
      <c r="N20" s="14" t="s">
        <v>67</v>
      </c>
      <c r="O20" s="16" t="s">
        <v>127</v>
      </c>
      <c r="P20" s="16" t="s">
        <v>128</v>
      </c>
      <c r="Q20" s="16" t="s">
        <v>144</v>
      </c>
      <c r="R20" s="14" t="s">
        <v>145</v>
      </c>
      <c r="S20" s="14" t="s">
        <v>73</v>
      </c>
      <c r="T20" s="14" t="s">
        <v>129</v>
      </c>
      <c r="U20" s="15">
        <v>40550</v>
      </c>
      <c r="V20" s="15"/>
      <c r="W20" s="16"/>
      <c r="X20" s="16" t="s">
        <v>100</v>
      </c>
      <c r="Y20" s="14" t="s">
        <v>100</v>
      </c>
      <c r="Z20" s="16" t="s">
        <v>100</v>
      </c>
      <c r="AA20" s="16" t="s">
        <v>100</v>
      </c>
      <c r="AB20" s="16" t="s">
        <v>100</v>
      </c>
      <c r="AC20" s="14" t="s">
        <v>100</v>
      </c>
      <c r="AD20" s="16" t="s">
        <v>100</v>
      </c>
      <c r="AE20" s="16" t="s">
        <v>100</v>
      </c>
      <c r="AF20" s="16" t="s">
        <v>100</v>
      </c>
      <c r="AG20" s="14" t="s">
        <v>100</v>
      </c>
      <c r="AH20" s="16" t="s">
        <v>100</v>
      </c>
      <c r="AI20" s="16" t="s">
        <v>100</v>
      </c>
      <c r="AJ20" s="16" t="s">
        <v>100</v>
      </c>
      <c r="AK20" s="14" t="s">
        <v>100</v>
      </c>
      <c r="AL20" s="16" t="s">
        <v>100</v>
      </c>
      <c r="AM20" s="16" t="s">
        <v>100</v>
      </c>
      <c r="AN20" s="14" t="s">
        <v>100</v>
      </c>
      <c r="AO20" s="14" t="s">
        <v>100</v>
      </c>
    </row>
    <row r="21" spans="1:41" ht="58" x14ac:dyDescent="0.35">
      <c r="A21" s="14" t="s">
        <v>55</v>
      </c>
      <c r="B21" s="14" t="s">
        <v>56</v>
      </c>
      <c r="C21" s="15">
        <v>45818.40902777778</v>
      </c>
      <c r="D21" s="14" t="s">
        <v>57</v>
      </c>
      <c r="E21" s="16" t="s">
        <v>58</v>
      </c>
      <c r="F21" s="14" t="s">
        <v>59</v>
      </c>
      <c r="G21" s="16" t="s">
        <v>60</v>
      </c>
      <c r="H21" s="14" t="s">
        <v>61</v>
      </c>
      <c r="I21" s="16" t="s">
        <v>62</v>
      </c>
      <c r="J21" s="16" t="s">
        <v>63</v>
      </c>
      <c r="K21" s="16" t="s">
        <v>64</v>
      </c>
      <c r="L21" s="14" t="s">
        <v>130</v>
      </c>
      <c r="M21" s="16" t="s">
        <v>131</v>
      </c>
      <c r="N21" s="14" t="s">
        <v>67</v>
      </c>
      <c r="O21" s="16" t="s">
        <v>132</v>
      </c>
      <c r="P21" s="16" t="s">
        <v>133</v>
      </c>
      <c r="Q21" s="16" t="s">
        <v>144</v>
      </c>
      <c r="R21" s="14" t="s">
        <v>145</v>
      </c>
      <c r="S21" s="14" t="s">
        <v>73</v>
      </c>
      <c r="T21" s="14" t="s">
        <v>74</v>
      </c>
      <c r="U21" s="15">
        <v>40550</v>
      </c>
      <c r="V21" s="15"/>
      <c r="W21" s="16"/>
      <c r="X21" s="16" t="s">
        <v>100</v>
      </c>
      <c r="Y21" s="14" t="s">
        <v>100</v>
      </c>
      <c r="Z21" s="16" t="s">
        <v>100</v>
      </c>
      <c r="AA21" s="16" t="s">
        <v>100</v>
      </c>
      <c r="AB21" s="16" t="s">
        <v>100</v>
      </c>
      <c r="AC21" s="14" t="s">
        <v>100</v>
      </c>
      <c r="AD21" s="16" t="s">
        <v>100</v>
      </c>
      <c r="AE21" s="16" t="s">
        <v>100</v>
      </c>
      <c r="AF21" s="16" t="s">
        <v>100</v>
      </c>
      <c r="AG21" s="14" t="s">
        <v>100</v>
      </c>
      <c r="AH21" s="16" t="s">
        <v>100</v>
      </c>
      <c r="AI21" s="16" t="s">
        <v>100</v>
      </c>
      <c r="AJ21" s="16" t="s">
        <v>100</v>
      </c>
      <c r="AK21" s="14" t="s">
        <v>100</v>
      </c>
      <c r="AL21" s="16" t="s">
        <v>100</v>
      </c>
      <c r="AM21" s="16" t="s">
        <v>100</v>
      </c>
      <c r="AN21" s="14" t="s">
        <v>100</v>
      </c>
      <c r="AO21" s="14" t="s">
        <v>100</v>
      </c>
    </row>
    <row r="22" spans="1:41" ht="43.5" x14ac:dyDescent="0.35">
      <c r="A22" s="14" t="s">
        <v>55</v>
      </c>
      <c r="B22" s="14" t="s">
        <v>56</v>
      </c>
      <c r="C22" s="15">
        <v>45818.402777777781</v>
      </c>
      <c r="D22" s="14" t="s">
        <v>57</v>
      </c>
      <c r="E22" s="16" t="s">
        <v>58</v>
      </c>
      <c r="F22" s="14" t="s">
        <v>59</v>
      </c>
      <c r="G22" s="16" t="s">
        <v>60</v>
      </c>
      <c r="H22" s="14" t="s">
        <v>61</v>
      </c>
      <c r="I22" s="16" t="s">
        <v>62</v>
      </c>
      <c r="J22" s="16" t="s">
        <v>63</v>
      </c>
      <c r="K22" s="16" t="s">
        <v>64</v>
      </c>
      <c r="L22" s="14" t="s">
        <v>65</v>
      </c>
      <c r="M22" s="16" t="s">
        <v>66</v>
      </c>
      <c r="N22" s="14" t="s">
        <v>67</v>
      </c>
      <c r="O22" s="16" t="s">
        <v>68</v>
      </c>
      <c r="P22" s="16" t="s">
        <v>69</v>
      </c>
      <c r="Q22" s="16" t="s">
        <v>147</v>
      </c>
      <c r="R22" s="14" t="s">
        <v>148</v>
      </c>
      <c r="S22" s="14" t="s">
        <v>73</v>
      </c>
      <c r="T22" s="14" t="s">
        <v>129</v>
      </c>
      <c r="U22" s="15">
        <v>40550</v>
      </c>
      <c r="V22" s="15"/>
      <c r="W22" s="16"/>
      <c r="X22" s="16" t="s">
        <v>100</v>
      </c>
      <c r="Y22" s="14" t="s">
        <v>100</v>
      </c>
      <c r="Z22" s="16" t="s">
        <v>100</v>
      </c>
      <c r="AA22" s="16" t="s">
        <v>100</v>
      </c>
      <c r="AB22" s="16" t="s">
        <v>100</v>
      </c>
      <c r="AC22" s="14" t="s">
        <v>100</v>
      </c>
      <c r="AD22" s="16" t="s">
        <v>100</v>
      </c>
      <c r="AE22" s="16" t="s">
        <v>100</v>
      </c>
      <c r="AF22" s="16" t="s">
        <v>100</v>
      </c>
      <c r="AG22" s="14" t="s">
        <v>100</v>
      </c>
      <c r="AH22" s="16" t="s">
        <v>100</v>
      </c>
      <c r="AI22" s="16" t="s">
        <v>100</v>
      </c>
      <c r="AJ22" s="16" t="s">
        <v>100</v>
      </c>
      <c r="AK22" s="14" t="s">
        <v>100</v>
      </c>
      <c r="AL22" s="16" t="s">
        <v>100</v>
      </c>
      <c r="AM22" s="16" t="s">
        <v>100</v>
      </c>
      <c r="AN22" s="14" t="s">
        <v>100</v>
      </c>
      <c r="AO22" s="14" t="s">
        <v>100</v>
      </c>
    </row>
    <row r="23" spans="1:41" ht="43.5" x14ac:dyDescent="0.35">
      <c r="A23" s="14" t="s">
        <v>55</v>
      </c>
      <c r="B23" s="14" t="s">
        <v>56</v>
      </c>
      <c r="C23" s="15">
        <v>45818.404166666667</v>
      </c>
      <c r="D23" s="14" t="s">
        <v>57</v>
      </c>
      <c r="E23" s="16" t="s">
        <v>58</v>
      </c>
      <c r="F23" s="14" t="s">
        <v>59</v>
      </c>
      <c r="G23" s="16" t="s">
        <v>60</v>
      </c>
      <c r="H23" s="14" t="s">
        <v>61</v>
      </c>
      <c r="I23" s="16" t="s">
        <v>62</v>
      </c>
      <c r="J23" s="16" t="s">
        <v>63</v>
      </c>
      <c r="K23" s="16" t="s">
        <v>64</v>
      </c>
      <c r="L23" s="14" t="s">
        <v>101</v>
      </c>
      <c r="M23" s="16" t="s">
        <v>102</v>
      </c>
      <c r="N23" s="14" t="s">
        <v>67</v>
      </c>
      <c r="O23" s="16" t="s">
        <v>103</v>
      </c>
      <c r="P23" s="16" t="s">
        <v>104</v>
      </c>
      <c r="Q23" s="16" t="s">
        <v>147</v>
      </c>
      <c r="R23" s="14" t="s">
        <v>148</v>
      </c>
      <c r="S23" s="14" t="s">
        <v>73</v>
      </c>
      <c r="T23" s="14" t="s">
        <v>74</v>
      </c>
      <c r="U23" s="15">
        <v>40550</v>
      </c>
      <c r="V23" s="15"/>
      <c r="W23" s="16"/>
      <c r="X23" s="16" t="s">
        <v>100</v>
      </c>
      <c r="Y23" s="14" t="s">
        <v>100</v>
      </c>
      <c r="Z23" s="16" t="s">
        <v>100</v>
      </c>
      <c r="AA23" s="16" t="s">
        <v>100</v>
      </c>
      <c r="AB23" s="16" t="s">
        <v>100</v>
      </c>
      <c r="AC23" s="14" t="s">
        <v>100</v>
      </c>
      <c r="AD23" s="16" t="s">
        <v>100</v>
      </c>
      <c r="AE23" s="16" t="s">
        <v>100</v>
      </c>
      <c r="AF23" s="16" t="s">
        <v>100</v>
      </c>
      <c r="AG23" s="14" t="s">
        <v>100</v>
      </c>
      <c r="AH23" s="16" t="s">
        <v>100</v>
      </c>
      <c r="AI23" s="16" t="s">
        <v>100</v>
      </c>
      <c r="AJ23" s="16" t="s">
        <v>100</v>
      </c>
      <c r="AK23" s="14" t="s">
        <v>100</v>
      </c>
      <c r="AL23" s="16" t="s">
        <v>100</v>
      </c>
      <c r="AM23" s="16" t="s">
        <v>100</v>
      </c>
      <c r="AN23" s="14" t="s">
        <v>100</v>
      </c>
      <c r="AO23" s="14" t="s">
        <v>100</v>
      </c>
    </row>
    <row r="24" spans="1:41" ht="87" x14ac:dyDescent="0.35">
      <c r="A24" s="14" t="s">
        <v>55</v>
      </c>
      <c r="B24" s="14" t="s">
        <v>56</v>
      </c>
      <c r="C24" s="15">
        <v>45818.406944444447</v>
      </c>
      <c r="D24" s="14" t="s">
        <v>57</v>
      </c>
      <c r="E24" s="16" t="s">
        <v>58</v>
      </c>
      <c r="F24" s="14" t="s">
        <v>59</v>
      </c>
      <c r="G24" s="16" t="s">
        <v>60</v>
      </c>
      <c r="H24" s="14" t="s">
        <v>61</v>
      </c>
      <c r="I24" s="16" t="s">
        <v>62</v>
      </c>
      <c r="J24" s="16" t="s">
        <v>63</v>
      </c>
      <c r="K24" s="16" t="s">
        <v>64</v>
      </c>
      <c r="L24" s="14" t="s">
        <v>114</v>
      </c>
      <c r="M24" s="16" t="s">
        <v>115</v>
      </c>
      <c r="N24" s="14" t="s">
        <v>67</v>
      </c>
      <c r="O24" s="16" t="s">
        <v>116</v>
      </c>
      <c r="P24" s="16" t="s">
        <v>117</v>
      </c>
      <c r="Q24" s="16" t="s">
        <v>147</v>
      </c>
      <c r="R24" s="14" t="s">
        <v>148</v>
      </c>
      <c r="S24" s="14" t="s">
        <v>73</v>
      </c>
      <c r="T24" s="14" t="s">
        <v>74</v>
      </c>
      <c r="U24" s="15">
        <v>40550</v>
      </c>
      <c r="V24" s="15"/>
      <c r="W24" s="16"/>
      <c r="X24" s="16" t="s">
        <v>100</v>
      </c>
      <c r="Y24" s="14" t="s">
        <v>100</v>
      </c>
      <c r="Z24" s="16" t="s">
        <v>100</v>
      </c>
      <c r="AA24" s="16" t="s">
        <v>100</v>
      </c>
      <c r="AB24" s="16" t="s">
        <v>100</v>
      </c>
      <c r="AC24" s="14" t="s">
        <v>100</v>
      </c>
      <c r="AD24" s="16" t="s">
        <v>100</v>
      </c>
      <c r="AE24" s="16" t="s">
        <v>100</v>
      </c>
      <c r="AF24" s="16" t="s">
        <v>100</v>
      </c>
      <c r="AG24" s="14" t="s">
        <v>100</v>
      </c>
      <c r="AH24" s="16" t="s">
        <v>100</v>
      </c>
      <c r="AI24" s="16" t="s">
        <v>100</v>
      </c>
      <c r="AJ24" s="16" t="s">
        <v>100</v>
      </c>
      <c r="AK24" s="14" t="s">
        <v>100</v>
      </c>
      <c r="AL24" s="16" t="s">
        <v>100</v>
      </c>
      <c r="AM24" s="16" t="s">
        <v>100</v>
      </c>
      <c r="AN24" s="14" t="s">
        <v>100</v>
      </c>
      <c r="AO24" s="14" t="s">
        <v>100</v>
      </c>
    </row>
    <row r="25" spans="1:41" ht="43.5" x14ac:dyDescent="0.35">
      <c r="A25" s="14" t="s">
        <v>55</v>
      </c>
      <c r="B25" s="14" t="s">
        <v>56</v>
      </c>
      <c r="C25" s="15">
        <v>45818.40902777778</v>
      </c>
      <c r="D25" s="14" t="s">
        <v>57</v>
      </c>
      <c r="E25" s="16" t="s">
        <v>58</v>
      </c>
      <c r="F25" s="14" t="s">
        <v>59</v>
      </c>
      <c r="G25" s="16" t="s">
        <v>60</v>
      </c>
      <c r="H25" s="14" t="s">
        <v>61</v>
      </c>
      <c r="I25" s="16" t="s">
        <v>62</v>
      </c>
      <c r="J25" s="16" t="s">
        <v>63</v>
      </c>
      <c r="K25" s="16" t="s">
        <v>64</v>
      </c>
      <c r="L25" s="14" t="s">
        <v>125</v>
      </c>
      <c r="M25" s="16" t="s">
        <v>126</v>
      </c>
      <c r="N25" s="14" t="s">
        <v>67</v>
      </c>
      <c r="O25" s="16" t="s">
        <v>127</v>
      </c>
      <c r="P25" s="16" t="s">
        <v>128</v>
      </c>
      <c r="Q25" s="16" t="s">
        <v>147</v>
      </c>
      <c r="R25" s="14" t="s">
        <v>148</v>
      </c>
      <c r="S25" s="14" t="s">
        <v>73</v>
      </c>
      <c r="T25" s="14" t="s">
        <v>129</v>
      </c>
      <c r="U25" s="15">
        <v>40550</v>
      </c>
      <c r="V25" s="15"/>
      <c r="W25" s="16"/>
      <c r="X25" s="16" t="s">
        <v>100</v>
      </c>
      <c r="Y25" s="14" t="s">
        <v>100</v>
      </c>
      <c r="Z25" s="16" t="s">
        <v>100</v>
      </c>
      <c r="AA25" s="16" t="s">
        <v>100</v>
      </c>
      <c r="AB25" s="16" t="s">
        <v>100</v>
      </c>
      <c r="AC25" s="14" t="s">
        <v>100</v>
      </c>
      <c r="AD25" s="16" t="s">
        <v>100</v>
      </c>
      <c r="AE25" s="16" t="s">
        <v>100</v>
      </c>
      <c r="AF25" s="16" t="s">
        <v>100</v>
      </c>
      <c r="AG25" s="14" t="s">
        <v>100</v>
      </c>
      <c r="AH25" s="16" t="s">
        <v>100</v>
      </c>
      <c r="AI25" s="16" t="s">
        <v>100</v>
      </c>
      <c r="AJ25" s="16" t="s">
        <v>100</v>
      </c>
      <c r="AK25" s="14" t="s">
        <v>100</v>
      </c>
      <c r="AL25" s="16" t="s">
        <v>100</v>
      </c>
      <c r="AM25" s="16" t="s">
        <v>100</v>
      </c>
      <c r="AN25" s="14" t="s">
        <v>100</v>
      </c>
      <c r="AO25" s="14" t="s">
        <v>100</v>
      </c>
    </row>
    <row r="26" spans="1:41" ht="58" x14ac:dyDescent="0.35">
      <c r="A26" s="14" t="s">
        <v>55</v>
      </c>
      <c r="B26" s="14" t="s">
        <v>56</v>
      </c>
      <c r="C26" s="15">
        <v>45818.409722222219</v>
      </c>
      <c r="D26" s="14" t="s">
        <v>57</v>
      </c>
      <c r="E26" s="16" t="s">
        <v>58</v>
      </c>
      <c r="F26" s="14" t="s">
        <v>59</v>
      </c>
      <c r="G26" s="16" t="s">
        <v>60</v>
      </c>
      <c r="H26" s="14" t="s">
        <v>61</v>
      </c>
      <c r="I26" s="16" t="s">
        <v>62</v>
      </c>
      <c r="J26" s="16" t="s">
        <v>63</v>
      </c>
      <c r="K26" s="16" t="s">
        <v>64</v>
      </c>
      <c r="L26" s="14" t="s">
        <v>130</v>
      </c>
      <c r="M26" s="16" t="s">
        <v>131</v>
      </c>
      <c r="N26" s="14" t="s">
        <v>67</v>
      </c>
      <c r="O26" s="16" t="s">
        <v>132</v>
      </c>
      <c r="P26" s="16" t="s">
        <v>133</v>
      </c>
      <c r="Q26" s="16" t="s">
        <v>147</v>
      </c>
      <c r="R26" s="14" t="s">
        <v>148</v>
      </c>
      <c r="S26" s="14" t="s">
        <v>73</v>
      </c>
      <c r="T26" s="14" t="s">
        <v>74</v>
      </c>
      <c r="U26" s="15">
        <v>40550</v>
      </c>
      <c r="V26" s="15"/>
      <c r="W26" s="16"/>
      <c r="X26" s="16" t="s">
        <v>100</v>
      </c>
      <c r="Y26" s="14" t="s">
        <v>100</v>
      </c>
      <c r="Z26" s="16" t="s">
        <v>100</v>
      </c>
      <c r="AA26" s="16" t="s">
        <v>100</v>
      </c>
      <c r="AB26" s="16" t="s">
        <v>100</v>
      </c>
      <c r="AC26" s="14" t="s">
        <v>100</v>
      </c>
      <c r="AD26" s="16" t="s">
        <v>100</v>
      </c>
      <c r="AE26" s="16" t="s">
        <v>100</v>
      </c>
      <c r="AF26" s="16" t="s">
        <v>100</v>
      </c>
      <c r="AG26" s="14" t="s">
        <v>100</v>
      </c>
      <c r="AH26" s="16" t="s">
        <v>100</v>
      </c>
      <c r="AI26" s="16" t="s">
        <v>100</v>
      </c>
      <c r="AJ26" s="16" t="s">
        <v>100</v>
      </c>
      <c r="AK26" s="14" t="s">
        <v>100</v>
      </c>
      <c r="AL26" s="16" t="s">
        <v>100</v>
      </c>
      <c r="AM26" s="16" t="s">
        <v>100</v>
      </c>
      <c r="AN26" s="14" t="s">
        <v>100</v>
      </c>
      <c r="AO26" s="14" t="s">
        <v>100</v>
      </c>
    </row>
    <row r="27" spans="1:41" ht="43.5" x14ac:dyDescent="0.35">
      <c r="A27" s="14" t="s">
        <v>55</v>
      </c>
      <c r="B27" s="14" t="s">
        <v>56</v>
      </c>
      <c r="C27" s="15">
        <v>45818.400694444441</v>
      </c>
      <c r="D27" s="14" t="s">
        <v>57</v>
      </c>
      <c r="E27" s="16" t="s">
        <v>58</v>
      </c>
      <c r="F27" s="14" t="s">
        <v>59</v>
      </c>
      <c r="G27" s="16" t="s">
        <v>60</v>
      </c>
      <c r="H27" s="14" t="s">
        <v>61</v>
      </c>
      <c r="I27" s="16" t="s">
        <v>62</v>
      </c>
      <c r="J27" s="16" t="s">
        <v>63</v>
      </c>
      <c r="K27" s="16" t="s">
        <v>64</v>
      </c>
      <c r="L27" s="14" t="s">
        <v>125</v>
      </c>
      <c r="M27" s="16" t="s">
        <v>126</v>
      </c>
      <c r="N27" s="14" t="s">
        <v>67</v>
      </c>
      <c r="O27" s="16" t="s">
        <v>127</v>
      </c>
      <c r="P27" s="16" t="s">
        <v>128</v>
      </c>
      <c r="Q27" s="16" t="s">
        <v>150</v>
      </c>
      <c r="R27" s="14" t="s">
        <v>151</v>
      </c>
      <c r="S27" s="14" t="s">
        <v>152</v>
      </c>
      <c r="T27" s="14" t="s">
        <v>74</v>
      </c>
      <c r="U27" s="15">
        <v>40550</v>
      </c>
      <c r="V27" s="15"/>
      <c r="W27" s="16"/>
      <c r="X27" s="16" t="s">
        <v>100</v>
      </c>
      <c r="Y27" s="14" t="s">
        <v>100</v>
      </c>
      <c r="Z27" s="16" t="s">
        <v>100</v>
      </c>
      <c r="AA27" s="16" t="s">
        <v>100</v>
      </c>
      <c r="AB27" s="16" t="s">
        <v>100</v>
      </c>
      <c r="AC27" s="14" t="s">
        <v>100</v>
      </c>
      <c r="AD27" s="16" t="s">
        <v>100</v>
      </c>
      <c r="AE27" s="16" t="s">
        <v>100</v>
      </c>
      <c r="AF27" s="16" t="s">
        <v>100</v>
      </c>
      <c r="AG27" s="14" t="s">
        <v>100</v>
      </c>
      <c r="AH27" s="16" t="s">
        <v>100</v>
      </c>
      <c r="AI27" s="16" t="s">
        <v>100</v>
      </c>
      <c r="AJ27" s="16" t="s">
        <v>100</v>
      </c>
      <c r="AK27" s="14" t="s">
        <v>100</v>
      </c>
      <c r="AL27" s="16" t="s">
        <v>100</v>
      </c>
      <c r="AM27" s="16" t="s">
        <v>100</v>
      </c>
      <c r="AN27" s="14" t="s">
        <v>100</v>
      </c>
      <c r="AO27" s="14" t="s">
        <v>100</v>
      </c>
    </row>
  </sheetData>
  <autoFilter ref="A1:AS1" xr:uid="{9B6EBF1A-CA17-4B05-930B-1743C53CF65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7A733-4616-46B1-90E4-EE50958A5038}">
  <dimension ref="A1:V49"/>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176</v>
      </c>
      <c r="E1" s="10" t="s">
        <v>177</v>
      </c>
      <c r="F1" s="10" t="s">
        <v>178</v>
      </c>
      <c r="G1" s="10" t="s">
        <v>179</v>
      </c>
      <c r="H1" s="11" t="s">
        <v>22</v>
      </c>
      <c r="I1" s="11" t="s">
        <v>23</v>
      </c>
      <c r="J1" s="10" t="s">
        <v>180</v>
      </c>
      <c r="K1" s="10" t="s">
        <v>181</v>
      </c>
      <c r="L1" s="10" t="s">
        <v>182</v>
      </c>
      <c r="M1" s="10" t="s">
        <v>175</v>
      </c>
      <c r="N1" s="10" t="s">
        <v>183</v>
      </c>
      <c r="O1" s="12" t="s">
        <v>184</v>
      </c>
      <c r="P1" s="12" t="s">
        <v>185</v>
      </c>
      <c r="Q1" s="12" t="s">
        <v>186</v>
      </c>
      <c r="R1" s="12" t="s">
        <v>187</v>
      </c>
      <c r="S1" s="10" t="s">
        <v>53</v>
      </c>
      <c r="T1" s="10" t="s">
        <v>54</v>
      </c>
      <c r="U1" s="10" t="s">
        <v>188</v>
      </c>
      <c r="V1" s="10" t="s">
        <v>189</v>
      </c>
    </row>
    <row r="2" spans="1:22" ht="43.5" x14ac:dyDescent="0.35">
      <c r="A2" s="14" t="s">
        <v>55</v>
      </c>
      <c r="B2" s="14" t="s">
        <v>137</v>
      </c>
      <c r="C2" s="15">
        <v>46196.487500000003</v>
      </c>
      <c r="D2" s="14" t="s">
        <v>76</v>
      </c>
      <c r="E2" s="14" t="s">
        <v>190</v>
      </c>
      <c r="F2" s="16" t="s">
        <v>77</v>
      </c>
      <c r="G2" s="14" t="s">
        <v>191</v>
      </c>
      <c r="H2" s="15">
        <v>40725</v>
      </c>
      <c r="I2" s="15"/>
      <c r="J2" s="16" t="s">
        <v>100</v>
      </c>
      <c r="K2" s="16" t="s">
        <v>192</v>
      </c>
      <c r="L2" s="14" t="s">
        <v>193</v>
      </c>
      <c r="M2" s="16" t="s">
        <v>194</v>
      </c>
      <c r="N2" s="14" t="s">
        <v>100</v>
      </c>
      <c r="O2" s="17"/>
      <c r="P2" s="17"/>
      <c r="Q2" s="17"/>
      <c r="R2" s="17"/>
      <c r="S2" s="14" t="s">
        <v>100</v>
      </c>
      <c r="T2" s="14" t="s">
        <v>100</v>
      </c>
      <c r="U2" s="14" t="s">
        <v>100</v>
      </c>
      <c r="V2" s="16" t="s">
        <v>100</v>
      </c>
    </row>
    <row r="3" spans="1:22" ht="43.5" x14ac:dyDescent="0.35">
      <c r="A3" s="14" t="s">
        <v>55</v>
      </c>
      <c r="B3" s="14" t="s">
        <v>137</v>
      </c>
      <c r="C3" s="15">
        <v>46196.487500000003</v>
      </c>
      <c r="D3" s="14" t="s">
        <v>106</v>
      </c>
      <c r="E3" s="14" t="s">
        <v>190</v>
      </c>
      <c r="F3" s="16" t="s">
        <v>107</v>
      </c>
      <c r="G3" s="14" t="s">
        <v>195</v>
      </c>
      <c r="H3" s="15">
        <v>40725</v>
      </c>
      <c r="I3" s="15"/>
      <c r="J3" s="16" t="s">
        <v>196</v>
      </c>
      <c r="K3" s="16" t="s">
        <v>197</v>
      </c>
      <c r="L3" s="14" t="s">
        <v>193</v>
      </c>
      <c r="M3" s="16" t="s">
        <v>198</v>
      </c>
      <c r="N3" s="14" t="s">
        <v>100</v>
      </c>
      <c r="O3" s="17"/>
      <c r="P3" s="17"/>
      <c r="Q3" s="17"/>
      <c r="R3" s="17"/>
      <c r="S3" s="14" t="s">
        <v>100</v>
      </c>
      <c r="T3" s="14" t="s">
        <v>100</v>
      </c>
      <c r="U3" s="14" t="s">
        <v>100</v>
      </c>
      <c r="V3" s="16" t="s">
        <v>100</v>
      </c>
    </row>
    <row r="4" spans="1:22" ht="43.5" x14ac:dyDescent="0.35">
      <c r="A4" s="14" t="s">
        <v>55</v>
      </c>
      <c r="B4" s="14" t="s">
        <v>137</v>
      </c>
      <c r="C4" s="15">
        <v>46196.487500000003</v>
      </c>
      <c r="D4" s="14" t="s">
        <v>78</v>
      </c>
      <c r="E4" s="14" t="s">
        <v>190</v>
      </c>
      <c r="F4" s="16" t="s">
        <v>79</v>
      </c>
      <c r="G4" s="14" t="s">
        <v>199</v>
      </c>
      <c r="H4" s="15">
        <v>40725</v>
      </c>
      <c r="I4" s="15"/>
      <c r="J4" s="16" t="s">
        <v>200</v>
      </c>
      <c r="K4" s="16" t="s">
        <v>201</v>
      </c>
      <c r="L4" s="14" t="s">
        <v>193</v>
      </c>
      <c r="M4" s="16" t="s">
        <v>202</v>
      </c>
      <c r="N4" s="14" t="s">
        <v>100</v>
      </c>
      <c r="O4" s="17"/>
      <c r="P4" s="17"/>
      <c r="Q4" s="17"/>
      <c r="R4" s="17"/>
      <c r="S4" s="14" t="s">
        <v>100</v>
      </c>
      <c r="T4" s="14" t="s">
        <v>100</v>
      </c>
      <c r="U4" s="14" t="s">
        <v>100</v>
      </c>
      <c r="V4" s="16" t="s">
        <v>100</v>
      </c>
    </row>
    <row r="5" spans="1:22" ht="43.5" x14ac:dyDescent="0.35">
      <c r="A5" s="14" t="s">
        <v>55</v>
      </c>
      <c r="B5" s="14" t="s">
        <v>137</v>
      </c>
      <c r="C5" s="15">
        <v>46196.487500000003</v>
      </c>
      <c r="D5" s="14" t="s">
        <v>80</v>
      </c>
      <c r="E5" s="14" t="s">
        <v>190</v>
      </c>
      <c r="F5" s="16" t="s">
        <v>81</v>
      </c>
      <c r="G5" s="14" t="s">
        <v>203</v>
      </c>
      <c r="H5" s="15">
        <v>40725</v>
      </c>
      <c r="I5" s="15"/>
      <c r="J5" s="16" t="s">
        <v>204</v>
      </c>
      <c r="K5" s="16" t="s">
        <v>205</v>
      </c>
      <c r="L5" s="14" t="s">
        <v>193</v>
      </c>
      <c r="M5" s="16" t="s">
        <v>206</v>
      </c>
      <c r="N5" s="14" t="s">
        <v>100</v>
      </c>
      <c r="O5" s="17"/>
      <c r="P5" s="17"/>
      <c r="Q5" s="17"/>
      <c r="R5" s="17"/>
      <c r="S5" s="14" t="s">
        <v>100</v>
      </c>
      <c r="T5" s="14" t="s">
        <v>100</v>
      </c>
      <c r="U5" s="14" t="s">
        <v>100</v>
      </c>
      <c r="V5" s="16" t="s">
        <v>100</v>
      </c>
    </row>
    <row r="6" spans="1:22" ht="116" x14ac:dyDescent="0.35">
      <c r="A6" s="14" t="s">
        <v>55</v>
      </c>
      <c r="B6" s="14" t="s">
        <v>137</v>
      </c>
      <c r="C6" s="15">
        <v>46196.487500000003</v>
      </c>
      <c r="D6" s="14" t="s">
        <v>82</v>
      </c>
      <c r="E6" s="14" t="s">
        <v>190</v>
      </c>
      <c r="F6" s="16" t="s">
        <v>83</v>
      </c>
      <c r="G6" s="14" t="s">
        <v>207</v>
      </c>
      <c r="H6" s="15">
        <v>40725</v>
      </c>
      <c r="I6" s="15"/>
      <c r="J6" s="16" t="s">
        <v>100</v>
      </c>
      <c r="K6" s="16" t="s">
        <v>208</v>
      </c>
      <c r="L6" s="14" t="s">
        <v>209</v>
      </c>
      <c r="M6" s="16" t="s">
        <v>210</v>
      </c>
      <c r="N6" s="14" t="s">
        <v>100</v>
      </c>
      <c r="O6" s="17"/>
      <c r="P6" s="17"/>
      <c r="Q6" s="17"/>
      <c r="R6" s="17"/>
      <c r="S6" s="14" t="s">
        <v>100</v>
      </c>
      <c r="T6" s="14" t="s">
        <v>100</v>
      </c>
      <c r="U6" s="14" t="s">
        <v>100</v>
      </c>
      <c r="V6" s="16" t="s">
        <v>100</v>
      </c>
    </row>
    <row r="7" spans="1:22" ht="43.5" x14ac:dyDescent="0.35">
      <c r="A7" s="14" t="s">
        <v>55</v>
      </c>
      <c r="B7" s="14" t="s">
        <v>137</v>
      </c>
      <c r="C7" s="15">
        <v>46196.487500000003</v>
      </c>
      <c r="D7" s="14" t="s">
        <v>84</v>
      </c>
      <c r="E7" s="14" t="s">
        <v>190</v>
      </c>
      <c r="F7" s="16" t="s">
        <v>85</v>
      </c>
      <c r="G7" s="14" t="s">
        <v>203</v>
      </c>
      <c r="H7" s="15">
        <v>40725</v>
      </c>
      <c r="I7" s="15"/>
      <c r="J7" s="16" t="s">
        <v>204</v>
      </c>
      <c r="K7" s="16" t="s">
        <v>211</v>
      </c>
      <c r="L7" s="14" t="s">
        <v>193</v>
      </c>
      <c r="M7" s="16" t="s">
        <v>206</v>
      </c>
      <c r="N7" s="14" t="s">
        <v>100</v>
      </c>
      <c r="O7" s="17"/>
      <c r="P7" s="17"/>
      <c r="Q7" s="17"/>
      <c r="R7" s="17"/>
      <c r="S7" s="14" t="s">
        <v>100</v>
      </c>
      <c r="T7" s="14" t="s">
        <v>100</v>
      </c>
      <c r="U7" s="14" t="s">
        <v>100</v>
      </c>
      <c r="V7" s="16" t="s">
        <v>100</v>
      </c>
    </row>
    <row r="8" spans="1:22" ht="43.5" x14ac:dyDescent="0.35">
      <c r="A8" s="14" t="s">
        <v>55</v>
      </c>
      <c r="B8" s="14" t="s">
        <v>137</v>
      </c>
      <c r="C8" s="15">
        <v>46196.487500000003</v>
      </c>
      <c r="D8" s="14" t="s">
        <v>86</v>
      </c>
      <c r="E8" s="14" t="s">
        <v>190</v>
      </c>
      <c r="F8" s="16" t="s">
        <v>87</v>
      </c>
      <c r="G8" s="14" t="s">
        <v>203</v>
      </c>
      <c r="H8" s="15">
        <v>40725</v>
      </c>
      <c r="I8" s="15"/>
      <c r="J8" s="16" t="s">
        <v>212</v>
      </c>
      <c r="K8" s="16" t="s">
        <v>213</v>
      </c>
      <c r="L8" s="14" t="s">
        <v>193</v>
      </c>
      <c r="M8" s="16" t="s">
        <v>206</v>
      </c>
      <c r="N8" s="14" t="s">
        <v>100</v>
      </c>
      <c r="O8" s="17"/>
      <c r="P8" s="17"/>
      <c r="Q8" s="17"/>
      <c r="R8" s="17"/>
      <c r="S8" s="14" t="s">
        <v>100</v>
      </c>
      <c r="T8" s="14" t="s">
        <v>100</v>
      </c>
      <c r="U8" s="14" t="s">
        <v>100</v>
      </c>
      <c r="V8" s="16" t="s">
        <v>100</v>
      </c>
    </row>
    <row r="9" spans="1:22" ht="43.5" x14ac:dyDescent="0.35">
      <c r="A9" s="14" t="s">
        <v>55</v>
      </c>
      <c r="B9" s="14" t="s">
        <v>137</v>
      </c>
      <c r="C9" s="15">
        <v>46196.487500000003</v>
      </c>
      <c r="D9" s="14" t="s">
        <v>119</v>
      </c>
      <c r="E9" s="14" t="s">
        <v>190</v>
      </c>
      <c r="F9" s="16" t="s">
        <v>120</v>
      </c>
      <c r="G9" s="14" t="s">
        <v>203</v>
      </c>
      <c r="H9" s="15">
        <v>40725</v>
      </c>
      <c r="I9" s="15"/>
      <c r="J9" s="16" t="s">
        <v>214</v>
      </c>
      <c r="K9" s="16" t="s">
        <v>205</v>
      </c>
      <c r="L9" s="14" t="s">
        <v>193</v>
      </c>
      <c r="M9" s="16" t="s">
        <v>206</v>
      </c>
      <c r="N9" s="14" t="s">
        <v>100</v>
      </c>
      <c r="O9" s="17"/>
      <c r="P9" s="17"/>
      <c r="Q9" s="17"/>
      <c r="R9" s="17"/>
      <c r="S9" s="14" t="s">
        <v>100</v>
      </c>
      <c r="T9" s="14" t="s">
        <v>100</v>
      </c>
      <c r="U9" s="14" t="s">
        <v>100</v>
      </c>
      <c r="V9" s="16" t="s">
        <v>100</v>
      </c>
    </row>
    <row r="10" spans="1:22" ht="43.5" x14ac:dyDescent="0.35">
      <c r="A10" s="14" t="s">
        <v>55</v>
      </c>
      <c r="B10" s="14" t="s">
        <v>137</v>
      </c>
      <c r="C10" s="15">
        <v>46196.487500000003</v>
      </c>
      <c r="D10" s="14" t="s">
        <v>121</v>
      </c>
      <c r="E10" s="14" t="s">
        <v>190</v>
      </c>
      <c r="F10" s="16" t="s">
        <v>122</v>
      </c>
      <c r="G10" s="14" t="s">
        <v>203</v>
      </c>
      <c r="H10" s="15">
        <v>40725</v>
      </c>
      <c r="I10" s="15"/>
      <c r="J10" s="16" t="s">
        <v>214</v>
      </c>
      <c r="K10" s="16" t="s">
        <v>211</v>
      </c>
      <c r="L10" s="14" t="s">
        <v>193</v>
      </c>
      <c r="M10" s="16" t="s">
        <v>206</v>
      </c>
      <c r="N10" s="14" t="s">
        <v>100</v>
      </c>
      <c r="O10" s="17"/>
      <c r="P10" s="17"/>
      <c r="Q10" s="17"/>
      <c r="R10" s="17"/>
      <c r="S10" s="14" t="s">
        <v>100</v>
      </c>
      <c r="T10" s="14" t="s">
        <v>100</v>
      </c>
      <c r="U10" s="14" t="s">
        <v>100</v>
      </c>
      <c r="V10" s="16" t="s">
        <v>100</v>
      </c>
    </row>
    <row r="11" spans="1:22" ht="43.5" x14ac:dyDescent="0.35">
      <c r="A11" s="14" t="s">
        <v>55</v>
      </c>
      <c r="B11" s="14" t="s">
        <v>137</v>
      </c>
      <c r="C11" s="15">
        <v>46196.487500000003</v>
      </c>
      <c r="D11" s="14" t="s">
        <v>108</v>
      </c>
      <c r="E11" s="14" t="s">
        <v>190</v>
      </c>
      <c r="F11" s="16" t="s">
        <v>109</v>
      </c>
      <c r="G11" s="14" t="s">
        <v>203</v>
      </c>
      <c r="H11" s="15">
        <v>40725</v>
      </c>
      <c r="I11" s="15"/>
      <c r="J11" s="16" t="s">
        <v>215</v>
      </c>
      <c r="K11" s="16" t="s">
        <v>205</v>
      </c>
      <c r="L11" s="14" t="s">
        <v>193</v>
      </c>
      <c r="M11" s="16" t="s">
        <v>206</v>
      </c>
      <c r="N11" s="14" t="s">
        <v>100</v>
      </c>
      <c r="O11" s="17"/>
      <c r="P11" s="17"/>
      <c r="Q11" s="17"/>
      <c r="R11" s="17"/>
      <c r="S11" s="14" t="s">
        <v>100</v>
      </c>
      <c r="T11" s="14" t="s">
        <v>100</v>
      </c>
      <c r="U11" s="14" t="s">
        <v>100</v>
      </c>
      <c r="V11" s="16" t="s">
        <v>100</v>
      </c>
    </row>
    <row r="12" spans="1:22" ht="58" x14ac:dyDescent="0.35">
      <c r="A12" s="14" t="s">
        <v>55</v>
      </c>
      <c r="B12" s="14" t="s">
        <v>137</v>
      </c>
      <c r="C12" s="15">
        <v>46196.487500000003</v>
      </c>
      <c r="D12" s="14" t="s">
        <v>110</v>
      </c>
      <c r="E12" s="14" t="s">
        <v>190</v>
      </c>
      <c r="F12" s="16" t="s">
        <v>111</v>
      </c>
      <c r="G12" s="14" t="s">
        <v>203</v>
      </c>
      <c r="H12" s="15">
        <v>40725</v>
      </c>
      <c r="I12" s="15"/>
      <c r="J12" s="16" t="s">
        <v>215</v>
      </c>
      <c r="K12" s="16" t="s">
        <v>216</v>
      </c>
      <c r="L12" s="14" t="s">
        <v>193</v>
      </c>
      <c r="M12" s="16" t="s">
        <v>206</v>
      </c>
      <c r="N12" s="14" t="s">
        <v>100</v>
      </c>
      <c r="O12" s="17"/>
      <c r="P12" s="17"/>
      <c r="Q12" s="17"/>
      <c r="R12" s="17"/>
      <c r="S12" s="14" t="s">
        <v>100</v>
      </c>
      <c r="T12" s="14" t="s">
        <v>100</v>
      </c>
      <c r="U12" s="14" t="s">
        <v>100</v>
      </c>
      <c r="V12" s="16" t="s">
        <v>100</v>
      </c>
    </row>
    <row r="13" spans="1:22" ht="58" x14ac:dyDescent="0.35">
      <c r="A13" s="14" t="s">
        <v>55</v>
      </c>
      <c r="B13" s="14" t="s">
        <v>137</v>
      </c>
      <c r="C13" s="15">
        <v>46196.487500000003</v>
      </c>
      <c r="D13" s="14" t="s">
        <v>123</v>
      </c>
      <c r="E13" s="14" t="s">
        <v>190</v>
      </c>
      <c r="F13" s="16" t="s">
        <v>124</v>
      </c>
      <c r="G13" s="14" t="s">
        <v>203</v>
      </c>
      <c r="H13" s="15">
        <v>40725</v>
      </c>
      <c r="I13" s="15"/>
      <c r="J13" s="16" t="s">
        <v>100</v>
      </c>
      <c r="K13" s="16" t="s">
        <v>217</v>
      </c>
      <c r="L13" s="14" t="s">
        <v>193</v>
      </c>
      <c r="M13" s="16" t="s">
        <v>206</v>
      </c>
      <c r="N13" s="14" t="s">
        <v>100</v>
      </c>
      <c r="O13" s="17"/>
      <c r="P13" s="17"/>
      <c r="Q13" s="17"/>
      <c r="R13" s="17"/>
      <c r="S13" s="14" t="s">
        <v>100</v>
      </c>
      <c r="T13" s="14" t="s">
        <v>100</v>
      </c>
      <c r="U13" s="14" t="s">
        <v>100</v>
      </c>
      <c r="V13" s="16" t="s">
        <v>100</v>
      </c>
    </row>
    <row r="14" spans="1:22" ht="43.5" x14ac:dyDescent="0.35">
      <c r="A14" s="14" t="s">
        <v>55</v>
      </c>
      <c r="B14" s="14" t="s">
        <v>137</v>
      </c>
      <c r="C14" s="15">
        <v>46196.487500000003</v>
      </c>
      <c r="D14" s="14" t="s">
        <v>112</v>
      </c>
      <c r="E14" s="14" t="s">
        <v>190</v>
      </c>
      <c r="F14" s="16" t="s">
        <v>113</v>
      </c>
      <c r="G14" s="14" t="s">
        <v>203</v>
      </c>
      <c r="H14" s="15">
        <v>40725</v>
      </c>
      <c r="I14" s="15"/>
      <c r="J14" s="16" t="s">
        <v>100</v>
      </c>
      <c r="K14" s="16" t="s">
        <v>218</v>
      </c>
      <c r="L14" s="14" t="s">
        <v>193</v>
      </c>
      <c r="M14" s="16" t="s">
        <v>206</v>
      </c>
      <c r="N14" s="14" t="s">
        <v>100</v>
      </c>
      <c r="O14" s="17"/>
      <c r="P14" s="17"/>
      <c r="Q14" s="17"/>
      <c r="R14" s="17"/>
      <c r="S14" s="14" t="s">
        <v>100</v>
      </c>
      <c r="T14" s="14" t="s">
        <v>100</v>
      </c>
      <c r="U14" s="14" t="s">
        <v>100</v>
      </c>
      <c r="V14" s="16" t="s">
        <v>100</v>
      </c>
    </row>
    <row r="15" spans="1:22" ht="43.5" x14ac:dyDescent="0.35">
      <c r="A15" s="14" t="s">
        <v>55</v>
      </c>
      <c r="B15" s="14" t="s">
        <v>137</v>
      </c>
      <c r="C15" s="15">
        <v>46196.487500000003</v>
      </c>
      <c r="D15" s="14" t="s">
        <v>88</v>
      </c>
      <c r="E15" s="14" t="s">
        <v>190</v>
      </c>
      <c r="F15" s="16" t="s">
        <v>89</v>
      </c>
      <c r="G15" s="14" t="s">
        <v>219</v>
      </c>
      <c r="H15" s="15">
        <v>40725</v>
      </c>
      <c r="I15" s="15"/>
      <c r="J15" s="16" t="s">
        <v>100</v>
      </c>
      <c r="K15" s="16" t="s">
        <v>220</v>
      </c>
      <c r="L15" s="14" t="s">
        <v>193</v>
      </c>
      <c r="M15" s="16" t="s">
        <v>221</v>
      </c>
      <c r="N15" s="14" t="s">
        <v>100</v>
      </c>
      <c r="O15" s="17"/>
      <c r="P15" s="17"/>
      <c r="Q15" s="17"/>
      <c r="R15" s="17"/>
      <c r="S15" s="14" t="s">
        <v>100</v>
      </c>
      <c r="T15" s="14" t="s">
        <v>100</v>
      </c>
      <c r="U15" s="14" t="s">
        <v>100</v>
      </c>
      <c r="V15" s="16" t="s">
        <v>100</v>
      </c>
    </row>
    <row r="16" spans="1:22" ht="43.5" x14ac:dyDescent="0.35">
      <c r="A16" s="14" t="s">
        <v>55</v>
      </c>
      <c r="B16" s="14" t="s">
        <v>137</v>
      </c>
      <c r="C16" s="15">
        <v>46196.487500000003</v>
      </c>
      <c r="D16" s="14" t="s">
        <v>90</v>
      </c>
      <c r="E16" s="14" t="s">
        <v>190</v>
      </c>
      <c r="F16" s="16" t="s">
        <v>91</v>
      </c>
      <c r="G16" s="14" t="s">
        <v>222</v>
      </c>
      <c r="H16" s="15">
        <v>40725</v>
      </c>
      <c r="I16" s="15"/>
      <c r="J16" s="16" t="s">
        <v>100</v>
      </c>
      <c r="K16" s="16" t="s">
        <v>223</v>
      </c>
      <c r="L16" s="14" t="s">
        <v>193</v>
      </c>
      <c r="M16" s="16" t="s">
        <v>224</v>
      </c>
      <c r="N16" s="14" t="s">
        <v>100</v>
      </c>
      <c r="O16" s="17"/>
      <c r="P16" s="17"/>
      <c r="Q16" s="17"/>
      <c r="R16" s="17"/>
      <c r="S16" s="14" t="s">
        <v>100</v>
      </c>
      <c r="T16" s="14" t="s">
        <v>100</v>
      </c>
      <c r="U16" s="14" t="s">
        <v>100</v>
      </c>
      <c r="V16" s="16" t="s">
        <v>100</v>
      </c>
    </row>
    <row r="17" spans="1:22" ht="58" x14ac:dyDescent="0.35">
      <c r="A17" s="14" t="s">
        <v>55</v>
      </c>
      <c r="B17" s="14" t="s">
        <v>137</v>
      </c>
      <c r="C17" s="15">
        <v>46196.487500000003</v>
      </c>
      <c r="D17" s="14" t="s">
        <v>92</v>
      </c>
      <c r="E17" s="14" t="s">
        <v>190</v>
      </c>
      <c r="F17" s="16" t="s">
        <v>93</v>
      </c>
      <c r="G17" s="14" t="s">
        <v>203</v>
      </c>
      <c r="H17" s="15">
        <v>40725</v>
      </c>
      <c r="I17" s="15"/>
      <c r="J17" s="16" t="s">
        <v>100</v>
      </c>
      <c r="K17" s="16" t="s">
        <v>225</v>
      </c>
      <c r="L17" s="14" t="s">
        <v>193</v>
      </c>
      <c r="M17" s="16" t="s">
        <v>206</v>
      </c>
      <c r="N17" s="14" t="s">
        <v>100</v>
      </c>
      <c r="O17" s="17"/>
      <c r="P17" s="17"/>
      <c r="Q17" s="17"/>
      <c r="R17" s="17"/>
      <c r="S17" s="14" t="s">
        <v>100</v>
      </c>
      <c r="T17" s="14" t="s">
        <v>100</v>
      </c>
      <c r="U17" s="14" t="s">
        <v>100</v>
      </c>
      <c r="V17" s="16" t="s">
        <v>100</v>
      </c>
    </row>
    <row r="18" spans="1:22" ht="43.5" x14ac:dyDescent="0.35">
      <c r="A18" s="14" t="s">
        <v>55</v>
      </c>
      <c r="B18" s="14" t="s">
        <v>137</v>
      </c>
      <c r="C18" s="15">
        <v>46196.487500000003</v>
      </c>
      <c r="D18" s="14" t="s">
        <v>96</v>
      </c>
      <c r="E18" s="14" t="s">
        <v>190</v>
      </c>
      <c r="F18" s="16" t="s">
        <v>97</v>
      </c>
      <c r="G18" s="14" t="s">
        <v>203</v>
      </c>
      <c r="H18" s="15">
        <v>40725</v>
      </c>
      <c r="I18" s="15"/>
      <c r="J18" s="16" t="s">
        <v>226</v>
      </c>
      <c r="K18" s="16" t="s">
        <v>205</v>
      </c>
      <c r="L18" s="14" t="s">
        <v>193</v>
      </c>
      <c r="M18" s="16" t="s">
        <v>206</v>
      </c>
      <c r="N18" s="14" t="s">
        <v>100</v>
      </c>
      <c r="O18" s="17"/>
      <c r="P18" s="17"/>
      <c r="Q18" s="17"/>
      <c r="R18" s="17"/>
      <c r="S18" s="14" t="s">
        <v>100</v>
      </c>
      <c r="T18" s="14" t="s">
        <v>100</v>
      </c>
      <c r="U18" s="14" t="s">
        <v>100</v>
      </c>
      <c r="V18" s="16" t="s">
        <v>100</v>
      </c>
    </row>
    <row r="19" spans="1:22" ht="43.5" x14ac:dyDescent="0.35">
      <c r="A19" s="14" t="s">
        <v>55</v>
      </c>
      <c r="B19" s="14" t="s">
        <v>137</v>
      </c>
      <c r="C19" s="15">
        <v>46196.487500000003</v>
      </c>
      <c r="D19" s="14" t="s">
        <v>98</v>
      </c>
      <c r="E19" s="14" t="s">
        <v>190</v>
      </c>
      <c r="F19" s="16" t="s">
        <v>99</v>
      </c>
      <c r="G19" s="14" t="s">
        <v>203</v>
      </c>
      <c r="H19" s="15">
        <v>40725</v>
      </c>
      <c r="I19" s="15"/>
      <c r="J19" s="16" t="s">
        <v>226</v>
      </c>
      <c r="K19" s="16" t="s">
        <v>211</v>
      </c>
      <c r="L19" s="14" t="s">
        <v>193</v>
      </c>
      <c r="M19" s="16" t="s">
        <v>206</v>
      </c>
      <c r="N19" s="14" t="s">
        <v>100</v>
      </c>
      <c r="O19" s="17"/>
      <c r="P19" s="17"/>
      <c r="Q19" s="17"/>
      <c r="R19" s="17"/>
      <c r="S19" s="14" t="s">
        <v>100</v>
      </c>
      <c r="T19" s="14" t="s">
        <v>100</v>
      </c>
      <c r="U19" s="14" t="s">
        <v>100</v>
      </c>
      <c r="V19" s="16" t="s">
        <v>100</v>
      </c>
    </row>
    <row r="20" spans="1:22" ht="43.5" x14ac:dyDescent="0.35">
      <c r="A20" s="14" t="s">
        <v>55</v>
      </c>
      <c r="B20" s="14" t="s">
        <v>137</v>
      </c>
      <c r="C20" s="15">
        <v>46196.487500000003</v>
      </c>
      <c r="D20" s="14" t="s">
        <v>94</v>
      </c>
      <c r="E20" s="14" t="s">
        <v>190</v>
      </c>
      <c r="F20" s="16" t="s">
        <v>95</v>
      </c>
      <c r="G20" s="14" t="s">
        <v>227</v>
      </c>
      <c r="H20" s="15">
        <v>40725</v>
      </c>
      <c r="I20" s="15"/>
      <c r="J20" s="16" t="s">
        <v>100</v>
      </c>
      <c r="K20" s="16" t="s">
        <v>228</v>
      </c>
      <c r="L20" s="14" t="s">
        <v>193</v>
      </c>
      <c r="M20" s="16" t="s">
        <v>229</v>
      </c>
      <c r="N20" s="14" t="s">
        <v>100</v>
      </c>
      <c r="O20" s="17"/>
      <c r="P20" s="17"/>
      <c r="Q20" s="17"/>
      <c r="R20" s="17"/>
      <c r="S20" s="14" t="s">
        <v>100</v>
      </c>
      <c r="T20" s="14" t="s">
        <v>100</v>
      </c>
      <c r="U20" s="14" t="s">
        <v>100</v>
      </c>
      <c r="V20" s="16" t="s">
        <v>100</v>
      </c>
    </row>
    <row r="21" spans="1:22" ht="116" x14ac:dyDescent="0.35">
      <c r="A21" s="14" t="s">
        <v>55</v>
      </c>
      <c r="B21" s="14" t="s">
        <v>137</v>
      </c>
      <c r="C21" s="15">
        <v>46196.487500000003</v>
      </c>
      <c r="D21" s="14" t="s">
        <v>154</v>
      </c>
      <c r="E21" s="14" t="s">
        <v>190</v>
      </c>
      <c r="F21" s="16" t="s">
        <v>155</v>
      </c>
      <c r="G21" s="14" t="s">
        <v>230</v>
      </c>
      <c r="H21" s="15">
        <v>40725</v>
      </c>
      <c r="I21" s="15"/>
      <c r="J21" s="16" t="s">
        <v>100</v>
      </c>
      <c r="K21" s="16" t="s">
        <v>231</v>
      </c>
      <c r="L21" s="14" t="s">
        <v>209</v>
      </c>
      <c r="M21" s="16" t="s">
        <v>232</v>
      </c>
      <c r="N21" s="14" t="s">
        <v>100</v>
      </c>
      <c r="O21" s="17"/>
      <c r="P21" s="17"/>
      <c r="Q21" s="17"/>
      <c r="R21" s="17"/>
      <c r="S21" s="14" t="s">
        <v>100</v>
      </c>
      <c r="T21" s="14" t="s">
        <v>100</v>
      </c>
      <c r="U21" s="14" t="s">
        <v>100</v>
      </c>
      <c r="V21" s="16" t="s">
        <v>100</v>
      </c>
    </row>
    <row r="22" spans="1:22" ht="87" x14ac:dyDescent="0.35">
      <c r="A22" s="14" t="s">
        <v>55</v>
      </c>
      <c r="B22" s="14" t="s">
        <v>137</v>
      </c>
      <c r="C22" s="15">
        <v>46196.487500000003</v>
      </c>
      <c r="D22" s="14" t="s">
        <v>156</v>
      </c>
      <c r="E22" s="14" t="s">
        <v>190</v>
      </c>
      <c r="F22" s="16" t="s">
        <v>157</v>
      </c>
      <c r="G22" s="14" t="s">
        <v>230</v>
      </c>
      <c r="H22" s="15">
        <v>40725</v>
      </c>
      <c r="I22" s="15"/>
      <c r="J22" s="16" t="s">
        <v>100</v>
      </c>
      <c r="K22" s="16" t="s">
        <v>233</v>
      </c>
      <c r="L22" s="14" t="s">
        <v>193</v>
      </c>
      <c r="M22" s="16" t="s">
        <v>234</v>
      </c>
      <c r="N22" s="14" t="s">
        <v>100</v>
      </c>
      <c r="O22" s="17"/>
      <c r="P22" s="17"/>
      <c r="Q22" s="17"/>
      <c r="R22" s="17"/>
      <c r="S22" s="14" t="s">
        <v>100</v>
      </c>
      <c r="T22" s="14" t="s">
        <v>100</v>
      </c>
      <c r="U22" s="14" t="s">
        <v>100</v>
      </c>
      <c r="V22" s="16" t="s">
        <v>100</v>
      </c>
    </row>
    <row r="23" spans="1:22" ht="43.5" x14ac:dyDescent="0.35">
      <c r="A23" s="14" t="s">
        <v>55</v>
      </c>
      <c r="B23" s="14" t="s">
        <v>56</v>
      </c>
      <c r="C23" s="15">
        <v>46196.487500000003</v>
      </c>
      <c r="D23" s="14" t="s">
        <v>142</v>
      </c>
      <c r="E23" s="14" t="s">
        <v>190</v>
      </c>
      <c r="F23" s="16" t="s">
        <v>143</v>
      </c>
      <c r="G23" s="14" t="s">
        <v>235</v>
      </c>
      <c r="H23" s="15">
        <v>40725</v>
      </c>
      <c r="I23" s="15"/>
      <c r="J23" s="16" t="s">
        <v>100</v>
      </c>
      <c r="K23" s="16" t="s">
        <v>236</v>
      </c>
      <c r="L23" s="14" t="s">
        <v>193</v>
      </c>
      <c r="M23" s="16" t="s">
        <v>237</v>
      </c>
      <c r="N23" s="14" t="s">
        <v>100</v>
      </c>
      <c r="O23" s="17"/>
      <c r="P23" s="17"/>
      <c r="Q23" s="17"/>
      <c r="R23" s="17"/>
      <c r="S23" s="14" t="s">
        <v>100</v>
      </c>
      <c r="T23" s="14" t="s">
        <v>100</v>
      </c>
      <c r="U23" s="14" t="s">
        <v>100</v>
      </c>
      <c r="V23" s="16" t="s">
        <v>100</v>
      </c>
    </row>
    <row r="24" spans="1:22" x14ac:dyDescent="0.35">
      <c r="A24" s="19"/>
      <c r="B24" s="19"/>
      <c r="C24" s="22"/>
      <c r="D24" s="19"/>
      <c r="E24" s="19"/>
      <c r="F24" s="20" t="s">
        <v>100</v>
      </c>
      <c r="G24" s="19"/>
      <c r="H24" s="22"/>
      <c r="I24" s="22"/>
      <c r="J24" s="20" t="s">
        <v>100</v>
      </c>
      <c r="K24" s="20" t="s">
        <v>100</v>
      </c>
      <c r="L24" s="19"/>
      <c r="M24" s="20" t="s">
        <v>100</v>
      </c>
      <c r="N24" s="19"/>
      <c r="S24" s="19"/>
      <c r="T24" s="19"/>
      <c r="U24" s="19"/>
      <c r="V24" s="20" t="s">
        <v>100</v>
      </c>
    </row>
    <row r="25" spans="1:22" x14ac:dyDescent="0.35">
      <c r="A25" s="19"/>
      <c r="B25" s="19"/>
      <c r="C25" s="22"/>
      <c r="D25" s="19"/>
      <c r="E25" s="19"/>
      <c r="F25" s="20" t="s">
        <v>100</v>
      </c>
      <c r="G25" s="19"/>
      <c r="H25" s="22"/>
      <c r="I25" s="22"/>
      <c r="J25" s="20" t="s">
        <v>100</v>
      </c>
      <c r="K25" s="20" t="s">
        <v>100</v>
      </c>
      <c r="L25" s="19"/>
      <c r="M25" s="20" t="s">
        <v>100</v>
      </c>
      <c r="N25" s="19"/>
      <c r="S25" s="19"/>
      <c r="T25" s="19"/>
      <c r="U25" s="19"/>
      <c r="V25" s="20" t="s">
        <v>100</v>
      </c>
    </row>
    <row r="26" spans="1:22" x14ac:dyDescent="0.35">
      <c r="A26" s="19"/>
      <c r="B26" s="19"/>
      <c r="C26" s="22"/>
      <c r="D26" s="19"/>
      <c r="E26" s="19"/>
      <c r="F26" s="20" t="s">
        <v>100</v>
      </c>
      <c r="G26" s="19"/>
      <c r="H26" s="22"/>
      <c r="I26" s="22"/>
      <c r="J26" s="20" t="s">
        <v>100</v>
      </c>
      <c r="K26" s="20" t="s">
        <v>100</v>
      </c>
      <c r="L26" s="19"/>
      <c r="M26" s="20" t="s">
        <v>100</v>
      </c>
      <c r="N26" s="19"/>
      <c r="S26" s="19"/>
      <c r="T26" s="19"/>
      <c r="U26" s="19"/>
      <c r="V26" s="20" t="s">
        <v>100</v>
      </c>
    </row>
    <row r="27" spans="1:22" x14ac:dyDescent="0.35">
      <c r="A27" s="19"/>
      <c r="B27" s="19"/>
      <c r="C27" s="22"/>
      <c r="D27" s="19"/>
      <c r="E27" s="19"/>
      <c r="F27" s="20" t="s">
        <v>100</v>
      </c>
      <c r="G27" s="19"/>
      <c r="H27" s="22"/>
      <c r="I27" s="22"/>
      <c r="J27" s="20" t="s">
        <v>100</v>
      </c>
      <c r="K27" s="20" t="s">
        <v>100</v>
      </c>
      <c r="L27" s="19"/>
      <c r="M27" s="20" t="s">
        <v>100</v>
      </c>
      <c r="N27" s="19"/>
      <c r="S27" s="19"/>
      <c r="T27" s="19"/>
      <c r="U27" s="19"/>
      <c r="V27" s="20" t="s">
        <v>100</v>
      </c>
    </row>
    <row r="28" spans="1:22" x14ac:dyDescent="0.35">
      <c r="A28" s="19"/>
      <c r="B28" s="19"/>
      <c r="C28" s="22"/>
      <c r="D28" s="19"/>
      <c r="E28" s="19"/>
      <c r="F28" s="20" t="s">
        <v>100</v>
      </c>
      <c r="G28" s="19"/>
      <c r="H28" s="22"/>
      <c r="I28" s="22"/>
      <c r="J28" s="20" t="s">
        <v>100</v>
      </c>
      <c r="K28" s="20" t="s">
        <v>100</v>
      </c>
      <c r="L28" s="19"/>
      <c r="M28" s="20" t="s">
        <v>100</v>
      </c>
      <c r="N28" s="19"/>
      <c r="S28" s="19"/>
      <c r="T28" s="19"/>
      <c r="U28" s="19"/>
      <c r="V28" s="20" t="s">
        <v>100</v>
      </c>
    </row>
    <row r="29" spans="1:22" x14ac:dyDescent="0.35">
      <c r="A29" s="19"/>
      <c r="B29" s="19"/>
      <c r="C29" s="22"/>
      <c r="D29" s="19"/>
      <c r="E29" s="19"/>
      <c r="F29" s="20" t="s">
        <v>100</v>
      </c>
      <c r="G29" s="19"/>
      <c r="H29" s="22"/>
      <c r="I29" s="22"/>
      <c r="J29" s="20" t="s">
        <v>100</v>
      </c>
      <c r="K29" s="20" t="s">
        <v>100</v>
      </c>
      <c r="L29" s="19"/>
      <c r="M29" s="20" t="s">
        <v>100</v>
      </c>
      <c r="N29" s="19"/>
      <c r="S29" s="19"/>
      <c r="T29" s="19"/>
      <c r="U29" s="19"/>
      <c r="V29" s="20" t="s">
        <v>100</v>
      </c>
    </row>
    <row r="30" spans="1:22" x14ac:dyDescent="0.35">
      <c r="A30" s="19"/>
      <c r="B30" s="19"/>
      <c r="C30" s="22"/>
      <c r="D30" s="19"/>
      <c r="E30" s="19"/>
      <c r="F30" s="20" t="s">
        <v>100</v>
      </c>
      <c r="G30" s="19"/>
      <c r="H30" s="22"/>
      <c r="I30" s="22"/>
      <c r="J30" s="20" t="s">
        <v>100</v>
      </c>
      <c r="K30" s="20" t="s">
        <v>100</v>
      </c>
      <c r="L30" s="19"/>
      <c r="M30" s="20" t="s">
        <v>100</v>
      </c>
      <c r="N30" s="19"/>
      <c r="S30" s="19"/>
      <c r="T30" s="19"/>
      <c r="U30" s="19"/>
      <c r="V30" s="20" t="s">
        <v>100</v>
      </c>
    </row>
    <row r="31" spans="1:22" x14ac:dyDescent="0.35">
      <c r="A31" s="19"/>
      <c r="B31" s="19"/>
      <c r="C31" s="22"/>
      <c r="D31" s="19"/>
      <c r="E31" s="19"/>
      <c r="F31" s="20" t="s">
        <v>100</v>
      </c>
      <c r="G31" s="19"/>
      <c r="H31" s="22"/>
      <c r="I31" s="22"/>
      <c r="J31" s="20" t="s">
        <v>100</v>
      </c>
      <c r="K31" s="20" t="s">
        <v>100</v>
      </c>
      <c r="L31" s="19"/>
      <c r="M31" s="20" t="s">
        <v>100</v>
      </c>
      <c r="N31" s="19"/>
      <c r="S31" s="19"/>
      <c r="T31" s="19"/>
      <c r="U31" s="19"/>
      <c r="V31" s="20" t="s">
        <v>100</v>
      </c>
    </row>
    <row r="32" spans="1:22" x14ac:dyDescent="0.35">
      <c r="A32" s="19"/>
      <c r="B32" s="19"/>
      <c r="C32" s="22"/>
      <c r="D32" s="19"/>
      <c r="E32" s="19"/>
      <c r="F32" s="20" t="s">
        <v>100</v>
      </c>
      <c r="G32" s="19"/>
      <c r="H32" s="22"/>
      <c r="I32" s="22"/>
      <c r="J32" s="20" t="s">
        <v>100</v>
      </c>
      <c r="K32" s="20" t="s">
        <v>100</v>
      </c>
      <c r="L32" s="19"/>
      <c r="M32" s="20" t="s">
        <v>100</v>
      </c>
      <c r="N32" s="19"/>
      <c r="S32" s="19"/>
      <c r="T32" s="19"/>
      <c r="U32" s="19"/>
      <c r="V32" s="20" t="s">
        <v>100</v>
      </c>
    </row>
    <row r="33" spans="1:22" x14ac:dyDescent="0.35">
      <c r="A33" s="19"/>
      <c r="B33" s="19"/>
      <c r="C33" s="22"/>
      <c r="D33" s="19"/>
      <c r="E33" s="19"/>
      <c r="F33" s="20" t="s">
        <v>100</v>
      </c>
      <c r="G33" s="19"/>
      <c r="H33" s="22"/>
      <c r="I33" s="22"/>
      <c r="J33" s="20" t="s">
        <v>100</v>
      </c>
      <c r="K33" s="20" t="s">
        <v>100</v>
      </c>
      <c r="L33" s="19"/>
      <c r="M33" s="20" t="s">
        <v>100</v>
      </c>
      <c r="N33" s="19"/>
      <c r="S33" s="19"/>
      <c r="T33" s="19"/>
      <c r="U33" s="19"/>
      <c r="V33" s="20" t="s">
        <v>100</v>
      </c>
    </row>
    <row r="34" spans="1:22" x14ac:dyDescent="0.35">
      <c r="A34" s="19"/>
      <c r="B34" s="19"/>
      <c r="C34" s="22"/>
      <c r="D34" s="19"/>
      <c r="E34" s="19"/>
      <c r="F34" s="20" t="s">
        <v>100</v>
      </c>
      <c r="G34" s="19"/>
      <c r="H34" s="22"/>
      <c r="I34" s="22"/>
      <c r="J34" s="20" t="s">
        <v>100</v>
      </c>
      <c r="K34" s="20" t="s">
        <v>100</v>
      </c>
      <c r="L34" s="19"/>
      <c r="M34" s="20" t="s">
        <v>100</v>
      </c>
      <c r="N34" s="19"/>
      <c r="S34" s="19"/>
      <c r="T34" s="19"/>
      <c r="U34" s="19"/>
      <c r="V34" s="20" t="s">
        <v>100</v>
      </c>
    </row>
    <row r="35" spans="1:22" x14ac:dyDescent="0.35">
      <c r="A35" s="19"/>
      <c r="B35" s="19"/>
      <c r="C35" s="22"/>
      <c r="D35" s="19"/>
      <c r="E35" s="19"/>
      <c r="F35" s="20" t="s">
        <v>100</v>
      </c>
      <c r="G35" s="19"/>
      <c r="H35" s="22"/>
      <c r="I35" s="22"/>
      <c r="J35" s="20" t="s">
        <v>100</v>
      </c>
      <c r="K35" s="20" t="s">
        <v>100</v>
      </c>
      <c r="L35" s="19"/>
      <c r="M35" s="20" t="s">
        <v>100</v>
      </c>
      <c r="N35" s="19"/>
      <c r="S35" s="19"/>
      <c r="T35" s="19"/>
      <c r="U35" s="19"/>
      <c r="V35" s="20" t="s">
        <v>100</v>
      </c>
    </row>
    <row r="36" spans="1:22" x14ac:dyDescent="0.35">
      <c r="A36" s="19"/>
      <c r="B36" s="19"/>
      <c r="C36" s="22"/>
      <c r="D36" s="19"/>
      <c r="E36" s="19"/>
      <c r="F36" s="20" t="s">
        <v>100</v>
      </c>
      <c r="G36" s="19"/>
      <c r="H36" s="22"/>
      <c r="I36" s="22"/>
      <c r="J36" s="20" t="s">
        <v>100</v>
      </c>
      <c r="K36" s="20" t="s">
        <v>100</v>
      </c>
      <c r="L36" s="19"/>
      <c r="M36" s="20" t="s">
        <v>100</v>
      </c>
      <c r="N36" s="19"/>
      <c r="S36" s="19"/>
      <c r="T36" s="19"/>
      <c r="U36" s="19"/>
      <c r="V36" s="20" t="s">
        <v>100</v>
      </c>
    </row>
    <row r="37" spans="1:22" x14ac:dyDescent="0.35">
      <c r="A37" s="19"/>
      <c r="B37" s="19"/>
      <c r="C37" s="22"/>
      <c r="D37" s="19"/>
      <c r="E37" s="19"/>
      <c r="F37" s="20" t="s">
        <v>100</v>
      </c>
      <c r="G37" s="19"/>
      <c r="H37" s="22"/>
      <c r="I37" s="22"/>
      <c r="J37" s="20" t="s">
        <v>100</v>
      </c>
      <c r="K37" s="20" t="s">
        <v>100</v>
      </c>
      <c r="L37" s="19"/>
      <c r="M37" s="20" t="s">
        <v>100</v>
      </c>
      <c r="N37" s="19"/>
      <c r="S37" s="19"/>
      <c r="T37" s="19"/>
      <c r="U37" s="19"/>
      <c r="V37" s="20" t="s">
        <v>100</v>
      </c>
    </row>
    <row r="38" spans="1:22" x14ac:dyDescent="0.35">
      <c r="A38" s="19"/>
      <c r="B38" s="19"/>
      <c r="C38" s="22"/>
      <c r="D38" s="19"/>
      <c r="E38" s="19"/>
      <c r="F38" s="20" t="s">
        <v>100</v>
      </c>
      <c r="G38" s="19"/>
      <c r="H38" s="22"/>
      <c r="I38" s="22"/>
      <c r="J38" s="20" t="s">
        <v>100</v>
      </c>
      <c r="K38" s="20" t="s">
        <v>100</v>
      </c>
      <c r="L38" s="19"/>
      <c r="M38" s="20" t="s">
        <v>100</v>
      </c>
      <c r="N38" s="19"/>
      <c r="S38" s="19"/>
      <c r="T38" s="19"/>
      <c r="U38" s="19"/>
      <c r="V38" s="20" t="s">
        <v>100</v>
      </c>
    </row>
    <row r="39" spans="1:22" x14ac:dyDescent="0.35">
      <c r="A39" s="19"/>
      <c r="B39" s="19"/>
      <c r="C39" s="22"/>
      <c r="D39" s="19"/>
      <c r="E39" s="19"/>
      <c r="F39" s="20" t="s">
        <v>100</v>
      </c>
      <c r="G39" s="19"/>
      <c r="H39" s="22"/>
      <c r="I39" s="22"/>
      <c r="J39" s="20" t="s">
        <v>100</v>
      </c>
      <c r="K39" s="20" t="s">
        <v>100</v>
      </c>
      <c r="L39" s="19"/>
      <c r="M39" s="20" t="s">
        <v>100</v>
      </c>
      <c r="N39" s="19"/>
      <c r="S39" s="19"/>
      <c r="T39" s="19"/>
      <c r="U39" s="19"/>
      <c r="V39" s="20" t="s">
        <v>100</v>
      </c>
    </row>
    <row r="40" spans="1:22" x14ac:dyDescent="0.35">
      <c r="A40" s="19"/>
      <c r="B40" s="19"/>
      <c r="C40" s="22"/>
      <c r="D40" s="19"/>
      <c r="E40" s="19"/>
      <c r="F40" s="20" t="s">
        <v>100</v>
      </c>
      <c r="G40" s="19"/>
      <c r="H40" s="22"/>
      <c r="I40" s="22"/>
      <c r="J40" s="20" t="s">
        <v>100</v>
      </c>
      <c r="K40" s="20" t="s">
        <v>100</v>
      </c>
      <c r="L40" s="19"/>
      <c r="M40" s="20" t="s">
        <v>100</v>
      </c>
      <c r="N40" s="19"/>
      <c r="S40" s="19"/>
      <c r="T40" s="19"/>
      <c r="U40" s="19"/>
      <c r="V40" s="20" t="s">
        <v>100</v>
      </c>
    </row>
    <row r="41" spans="1:22" x14ac:dyDescent="0.35">
      <c r="A41" s="19"/>
      <c r="B41" s="19"/>
      <c r="C41" s="22"/>
      <c r="D41" s="19"/>
      <c r="E41" s="19"/>
      <c r="F41" s="20" t="s">
        <v>100</v>
      </c>
      <c r="G41" s="19"/>
      <c r="H41" s="22"/>
      <c r="I41" s="22"/>
      <c r="J41" s="20" t="s">
        <v>100</v>
      </c>
      <c r="K41" s="20" t="s">
        <v>100</v>
      </c>
      <c r="L41" s="19"/>
      <c r="M41" s="20" t="s">
        <v>100</v>
      </c>
      <c r="N41" s="19"/>
      <c r="S41" s="19"/>
      <c r="T41" s="19"/>
      <c r="U41" s="19"/>
      <c r="V41" s="20" t="s">
        <v>100</v>
      </c>
    </row>
    <row r="42" spans="1:22" x14ac:dyDescent="0.35">
      <c r="A42" s="19"/>
      <c r="B42" s="19"/>
      <c r="C42" s="22"/>
      <c r="D42" s="19"/>
      <c r="E42" s="19"/>
      <c r="F42" s="20" t="s">
        <v>100</v>
      </c>
      <c r="G42" s="19"/>
      <c r="H42" s="22"/>
      <c r="I42" s="22"/>
      <c r="J42" s="20" t="s">
        <v>100</v>
      </c>
      <c r="K42" s="20" t="s">
        <v>100</v>
      </c>
      <c r="L42" s="19"/>
      <c r="M42" s="20" t="s">
        <v>100</v>
      </c>
      <c r="N42" s="19"/>
      <c r="S42" s="19"/>
      <c r="T42" s="19"/>
      <c r="U42" s="19"/>
      <c r="V42" s="20" t="s">
        <v>100</v>
      </c>
    </row>
    <row r="43" spans="1:22" x14ac:dyDescent="0.35">
      <c r="A43" s="19"/>
      <c r="B43" s="19"/>
      <c r="C43" s="22"/>
      <c r="D43" s="19"/>
      <c r="E43" s="19"/>
      <c r="F43" s="20" t="s">
        <v>100</v>
      </c>
      <c r="G43" s="19"/>
      <c r="H43" s="22"/>
      <c r="I43" s="22"/>
      <c r="J43" s="20" t="s">
        <v>100</v>
      </c>
      <c r="K43" s="20" t="s">
        <v>100</v>
      </c>
      <c r="L43" s="19"/>
      <c r="M43" s="20" t="s">
        <v>100</v>
      </c>
      <c r="N43" s="19"/>
      <c r="S43" s="19"/>
      <c r="T43" s="19"/>
      <c r="U43" s="19"/>
      <c r="V43" s="20" t="s">
        <v>100</v>
      </c>
    </row>
    <row r="44" spans="1:22" x14ac:dyDescent="0.35">
      <c r="A44" s="19"/>
      <c r="B44" s="19"/>
      <c r="C44" s="22"/>
      <c r="D44" s="19"/>
      <c r="E44" s="19"/>
      <c r="F44" s="20" t="s">
        <v>100</v>
      </c>
      <c r="G44" s="19"/>
      <c r="H44" s="22"/>
      <c r="I44" s="22"/>
      <c r="J44" s="20" t="s">
        <v>100</v>
      </c>
      <c r="K44" s="20" t="s">
        <v>100</v>
      </c>
      <c r="L44" s="19"/>
      <c r="M44" s="20" t="s">
        <v>100</v>
      </c>
      <c r="N44" s="19"/>
      <c r="S44" s="19"/>
      <c r="T44" s="19"/>
      <c r="U44" s="19"/>
      <c r="V44" s="20" t="s">
        <v>100</v>
      </c>
    </row>
    <row r="45" spans="1:22" x14ac:dyDescent="0.35">
      <c r="A45" s="19"/>
      <c r="B45" s="19"/>
      <c r="C45" s="22"/>
      <c r="D45" s="19"/>
      <c r="E45" s="19"/>
      <c r="F45" s="20" t="s">
        <v>100</v>
      </c>
      <c r="G45" s="19"/>
      <c r="H45" s="22"/>
      <c r="I45" s="22"/>
      <c r="J45" s="20" t="s">
        <v>100</v>
      </c>
      <c r="K45" s="20" t="s">
        <v>100</v>
      </c>
      <c r="L45" s="19"/>
      <c r="M45" s="20" t="s">
        <v>100</v>
      </c>
      <c r="N45" s="19"/>
      <c r="S45" s="19"/>
      <c r="T45" s="19"/>
      <c r="U45" s="19"/>
      <c r="V45" s="20" t="s">
        <v>100</v>
      </c>
    </row>
    <row r="46" spans="1:22" x14ac:dyDescent="0.35">
      <c r="A46" s="19"/>
      <c r="B46" s="19"/>
      <c r="C46" s="22"/>
      <c r="D46" s="19"/>
      <c r="E46" s="19"/>
      <c r="F46" s="20" t="s">
        <v>100</v>
      </c>
      <c r="G46" s="19"/>
      <c r="H46" s="22"/>
      <c r="I46" s="22"/>
      <c r="J46" s="20" t="s">
        <v>100</v>
      </c>
      <c r="K46" s="20" t="s">
        <v>100</v>
      </c>
      <c r="L46" s="19"/>
      <c r="M46" s="20" t="s">
        <v>100</v>
      </c>
      <c r="N46" s="19"/>
      <c r="S46" s="19"/>
      <c r="T46" s="19"/>
      <c r="U46" s="19"/>
      <c r="V46" s="20" t="s">
        <v>100</v>
      </c>
    </row>
    <row r="47" spans="1:22" x14ac:dyDescent="0.35">
      <c r="A47" s="19"/>
      <c r="B47" s="19"/>
      <c r="C47" s="22"/>
      <c r="D47" s="19"/>
      <c r="E47" s="19"/>
      <c r="F47" s="20" t="s">
        <v>100</v>
      </c>
      <c r="G47" s="19"/>
      <c r="H47" s="22"/>
      <c r="I47" s="22"/>
      <c r="J47" s="20" t="s">
        <v>100</v>
      </c>
      <c r="K47" s="20" t="s">
        <v>100</v>
      </c>
      <c r="L47" s="19"/>
      <c r="M47" s="20" t="s">
        <v>100</v>
      </c>
      <c r="N47" s="19"/>
      <c r="S47" s="19"/>
      <c r="T47" s="19"/>
      <c r="U47" s="19"/>
      <c r="V47" s="20" t="s">
        <v>100</v>
      </c>
    </row>
    <row r="48" spans="1:22" x14ac:dyDescent="0.35">
      <c r="A48" s="19"/>
      <c r="B48" s="19"/>
      <c r="C48" s="22"/>
      <c r="D48" s="19"/>
      <c r="E48" s="19"/>
      <c r="F48" s="20" t="s">
        <v>100</v>
      </c>
      <c r="G48" s="19"/>
      <c r="H48" s="22"/>
      <c r="I48" s="22"/>
      <c r="J48" s="20" t="s">
        <v>100</v>
      </c>
      <c r="K48" s="20" t="s">
        <v>100</v>
      </c>
      <c r="L48" s="19"/>
      <c r="M48" s="20" t="s">
        <v>100</v>
      </c>
      <c r="N48" s="19"/>
      <c r="S48" s="19"/>
      <c r="T48" s="19"/>
      <c r="U48" s="19"/>
      <c r="V48" s="20" t="s">
        <v>100</v>
      </c>
    </row>
    <row r="49" spans="1:22" x14ac:dyDescent="0.35">
      <c r="A49" s="19"/>
      <c r="B49" s="19"/>
      <c r="C49" s="22"/>
      <c r="D49" s="19"/>
      <c r="E49" s="19"/>
      <c r="F49" s="20" t="s">
        <v>100</v>
      </c>
      <c r="G49" s="19"/>
      <c r="H49" s="22"/>
      <c r="I49" s="22"/>
      <c r="J49" s="20" t="s">
        <v>100</v>
      </c>
      <c r="K49" s="20" t="s">
        <v>100</v>
      </c>
      <c r="L49" s="19"/>
      <c r="M49" s="20" t="s">
        <v>100</v>
      </c>
      <c r="N49" s="19"/>
      <c r="S49" s="19"/>
      <c r="T49" s="19"/>
      <c r="U49" s="19"/>
      <c r="V49" s="20" t="s">
        <v>100</v>
      </c>
    </row>
  </sheetData>
  <autoFilter ref="A1:Z1" xr:uid="{B037A733-4616-46B1-90E4-EE50958A503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2026-06-26T07:05:04Z</dcterms:created>
  <dcterms:modified xsi:type="dcterms:W3CDTF">2026-06-26T07:05:05Z</dcterms:modified>
</cp:coreProperties>
</file>