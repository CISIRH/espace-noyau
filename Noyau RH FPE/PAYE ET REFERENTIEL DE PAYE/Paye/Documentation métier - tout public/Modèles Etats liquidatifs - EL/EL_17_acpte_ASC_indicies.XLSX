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7 Acpte ASC indiciés" sheetId="32" r:id="rId1"/>
  </sheets>
  <definedNames>
    <definedName name="etat_8_indiv" localSheetId="0">#REF!</definedName>
    <definedName name="etat_8_indiv">#REF!</definedName>
    <definedName name="état_liquidatif_4indiv" localSheetId="0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 localSheetId="0">#REF!</definedName>
    <definedName name="etats_1">#REF!</definedName>
    <definedName name="etats_2" localSheetId="0">#REF!</definedName>
    <definedName name="etats_2">#REF!</definedName>
    <definedName name="etats_7" localSheetId="0">#REF!</definedName>
    <definedName name="etats_7">#REF!</definedName>
    <definedName name="etats_9" localSheetId="0">#REF!</definedName>
    <definedName name="etats_9">#REF!</definedName>
    <definedName name="états_liquidatifs_1" localSheetId="0">#REF!</definedName>
    <definedName name="états_liquidatifs_1">#REF!</definedName>
    <definedName name="états_liquidatifs_2" localSheetId="0">#REF!</definedName>
    <definedName name="états_liquidatifs_2">#REF!</definedName>
    <definedName name="états_liquidatifs_3" localSheetId="0">#REF!</definedName>
    <definedName name="états_liquidatifs_3">#REF!</definedName>
    <definedName name="états_liquidatifs_4" localSheetId="0">#REF!</definedName>
    <definedName name="états_liquidatifs_4">#REF!</definedName>
    <definedName name="états_liquidatifs_6" localSheetId="0">#REF!</definedName>
    <definedName name="états_liquidatifs_6">#REF!</definedName>
    <definedName name="états_liquidatifs_7" localSheetId="0">#REF!</definedName>
    <definedName name="états_liquidatifs_7">#REF!</definedName>
    <definedName name="états_liquidatifs2" localSheetId="0">#REF!</definedName>
    <definedName name="états_liquidatifs2">#REF!</definedName>
    <definedName name="etats2" localSheetId="0">#REF!</definedName>
    <definedName name="etats2">#REF!</definedName>
    <definedName name="modele2" localSheetId="0">#REF!</definedName>
    <definedName name="modele2">#REF!</definedName>
    <definedName name="périodicité" localSheetId="0">#REF!</definedName>
    <definedName name="périodicité">#REF!</definedName>
    <definedName name="_xlnm.Print_Area" localSheetId="0">'EL 17 Acpte ASC indiciés'!$A$1:$D$58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32" l="1"/>
  <c r="C31" i="32" s="1"/>
  <c r="C29" i="32" l="1"/>
  <c r="C32" i="32"/>
  <c r="C30" i="32"/>
  <c r="C26" i="32"/>
  <c r="C28" i="32" s="1"/>
  <c r="C35" i="32" l="1"/>
  <c r="C34" i="32"/>
  <c r="C33" i="32"/>
  <c r="C36" i="32" s="1"/>
  <c r="C37" i="32" s="1"/>
  <c r="C39" i="32" s="1"/>
  <c r="C41" i="32" s="1"/>
</calcChain>
</file>

<file path=xl/sharedStrings.xml><?xml version="1.0" encoding="utf-8"?>
<sst xmlns="http://schemas.openxmlformats.org/spreadsheetml/2006/main" count="57" uniqueCount="48">
  <si>
    <t>Zone en-tête / Marianne</t>
  </si>
  <si>
    <t>(Code ventilation budgétaire :)</t>
  </si>
  <si>
    <t>(Article d'exécution :)</t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</si>
  <si>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</si>
  <si>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</si>
  <si>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</si>
  <si>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</si>
  <si>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</si>
  <si>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</si>
  <si>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</si>
  <si>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</si>
  <si>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t xml:space="preserve"> </t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</si>
  <si>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</si>
  <si>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</si>
  <si>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</si>
  <si>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</si>
  <si>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r>
      <t xml:space="preserve">Compte PCE : </t>
    </r>
    <r>
      <rPr>
        <sz val="11"/>
        <color indexed="10"/>
        <rFont val="Calibri"/>
        <family val="2"/>
      </rPr>
      <t>(*</t>
    </r>
    <r>
      <rPr>
        <sz val="11"/>
        <rFont val="Calibri"/>
        <family val="2"/>
      </rPr>
      <t>)</t>
    </r>
  </si>
  <si>
    <r>
      <t xml:space="preserve">NIR : </t>
    </r>
    <r>
      <rPr>
        <sz val="11"/>
        <color indexed="10"/>
        <rFont val="Calibri"/>
        <family val="2"/>
      </rPr>
      <t>(*)</t>
    </r>
  </si>
  <si>
    <t>Quotité de rémunération</t>
  </si>
  <si>
    <r>
      <t>Date de PEC ou de réintégration</t>
    </r>
    <r>
      <rPr>
        <sz val="11"/>
        <color indexed="10"/>
        <rFont val="Calibri"/>
        <family val="2"/>
      </rPr>
      <t xml:space="preserve"> (*)</t>
    </r>
  </si>
  <si>
    <t>DECOMPTE</t>
  </si>
  <si>
    <t>ELEMENT DE REMUNERATION</t>
  </si>
  <si>
    <t xml:space="preserve"> nombre de jours de service fait</t>
  </si>
  <si>
    <t>MONTANT</t>
  </si>
  <si>
    <t>TRAITEMENT BRUT</t>
  </si>
  <si>
    <t>INDEMNITE DE RESIDENCE</t>
  </si>
  <si>
    <t>INDEMNITE DIVERSES</t>
  </si>
  <si>
    <t xml:space="preserve"> TOTAL POSITIF</t>
  </si>
  <si>
    <t>CSG NON DEDUCTIBLE</t>
  </si>
  <si>
    <t>CSG DEDUCTIBLE</t>
  </si>
  <si>
    <t>CRDS</t>
  </si>
  <si>
    <t xml:space="preserve"> TOTAL NEGATIF</t>
  </si>
  <si>
    <t>NET A PAYER</t>
  </si>
  <si>
    <t>Montant acompte (90% du net à payer) sans arrondis</t>
  </si>
  <si>
    <t>MONTANT ACOMPTE VERSE ARRONDI A LA DIZAINE INFERIEURE</t>
  </si>
  <si>
    <t>valeur mensuelle point FPE au 01/02/2017</t>
  </si>
  <si>
    <t>IRCANTEC TRANCHE A</t>
  </si>
  <si>
    <t>IRCANTEC TRANCHE B</t>
  </si>
  <si>
    <t>COTISATION OUV. VIEILLESSE PLAFONNEE</t>
  </si>
  <si>
    <t>COTISATION  OUV. VIEILLESSE DEPLAFONNEE</t>
  </si>
  <si>
    <t>Plafond mensuel tranche A</t>
  </si>
  <si>
    <t>ETAT LIQUIDATIF D'ACOMPTE MANUEL OU AUTOMATIQUE CONTRACTUEL INDICIE</t>
  </si>
  <si>
    <r>
      <t>Indice majoré contractuel indicié</t>
    </r>
    <r>
      <rPr>
        <sz val="11"/>
        <color indexed="10"/>
        <rFont val="Calibri"/>
        <family val="2"/>
      </rPr>
      <t xml:space="preserve"> (*)</t>
    </r>
  </si>
  <si>
    <t>Date de fin de contrat (**)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</si>
  <si>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</si>
  <si>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</si>
  <si>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r>
      <t xml:space="preserve">(**) </t>
    </r>
    <r>
      <rPr>
        <sz val="11"/>
        <rFont val="Calibri"/>
        <family val="2"/>
      </rPr>
      <t xml:space="preserve">= </t>
    </r>
    <r>
      <rPr>
        <i/>
        <sz val="11"/>
        <rFont val="Calibri"/>
        <family val="2"/>
      </rPr>
      <t xml:space="preserve">à renseigner dans les cas où </t>
    </r>
  </si>
  <si>
    <t>la date de fin de contrat est inférieure au 1er mois de paye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</si>
</sst>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indexed="39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indexed="24"/>
      <name val="Calibri"/>
      <family val="2"/>
    </font>
    <font>
      <i/>
      <sz val="11"/>
      <name val="Calibri"/>
      <family val="2"/>
    </font>
    <font>
      <u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48">
    <xf numFmtId="0" fontId="0" fillId="0" borderId="0" xfId="0"/>
    <xf numFmtId="0" fontId="3" fillId="3" borderId="0" xfId="1" applyFill="1"/>
    <xf numFmtId="0" fontId="6" fillId="3" borderId="0" xfId="1" applyFont="1" applyFill="1" applyAlignment="1">
      <alignment vertical="center"/>
    </xf>
    <xf numFmtId="0" fontId="3" fillId="3" borderId="0" xfId="1" applyFont="1" applyFill="1" applyAlignment="1">
      <alignment horizontal="left"/>
    </xf>
    <xf numFmtId="0" fontId="7" fillId="3" borderId="0" xfId="1" applyFont="1" applyFill="1" applyAlignment="1">
      <alignment horizontal="center" vertical="center" wrapText="1"/>
    </xf>
    <xf numFmtId="0" fontId="5" fillId="3" borderId="0" xfId="1" applyFont="1" applyFill="1"/>
    <xf numFmtId="0" fontId="4" fillId="3" borderId="0" xfId="1" applyFont="1" applyFill="1" applyAlignment="1">
      <alignment horizontal="right"/>
    </xf>
    <xf numFmtId="0" fontId="13" fillId="3" borderId="0" xfId="1" applyFont="1" applyFill="1"/>
    <xf numFmtId="0" fontId="3" fillId="3" borderId="1" xfId="1" applyFill="1" applyBorder="1"/>
    <xf numFmtId="14" fontId="3" fillId="3" borderId="1" xfId="1" applyNumberFormat="1" applyFill="1" applyBorder="1"/>
    <xf numFmtId="0" fontId="14" fillId="2" borderId="0" xfId="2" applyFill="1"/>
    <xf numFmtId="0" fontId="11" fillId="2" borderId="0" xfId="2" applyFont="1" applyFill="1"/>
    <xf numFmtId="0" fontId="11" fillId="2" borderId="2" xfId="2" applyFont="1" applyFill="1" applyBorder="1" applyAlignment="1">
      <alignment horizontal="center"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 vertical="center"/>
    </xf>
    <xf numFmtId="2" fontId="14" fillId="2" borderId="5" xfId="2" applyNumberFormat="1" applyFont="1" applyFill="1" applyBorder="1" applyAlignment="1">
      <alignment horizontal="center" vertical="center" wrapText="1"/>
    </xf>
    <xf numFmtId="49" fontId="14" fillId="2" borderId="1" xfId="2" applyNumberFormat="1" applyFont="1" applyFill="1" applyBorder="1" applyAlignment="1">
      <alignment horizontal="center" vertical="center"/>
    </xf>
    <xf numFmtId="2" fontId="14" fillId="2" borderId="1" xfId="2" applyNumberFormat="1" applyFont="1" applyFill="1" applyBorder="1" applyAlignment="1">
      <alignment horizontal="center" vertical="center" wrapText="1"/>
    </xf>
    <xf numFmtId="49" fontId="14" fillId="2" borderId="6" xfId="2" applyNumberFormat="1" applyFont="1" applyFill="1" applyBorder="1" applyAlignment="1">
      <alignment horizontal="center" vertical="center"/>
    </xf>
    <xf numFmtId="2" fontId="14" fillId="2" borderId="6" xfId="2" applyNumberFormat="1" applyFont="1" applyFill="1" applyBorder="1" applyAlignment="1">
      <alignment horizontal="center" vertical="center" wrapText="1"/>
    </xf>
    <xf numFmtId="0" fontId="14" fillId="2" borderId="7" xfId="2" applyFont="1" applyFill="1" applyBorder="1" applyAlignment="1">
      <alignment horizontal="center" vertical="center" wrapText="1"/>
    </xf>
    <xf numFmtId="2" fontId="14" fillId="2" borderId="8" xfId="2" applyNumberFormat="1" applyFont="1" applyFill="1" applyBorder="1" applyAlignment="1">
      <alignment horizontal="center" vertical="center" wrapText="1"/>
    </xf>
    <xf numFmtId="2" fontId="14" fillId="2" borderId="4" xfId="2" applyNumberFormat="1" applyFont="1" applyFill="1" applyBorder="1" applyAlignment="1">
      <alignment horizontal="center" vertical="center" wrapText="1"/>
    </xf>
    <xf numFmtId="49" fontId="14" fillId="2" borderId="2" xfId="2" applyNumberFormat="1" applyFont="1" applyFill="1" applyBorder="1" applyAlignment="1">
      <alignment horizontal="center" vertical="center"/>
    </xf>
    <xf numFmtId="2" fontId="14" fillId="2" borderId="3" xfId="2" applyNumberFormat="1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center" vertical="center" wrapText="1"/>
    </xf>
    <xf numFmtId="0" fontId="14" fillId="2" borderId="10" xfId="2" applyFill="1" applyBorder="1"/>
    <xf numFmtId="2" fontId="14" fillId="2" borderId="11" xfId="2" applyNumberFormat="1" applyFill="1" applyBorder="1"/>
    <xf numFmtId="0" fontId="11" fillId="2" borderId="0" xfId="2" applyFont="1" applyFill="1" applyAlignment="1">
      <alignment wrapText="1"/>
    </xf>
    <xf numFmtId="0" fontId="16" fillId="3" borderId="0" xfId="1" applyFont="1" applyFill="1"/>
    <xf numFmtId="0" fontId="14" fillId="2" borderId="1" xfId="2" applyFill="1" applyBorder="1" applyAlignment="1">
      <alignment wrapText="1"/>
    </xf>
    <xf numFmtId="0" fontId="14" fillId="2" borderId="1" xfId="2" applyFill="1" applyBorder="1"/>
    <xf numFmtId="0" fontId="2" fillId="3" borderId="0" xfId="1" applyFont="1" applyFill="1"/>
    <xf numFmtId="0" fontId="2" fillId="2" borderId="1" xfId="1" applyFont="1" applyFill="1" applyBorder="1"/>
    <xf numFmtId="0" fontId="2" fillId="2" borderId="0" xfId="1" applyFont="1" applyFill="1"/>
    <xf numFmtId="0" fontId="18" fillId="3" borderId="0" xfId="1" applyFont="1" applyFill="1" applyBorder="1" applyAlignment="1">
      <alignment vertical="top"/>
    </xf>
    <xf numFmtId="0" fontId="2" fillId="3" borderId="0" xfId="1" applyFont="1" applyFill="1" applyBorder="1"/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left" vertical="top"/>
    </xf>
    <xf numFmtId="0" fontId="8" fillId="3" borderId="13" xfId="1" applyFont="1" applyFill="1" applyBorder="1" applyAlignment="1">
      <alignment horizontal="left" vertical="top"/>
    </xf>
    <xf numFmtId="0" fontId="8" fillId="3" borderId="14" xfId="1" applyFont="1" applyFill="1" applyBorder="1" applyAlignment="1">
      <alignment horizontal="left" vertical="top"/>
    </xf>
    <xf numFmtId="0" fontId="8" fillId="3" borderId="15" xfId="1" applyFont="1" applyFill="1" applyBorder="1" applyAlignment="1">
      <alignment horizontal="left" vertical="top"/>
    </xf>
    <xf numFmtId="0" fontId="8" fillId="3" borderId="16" xfId="1" applyFont="1" applyFill="1" applyBorder="1" applyAlignment="1">
      <alignment horizontal="left" vertical="top"/>
    </xf>
    <xf numFmtId="0" fontId="8" fillId="3" borderId="17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Normal="100" workbookViewId="0">
      <selection activeCell="V33" sqref="V24:V33"/>
    </sheetView>
  </sheetViews>
  <sheetFormatPr baseColWidth="10" defaultColWidth="11.42578125" defaultRowHeight="15" x14ac:dyDescent="0.25"/>
  <cols>
    <col min="1" max="1" width="46.140625" style="1" customWidth="1"/>
    <col min="2" max="2" width="24.85546875" style="1" customWidth="1"/>
    <col min="3" max="3" width="27.5703125" style="1" customWidth="1"/>
    <col min="4" max="8" width="11.42578125" style="1"/>
    <col min="9" max="9" width="18.28515625" style="1" customWidth="1"/>
    <col min="10" max="16384" width="11.42578125" style="1"/>
  </cols>
  <sheetData>
    <row r="1" spans="1:11" x14ac:dyDescent="0.25">
      <c r="B1" s="6" t="s">
        <v>0</v>
      </c>
    </row>
    <row r="2" spans="1:11" x14ac:dyDescent="0.25">
      <c r="A2" s="1" t="s">
        <v>4</v>
      </c>
    </row>
    <row r="5" spans="1:11" x14ac:dyDescent="0.25">
      <c r="A5" s="1" t="s">
        <v>1</v>
      </c>
    </row>
    <row r="6" spans="1:11" x14ac:dyDescent="0.25">
      <c r="A6" s="1" t="s">
        <v>5</v>
      </c>
      <c r="C6" s="1" t="s">
        <v>6</v>
      </c>
    </row>
    <row r="7" spans="1:11" x14ac:dyDescent="0.25">
      <c r="A7" s="1" t="s">
        <v>16</v>
      </c>
      <c r="B7" s="39" t="s">
        <v>44</v>
      </c>
      <c r="C7" s="1" t="s">
        <v>2</v>
      </c>
    </row>
    <row r="8" spans="1:11" x14ac:dyDescent="0.25">
      <c r="A8" s="1" t="s">
        <v>11</v>
      </c>
      <c r="C8" s="1" t="s">
        <v>11</v>
      </c>
    </row>
    <row r="10" spans="1:11" ht="18.75" x14ac:dyDescent="0.25">
      <c r="A10" s="41" t="s">
        <v>41</v>
      </c>
      <c r="B10" s="41"/>
      <c r="C10" s="41"/>
      <c r="D10" s="41"/>
      <c r="E10" s="2"/>
      <c r="F10" s="2"/>
      <c r="G10" s="2"/>
      <c r="H10" s="2"/>
      <c r="I10" s="2"/>
      <c r="J10" s="2"/>
      <c r="K10" s="2"/>
    </row>
    <row r="13" spans="1:11" x14ac:dyDescent="0.25">
      <c r="A13" s="1" t="s">
        <v>7</v>
      </c>
      <c r="C13" s="3" t="s">
        <v>8</v>
      </c>
    </row>
    <row r="14" spans="1:11" s="4" customFormat="1" x14ac:dyDescent="0.25">
      <c r="A14" s="1" t="s">
        <v>17</v>
      </c>
      <c r="B14" s="1"/>
      <c r="C14" s="1" t="s">
        <v>9</v>
      </c>
      <c r="D14" s="1"/>
      <c r="E14" s="1"/>
      <c r="F14" s="1"/>
      <c r="G14" s="1"/>
      <c r="H14" s="1"/>
    </row>
    <row r="15" spans="1:11" x14ac:dyDescent="0.25">
      <c r="A15" s="1" t="s">
        <v>10</v>
      </c>
      <c r="C15" s="7" t="s">
        <v>11</v>
      </c>
    </row>
    <row r="16" spans="1:11" ht="30.75" customHeight="1" x14ac:dyDescent="0.25">
      <c r="C16" s="7"/>
    </row>
    <row r="17" spans="1:9" x14ac:dyDescent="0.25">
      <c r="A17" s="8" t="s">
        <v>42</v>
      </c>
      <c r="B17" s="8">
        <v>503</v>
      </c>
      <c r="C17" s="7" t="s">
        <v>11</v>
      </c>
      <c r="I17" s="31"/>
    </row>
    <row r="18" spans="1:9" x14ac:dyDescent="0.25">
      <c r="A18" s="8" t="s">
        <v>19</v>
      </c>
      <c r="B18" s="9">
        <v>43221</v>
      </c>
      <c r="C18" s="7"/>
      <c r="I18" s="31"/>
    </row>
    <row r="19" spans="1:9" x14ac:dyDescent="0.25">
      <c r="A19" s="8" t="s">
        <v>18</v>
      </c>
      <c r="B19" s="8">
        <v>100</v>
      </c>
      <c r="C19" s="7"/>
      <c r="I19" s="31"/>
    </row>
    <row r="20" spans="1:9" s="34" customFormat="1" x14ac:dyDescent="0.25">
      <c r="A20" s="35" t="s">
        <v>43</v>
      </c>
      <c r="B20" s="35"/>
      <c r="C20" s="36" t="s">
        <v>11</v>
      </c>
      <c r="D20" s="37"/>
      <c r="E20" s="38"/>
      <c r="F20" s="38"/>
      <c r="G20" s="38"/>
      <c r="H20" s="38"/>
    </row>
    <row r="21" spans="1:9" x14ac:dyDescent="0.25">
      <c r="A21" s="10"/>
      <c r="B21" s="10"/>
      <c r="C21" s="10"/>
    </row>
    <row r="22" spans="1:9" x14ac:dyDescent="0.25">
      <c r="A22" s="10"/>
      <c r="B22" s="11" t="s">
        <v>20</v>
      </c>
      <c r="C22" s="10"/>
    </row>
    <row r="23" spans="1:9" ht="15.75" thickBot="1" x14ac:dyDescent="0.3">
      <c r="A23" s="10"/>
      <c r="B23" s="10"/>
      <c r="C23" s="10"/>
    </row>
    <row r="24" spans="1:9" ht="32.25" customHeight="1" thickBot="1" x14ac:dyDescent="0.3">
      <c r="A24" s="12" t="s">
        <v>21</v>
      </c>
      <c r="B24" s="13" t="s">
        <v>22</v>
      </c>
      <c r="C24" s="14" t="s">
        <v>23</v>
      </c>
    </row>
    <row r="25" spans="1:9" x14ac:dyDescent="0.25">
      <c r="A25" s="15" t="s">
        <v>24</v>
      </c>
      <c r="B25" s="16">
        <v>30</v>
      </c>
      <c r="C25" s="16">
        <f>(B17*C44*B25/30)</f>
        <v>2357.058</v>
      </c>
    </row>
    <row r="26" spans="1:9" x14ac:dyDescent="0.25">
      <c r="A26" s="17" t="s">
        <v>25</v>
      </c>
      <c r="B26" s="18">
        <v>30</v>
      </c>
      <c r="C26" s="18">
        <f>C25*0.03</f>
        <v>70.711739999999992</v>
      </c>
    </row>
    <row r="27" spans="1:9" ht="15.75" thickBot="1" x14ac:dyDescent="0.3">
      <c r="A27" s="19" t="s">
        <v>26</v>
      </c>
      <c r="B27" s="20">
        <v>30</v>
      </c>
      <c r="C27" s="20">
        <v>1000</v>
      </c>
    </row>
    <row r="28" spans="1:9" ht="15.75" thickBot="1" x14ac:dyDescent="0.3">
      <c r="A28" s="21" t="s">
        <v>27</v>
      </c>
      <c r="B28" s="22" t="s">
        <v>11</v>
      </c>
      <c r="C28" s="23">
        <f>SUM(C25:C27)</f>
        <v>3427.7697400000002</v>
      </c>
    </row>
    <row r="29" spans="1:9" x14ac:dyDescent="0.25">
      <c r="A29" s="15" t="s">
        <v>36</v>
      </c>
      <c r="B29" s="16"/>
      <c r="C29" s="16">
        <f>IF(C25&gt;C45,C45*0.028,C25*0.028)</f>
        <v>65.997624000000002</v>
      </c>
    </row>
    <row r="30" spans="1:9" x14ac:dyDescent="0.25">
      <c r="A30" s="15" t="s">
        <v>37</v>
      </c>
      <c r="B30" s="18"/>
      <c r="C30" s="18">
        <f>IF(C25&gt;C45,(C25-C45)*0.0695,0)</f>
        <v>0</v>
      </c>
    </row>
    <row r="31" spans="1:9" x14ac:dyDescent="0.25">
      <c r="A31" s="15" t="s">
        <v>38</v>
      </c>
      <c r="B31" s="18"/>
      <c r="C31" s="18">
        <f>IF(C25&gt;C45,C45*0.069,C25*0.069)</f>
        <v>162.63700200000002</v>
      </c>
    </row>
    <row r="32" spans="1:9" x14ac:dyDescent="0.25">
      <c r="A32" s="15" t="s">
        <v>39</v>
      </c>
      <c r="B32" s="18"/>
      <c r="C32" s="18">
        <f>IF(C25&gt;C45,(C25-C45)*0.04,0)</f>
        <v>0</v>
      </c>
    </row>
    <row r="33" spans="1:3" x14ac:dyDescent="0.25">
      <c r="A33" s="17" t="s">
        <v>28</v>
      </c>
      <c r="B33" s="18"/>
      <c r="C33" s="18">
        <f>0.024*0.9825*C28</f>
        <v>80.826810469200012</v>
      </c>
    </row>
    <row r="34" spans="1:3" x14ac:dyDescent="0.25">
      <c r="A34" s="17" t="s">
        <v>29</v>
      </c>
      <c r="B34" s="18"/>
      <c r="C34" s="18">
        <f>0.068*0.9825*C28</f>
        <v>229.00929632940003</v>
      </c>
    </row>
    <row r="35" spans="1:3" ht="15.75" thickBot="1" x14ac:dyDescent="0.3">
      <c r="A35" s="17" t="s">
        <v>30</v>
      </c>
      <c r="B35" s="18"/>
      <c r="C35" s="18">
        <f>0.005*0.9825*C28</f>
        <v>16.838918847750001</v>
      </c>
    </row>
    <row r="36" spans="1:3" ht="15.75" thickBot="1" x14ac:dyDescent="0.3">
      <c r="A36" s="21" t="s">
        <v>31</v>
      </c>
      <c r="B36" s="22" t="s">
        <v>11</v>
      </c>
      <c r="C36" s="23">
        <f>SUM(C29:C35)</f>
        <v>555.30965164635018</v>
      </c>
    </row>
    <row r="37" spans="1:3" ht="15.75" thickBot="1" x14ac:dyDescent="0.3">
      <c r="A37" s="24" t="s">
        <v>32</v>
      </c>
      <c r="B37" s="25" t="s">
        <v>11</v>
      </c>
      <c r="C37" s="23">
        <f>C28-C36</f>
        <v>2872.46008835365</v>
      </c>
    </row>
    <row r="38" spans="1:3" x14ac:dyDescent="0.25">
      <c r="A38" s="15"/>
      <c r="B38" s="16"/>
      <c r="C38" s="16"/>
    </row>
    <row r="39" spans="1:3" x14ac:dyDescent="0.25">
      <c r="A39" s="17" t="s">
        <v>33</v>
      </c>
      <c r="B39" s="18"/>
      <c r="C39" s="18">
        <f>C37*0.9</f>
        <v>2585.214079518285</v>
      </c>
    </row>
    <row r="40" spans="1:3" ht="15.75" thickBot="1" x14ac:dyDescent="0.3">
      <c r="A40" s="26"/>
      <c r="B40" s="10"/>
      <c r="C40" s="10"/>
    </row>
    <row r="41" spans="1:3" ht="26.25" thickBot="1" x14ac:dyDescent="0.3">
      <c r="A41" s="27" t="s">
        <v>34</v>
      </c>
      <c r="B41" s="28"/>
      <c r="C41" s="29">
        <f>ROUNDDOWN(C39,-1)</f>
        <v>2580</v>
      </c>
    </row>
    <row r="42" spans="1:3" x14ac:dyDescent="0.25">
      <c r="A42" s="26"/>
      <c r="B42" s="10"/>
      <c r="C42" s="10"/>
    </row>
    <row r="43" spans="1:3" x14ac:dyDescent="0.25">
      <c r="A43" s="10"/>
      <c r="B43" s="10"/>
      <c r="C43" s="10"/>
    </row>
    <row r="44" spans="1:3" ht="26.25" x14ac:dyDescent="0.25">
      <c r="A44" s="10"/>
      <c r="B44" s="32" t="s">
        <v>35</v>
      </c>
      <c r="C44" s="33">
        <v>4.6859999999999999</v>
      </c>
    </row>
    <row r="45" spans="1:3" ht="26.25" x14ac:dyDescent="0.25">
      <c r="A45" s="10"/>
      <c r="B45" s="32" t="s">
        <v>40</v>
      </c>
      <c r="C45" s="33">
        <v>3311</v>
      </c>
    </row>
    <row r="46" spans="1:3" ht="15.75" customHeight="1" x14ac:dyDescent="0.25">
      <c r="A46" s="10"/>
      <c r="B46" s="30" t="s">
        <v>11</v>
      </c>
      <c r="C46" s="11" t="s">
        <v>11</v>
      </c>
    </row>
    <row r="48" spans="1:3" x14ac:dyDescent="0.25">
      <c r="A48" s="42" t="s">
        <v>3</v>
      </c>
      <c r="B48" s="43"/>
      <c r="C48" s="44"/>
    </row>
    <row r="49" spans="1:3" x14ac:dyDescent="0.25">
      <c r="A49" s="45"/>
      <c r="B49" s="46"/>
      <c r="C49" s="47"/>
    </row>
    <row r="51" spans="1:3" x14ac:dyDescent="0.25">
      <c r="C51" s="1" t="s">
        <v>12</v>
      </c>
    </row>
    <row r="53" spans="1:3" x14ac:dyDescent="0.25">
      <c r="C53" s="1" t="s">
        <v>13</v>
      </c>
    </row>
    <row r="54" spans="1:3" x14ac:dyDescent="0.25">
      <c r="A54" s="5" t="s">
        <v>15</v>
      </c>
    </row>
    <row r="55" spans="1:3" x14ac:dyDescent="0.25">
      <c r="A55" s="34" t="s">
        <v>46</v>
      </c>
    </row>
    <row r="56" spans="1:3" x14ac:dyDescent="0.25">
      <c r="A56" s="1" t="s">
        <v>47</v>
      </c>
      <c r="C56" s="1" t="s">
        <v>14</v>
      </c>
    </row>
    <row r="58" spans="1:3" x14ac:dyDescent="0.25">
      <c r="A58" s="40" t="s">
        <v>45</v>
      </c>
    </row>
  </sheetData>
  <sheetProtection selectLockedCells="1" selectUnlockedCells="1"/>
  <mergeCells count="2">
    <mergeCell ref="A10:D10"/>
    <mergeCell ref="A48:C49"/>
  </mergeCells>
  <printOptions horizontalCentered="1"/>
  <pageMargins left="0.23622047244094491" right="0.23622047244094491" top="0.55118110236220474" bottom="0.55118110236220474" header="0.51181102362204722" footer="0.51181102362204722"/>
  <pageSetup paperSize="9" scale="80" firstPageNumber="0" orientation="portrait" cellComments="atEnd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17 Acpte ASC indiciés</vt:lpstr>
      <vt:lpstr>'EL 17 Acpte ASC indiciés'!Zone_d_impression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2022-11-23T13:51:46Z</dcterms:modified>
</cp:coreProperties>
</file>