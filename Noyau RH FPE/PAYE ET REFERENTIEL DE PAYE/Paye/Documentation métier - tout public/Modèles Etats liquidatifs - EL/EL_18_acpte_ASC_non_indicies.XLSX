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8 Acpte ASC non indic" sheetId="30" r:id="rId1"/>
  </sheets>
  <definedNames>
    <definedName name="etat_8_indiv" localSheetId="0">#REF!</definedName>
    <definedName name="etat_8_indiv">#REF!</definedName>
    <definedName name="état_liquidatif_4indiv" localSheetId="0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 localSheetId="0">#REF!</definedName>
    <definedName name="etats_1">#REF!</definedName>
    <definedName name="etats_2" localSheetId="0">#REF!</definedName>
    <definedName name="etats_2">#REF!</definedName>
    <definedName name="etats_7" localSheetId="0">#REF!</definedName>
    <definedName name="etats_7">#REF!</definedName>
    <definedName name="etats_9" localSheetId="0">#REF!</definedName>
    <definedName name="etats_9">#REF!</definedName>
    <definedName name="états_liquidatifs_1" localSheetId="0">#REF!</definedName>
    <definedName name="états_liquidatifs_1">#REF!</definedName>
    <definedName name="états_liquidatifs_2" localSheetId="0">#REF!</definedName>
    <definedName name="états_liquidatifs_2">#REF!</definedName>
    <definedName name="états_liquidatifs_3" localSheetId="0">#REF!</definedName>
    <definedName name="états_liquidatifs_3">#REF!</definedName>
    <definedName name="états_liquidatifs_4" localSheetId="0">#REF!</definedName>
    <definedName name="états_liquidatifs_4">#REF!</definedName>
    <definedName name="états_liquidatifs_6" localSheetId="0">#REF!</definedName>
    <definedName name="états_liquidatifs_6">#REF!</definedName>
    <definedName name="états_liquidatifs_7" localSheetId="0">#REF!</definedName>
    <definedName name="états_liquidatifs_7">#REF!</definedName>
    <definedName name="états_liquidatifs2" localSheetId="0">#REF!</definedName>
    <definedName name="états_liquidatifs2">#REF!</definedName>
    <definedName name="etats2" localSheetId="0">#REF!</definedName>
    <definedName name="etats2">#REF!</definedName>
    <definedName name="modele2" localSheetId="0">#REF!</definedName>
    <definedName name="modele2">#REF!</definedName>
    <definedName name="périodicité" localSheetId="0">#REF!</definedName>
    <definedName name="périodicité">#REF!</definedName>
    <definedName name="_xlnm.Print_Area" localSheetId="0">'EL 18 Acpte ASC non indic'!$A$1:$E$63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30" l="1"/>
  <c r="C34" i="30" s="1"/>
  <c r="C32" i="30" l="1"/>
  <c r="C35" i="30"/>
  <c r="C33" i="30"/>
  <c r="C29" i="30"/>
  <c r="C31" i="30" s="1"/>
  <c r="C38" i="30" l="1"/>
  <c r="C37" i="30"/>
  <c r="C36" i="30"/>
  <c r="C39" i="30" s="1"/>
  <c r="C40" i="30" s="1"/>
  <c r="C42" i="30" s="1"/>
  <c r="C44" i="30" s="1"/>
</calcChain>
</file>

<file path=xl/sharedStrings.xml><?xml version="1.0" encoding="utf-8"?>
<sst xmlns="http://schemas.openxmlformats.org/spreadsheetml/2006/main" count="56" uniqueCount="46">
  <si>
    <t>Zone en-tête / Marianne</t>
  </si>
  <si>
    <t>(Code ventilation budgétaire :)</t>
  </si>
  <si>
    <t>(Article d'exécution :)</t>
  </si>
  <si>
    <t>Commentaires :</t>
  </si>
  <si>
    <r>
      <t xml:space="preserve">Code Administration : </t>
    </r>
    <r>
      <rPr>
        <sz val="11"/>
        <color indexed="10"/>
        <rFont val="Calibri"/>
        <family val="2"/>
      </rPr>
      <t>(*)</t>
    </r>
  </si>
  <si>
    <r>
      <t xml:space="preserve">Programme : </t>
    </r>
    <r>
      <rPr>
        <sz val="11"/>
        <color indexed="10"/>
        <rFont val="Calibri"/>
        <family val="2"/>
      </rPr>
      <t>(*)</t>
    </r>
  </si>
  <si>
    <r>
      <t xml:space="preserve">Action - Sous-action : </t>
    </r>
    <r>
      <rPr>
        <sz val="11"/>
        <color indexed="10"/>
        <rFont val="Calibri"/>
        <family val="2"/>
      </rPr>
      <t>(*)</t>
    </r>
  </si>
  <si>
    <r>
      <t xml:space="preserve">NOM : </t>
    </r>
    <r>
      <rPr>
        <sz val="11"/>
        <color indexed="10"/>
        <rFont val="Calibri"/>
        <family val="2"/>
      </rPr>
      <t>(*)</t>
    </r>
  </si>
  <si>
    <r>
      <t xml:space="preserve">Prénom : </t>
    </r>
    <r>
      <rPr>
        <sz val="11"/>
        <color indexed="10"/>
        <rFont val="Calibri"/>
        <family val="2"/>
      </rPr>
      <t>(*)</t>
    </r>
  </si>
  <si>
    <r>
      <t xml:space="preserve">n° dossier : </t>
    </r>
    <r>
      <rPr>
        <sz val="11"/>
        <color indexed="10"/>
        <rFont val="Calibri"/>
        <family val="2"/>
      </rPr>
      <t>(*)</t>
    </r>
  </si>
  <si>
    <r>
      <t xml:space="preserve">Libellé grade : </t>
    </r>
    <r>
      <rPr>
        <sz val="11"/>
        <color indexed="10"/>
        <rFont val="Calibri"/>
        <family val="2"/>
      </rPr>
      <t>(*)</t>
    </r>
  </si>
  <si>
    <t xml:space="preserve"> </t>
  </si>
  <si>
    <r>
      <t>Lieu + date</t>
    </r>
    <r>
      <rPr>
        <sz val="11"/>
        <color indexed="10"/>
        <rFont val="Calibri"/>
        <family val="2"/>
      </rPr>
      <t xml:space="preserve"> (*)</t>
    </r>
  </si>
  <si>
    <r>
      <t xml:space="preserve">[fonction du signataire] </t>
    </r>
    <r>
      <rPr>
        <sz val="11"/>
        <color indexed="10"/>
        <rFont val="Calibri"/>
        <family val="2"/>
      </rPr>
      <t>(*)</t>
    </r>
  </si>
  <si>
    <r>
      <t>[nom du signataire]</t>
    </r>
    <r>
      <rPr>
        <sz val="11"/>
        <color indexed="10"/>
        <rFont val="Calibri"/>
        <family val="2"/>
      </rPr>
      <t xml:space="preserve"> (*)</t>
    </r>
  </si>
  <si>
    <r>
      <t>(*)</t>
    </r>
    <r>
      <rPr>
        <i/>
        <sz val="11"/>
        <color indexed="10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= champs obligatoires</t>
    </r>
  </si>
  <si>
    <r>
      <t xml:space="preserve">Compte PCE : </t>
    </r>
    <r>
      <rPr>
        <sz val="11"/>
        <color indexed="10"/>
        <rFont val="Calibri"/>
        <family val="2"/>
      </rPr>
      <t>(*</t>
    </r>
    <r>
      <rPr>
        <sz val="11"/>
        <rFont val="Calibri"/>
        <family val="2"/>
      </rPr>
      <t>)</t>
    </r>
  </si>
  <si>
    <r>
      <t xml:space="preserve">NIR : </t>
    </r>
    <r>
      <rPr>
        <sz val="11"/>
        <color indexed="10"/>
        <rFont val="Calibri"/>
        <family val="2"/>
      </rPr>
      <t>(*)</t>
    </r>
  </si>
  <si>
    <r>
      <t>Date de PEC ou de réintégration</t>
    </r>
    <r>
      <rPr>
        <sz val="11"/>
        <color indexed="10"/>
        <rFont val="Calibri"/>
        <family val="2"/>
      </rPr>
      <t xml:space="preserve"> (*)</t>
    </r>
  </si>
  <si>
    <t>DECOMPTE</t>
  </si>
  <si>
    <t>ELEMENT DE REMUNERATION</t>
  </si>
  <si>
    <t xml:space="preserve"> nombre de jours de service fait</t>
  </si>
  <si>
    <t>MONTANT</t>
  </si>
  <si>
    <t>TRAITEMENT BRUT</t>
  </si>
  <si>
    <t>INDEMNITE DE RESIDENCE</t>
  </si>
  <si>
    <t xml:space="preserve"> TOTAL POSITIF</t>
  </si>
  <si>
    <t>CSG NON DEDUCTIBLE</t>
  </si>
  <si>
    <t>CSG DEDUCTIBLE</t>
  </si>
  <si>
    <t>CRDS</t>
  </si>
  <si>
    <t xml:space="preserve"> TOTAL NEGATIF</t>
  </si>
  <si>
    <t>NET A PAYER</t>
  </si>
  <si>
    <t>Montant acompte (90% du net à payer) sans arrondis</t>
  </si>
  <si>
    <t>MONTANT ACOMPTE VERSE ARRONDI A LA DIZAINE INFERIEURE</t>
  </si>
  <si>
    <t>valeur mensuelle point FPE au 01/02/2017</t>
  </si>
  <si>
    <t>ETAT LIQUIDATIF D'ACOMPTE MANUEL OU AUTOMATIQUE CONTRACTUEL NON INDICIE</t>
  </si>
  <si>
    <r>
      <rPr>
        <sz val="11"/>
        <rFont val="Calibri"/>
        <family val="2"/>
      </rPr>
      <t>Salaire brut mensuel contractuel non indicé
 (mouvement 45)</t>
    </r>
    <r>
      <rPr>
        <sz val="11"/>
        <color indexed="10"/>
        <rFont val="Calibri"/>
        <family val="2"/>
      </rPr>
      <t xml:space="preserve"> (*)</t>
    </r>
  </si>
  <si>
    <t>COMPLEMENT DE REMUNERATION (IR 0362)</t>
  </si>
  <si>
    <t>IRCANTEC TRANCHE A</t>
  </si>
  <si>
    <t>IRCANTEC TRANCHE B</t>
  </si>
  <si>
    <t>COTISATION OUV. VIEILLESSE PLAFONNEE</t>
  </si>
  <si>
    <t>COTISATION  OUV. VIEILLESSE DEPLAFONNEE</t>
  </si>
  <si>
    <t>Plafond mensuel tranche A</t>
  </si>
  <si>
    <r>
      <t xml:space="preserve">(**) </t>
    </r>
    <r>
      <rPr>
        <sz val="11"/>
        <rFont val="Calibri"/>
        <family val="2"/>
      </rPr>
      <t xml:space="preserve">= </t>
    </r>
    <r>
      <rPr>
        <i/>
        <sz val="11"/>
        <rFont val="Calibri"/>
        <family val="2"/>
      </rPr>
      <t>à renseigner dans les cas où la date de fin de contrat est inférieure au 1er mois de paye</t>
    </r>
  </si>
  <si>
    <t>Date de fin de contrat (**)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</si>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</sst>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i/>
      <sz val="11"/>
      <color indexed="10"/>
      <name val="Calibri"/>
      <family val="2"/>
    </font>
    <font>
      <i/>
      <sz val="11"/>
      <color indexed="8"/>
      <name val="Calibri"/>
      <family val="2"/>
    </font>
    <font>
      <b/>
      <sz val="10"/>
      <name val="Arial"/>
      <family val="2"/>
    </font>
    <font>
      <sz val="11"/>
      <name val="Calibri"/>
      <family val="2"/>
    </font>
    <font>
      <sz val="11"/>
      <color indexed="39"/>
      <name val="Calibri"/>
      <family val="2"/>
    </font>
    <font>
      <u/>
      <sz val="11"/>
      <color indexed="48"/>
      <name val="Calibri"/>
      <family val="2"/>
    </font>
    <font>
      <sz val="11"/>
      <color indexed="48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11"/>
      <color indexed="24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6" fillId="0" borderId="0"/>
  </cellStyleXfs>
  <cellXfs count="53">
    <xf numFmtId="0" fontId="0" fillId="0" borderId="0" xfId="0"/>
    <xf numFmtId="0" fontId="3" fillId="3" borderId="0" xfId="1" applyFill="1"/>
    <xf numFmtId="0" fontId="6" fillId="3" borderId="0" xfId="1" applyFont="1" applyFill="1" applyAlignment="1">
      <alignment vertical="center"/>
    </xf>
    <xf numFmtId="0" fontId="3" fillId="3" borderId="0" xfId="1" applyFont="1" applyFill="1" applyAlignment="1">
      <alignment horizontal="left"/>
    </xf>
    <xf numFmtId="0" fontId="7" fillId="3" borderId="0" xfId="1" applyFont="1" applyFill="1" applyAlignment="1">
      <alignment horizontal="center" vertical="center" wrapText="1"/>
    </xf>
    <xf numFmtId="0" fontId="3" fillId="3" borderId="0" xfId="1" applyFill="1" applyBorder="1"/>
    <xf numFmtId="0" fontId="5" fillId="3" borderId="0" xfId="1" applyFont="1" applyFill="1"/>
    <xf numFmtId="0" fontId="4" fillId="3" borderId="0" xfId="1" applyFont="1" applyFill="1" applyAlignment="1">
      <alignment horizontal="right"/>
    </xf>
    <xf numFmtId="0" fontId="13" fillId="3" borderId="0" xfId="1" applyFont="1" applyFill="1"/>
    <xf numFmtId="0" fontId="3" fillId="3" borderId="1" xfId="1" applyFill="1" applyBorder="1"/>
    <xf numFmtId="14" fontId="3" fillId="3" borderId="1" xfId="1" applyNumberFormat="1" applyFill="1" applyBorder="1"/>
    <xf numFmtId="0" fontId="3" fillId="2" borderId="0" xfId="1" applyFill="1"/>
    <xf numFmtId="0" fontId="13" fillId="2" borderId="0" xfId="1" applyFont="1" applyFill="1"/>
    <xf numFmtId="0" fontId="14" fillId="3" borderId="0" xfId="1" applyFont="1" applyFill="1" applyBorder="1" applyAlignment="1">
      <alignment vertical="top"/>
    </xf>
    <xf numFmtId="0" fontId="15" fillId="3" borderId="0" xfId="1" applyFont="1" applyFill="1" applyBorder="1"/>
    <xf numFmtId="0" fontId="16" fillId="2" borderId="0" xfId="2" applyFill="1"/>
    <xf numFmtId="0" fontId="11" fillId="2" borderId="0" xfId="2" applyFont="1" applyFill="1"/>
    <xf numFmtId="0" fontId="11" fillId="2" borderId="2" xfId="2" applyFont="1" applyFill="1" applyBorder="1" applyAlignment="1">
      <alignment horizontal="center" vertical="center" wrapText="1"/>
    </xf>
    <xf numFmtId="0" fontId="17" fillId="2" borderId="3" xfId="2" applyFont="1" applyFill="1" applyBorder="1" applyAlignment="1">
      <alignment horizontal="center" vertical="center" wrapText="1"/>
    </xf>
    <xf numFmtId="0" fontId="17" fillId="2" borderId="4" xfId="2" applyFont="1" applyFill="1" applyBorder="1" applyAlignment="1">
      <alignment horizontal="center" vertical="center" wrapText="1"/>
    </xf>
    <xf numFmtId="49" fontId="16" fillId="2" borderId="5" xfId="2" applyNumberFormat="1" applyFont="1" applyFill="1" applyBorder="1" applyAlignment="1">
      <alignment horizontal="center" vertical="center"/>
    </xf>
    <xf numFmtId="2" fontId="16" fillId="2" borderId="5" xfId="2" applyNumberFormat="1" applyFont="1" applyFill="1" applyBorder="1" applyAlignment="1">
      <alignment horizontal="center" vertical="center" wrapText="1"/>
    </xf>
    <xf numFmtId="49" fontId="16" fillId="2" borderId="1" xfId="2" applyNumberFormat="1" applyFont="1" applyFill="1" applyBorder="1" applyAlignment="1">
      <alignment horizontal="center" vertical="center"/>
    </xf>
    <xf numFmtId="2" fontId="16" fillId="2" borderId="1" xfId="2" applyNumberFormat="1" applyFont="1" applyFill="1" applyBorder="1" applyAlignment="1">
      <alignment horizontal="center" vertical="center" wrapText="1"/>
    </xf>
    <xf numFmtId="49" fontId="16" fillId="2" borderId="6" xfId="2" applyNumberFormat="1" applyFont="1" applyFill="1" applyBorder="1" applyAlignment="1">
      <alignment horizontal="center" vertical="center"/>
    </xf>
    <xf numFmtId="2" fontId="16" fillId="2" borderId="6" xfId="2" applyNumberFormat="1" applyFont="1" applyFill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 wrapText="1"/>
    </xf>
    <xf numFmtId="2" fontId="16" fillId="2" borderId="8" xfId="2" applyNumberFormat="1" applyFont="1" applyFill="1" applyBorder="1" applyAlignment="1">
      <alignment horizontal="center" vertical="center" wrapText="1"/>
    </xf>
    <xf numFmtId="2" fontId="16" fillId="2" borderId="4" xfId="2" applyNumberFormat="1" applyFont="1" applyFill="1" applyBorder="1" applyAlignment="1">
      <alignment horizontal="center" vertical="center" wrapText="1"/>
    </xf>
    <xf numFmtId="49" fontId="16" fillId="2" borderId="2" xfId="2" applyNumberFormat="1" applyFont="1" applyFill="1" applyBorder="1" applyAlignment="1">
      <alignment horizontal="center" vertical="center"/>
    </xf>
    <xf numFmtId="2" fontId="16" fillId="2" borderId="3" xfId="2" applyNumberFormat="1" applyFont="1" applyFill="1" applyBorder="1" applyAlignment="1">
      <alignment horizontal="center" vertical="center" wrapText="1"/>
    </xf>
    <xf numFmtId="0" fontId="16" fillId="2" borderId="0" xfId="2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horizontal="center" vertical="center" wrapText="1"/>
    </xf>
    <xf numFmtId="0" fontId="16" fillId="2" borderId="10" xfId="2" applyFill="1" applyBorder="1"/>
    <xf numFmtId="2" fontId="16" fillId="2" borderId="11" xfId="2" applyNumberFormat="1" applyFill="1" applyBorder="1"/>
    <xf numFmtId="0" fontId="11" fillId="2" borderId="0" xfId="2" applyFont="1" applyFill="1" applyAlignment="1">
      <alignment wrapText="1"/>
    </xf>
    <xf numFmtId="0" fontId="18" fillId="3" borderId="0" xfId="1" applyFont="1" applyFill="1"/>
    <xf numFmtId="0" fontId="5" fillId="3" borderId="1" xfId="1" applyFont="1" applyFill="1" applyBorder="1" applyAlignment="1">
      <alignment wrapText="1"/>
    </xf>
    <xf numFmtId="0" fontId="16" fillId="2" borderId="1" xfId="2" applyFill="1" applyBorder="1" applyAlignment="1">
      <alignment wrapText="1"/>
    </xf>
    <xf numFmtId="0" fontId="16" fillId="2" borderId="1" xfId="2" applyFill="1" applyBorder="1"/>
    <xf numFmtId="0" fontId="3" fillId="2" borderId="1" xfId="1" applyFill="1" applyBorder="1"/>
    <xf numFmtId="0" fontId="2" fillId="3" borderId="0" xfId="1" applyFont="1" applyFill="1"/>
    <xf numFmtId="0" fontId="3" fillId="3" borderId="1" xfId="1" applyFill="1" applyBorder="1" applyAlignment="1">
      <alignment vertical="center"/>
    </xf>
    <xf numFmtId="0" fontId="2" fillId="2" borderId="1" xfId="1" applyFont="1" applyFill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6" fillId="3" borderId="0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left" vertical="top"/>
    </xf>
    <xf numFmtId="0" fontId="8" fillId="3" borderId="13" xfId="1" applyFont="1" applyFill="1" applyBorder="1" applyAlignment="1">
      <alignment horizontal="left" vertical="top"/>
    </xf>
    <xf numFmtId="0" fontId="8" fillId="3" borderId="14" xfId="1" applyFont="1" applyFill="1" applyBorder="1" applyAlignment="1">
      <alignment horizontal="left" vertical="top"/>
    </xf>
    <xf numFmtId="0" fontId="8" fillId="3" borderId="15" xfId="1" applyFont="1" applyFill="1" applyBorder="1" applyAlignment="1">
      <alignment horizontal="left" vertical="top"/>
    </xf>
    <xf numFmtId="0" fontId="8" fillId="3" borderId="16" xfId="1" applyFont="1" applyFill="1" applyBorder="1" applyAlignment="1">
      <alignment horizontal="left" vertical="top"/>
    </xf>
    <xf numFmtId="0" fontId="8" fillId="3" borderId="17" xfId="1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tabSelected="1" zoomScaleNormal="100" workbookViewId="0">
      <selection activeCell="A63" sqref="A63"/>
    </sheetView>
  </sheetViews>
  <sheetFormatPr baseColWidth="10" defaultColWidth="11.42578125" defaultRowHeight="15" x14ac:dyDescent="0.25"/>
  <cols>
    <col min="1" max="1" width="46.140625" style="1" customWidth="1"/>
    <col min="2" max="2" width="21" style="1" bestFit="1" customWidth="1"/>
    <col min="3" max="3" width="27.5703125" style="1" customWidth="1"/>
    <col min="4" max="8" width="11.42578125" style="1"/>
    <col min="9" max="9" width="18.28515625" style="1" customWidth="1"/>
    <col min="10" max="16384" width="11.42578125" style="1"/>
  </cols>
  <sheetData>
    <row r="1" spans="1:11" x14ac:dyDescent="0.25">
      <c r="C1" s="7" t="s">
        <v>0</v>
      </c>
    </row>
    <row r="2" spans="1:11" x14ac:dyDescent="0.25">
      <c r="A2" s="1" t="s">
        <v>4</v>
      </c>
    </row>
    <row r="7" spans="1:11" x14ac:dyDescent="0.25">
      <c r="A7" s="1" t="s">
        <v>1</v>
      </c>
    </row>
    <row r="8" spans="1:11" x14ac:dyDescent="0.25">
      <c r="A8" s="1" t="s">
        <v>5</v>
      </c>
      <c r="C8" s="1" t="s">
        <v>6</v>
      </c>
    </row>
    <row r="9" spans="1:11" x14ac:dyDescent="0.25">
      <c r="A9" s="1" t="s">
        <v>16</v>
      </c>
      <c r="B9" s="44" t="s">
        <v>44</v>
      </c>
      <c r="C9" s="1" t="s">
        <v>2</v>
      </c>
    </row>
    <row r="10" spans="1:11" x14ac:dyDescent="0.25">
      <c r="A10" s="1" t="s">
        <v>11</v>
      </c>
      <c r="C10" s="1" t="s">
        <v>11</v>
      </c>
    </row>
    <row r="12" spans="1:11" ht="18.75" x14ac:dyDescent="0.25">
      <c r="A12" s="46" t="s">
        <v>34</v>
      </c>
      <c r="B12" s="46"/>
      <c r="C12" s="46"/>
      <c r="D12" s="46"/>
      <c r="E12" s="2"/>
      <c r="F12" s="2"/>
      <c r="G12" s="2"/>
      <c r="H12" s="2"/>
      <c r="I12" s="2"/>
      <c r="J12" s="2"/>
      <c r="K12" s="2"/>
    </row>
    <row r="13" spans="1:11" ht="18.75" x14ac:dyDescent="0.25">
      <c r="A13" s="46"/>
      <c r="B13" s="46"/>
      <c r="C13" s="46"/>
      <c r="D13" s="2"/>
      <c r="E13" s="2"/>
      <c r="F13" s="2"/>
      <c r="G13" s="2"/>
      <c r="H13" s="2"/>
      <c r="I13" s="2"/>
      <c r="J13" s="2"/>
      <c r="K13" s="2"/>
    </row>
    <row r="16" spans="1:11" x14ac:dyDescent="0.25">
      <c r="A16" s="1" t="s">
        <v>7</v>
      </c>
      <c r="C16" s="3" t="s">
        <v>8</v>
      </c>
    </row>
    <row r="17" spans="1:9" s="4" customFormat="1" x14ac:dyDescent="0.25">
      <c r="A17" s="1" t="s">
        <v>17</v>
      </c>
      <c r="B17" s="1"/>
      <c r="C17" s="1" t="s">
        <v>9</v>
      </c>
      <c r="D17" s="1"/>
      <c r="E17" s="1"/>
      <c r="F17" s="1"/>
      <c r="G17" s="1"/>
      <c r="H17" s="1"/>
    </row>
    <row r="18" spans="1:9" x14ac:dyDescent="0.25">
      <c r="A18" s="1" t="s">
        <v>10</v>
      </c>
      <c r="C18" s="8" t="s">
        <v>11</v>
      </c>
    </row>
    <row r="19" spans="1:9" ht="30.75" customHeight="1" x14ac:dyDescent="0.25">
      <c r="C19" s="8"/>
    </row>
    <row r="20" spans="1:9" ht="30" x14ac:dyDescent="0.25">
      <c r="A20" s="37" t="s">
        <v>35</v>
      </c>
      <c r="B20" s="42">
        <v>2800</v>
      </c>
      <c r="C20" s="8" t="s">
        <v>11</v>
      </c>
      <c r="I20" s="36"/>
    </row>
    <row r="21" spans="1:9" x14ac:dyDescent="0.25">
      <c r="A21" s="9" t="s">
        <v>18</v>
      </c>
      <c r="B21" s="10">
        <v>43221</v>
      </c>
      <c r="C21" s="8"/>
      <c r="I21" s="36"/>
    </row>
    <row r="22" spans="1:9" x14ac:dyDescent="0.25">
      <c r="A22" s="43" t="s">
        <v>43</v>
      </c>
      <c r="B22" s="40"/>
      <c r="C22" s="12" t="s">
        <v>11</v>
      </c>
      <c r="D22" s="13"/>
      <c r="E22" s="14"/>
      <c r="F22" s="5"/>
      <c r="G22" s="14"/>
      <c r="H22" s="5"/>
    </row>
    <row r="23" spans="1:9" x14ac:dyDescent="0.25">
      <c r="A23" s="11"/>
      <c r="B23" s="11"/>
      <c r="C23" s="12" t="s">
        <v>11</v>
      </c>
      <c r="D23" s="13"/>
      <c r="E23" s="14"/>
      <c r="F23" s="5"/>
      <c r="G23" s="14"/>
      <c r="H23" s="5"/>
    </row>
    <row r="24" spans="1:9" x14ac:dyDescent="0.25">
      <c r="A24" s="15"/>
      <c r="B24" s="15"/>
      <c r="C24" s="15"/>
    </row>
    <row r="25" spans="1:9" x14ac:dyDescent="0.25">
      <c r="A25" s="15"/>
      <c r="B25" s="16" t="s">
        <v>19</v>
      </c>
      <c r="C25" s="15"/>
    </row>
    <row r="26" spans="1:9" ht="15.75" thickBot="1" x14ac:dyDescent="0.3">
      <c r="A26" s="15"/>
      <c r="B26" s="15"/>
      <c r="C26" s="15"/>
    </row>
    <row r="27" spans="1:9" ht="40.5" customHeight="1" thickBot="1" x14ac:dyDescent="0.3">
      <c r="A27" s="17" t="s">
        <v>20</v>
      </c>
      <c r="B27" s="18" t="s">
        <v>21</v>
      </c>
      <c r="C27" s="19" t="s">
        <v>22</v>
      </c>
    </row>
    <row r="28" spans="1:9" x14ac:dyDescent="0.25">
      <c r="A28" s="20" t="s">
        <v>23</v>
      </c>
      <c r="B28" s="21">
        <v>30</v>
      </c>
      <c r="C28" s="21">
        <f>(B20*B28/30)</f>
        <v>2800</v>
      </c>
    </row>
    <row r="29" spans="1:9" x14ac:dyDescent="0.25">
      <c r="A29" s="22" t="s">
        <v>24</v>
      </c>
      <c r="B29" s="23">
        <v>30</v>
      </c>
      <c r="C29" s="23">
        <f>C28*0.03</f>
        <v>84</v>
      </c>
    </row>
    <row r="30" spans="1:9" ht="15.75" thickBot="1" x14ac:dyDescent="0.3">
      <c r="A30" s="24" t="s">
        <v>36</v>
      </c>
      <c r="B30" s="25">
        <v>30</v>
      </c>
      <c r="C30" s="25">
        <v>1000</v>
      </c>
    </row>
    <row r="31" spans="1:9" ht="15.75" thickBot="1" x14ac:dyDescent="0.3">
      <c r="A31" s="26" t="s">
        <v>25</v>
      </c>
      <c r="B31" s="27" t="s">
        <v>11</v>
      </c>
      <c r="C31" s="28">
        <f>SUM(C28:C30)</f>
        <v>3884</v>
      </c>
    </row>
    <row r="32" spans="1:9" x14ac:dyDescent="0.25">
      <c r="A32" s="20" t="s">
        <v>37</v>
      </c>
      <c r="B32" s="21"/>
      <c r="C32" s="21">
        <f>IF(C28&gt;C48,C48*0.028,C28*0.028)</f>
        <v>78.400000000000006</v>
      </c>
    </row>
    <row r="33" spans="1:3" x14ac:dyDescent="0.25">
      <c r="A33" s="20" t="s">
        <v>38</v>
      </c>
      <c r="B33" s="23"/>
      <c r="C33" s="23">
        <f>IF(C28&gt;C48,(C28-C48)*0.0695,0)</f>
        <v>0</v>
      </c>
    </row>
    <row r="34" spans="1:3" x14ac:dyDescent="0.25">
      <c r="A34" s="20" t="s">
        <v>39</v>
      </c>
      <c r="B34" s="23"/>
      <c r="C34" s="23">
        <f>IF(C28&gt;C48,C48*0.069,C28*0.069)</f>
        <v>193.20000000000002</v>
      </c>
    </row>
    <row r="35" spans="1:3" x14ac:dyDescent="0.25">
      <c r="A35" s="20" t="s">
        <v>40</v>
      </c>
      <c r="B35" s="23"/>
      <c r="C35" s="23">
        <f>IF(C28&gt;C48,(C28-C48)*0.04,0)</f>
        <v>0</v>
      </c>
    </row>
    <row r="36" spans="1:3" x14ac:dyDescent="0.25">
      <c r="A36" s="22" t="s">
        <v>26</v>
      </c>
      <c r="B36" s="23"/>
      <c r="C36" s="23">
        <f>0.024*0.9825*C31</f>
        <v>91.584720000000004</v>
      </c>
    </row>
    <row r="37" spans="1:3" x14ac:dyDescent="0.25">
      <c r="A37" s="22" t="s">
        <v>27</v>
      </c>
      <c r="B37" s="23"/>
      <c r="C37" s="23">
        <f>0.068*0.9825*C31</f>
        <v>259.49004000000002</v>
      </c>
    </row>
    <row r="38" spans="1:3" ht="15.75" thickBot="1" x14ac:dyDescent="0.3">
      <c r="A38" s="22" t="s">
        <v>28</v>
      </c>
      <c r="B38" s="23"/>
      <c r="C38" s="23">
        <f>0.005*0.9825*C31</f>
        <v>19.08015</v>
      </c>
    </row>
    <row r="39" spans="1:3" ht="15.75" thickBot="1" x14ac:dyDescent="0.3">
      <c r="A39" s="26" t="s">
        <v>29</v>
      </c>
      <c r="B39" s="27" t="s">
        <v>11</v>
      </c>
      <c r="C39" s="28">
        <f>SUM(C32:C38)</f>
        <v>641.75491000000011</v>
      </c>
    </row>
    <row r="40" spans="1:3" ht="15.75" thickBot="1" x14ac:dyDescent="0.3">
      <c r="A40" s="29" t="s">
        <v>30</v>
      </c>
      <c r="B40" s="30" t="s">
        <v>11</v>
      </c>
      <c r="C40" s="28">
        <f>C31-C39</f>
        <v>3242.2450899999999</v>
      </c>
    </row>
    <row r="41" spans="1:3" x14ac:dyDescent="0.25">
      <c r="A41" s="20"/>
      <c r="B41" s="21"/>
      <c r="C41" s="21"/>
    </row>
    <row r="42" spans="1:3" x14ac:dyDescent="0.25">
      <c r="A42" s="22" t="s">
        <v>31</v>
      </c>
      <c r="B42" s="23"/>
      <c r="C42" s="23">
        <f>C40*0.9</f>
        <v>2918.0205809999998</v>
      </c>
    </row>
    <row r="43" spans="1:3" ht="15.75" thickBot="1" x14ac:dyDescent="0.3">
      <c r="A43" s="31"/>
      <c r="B43" s="15"/>
      <c r="C43" s="15"/>
    </row>
    <row r="44" spans="1:3" ht="26.25" thickBot="1" x14ac:dyDescent="0.3">
      <c r="A44" s="32" t="s">
        <v>32</v>
      </c>
      <c r="B44" s="33"/>
      <c r="C44" s="34">
        <f>ROUNDDOWN(C42,-1)</f>
        <v>2910</v>
      </c>
    </row>
    <row r="45" spans="1:3" x14ac:dyDescent="0.25">
      <c r="A45" s="31"/>
      <c r="B45" s="15"/>
      <c r="C45" s="15"/>
    </row>
    <row r="46" spans="1:3" x14ac:dyDescent="0.25">
      <c r="A46" s="15"/>
      <c r="B46" s="15"/>
      <c r="C46" s="15"/>
    </row>
    <row r="47" spans="1:3" ht="26.25" x14ac:dyDescent="0.25">
      <c r="A47" s="15"/>
      <c r="B47" s="38" t="s">
        <v>33</v>
      </c>
      <c r="C47" s="39">
        <v>4.6859999999999999</v>
      </c>
    </row>
    <row r="48" spans="1:3" ht="26.25" x14ac:dyDescent="0.25">
      <c r="A48" s="15"/>
      <c r="B48" s="38" t="s">
        <v>41</v>
      </c>
      <c r="C48" s="39">
        <v>3311</v>
      </c>
    </row>
    <row r="49" spans="1:3" ht="15.75" customHeight="1" x14ac:dyDescent="0.25">
      <c r="A49" s="15"/>
      <c r="B49" s="35" t="s">
        <v>11</v>
      </c>
      <c r="C49" s="16" t="s">
        <v>11</v>
      </c>
    </row>
    <row r="51" spans="1:3" x14ac:dyDescent="0.25">
      <c r="A51" s="47" t="s">
        <v>3</v>
      </c>
      <c r="B51" s="48"/>
      <c r="C51" s="49"/>
    </row>
    <row r="52" spans="1:3" x14ac:dyDescent="0.25">
      <c r="A52" s="50"/>
      <c r="B52" s="51"/>
      <c r="C52" s="52"/>
    </row>
    <row r="54" spans="1:3" x14ac:dyDescent="0.25">
      <c r="C54" s="1" t="s">
        <v>12</v>
      </c>
    </row>
    <row r="56" spans="1:3" x14ac:dyDescent="0.25">
      <c r="C56" s="1" t="s">
        <v>13</v>
      </c>
    </row>
    <row r="59" spans="1:3" x14ac:dyDescent="0.25">
      <c r="C59" s="1" t="s">
        <v>14</v>
      </c>
    </row>
    <row r="60" spans="1:3" x14ac:dyDescent="0.25">
      <c r="A60" s="6" t="s">
        <v>15</v>
      </c>
    </row>
    <row r="61" spans="1:3" x14ac:dyDescent="0.25">
      <c r="A61" s="41" t="s">
        <v>42</v>
      </c>
    </row>
    <row r="63" spans="1:3" x14ac:dyDescent="0.25">
      <c r="A63" s="45" t="s">
        <v>45</v>
      </c>
    </row>
  </sheetData>
  <sheetProtection selectLockedCells="1" selectUnlockedCells="1"/>
  <mergeCells count="3">
    <mergeCell ref="A12:D12"/>
    <mergeCell ref="A13:C13"/>
    <mergeCell ref="A51:C52"/>
  </mergeCells>
  <printOptions horizontalCentered="1"/>
  <pageMargins left="0.2361111111111111" right="0.2361111111111111" top="0.74791666666666667" bottom="0.74791666666666667" header="0.51180555555555551" footer="0.51180555555555551"/>
  <pageSetup paperSize="9" scale="48" firstPageNumber="0" orientation="landscape" cellComments="atEnd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18 Acpte ASC non indic</vt:lpstr>
      <vt:lpstr>'EL 18 Acpte ASC non indic'!Zone_d_impression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2022-11-23T13:52:20Z</dcterms:modified>
</cp:coreProperties>
</file>