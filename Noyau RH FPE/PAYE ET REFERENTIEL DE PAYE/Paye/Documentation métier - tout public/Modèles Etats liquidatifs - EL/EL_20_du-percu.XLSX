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20 dû-perçu" sheetId="27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20 dû-perçu'!$A$1:$R$96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4" i="27" l="1"/>
  <c r="M89" i="27" l="1"/>
  <c r="E94" i="27" s="1"/>
  <c r="L89" i="27"/>
  <c r="D94" i="27" s="1"/>
  <c r="I89" i="27"/>
  <c r="F89" i="27"/>
  <c r="E89" i="27"/>
  <c r="K87" i="27"/>
  <c r="N87" i="27" s="1"/>
  <c r="D87" i="27"/>
  <c r="H87" i="27" s="1"/>
  <c r="K86" i="27"/>
  <c r="N86" i="27" s="1"/>
  <c r="D86" i="27"/>
  <c r="H86" i="27" s="1"/>
  <c r="K85" i="27"/>
  <c r="N85" i="27" s="1"/>
  <c r="D85" i="27"/>
  <c r="H85" i="27" s="1"/>
  <c r="K84" i="27"/>
  <c r="N84" i="27" s="1"/>
  <c r="D84" i="27"/>
  <c r="H84" i="27" s="1"/>
  <c r="K83" i="27"/>
  <c r="N83" i="27" s="1"/>
  <c r="D83" i="27"/>
  <c r="H83" i="27" s="1"/>
  <c r="K82" i="27"/>
  <c r="N82" i="27" s="1"/>
  <c r="D82" i="27"/>
  <c r="H82" i="27" s="1"/>
  <c r="K81" i="27"/>
  <c r="N81" i="27" s="1"/>
  <c r="D81" i="27"/>
  <c r="H81" i="27" s="1"/>
  <c r="K80" i="27"/>
  <c r="N80" i="27" s="1"/>
  <c r="D80" i="27"/>
  <c r="H80" i="27" s="1"/>
  <c r="K79" i="27"/>
  <c r="N79" i="27" s="1"/>
  <c r="D79" i="27"/>
  <c r="H79" i="27" s="1"/>
  <c r="K78" i="27"/>
  <c r="N78" i="27" s="1"/>
  <c r="D78" i="27"/>
  <c r="H78" i="27" s="1"/>
  <c r="K77" i="27"/>
  <c r="N77" i="27" s="1"/>
  <c r="D77" i="27"/>
  <c r="H77" i="27" s="1"/>
  <c r="K76" i="27"/>
  <c r="N76" i="27" s="1"/>
  <c r="D76" i="27"/>
  <c r="H76" i="27" s="1"/>
  <c r="K75" i="27"/>
  <c r="N75" i="27" s="1"/>
  <c r="D75" i="27"/>
  <c r="H75" i="27" s="1"/>
  <c r="K74" i="27"/>
  <c r="N74" i="27" s="1"/>
  <c r="D74" i="27"/>
  <c r="H74" i="27" s="1"/>
  <c r="K73" i="27"/>
  <c r="N73" i="27" s="1"/>
  <c r="D73" i="27"/>
  <c r="H73" i="27" s="1"/>
  <c r="K72" i="27"/>
  <c r="N72" i="27" s="1"/>
  <c r="D72" i="27"/>
  <c r="H72" i="27" s="1"/>
  <c r="K71" i="27"/>
  <c r="N71" i="27" s="1"/>
  <c r="D71" i="27"/>
  <c r="H71" i="27" s="1"/>
  <c r="K70" i="27"/>
  <c r="N70" i="27" s="1"/>
  <c r="D70" i="27"/>
  <c r="H70" i="27" s="1"/>
  <c r="K69" i="27"/>
  <c r="N69" i="27" s="1"/>
  <c r="D69" i="27"/>
  <c r="H69" i="27" s="1"/>
  <c r="K68" i="27"/>
  <c r="N68" i="27" s="1"/>
  <c r="D68" i="27"/>
  <c r="H68" i="27" s="1"/>
  <c r="K67" i="27"/>
  <c r="N67" i="27" s="1"/>
  <c r="D67" i="27"/>
  <c r="H67" i="27" s="1"/>
  <c r="K66" i="27"/>
  <c r="N66" i="27" s="1"/>
  <c r="D66" i="27"/>
  <c r="H66" i="27" s="1"/>
  <c r="K65" i="27"/>
  <c r="N65" i="27" s="1"/>
  <c r="D65" i="27"/>
  <c r="H65" i="27" s="1"/>
  <c r="K64" i="27"/>
  <c r="N64" i="27" s="1"/>
  <c r="D64" i="27"/>
  <c r="H64" i="27" s="1"/>
  <c r="K63" i="27"/>
  <c r="N63" i="27" s="1"/>
  <c r="D63" i="27"/>
  <c r="H63" i="27" s="1"/>
  <c r="K62" i="27"/>
  <c r="N62" i="27" s="1"/>
  <c r="D62" i="27"/>
  <c r="H62" i="27" s="1"/>
  <c r="K61" i="27"/>
  <c r="N61" i="27" s="1"/>
  <c r="D61" i="27"/>
  <c r="H61" i="27" s="1"/>
  <c r="K60" i="27"/>
  <c r="N60" i="27" s="1"/>
  <c r="D60" i="27"/>
  <c r="H60" i="27" s="1"/>
  <c r="K59" i="27"/>
  <c r="N59" i="27" s="1"/>
  <c r="D59" i="27"/>
  <c r="H59" i="27" s="1"/>
  <c r="K58" i="27"/>
  <c r="N58" i="27" s="1"/>
  <c r="D58" i="27"/>
  <c r="H58" i="27" s="1"/>
  <c r="K57" i="27"/>
  <c r="N57" i="27" s="1"/>
  <c r="D57" i="27"/>
  <c r="H57" i="27" s="1"/>
  <c r="K56" i="27"/>
  <c r="N56" i="27" s="1"/>
  <c r="D56" i="27"/>
  <c r="H56" i="27" s="1"/>
  <c r="K55" i="27"/>
  <c r="N55" i="27" s="1"/>
  <c r="D55" i="27"/>
  <c r="H55" i="27" s="1"/>
  <c r="K54" i="27"/>
  <c r="N54" i="27" s="1"/>
  <c r="D54" i="27"/>
  <c r="H54" i="27" s="1"/>
  <c r="K53" i="27"/>
  <c r="N53" i="27" s="1"/>
  <c r="D53" i="27"/>
  <c r="H53" i="27" s="1"/>
  <c r="K52" i="27"/>
  <c r="N52" i="27" s="1"/>
  <c r="D52" i="27"/>
  <c r="H52" i="27" s="1"/>
  <c r="K51" i="27"/>
  <c r="N51" i="27" s="1"/>
  <c r="D51" i="27"/>
  <c r="H51" i="27" s="1"/>
  <c r="K50" i="27"/>
  <c r="N50" i="27" s="1"/>
  <c r="D50" i="27"/>
  <c r="H50" i="27" s="1"/>
  <c r="K49" i="27"/>
  <c r="N49" i="27" s="1"/>
  <c r="D49" i="27"/>
  <c r="H49" i="27" s="1"/>
  <c r="K48" i="27"/>
  <c r="N48" i="27" s="1"/>
  <c r="D48" i="27"/>
  <c r="H48" i="27" s="1"/>
  <c r="K47" i="27"/>
  <c r="N47" i="27" s="1"/>
  <c r="D47" i="27"/>
  <c r="H47" i="27" s="1"/>
  <c r="K46" i="27"/>
  <c r="N46" i="27" s="1"/>
  <c r="D46" i="27"/>
  <c r="H46" i="27" s="1"/>
  <c r="K45" i="27"/>
  <c r="N45" i="27" s="1"/>
  <c r="D45" i="27"/>
  <c r="H45" i="27" s="1"/>
  <c r="K44" i="27"/>
  <c r="N44" i="27" s="1"/>
  <c r="D44" i="27"/>
  <c r="H44" i="27" s="1"/>
  <c r="K43" i="27"/>
  <c r="N43" i="27" s="1"/>
  <c r="D43" i="27"/>
  <c r="H43" i="27" s="1"/>
  <c r="K42" i="27"/>
  <c r="N42" i="27" s="1"/>
  <c r="D42" i="27"/>
  <c r="H42" i="27" s="1"/>
  <c r="K41" i="27"/>
  <c r="N41" i="27" s="1"/>
  <c r="D41" i="27"/>
  <c r="H41" i="27" s="1"/>
  <c r="K40" i="27"/>
  <c r="N40" i="27" s="1"/>
  <c r="D40" i="27"/>
  <c r="H40" i="27" s="1"/>
  <c r="K39" i="27"/>
  <c r="N39" i="27" s="1"/>
  <c r="D39" i="27"/>
  <c r="H39" i="27" s="1"/>
  <c r="K38" i="27"/>
  <c r="N38" i="27" s="1"/>
  <c r="D38" i="27"/>
  <c r="H38" i="27" s="1"/>
  <c r="K37" i="27"/>
  <c r="N37" i="27" s="1"/>
  <c r="D37" i="27"/>
  <c r="H37" i="27" s="1"/>
  <c r="K36" i="27"/>
  <c r="N36" i="27" s="1"/>
  <c r="D36" i="27"/>
  <c r="H36" i="27" s="1"/>
  <c r="K35" i="27"/>
  <c r="N35" i="27" s="1"/>
  <c r="D35" i="27"/>
  <c r="H35" i="27" s="1"/>
  <c r="K34" i="27"/>
  <c r="N34" i="27" s="1"/>
  <c r="D34" i="27"/>
  <c r="H34" i="27" s="1"/>
  <c r="K33" i="27"/>
  <c r="K89" i="27" s="1"/>
  <c r="D33" i="27"/>
  <c r="H33" i="27" s="1"/>
  <c r="H89" i="27" l="1"/>
  <c r="N33" i="27"/>
  <c r="N89" i="27" s="1"/>
  <c r="D89" i="27"/>
  <c r="C94" i="27" s="1"/>
</calcChain>
</file>

<file path=xl/sharedStrings.xml><?xml version="1.0" encoding="utf-8"?>
<sst xmlns="http://schemas.openxmlformats.org/spreadsheetml/2006/main" count="45" uniqueCount="35">
  <si>
    <t>Zone en-tête / Marianne</t>
  </si>
  <si>
    <t>(Code ventilation budgétaire :)</t>
  </si>
  <si>
    <t>(Article d'exécution :)</t>
  </si>
  <si>
    <t>Commentaires :</t>
  </si>
  <si>
    <r>
      <t xml:space="preserve">Code Administration : </t>
    </r>
    <r>
      <rPr>
        <sz val="11"/>
        <color indexed="10"/>
        <rFont val="Calibri"/>
        <family val="2"/>
      </rPr>
      <t>(*)</t>
    </r>
  </si>
  <si>
    <r>
      <t xml:space="preserve">Paye du mois de : </t>
    </r>
    <r>
      <rPr>
        <sz val="11"/>
        <color indexed="10"/>
        <rFont val="Calibri"/>
        <family val="2"/>
      </rPr>
      <t>(*)</t>
    </r>
  </si>
  <si>
    <r>
      <t xml:space="preserve">Programme : </t>
    </r>
    <r>
      <rPr>
        <sz val="11"/>
        <color indexed="10"/>
        <rFont val="Calibri"/>
        <family val="2"/>
      </rPr>
      <t>(*)</t>
    </r>
  </si>
  <si>
    <r>
      <t xml:space="preserve">Action - Sous-action : </t>
    </r>
    <r>
      <rPr>
        <sz val="11"/>
        <color indexed="10"/>
        <rFont val="Calibri"/>
        <family val="2"/>
      </rPr>
      <t>(*)</t>
    </r>
  </si>
  <si>
    <r>
      <t xml:space="preserve">Compte PCE : </t>
    </r>
    <r>
      <rPr>
        <sz val="11"/>
        <color indexed="10"/>
        <rFont val="Calibri"/>
        <family val="2"/>
      </rPr>
      <t>(*)</t>
    </r>
  </si>
  <si>
    <r>
      <t xml:space="preserve">Zone textes de référence </t>
    </r>
    <r>
      <rPr>
        <b/>
        <i/>
        <sz val="11"/>
        <color indexed="10"/>
        <rFont val="Calibri"/>
        <family val="2"/>
      </rPr>
      <t>(*)</t>
    </r>
  </si>
  <si>
    <r>
      <t xml:space="preserve">NOM : </t>
    </r>
    <r>
      <rPr>
        <sz val="11"/>
        <color indexed="10"/>
        <rFont val="Calibri"/>
        <family val="2"/>
      </rPr>
      <t>(*)</t>
    </r>
  </si>
  <si>
    <r>
      <t xml:space="preserve">Prénom : </t>
    </r>
    <r>
      <rPr>
        <sz val="11"/>
        <color indexed="10"/>
        <rFont val="Calibri"/>
        <family val="2"/>
      </rPr>
      <t>(*)</t>
    </r>
  </si>
  <si>
    <r>
      <t>NIR :</t>
    </r>
    <r>
      <rPr>
        <sz val="11"/>
        <color indexed="10"/>
        <rFont val="Calibri"/>
        <family val="2"/>
      </rPr>
      <t xml:space="preserve"> (*)</t>
    </r>
  </si>
  <si>
    <r>
      <t xml:space="preserve">n° dossier : </t>
    </r>
    <r>
      <rPr>
        <sz val="11"/>
        <color indexed="10"/>
        <rFont val="Calibri"/>
        <family val="2"/>
      </rPr>
      <t>(*)</t>
    </r>
  </si>
  <si>
    <r>
      <t xml:space="preserve">Libellé grade : </t>
    </r>
    <r>
      <rPr>
        <sz val="11"/>
        <color indexed="10"/>
        <rFont val="Calibri"/>
        <family val="2"/>
      </rPr>
      <t>(*)</t>
    </r>
  </si>
  <si>
    <t xml:space="preserve"> </t>
  </si>
  <si>
    <r>
      <t>(*)</t>
    </r>
    <r>
      <rPr>
        <i/>
        <sz val="11"/>
        <color indexed="10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= champs obligatoires</t>
    </r>
  </si>
  <si>
    <t>ETAT LIQUIDATIF RAPPEL STATUAIRE DU PERCU</t>
  </si>
  <si>
    <t>Mouvement 42: Faire un état pour les rappels statutaires années antérieures</t>
  </si>
  <si>
    <t>Mouvement 41: Faire un état pour les rappels statutaires année courante</t>
  </si>
  <si>
    <t>Périodes</t>
  </si>
  <si>
    <t>A PERCU</t>
  </si>
  <si>
    <t>AURAIT DU PERCEVOIR</t>
  </si>
  <si>
    <t>Date d'effet</t>
  </si>
  <si>
    <t>Valeur point FPE</t>
  </si>
  <si>
    <t>I.M</t>
  </si>
  <si>
    <t>TB</t>
  </si>
  <si>
    <t>ZR</t>
  </si>
  <si>
    <t>SFT</t>
  </si>
  <si>
    <t>PC</t>
  </si>
  <si>
    <t xml:space="preserve">TOTAL  </t>
  </si>
  <si>
    <t>TOTAL dû (en €)</t>
  </si>
  <si>
    <t>quotité de rémunération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</si>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</sst>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_ ;[Red]\-0.00\ "/>
    <numFmt numFmtId="165" formatCode="dd/mm/yy"/>
    <numFmt numFmtId="166" formatCode="0.00000"/>
    <numFmt numFmtId="167" formatCode="0.0000"/>
    <numFmt numFmtId="168" formatCode="0.00;[Red]0.00"/>
    <numFmt numFmtId="169" formatCode="#,##0.00&quot; €&quot;"/>
  </numFmts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</font>
    <font>
      <b/>
      <i/>
      <sz val="11"/>
      <color indexed="10"/>
      <name val="Calibri"/>
      <family val="2"/>
    </font>
    <font>
      <u/>
      <sz val="11"/>
      <color indexed="8"/>
      <name val="Calibri"/>
      <family val="2"/>
    </font>
    <font>
      <i/>
      <sz val="11"/>
      <color indexed="10"/>
      <name val="Calibri"/>
      <family val="2"/>
    </font>
    <font>
      <i/>
      <sz val="11"/>
      <color indexed="8"/>
      <name val="Calibri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35"/>
      </patternFill>
    </fill>
    <fill>
      <patternFill patternType="solid">
        <fgColor theme="0"/>
        <bgColor indexed="55"/>
      </patternFill>
    </fill>
    <fill>
      <patternFill patternType="solid">
        <fgColor theme="0"/>
        <bgColor indexed="41"/>
      </patternFill>
    </fill>
    <fill>
      <patternFill patternType="solid">
        <fgColor theme="0"/>
        <bgColor indexed="49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13"/>
      </patternFill>
    </fill>
    <fill>
      <patternFill patternType="solid">
        <fgColor theme="0"/>
        <bgColor indexed="5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3" fillId="0" borderId="0"/>
    <xf numFmtId="0" fontId="19" fillId="0" borderId="0"/>
  </cellStyleXfs>
  <cellXfs count="101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3" borderId="0" xfId="1" applyFill="1"/>
    <xf numFmtId="0" fontId="4" fillId="3" borderId="0" xfId="1" applyFont="1" applyFill="1"/>
    <xf numFmtId="0" fontId="3" fillId="3" borderId="0" xfId="1" applyFont="1" applyFill="1" applyAlignment="1">
      <alignment horizontal="right"/>
    </xf>
    <xf numFmtId="0" fontId="6" fillId="3" borderId="0" xfId="1" applyFont="1" applyFill="1" applyAlignment="1">
      <alignment vertical="center"/>
    </xf>
    <xf numFmtId="0" fontId="6" fillId="3" borderId="0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left"/>
    </xf>
    <xf numFmtId="0" fontId="5" fillId="3" borderId="0" xfId="1" applyFont="1" applyFill="1"/>
    <xf numFmtId="0" fontId="3" fillId="3" borderId="0" xfId="1" applyFill="1" applyAlignment="1">
      <alignment vertical="center"/>
    </xf>
    <xf numFmtId="0" fontId="6" fillId="3" borderId="0" xfId="1" applyFont="1" applyFill="1" applyBorder="1" applyAlignment="1">
      <alignment horizontal="left" vertical="center"/>
    </xf>
    <xf numFmtId="0" fontId="11" fillId="2" borderId="8" xfId="1" applyFont="1" applyFill="1" applyBorder="1" applyAlignment="1">
      <alignment horizontal="center"/>
    </xf>
    <xf numFmtId="0" fontId="3" fillId="2" borderId="8" xfId="1" applyFill="1" applyBorder="1"/>
    <xf numFmtId="165" fontId="13" fillId="2" borderId="0" xfId="1" applyNumberFormat="1" applyFont="1" applyFill="1"/>
    <xf numFmtId="166" fontId="13" fillId="2" borderId="0" xfId="1" applyNumberFormat="1" applyFont="1" applyFill="1"/>
    <xf numFmtId="17" fontId="3" fillId="2" borderId="8" xfId="1" applyNumberFormat="1" applyFill="1" applyBorder="1"/>
    <xf numFmtId="4" fontId="11" fillId="6" borderId="8" xfId="1" applyNumberFormat="1" applyFont="1" applyFill="1" applyBorder="1" applyAlignment="1">
      <alignment horizontal="center"/>
    </xf>
    <xf numFmtId="4" fontId="11" fillId="2" borderId="8" xfId="1" applyNumberFormat="1" applyFont="1" applyFill="1" applyBorder="1" applyAlignment="1">
      <alignment horizontal="center"/>
    </xf>
    <xf numFmtId="4" fontId="12" fillId="2" borderId="9" xfId="1" applyNumberFormat="1" applyFont="1" applyFill="1" applyBorder="1" applyAlignment="1">
      <alignment horizontal="center"/>
    </xf>
    <xf numFmtId="1" fontId="11" fillId="7" borderId="12" xfId="1" applyNumberFormat="1" applyFont="1" applyFill="1" applyBorder="1" applyAlignment="1">
      <alignment horizontal="center"/>
    </xf>
    <xf numFmtId="4" fontId="14" fillId="6" borderId="8" xfId="1" applyNumberFormat="1" applyFont="1" applyFill="1" applyBorder="1" applyAlignment="1">
      <alignment horizontal="center"/>
    </xf>
    <xf numFmtId="167" fontId="13" fillId="2" borderId="0" xfId="1" applyNumberFormat="1" applyFont="1" applyFill="1"/>
    <xf numFmtId="1" fontId="11" fillId="2" borderId="12" xfId="1" applyNumberFormat="1" applyFont="1" applyFill="1" applyBorder="1" applyAlignment="1">
      <alignment horizontal="center"/>
    </xf>
    <xf numFmtId="4" fontId="14" fillId="2" borderId="8" xfId="1" applyNumberFormat="1" applyFont="1" applyFill="1" applyBorder="1" applyAlignment="1">
      <alignment horizontal="center"/>
    </xf>
    <xf numFmtId="0" fontId="13" fillId="2" borderId="0" xfId="1" applyFont="1" applyFill="1"/>
    <xf numFmtId="17" fontId="3" fillId="8" borderId="8" xfId="1" applyNumberFormat="1" applyFill="1" applyBorder="1"/>
    <xf numFmtId="0" fontId="11" fillId="7" borderId="8" xfId="1" applyFont="1" applyFill="1" applyBorder="1" applyAlignment="1">
      <alignment horizontal="center"/>
    </xf>
    <xf numFmtId="4" fontId="3" fillId="2" borderId="8" xfId="1" applyNumberFormat="1" applyFill="1" applyBorder="1" applyAlignment="1">
      <alignment horizontal="center"/>
    </xf>
    <xf numFmtId="2" fontId="3" fillId="2" borderId="8" xfId="1" applyNumberFormat="1" applyFill="1" applyBorder="1" applyAlignment="1">
      <alignment horizontal="center"/>
    </xf>
    <xf numFmtId="164" fontId="14" fillId="2" borderId="8" xfId="1" applyNumberFormat="1" applyFont="1" applyFill="1" applyBorder="1"/>
    <xf numFmtId="164" fontId="14" fillId="2" borderId="9" xfId="1" applyNumberFormat="1" applyFont="1" applyFill="1" applyBorder="1"/>
    <xf numFmtId="0" fontId="15" fillId="9" borderId="8" xfId="1" applyFont="1" applyFill="1" applyBorder="1"/>
    <xf numFmtId="0" fontId="15" fillId="10" borderId="8" xfId="1" applyFont="1" applyFill="1" applyBorder="1" applyAlignment="1">
      <alignment horizontal="center"/>
    </xf>
    <xf numFmtId="4" fontId="16" fillId="9" borderId="8" xfId="1" applyNumberFormat="1" applyFont="1" applyFill="1" applyBorder="1" applyAlignment="1">
      <alignment horizontal="center"/>
    </xf>
    <xf numFmtId="0" fontId="3" fillId="2" borderId="8" xfId="1" applyFill="1" applyBorder="1" applyAlignment="1">
      <alignment horizontal="center"/>
    </xf>
    <xf numFmtId="0" fontId="14" fillId="2" borderId="8" xfId="1" applyFont="1" applyFill="1" applyBorder="1"/>
    <xf numFmtId="0" fontId="15" fillId="2" borderId="8" xfId="1" applyFont="1" applyFill="1" applyBorder="1"/>
    <xf numFmtId="0" fontId="15" fillId="2" borderId="8" xfId="1" applyFont="1" applyFill="1" applyBorder="1" applyAlignment="1">
      <alignment horizontal="center"/>
    </xf>
    <xf numFmtId="2" fontId="15" fillId="2" borderId="8" xfId="1" applyNumberFormat="1" applyFont="1" applyFill="1" applyBorder="1" applyAlignment="1">
      <alignment horizontal="center"/>
    </xf>
    <xf numFmtId="168" fontId="18" fillId="2" borderId="8" xfId="1" applyNumberFormat="1" applyFont="1" applyFill="1" applyBorder="1"/>
    <xf numFmtId="168" fontId="14" fillId="2" borderId="8" xfId="1" applyNumberFormat="1" applyFont="1" applyFill="1" applyBorder="1"/>
    <xf numFmtId="0" fontId="15" fillId="4" borderId="8" xfId="1" applyFont="1" applyFill="1" applyBorder="1"/>
    <xf numFmtId="0" fontId="15" fillId="4" borderId="8" xfId="1" applyFont="1" applyFill="1" applyBorder="1" applyAlignment="1">
      <alignment horizontal="center"/>
    </xf>
    <xf numFmtId="4" fontId="15" fillId="4" borderId="8" xfId="1" applyNumberFormat="1" applyFont="1" applyFill="1" applyBorder="1" applyAlignment="1">
      <alignment horizontal="center"/>
    </xf>
    <xf numFmtId="4" fontId="18" fillId="4" borderId="8" xfId="1" applyNumberFormat="1" applyFont="1" applyFill="1" applyBorder="1" applyAlignment="1">
      <alignment horizontal="center"/>
    </xf>
    <xf numFmtId="169" fontId="16" fillId="4" borderId="8" xfId="1" applyNumberFormat="1" applyFont="1" applyFill="1" applyBorder="1" applyAlignment="1">
      <alignment horizontal="center"/>
    </xf>
    <xf numFmtId="2" fontId="15" fillId="4" borderId="8" xfId="1" applyNumberFormat="1" applyFont="1" applyFill="1" applyBorder="1" applyAlignment="1">
      <alignment horizontal="center"/>
    </xf>
    <xf numFmtId="0" fontId="3" fillId="3" borderId="1" xfId="1" applyFill="1" applyBorder="1"/>
    <xf numFmtId="4" fontId="12" fillId="6" borderId="9" xfId="1" applyNumberFormat="1" applyFont="1" applyFill="1" applyBorder="1" applyAlignment="1">
      <alignment horizontal="center"/>
    </xf>
    <xf numFmtId="4" fontId="17" fillId="9" borderId="9" xfId="1" applyNumberFormat="1" applyFont="1" applyFill="1" applyBorder="1" applyAlignment="1">
      <alignment horizontal="center"/>
    </xf>
    <xf numFmtId="0" fontId="14" fillId="2" borderId="9" xfId="1" applyFont="1" applyFill="1" applyBorder="1"/>
    <xf numFmtId="168" fontId="18" fillId="2" borderId="9" xfId="1" applyNumberFormat="1" applyFont="1" applyFill="1" applyBorder="1"/>
    <xf numFmtId="168" fontId="14" fillId="2" borderId="9" xfId="1" applyNumberFormat="1" applyFont="1" applyFill="1" applyBorder="1"/>
    <xf numFmtId="1" fontId="16" fillId="10" borderId="12" xfId="1" applyNumberFormat="1" applyFont="1" applyFill="1" applyBorder="1" applyAlignment="1">
      <alignment horizontal="center"/>
    </xf>
    <xf numFmtId="0" fontId="3" fillId="2" borderId="12" xfId="1" applyFill="1" applyBorder="1" applyAlignment="1">
      <alignment horizontal="center"/>
    </xf>
    <xf numFmtId="2" fontId="15" fillId="2" borderId="12" xfId="1" applyNumberFormat="1" applyFont="1" applyFill="1" applyBorder="1" applyAlignment="1">
      <alignment horizontal="center"/>
    </xf>
    <xf numFmtId="169" fontId="16" fillId="4" borderId="12" xfId="1" applyNumberFormat="1" applyFont="1" applyFill="1" applyBorder="1" applyAlignment="1">
      <alignment horizontal="center"/>
    </xf>
    <xf numFmtId="4" fontId="12" fillId="2" borderId="15" xfId="1" applyNumberFormat="1" applyFont="1" applyFill="1" applyBorder="1" applyAlignment="1">
      <alignment horizontal="center"/>
    </xf>
    <xf numFmtId="4" fontId="14" fillId="2" borderId="15" xfId="1" applyNumberFormat="1" applyFont="1" applyFill="1" applyBorder="1"/>
    <xf numFmtId="164" fontId="14" fillId="2" borderId="15" xfId="1" applyNumberFormat="1" applyFont="1" applyFill="1" applyBorder="1"/>
    <xf numFmtId="4" fontId="16" fillId="9" borderId="15" xfId="1" applyNumberFormat="1" applyFont="1" applyFill="1" applyBorder="1" applyAlignment="1">
      <alignment horizontal="center"/>
    </xf>
    <xf numFmtId="1" fontId="11" fillId="2" borderId="15" xfId="1" applyNumberFormat="1" applyFont="1" applyFill="1" applyBorder="1" applyAlignment="1">
      <alignment horizontal="center"/>
    </xf>
    <xf numFmtId="1" fontId="15" fillId="2" borderId="15" xfId="1" applyNumberFormat="1" applyFont="1" applyFill="1" applyBorder="1" applyAlignment="1">
      <alignment horizontal="center"/>
    </xf>
    <xf numFmtId="1" fontId="15" fillId="4" borderId="15" xfId="1" applyNumberFormat="1" applyFont="1" applyFill="1" applyBorder="1" applyAlignment="1">
      <alignment horizontal="center"/>
    </xf>
    <xf numFmtId="0" fontId="3" fillId="2" borderId="8" xfId="1" applyFill="1" applyBorder="1" applyAlignment="1">
      <alignment vertical="center"/>
    </xf>
    <xf numFmtId="0" fontId="11" fillId="5" borderId="8" xfId="1" applyFont="1" applyFill="1" applyBorder="1" applyAlignment="1">
      <alignment horizontal="center" vertical="center"/>
    </xf>
    <xf numFmtId="0" fontId="12" fillId="5" borderId="9" xfId="1" applyFont="1" applyFill="1" applyBorder="1" applyAlignment="1">
      <alignment horizontal="center" vertical="center"/>
    </xf>
    <xf numFmtId="1" fontId="11" fillId="5" borderId="12" xfId="1" applyNumberFormat="1" applyFont="1" applyFill="1" applyBorder="1" applyAlignment="1">
      <alignment horizontal="center" vertical="center"/>
    </xf>
    <xf numFmtId="2" fontId="11" fillId="5" borderId="8" xfId="1" applyNumberFormat="1" applyFont="1" applyFill="1" applyBorder="1" applyAlignment="1">
      <alignment horizontal="center" vertical="center"/>
    </xf>
    <xf numFmtId="164" fontId="12" fillId="5" borderId="8" xfId="1" applyNumberFormat="1" applyFont="1" applyFill="1" applyBorder="1" applyAlignment="1">
      <alignment horizontal="center" vertical="center"/>
    </xf>
    <xf numFmtId="165" fontId="13" fillId="2" borderId="0" xfId="1" applyNumberFormat="1" applyFont="1" applyFill="1" applyAlignment="1">
      <alignment vertical="center"/>
    </xf>
    <xf numFmtId="166" fontId="13" fillId="2" borderId="0" xfId="1" applyNumberFormat="1" applyFont="1" applyFill="1" applyAlignment="1">
      <alignment vertical="center"/>
    </xf>
    <xf numFmtId="1" fontId="11" fillId="4" borderId="0" xfId="1" applyNumberFormat="1" applyFont="1" applyFill="1" applyBorder="1" applyAlignment="1">
      <alignment horizontal="center" vertical="center"/>
    </xf>
    <xf numFmtId="164" fontId="12" fillId="5" borderId="0" xfId="1" applyNumberFormat="1" applyFont="1" applyFill="1" applyBorder="1" applyAlignment="1">
      <alignment horizontal="center" vertical="center"/>
    </xf>
    <xf numFmtId="4" fontId="14" fillId="6" borderId="0" xfId="1" applyNumberFormat="1" applyFont="1" applyFill="1" applyBorder="1" applyAlignment="1">
      <alignment horizontal="center"/>
    </xf>
    <xf numFmtId="4" fontId="14" fillId="2" borderId="0" xfId="1" applyNumberFormat="1" applyFont="1" applyFill="1" applyBorder="1" applyAlignment="1">
      <alignment horizontal="center"/>
    </xf>
    <xf numFmtId="164" fontId="14" fillId="2" borderId="0" xfId="1" applyNumberFormat="1" applyFont="1" applyFill="1" applyBorder="1"/>
    <xf numFmtId="4" fontId="17" fillId="9" borderId="0" xfId="1" applyNumberFormat="1" applyFont="1" applyFill="1" applyBorder="1" applyAlignment="1">
      <alignment horizontal="center"/>
    </xf>
    <xf numFmtId="0" fontId="3" fillId="2" borderId="9" xfId="1" applyFill="1" applyBorder="1"/>
    <xf numFmtId="2" fontId="18" fillId="2" borderId="9" xfId="1" applyNumberFormat="1" applyFont="1" applyFill="1" applyBorder="1"/>
    <xf numFmtId="169" fontId="18" fillId="4" borderId="9" xfId="1" applyNumberFormat="1" applyFont="1" applyFill="1" applyBorder="1"/>
    <xf numFmtId="4" fontId="17" fillId="9" borderId="13" xfId="1" applyNumberFormat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3" fillId="3" borderId="0" xfId="1" applyFill="1" applyAlignment="1">
      <alignment vertical="center" wrapText="1"/>
    </xf>
    <xf numFmtId="0" fontId="3" fillId="3" borderId="0" xfId="1" applyFill="1" applyAlignment="1">
      <alignment horizontal="center" vertical="center" wrapText="1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1" fontId="11" fillId="4" borderId="14" xfId="1" applyNumberFormat="1" applyFont="1" applyFill="1" applyBorder="1" applyAlignment="1">
      <alignment horizontal="center" vertical="center"/>
    </xf>
    <xf numFmtId="1" fontId="11" fillId="4" borderId="10" xfId="1" applyNumberFormat="1" applyFont="1" applyFill="1" applyBorder="1" applyAlignment="1">
      <alignment horizontal="center" vertical="center"/>
    </xf>
    <xf numFmtId="1" fontId="11" fillId="4" borderId="12" xfId="1" applyNumberFormat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left" vertical="top"/>
    </xf>
    <xf numFmtId="0" fontId="8" fillId="3" borderId="4" xfId="1" applyFont="1" applyFill="1" applyBorder="1" applyAlignment="1">
      <alignment horizontal="left" vertical="top"/>
    </xf>
    <xf numFmtId="0" fontId="8" fillId="3" borderId="5" xfId="1" applyFont="1" applyFill="1" applyBorder="1" applyAlignment="1">
      <alignment horizontal="left" vertical="top"/>
    </xf>
    <xf numFmtId="0" fontId="8" fillId="3" borderId="6" xfId="1" applyFont="1" applyFill="1" applyBorder="1" applyAlignment="1">
      <alignment horizontal="left" vertical="top"/>
    </xf>
    <xf numFmtId="0" fontId="8" fillId="3" borderId="2" xfId="1" applyFont="1" applyFill="1" applyBorder="1" applyAlignment="1">
      <alignment horizontal="left" vertical="top"/>
    </xf>
    <xf numFmtId="0" fontId="8" fillId="3" borderId="7" xfId="1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"/>
  <sheetViews>
    <sheetView tabSelected="1" zoomScale="90" zoomScaleNormal="90" workbookViewId="0">
      <selection activeCell="H23" sqref="H23"/>
    </sheetView>
  </sheetViews>
  <sheetFormatPr baseColWidth="10" defaultColWidth="11.42578125" defaultRowHeight="15" x14ac:dyDescent="0.25"/>
  <cols>
    <col min="1" max="1" width="11.42578125" style="1"/>
    <col min="2" max="2" width="14.42578125" style="1" customWidth="1"/>
    <col min="3" max="8" width="11.42578125" style="1"/>
    <col min="9" max="9" width="14.42578125" style="1" customWidth="1"/>
    <col min="10" max="14" width="11.42578125" style="1"/>
    <col min="15" max="15" width="2" style="1" customWidth="1"/>
    <col min="16" max="16" width="7.7109375" style="1" customWidth="1"/>
    <col min="17" max="17" width="8.140625" style="1" customWidth="1"/>
    <col min="18" max="16384" width="11.42578125" style="1"/>
  </cols>
  <sheetData>
    <row r="1" spans="1:19" x14ac:dyDescent="0.25">
      <c r="A1" s="3"/>
      <c r="B1" s="3"/>
      <c r="C1" s="3"/>
      <c r="E1" s="3"/>
      <c r="F1" s="4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3"/>
      <c r="B5" s="3"/>
      <c r="C5" s="3"/>
      <c r="D5" s="3"/>
      <c r="E5" s="3"/>
      <c r="G5" s="3"/>
      <c r="H5" s="3"/>
      <c r="I5" s="3"/>
      <c r="J5" s="3"/>
      <c r="K5" s="5" t="s">
        <v>5</v>
      </c>
      <c r="L5" s="3"/>
      <c r="M5" s="3"/>
      <c r="N5" s="3"/>
      <c r="O5" s="3"/>
      <c r="P5" s="3"/>
      <c r="Q5" s="3"/>
      <c r="R5" s="3"/>
      <c r="S5" s="3"/>
    </row>
    <row r="6" spans="1:19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5">
      <c r="A8" s="3" t="s">
        <v>6</v>
      </c>
      <c r="B8" s="3"/>
      <c r="E8" s="3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3" t="s">
        <v>8</v>
      </c>
      <c r="B9" s="3"/>
      <c r="C9" s="85" t="s">
        <v>33</v>
      </c>
      <c r="E9" s="3" t="s">
        <v>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x14ac:dyDescent="0.25">
      <c r="A11" s="3"/>
      <c r="B11" s="3"/>
      <c r="C11" s="3"/>
      <c r="D11" s="3"/>
      <c r="E11" s="3"/>
      <c r="F11" s="6"/>
      <c r="G11" s="6"/>
      <c r="H11" s="6"/>
      <c r="I11" s="6"/>
      <c r="J11" s="6"/>
      <c r="K11" s="6"/>
      <c r="L11" s="6"/>
      <c r="M11" s="6"/>
      <c r="N11" s="3"/>
      <c r="O11" s="3"/>
      <c r="P11" s="3"/>
      <c r="Q11" s="3"/>
      <c r="R11" s="3"/>
      <c r="S11" s="3"/>
    </row>
    <row r="12" spans="1:19" ht="18.75" x14ac:dyDescent="0.25">
      <c r="A12" s="91" t="s">
        <v>17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3"/>
      <c r="O12" s="3"/>
      <c r="P12" s="3"/>
      <c r="Q12" s="3"/>
      <c r="R12" s="3"/>
      <c r="S12" s="3"/>
    </row>
    <row r="13" spans="1:19" ht="18.75" x14ac:dyDescent="0.25">
      <c r="A13" s="7"/>
      <c r="B13" s="7"/>
      <c r="C13" s="7"/>
      <c r="D13" s="7"/>
      <c r="E13" s="7"/>
      <c r="F13" s="6"/>
      <c r="G13" s="6"/>
      <c r="H13" s="6"/>
      <c r="I13" s="6"/>
      <c r="J13" s="6"/>
      <c r="K13" s="6"/>
      <c r="L13" s="6"/>
      <c r="M13" s="6"/>
      <c r="N13" s="3"/>
      <c r="O13" s="3"/>
      <c r="P13" s="3"/>
      <c r="Q13" s="3"/>
      <c r="R13" s="3"/>
      <c r="S13" s="3"/>
    </row>
    <row r="14" spans="1:19" ht="18.75" x14ac:dyDescent="0.25">
      <c r="A14" s="11" t="s">
        <v>18</v>
      </c>
      <c r="B14" s="7"/>
      <c r="C14" s="7"/>
      <c r="D14" s="7"/>
      <c r="E14" s="7"/>
      <c r="F14" s="6"/>
      <c r="G14" s="6"/>
      <c r="H14" s="6"/>
      <c r="I14" s="6"/>
      <c r="J14" s="6"/>
      <c r="K14" s="6"/>
      <c r="L14" s="6"/>
      <c r="M14" s="6"/>
      <c r="N14" s="3"/>
      <c r="O14" s="3"/>
      <c r="P14" s="3"/>
      <c r="Q14" s="3"/>
      <c r="R14" s="3"/>
      <c r="S14" s="3"/>
    </row>
    <row r="15" spans="1:19" ht="18.75" x14ac:dyDescent="0.25">
      <c r="A15" s="11" t="s">
        <v>19</v>
      </c>
      <c r="B15" s="7"/>
      <c r="C15" s="7"/>
      <c r="D15" s="7"/>
      <c r="E15" s="7"/>
      <c r="F15" s="6"/>
      <c r="G15" s="6"/>
      <c r="H15" s="6"/>
      <c r="I15" s="6"/>
      <c r="J15" s="6"/>
      <c r="K15" s="6"/>
      <c r="L15" s="6"/>
      <c r="M15" s="6"/>
      <c r="N15" s="3"/>
      <c r="O15" s="3"/>
      <c r="P15" s="3"/>
      <c r="Q15" s="3"/>
      <c r="R15" s="3"/>
      <c r="S15" s="3"/>
    </row>
    <row r="16" spans="1:19" ht="18.75" x14ac:dyDescent="0.25">
      <c r="A16" s="11"/>
      <c r="B16" s="7"/>
      <c r="C16" s="7"/>
      <c r="D16" s="7"/>
      <c r="E16" s="7"/>
      <c r="F16" s="6"/>
      <c r="G16" s="6"/>
      <c r="H16" s="6"/>
      <c r="I16" s="6"/>
      <c r="J16" s="6"/>
      <c r="K16" s="6"/>
      <c r="L16" s="6"/>
      <c r="M16" s="6"/>
      <c r="N16" s="3"/>
      <c r="O16" s="3"/>
      <c r="P16" s="3"/>
      <c r="Q16" s="3"/>
      <c r="R16" s="3"/>
      <c r="S16" s="3"/>
    </row>
    <row r="17" spans="1:2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20" x14ac:dyDescent="0.25">
      <c r="A18" s="4" t="s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20" x14ac:dyDescent="0.25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0" x14ac:dyDescent="0.25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2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20" x14ac:dyDescent="0.25">
      <c r="A23" s="3" t="s">
        <v>10</v>
      </c>
      <c r="B23" s="3"/>
      <c r="C23" s="8" t="s">
        <v>11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0" x14ac:dyDescent="0.25">
      <c r="A24" s="3" t="s">
        <v>12</v>
      </c>
      <c r="B24" s="3"/>
      <c r="C24" s="3" t="s">
        <v>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0" x14ac:dyDescent="0.25">
      <c r="A25" s="3" t="s">
        <v>14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0" x14ac:dyDescent="0.25">
      <c r="A26" s="9" t="s">
        <v>16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0" x14ac:dyDescent="0.25">
      <c r="A27" s="95" t="s">
        <v>3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7"/>
      <c r="O27" s="3"/>
      <c r="P27" s="3"/>
      <c r="Q27" s="3"/>
      <c r="R27" s="3"/>
      <c r="S27" s="3"/>
    </row>
    <row r="28" spans="1:20" x14ac:dyDescent="0.25">
      <c r="A28" s="98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100"/>
      <c r="O28" s="3"/>
      <c r="P28" s="3"/>
      <c r="Q28" s="3"/>
      <c r="R28" s="3"/>
      <c r="S28" s="3"/>
    </row>
    <row r="29" spans="1: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15</v>
      </c>
      <c r="Q30" s="3" t="s">
        <v>15</v>
      </c>
      <c r="R30" s="3"/>
      <c r="S30" s="3"/>
    </row>
    <row r="31" spans="1:20" ht="45" customHeight="1" x14ac:dyDescent="0.25">
      <c r="A31" s="12" t="s">
        <v>20</v>
      </c>
      <c r="B31" s="89" t="s">
        <v>21</v>
      </c>
      <c r="C31" s="90"/>
      <c r="D31" s="90"/>
      <c r="E31" s="90"/>
      <c r="F31" s="90"/>
      <c r="G31" s="90"/>
      <c r="H31" s="90"/>
      <c r="I31" s="92" t="s">
        <v>22</v>
      </c>
      <c r="J31" s="93"/>
      <c r="K31" s="93"/>
      <c r="L31" s="93"/>
      <c r="M31" s="93"/>
      <c r="N31" s="94"/>
      <c r="O31" s="73"/>
      <c r="P31" s="87" t="s">
        <v>23</v>
      </c>
      <c r="Q31" s="88" t="s">
        <v>24</v>
      </c>
      <c r="R31" s="3"/>
      <c r="S31" s="3"/>
    </row>
    <row r="32" spans="1:20" s="2" customFormat="1" ht="30" x14ac:dyDescent="0.25">
      <c r="A32" s="65"/>
      <c r="B32" s="84" t="s">
        <v>32</v>
      </c>
      <c r="C32" s="66" t="s">
        <v>25</v>
      </c>
      <c r="D32" s="66" t="s">
        <v>26</v>
      </c>
      <c r="E32" s="66" t="s">
        <v>27</v>
      </c>
      <c r="F32" s="66" t="s">
        <v>28</v>
      </c>
      <c r="G32" s="66"/>
      <c r="H32" s="67" t="s">
        <v>29</v>
      </c>
      <c r="I32" s="83" t="s">
        <v>32</v>
      </c>
      <c r="J32" s="68" t="s">
        <v>25</v>
      </c>
      <c r="K32" s="66" t="s">
        <v>26</v>
      </c>
      <c r="L32" s="69" t="s">
        <v>27</v>
      </c>
      <c r="M32" s="69" t="s">
        <v>28</v>
      </c>
      <c r="N32" s="70" t="s">
        <v>29</v>
      </c>
      <c r="O32" s="74"/>
      <c r="P32" s="10"/>
      <c r="Q32" s="71">
        <v>37987</v>
      </c>
      <c r="R32" s="72">
        <v>4.3963000000000001</v>
      </c>
      <c r="S32" s="10"/>
      <c r="T32" s="10"/>
    </row>
    <row r="33" spans="1:20" x14ac:dyDescent="0.25">
      <c r="A33" s="16">
        <v>38231</v>
      </c>
      <c r="B33" s="16"/>
      <c r="C33" s="12">
        <v>530</v>
      </c>
      <c r="D33" s="17">
        <f>C33*R32</f>
        <v>2330.0390000000002</v>
      </c>
      <c r="E33" s="18">
        <v>0</v>
      </c>
      <c r="F33" s="18">
        <v>0</v>
      </c>
      <c r="G33" s="18"/>
      <c r="H33" s="19">
        <f t="shared" ref="H33:H87" si="0">0.0785*D33</f>
        <v>182.90806150000003</v>
      </c>
      <c r="I33" s="58"/>
      <c r="J33" s="20">
        <v>566</v>
      </c>
      <c r="K33" s="17">
        <f>J33*R32</f>
        <v>2488.3058000000001</v>
      </c>
      <c r="L33" s="18">
        <v>0</v>
      </c>
      <c r="M33" s="18">
        <v>0</v>
      </c>
      <c r="N33" s="21">
        <f>0.0785*K33</f>
        <v>195.33200530000002</v>
      </c>
      <c r="O33" s="75"/>
      <c r="P33" s="3"/>
      <c r="Q33" s="14">
        <v>38384</v>
      </c>
      <c r="R33" s="22">
        <v>4.4183000000000003</v>
      </c>
      <c r="S33" s="3"/>
      <c r="T33" s="3"/>
    </row>
    <row r="34" spans="1:20" x14ac:dyDescent="0.25">
      <c r="A34" s="16">
        <v>38261</v>
      </c>
      <c r="B34" s="16"/>
      <c r="C34" s="12">
        <v>530</v>
      </c>
      <c r="D34" s="17">
        <f>C34*R32</f>
        <v>2330.0390000000002</v>
      </c>
      <c r="E34" s="18">
        <v>0</v>
      </c>
      <c r="F34" s="18">
        <v>0</v>
      </c>
      <c r="G34" s="18"/>
      <c r="H34" s="19">
        <f t="shared" si="0"/>
        <v>182.90806150000003</v>
      </c>
      <c r="I34" s="58"/>
      <c r="J34" s="23">
        <v>566</v>
      </c>
      <c r="K34" s="17">
        <f>J34*$R$32</f>
        <v>2488.3058000000001</v>
      </c>
      <c r="L34" s="18">
        <v>0</v>
      </c>
      <c r="M34" s="18">
        <v>0</v>
      </c>
      <c r="N34" s="24">
        <f t="shared" ref="N34:N87" si="1">0.0785*K34</f>
        <v>195.33200530000002</v>
      </c>
      <c r="O34" s="76"/>
      <c r="P34" s="3"/>
      <c r="Q34" s="14">
        <v>38534</v>
      </c>
      <c r="R34" s="25">
        <v>4.4403769999999998</v>
      </c>
      <c r="S34" s="3"/>
      <c r="T34" s="3"/>
    </row>
    <row r="35" spans="1:20" x14ac:dyDescent="0.25">
      <c r="A35" s="16">
        <v>38292</v>
      </c>
      <c r="B35" s="16"/>
      <c r="C35" s="12">
        <v>530</v>
      </c>
      <c r="D35" s="17">
        <f>C35*R32</f>
        <v>2330.0390000000002</v>
      </c>
      <c r="E35" s="18">
        <v>0</v>
      </c>
      <c r="F35" s="18">
        <v>0</v>
      </c>
      <c r="G35" s="18"/>
      <c r="H35" s="19">
        <f t="shared" si="0"/>
        <v>182.90806150000003</v>
      </c>
      <c r="I35" s="58"/>
      <c r="J35" s="23">
        <v>566</v>
      </c>
      <c r="K35" s="17">
        <f t="shared" ref="K35:K36" si="2">J35*$R$32</f>
        <v>2488.3058000000001</v>
      </c>
      <c r="L35" s="18">
        <v>0</v>
      </c>
      <c r="M35" s="18">
        <v>0</v>
      </c>
      <c r="N35" s="24">
        <f t="shared" si="1"/>
        <v>195.33200530000002</v>
      </c>
      <c r="O35" s="76"/>
      <c r="P35" s="3"/>
      <c r="Q35" s="14">
        <v>38657</v>
      </c>
      <c r="R35" s="25">
        <v>4.4759000000000002</v>
      </c>
      <c r="S35" s="3"/>
      <c r="T35" s="3"/>
    </row>
    <row r="36" spans="1:20" x14ac:dyDescent="0.25">
      <c r="A36" s="16">
        <v>38322</v>
      </c>
      <c r="B36" s="16"/>
      <c r="C36" s="12">
        <v>530</v>
      </c>
      <c r="D36" s="17">
        <f>C36*R32</f>
        <v>2330.0390000000002</v>
      </c>
      <c r="E36" s="18">
        <v>0</v>
      </c>
      <c r="F36" s="18">
        <v>0</v>
      </c>
      <c r="G36" s="18"/>
      <c r="H36" s="19">
        <f t="shared" si="0"/>
        <v>182.90806150000003</v>
      </c>
      <c r="I36" s="58"/>
      <c r="J36" s="23">
        <v>566</v>
      </c>
      <c r="K36" s="17">
        <f t="shared" si="2"/>
        <v>2488.3058000000001</v>
      </c>
      <c r="L36" s="18">
        <v>0</v>
      </c>
      <c r="M36" s="18">
        <v>0</v>
      </c>
      <c r="N36" s="24">
        <f t="shared" si="1"/>
        <v>195.33200530000002</v>
      </c>
      <c r="O36" s="76"/>
      <c r="P36" s="3"/>
      <c r="Q36" s="14">
        <v>38899</v>
      </c>
      <c r="R36" s="15">
        <v>4.4982899999999999</v>
      </c>
      <c r="S36" s="3"/>
      <c r="T36" s="3"/>
    </row>
    <row r="37" spans="1:20" x14ac:dyDescent="0.25">
      <c r="A37" s="16">
        <v>38353</v>
      </c>
      <c r="B37" s="16"/>
      <c r="C37" s="12">
        <v>530</v>
      </c>
      <c r="D37" s="17">
        <f>C37*R32</f>
        <v>2330.0390000000002</v>
      </c>
      <c r="E37" s="18">
        <v>0</v>
      </c>
      <c r="F37" s="18">
        <v>0</v>
      </c>
      <c r="G37" s="18"/>
      <c r="H37" s="19">
        <f t="shared" si="0"/>
        <v>182.90806150000003</v>
      </c>
      <c r="I37" s="58"/>
      <c r="J37" s="23">
        <v>566</v>
      </c>
      <c r="K37" s="17">
        <f>J37*$R$32</f>
        <v>2488.3058000000001</v>
      </c>
      <c r="L37" s="18">
        <v>0</v>
      </c>
      <c r="M37" s="18">
        <v>0</v>
      </c>
      <c r="N37" s="24">
        <f t="shared" si="1"/>
        <v>195.33200530000002</v>
      </c>
      <c r="O37" s="76"/>
      <c r="P37" s="3"/>
      <c r="Q37" s="14">
        <v>39114</v>
      </c>
      <c r="R37" s="15">
        <v>4.5342599999999997</v>
      </c>
      <c r="S37" s="3"/>
      <c r="T37" s="3"/>
    </row>
    <row r="38" spans="1:20" x14ac:dyDescent="0.25">
      <c r="A38" s="26">
        <v>38384</v>
      </c>
      <c r="B38" s="26"/>
      <c r="C38" s="12">
        <v>530</v>
      </c>
      <c r="D38" s="17">
        <f>C38*R33</f>
        <v>2341.6990000000001</v>
      </c>
      <c r="E38" s="18">
        <v>0</v>
      </c>
      <c r="F38" s="18">
        <v>0</v>
      </c>
      <c r="G38" s="18"/>
      <c r="H38" s="49">
        <f t="shared" si="0"/>
        <v>183.82337150000001</v>
      </c>
      <c r="I38" s="58"/>
      <c r="J38" s="23">
        <v>566</v>
      </c>
      <c r="K38" s="17">
        <f>J38*$R$33</f>
        <v>2500.7578000000003</v>
      </c>
      <c r="L38" s="18">
        <v>0</v>
      </c>
      <c r="M38" s="18">
        <v>0</v>
      </c>
      <c r="N38" s="24">
        <f t="shared" si="1"/>
        <v>196.30948730000003</v>
      </c>
      <c r="O38" s="76"/>
      <c r="P38" s="3"/>
      <c r="Q38" s="14">
        <v>39508</v>
      </c>
      <c r="R38" s="15">
        <v>4.5569499999999996</v>
      </c>
      <c r="S38" s="3"/>
      <c r="T38" s="3"/>
    </row>
    <row r="39" spans="1:20" x14ac:dyDescent="0.25">
      <c r="A39" s="16">
        <v>38412</v>
      </c>
      <c r="B39" s="16"/>
      <c r="C39" s="12">
        <v>530</v>
      </c>
      <c r="D39" s="17">
        <f>C39*R33</f>
        <v>2341.6990000000001</v>
      </c>
      <c r="E39" s="18">
        <v>0</v>
      </c>
      <c r="F39" s="18">
        <v>0</v>
      </c>
      <c r="G39" s="18"/>
      <c r="H39" s="19">
        <f t="shared" si="0"/>
        <v>183.82337150000001</v>
      </c>
      <c r="I39" s="58"/>
      <c r="J39" s="23">
        <v>566</v>
      </c>
      <c r="K39" s="17">
        <f t="shared" ref="K39:K42" si="3">J39*$R$33</f>
        <v>2500.7578000000003</v>
      </c>
      <c r="L39" s="18">
        <v>0</v>
      </c>
      <c r="M39" s="18">
        <v>0</v>
      </c>
      <c r="N39" s="24">
        <f t="shared" si="1"/>
        <v>196.30948730000003</v>
      </c>
      <c r="O39" s="76"/>
      <c r="P39" s="3"/>
      <c r="Q39" s="14">
        <v>39722</v>
      </c>
      <c r="R39" s="25">
        <v>4.5706199999999999</v>
      </c>
      <c r="S39" s="3"/>
      <c r="T39" s="3"/>
    </row>
    <row r="40" spans="1:20" x14ac:dyDescent="0.25">
      <c r="A40" s="16">
        <v>38443</v>
      </c>
      <c r="B40" s="16"/>
      <c r="C40" s="12">
        <v>530</v>
      </c>
      <c r="D40" s="17">
        <f>C40*R33</f>
        <v>2341.6990000000001</v>
      </c>
      <c r="E40" s="18">
        <v>0</v>
      </c>
      <c r="F40" s="18">
        <v>0</v>
      </c>
      <c r="G40" s="18"/>
      <c r="H40" s="19">
        <f t="shared" si="0"/>
        <v>183.82337150000001</v>
      </c>
      <c r="I40" s="58"/>
      <c r="J40" s="23">
        <v>566</v>
      </c>
      <c r="K40" s="17">
        <f t="shared" si="3"/>
        <v>2500.7578000000003</v>
      </c>
      <c r="L40" s="18">
        <v>0</v>
      </c>
      <c r="M40" s="18">
        <v>0</v>
      </c>
      <c r="N40" s="24">
        <f t="shared" si="1"/>
        <v>196.30948730000003</v>
      </c>
      <c r="O40" s="76"/>
      <c r="P40" s="3"/>
      <c r="Q40" s="14"/>
      <c r="R40" s="15"/>
      <c r="S40" s="3"/>
      <c r="T40" s="3"/>
    </row>
    <row r="41" spans="1:20" x14ac:dyDescent="0.25">
      <c r="A41" s="16">
        <v>38473</v>
      </c>
      <c r="B41" s="16"/>
      <c r="C41" s="12">
        <v>530</v>
      </c>
      <c r="D41" s="17">
        <f>C41*R33</f>
        <v>2341.6990000000001</v>
      </c>
      <c r="E41" s="18">
        <v>0</v>
      </c>
      <c r="F41" s="18">
        <v>0</v>
      </c>
      <c r="G41" s="18"/>
      <c r="H41" s="19">
        <f t="shared" si="0"/>
        <v>183.82337150000001</v>
      </c>
      <c r="I41" s="58"/>
      <c r="J41" s="23">
        <v>566</v>
      </c>
      <c r="K41" s="17">
        <f t="shared" si="3"/>
        <v>2500.7578000000003</v>
      </c>
      <c r="L41" s="18">
        <v>0</v>
      </c>
      <c r="M41" s="18">
        <v>0</v>
      </c>
      <c r="N41" s="24">
        <f t="shared" si="1"/>
        <v>196.30948730000003</v>
      </c>
      <c r="O41" s="76"/>
      <c r="P41" s="3"/>
      <c r="Q41" s="14" t="s">
        <v>15</v>
      </c>
      <c r="R41" s="15" t="s">
        <v>15</v>
      </c>
      <c r="S41" s="3"/>
      <c r="T41" s="3"/>
    </row>
    <row r="42" spans="1:20" x14ac:dyDescent="0.25">
      <c r="A42" s="16">
        <v>38504</v>
      </c>
      <c r="B42" s="16"/>
      <c r="C42" s="12">
        <v>530</v>
      </c>
      <c r="D42" s="17">
        <f>C42*R33</f>
        <v>2341.6990000000001</v>
      </c>
      <c r="E42" s="18">
        <v>0</v>
      </c>
      <c r="F42" s="18">
        <v>0</v>
      </c>
      <c r="G42" s="18"/>
      <c r="H42" s="19">
        <f t="shared" si="0"/>
        <v>183.82337150000001</v>
      </c>
      <c r="I42" s="58"/>
      <c r="J42" s="23">
        <v>566</v>
      </c>
      <c r="K42" s="17">
        <f t="shared" si="3"/>
        <v>2500.7578000000003</v>
      </c>
      <c r="L42" s="18">
        <v>0</v>
      </c>
      <c r="M42" s="18">
        <v>0</v>
      </c>
      <c r="N42" s="24">
        <f t="shared" si="1"/>
        <v>196.30948730000003</v>
      </c>
      <c r="O42" s="76"/>
      <c r="P42" s="3"/>
      <c r="Q42" s="14"/>
      <c r="R42" s="15"/>
      <c r="S42" s="3"/>
      <c r="T42" s="3"/>
    </row>
    <row r="43" spans="1:20" x14ac:dyDescent="0.25">
      <c r="A43" s="26">
        <v>38534</v>
      </c>
      <c r="B43" s="26"/>
      <c r="C43" s="12">
        <v>530</v>
      </c>
      <c r="D43" s="17">
        <f>C43*$R$34</f>
        <v>2353.3998099999999</v>
      </c>
      <c r="E43" s="18">
        <v>0</v>
      </c>
      <c r="F43" s="18">
        <v>0</v>
      </c>
      <c r="G43" s="18"/>
      <c r="H43" s="49">
        <f t="shared" si="0"/>
        <v>184.74188508499998</v>
      </c>
      <c r="I43" s="58"/>
      <c r="J43" s="23">
        <v>566</v>
      </c>
      <c r="K43" s="17">
        <f>J43*$R$34</f>
        <v>2513.2533819999999</v>
      </c>
      <c r="L43" s="18">
        <v>0</v>
      </c>
      <c r="M43" s="18">
        <v>0</v>
      </c>
      <c r="N43" s="21">
        <f t="shared" si="1"/>
        <v>197.290390487</v>
      </c>
      <c r="O43" s="75"/>
      <c r="P43" s="3"/>
      <c r="Q43" s="14"/>
      <c r="R43" s="15"/>
      <c r="S43" s="3"/>
      <c r="T43" s="3"/>
    </row>
    <row r="44" spans="1:20" x14ac:dyDescent="0.25">
      <c r="A44" s="16">
        <v>38565</v>
      </c>
      <c r="B44" s="16"/>
      <c r="C44" s="12">
        <v>530</v>
      </c>
      <c r="D44" s="17">
        <f t="shared" ref="D44:D46" si="4">C44*$R$34</f>
        <v>2353.3998099999999</v>
      </c>
      <c r="E44" s="18">
        <v>0</v>
      </c>
      <c r="F44" s="18">
        <v>0</v>
      </c>
      <c r="G44" s="18"/>
      <c r="H44" s="19">
        <f t="shared" si="0"/>
        <v>184.74188508499998</v>
      </c>
      <c r="I44" s="58"/>
      <c r="J44" s="23">
        <v>566</v>
      </c>
      <c r="K44" s="17">
        <f t="shared" ref="K44:K46" si="5">J44*$R$34</f>
        <v>2513.2533819999999</v>
      </c>
      <c r="L44" s="18">
        <v>0</v>
      </c>
      <c r="M44" s="18">
        <v>0</v>
      </c>
      <c r="N44" s="24">
        <f t="shared" si="1"/>
        <v>197.290390487</v>
      </c>
      <c r="O44" s="76"/>
      <c r="P44" s="3"/>
      <c r="Q44" s="3"/>
      <c r="R44" s="3"/>
      <c r="S44" s="3"/>
      <c r="T44" s="3"/>
    </row>
    <row r="45" spans="1:20" x14ac:dyDescent="0.25">
      <c r="A45" s="16">
        <v>38596</v>
      </c>
      <c r="B45" s="16"/>
      <c r="C45" s="12">
        <v>530</v>
      </c>
      <c r="D45" s="17">
        <f t="shared" si="4"/>
        <v>2353.3998099999999</v>
      </c>
      <c r="E45" s="18">
        <v>0</v>
      </c>
      <c r="F45" s="18">
        <v>0</v>
      </c>
      <c r="G45" s="18"/>
      <c r="H45" s="19">
        <f t="shared" si="0"/>
        <v>184.74188508499998</v>
      </c>
      <c r="I45" s="58"/>
      <c r="J45" s="23">
        <v>566</v>
      </c>
      <c r="K45" s="17">
        <f t="shared" si="5"/>
        <v>2513.2533819999999</v>
      </c>
      <c r="L45" s="18">
        <v>0</v>
      </c>
      <c r="M45" s="18">
        <v>0</v>
      </c>
      <c r="N45" s="24">
        <f t="shared" si="1"/>
        <v>197.290390487</v>
      </c>
      <c r="O45" s="76"/>
      <c r="P45" s="3"/>
      <c r="Q45" s="3"/>
      <c r="R45" s="3"/>
      <c r="S45" s="3"/>
      <c r="T45" s="3"/>
    </row>
    <row r="46" spans="1:20" x14ac:dyDescent="0.25">
      <c r="A46" s="16">
        <v>38626</v>
      </c>
      <c r="B46" s="16"/>
      <c r="C46" s="12">
        <v>530</v>
      </c>
      <c r="D46" s="17">
        <f t="shared" si="4"/>
        <v>2353.3998099999999</v>
      </c>
      <c r="E46" s="18">
        <v>0</v>
      </c>
      <c r="F46" s="18">
        <v>0</v>
      </c>
      <c r="G46" s="18"/>
      <c r="H46" s="19">
        <f t="shared" si="0"/>
        <v>184.74188508499998</v>
      </c>
      <c r="I46" s="58"/>
      <c r="J46" s="23">
        <v>566</v>
      </c>
      <c r="K46" s="17">
        <f t="shared" si="5"/>
        <v>2513.2533819999999</v>
      </c>
      <c r="L46" s="18">
        <v>0</v>
      </c>
      <c r="M46" s="18">
        <v>0</v>
      </c>
      <c r="N46" s="24">
        <f t="shared" si="1"/>
        <v>197.290390487</v>
      </c>
      <c r="O46" s="76"/>
      <c r="P46" s="3"/>
      <c r="Q46" s="3"/>
      <c r="R46" s="3"/>
      <c r="S46" s="3"/>
      <c r="T46" s="3"/>
    </row>
    <row r="47" spans="1:20" x14ac:dyDescent="0.25">
      <c r="A47" s="26">
        <v>38657</v>
      </c>
      <c r="B47" s="26"/>
      <c r="C47" s="12">
        <v>530</v>
      </c>
      <c r="D47" s="17">
        <f>C47*$R$35</f>
        <v>2372.2270000000003</v>
      </c>
      <c r="E47" s="18">
        <v>0</v>
      </c>
      <c r="F47" s="18">
        <v>0</v>
      </c>
      <c r="G47" s="18"/>
      <c r="H47" s="49">
        <f t="shared" si="0"/>
        <v>186.21981950000003</v>
      </c>
      <c r="I47" s="58"/>
      <c r="J47" s="23">
        <v>566</v>
      </c>
      <c r="K47" s="17">
        <f>J47*$R$35</f>
        <v>2533.3594000000003</v>
      </c>
      <c r="L47" s="18">
        <v>0</v>
      </c>
      <c r="M47" s="18">
        <v>0</v>
      </c>
      <c r="N47" s="24">
        <f t="shared" si="1"/>
        <v>198.86871290000002</v>
      </c>
      <c r="O47" s="76"/>
      <c r="P47" s="3"/>
      <c r="Q47" s="14"/>
      <c r="R47" s="15"/>
      <c r="S47" s="3"/>
      <c r="T47" s="3"/>
    </row>
    <row r="48" spans="1:20" x14ac:dyDescent="0.25">
      <c r="A48" s="16">
        <v>38687</v>
      </c>
      <c r="B48" s="16"/>
      <c r="C48" s="12">
        <v>530</v>
      </c>
      <c r="D48" s="17">
        <f t="shared" ref="D48:D54" si="6">C48*$R$35</f>
        <v>2372.2270000000003</v>
      </c>
      <c r="E48" s="18">
        <v>0</v>
      </c>
      <c r="F48" s="18">
        <v>0</v>
      </c>
      <c r="G48" s="18"/>
      <c r="H48" s="19">
        <f t="shared" si="0"/>
        <v>186.21981950000003</v>
      </c>
      <c r="I48" s="58"/>
      <c r="J48" s="23">
        <v>566</v>
      </c>
      <c r="K48" s="17">
        <f t="shared" ref="K48:K53" si="7">J48*$R$35</f>
        <v>2533.3594000000003</v>
      </c>
      <c r="L48" s="18">
        <v>0</v>
      </c>
      <c r="M48" s="18">
        <v>0</v>
      </c>
      <c r="N48" s="24">
        <f t="shared" si="1"/>
        <v>198.86871290000002</v>
      </c>
      <c r="O48" s="76"/>
      <c r="P48" s="3"/>
      <c r="Q48" s="3"/>
      <c r="R48" s="3"/>
      <c r="S48" s="3"/>
      <c r="T48" s="3"/>
    </row>
    <row r="49" spans="1:20" x14ac:dyDescent="0.25">
      <c r="A49" s="16">
        <v>38718</v>
      </c>
      <c r="B49" s="16"/>
      <c r="C49" s="12">
        <v>530</v>
      </c>
      <c r="D49" s="17">
        <f t="shared" si="6"/>
        <v>2372.2270000000003</v>
      </c>
      <c r="E49" s="18">
        <v>0</v>
      </c>
      <c r="F49" s="18">
        <v>0</v>
      </c>
      <c r="G49" s="18"/>
      <c r="H49" s="19">
        <f t="shared" si="0"/>
        <v>186.21981950000003</v>
      </c>
      <c r="I49" s="58"/>
      <c r="J49" s="23">
        <v>566</v>
      </c>
      <c r="K49" s="17">
        <f t="shared" si="7"/>
        <v>2533.3594000000003</v>
      </c>
      <c r="L49" s="18">
        <v>0</v>
      </c>
      <c r="M49" s="18">
        <v>0</v>
      </c>
      <c r="N49" s="24">
        <f t="shared" si="1"/>
        <v>198.86871290000002</v>
      </c>
      <c r="O49" s="76"/>
      <c r="P49" s="3"/>
      <c r="Q49" s="3"/>
      <c r="R49" s="3"/>
      <c r="S49" s="3"/>
      <c r="T49" s="3"/>
    </row>
    <row r="50" spans="1:20" x14ac:dyDescent="0.25">
      <c r="A50" s="16">
        <v>38749</v>
      </c>
      <c r="B50" s="16"/>
      <c r="C50" s="12">
        <v>530</v>
      </c>
      <c r="D50" s="17">
        <f t="shared" si="6"/>
        <v>2372.2270000000003</v>
      </c>
      <c r="E50" s="18">
        <v>0</v>
      </c>
      <c r="F50" s="18">
        <v>0</v>
      </c>
      <c r="G50" s="18"/>
      <c r="H50" s="19">
        <f t="shared" si="0"/>
        <v>186.21981950000003</v>
      </c>
      <c r="I50" s="58"/>
      <c r="J50" s="23">
        <v>566</v>
      </c>
      <c r="K50" s="17">
        <f t="shared" si="7"/>
        <v>2533.3594000000003</v>
      </c>
      <c r="L50" s="18">
        <v>0</v>
      </c>
      <c r="M50" s="18">
        <v>0</v>
      </c>
      <c r="N50" s="24">
        <f t="shared" si="1"/>
        <v>198.86871290000002</v>
      </c>
      <c r="O50" s="76"/>
      <c r="P50" s="3"/>
      <c r="Q50" s="3"/>
      <c r="R50" s="3"/>
      <c r="S50" s="3"/>
      <c r="T50" s="3"/>
    </row>
    <row r="51" spans="1:20" x14ac:dyDescent="0.25">
      <c r="A51" s="16">
        <v>38777</v>
      </c>
      <c r="B51" s="16"/>
      <c r="C51" s="12">
        <v>530</v>
      </c>
      <c r="D51" s="17">
        <f t="shared" si="6"/>
        <v>2372.2270000000003</v>
      </c>
      <c r="E51" s="18">
        <v>0</v>
      </c>
      <c r="F51" s="18">
        <v>0</v>
      </c>
      <c r="G51" s="18"/>
      <c r="H51" s="19">
        <f t="shared" si="0"/>
        <v>186.21981950000003</v>
      </c>
      <c r="I51" s="58"/>
      <c r="J51" s="23">
        <v>566</v>
      </c>
      <c r="K51" s="17">
        <f t="shared" si="7"/>
        <v>2533.3594000000003</v>
      </c>
      <c r="L51" s="18">
        <v>0</v>
      </c>
      <c r="M51" s="18">
        <v>0</v>
      </c>
      <c r="N51" s="24">
        <f t="shared" si="1"/>
        <v>198.86871290000002</v>
      </c>
      <c r="O51" s="76"/>
      <c r="P51" s="3"/>
      <c r="Q51" s="3"/>
      <c r="R51" s="3"/>
      <c r="S51" s="3"/>
      <c r="T51" s="3"/>
    </row>
    <row r="52" spans="1:20" x14ac:dyDescent="0.25">
      <c r="A52" s="16">
        <v>38808</v>
      </c>
      <c r="B52" s="16"/>
      <c r="C52" s="12">
        <v>530</v>
      </c>
      <c r="D52" s="17">
        <f t="shared" si="6"/>
        <v>2372.2270000000003</v>
      </c>
      <c r="E52" s="18">
        <v>0</v>
      </c>
      <c r="F52" s="18">
        <v>0</v>
      </c>
      <c r="G52" s="18"/>
      <c r="H52" s="19">
        <f t="shared" si="0"/>
        <v>186.21981950000003</v>
      </c>
      <c r="I52" s="58"/>
      <c r="J52" s="23">
        <v>566</v>
      </c>
      <c r="K52" s="17">
        <f t="shared" si="7"/>
        <v>2533.3594000000003</v>
      </c>
      <c r="L52" s="18">
        <v>0</v>
      </c>
      <c r="M52" s="18">
        <v>0</v>
      </c>
      <c r="N52" s="24">
        <f t="shared" si="1"/>
        <v>198.86871290000002</v>
      </c>
      <c r="O52" s="76"/>
      <c r="P52" s="3"/>
      <c r="Q52" s="3"/>
      <c r="R52" s="3"/>
      <c r="S52" s="3"/>
      <c r="T52" s="3"/>
    </row>
    <row r="53" spans="1:20" x14ac:dyDescent="0.25">
      <c r="A53" s="16">
        <v>38838</v>
      </c>
      <c r="B53" s="16"/>
      <c r="C53" s="12">
        <v>530</v>
      </c>
      <c r="D53" s="17">
        <f t="shared" si="6"/>
        <v>2372.2270000000003</v>
      </c>
      <c r="E53" s="18">
        <v>0</v>
      </c>
      <c r="F53" s="18">
        <v>0</v>
      </c>
      <c r="G53" s="18"/>
      <c r="H53" s="19">
        <f t="shared" si="0"/>
        <v>186.21981950000003</v>
      </c>
      <c r="I53" s="58"/>
      <c r="J53" s="23">
        <v>566</v>
      </c>
      <c r="K53" s="17">
        <f t="shared" si="7"/>
        <v>2533.3594000000003</v>
      </c>
      <c r="L53" s="18">
        <v>0</v>
      </c>
      <c r="M53" s="18">
        <v>0</v>
      </c>
      <c r="N53" s="24">
        <f t="shared" si="1"/>
        <v>198.86871290000002</v>
      </c>
      <c r="O53" s="76"/>
      <c r="P53" s="3"/>
      <c r="Q53" s="3"/>
      <c r="R53" s="3"/>
      <c r="S53" s="3"/>
      <c r="T53" s="3"/>
    </row>
    <row r="54" spans="1:20" x14ac:dyDescent="0.25">
      <c r="A54" s="16">
        <v>38869</v>
      </c>
      <c r="B54" s="16"/>
      <c r="C54" s="12">
        <v>530</v>
      </c>
      <c r="D54" s="17">
        <f t="shared" si="6"/>
        <v>2372.2270000000003</v>
      </c>
      <c r="E54" s="18">
        <v>0</v>
      </c>
      <c r="F54" s="18">
        <v>0</v>
      </c>
      <c r="G54" s="18"/>
      <c r="H54" s="19">
        <f t="shared" si="0"/>
        <v>186.21981950000003</v>
      </c>
      <c r="I54" s="58"/>
      <c r="J54" s="23">
        <v>566</v>
      </c>
      <c r="K54" s="17">
        <f>J54*$R$35</f>
        <v>2533.3594000000003</v>
      </c>
      <c r="L54" s="18">
        <v>0</v>
      </c>
      <c r="M54" s="18">
        <v>0</v>
      </c>
      <c r="N54" s="24">
        <f t="shared" si="1"/>
        <v>198.86871290000002</v>
      </c>
      <c r="O54" s="76"/>
      <c r="P54" s="3"/>
      <c r="Q54" s="3"/>
      <c r="R54" s="3"/>
      <c r="S54" s="3"/>
      <c r="T54" s="3"/>
    </row>
    <row r="55" spans="1:20" x14ac:dyDescent="0.25">
      <c r="A55" s="26">
        <v>38899</v>
      </c>
      <c r="B55" s="26"/>
      <c r="C55" s="12">
        <v>530</v>
      </c>
      <c r="D55" s="17">
        <f>C55*$R$36</f>
        <v>2384.0936999999999</v>
      </c>
      <c r="E55" s="18">
        <v>0</v>
      </c>
      <c r="F55" s="18">
        <v>0</v>
      </c>
      <c r="G55" s="18"/>
      <c r="H55" s="49">
        <f t="shared" si="0"/>
        <v>187.15135544999998</v>
      </c>
      <c r="I55" s="58"/>
      <c r="J55" s="23">
        <v>566</v>
      </c>
      <c r="K55" s="17">
        <f>J55*$R$36</f>
        <v>2546.0321399999998</v>
      </c>
      <c r="L55" s="18">
        <v>0</v>
      </c>
      <c r="M55" s="18">
        <v>0</v>
      </c>
      <c r="N55" s="21">
        <f t="shared" si="1"/>
        <v>199.86352298999998</v>
      </c>
      <c r="O55" s="75"/>
      <c r="P55" s="3"/>
      <c r="Q55" s="3"/>
      <c r="R55" s="3"/>
      <c r="S55" s="3"/>
      <c r="T55" s="3"/>
    </row>
    <row r="56" spans="1:20" x14ac:dyDescent="0.25">
      <c r="A56" s="16">
        <v>38930</v>
      </c>
      <c r="B56" s="16"/>
      <c r="C56" s="12">
        <v>530</v>
      </c>
      <c r="D56" s="17">
        <f t="shared" ref="D56:D60" si="8">C56*$R$36</f>
        <v>2384.0936999999999</v>
      </c>
      <c r="E56" s="18">
        <v>0</v>
      </c>
      <c r="F56" s="18">
        <v>0</v>
      </c>
      <c r="G56" s="18"/>
      <c r="H56" s="19">
        <f t="shared" si="0"/>
        <v>187.15135544999998</v>
      </c>
      <c r="I56" s="58"/>
      <c r="J56" s="23">
        <v>566</v>
      </c>
      <c r="K56" s="17">
        <f t="shared" ref="K56:K61" si="9">J56*$R$36</f>
        <v>2546.0321399999998</v>
      </c>
      <c r="L56" s="18">
        <v>0</v>
      </c>
      <c r="M56" s="18">
        <v>0</v>
      </c>
      <c r="N56" s="24">
        <f t="shared" si="1"/>
        <v>199.86352298999998</v>
      </c>
      <c r="O56" s="76"/>
      <c r="P56" s="3"/>
      <c r="Q56" s="3"/>
      <c r="R56" s="3"/>
      <c r="S56" s="3"/>
      <c r="T56" s="3"/>
    </row>
    <row r="57" spans="1:20" x14ac:dyDescent="0.25">
      <c r="A57" s="16">
        <v>38961</v>
      </c>
      <c r="B57" s="16"/>
      <c r="C57" s="12">
        <v>530</v>
      </c>
      <c r="D57" s="17">
        <f t="shared" si="8"/>
        <v>2384.0936999999999</v>
      </c>
      <c r="E57" s="18">
        <v>0</v>
      </c>
      <c r="F57" s="18">
        <v>0</v>
      </c>
      <c r="G57" s="18"/>
      <c r="H57" s="19">
        <f t="shared" si="0"/>
        <v>187.15135544999998</v>
      </c>
      <c r="I57" s="58"/>
      <c r="J57" s="23">
        <v>566</v>
      </c>
      <c r="K57" s="17">
        <f t="shared" si="9"/>
        <v>2546.0321399999998</v>
      </c>
      <c r="L57" s="18">
        <v>0</v>
      </c>
      <c r="M57" s="18">
        <v>0</v>
      </c>
      <c r="N57" s="24">
        <f t="shared" si="1"/>
        <v>199.86352298999998</v>
      </c>
      <c r="O57" s="76"/>
      <c r="P57" s="3"/>
      <c r="Q57" s="3"/>
      <c r="R57" s="3"/>
      <c r="S57" s="3"/>
      <c r="T57" s="3"/>
    </row>
    <row r="58" spans="1:20" x14ac:dyDescent="0.25">
      <c r="A58" s="16">
        <v>38991</v>
      </c>
      <c r="B58" s="16"/>
      <c r="C58" s="27">
        <v>566</v>
      </c>
      <c r="D58" s="17">
        <f t="shared" si="8"/>
        <v>2546.0321399999998</v>
      </c>
      <c r="E58" s="18">
        <v>0</v>
      </c>
      <c r="F58" s="18">
        <v>0</v>
      </c>
      <c r="G58" s="18"/>
      <c r="H58" s="19">
        <f t="shared" si="0"/>
        <v>199.86352298999998</v>
      </c>
      <c r="I58" s="58"/>
      <c r="J58" s="23">
        <v>566</v>
      </c>
      <c r="K58" s="17">
        <f t="shared" si="9"/>
        <v>2546.0321399999998</v>
      </c>
      <c r="L58" s="18">
        <v>0</v>
      </c>
      <c r="M58" s="18">
        <v>0</v>
      </c>
      <c r="N58" s="24">
        <f t="shared" si="1"/>
        <v>199.86352298999998</v>
      </c>
      <c r="O58" s="76"/>
      <c r="P58" s="3"/>
      <c r="Q58" s="3"/>
      <c r="R58" s="3"/>
      <c r="S58" s="3"/>
      <c r="T58" s="3"/>
    </row>
    <row r="59" spans="1:20" x14ac:dyDescent="0.25">
      <c r="A59" s="16">
        <v>39022</v>
      </c>
      <c r="B59" s="16"/>
      <c r="C59" s="27">
        <v>567</v>
      </c>
      <c r="D59" s="17">
        <f t="shared" si="8"/>
        <v>2550.5304299999998</v>
      </c>
      <c r="E59" s="18">
        <v>0</v>
      </c>
      <c r="F59" s="18">
        <v>0</v>
      </c>
      <c r="G59" s="18"/>
      <c r="H59" s="19">
        <f t="shared" si="0"/>
        <v>200.21663875499999</v>
      </c>
      <c r="I59" s="58"/>
      <c r="J59" s="20">
        <v>567</v>
      </c>
      <c r="K59" s="17">
        <f t="shared" si="9"/>
        <v>2550.5304299999998</v>
      </c>
      <c r="L59" s="18">
        <v>0</v>
      </c>
      <c r="M59" s="18">
        <v>0</v>
      </c>
      <c r="N59" s="24">
        <f t="shared" si="1"/>
        <v>200.21663875499999</v>
      </c>
      <c r="O59" s="76"/>
      <c r="P59" s="3"/>
      <c r="Q59" s="3"/>
      <c r="R59" s="3"/>
      <c r="S59" s="3"/>
      <c r="T59" s="3"/>
    </row>
    <row r="60" spans="1:20" x14ac:dyDescent="0.25">
      <c r="A60" s="16">
        <v>39052</v>
      </c>
      <c r="B60" s="16"/>
      <c r="C60" s="12">
        <v>567</v>
      </c>
      <c r="D60" s="17">
        <f t="shared" si="8"/>
        <v>2550.5304299999998</v>
      </c>
      <c r="E60" s="18">
        <v>0</v>
      </c>
      <c r="F60" s="18">
        <v>0</v>
      </c>
      <c r="G60" s="18"/>
      <c r="H60" s="19">
        <f t="shared" si="0"/>
        <v>200.21663875499999</v>
      </c>
      <c r="I60" s="58"/>
      <c r="J60" s="23">
        <v>567</v>
      </c>
      <c r="K60" s="17">
        <f t="shared" si="9"/>
        <v>2550.5304299999998</v>
      </c>
      <c r="L60" s="18">
        <v>0</v>
      </c>
      <c r="M60" s="18">
        <v>0</v>
      </c>
      <c r="N60" s="24">
        <f t="shared" si="1"/>
        <v>200.21663875499999</v>
      </c>
      <c r="O60" s="76"/>
      <c r="P60" s="3"/>
      <c r="Q60" s="3"/>
      <c r="R60" s="3"/>
      <c r="S60" s="3"/>
      <c r="T60" s="3"/>
    </row>
    <row r="61" spans="1:20" x14ac:dyDescent="0.25">
      <c r="A61" s="16">
        <v>39083</v>
      </c>
      <c r="B61" s="16"/>
      <c r="C61" s="12">
        <v>567</v>
      </c>
      <c r="D61" s="17">
        <f>C61*$R$36</f>
        <v>2550.5304299999998</v>
      </c>
      <c r="E61" s="18">
        <v>0</v>
      </c>
      <c r="F61" s="18">
        <v>0</v>
      </c>
      <c r="G61" s="18"/>
      <c r="H61" s="19">
        <f t="shared" si="0"/>
        <v>200.21663875499999</v>
      </c>
      <c r="I61" s="58"/>
      <c r="J61" s="23">
        <v>567</v>
      </c>
      <c r="K61" s="17">
        <f t="shared" si="9"/>
        <v>2550.5304299999998</v>
      </c>
      <c r="L61" s="18">
        <v>0</v>
      </c>
      <c r="M61" s="18">
        <v>0</v>
      </c>
      <c r="N61" s="24">
        <f t="shared" si="1"/>
        <v>200.21663875499999</v>
      </c>
      <c r="O61" s="76"/>
      <c r="P61" s="3"/>
      <c r="Q61" s="3"/>
      <c r="R61" s="3"/>
      <c r="S61" s="3"/>
      <c r="T61" s="3"/>
    </row>
    <row r="62" spans="1:20" x14ac:dyDescent="0.25">
      <c r="A62" s="26">
        <v>39114</v>
      </c>
      <c r="B62" s="26"/>
      <c r="C62" s="12">
        <v>567</v>
      </c>
      <c r="D62" s="17">
        <f>C62*$R$37</f>
        <v>2570.92542</v>
      </c>
      <c r="E62" s="18">
        <v>0</v>
      </c>
      <c r="F62" s="18">
        <v>0</v>
      </c>
      <c r="G62" s="18"/>
      <c r="H62" s="19">
        <f t="shared" si="0"/>
        <v>201.81764547</v>
      </c>
      <c r="I62" s="58"/>
      <c r="J62" s="23">
        <v>567</v>
      </c>
      <c r="K62" s="17">
        <f t="shared" ref="K62:K73" si="10">J62*$R$37</f>
        <v>2570.92542</v>
      </c>
      <c r="L62" s="18">
        <v>0</v>
      </c>
      <c r="M62" s="18">
        <v>0</v>
      </c>
      <c r="N62" s="24">
        <f t="shared" si="1"/>
        <v>201.81764547</v>
      </c>
      <c r="O62" s="76"/>
      <c r="P62" s="3"/>
      <c r="Q62" s="3"/>
      <c r="R62" s="3"/>
      <c r="S62" s="3"/>
      <c r="T62" s="3"/>
    </row>
    <row r="63" spans="1:20" x14ac:dyDescent="0.25">
      <c r="A63" s="16">
        <v>39142</v>
      </c>
      <c r="B63" s="16"/>
      <c r="C63" s="12">
        <v>567</v>
      </c>
      <c r="D63" s="17">
        <f t="shared" ref="D63:D74" si="11">C63*$R$37</f>
        <v>2570.92542</v>
      </c>
      <c r="E63" s="18">
        <v>0</v>
      </c>
      <c r="F63" s="18">
        <v>0</v>
      </c>
      <c r="G63" s="18"/>
      <c r="H63" s="19">
        <f t="shared" si="0"/>
        <v>201.81764547</v>
      </c>
      <c r="I63" s="58"/>
      <c r="J63" s="23">
        <v>567</v>
      </c>
      <c r="K63" s="17">
        <f t="shared" si="10"/>
        <v>2570.92542</v>
      </c>
      <c r="L63" s="18">
        <v>0</v>
      </c>
      <c r="M63" s="18">
        <v>0</v>
      </c>
      <c r="N63" s="24">
        <f t="shared" si="1"/>
        <v>201.81764547</v>
      </c>
      <c r="O63" s="76"/>
      <c r="P63" s="3"/>
      <c r="Q63" s="3"/>
      <c r="R63" s="3"/>
      <c r="S63" s="3"/>
      <c r="T63" s="3"/>
    </row>
    <row r="64" spans="1:20" x14ac:dyDescent="0.25">
      <c r="A64" s="16">
        <v>39173</v>
      </c>
      <c r="B64" s="16"/>
      <c r="C64" s="12">
        <v>567</v>
      </c>
      <c r="D64" s="17">
        <f t="shared" si="11"/>
        <v>2570.92542</v>
      </c>
      <c r="E64" s="18">
        <v>0</v>
      </c>
      <c r="F64" s="18">
        <v>0</v>
      </c>
      <c r="G64" s="18"/>
      <c r="H64" s="19">
        <f t="shared" si="0"/>
        <v>201.81764547</v>
      </c>
      <c r="I64" s="58"/>
      <c r="J64" s="23">
        <v>567</v>
      </c>
      <c r="K64" s="17">
        <f t="shared" si="10"/>
        <v>2570.92542</v>
      </c>
      <c r="L64" s="18">
        <v>0</v>
      </c>
      <c r="M64" s="18">
        <v>0</v>
      </c>
      <c r="N64" s="24">
        <f t="shared" si="1"/>
        <v>201.81764547</v>
      </c>
      <c r="O64" s="76"/>
      <c r="P64" s="3"/>
      <c r="Q64" s="3"/>
      <c r="R64" s="3"/>
      <c r="S64" s="3"/>
      <c r="T64" s="3"/>
    </row>
    <row r="65" spans="1:20" x14ac:dyDescent="0.25">
      <c r="A65" s="16">
        <v>39203</v>
      </c>
      <c r="B65" s="16"/>
      <c r="C65" s="12">
        <v>567</v>
      </c>
      <c r="D65" s="17">
        <f t="shared" si="11"/>
        <v>2570.92542</v>
      </c>
      <c r="E65" s="18">
        <v>0</v>
      </c>
      <c r="F65" s="18">
        <v>0</v>
      </c>
      <c r="G65" s="18"/>
      <c r="H65" s="19">
        <f t="shared" si="0"/>
        <v>201.81764547</v>
      </c>
      <c r="I65" s="58"/>
      <c r="J65" s="23">
        <v>567</v>
      </c>
      <c r="K65" s="17">
        <f t="shared" si="10"/>
        <v>2570.92542</v>
      </c>
      <c r="L65" s="18">
        <v>0</v>
      </c>
      <c r="M65" s="18">
        <v>0</v>
      </c>
      <c r="N65" s="24">
        <f t="shared" si="1"/>
        <v>201.81764547</v>
      </c>
      <c r="O65" s="76"/>
      <c r="P65" s="3"/>
      <c r="Q65" s="3"/>
      <c r="R65" s="3"/>
      <c r="S65" s="3"/>
      <c r="T65" s="3"/>
    </row>
    <row r="66" spans="1:20" x14ac:dyDescent="0.25">
      <c r="A66" s="16">
        <v>39234</v>
      </c>
      <c r="B66" s="16"/>
      <c r="C66" s="12">
        <v>567</v>
      </c>
      <c r="D66" s="17">
        <f t="shared" si="11"/>
        <v>2570.92542</v>
      </c>
      <c r="E66" s="18">
        <v>0</v>
      </c>
      <c r="F66" s="18">
        <v>0</v>
      </c>
      <c r="G66" s="18"/>
      <c r="H66" s="19">
        <f t="shared" si="0"/>
        <v>201.81764547</v>
      </c>
      <c r="I66" s="58"/>
      <c r="J66" s="23">
        <v>567</v>
      </c>
      <c r="K66" s="17">
        <f t="shared" si="10"/>
        <v>2570.92542</v>
      </c>
      <c r="L66" s="18">
        <v>0</v>
      </c>
      <c r="M66" s="18">
        <v>0</v>
      </c>
      <c r="N66" s="24">
        <f t="shared" si="1"/>
        <v>201.81764547</v>
      </c>
      <c r="O66" s="76"/>
      <c r="P66" s="3"/>
      <c r="Q66" s="3"/>
      <c r="R66" s="3"/>
      <c r="S66" s="3"/>
      <c r="T66" s="3"/>
    </row>
    <row r="67" spans="1:20" x14ac:dyDescent="0.25">
      <c r="A67" s="16">
        <v>39264</v>
      </c>
      <c r="B67" s="16"/>
      <c r="C67" s="12">
        <v>567</v>
      </c>
      <c r="D67" s="17">
        <f t="shared" si="11"/>
        <v>2570.92542</v>
      </c>
      <c r="E67" s="18">
        <v>0</v>
      </c>
      <c r="F67" s="18">
        <v>0</v>
      </c>
      <c r="G67" s="18"/>
      <c r="H67" s="19">
        <f t="shared" si="0"/>
        <v>201.81764547</v>
      </c>
      <c r="I67" s="58"/>
      <c r="J67" s="23">
        <v>567</v>
      </c>
      <c r="K67" s="17">
        <f t="shared" si="10"/>
        <v>2570.92542</v>
      </c>
      <c r="L67" s="18">
        <v>0</v>
      </c>
      <c r="M67" s="18">
        <v>0</v>
      </c>
      <c r="N67" s="24">
        <f t="shared" si="1"/>
        <v>201.81764547</v>
      </c>
      <c r="O67" s="76"/>
      <c r="P67" s="3"/>
      <c r="Q67" s="3"/>
      <c r="R67" s="3"/>
      <c r="S67" s="3"/>
      <c r="T67" s="3"/>
    </row>
    <row r="68" spans="1:20" x14ac:dyDescent="0.25">
      <c r="A68" s="16">
        <v>39295</v>
      </c>
      <c r="B68" s="16"/>
      <c r="C68" s="12">
        <v>567</v>
      </c>
      <c r="D68" s="17">
        <f t="shared" si="11"/>
        <v>2570.92542</v>
      </c>
      <c r="E68" s="18">
        <v>0</v>
      </c>
      <c r="F68" s="18">
        <v>0</v>
      </c>
      <c r="G68" s="18"/>
      <c r="H68" s="19">
        <f t="shared" si="0"/>
        <v>201.81764547</v>
      </c>
      <c r="I68" s="58"/>
      <c r="J68" s="23">
        <v>567</v>
      </c>
      <c r="K68" s="17">
        <f t="shared" si="10"/>
        <v>2570.92542</v>
      </c>
      <c r="L68" s="18">
        <v>0</v>
      </c>
      <c r="M68" s="18">
        <v>0</v>
      </c>
      <c r="N68" s="24">
        <f t="shared" si="1"/>
        <v>201.81764547</v>
      </c>
      <c r="O68" s="76"/>
      <c r="P68" s="3"/>
      <c r="Q68" s="3"/>
      <c r="R68" s="3"/>
      <c r="S68" s="3"/>
      <c r="T68" s="3"/>
    </row>
    <row r="69" spans="1:20" x14ac:dyDescent="0.25">
      <c r="A69" s="16">
        <v>39326</v>
      </c>
      <c r="B69" s="16"/>
      <c r="C69" s="12">
        <v>567</v>
      </c>
      <c r="D69" s="17">
        <f t="shared" si="11"/>
        <v>2570.92542</v>
      </c>
      <c r="E69" s="18">
        <v>0</v>
      </c>
      <c r="F69" s="18">
        <v>0</v>
      </c>
      <c r="G69" s="18"/>
      <c r="H69" s="19">
        <f t="shared" si="0"/>
        <v>201.81764547</v>
      </c>
      <c r="I69" s="58"/>
      <c r="J69" s="23">
        <v>567</v>
      </c>
      <c r="K69" s="17">
        <f t="shared" si="10"/>
        <v>2570.92542</v>
      </c>
      <c r="L69" s="18">
        <v>0</v>
      </c>
      <c r="M69" s="18">
        <v>0</v>
      </c>
      <c r="N69" s="24">
        <f t="shared" si="1"/>
        <v>201.81764547</v>
      </c>
      <c r="O69" s="76"/>
      <c r="P69" s="3"/>
      <c r="Q69" s="3"/>
      <c r="R69" s="3"/>
      <c r="S69" s="3"/>
      <c r="T69" s="3"/>
    </row>
    <row r="70" spans="1:20" x14ac:dyDescent="0.25">
      <c r="A70" s="16">
        <v>39356</v>
      </c>
      <c r="B70" s="16"/>
      <c r="C70" s="12">
        <v>567</v>
      </c>
      <c r="D70" s="17">
        <f t="shared" si="11"/>
        <v>2570.92542</v>
      </c>
      <c r="E70" s="18">
        <v>0</v>
      </c>
      <c r="F70" s="18">
        <v>0</v>
      </c>
      <c r="G70" s="18"/>
      <c r="H70" s="19">
        <f t="shared" si="0"/>
        <v>201.81764547</v>
      </c>
      <c r="I70" s="58"/>
      <c r="J70" s="23">
        <v>567</v>
      </c>
      <c r="K70" s="17">
        <f t="shared" si="10"/>
        <v>2570.92542</v>
      </c>
      <c r="L70" s="18">
        <v>0</v>
      </c>
      <c r="M70" s="18">
        <v>0</v>
      </c>
      <c r="N70" s="24">
        <f t="shared" si="1"/>
        <v>201.81764547</v>
      </c>
      <c r="O70" s="76"/>
      <c r="P70" s="3"/>
      <c r="Q70" s="3"/>
      <c r="R70" s="3"/>
      <c r="S70" s="3"/>
      <c r="T70" s="3"/>
    </row>
    <row r="71" spans="1:20" x14ac:dyDescent="0.25">
      <c r="A71" s="16">
        <v>39387</v>
      </c>
      <c r="B71" s="16"/>
      <c r="C71" s="12">
        <v>567</v>
      </c>
      <c r="D71" s="17">
        <f t="shared" si="11"/>
        <v>2570.92542</v>
      </c>
      <c r="E71" s="18">
        <v>0</v>
      </c>
      <c r="F71" s="18">
        <v>0</v>
      </c>
      <c r="G71" s="28"/>
      <c r="H71" s="19">
        <f t="shared" si="0"/>
        <v>201.81764547</v>
      </c>
      <c r="I71" s="59"/>
      <c r="J71" s="23">
        <v>567</v>
      </c>
      <c r="K71" s="17">
        <f t="shared" si="10"/>
        <v>2570.92542</v>
      </c>
      <c r="L71" s="18">
        <v>0</v>
      </c>
      <c r="M71" s="18">
        <v>0</v>
      </c>
      <c r="N71" s="24">
        <f t="shared" si="1"/>
        <v>201.81764547</v>
      </c>
      <c r="O71" s="76"/>
      <c r="P71" s="3"/>
      <c r="Q71" s="3"/>
      <c r="R71" s="3"/>
      <c r="S71" s="3"/>
      <c r="T71" s="3"/>
    </row>
    <row r="72" spans="1:20" x14ac:dyDescent="0.25">
      <c r="A72" s="16">
        <v>39417</v>
      </c>
      <c r="B72" s="16"/>
      <c r="C72" s="12">
        <v>567</v>
      </c>
      <c r="D72" s="17">
        <f t="shared" si="11"/>
        <v>2570.92542</v>
      </c>
      <c r="E72" s="18">
        <v>0</v>
      </c>
      <c r="F72" s="18">
        <v>0</v>
      </c>
      <c r="G72" s="28"/>
      <c r="H72" s="19">
        <f t="shared" si="0"/>
        <v>201.81764547</v>
      </c>
      <c r="I72" s="59"/>
      <c r="J72" s="23">
        <v>567</v>
      </c>
      <c r="K72" s="17">
        <f t="shared" si="10"/>
        <v>2570.92542</v>
      </c>
      <c r="L72" s="18">
        <v>0</v>
      </c>
      <c r="M72" s="18">
        <v>0</v>
      </c>
      <c r="N72" s="24">
        <f t="shared" si="1"/>
        <v>201.81764547</v>
      </c>
      <c r="O72" s="76"/>
      <c r="P72" s="3"/>
      <c r="Q72" s="3"/>
      <c r="R72" s="3"/>
      <c r="S72" s="3"/>
      <c r="T72" s="3"/>
    </row>
    <row r="73" spans="1:20" x14ac:dyDescent="0.25">
      <c r="A73" s="16">
        <v>39448</v>
      </c>
      <c r="B73" s="16"/>
      <c r="C73" s="12">
        <v>567</v>
      </c>
      <c r="D73" s="17">
        <f t="shared" si="11"/>
        <v>2570.92542</v>
      </c>
      <c r="E73" s="18">
        <v>0</v>
      </c>
      <c r="F73" s="18">
        <v>0</v>
      </c>
      <c r="G73" s="28"/>
      <c r="H73" s="19">
        <f t="shared" si="0"/>
        <v>201.81764547</v>
      </c>
      <c r="I73" s="59"/>
      <c r="J73" s="23">
        <v>567</v>
      </c>
      <c r="K73" s="17">
        <f t="shared" si="10"/>
        <v>2570.92542</v>
      </c>
      <c r="L73" s="18">
        <v>0</v>
      </c>
      <c r="M73" s="18">
        <v>0</v>
      </c>
      <c r="N73" s="24">
        <f t="shared" si="1"/>
        <v>201.81764547</v>
      </c>
      <c r="O73" s="76"/>
      <c r="P73" s="3"/>
      <c r="Q73" s="3"/>
      <c r="R73" s="3"/>
      <c r="S73" s="3"/>
      <c r="T73" s="3"/>
    </row>
    <row r="74" spans="1:20" x14ac:dyDescent="0.25">
      <c r="A74" s="16">
        <v>39479</v>
      </c>
      <c r="B74" s="16"/>
      <c r="C74" s="12">
        <v>567</v>
      </c>
      <c r="D74" s="17">
        <f t="shared" si="11"/>
        <v>2570.92542</v>
      </c>
      <c r="E74" s="18">
        <v>0</v>
      </c>
      <c r="F74" s="18">
        <v>0</v>
      </c>
      <c r="G74" s="28"/>
      <c r="H74" s="19">
        <f t="shared" si="0"/>
        <v>201.81764547</v>
      </c>
      <c r="I74" s="59"/>
      <c r="J74" s="23">
        <v>567</v>
      </c>
      <c r="K74" s="17">
        <f>J74*$R$37</f>
        <v>2570.92542</v>
      </c>
      <c r="L74" s="18">
        <v>0</v>
      </c>
      <c r="M74" s="18">
        <v>0</v>
      </c>
      <c r="N74" s="24">
        <f t="shared" si="1"/>
        <v>201.81764547</v>
      </c>
      <c r="O74" s="76"/>
      <c r="P74" s="3"/>
      <c r="Q74" s="3"/>
      <c r="R74" s="3"/>
      <c r="S74" s="3"/>
      <c r="T74" s="3"/>
    </row>
    <row r="75" spans="1:20" x14ac:dyDescent="0.25">
      <c r="A75" s="26">
        <v>39508</v>
      </c>
      <c r="B75" s="26"/>
      <c r="C75" s="12">
        <v>567</v>
      </c>
      <c r="D75" s="17">
        <f>C75*$R$38</f>
        <v>2583.7906499999999</v>
      </c>
      <c r="E75" s="18">
        <v>0</v>
      </c>
      <c r="F75" s="18">
        <v>0</v>
      </c>
      <c r="G75" s="28"/>
      <c r="H75" s="19">
        <f t="shared" si="0"/>
        <v>202.82756602499998</v>
      </c>
      <c r="I75" s="59"/>
      <c r="J75" s="23">
        <v>567</v>
      </c>
      <c r="K75" s="17">
        <f>J75*$R$38</f>
        <v>2583.7906499999999</v>
      </c>
      <c r="L75" s="18">
        <v>0</v>
      </c>
      <c r="M75" s="18">
        <v>0</v>
      </c>
      <c r="N75" s="24">
        <f t="shared" si="1"/>
        <v>202.82756602499998</v>
      </c>
      <c r="O75" s="76"/>
      <c r="P75" s="3"/>
      <c r="Q75" s="3"/>
      <c r="R75" s="3"/>
      <c r="S75" s="3"/>
      <c r="T75" s="3"/>
    </row>
    <row r="76" spans="1:20" x14ac:dyDescent="0.25">
      <c r="A76" s="16">
        <v>39539</v>
      </c>
      <c r="B76" s="16"/>
      <c r="C76" s="12">
        <v>567</v>
      </c>
      <c r="D76" s="17">
        <f t="shared" ref="D76:D81" si="12">C76*$R$38</f>
        <v>2583.7906499999999</v>
      </c>
      <c r="E76" s="18">
        <v>0</v>
      </c>
      <c r="F76" s="18">
        <v>0</v>
      </c>
      <c r="G76" s="28"/>
      <c r="H76" s="19">
        <f t="shared" si="0"/>
        <v>202.82756602499998</v>
      </c>
      <c r="I76" s="59"/>
      <c r="J76" s="20">
        <v>612</v>
      </c>
      <c r="K76" s="17">
        <f t="shared" ref="K76:K81" si="13">J76*$R$38</f>
        <v>2788.8534</v>
      </c>
      <c r="L76" s="18">
        <v>0</v>
      </c>
      <c r="M76" s="18">
        <v>0</v>
      </c>
      <c r="N76" s="24">
        <f t="shared" si="1"/>
        <v>218.92499190000001</v>
      </c>
      <c r="O76" s="76"/>
      <c r="P76" s="3"/>
      <c r="Q76" s="3"/>
      <c r="R76" s="3"/>
      <c r="S76" s="3"/>
      <c r="T76" s="3"/>
    </row>
    <row r="77" spans="1:20" x14ac:dyDescent="0.25">
      <c r="A77" s="16">
        <v>39569</v>
      </c>
      <c r="B77" s="16"/>
      <c r="C77" s="12">
        <v>567</v>
      </c>
      <c r="D77" s="17">
        <f>C77*$R$38/30*29</f>
        <v>2497.664295</v>
      </c>
      <c r="E77" s="18">
        <v>0</v>
      </c>
      <c r="F77" s="18">
        <v>0</v>
      </c>
      <c r="G77" s="28"/>
      <c r="H77" s="19">
        <f t="shared" si="0"/>
        <v>196.0666471575</v>
      </c>
      <c r="I77" s="59"/>
      <c r="J77" s="23">
        <v>612</v>
      </c>
      <c r="K77" s="17">
        <f>J77*$R$38</f>
        <v>2788.8534</v>
      </c>
      <c r="L77" s="18">
        <v>0</v>
      </c>
      <c r="M77" s="18">
        <v>0</v>
      </c>
      <c r="N77" s="24">
        <f t="shared" si="1"/>
        <v>218.92499190000001</v>
      </c>
      <c r="O77" s="76"/>
      <c r="P77" s="3"/>
      <c r="Q77" s="3"/>
      <c r="R77" s="3"/>
      <c r="S77" s="3"/>
      <c r="T77" s="3"/>
    </row>
    <row r="78" spans="1:20" x14ac:dyDescent="0.25">
      <c r="A78" s="16">
        <v>39600</v>
      </c>
      <c r="B78" s="16"/>
      <c r="C78" s="12">
        <v>567</v>
      </c>
      <c r="D78" s="17">
        <f t="shared" si="12"/>
        <v>2583.7906499999999</v>
      </c>
      <c r="E78" s="18">
        <v>0</v>
      </c>
      <c r="F78" s="18">
        <v>0</v>
      </c>
      <c r="G78" s="28"/>
      <c r="H78" s="19">
        <f t="shared" si="0"/>
        <v>202.82756602499998</v>
      </c>
      <c r="I78" s="59"/>
      <c r="J78" s="23">
        <v>612</v>
      </c>
      <c r="K78" s="17">
        <f>J78*$R$38/30*29</f>
        <v>2695.8916200000003</v>
      </c>
      <c r="L78" s="18">
        <v>0</v>
      </c>
      <c r="M78" s="18">
        <v>0</v>
      </c>
      <c r="N78" s="24">
        <f t="shared" si="1"/>
        <v>211.62749217000004</v>
      </c>
      <c r="O78" s="76"/>
      <c r="P78" s="3"/>
      <c r="Q78" s="3"/>
      <c r="R78" s="3"/>
      <c r="S78" s="3"/>
      <c r="T78" s="3"/>
    </row>
    <row r="79" spans="1:20" x14ac:dyDescent="0.25">
      <c r="A79" s="16">
        <v>39630</v>
      </c>
      <c r="B79" s="16"/>
      <c r="C79" s="12">
        <v>567</v>
      </c>
      <c r="D79" s="17">
        <f t="shared" si="12"/>
        <v>2583.7906499999999</v>
      </c>
      <c r="E79" s="18">
        <v>0</v>
      </c>
      <c r="F79" s="18">
        <v>0</v>
      </c>
      <c r="G79" s="28"/>
      <c r="H79" s="19">
        <f t="shared" si="0"/>
        <v>202.82756602499998</v>
      </c>
      <c r="I79" s="59"/>
      <c r="J79" s="23">
        <v>612</v>
      </c>
      <c r="K79" s="17">
        <f t="shared" si="13"/>
        <v>2788.8534</v>
      </c>
      <c r="L79" s="18">
        <v>0</v>
      </c>
      <c r="M79" s="18">
        <v>0</v>
      </c>
      <c r="N79" s="24">
        <f t="shared" si="1"/>
        <v>218.92499190000001</v>
      </c>
      <c r="O79" s="76"/>
      <c r="P79" s="3"/>
      <c r="Q79" s="3"/>
      <c r="R79" s="3"/>
      <c r="S79" s="3"/>
      <c r="T79" s="3"/>
    </row>
    <row r="80" spans="1:20" x14ac:dyDescent="0.25">
      <c r="A80" s="16">
        <v>39661</v>
      </c>
      <c r="B80" s="16"/>
      <c r="C80" s="12">
        <v>567</v>
      </c>
      <c r="D80" s="17">
        <f t="shared" si="12"/>
        <v>2583.7906499999999</v>
      </c>
      <c r="E80" s="18">
        <v>0</v>
      </c>
      <c r="F80" s="18">
        <v>0</v>
      </c>
      <c r="G80" s="28"/>
      <c r="H80" s="19">
        <f t="shared" si="0"/>
        <v>202.82756602499998</v>
      </c>
      <c r="I80" s="59"/>
      <c r="J80" s="23">
        <v>612</v>
      </c>
      <c r="K80" s="17">
        <f t="shared" si="13"/>
        <v>2788.8534</v>
      </c>
      <c r="L80" s="18">
        <v>0</v>
      </c>
      <c r="M80" s="18">
        <v>0</v>
      </c>
      <c r="N80" s="24">
        <f t="shared" si="1"/>
        <v>218.92499190000001</v>
      </c>
      <c r="O80" s="76"/>
      <c r="P80" s="3"/>
      <c r="Q80" s="3"/>
      <c r="R80" s="3"/>
      <c r="S80" s="3"/>
      <c r="T80" s="3"/>
    </row>
    <row r="81" spans="1:20" x14ac:dyDescent="0.25">
      <c r="A81" s="16">
        <v>39692</v>
      </c>
      <c r="B81" s="16"/>
      <c r="C81" s="12">
        <v>567</v>
      </c>
      <c r="D81" s="17">
        <f t="shared" si="12"/>
        <v>2583.7906499999999</v>
      </c>
      <c r="E81" s="18">
        <v>0</v>
      </c>
      <c r="F81" s="18">
        <v>0</v>
      </c>
      <c r="G81" s="28"/>
      <c r="H81" s="19">
        <f t="shared" si="0"/>
        <v>202.82756602499998</v>
      </c>
      <c r="I81" s="59"/>
      <c r="J81" s="23">
        <v>612</v>
      </c>
      <c r="K81" s="17">
        <f t="shared" si="13"/>
        <v>2788.8534</v>
      </c>
      <c r="L81" s="18">
        <v>0</v>
      </c>
      <c r="M81" s="18">
        <v>0</v>
      </c>
      <c r="N81" s="24">
        <f t="shared" si="1"/>
        <v>218.92499190000001</v>
      </c>
      <c r="O81" s="76"/>
      <c r="P81" s="3"/>
      <c r="Q81" s="3"/>
      <c r="R81" s="3"/>
      <c r="S81" s="3"/>
      <c r="T81" s="3"/>
    </row>
    <row r="82" spans="1:20" x14ac:dyDescent="0.25">
      <c r="A82" s="26">
        <v>39722</v>
      </c>
      <c r="B82" s="26"/>
      <c r="C82" s="12">
        <v>567</v>
      </c>
      <c r="D82" s="17">
        <f>C82*$R$39</f>
        <v>2591.5415400000002</v>
      </c>
      <c r="E82" s="18">
        <v>0</v>
      </c>
      <c r="F82" s="18">
        <v>0</v>
      </c>
      <c r="G82" s="28"/>
      <c r="H82" s="19">
        <f t="shared" si="0"/>
        <v>203.43601089000001</v>
      </c>
      <c r="I82" s="59"/>
      <c r="J82" s="23">
        <v>612</v>
      </c>
      <c r="K82" s="17">
        <f>J82*$R$39</f>
        <v>2797.2194399999998</v>
      </c>
      <c r="L82" s="18">
        <v>0</v>
      </c>
      <c r="M82" s="18">
        <v>0</v>
      </c>
      <c r="N82" s="21">
        <f t="shared" si="1"/>
        <v>219.58172603999998</v>
      </c>
      <c r="O82" s="75"/>
      <c r="P82" s="3"/>
      <c r="Q82" s="3"/>
      <c r="R82" s="3"/>
      <c r="S82" s="3"/>
      <c r="T82" s="3"/>
    </row>
    <row r="83" spans="1:20" x14ac:dyDescent="0.25">
      <c r="A83" s="16">
        <v>39753</v>
      </c>
      <c r="B83" s="16"/>
      <c r="C83" s="12">
        <v>567</v>
      </c>
      <c r="D83" s="17">
        <f t="shared" ref="D83:D87" si="14">C83*$R$39</f>
        <v>2591.5415400000002</v>
      </c>
      <c r="E83" s="18">
        <v>0</v>
      </c>
      <c r="F83" s="18">
        <v>0</v>
      </c>
      <c r="G83" s="28"/>
      <c r="H83" s="19">
        <f t="shared" si="0"/>
        <v>203.43601089000001</v>
      </c>
      <c r="I83" s="59"/>
      <c r="J83" s="23">
        <v>612</v>
      </c>
      <c r="K83" s="17">
        <f t="shared" ref="K83:K87" si="15">J83*$R$39</f>
        <v>2797.2194399999998</v>
      </c>
      <c r="L83" s="18">
        <v>0</v>
      </c>
      <c r="M83" s="18">
        <v>0</v>
      </c>
      <c r="N83" s="24">
        <f t="shared" si="1"/>
        <v>219.58172603999998</v>
      </c>
      <c r="O83" s="76"/>
      <c r="P83" s="3"/>
      <c r="Q83" s="3"/>
      <c r="R83" s="3"/>
      <c r="S83" s="3"/>
      <c r="T83" s="3"/>
    </row>
    <row r="84" spans="1:20" x14ac:dyDescent="0.25">
      <c r="A84" s="16">
        <v>39783</v>
      </c>
      <c r="B84" s="16"/>
      <c r="C84" s="12">
        <v>567</v>
      </c>
      <c r="D84" s="17">
        <f t="shared" si="14"/>
        <v>2591.5415400000002</v>
      </c>
      <c r="E84" s="18">
        <v>0</v>
      </c>
      <c r="F84" s="18">
        <v>0</v>
      </c>
      <c r="G84" s="28"/>
      <c r="H84" s="19">
        <f t="shared" si="0"/>
        <v>203.43601089000001</v>
      </c>
      <c r="I84" s="59"/>
      <c r="J84" s="23">
        <v>612</v>
      </c>
      <c r="K84" s="17">
        <f t="shared" si="15"/>
        <v>2797.2194399999998</v>
      </c>
      <c r="L84" s="18">
        <v>0</v>
      </c>
      <c r="M84" s="18">
        <v>0</v>
      </c>
      <c r="N84" s="24">
        <f t="shared" si="1"/>
        <v>219.58172603999998</v>
      </c>
      <c r="O84" s="76"/>
      <c r="P84" s="3"/>
      <c r="Q84" s="3"/>
      <c r="R84" s="3"/>
      <c r="S84" s="3"/>
      <c r="T84" s="3"/>
    </row>
    <row r="85" spans="1:20" x14ac:dyDescent="0.25">
      <c r="A85" s="16">
        <v>39814</v>
      </c>
      <c r="B85" s="16"/>
      <c r="C85" s="12">
        <v>567</v>
      </c>
      <c r="D85" s="17">
        <f t="shared" si="14"/>
        <v>2591.5415400000002</v>
      </c>
      <c r="E85" s="18">
        <v>0</v>
      </c>
      <c r="F85" s="18">
        <v>0</v>
      </c>
      <c r="G85" s="28"/>
      <c r="H85" s="19">
        <f t="shared" si="0"/>
        <v>203.43601089000001</v>
      </c>
      <c r="I85" s="59"/>
      <c r="J85" s="23">
        <v>612</v>
      </c>
      <c r="K85" s="17">
        <f t="shared" si="15"/>
        <v>2797.2194399999998</v>
      </c>
      <c r="L85" s="18">
        <v>0</v>
      </c>
      <c r="M85" s="18">
        <v>0</v>
      </c>
      <c r="N85" s="24">
        <f t="shared" si="1"/>
        <v>219.58172603999998</v>
      </c>
      <c r="O85" s="76"/>
      <c r="P85" s="3"/>
      <c r="Q85" s="3"/>
      <c r="R85" s="3"/>
      <c r="S85" s="3"/>
      <c r="T85" s="3"/>
    </row>
    <row r="86" spans="1:20" x14ac:dyDescent="0.25">
      <c r="A86" s="16">
        <v>39845</v>
      </c>
      <c r="B86" s="16"/>
      <c r="C86" s="12">
        <v>567</v>
      </c>
      <c r="D86" s="17">
        <f t="shared" si="14"/>
        <v>2591.5415400000002</v>
      </c>
      <c r="E86" s="18">
        <v>0</v>
      </c>
      <c r="F86" s="18">
        <v>0</v>
      </c>
      <c r="G86" s="28"/>
      <c r="H86" s="19">
        <f t="shared" si="0"/>
        <v>203.43601089000001</v>
      </c>
      <c r="I86" s="59"/>
      <c r="J86" s="23">
        <v>612</v>
      </c>
      <c r="K86" s="17">
        <f t="shared" si="15"/>
        <v>2797.2194399999998</v>
      </c>
      <c r="L86" s="18">
        <v>0</v>
      </c>
      <c r="M86" s="18">
        <v>0</v>
      </c>
      <c r="N86" s="24">
        <f t="shared" si="1"/>
        <v>219.58172603999998</v>
      </c>
      <c r="O86" s="76"/>
      <c r="P86" s="3"/>
      <c r="Q86" s="3"/>
      <c r="R86" s="3"/>
      <c r="S86" s="3"/>
      <c r="T86" s="3"/>
    </row>
    <row r="87" spans="1:20" x14ac:dyDescent="0.25">
      <c r="A87" s="16">
        <v>39873</v>
      </c>
      <c r="B87" s="16"/>
      <c r="C87" s="12">
        <v>567</v>
      </c>
      <c r="D87" s="17">
        <f t="shared" si="14"/>
        <v>2591.5415400000002</v>
      </c>
      <c r="E87" s="18">
        <v>0</v>
      </c>
      <c r="F87" s="18">
        <v>0</v>
      </c>
      <c r="G87" s="28"/>
      <c r="H87" s="19">
        <f t="shared" si="0"/>
        <v>203.43601089000001</v>
      </c>
      <c r="I87" s="59"/>
      <c r="J87" s="23">
        <v>612</v>
      </c>
      <c r="K87" s="17">
        <f t="shared" si="15"/>
        <v>2797.2194399999998</v>
      </c>
      <c r="L87" s="18">
        <v>0</v>
      </c>
      <c r="M87" s="18">
        <v>0</v>
      </c>
      <c r="N87" s="24">
        <f t="shared" si="1"/>
        <v>219.58172603999998</v>
      </c>
      <c r="O87" s="76"/>
      <c r="P87" s="3"/>
      <c r="Q87" s="3"/>
      <c r="R87" s="3"/>
      <c r="S87" s="3"/>
      <c r="T87" s="3"/>
    </row>
    <row r="88" spans="1:20" x14ac:dyDescent="0.25">
      <c r="A88" s="16"/>
      <c r="B88" s="16"/>
      <c r="C88" s="12"/>
      <c r="D88" s="29"/>
      <c r="E88" s="29"/>
      <c r="F88" s="29"/>
      <c r="G88" s="29"/>
      <c r="H88" s="31"/>
      <c r="I88" s="60"/>
      <c r="J88" s="23"/>
      <c r="K88" s="29"/>
      <c r="L88" s="29"/>
      <c r="M88" s="29"/>
      <c r="N88" s="30"/>
      <c r="O88" s="77"/>
      <c r="P88" s="3"/>
      <c r="Q88" s="3"/>
      <c r="R88" s="3"/>
      <c r="S88" s="3"/>
      <c r="T88" s="3"/>
    </row>
    <row r="89" spans="1:20" ht="15.75" x14ac:dyDescent="0.25">
      <c r="A89" s="32" t="s">
        <v>30</v>
      </c>
      <c r="B89" s="32"/>
      <c r="C89" s="33"/>
      <c r="D89" s="34">
        <f>SUM(D33:D87)</f>
        <v>136071.69766499999</v>
      </c>
      <c r="E89" s="34">
        <f>SUM(E33:E87)</f>
        <v>0</v>
      </c>
      <c r="F89" s="34">
        <f>SUM(F33:F87)</f>
        <v>0</v>
      </c>
      <c r="G89" s="34"/>
      <c r="H89" s="50">
        <f>SUM(H33:H87)</f>
        <v>10681.628266702495</v>
      </c>
      <c r="I89" s="61">
        <f>SUM(I71:I88)</f>
        <v>0</v>
      </c>
      <c r="J89" s="54"/>
      <c r="K89" s="34">
        <f>SUM(K33:K87)</f>
        <v>142530.22294799992</v>
      </c>
      <c r="L89" s="34">
        <f>SUM(L33:L87)</f>
        <v>0</v>
      </c>
      <c r="M89" s="34">
        <f>SUM(M33:M87)</f>
        <v>0</v>
      </c>
      <c r="N89" s="82">
        <f>SUM(N33:N87)</f>
        <v>11188.622501417993</v>
      </c>
      <c r="O89" s="78"/>
      <c r="P89" s="3"/>
      <c r="Q89" s="3"/>
      <c r="R89" s="3"/>
      <c r="S89" s="3"/>
      <c r="T89" s="3"/>
    </row>
    <row r="90" spans="1:20" x14ac:dyDescent="0.25">
      <c r="A90" s="13"/>
      <c r="B90" s="12"/>
      <c r="C90" s="35"/>
      <c r="D90" s="35"/>
      <c r="E90" s="35"/>
      <c r="F90" s="35"/>
      <c r="G90" s="36"/>
      <c r="H90" s="51"/>
      <c r="I90" s="62"/>
      <c r="J90" s="55"/>
      <c r="K90" s="35"/>
      <c r="L90" s="29"/>
      <c r="M90" s="79"/>
      <c r="N90" s="48"/>
      <c r="O90" s="3"/>
      <c r="P90" s="3"/>
      <c r="Q90" s="3"/>
      <c r="R90" s="3"/>
      <c r="S90" s="3"/>
    </row>
    <row r="91" spans="1:20" ht="15.75" x14ac:dyDescent="0.25">
      <c r="A91" s="37"/>
      <c r="B91" s="38"/>
      <c r="C91" s="38"/>
      <c r="D91" s="39"/>
      <c r="E91" s="39"/>
      <c r="F91" s="39"/>
      <c r="G91" s="40"/>
      <c r="H91" s="52"/>
      <c r="I91" s="63"/>
      <c r="J91" s="56"/>
      <c r="K91" s="39"/>
      <c r="L91" s="39"/>
      <c r="M91" s="80"/>
      <c r="N91" s="48"/>
      <c r="O91" s="3"/>
      <c r="P91" s="3"/>
      <c r="Q91" s="3"/>
      <c r="R91" s="3"/>
      <c r="S91" s="3"/>
    </row>
    <row r="92" spans="1:20" x14ac:dyDescent="0.25">
      <c r="A92" s="13"/>
      <c r="B92" s="12"/>
      <c r="C92" s="35"/>
      <c r="D92" s="29"/>
      <c r="E92" s="29"/>
      <c r="F92" s="29"/>
      <c r="G92" s="41"/>
      <c r="H92" s="53"/>
      <c r="I92" s="62"/>
      <c r="J92" s="55"/>
      <c r="K92" s="35"/>
      <c r="L92" s="29"/>
      <c r="M92" s="79"/>
      <c r="N92" s="48"/>
      <c r="O92" s="3"/>
      <c r="P92" s="3"/>
      <c r="Q92" s="3"/>
      <c r="R92" s="3"/>
      <c r="S92" s="3"/>
    </row>
    <row r="93" spans="1:20" x14ac:dyDescent="0.25">
      <c r="A93" s="13"/>
      <c r="B93" s="12"/>
      <c r="C93" s="35"/>
      <c r="D93" s="29"/>
      <c r="E93" s="29"/>
      <c r="F93" s="29"/>
      <c r="G93" s="41"/>
      <c r="H93" s="53"/>
      <c r="I93" s="62"/>
      <c r="J93" s="55"/>
      <c r="K93" s="35"/>
      <c r="L93" s="29"/>
      <c r="M93" s="79"/>
      <c r="N93" s="48"/>
      <c r="O93" s="3"/>
      <c r="P93" s="3"/>
      <c r="Q93" s="3"/>
      <c r="R93" s="3"/>
      <c r="S93" s="3"/>
    </row>
    <row r="94" spans="1:20" ht="15.75" x14ac:dyDescent="0.25">
      <c r="A94" s="42" t="s">
        <v>31</v>
      </c>
      <c r="B94" s="43"/>
      <c r="C94" s="44">
        <f>K89-D89</f>
        <v>6458.5252829999372</v>
      </c>
      <c r="D94" s="44">
        <f>L89-E89</f>
        <v>0</v>
      </c>
      <c r="E94" s="44">
        <f>M89-F89</f>
        <v>0</v>
      </c>
      <c r="F94" s="44"/>
      <c r="G94" s="45" t="s">
        <v>15</v>
      </c>
      <c r="H94" s="45">
        <f>N89-H89</f>
        <v>506.99423471549744</v>
      </c>
      <c r="I94" s="64"/>
      <c r="J94" s="57"/>
      <c r="K94" s="46"/>
      <c r="L94" s="47"/>
      <c r="M94" s="81"/>
      <c r="N94" s="48"/>
      <c r="O94" s="3"/>
      <c r="P94" s="3"/>
      <c r="Q94" s="3"/>
      <c r="R94" s="3"/>
      <c r="S94" s="3"/>
    </row>
    <row r="95" spans="1:2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20" x14ac:dyDescent="0.25">
      <c r="A96" s="86" t="s">
        <v>34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</sheetData>
  <mergeCells count="4">
    <mergeCell ref="B31:H31"/>
    <mergeCell ref="A12:M12"/>
    <mergeCell ref="I31:N31"/>
    <mergeCell ref="A27:N28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20 dû-perçu</vt:lpstr>
      <vt:lpstr>'EL 20 dû-perçu'!Zone_d_impression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2022-11-23T13:53:43Z</dcterms:modified>
</cp:coreProperties>
</file>