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parmantier-adc\Mes Documents\"/>
    </mc:Choice>
  </mc:AlternateContent>
  <xr:revisionPtr revIDLastSave="0" documentId="13_ncr:1_{A458DF9D-0776-4089-AE06-854022564C73}" xr6:coauthVersionLast="47" xr6:coauthVersionMax="47" xr10:uidLastSave="{00000000-0000-0000-0000-000000000000}"/>
  <bookViews>
    <workbookView xWindow="-28920" yWindow="1620" windowWidth="29040" windowHeight="15720" xr2:uid="{A74220EC-0BC3-4A09-A24E-E27AA00EE329}"/>
  </bookViews>
  <sheets>
    <sheet name="Mode opératoire" sheetId="1" r:id="rId1"/>
    <sheet name="Axe 1 Enchainement des RG" sheetId="5" r:id="rId2"/>
    <sheet name="Axe 1 Enchaînement RG Impact" sheetId="4" r:id="rId3"/>
    <sheet name="Axe 1 Rattachement des actes" sheetId="3" r:id="rId4"/>
    <sheet name="Axe 2 Règles de gestion" sheetId="2" r:id="rId5"/>
  </sheets>
  <definedNames>
    <definedName name="_xlnm._FilterDatabase" localSheetId="1" hidden="1">'Axe 1 Enchainement des RG'!$A$1:$OJ$1</definedName>
    <definedName name="_xlnm._FilterDatabase" localSheetId="2" hidden="1">'Axe 1 Enchaînement RG Impact'!$A$1:$OJ$1</definedName>
    <definedName name="_xlnm._FilterDatabase" localSheetId="3" hidden="1">'Axe 1 Rattachement des actes'!$A$1:$AS$1</definedName>
    <definedName name="_xlnm._FilterDatabase" localSheetId="4" hidden="1">'Axe 2 Règles de gestion'!$A$1:$Z$1</definedName>
    <definedName name="date_DIADC">'Mode opératoire'!#REF!</definedName>
    <definedName name="notice_DIADC">'Mode opératoire'!#REF!</definedName>
    <definedName name="notice_ENCHN">'Mode opératoire'!$B$1:$B$4</definedName>
    <definedName name="notice_ICA">'Mode opératoire'!#REF!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V6" i="5" l="1"/>
  <c r="AV2" i="5"/>
  <c r="AT6" i="5"/>
  <c r="AT2" i="5"/>
  <c r="AR6" i="5"/>
  <c r="AR2" i="5"/>
  <c r="AP7" i="5"/>
  <c r="AP6" i="5"/>
  <c r="AP3" i="5"/>
  <c r="AP2" i="5"/>
  <c r="AN7" i="5"/>
  <c r="AN6" i="5"/>
  <c r="AN3" i="5"/>
  <c r="AN2" i="5"/>
  <c r="AL7" i="5"/>
  <c r="AL6" i="5"/>
  <c r="AL3" i="5"/>
  <c r="AL2" i="5"/>
  <c r="AJ7" i="5"/>
  <c r="AJ6" i="5"/>
  <c r="AJ3" i="5"/>
  <c r="AJ2" i="5"/>
  <c r="AH7" i="5"/>
  <c r="AH6" i="5"/>
  <c r="AH3" i="5"/>
  <c r="AH2" i="5"/>
  <c r="AF7" i="5"/>
  <c r="AF6" i="5"/>
  <c r="AF3" i="5"/>
  <c r="AF2" i="5"/>
  <c r="AD7" i="5"/>
  <c r="AD6" i="5"/>
  <c r="AD3" i="5"/>
  <c r="AD2" i="5"/>
  <c r="AB7" i="5"/>
  <c r="AB6" i="5"/>
  <c r="AB3" i="5"/>
  <c r="AB2" i="5"/>
  <c r="Z7" i="5"/>
  <c r="Z6" i="5"/>
  <c r="Z3" i="5"/>
  <c r="Z2" i="5"/>
</calcChain>
</file>

<file path=xl/sharedStrings.xml><?xml version="1.0" encoding="utf-8"?>
<sst xmlns="http://schemas.openxmlformats.org/spreadsheetml/2006/main" count="1187" uniqueCount="162">
  <si>
    <t>MODE OPERATOIRE</t>
  </si>
  <si>
    <t>La transaction s'effectue au niveau du groupe de données "Sous-article BO - Bonifications de service" du dossier pension.</t>
  </si>
  <si>
    <t>Version</t>
  </si>
  <si>
    <t>Type de mise à jour</t>
  </si>
  <si>
    <t>Date de mise à jour</t>
  </si>
  <si>
    <t>Identifiant Domaine</t>
  </si>
  <si>
    <t>Libellé du Domaine</t>
  </si>
  <si>
    <t>Identifiant Sous-domaine</t>
  </si>
  <si>
    <t>Libellé du Sous-domaine</t>
  </si>
  <si>
    <t>Identifiant Evénement</t>
  </si>
  <si>
    <t>Libellé de l'évènement</t>
  </si>
  <si>
    <t>Libellé condition déclenchement Evènement</t>
  </si>
  <si>
    <t>Condition déclenchement Evènement</t>
  </si>
  <si>
    <t>Identifiant type d'évènement</t>
  </si>
  <si>
    <t>Libellé type d'évènement</t>
  </si>
  <si>
    <t>Libellé condition déclenchement Type Evènement</t>
  </si>
  <si>
    <t>Condition déclenchement Type Evènement</t>
  </si>
  <si>
    <t>Libellé Population</t>
  </si>
  <si>
    <t>Codification Population</t>
  </si>
  <si>
    <t>Typologie de population</t>
  </si>
  <si>
    <t>Général / Particulier</t>
  </si>
  <si>
    <t>Passant / Exclu</t>
  </si>
  <si>
    <t>Date de début</t>
  </si>
  <si>
    <t>Date de fin</t>
  </si>
  <si>
    <t>Règles mobilisées</t>
  </si>
  <si>
    <t>Identifiant Règle de contrôle  1</t>
  </si>
  <si>
    <t>Libellé Règle de contrôle  1</t>
  </si>
  <si>
    <t>Identifiant Règle de contrôle 2</t>
  </si>
  <si>
    <t>Libellé Règle de contrôle 2</t>
  </si>
  <si>
    <t>Identifiant Règle de contrôle 3</t>
  </si>
  <si>
    <t>Libellé Règle de contrôle 3</t>
  </si>
  <si>
    <t>Identifiant Règle de contrôle 4</t>
  </si>
  <si>
    <t>Libellé Règle de contrôle 4</t>
  </si>
  <si>
    <t>Identifiant Règle de contrôle 5</t>
  </si>
  <si>
    <t>Libellé Règle de contrôle 5</t>
  </si>
  <si>
    <t>Identifiant Règle de contrôle 6</t>
  </si>
  <si>
    <t>Libellé Règle de contrôle 6</t>
  </si>
  <si>
    <t>Identifiant Règle de contrôle 7</t>
  </si>
  <si>
    <t>Libellé Règle de contrôle 7</t>
  </si>
  <si>
    <t>Identifiant Règle de contrôle 8</t>
  </si>
  <si>
    <t>Libellé Règle de contrôle 8</t>
  </si>
  <si>
    <t>Identifiant Règle de contrôle 9</t>
  </si>
  <si>
    <t>Libellé Règle de contrôle 9</t>
  </si>
  <si>
    <t>Identifiant Règle de contrôle 10</t>
  </si>
  <si>
    <t>Libellé Règle de contrôle 10</t>
  </si>
  <si>
    <t>Identifiant Règle de contrôle 11</t>
  </si>
  <si>
    <t>Libellé Règle de contrôle 11</t>
  </si>
  <si>
    <t>Identifiant Règle de contrôle 12</t>
  </si>
  <si>
    <t>Libellé Règle de contrôle 12</t>
  </si>
  <si>
    <t>FIME</t>
  </si>
  <si>
    <t>Statut de travail</t>
  </si>
  <si>
    <t>17.10.00</t>
  </si>
  <si>
    <t>A</t>
  </si>
  <si>
    <t>D0005</t>
  </si>
  <si>
    <t>Carrière</t>
  </si>
  <si>
    <t>S0040</t>
  </si>
  <si>
    <t>Bonification retraite</t>
  </si>
  <si>
    <t>E0667</t>
  </si>
  <si>
    <t>La date de début des services est saisie</t>
  </si>
  <si>
    <t>A_BOR_DADESE [Saisi] &lt;&gt; Vide</t>
  </si>
  <si>
    <t>T1626</t>
  </si>
  <si>
    <t>Bonification retraite - Demande</t>
  </si>
  <si>
    <t>Création</t>
  </si>
  <si>
    <t/>
  </si>
  <si>
    <t>Titulaire ou magistrat</t>
  </si>
  <si>
    <t>P0001</t>
  </si>
  <si>
    <t>T</t>
  </si>
  <si>
    <t>Général</t>
  </si>
  <si>
    <t>Passant</t>
  </si>
  <si>
    <t>BON_C_001 ET BON_C_003 ET BON_C_004 ET BON_C_011 ET BON_C_012 ET BON_C_014 ET BON_C_005 ET BON_C_007 ET BON_C_008 ET BON_C_009 ET BON_C_010 ET BON_C_013</t>
  </si>
  <si>
    <t>BON_C_001</t>
  </si>
  <si>
    <t>La date de début des services doit être postérieure ou égale à la date d'entrée dans la FPE ou dans la carrière militaire.</t>
  </si>
  <si>
    <t>BON_C_003</t>
  </si>
  <si>
    <t>La date de fin des services doit être antérieure ou égale à la date limite de départ à la retraite.</t>
  </si>
  <si>
    <t>BON_C_004</t>
  </si>
  <si>
    <t>La date de fin des services doit être postérieure ou égale à la date de début.</t>
  </si>
  <si>
    <t>BON_C_011</t>
  </si>
  <si>
    <t>Si le pays ou territoire pour campagne est renseigné, alors le pays ou territoire hors d'Europe ne doit pas être renseigné.</t>
  </si>
  <si>
    <t>BON_C_012</t>
  </si>
  <si>
    <t>Si le pays ou territoire hors d'Europe est renseigné, alors le pays ou territoire pour campagne ne doit pas être renseigné.</t>
  </si>
  <si>
    <t>BON_C_014</t>
  </si>
  <si>
    <t>Le pays ou territoire pour campagne ou le pays ou territoire hors d'Europe doit être saisi.</t>
  </si>
  <si>
    <t>BON_C_005</t>
  </si>
  <si>
    <t>La date de début de congé rémunéré passé hors du territoire d'exercice doit être postérieure ou égale à la date d'entrée dans la FPE ou dans la carrière militaire.</t>
  </si>
  <si>
    <t>BON_C_007</t>
  </si>
  <si>
    <t>La date de fin de congé rémunéré passé hors du territoire d'exercice doit être antérieure ou égale à la date limite de départ à la retraite.</t>
  </si>
  <si>
    <t>BON_C_008</t>
  </si>
  <si>
    <t>La date de fin de congé rémunéré passé hors du territoire d'exercice doit être postérieure ou égale à la date de début.</t>
  </si>
  <si>
    <t>BON_C_009</t>
  </si>
  <si>
    <t>La date de début de congé rémunéré passé hors du territoire d'exercice doit être postérieure ou égale à la date de début des services</t>
  </si>
  <si>
    <t>BON_C_010</t>
  </si>
  <si>
    <t>La date de fin de congé rémunéré passé hors du territoire d'exercice doit être antérieure ou égale à la date de fin des services</t>
  </si>
  <si>
    <t>BON_C_013</t>
  </si>
  <si>
    <t>L'agent exerce ses fonctions hors d'Europe.</t>
  </si>
  <si>
    <t>T1627</t>
  </si>
  <si>
    <t>Bonification retraite - Fin</t>
  </si>
  <si>
    <t>Modification</t>
  </si>
  <si>
    <t>BON_C_003 ET BON_C_004 ET BON_C_011 ET BON_C_012 ET BON_C_014 ET BON_C_007 ET BON_C_008 ET BON_C_010 ET BON_C_013</t>
  </si>
  <si>
    <t>Contractuel</t>
  </si>
  <si>
    <t>P0003</t>
  </si>
  <si>
    <t>N</t>
  </si>
  <si>
    <t>Exclu</t>
  </si>
  <si>
    <t>Stagiaire ou auditeur ou élève</t>
  </si>
  <si>
    <t>P0004</t>
  </si>
  <si>
    <t>S</t>
  </si>
  <si>
    <t>Ouvrier d'état</t>
  </si>
  <si>
    <t>P0005</t>
  </si>
  <si>
    <t>O</t>
  </si>
  <si>
    <t>Impacts</t>
  </si>
  <si>
    <t>Libellé condition de déclenchement 1</t>
  </si>
  <si>
    <t>Condition de déclenchement 1</t>
  </si>
  <si>
    <t>Code nature 1</t>
  </si>
  <si>
    <t>Libellé nature 1</t>
  </si>
  <si>
    <t>Libellé condition de déclenchement 2</t>
  </si>
  <si>
    <t>Condition de déclenchement 2</t>
  </si>
  <si>
    <t>Code nature 2</t>
  </si>
  <si>
    <t>Libellé nature 2</t>
  </si>
  <si>
    <t>Libellé condition de déclenchement 3</t>
  </si>
  <si>
    <t>Condition de déclenchement 3</t>
  </si>
  <si>
    <t>Code nature 3</t>
  </si>
  <si>
    <t>Libellé nature 3</t>
  </si>
  <si>
    <t>Libellé condition de déclenchement 4</t>
  </si>
  <si>
    <t>Condition de déclenchement 4</t>
  </si>
  <si>
    <t>Code nature 4</t>
  </si>
  <si>
    <t>Libellé nature 4</t>
  </si>
  <si>
    <t>Commentaire</t>
  </si>
  <si>
    <t>Code de la règle</t>
  </si>
  <si>
    <t>Type de règle</t>
  </si>
  <si>
    <t>Règle littérale</t>
  </si>
  <si>
    <t>Références juridiques</t>
  </si>
  <si>
    <t>Condition</t>
  </si>
  <si>
    <t>Articulation</t>
  </si>
  <si>
    <t>Type de contrôle</t>
  </si>
  <si>
    <t>Typage RG exclusion</t>
  </si>
  <si>
    <t>Typage RG condition</t>
  </si>
  <si>
    <t>Typage RG contrôle</t>
  </si>
  <si>
    <t>Typage RG intellectuel</t>
  </si>
  <si>
    <t>Typage RG impact</t>
  </si>
  <si>
    <t>Règle retenue</t>
  </si>
  <si>
    <t>Expression littérale</t>
  </si>
  <si>
    <t>Contrôle</t>
  </si>
  <si>
    <t>A_BOR_DADESE [Saisi] &gt;= A_SAP_DENFPE [Dossier]</t>
  </si>
  <si>
    <t>Bloquant</t>
  </si>
  <si>
    <t>SI A_BOR_DAFISE [Saisi] &lt;&gt; Vide</t>
  </si>
  <si>
    <t>A_BOR_DAFISE [Saisi] &lt;= A_SAP_DLDPRE [Dossier]</t>
  </si>
  <si>
    <t>Non Bloquant</t>
  </si>
  <si>
    <t>A_BOR_DAFISE [Saisi] &gt;= A_BOR_DADESE [Saisi]</t>
  </si>
  <si>
    <t>SI A_BOR_DDECHT [Saisi] &lt;&gt; Vide</t>
  </si>
  <si>
    <t>A_BOR_DDECHT [Saisi] &gt;= A_SAP_DENFPE [Dossier]</t>
  </si>
  <si>
    <t>SI A_BOR_DFICHT [Saisi] &lt;&gt; Vide</t>
  </si>
  <si>
    <t>A_BOR_DFICHT [Saisi] &lt;= A_SAP_DLDPRE [Dossier]</t>
  </si>
  <si>
    <t>SI A_BOR_DDECHT [Saisi] &lt;&gt; Vide ET A_BOR_DFICHT [Saisi] &lt;&gt; Vide</t>
  </si>
  <si>
    <t>A_BOR_DFICHT [Saisi] &gt;= A_BOR_DDECHT [Saisi]</t>
  </si>
  <si>
    <t>A_BOR_DDECHT [Saisi] &gt;= A_BOR_DADESE [Saisi]</t>
  </si>
  <si>
    <t>SI A_BOR_DFICHT [Saisi] &lt;&gt; Vide ET A_BOR_DAFISE [Saisi] &lt;&gt; Vide</t>
  </si>
  <si>
    <t>A_BOR_DFICHT [Saisi] &lt;= A_BOR_DAFISE [Saisi]</t>
  </si>
  <si>
    <t>SI A_BOR_PATECA [Saisi] &lt;&gt; Vide</t>
  </si>
  <si>
    <t>A_BOR_PATEHE [Saisi] = Vide</t>
  </si>
  <si>
    <t>SI A_BOR_PATEHE [Saisi] &lt;&gt; Vide</t>
  </si>
  <si>
    <t>A_BOR_PATECA [Saisi] = Vide</t>
  </si>
  <si>
    <t>A_BOR_PATEHE [Saisi] &lt;&gt; Vide</t>
  </si>
  <si>
    <t>A_BOR_PATEHE [Saisi] &lt;&gt; Vide OU A_BOR_PATECA [Saisi] &lt;&gt; Vide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</si>
</sst>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0" xfId="0" applyFont="1" applyFill="1" applyAlignment="1">
      <alignment horizontal="center" vertical="center"/>
    </xf>
    <xf numFmtId="14" fontId="0" fillId="0" borderId="0" xfId="0" applyNumberFormat="1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0" borderId="0" xfId="0" applyProtection="1">
      <protection locked="0"/>
    </xf>
    <xf numFmtId="0" fontId="0" fillId="0" borderId="0" xfId="0" applyAlignment="1" applyProtection="1">
      <alignment horizontal="left" vertical="top" wrapText="1"/>
      <protection locked="0"/>
    </xf>
    <xf numFmtId="0" fontId="0" fillId="0" borderId="0" xfId="0" applyAlignment="1" applyProtection="1">
      <alignment horizontal="left" vertical="top"/>
      <protection locked="0"/>
    </xf>
    <xf numFmtId="0" fontId="0" fillId="0" borderId="0" xfId="0" applyAlignment="1" applyProtection="1">
      <alignment wrapText="1"/>
      <protection locked="0"/>
    </xf>
    <xf numFmtId="0" fontId="0" fillId="0" borderId="0" xfId="0" applyAlignment="1">
      <alignment horizontal="center"/>
    </xf>
    <xf numFmtId="49" fontId="2" fillId="2" borderId="1" xfId="0" applyNumberFormat="1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49" fontId="0" fillId="0" borderId="1" xfId="0" applyNumberFormat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49" fontId="0" fillId="0" borderId="1" xfId="0" applyNumberFormat="1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9" fontId="0" fillId="0" borderId="0" xfId="0" applyNumberFormat="1" applyAlignment="1">
      <alignment wrapText="1"/>
    </xf>
    <xf numFmtId="49" fontId="0" fillId="0" borderId="0" xfId="0" applyNumberFormat="1" applyAlignment="1">
      <alignment horizontal="left" wrapText="1"/>
    </xf>
    <xf numFmtId="14" fontId="0" fillId="0" borderId="0" xfId="0" applyNumberFormat="1" applyAlignment="1">
      <alignment horizontal="left" wrapText="1"/>
    </xf>
    <xf numFmtId="14" fontId="0" fillId="0" borderId="0" xfId="0" applyNumberFormat="1" applyAlignment="1">
      <alignment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49" fontId="0" fillId="0" borderId="0" xfId="0" applyNumberForma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7D7E7-3B5A-4D65-A029-581FDA552B86}">
  <sheetPr codeName="Feuil2"/>
  <dimension ref="A1:AG385"/>
  <sheetViews>
    <sheetView tabSelected="1" zoomScale="85" zoomScaleNormal="85" workbookViewId="0"/>
  </sheetViews>
  <sheetFormatPr baseColWidth="10" defaultRowHeight="14.5" x14ac:dyDescent="0.35"/>
  <cols>
    <col min="2" max="2" width="144.36328125" style="9" customWidth="1"/>
    <col min="3" max="3" width="64.90625" style="2" bestFit="1" customWidth="1"/>
    <col min="18" max="19" width="10.90625" style="2"/>
  </cols>
  <sheetData>
    <row r="1" spans="1:33" x14ac:dyDescent="0.35">
      <c r="B1" s="1" t="s">
        <v>0</v>
      </c>
    </row>
    <row r="2" spans="1:33" x14ac:dyDescent="0.35">
      <c r="B2" s="3" t="s">
        <v>1</v>
      </c>
    </row>
    <row r="3" spans="1:33" x14ac:dyDescent="0.35">
      <c r="B3" s="4"/>
    </row>
    <row r="4" spans="1:33" x14ac:dyDescent="0.35">
      <c r="B4" s="4"/>
    </row>
    <row r="5" spans="1:33" x14ac:dyDescent="0.35">
      <c r="B5" s="4"/>
    </row>
    <row r="6" spans="1:33" x14ac:dyDescent="0.35">
      <c r="B6" s="4"/>
    </row>
    <row r="7" spans="1:33" x14ac:dyDescent="0.35">
      <c r="B7" s="4"/>
    </row>
    <row r="8" spans="1:33" x14ac:dyDescent="0.35">
      <c r="B8" s="4"/>
    </row>
    <row r="9" spans="1:33" x14ac:dyDescent="0.35">
      <c r="B9" s="4"/>
    </row>
    <row r="10" spans="1:33" x14ac:dyDescent="0.35">
      <c r="B10" s="4"/>
    </row>
    <row r="11" spans="1:33" x14ac:dyDescent="0.35">
      <c r="A11" s="5"/>
      <c r="B11" s="6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</row>
    <row r="12" spans="1:33" x14ac:dyDescent="0.35">
      <c r="A12" s="5"/>
      <c r="B12" s="7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</row>
    <row r="13" spans="1:33" x14ac:dyDescent="0.35">
      <c r="A13" s="5"/>
      <c r="B13" s="7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</row>
    <row r="14" spans="1:33" x14ac:dyDescent="0.35">
      <c r="A14" s="5"/>
      <c r="B14" s="7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</row>
    <row r="15" spans="1:33" x14ac:dyDescent="0.35">
      <c r="B15" s="4"/>
      <c r="C15"/>
      <c r="R15"/>
      <c r="S15"/>
    </row>
    <row r="16" spans="1:33" x14ac:dyDescent="0.3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</row>
    <row r="17" spans="1:33" x14ac:dyDescent="0.35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</row>
    <row r="18" spans="1:33" x14ac:dyDescent="0.3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</row>
    <row r="19" spans="1:33" x14ac:dyDescent="0.35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</row>
    <row r="20" spans="1:33" x14ac:dyDescent="0.3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</row>
    <row r="21" spans="1:33" x14ac:dyDescent="0.3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</row>
    <row r="22" spans="1:33" x14ac:dyDescent="0.3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</row>
    <row r="23" spans="1:33" x14ac:dyDescent="0.35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</row>
    <row r="24" spans="1:33" x14ac:dyDescent="0.3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</row>
    <row r="25" spans="1:33" x14ac:dyDescent="0.3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</row>
    <row r="26" spans="1:33" x14ac:dyDescent="0.3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</row>
    <row r="27" spans="1:33" x14ac:dyDescent="0.3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</row>
    <row r="28" spans="1:33" x14ac:dyDescent="0.3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</row>
    <row r="29" spans="1:33" x14ac:dyDescent="0.3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</row>
    <row r="30" spans="1:33" x14ac:dyDescent="0.3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</row>
    <row r="31" spans="1:33" x14ac:dyDescent="0.3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</row>
    <row r="32" spans="1:33" x14ac:dyDescent="0.3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</row>
    <row r="33" spans="1:33" x14ac:dyDescent="0.3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</row>
    <row r="34" spans="1:33" x14ac:dyDescent="0.3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</row>
    <row r="35" spans="1:33" x14ac:dyDescent="0.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</row>
    <row r="36" spans="1:33" x14ac:dyDescent="0.3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</row>
    <row r="37" spans="1:33" x14ac:dyDescent="0.3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</row>
    <row r="38" spans="1:33" x14ac:dyDescent="0.3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</row>
    <row r="39" spans="1:33" x14ac:dyDescent="0.3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</row>
    <row r="40" spans="1:33" x14ac:dyDescent="0.3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</row>
    <row r="41" spans="1:33" x14ac:dyDescent="0.3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</row>
    <row r="42" spans="1:33" x14ac:dyDescent="0.3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8"/>
      <c r="X42" s="5"/>
      <c r="Y42" s="5"/>
      <c r="Z42" s="5"/>
      <c r="AA42" s="5"/>
      <c r="AB42" s="5"/>
      <c r="AC42" s="5"/>
      <c r="AD42" s="5"/>
      <c r="AE42" s="5"/>
      <c r="AF42" s="5"/>
      <c r="AG42" s="5"/>
    </row>
    <row r="43" spans="1:33" x14ac:dyDescent="0.3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</row>
    <row r="44" spans="1:33" x14ac:dyDescent="0.3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</row>
    <row r="45" spans="1:33" x14ac:dyDescent="0.3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</row>
    <row r="46" spans="1:33" x14ac:dyDescent="0.3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</row>
    <row r="47" spans="1:33" x14ac:dyDescent="0.3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</row>
    <row r="48" spans="1:33" x14ac:dyDescent="0.3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</row>
    <row r="49" spans="1:33" x14ac:dyDescent="0.3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</row>
    <row r="50" spans="1:33" x14ac:dyDescent="0.3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</row>
    <row r="51" spans="1:33" x14ac:dyDescent="0.3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</row>
    <row r="52" spans="1:33" x14ac:dyDescent="0.3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</row>
    <row r="53" spans="1:33" x14ac:dyDescent="0.3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</row>
    <row r="54" spans="1:33" x14ac:dyDescent="0.3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8"/>
      <c r="X54" s="5"/>
      <c r="Y54" s="5"/>
      <c r="Z54" s="5"/>
      <c r="AA54" s="5"/>
      <c r="AB54" s="5"/>
      <c r="AC54" s="5"/>
      <c r="AD54" s="5"/>
      <c r="AE54" s="5"/>
      <c r="AF54" s="5"/>
      <c r="AG54" s="5"/>
    </row>
    <row r="55" spans="1:33" x14ac:dyDescent="0.3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</row>
    <row r="56" spans="1:33" x14ac:dyDescent="0.3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8"/>
      <c r="X56" s="5"/>
      <c r="Y56" s="5"/>
      <c r="Z56" s="5"/>
      <c r="AA56" s="5"/>
      <c r="AB56" s="5"/>
      <c r="AC56" s="5"/>
      <c r="AD56" s="5"/>
      <c r="AE56" s="5"/>
      <c r="AF56" s="5"/>
      <c r="AG56" s="5"/>
    </row>
    <row r="57" spans="1:33" x14ac:dyDescent="0.3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</row>
    <row r="58" spans="1:33" x14ac:dyDescent="0.3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</row>
    <row r="59" spans="1:33" x14ac:dyDescent="0.3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</row>
    <row r="60" spans="1:33" x14ac:dyDescent="0.3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</row>
    <row r="61" spans="1:33" x14ac:dyDescent="0.3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</row>
    <row r="62" spans="1:33" x14ac:dyDescent="0.3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</row>
    <row r="63" spans="1:33" x14ac:dyDescent="0.3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</row>
    <row r="64" spans="1:33" x14ac:dyDescent="0.3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</row>
    <row r="65" spans="1:33" x14ac:dyDescent="0.3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</row>
    <row r="66" spans="1:33" x14ac:dyDescent="0.35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</row>
    <row r="67" spans="1:33" x14ac:dyDescent="0.3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</row>
    <row r="68" spans="1:33" x14ac:dyDescent="0.3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</row>
    <row r="69" spans="1:33" x14ac:dyDescent="0.3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</row>
    <row r="70" spans="1:33" x14ac:dyDescent="0.3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</row>
    <row r="71" spans="1:33" x14ac:dyDescent="0.3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</row>
    <row r="72" spans="1:33" x14ac:dyDescent="0.3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</row>
    <row r="73" spans="1:33" x14ac:dyDescent="0.3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</row>
    <row r="74" spans="1:33" x14ac:dyDescent="0.3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</row>
    <row r="75" spans="1:33" x14ac:dyDescent="0.3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</row>
    <row r="76" spans="1:33" x14ac:dyDescent="0.3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</row>
    <row r="77" spans="1:33" x14ac:dyDescent="0.3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</row>
    <row r="78" spans="1:33" x14ac:dyDescent="0.3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</row>
    <row r="79" spans="1:33" x14ac:dyDescent="0.3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</row>
    <row r="80" spans="1:33" x14ac:dyDescent="0.3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</row>
    <row r="81" spans="1:33" x14ac:dyDescent="0.3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</row>
    <row r="82" spans="1:33" x14ac:dyDescent="0.3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</row>
    <row r="83" spans="1:33" x14ac:dyDescent="0.3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</row>
    <row r="84" spans="1:33" x14ac:dyDescent="0.3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</row>
    <row r="85" spans="1:33" x14ac:dyDescent="0.3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</row>
    <row r="86" spans="1:33" x14ac:dyDescent="0.3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</row>
    <row r="87" spans="1:33" x14ac:dyDescent="0.3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</row>
    <row r="88" spans="1:33" x14ac:dyDescent="0.3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8"/>
      <c r="X88" s="5"/>
      <c r="Y88" s="5"/>
      <c r="Z88" s="5"/>
      <c r="AA88" s="5"/>
      <c r="AB88" s="5"/>
      <c r="AC88" s="5"/>
      <c r="AD88" s="5"/>
      <c r="AE88" s="5"/>
      <c r="AF88" s="5"/>
      <c r="AG88" s="5"/>
    </row>
    <row r="89" spans="1:33" x14ac:dyDescent="0.3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</row>
    <row r="90" spans="1:33" x14ac:dyDescent="0.3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</row>
    <row r="91" spans="1:33" x14ac:dyDescent="0.3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8"/>
      <c r="X91" s="5"/>
      <c r="Y91" s="5"/>
      <c r="Z91" s="5"/>
      <c r="AA91" s="5"/>
      <c r="AB91" s="5"/>
      <c r="AC91" s="5"/>
      <c r="AD91" s="5"/>
      <c r="AE91" s="5"/>
      <c r="AF91" s="5"/>
      <c r="AG91" s="5"/>
    </row>
    <row r="92" spans="1:33" x14ac:dyDescent="0.3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</row>
    <row r="93" spans="1:33" x14ac:dyDescent="0.3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</row>
    <row r="94" spans="1:33" x14ac:dyDescent="0.3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</row>
    <row r="95" spans="1:33" x14ac:dyDescent="0.3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8"/>
      <c r="X95" s="5"/>
      <c r="Y95" s="5"/>
      <c r="Z95" s="5"/>
      <c r="AA95" s="5"/>
      <c r="AB95" s="5"/>
      <c r="AC95" s="5"/>
      <c r="AD95" s="5"/>
      <c r="AE95" s="5"/>
      <c r="AF95" s="5"/>
      <c r="AG95" s="5"/>
    </row>
    <row r="96" spans="1:33" x14ac:dyDescent="0.3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</row>
    <row r="97" spans="1:33" x14ac:dyDescent="0.3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</row>
    <row r="98" spans="1:33" x14ac:dyDescent="0.3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</row>
    <row r="99" spans="1:33" x14ac:dyDescent="0.3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</row>
    <row r="100" spans="1:33" x14ac:dyDescent="0.3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</row>
    <row r="101" spans="1:33" x14ac:dyDescent="0.3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</row>
    <row r="102" spans="1:33" x14ac:dyDescent="0.35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8"/>
      <c r="X102" s="5"/>
      <c r="Y102" s="5"/>
      <c r="Z102" s="5"/>
      <c r="AA102" s="5"/>
      <c r="AB102" s="5"/>
      <c r="AC102" s="5"/>
      <c r="AD102" s="5"/>
      <c r="AE102" s="5"/>
      <c r="AF102" s="5"/>
      <c r="AG102" s="5"/>
    </row>
    <row r="103" spans="1:33" x14ac:dyDescent="0.3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</row>
    <row r="104" spans="1:33" x14ac:dyDescent="0.3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</row>
    <row r="105" spans="1:33" x14ac:dyDescent="0.3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</row>
    <row r="106" spans="1:33" x14ac:dyDescent="0.3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8"/>
      <c r="X106" s="5"/>
      <c r="Y106" s="5"/>
      <c r="Z106" s="5"/>
      <c r="AA106" s="5"/>
      <c r="AB106" s="5"/>
      <c r="AC106" s="5"/>
      <c r="AD106" s="5"/>
      <c r="AE106" s="5"/>
      <c r="AF106" s="5"/>
      <c r="AG106" s="5"/>
    </row>
    <row r="107" spans="1:33" x14ac:dyDescent="0.3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8"/>
      <c r="X107" s="5"/>
      <c r="Y107" s="5"/>
      <c r="Z107" s="5"/>
      <c r="AA107" s="5"/>
      <c r="AB107" s="5"/>
      <c r="AC107" s="5"/>
      <c r="AD107" s="5"/>
      <c r="AE107" s="5"/>
      <c r="AF107" s="5"/>
      <c r="AG107" s="5"/>
    </row>
    <row r="108" spans="1:33" x14ac:dyDescent="0.3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8"/>
      <c r="X108" s="5"/>
      <c r="Y108" s="5"/>
      <c r="Z108" s="5"/>
      <c r="AA108" s="5"/>
      <c r="AB108" s="5"/>
      <c r="AC108" s="5"/>
      <c r="AD108" s="5"/>
      <c r="AE108" s="5"/>
      <c r="AF108" s="5"/>
      <c r="AG108" s="5"/>
    </row>
    <row r="109" spans="1:33" x14ac:dyDescent="0.3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</row>
    <row r="110" spans="1:33" x14ac:dyDescent="0.3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</row>
    <row r="111" spans="1:33" x14ac:dyDescent="0.3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</row>
    <row r="112" spans="1:33" x14ac:dyDescent="0.3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</row>
    <row r="113" spans="1:33" x14ac:dyDescent="0.3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</row>
    <row r="114" spans="1:33" x14ac:dyDescent="0.3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8"/>
      <c r="X114" s="5"/>
      <c r="Y114" s="5"/>
      <c r="Z114" s="5"/>
      <c r="AA114" s="5"/>
      <c r="AB114" s="5"/>
      <c r="AC114" s="5"/>
      <c r="AD114" s="5"/>
      <c r="AE114" s="5"/>
      <c r="AF114" s="5"/>
      <c r="AG114" s="5"/>
    </row>
    <row r="115" spans="1:33" x14ac:dyDescent="0.3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8"/>
      <c r="X115" s="5"/>
      <c r="Y115" s="5"/>
      <c r="Z115" s="5"/>
      <c r="AA115" s="5"/>
      <c r="AB115" s="5"/>
      <c r="AC115" s="5"/>
      <c r="AD115" s="5"/>
      <c r="AE115" s="5"/>
      <c r="AF115" s="5"/>
      <c r="AG115" s="5"/>
    </row>
    <row r="116" spans="1:33" x14ac:dyDescent="0.3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8"/>
      <c r="X116" s="5"/>
      <c r="Y116" s="5"/>
      <c r="Z116" s="5"/>
      <c r="AA116" s="5"/>
      <c r="AB116" s="5"/>
      <c r="AC116" s="5"/>
      <c r="AD116" s="5"/>
      <c r="AE116" s="5"/>
      <c r="AF116" s="5"/>
      <c r="AG116" s="5"/>
    </row>
    <row r="117" spans="1:33" x14ac:dyDescent="0.3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</row>
    <row r="118" spans="1:33" x14ac:dyDescent="0.3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</row>
    <row r="119" spans="1:33" x14ac:dyDescent="0.3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</row>
    <row r="120" spans="1:33" x14ac:dyDescent="0.3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</row>
    <row r="121" spans="1:33" x14ac:dyDescent="0.3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</row>
    <row r="122" spans="1:33" x14ac:dyDescent="0.3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</row>
    <row r="123" spans="1:33" x14ac:dyDescent="0.3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</row>
    <row r="124" spans="1:33" x14ac:dyDescent="0.3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8"/>
      <c r="X124" s="5"/>
      <c r="Y124" s="5"/>
      <c r="Z124" s="5"/>
      <c r="AA124" s="5"/>
      <c r="AB124" s="5"/>
      <c r="AC124" s="5"/>
      <c r="AD124" s="5"/>
      <c r="AE124" s="5"/>
      <c r="AF124" s="5"/>
      <c r="AG124" s="5"/>
    </row>
    <row r="125" spans="1:33" x14ac:dyDescent="0.3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8"/>
      <c r="X125" s="5"/>
      <c r="Y125" s="5"/>
      <c r="Z125" s="5"/>
      <c r="AA125" s="5"/>
      <c r="AB125" s="5"/>
      <c r="AC125" s="5"/>
      <c r="AD125" s="5"/>
      <c r="AE125" s="5"/>
      <c r="AF125" s="5"/>
      <c r="AG125" s="5"/>
    </row>
    <row r="126" spans="1:33" x14ac:dyDescent="0.3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</row>
    <row r="127" spans="1:33" x14ac:dyDescent="0.3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</row>
    <row r="128" spans="1:33" x14ac:dyDescent="0.3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8"/>
      <c r="X128" s="5"/>
      <c r="Y128" s="5"/>
      <c r="Z128" s="5"/>
      <c r="AA128" s="5"/>
      <c r="AB128" s="5"/>
      <c r="AC128" s="5"/>
      <c r="AD128" s="5"/>
      <c r="AE128" s="5"/>
      <c r="AF128" s="5"/>
      <c r="AG128" s="5"/>
    </row>
    <row r="129" spans="1:33" x14ac:dyDescent="0.3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</row>
    <row r="130" spans="1:33" x14ac:dyDescent="0.3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</row>
    <row r="131" spans="1:33" x14ac:dyDescent="0.3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</row>
    <row r="132" spans="1:33" x14ac:dyDescent="0.3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</row>
    <row r="133" spans="1:33" x14ac:dyDescent="0.3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8"/>
      <c r="X133" s="5"/>
      <c r="Y133" s="5"/>
      <c r="Z133" s="5"/>
      <c r="AA133" s="5"/>
      <c r="AB133" s="5"/>
      <c r="AC133" s="5"/>
      <c r="AD133" s="5"/>
      <c r="AE133" s="5"/>
      <c r="AF133" s="5"/>
      <c r="AG133" s="5"/>
    </row>
    <row r="134" spans="1:33" x14ac:dyDescent="0.3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</row>
    <row r="135" spans="1:33" x14ac:dyDescent="0.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8"/>
      <c r="X135" s="5"/>
      <c r="Y135" s="5"/>
      <c r="Z135" s="5"/>
      <c r="AA135" s="5"/>
      <c r="AB135" s="5"/>
      <c r="AC135" s="5"/>
      <c r="AD135" s="5"/>
      <c r="AE135" s="5"/>
      <c r="AF135" s="5"/>
      <c r="AG135" s="5"/>
    </row>
    <row r="136" spans="1:33" x14ac:dyDescent="0.3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</row>
    <row r="137" spans="1:33" x14ac:dyDescent="0.3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</row>
    <row r="138" spans="1:33" x14ac:dyDescent="0.3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</row>
    <row r="139" spans="1:33" x14ac:dyDescent="0.3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</row>
    <row r="140" spans="1:33" x14ac:dyDescent="0.3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</row>
    <row r="141" spans="1:33" x14ac:dyDescent="0.3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8"/>
      <c r="X141" s="5"/>
      <c r="Y141" s="5"/>
      <c r="Z141" s="5"/>
      <c r="AA141" s="5"/>
      <c r="AB141" s="5"/>
      <c r="AC141" s="5"/>
      <c r="AD141" s="5"/>
      <c r="AE141" s="5"/>
      <c r="AF141" s="5"/>
      <c r="AG141" s="5"/>
    </row>
    <row r="142" spans="1:33" x14ac:dyDescent="0.3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</row>
    <row r="143" spans="1:33" x14ac:dyDescent="0.3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</row>
    <row r="144" spans="1:33" x14ac:dyDescent="0.3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</row>
    <row r="145" spans="1:33" x14ac:dyDescent="0.3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</row>
    <row r="146" spans="1:33" x14ac:dyDescent="0.3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</row>
    <row r="147" spans="1:33" x14ac:dyDescent="0.3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</row>
    <row r="148" spans="1:33" x14ac:dyDescent="0.3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8"/>
      <c r="X148" s="5"/>
      <c r="Y148" s="5"/>
      <c r="Z148" s="5"/>
      <c r="AA148" s="5"/>
      <c r="AB148" s="5"/>
      <c r="AC148" s="5"/>
      <c r="AD148" s="5"/>
      <c r="AE148" s="5"/>
      <c r="AF148" s="5"/>
      <c r="AG148" s="5"/>
    </row>
    <row r="149" spans="1:33" x14ac:dyDescent="0.3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</row>
    <row r="150" spans="1:33" x14ac:dyDescent="0.3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</row>
    <row r="151" spans="1:33" x14ac:dyDescent="0.3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</row>
    <row r="152" spans="1:33" x14ac:dyDescent="0.3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</row>
    <row r="153" spans="1:33" x14ac:dyDescent="0.3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</row>
    <row r="154" spans="1:33" x14ac:dyDescent="0.3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</row>
    <row r="155" spans="1:33" x14ac:dyDescent="0.3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</row>
    <row r="156" spans="1:33" x14ac:dyDescent="0.3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</row>
    <row r="157" spans="1:33" x14ac:dyDescent="0.3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8"/>
      <c r="X157" s="5"/>
      <c r="Y157" s="5"/>
      <c r="Z157" s="5"/>
      <c r="AA157" s="5"/>
      <c r="AB157" s="5"/>
      <c r="AC157" s="5"/>
      <c r="AD157" s="5"/>
      <c r="AE157" s="5"/>
      <c r="AF157" s="5"/>
      <c r="AG157" s="5"/>
    </row>
    <row r="158" spans="1:33" x14ac:dyDescent="0.3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8"/>
      <c r="X158" s="5"/>
      <c r="Y158" s="5"/>
      <c r="Z158" s="5"/>
      <c r="AA158" s="5"/>
      <c r="AB158" s="5"/>
      <c r="AC158" s="5"/>
      <c r="AD158" s="5"/>
      <c r="AE158" s="5"/>
      <c r="AF158" s="5"/>
      <c r="AG158" s="5"/>
    </row>
    <row r="159" spans="1:33" x14ac:dyDescent="0.3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</row>
    <row r="160" spans="1:33" x14ac:dyDescent="0.3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</row>
    <row r="161" spans="1:33" x14ac:dyDescent="0.3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</row>
    <row r="162" spans="1:33" x14ac:dyDescent="0.3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</row>
    <row r="163" spans="1:33" x14ac:dyDescent="0.3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8"/>
      <c r="X163" s="5"/>
      <c r="Y163" s="5"/>
      <c r="Z163" s="5"/>
      <c r="AA163" s="5"/>
      <c r="AB163" s="5"/>
      <c r="AC163" s="5"/>
      <c r="AD163" s="5"/>
      <c r="AE163" s="5"/>
      <c r="AF163" s="5"/>
      <c r="AG163" s="5"/>
    </row>
    <row r="164" spans="1:33" x14ac:dyDescent="0.3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</row>
    <row r="165" spans="1:33" x14ac:dyDescent="0.3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</row>
    <row r="166" spans="1:33" x14ac:dyDescent="0.3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</row>
    <row r="167" spans="1:33" x14ac:dyDescent="0.3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</row>
    <row r="168" spans="1:33" x14ac:dyDescent="0.3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8"/>
      <c r="X168" s="5"/>
      <c r="Y168" s="5"/>
      <c r="Z168" s="5"/>
      <c r="AA168" s="5"/>
      <c r="AB168" s="5"/>
      <c r="AC168" s="5"/>
      <c r="AD168" s="5"/>
      <c r="AE168" s="5"/>
      <c r="AF168" s="5"/>
      <c r="AG168" s="5"/>
    </row>
    <row r="169" spans="1:33" x14ac:dyDescent="0.3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</row>
    <row r="170" spans="1:33" x14ac:dyDescent="0.3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</row>
    <row r="171" spans="1:33" x14ac:dyDescent="0.3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</row>
    <row r="172" spans="1:33" x14ac:dyDescent="0.3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</row>
    <row r="173" spans="1:33" x14ac:dyDescent="0.3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</row>
    <row r="174" spans="1:33" x14ac:dyDescent="0.3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</row>
    <row r="175" spans="1:33" x14ac:dyDescent="0.3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</row>
    <row r="176" spans="1:33" x14ac:dyDescent="0.3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</row>
    <row r="177" spans="1:33" x14ac:dyDescent="0.3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</row>
    <row r="178" spans="1:33" x14ac:dyDescent="0.3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</row>
    <row r="179" spans="1:33" x14ac:dyDescent="0.3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</row>
    <row r="180" spans="1:33" x14ac:dyDescent="0.3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</row>
    <row r="181" spans="1:33" x14ac:dyDescent="0.3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</row>
    <row r="182" spans="1:33" x14ac:dyDescent="0.3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</row>
    <row r="183" spans="1:33" x14ac:dyDescent="0.3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</row>
    <row r="184" spans="1:33" x14ac:dyDescent="0.3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</row>
    <row r="185" spans="1:33" x14ac:dyDescent="0.3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</row>
    <row r="186" spans="1:33" x14ac:dyDescent="0.3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</row>
    <row r="187" spans="1:33" x14ac:dyDescent="0.3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</row>
    <row r="188" spans="1:33" x14ac:dyDescent="0.3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</row>
    <row r="189" spans="1:33" x14ac:dyDescent="0.3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</row>
    <row r="190" spans="1:33" x14ac:dyDescent="0.3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</row>
    <row r="191" spans="1:33" x14ac:dyDescent="0.3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</row>
    <row r="192" spans="1:33" x14ac:dyDescent="0.3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</row>
    <row r="193" spans="1:33" x14ac:dyDescent="0.3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</row>
    <row r="194" spans="1:33" x14ac:dyDescent="0.3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</row>
    <row r="195" spans="1:33" x14ac:dyDescent="0.3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</row>
    <row r="196" spans="1:33" x14ac:dyDescent="0.3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</row>
    <row r="197" spans="1:33" x14ac:dyDescent="0.3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</row>
    <row r="198" spans="1:33" x14ac:dyDescent="0.3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</row>
    <row r="199" spans="1:33" x14ac:dyDescent="0.3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</row>
    <row r="200" spans="1:33" x14ac:dyDescent="0.3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</row>
    <row r="201" spans="1:33" x14ac:dyDescent="0.3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</row>
    <row r="202" spans="1:33" x14ac:dyDescent="0.3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</row>
    <row r="203" spans="1:33" x14ac:dyDescent="0.3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</row>
    <row r="204" spans="1:33" x14ac:dyDescent="0.3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</row>
    <row r="205" spans="1:33" x14ac:dyDescent="0.3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</row>
    <row r="206" spans="1:33" x14ac:dyDescent="0.3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</row>
    <row r="207" spans="1:33" x14ac:dyDescent="0.3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</row>
    <row r="208" spans="1:33" x14ac:dyDescent="0.3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</row>
    <row r="209" spans="1:33" x14ac:dyDescent="0.3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</row>
    <row r="210" spans="1:33" x14ac:dyDescent="0.3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</row>
    <row r="211" spans="1:33" x14ac:dyDescent="0.3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</row>
    <row r="212" spans="1:33" x14ac:dyDescent="0.3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</row>
    <row r="213" spans="1:33" x14ac:dyDescent="0.3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</row>
    <row r="214" spans="1:33" x14ac:dyDescent="0.3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</row>
    <row r="215" spans="1:33" x14ac:dyDescent="0.3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</row>
    <row r="216" spans="1:33" x14ac:dyDescent="0.3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</row>
    <row r="217" spans="1:33" x14ac:dyDescent="0.3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</row>
    <row r="218" spans="1:33" x14ac:dyDescent="0.3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</row>
    <row r="219" spans="1:33" x14ac:dyDescent="0.3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</row>
    <row r="220" spans="1:33" x14ac:dyDescent="0.3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</row>
    <row r="221" spans="1:33" x14ac:dyDescent="0.3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</row>
    <row r="222" spans="1:33" x14ac:dyDescent="0.3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</row>
    <row r="223" spans="1:33" x14ac:dyDescent="0.3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</row>
    <row r="224" spans="1:33" x14ac:dyDescent="0.3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</row>
    <row r="225" spans="1:33" x14ac:dyDescent="0.3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</row>
    <row r="226" spans="1:33" x14ac:dyDescent="0.3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</row>
    <row r="227" spans="1:33" x14ac:dyDescent="0.3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</row>
    <row r="228" spans="1:33" x14ac:dyDescent="0.3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</row>
    <row r="229" spans="1:33" x14ac:dyDescent="0.3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</row>
    <row r="230" spans="1:33" x14ac:dyDescent="0.3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</row>
    <row r="231" spans="1:33" x14ac:dyDescent="0.3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</row>
    <row r="232" spans="1:33" x14ac:dyDescent="0.3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</row>
    <row r="233" spans="1:33" x14ac:dyDescent="0.3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</row>
    <row r="234" spans="1:33" x14ac:dyDescent="0.3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</row>
    <row r="235" spans="1:33" x14ac:dyDescent="0.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</row>
    <row r="236" spans="1:33" x14ac:dyDescent="0.3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</row>
    <row r="237" spans="1:33" x14ac:dyDescent="0.3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</row>
    <row r="238" spans="1:33" x14ac:dyDescent="0.3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</row>
    <row r="239" spans="1:33" x14ac:dyDescent="0.3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</row>
    <row r="240" spans="1:33" x14ac:dyDescent="0.3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</row>
    <row r="241" spans="1:33" x14ac:dyDescent="0.3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</row>
    <row r="242" spans="1:33" x14ac:dyDescent="0.3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</row>
    <row r="243" spans="1:33" x14ac:dyDescent="0.3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</row>
    <row r="244" spans="1:33" x14ac:dyDescent="0.3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</row>
    <row r="245" spans="1:33" x14ac:dyDescent="0.3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</row>
    <row r="246" spans="1:33" x14ac:dyDescent="0.3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</row>
    <row r="247" spans="1:33" x14ac:dyDescent="0.3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</row>
    <row r="248" spans="1:33" x14ac:dyDescent="0.3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</row>
    <row r="249" spans="1:33" x14ac:dyDescent="0.3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</row>
    <row r="250" spans="1:33" x14ac:dyDescent="0.3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</row>
    <row r="251" spans="1:33" x14ac:dyDescent="0.3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</row>
    <row r="252" spans="1:33" x14ac:dyDescent="0.3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</row>
    <row r="253" spans="1:33" x14ac:dyDescent="0.3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</row>
    <row r="254" spans="1:33" x14ac:dyDescent="0.3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</row>
    <row r="255" spans="1:33" x14ac:dyDescent="0.3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</row>
    <row r="256" spans="1:33" x14ac:dyDescent="0.3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</row>
    <row r="257" spans="1:33" x14ac:dyDescent="0.3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</row>
    <row r="258" spans="1:33" x14ac:dyDescent="0.3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</row>
    <row r="259" spans="1:33" x14ac:dyDescent="0.3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</row>
    <row r="260" spans="1:33" x14ac:dyDescent="0.3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8"/>
      <c r="X260" s="5"/>
      <c r="Y260" s="5"/>
      <c r="Z260" s="5"/>
      <c r="AA260" s="5"/>
      <c r="AB260" s="5"/>
      <c r="AC260" s="5"/>
      <c r="AD260" s="5"/>
      <c r="AE260" s="5"/>
      <c r="AF260" s="5"/>
      <c r="AG260" s="5"/>
    </row>
    <row r="261" spans="1:33" x14ac:dyDescent="0.3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</row>
    <row r="262" spans="1:33" x14ac:dyDescent="0.3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</row>
    <row r="263" spans="1:33" x14ac:dyDescent="0.3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8"/>
      <c r="X263" s="5"/>
      <c r="Y263" s="5"/>
      <c r="Z263" s="5"/>
      <c r="AA263" s="5"/>
      <c r="AB263" s="5"/>
      <c r="AC263" s="5"/>
      <c r="AD263" s="5"/>
      <c r="AE263" s="5"/>
      <c r="AF263" s="5"/>
      <c r="AG263" s="5"/>
    </row>
    <row r="264" spans="1:33" x14ac:dyDescent="0.3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</row>
    <row r="265" spans="1:33" x14ac:dyDescent="0.3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</row>
    <row r="266" spans="1:33" x14ac:dyDescent="0.3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</row>
    <row r="267" spans="1:33" x14ac:dyDescent="0.3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</row>
    <row r="268" spans="1:33" x14ac:dyDescent="0.3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</row>
    <row r="269" spans="1:33" x14ac:dyDescent="0.3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</row>
    <row r="270" spans="1:33" x14ac:dyDescent="0.35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</row>
    <row r="271" spans="1:33" x14ac:dyDescent="0.3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8"/>
      <c r="X271" s="5"/>
      <c r="Y271" s="5"/>
      <c r="Z271" s="5"/>
      <c r="AA271" s="5"/>
      <c r="AB271" s="5"/>
      <c r="AC271" s="5"/>
      <c r="AD271" s="5"/>
      <c r="AE271" s="5"/>
      <c r="AF271" s="5"/>
      <c r="AG271" s="5"/>
    </row>
    <row r="272" spans="1:33" x14ac:dyDescent="0.35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8"/>
      <c r="X272" s="5"/>
      <c r="Y272" s="5"/>
      <c r="Z272" s="5"/>
      <c r="AA272" s="5"/>
      <c r="AB272" s="5"/>
      <c r="AC272" s="5"/>
      <c r="AD272" s="5"/>
      <c r="AE272" s="5"/>
      <c r="AF272" s="5"/>
      <c r="AG272" s="5"/>
    </row>
    <row r="273" spans="1:33" x14ac:dyDescent="0.3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</row>
    <row r="274" spans="1:33" x14ac:dyDescent="0.35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</row>
    <row r="275" spans="1:33" x14ac:dyDescent="0.3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</row>
    <row r="276" spans="1:33" x14ac:dyDescent="0.35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</row>
    <row r="277" spans="1:33" x14ac:dyDescent="0.3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</row>
    <row r="278" spans="1:33" x14ac:dyDescent="0.35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</row>
    <row r="279" spans="1:33" x14ac:dyDescent="0.3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</row>
    <row r="280" spans="1:33" x14ac:dyDescent="0.35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</row>
    <row r="281" spans="1:33" x14ac:dyDescent="0.35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</row>
    <row r="282" spans="1:33" x14ac:dyDescent="0.35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</row>
    <row r="283" spans="1:33" x14ac:dyDescent="0.35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</row>
    <row r="284" spans="1:33" x14ac:dyDescent="0.35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</row>
    <row r="285" spans="1:33" x14ac:dyDescent="0.3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</row>
    <row r="286" spans="1:33" x14ac:dyDescent="0.35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8"/>
      <c r="X286" s="5"/>
      <c r="Y286" s="5"/>
      <c r="Z286" s="5"/>
      <c r="AA286" s="5"/>
      <c r="AB286" s="5"/>
      <c r="AC286" s="5"/>
      <c r="AD286" s="5"/>
      <c r="AE286" s="5"/>
      <c r="AF286" s="5"/>
      <c r="AG286" s="5"/>
    </row>
    <row r="287" spans="1:33" x14ac:dyDescent="0.35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</row>
    <row r="288" spans="1:33" x14ac:dyDescent="0.35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</row>
    <row r="289" spans="1:33" x14ac:dyDescent="0.35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</row>
    <row r="290" spans="1:33" x14ac:dyDescent="0.35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</row>
    <row r="291" spans="1:33" x14ac:dyDescent="0.35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</row>
    <row r="292" spans="1:33" x14ac:dyDescent="0.35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</row>
    <row r="293" spans="1:33" x14ac:dyDescent="0.35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8"/>
      <c r="X293" s="5"/>
      <c r="Y293" s="5"/>
      <c r="Z293" s="5"/>
      <c r="AA293" s="5"/>
      <c r="AB293" s="5"/>
      <c r="AC293" s="5"/>
      <c r="AD293" s="5"/>
      <c r="AE293" s="5"/>
      <c r="AF293" s="5"/>
      <c r="AG293" s="5"/>
    </row>
    <row r="294" spans="1:33" x14ac:dyDescent="0.35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</row>
    <row r="295" spans="1:33" x14ac:dyDescent="0.3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</row>
    <row r="296" spans="1:33" x14ac:dyDescent="0.3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</row>
    <row r="297" spans="1:33" x14ac:dyDescent="0.3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</row>
    <row r="298" spans="1:33" x14ac:dyDescent="0.35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</row>
    <row r="299" spans="1:33" x14ac:dyDescent="0.35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</row>
    <row r="300" spans="1:33" x14ac:dyDescent="0.35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</row>
    <row r="301" spans="1:33" x14ac:dyDescent="0.3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</row>
    <row r="302" spans="1:33" x14ac:dyDescent="0.35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</row>
    <row r="303" spans="1:33" x14ac:dyDescent="0.35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</row>
    <row r="304" spans="1:33" x14ac:dyDescent="0.35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</row>
    <row r="305" spans="1:33" x14ac:dyDescent="0.3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</row>
    <row r="306" spans="1:33" x14ac:dyDescent="0.35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</row>
    <row r="307" spans="1:33" x14ac:dyDescent="0.35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</row>
    <row r="308" spans="1:33" x14ac:dyDescent="0.35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</row>
    <row r="309" spans="1:33" x14ac:dyDescent="0.35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</row>
    <row r="310" spans="1:33" x14ac:dyDescent="0.35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</row>
    <row r="311" spans="1:33" x14ac:dyDescent="0.35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</row>
    <row r="312" spans="1:33" x14ac:dyDescent="0.35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</row>
    <row r="313" spans="1:33" x14ac:dyDescent="0.35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</row>
    <row r="314" spans="1:33" x14ac:dyDescent="0.35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</row>
    <row r="315" spans="1:33" x14ac:dyDescent="0.3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</row>
    <row r="316" spans="1:33" x14ac:dyDescent="0.35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</row>
    <row r="317" spans="1:33" x14ac:dyDescent="0.35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</row>
    <row r="318" spans="1:33" x14ac:dyDescent="0.35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</row>
    <row r="319" spans="1:33" x14ac:dyDescent="0.35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</row>
    <row r="320" spans="1:33" x14ac:dyDescent="0.35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</row>
    <row r="321" spans="1:33" x14ac:dyDescent="0.35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</row>
    <row r="322" spans="1:33" x14ac:dyDescent="0.35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</row>
    <row r="323" spans="1:33" x14ac:dyDescent="0.35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</row>
    <row r="324" spans="1:33" x14ac:dyDescent="0.35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</row>
    <row r="325" spans="1:33" x14ac:dyDescent="0.3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</row>
    <row r="326" spans="1:33" x14ac:dyDescent="0.35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</row>
    <row r="327" spans="1:33" x14ac:dyDescent="0.35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</row>
    <row r="328" spans="1:33" x14ac:dyDescent="0.35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</row>
    <row r="329" spans="1:33" x14ac:dyDescent="0.35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</row>
    <row r="330" spans="1:33" x14ac:dyDescent="0.35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</row>
    <row r="331" spans="1:33" x14ac:dyDescent="0.35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</row>
    <row r="332" spans="1:33" x14ac:dyDescent="0.35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</row>
    <row r="333" spans="1:33" x14ac:dyDescent="0.35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</row>
    <row r="334" spans="1:33" x14ac:dyDescent="0.35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</row>
    <row r="335" spans="1:33" x14ac:dyDescent="0.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</row>
    <row r="336" spans="1:33" x14ac:dyDescent="0.35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</row>
    <row r="337" spans="1:33" x14ac:dyDescent="0.35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</row>
    <row r="338" spans="1:33" x14ac:dyDescent="0.35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</row>
    <row r="339" spans="1:33" x14ac:dyDescent="0.3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</row>
    <row r="340" spans="1:33" x14ac:dyDescent="0.35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</row>
    <row r="341" spans="1:33" x14ac:dyDescent="0.35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</row>
    <row r="342" spans="1:33" x14ac:dyDescent="0.35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</row>
    <row r="343" spans="1:33" x14ac:dyDescent="0.35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</row>
    <row r="344" spans="1:33" x14ac:dyDescent="0.35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</row>
    <row r="345" spans="1:33" x14ac:dyDescent="0.3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</row>
    <row r="346" spans="1:33" x14ac:dyDescent="0.35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</row>
    <row r="347" spans="1:33" x14ac:dyDescent="0.35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</row>
    <row r="348" spans="1:33" x14ac:dyDescent="0.35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</row>
    <row r="349" spans="1:33" x14ac:dyDescent="0.35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</row>
    <row r="350" spans="1:33" x14ac:dyDescent="0.35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</row>
    <row r="351" spans="1:33" x14ac:dyDescent="0.35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</row>
    <row r="352" spans="1:33" x14ac:dyDescent="0.35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</row>
    <row r="353" spans="1:33" x14ac:dyDescent="0.35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</row>
    <row r="354" spans="1:33" x14ac:dyDescent="0.35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</row>
    <row r="355" spans="1:33" x14ac:dyDescent="0.3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</row>
    <row r="356" spans="1:33" x14ac:dyDescent="0.35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</row>
    <row r="357" spans="1:33" x14ac:dyDescent="0.35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</row>
    <row r="358" spans="1:33" x14ac:dyDescent="0.35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</row>
    <row r="359" spans="1:33" x14ac:dyDescent="0.35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</row>
    <row r="360" spans="1:33" x14ac:dyDescent="0.35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</row>
    <row r="361" spans="1:33" x14ac:dyDescent="0.35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</row>
    <row r="362" spans="1:33" x14ac:dyDescent="0.35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</row>
    <row r="363" spans="1:33" x14ac:dyDescent="0.35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</row>
    <row r="364" spans="1:33" x14ac:dyDescent="0.35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</row>
    <row r="365" spans="1:33" x14ac:dyDescent="0.3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</row>
    <row r="366" spans="1:33" x14ac:dyDescent="0.35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</row>
    <row r="367" spans="1:33" x14ac:dyDescent="0.35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</row>
    <row r="368" spans="1:33" x14ac:dyDescent="0.35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</row>
    <row r="369" spans="1:33" x14ac:dyDescent="0.35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</row>
    <row r="370" spans="1:33" x14ac:dyDescent="0.35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</row>
    <row r="371" spans="1:33" x14ac:dyDescent="0.35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</row>
    <row r="372" spans="1:33" x14ac:dyDescent="0.35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</row>
    <row r="373" spans="1:33" x14ac:dyDescent="0.35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</row>
    <row r="374" spans="1:33" x14ac:dyDescent="0.35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</row>
    <row r="375" spans="1:33" x14ac:dyDescent="0.3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</row>
    <row r="376" spans="1:33" x14ac:dyDescent="0.35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</row>
    <row r="377" spans="1:33" x14ac:dyDescent="0.35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</row>
    <row r="378" spans="1:33" x14ac:dyDescent="0.35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</row>
    <row r="379" spans="1:33" x14ac:dyDescent="0.35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</row>
    <row r="380" spans="1:33" x14ac:dyDescent="0.35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</row>
    <row r="381" spans="1:33" x14ac:dyDescent="0.35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</row>
    <row r="382" spans="1:33" x14ac:dyDescent="0.3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</row>
    <row r="383" spans="1:33" x14ac:dyDescent="0.3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</row>
    <row r="384" spans="1:33" x14ac:dyDescent="0.35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</row>
    <row r="385" spans="1:33" x14ac:dyDescent="0.3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68363-0C03-4650-9870-E2F8C82F9730}">
  <dimension ref="A1:AX21"/>
  <sheetViews>
    <sheetView workbookViewId="0">
      <pane ySplit="1" topLeftCell="A2" activePane="bottomLeft" state="frozenSplit"/>
      <selection pane="bottomLeft"/>
    </sheetView>
  </sheetViews>
  <sheetFormatPr baseColWidth="10" defaultRowHeight="14.5" x14ac:dyDescent="0.35"/>
  <cols>
    <col min="1" max="1" width="8.6328125" style="13" customWidth="1"/>
    <col min="2" max="2" width="7.6328125" style="13" customWidth="1"/>
    <col min="3" max="3" width="12.6328125" style="13" customWidth="1"/>
    <col min="4" max="4" width="13.6328125" style="13" customWidth="1"/>
    <col min="5" max="5" width="25.6328125" style="24" customWidth="1"/>
    <col min="6" max="6" width="13.6328125" style="13" customWidth="1"/>
    <col min="7" max="7" width="25.6328125" style="24" customWidth="1"/>
    <col min="8" max="8" width="13.6328125" style="13" customWidth="1"/>
    <col min="9" max="11" width="25.6328125" style="24" customWidth="1"/>
    <col min="12" max="12" width="13.6328125" style="13" customWidth="1"/>
    <col min="13" max="13" width="25.6328125" style="24" customWidth="1"/>
    <col min="14" max="14" width="13.6328125" style="13" customWidth="1"/>
    <col min="15" max="16" width="30.6328125" style="24" customWidth="1"/>
    <col min="17" max="17" width="25.6328125" style="24" customWidth="1"/>
    <col min="18" max="18" width="13.6328125" style="13" customWidth="1"/>
    <col min="19" max="19" width="13.6328125" style="19" customWidth="1"/>
    <col min="20" max="21" width="13.6328125" style="13" customWidth="1"/>
    <col min="22" max="23" width="12.6328125" style="13" customWidth="1"/>
    <col min="24" max="24" width="40.6328125" style="24" customWidth="1"/>
    <col min="25" max="25" width="15.6328125" style="23" customWidth="1"/>
    <col min="26" max="26" width="25.6328125" style="24" customWidth="1"/>
    <col min="27" max="27" width="15.6328125" style="23" customWidth="1"/>
    <col min="28" max="28" width="25.6328125" style="24" customWidth="1"/>
    <col min="29" max="29" width="15.6328125" style="23" customWidth="1"/>
    <col min="30" max="30" width="25.6328125" style="24" customWidth="1"/>
    <col min="31" max="31" width="15.6328125" style="23" customWidth="1"/>
    <col min="32" max="32" width="25.6328125" style="24" customWidth="1"/>
    <col min="33" max="33" width="15.6328125" style="23" customWidth="1"/>
    <col min="34" max="34" width="25.6328125" style="24" customWidth="1"/>
    <col min="35" max="35" width="15.6328125" style="23" customWidth="1"/>
    <col min="36" max="36" width="25.6328125" style="24" customWidth="1"/>
    <col min="37" max="37" width="15.6328125" style="23" customWidth="1"/>
    <col min="38" max="38" width="25.6328125" style="24" customWidth="1"/>
    <col min="39" max="39" width="15.6328125" style="23" customWidth="1"/>
    <col min="40" max="40" width="25.6328125" style="24" customWidth="1"/>
    <col min="41" max="41" width="15.6328125" style="23" customWidth="1"/>
    <col min="42" max="42" width="25.6328125" style="24" customWidth="1"/>
    <col min="43" max="43" width="15.6328125" style="23" customWidth="1"/>
    <col min="44" max="44" width="25.6328125" style="24" customWidth="1"/>
    <col min="45" max="45" width="15.6328125" style="23" customWidth="1"/>
    <col min="46" max="46" width="25.6328125" style="24" customWidth="1"/>
    <col min="47" max="47" width="15.6328125" style="23" customWidth="1"/>
    <col min="48" max="48" width="25.6328125" style="24" customWidth="1"/>
    <col min="49" max="49" width="9.6328125" style="23" customWidth="1"/>
    <col min="50" max="50" width="15.6328125" style="24" customWidth="1"/>
    <col min="51" max="16384" width="10.90625" style="13"/>
  </cols>
  <sheetData>
    <row r="1" spans="1:50" ht="43.5" x14ac:dyDescent="0.35">
      <c r="A1" s="10" t="s">
        <v>2</v>
      </c>
      <c r="B1" s="10" t="s">
        <v>3</v>
      </c>
      <c r="C1" s="11" t="s">
        <v>4</v>
      </c>
      <c r="D1" s="10" t="s">
        <v>5</v>
      </c>
      <c r="E1" s="10" t="s">
        <v>6</v>
      </c>
      <c r="F1" s="10" t="s">
        <v>7</v>
      </c>
      <c r="G1" s="10" t="s">
        <v>8</v>
      </c>
      <c r="H1" s="10" t="s">
        <v>9</v>
      </c>
      <c r="I1" s="10" t="s">
        <v>10</v>
      </c>
      <c r="J1" s="10" t="s">
        <v>11</v>
      </c>
      <c r="K1" s="10" t="s">
        <v>12</v>
      </c>
      <c r="L1" s="10" t="s">
        <v>13</v>
      </c>
      <c r="M1" s="10" t="s">
        <v>14</v>
      </c>
      <c r="N1" s="10" t="s">
        <v>3</v>
      </c>
      <c r="O1" s="10" t="s">
        <v>15</v>
      </c>
      <c r="P1" s="10" t="s">
        <v>16</v>
      </c>
      <c r="Q1" s="10" t="s">
        <v>17</v>
      </c>
      <c r="R1" s="10" t="s">
        <v>18</v>
      </c>
      <c r="S1" s="10" t="s">
        <v>19</v>
      </c>
      <c r="T1" s="10" t="s">
        <v>20</v>
      </c>
      <c r="U1" s="10" t="s">
        <v>21</v>
      </c>
      <c r="V1" s="11" t="s">
        <v>22</v>
      </c>
      <c r="W1" s="11" t="s">
        <v>23</v>
      </c>
      <c r="X1" s="10" t="s">
        <v>24</v>
      </c>
      <c r="Y1" s="12" t="s">
        <v>25</v>
      </c>
      <c r="Z1" s="12" t="s">
        <v>26</v>
      </c>
      <c r="AA1" s="12" t="s">
        <v>27</v>
      </c>
      <c r="AB1" s="12" t="s">
        <v>28</v>
      </c>
      <c r="AC1" s="12" t="s">
        <v>29</v>
      </c>
      <c r="AD1" s="12" t="s">
        <v>30</v>
      </c>
      <c r="AE1" s="12" t="s">
        <v>31</v>
      </c>
      <c r="AF1" s="12" t="s">
        <v>32</v>
      </c>
      <c r="AG1" s="12" t="s">
        <v>33</v>
      </c>
      <c r="AH1" s="12" t="s">
        <v>34</v>
      </c>
      <c r="AI1" s="12" t="s">
        <v>35</v>
      </c>
      <c r="AJ1" s="12" t="s">
        <v>36</v>
      </c>
      <c r="AK1" s="12" t="s">
        <v>37</v>
      </c>
      <c r="AL1" s="12" t="s">
        <v>38</v>
      </c>
      <c r="AM1" s="12" t="s">
        <v>39</v>
      </c>
      <c r="AN1" s="12" t="s">
        <v>40</v>
      </c>
      <c r="AO1" s="12" t="s">
        <v>41</v>
      </c>
      <c r="AP1" s="12" t="s">
        <v>42</v>
      </c>
      <c r="AQ1" s="12" t="s">
        <v>43</v>
      </c>
      <c r="AR1" s="12" t="s">
        <v>44</v>
      </c>
      <c r="AS1" s="12" t="s">
        <v>45</v>
      </c>
      <c r="AT1" s="12" t="s">
        <v>46</v>
      </c>
      <c r="AU1" s="12" t="s">
        <v>47</v>
      </c>
      <c r="AV1" s="12" t="s">
        <v>48</v>
      </c>
      <c r="AW1" s="10" t="s">
        <v>49</v>
      </c>
      <c r="AX1" s="10" t="s">
        <v>50</v>
      </c>
    </row>
    <row r="2" spans="1:50" ht="87" x14ac:dyDescent="0.35">
      <c r="A2" s="14" t="s">
        <v>51</v>
      </c>
      <c r="B2" s="14" t="s">
        <v>52</v>
      </c>
      <c r="C2" s="15">
        <v>43152.5</v>
      </c>
      <c r="D2" s="14" t="s">
        <v>53</v>
      </c>
      <c r="E2" s="16" t="s">
        <v>54</v>
      </c>
      <c r="F2" s="14" t="s">
        <v>55</v>
      </c>
      <c r="G2" s="16" t="s">
        <v>56</v>
      </c>
      <c r="H2" s="14" t="s">
        <v>57</v>
      </c>
      <c r="I2" s="16" t="s">
        <v>56</v>
      </c>
      <c r="J2" s="16" t="s">
        <v>58</v>
      </c>
      <c r="K2" s="16" t="s">
        <v>59</v>
      </c>
      <c r="L2" s="14" t="s">
        <v>60</v>
      </c>
      <c r="M2" s="16" t="s">
        <v>61</v>
      </c>
      <c r="N2" s="14" t="s">
        <v>62</v>
      </c>
      <c r="O2" s="16" t="s">
        <v>63</v>
      </c>
      <c r="P2" s="16" t="s">
        <v>63</v>
      </c>
      <c r="Q2" s="16" t="s">
        <v>64</v>
      </c>
      <c r="R2" s="14" t="s">
        <v>65</v>
      </c>
      <c r="S2" s="14" t="s">
        <v>66</v>
      </c>
      <c r="T2" s="14" t="s">
        <v>67</v>
      </c>
      <c r="U2" s="14" t="s">
        <v>68</v>
      </c>
      <c r="V2" s="15">
        <v>40725</v>
      </c>
      <c r="W2" s="15"/>
      <c r="X2" s="16" t="s">
        <v>69</v>
      </c>
      <c r="Y2" s="17" t="s">
        <v>70</v>
      </c>
      <c r="Z2" s="18" t="str">
        <f>VLOOKUP(Y2,'Axe 2 Règles de gestion'!$D$2:$F$13,3, FALSE)</f>
        <v>La date de début des services doit être postérieure ou égale à la date d'entrée dans la FPE ou dans la carrière militaire.</v>
      </c>
      <c r="AA2" s="17" t="s">
        <v>72</v>
      </c>
      <c r="AB2" s="18" t="str">
        <f>VLOOKUP(AA2,'Axe 2 Règles de gestion'!$D$2:$F$13,3, FALSE)</f>
        <v>La date de fin des services doit être antérieure ou égale à la date limite de départ à la retraite.</v>
      </c>
      <c r="AC2" s="17" t="s">
        <v>74</v>
      </c>
      <c r="AD2" s="18" t="str">
        <f>VLOOKUP(AC2,'Axe 2 Règles de gestion'!$D$2:$F$13,3, FALSE)</f>
        <v>La date de fin des services doit être postérieure ou égale à la date de début.</v>
      </c>
      <c r="AE2" s="17" t="s">
        <v>76</v>
      </c>
      <c r="AF2" s="18" t="str">
        <f>VLOOKUP(AE2,'Axe 2 Règles de gestion'!$D$2:$F$13,3, FALSE)</f>
        <v>Si le pays ou territoire pour campagne est renseigné, alors le pays ou territoire hors d'Europe ne doit pas être renseigné.</v>
      </c>
      <c r="AG2" s="17" t="s">
        <v>78</v>
      </c>
      <c r="AH2" s="18" t="str">
        <f>VLOOKUP(AG2,'Axe 2 Règles de gestion'!$D$2:$F$13,3, FALSE)</f>
        <v>Si le pays ou territoire hors d'Europe est renseigné, alors le pays ou territoire pour campagne ne doit pas être renseigné.</v>
      </c>
      <c r="AI2" s="17" t="s">
        <v>80</v>
      </c>
      <c r="AJ2" s="18" t="str">
        <f>VLOOKUP(AI2,'Axe 2 Règles de gestion'!$D$2:$F$13,3, FALSE)</f>
        <v>Le pays ou territoire pour campagne ou le pays ou territoire hors d'Europe doit être saisi.</v>
      </c>
      <c r="AK2" s="17" t="s">
        <v>82</v>
      </c>
      <c r="AL2" s="18" t="str">
        <f>VLOOKUP(AK2,'Axe 2 Règles de gestion'!$D$2:$F$13,3, FALSE)</f>
        <v>La date de début de congé rémunéré passé hors du territoire d'exercice doit être postérieure ou égale à la date d'entrée dans la FPE ou dans la carrière militaire.</v>
      </c>
      <c r="AM2" s="17" t="s">
        <v>84</v>
      </c>
      <c r="AN2" s="18" t="str">
        <f>VLOOKUP(AM2,'Axe 2 Règles de gestion'!$D$2:$F$13,3, FALSE)</f>
        <v>La date de fin de congé rémunéré passé hors du territoire d'exercice doit être antérieure ou égale à la date limite de départ à la retraite.</v>
      </c>
      <c r="AO2" s="17" t="s">
        <v>86</v>
      </c>
      <c r="AP2" s="18" t="str">
        <f>VLOOKUP(AO2,'Axe 2 Règles de gestion'!$D$2:$F$13,3, FALSE)</f>
        <v>La date de fin de congé rémunéré passé hors du territoire d'exercice doit être postérieure ou égale à la date de début.</v>
      </c>
      <c r="AQ2" s="17" t="s">
        <v>88</v>
      </c>
      <c r="AR2" s="18" t="str">
        <f>VLOOKUP(AQ2,'Axe 2 Règles de gestion'!$D$2:$F$13,3, FALSE)</f>
        <v>La date de début de congé rémunéré passé hors du territoire d'exercice doit être postérieure ou égale à la date de début des services</v>
      </c>
      <c r="AS2" s="17" t="s">
        <v>90</v>
      </c>
      <c r="AT2" s="18" t="str">
        <f>VLOOKUP(AS2,'Axe 2 Règles de gestion'!$D$2:$F$13,3, FALSE)</f>
        <v>La date de fin de congé rémunéré passé hors du territoire d'exercice doit être antérieure ou égale à la date de fin des services</v>
      </c>
      <c r="AU2" s="17" t="s">
        <v>92</v>
      </c>
      <c r="AV2" s="18" t="str">
        <f>VLOOKUP(AU2,'Axe 2 Règles de gestion'!$D$2:$F$13,3, FALSE)</f>
        <v>L'agent exerce ses fonctions hors d'Europe.</v>
      </c>
      <c r="AW2" s="14" t="s">
        <v>63</v>
      </c>
      <c r="AX2" s="16" t="s">
        <v>63</v>
      </c>
    </row>
    <row r="3" spans="1:50" ht="72.5" x14ac:dyDescent="0.35">
      <c r="A3" s="14" t="s">
        <v>51</v>
      </c>
      <c r="B3" s="14" t="s">
        <v>52</v>
      </c>
      <c r="C3" s="15">
        <v>43152.5</v>
      </c>
      <c r="D3" s="14" t="s">
        <v>53</v>
      </c>
      <c r="E3" s="16" t="s">
        <v>54</v>
      </c>
      <c r="F3" s="14" t="s">
        <v>55</v>
      </c>
      <c r="G3" s="16" t="s">
        <v>56</v>
      </c>
      <c r="H3" s="14" t="s">
        <v>57</v>
      </c>
      <c r="I3" s="16" t="s">
        <v>56</v>
      </c>
      <c r="J3" s="16" t="s">
        <v>58</v>
      </c>
      <c r="K3" s="16" t="s">
        <v>59</v>
      </c>
      <c r="L3" s="14" t="s">
        <v>94</v>
      </c>
      <c r="M3" s="16" t="s">
        <v>95</v>
      </c>
      <c r="N3" s="14" t="s">
        <v>96</v>
      </c>
      <c r="O3" s="16" t="s">
        <v>63</v>
      </c>
      <c r="P3" s="16" t="s">
        <v>63</v>
      </c>
      <c r="Q3" s="16" t="s">
        <v>64</v>
      </c>
      <c r="R3" s="14" t="s">
        <v>65</v>
      </c>
      <c r="S3" s="14" t="s">
        <v>66</v>
      </c>
      <c r="T3" s="14" t="s">
        <v>67</v>
      </c>
      <c r="U3" s="14" t="s">
        <v>68</v>
      </c>
      <c r="V3" s="15">
        <v>40725</v>
      </c>
      <c r="W3" s="15"/>
      <c r="X3" s="16" t="s">
        <v>97</v>
      </c>
      <c r="Y3" s="17" t="s">
        <v>72</v>
      </c>
      <c r="Z3" s="18" t="str">
        <f>VLOOKUP(Y3,'Axe 2 Règles de gestion'!$D$2:$F$13,3, FALSE)</f>
        <v>La date de fin des services doit être antérieure ou égale à la date limite de départ à la retraite.</v>
      </c>
      <c r="AA3" s="17" t="s">
        <v>74</v>
      </c>
      <c r="AB3" s="18" t="str">
        <f>VLOOKUP(AA3,'Axe 2 Règles de gestion'!$D$2:$F$13,3, FALSE)</f>
        <v>La date de fin des services doit être postérieure ou égale à la date de début.</v>
      </c>
      <c r="AC3" s="17" t="s">
        <v>76</v>
      </c>
      <c r="AD3" s="18" t="str">
        <f>VLOOKUP(AC3,'Axe 2 Règles de gestion'!$D$2:$F$13,3, FALSE)</f>
        <v>Si le pays ou territoire pour campagne est renseigné, alors le pays ou territoire hors d'Europe ne doit pas être renseigné.</v>
      </c>
      <c r="AE3" s="17" t="s">
        <v>78</v>
      </c>
      <c r="AF3" s="18" t="str">
        <f>VLOOKUP(AE3,'Axe 2 Règles de gestion'!$D$2:$F$13,3, FALSE)</f>
        <v>Si le pays ou territoire hors d'Europe est renseigné, alors le pays ou territoire pour campagne ne doit pas être renseigné.</v>
      </c>
      <c r="AG3" s="17" t="s">
        <v>80</v>
      </c>
      <c r="AH3" s="18" t="str">
        <f>VLOOKUP(AG3,'Axe 2 Règles de gestion'!$D$2:$F$13,3, FALSE)</f>
        <v>Le pays ou territoire pour campagne ou le pays ou territoire hors d'Europe doit être saisi.</v>
      </c>
      <c r="AI3" s="17" t="s">
        <v>84</v>
      </c>
      <c r="AJ3" s="18" t="str">
        <f>VLOOKUP(AI3,'Axe 2 Règles de gestion'!$D$2:$F$13,3, FALSE)</f>
        <v>La date de fin de congé rémunéré passé hors du territoire d'exercice doit être antérieure ou égale à la date limite de départ à la retraite.</v>
      </c>
      <c r="AK3" s="17" t="s">
        <v>86</v>
      </c>
      <c r="AL3" s="18" t="str">
        <f>VLOOKUP(AK3,'Axe 2 Règles de gestion'!$D$2:$F$13,3, FALSE)</f>
        <v>La date de fin de congé rémunéré passé hors du territoire d'exercice doit être postérieure ou égale à la date de début.</v>
      </c>
      <c r="AM3" s="17" t="s">
        <v>90</v>
      </c>
      <c r="AN3" s="18" t="str">
        <f>VLOOKUP(AM3,'Axe 2 Règles de gestion'!$D$2:$F$13,3, FALSE)</f>
        <v>La date de fin de congé rémunéré passé hors du territoire d'exercice doit être antérieure ou égale à la date de fin des services</v>
      </c>
      <c r="AO3" s="17" t="s">
        <v>92</v>
      </c>
      <c r="AP3" s="18" t="str">
        <f>VLOOKUP(AO3,'Axe 2 Règles de gestion'!$D$2:$F$13,3, FALSE)</f>
        <v>L'agent exerce ses fonctions hors d'Europe.</v>
      </c>
      <c r="AQ3" s="17"/>
      <c r="AR3" s="18"/>
      <c r="AS3" s="17"/>
      <c r="AT3" s="18"/>
      <c r="AU3" s="17"/>
      <c r="AV3" s="18"/>
      <c r="AW3" s="14" t="s">
        <v>63</v>
      </c>
      <c r="AX3" s="16" t="s">
        <v>63</v>
      </c>
    </row>
    <row r="4" spans="1:50" ht="29" x14ac:dyDescent="0.35">
      <c r="A4" s="14" t="s">
        <v>51</v>
      </c>
      <c r="B4" s="14" t="s">
        <v>52</v>
      </c>
      <c r="C4" s="15">
        <v>43152.5</v>
      </c>
      <c r="D4" s="14" t="s">
        <v>53</v>
      </c>
      <c r="E4" s="16" t="s">
        <v>54</v>
      </c>
      <c r="F4" s="14" t="s">
        <v>55</v>
      </c>
      <c r="G4" s="16" t="s">
        <v>56</v>
      </c>
      <c r="H4" s="14" t="s">
        <v>57</v>
      </c>
      <c r="I4" s="16" t="s">
        <v>56</v>
      </c>
      <c r="J4" s="16" t="s">
        <v>58</v>
      </c>
      <c r="K4" s="16" t="s">
        <v>59</v>
      </c>
      <c r="L4" s="14" t="s">
        <v>60</v>
      </c>
      <c r="M4" s="16" t="s">
        <v>61</v>
      </c>
      <c r="N4" s="14" t="s">
        <v>62</v>
      </c>
      <c r="O4" s="16" t="s">
        <v>63</v>
      </c>
      <c r="P4" s="16" t="s">
        <v>63</v>
      </c>
      <c r="Q4" s="16" t="s">
        <v>98</v>
      </c>
      <c r="R4" s="14" t="s">
        <v>99</v>
      </c>
      <c r="S4" s="14" t="s">
        <v>100</v>
      </c>
      <c r="T4" s="14" t="s">
        <v>67</v>
      </c>
      <c r="U4" s="14" t="s">
        <v>101</v>
      </c>
      <c r="V4" s="15">
        <v>40725</v>
      </c>
      <c r="W4" s="15"/>
      <c r="X4" s="16" t="s">
        <v>63</v>
      </c>
      <c r="Y4" s="17"/>
      <c r="Z4" s="18"/>
      <c r="AA4" s="17"/>
      <c r="AB4" s="18"/>
      <c r="AC4" s="17"/>
      <c r="AD4" s="18"/>
      <c r="AE4" s="17"/>
      <c r="AF4" s="18"/>
      <c r="AG4" s="17"/>
      <c r="AH4" s="18"/>
      <c r="AI4" s="17"/>
      <c r="AJ4" s="18"/>
      <c r="AK4" s="17"/>
      <c r="AL4" s="18"/>
      <c r="AM4" s="17"/>
      <c r="AN4" s="18"/>
      <c r="AO4" s="17"/>
      <c r="AP4" s="18"/>
      <c r="AQ4" s="17"/>
      <c r="AR4" s="18"/>
      <c r="AS4" s="17"/>
      <c r="AT4" s="18"/>
      <c r="AU4" s="17"/>
      <c r="AV4" s="18"/>
      <c r="AW4" s="14" t="s">
        <v>63</v>
      </c>
      <c r="AX4" s="16" t="s">
        <v>63</v>
      </c>
    </row>
    <row r="5" spans="1:50" ht="29" x14ac:dyDescent="0.35">
      <c r="A5" s="14" t="s">
        <v>51</v>
      </c>
      <c r="B5" s="14" t="s">
        <v>52</v>
      </c>
      <c r="C5" s="15">
        <v>43152.5</v>
      </c>
      <c r="D5" s="14" t="s">
        <v>53</v>
      </c>
      <c r="E5" s="16" t="s">
        <v>54</v>
      </c>
      <c r="F5" s="14" t="s">
        <v>55</v>
      </c>
      <c r="G5" s="16" t="s">
        <v>56</v>
      </c>
      <c r="H5" s="14" t="s">
        <v>57</v>
      </c>
      <c r="I5" s="16" t="s">
        <v>56</v>
      </c>
      <c r="J5" s="16" t="s">
        <v>58</v>
      </c>
      <c r="K5" s="16" t="s">
        <v>59</v>
      </c>
      <c r="L5" s="14" t="s">
        <v>94</v>
      </c>
      <c r="M5" s="16" t="s">
        <v>95</v>
      </c>
      <c r="N5" s="14" t="s">
        <v>96</v>
      </c>
      <c r="O5" s="16" t="s">
        <v>63</v>
      </c>
      <c r="P5" s="16" t="s">
        <v>63</v>
      </c>
      <c r="Q5" s="16" t="s">
        <v>98</v>
      </c>
      <c r="R5" s="14" t="s">
        <v>99</v>
      </c>
      <c r="S5" s="14" t="s">
        <v>100</v>
      </c>
      <c r="T5" s="14" t="s">
        <v>67</v>
      </c>
      <c r="U5" s="14" t="s">
        <v>101</v>
      </c>
      <c r="V5" s="15">
        <v>40725</v>
      </c>
      <c r="W5" s="15"/>
      <c r="X5" s="16" t="s">
        <v>63</v>
      </c>
      <c r="Y5" s="17"/>
      <c r="Z5" s="18"/>
      <c r="AA5" s="17"/>
      <c r="AB5" s="18"/>
      <c r="AC5" s="17"/>
      <c r="AD5" s="18"/>
      <c r="AE5" s="17"/>
      <c r="AF5" s="18"/>
      <c r="AG5" s="17"/>
      <c r="AH5" s="18"/>
      <c r="AI5" s="17"/>
      <c r="AJ5" s="18"/>
      <c r="AK5" s="17"/>
      <c r="AL5" s="18"/>
      <c r="AM5" s="17"/>
      <c r="AN5" s="18"/>
      <c r="AO5" s="17"/>
      <c r="AP5" s="18"/>
      <c r="AQ5" s="17"/>
      <c r="AR5" s="18"/>
      <c r="AS5" s="17"/>
      <c r="AT5" s="18"/>
      <c r="AU5" s="17"/>
      <c r="AV5" s="18"/>
      <c r="AW5" s="14" t="s">
        <v>63</v>
      </c>
      <c r="AX5" s="16" t="s">
        <v>63</v>
      </c>
    </row>
    <row r="6" spans="1:50" ht="87" x14ac:dyDescent="0.35">
      <c r="A6" s="14" t="s">
        <v>51</v>
      </c>
      <c r="B6" s="14" t="s">
        <v>52</v>
      </c>
      <c r="C6" s="15">
        <v>43152.5</v>
      </c>
      <c r="D6" s="14" t="s">
        <v>53</v>
      </c>
      <c r="E6" s="16" t="s">
        <v>54</v>
      </c>
      <c r="F6" s="14" t="s">
        <v>55</v>
      </c>
      <c r="G6" s="16" t="s">
        <v>56</v>
      </c>
      <c r="H6" s="14" t="s">
        <v>57</v>
      </c>
      <c r="I6" s="16" t="s">
        <v>56</v>
      </c>
      <c r="J6" s="16" t="s">
        <v>58</v>
      </c>
      <c r="K6" s="16" t="s">
        <v>59</v>
      </c>
      <c r="L6" s="14" t="s">
        <v>60</v>
      </c>
      <c r="M6" s="16" t="s">
        <v>61</v>
      </c>
      <c r="N6" s="14" t="s">
        <v>62</v>
      </c>
      <c r="O6" s="16" t="s">
        <v>63</v>
      </c>
      <c r="P6" s="16" t="s">
        <v>63</v>
      </c>
      <c r="Q6" s="16" t="s">
        <v>102</v>
      </c>
      <c r="R6" s="14" t="s">
        <v>103</v>
      </c>
      <c r="S6" s="14" t="s">
        <v>104</v>
      </c>
      <c r="T6" s="14" t="s">
        <v>67</v>
      </c>
      <c r="U6" s="14" t="s">
        <v>68</v>
      </c>
      <c r="V6" s="15">
        <v>40725</v>
      </c>
      <c r="W6" s="15"/>
      <c r="X6" s="16" t="s">
        <v>69</v>
      </c>
      <c r="Y6" s="17" t="s">
        <v>70</v>
      </c>
      <c r="Z6" s="18" t="str">
        <f>VLOOKUP(Y6,'Axe 2 Règles de gestion'!$D$2:$F$13,3, FALSE)</f>
        <v>La date de début des services doit être postérieure ou égale à la date d'entrée dans la FPE ou dans la carrière militaire.</v>
      </c>
      <c r="AA6" s="17" t="s">
        <v>72</v>
      </c>
      <c r="AB6" s="18" t="str">
        <f>VLOOKUP(AA6,'Axe 2 Règles de gestion'!$D$2:$F$13,3, FALSE)</f>
        <v>La date de fin des services doit être antérieure ou égale à la date limite de départ à la retraite.</v>
      </c>
      <c r="AC6" s="17" t="s">
        <v>74</v>
      </c>
      <c r="AD6" s="18" t="str">
        <f>VLOOKUP(AC6,'Axe 2 Règles de gestion'!$D$2:$F$13,3, FALSE)</f>
        <v>La date de fin des services doit être postérieure ou égale à la date de début.</v>
      </c>
      <c r="AE6" s="17" t="s">
        <v>76</v>
      </c>
      <c r="AF6" s="18" t="str">
        <f>VLOOKUP(AE6,'Axe 2 Règles de gestion'!$D$2:$F$13,3, FALSE)</f>
        <v>Si le pays ou territoire pour campagne est renseigné, alors le pays ou territoire hors d'Europe ne doit pas être renseigné.</v>
      </c>
      <c r="AG6" s="17" t="s">
        <v>78</v>
      </c>
      <c r="AH6" s="18" t="str">
        <f>VLOOKUP(AG6,'Axe 2 Règles de gestion'!$D$2:$F$13,3, FALSE)</f>
        <v>Si le pays ou territoire hors d'Europe est renseigné, alors le pays ou territoire pour campagne ne doit pas être renseigné.</v>
      </c>
      <c r="AI6" s="17" t="s">
        <v>80</v>
      </c>
      <c r="AJ6" s="18" t="str">
        <f>VLOOKUP(AI6,'Axe 2 Règles de gestion'!$D$2:$F$13,3, FALSE)</f>
        <v>Le pays ou territoire pour campagne ou le pays ou territoire hors d'Europe doit être saisi.</v>
      </c>
      <c r="AK6" s="17" t="s">
        <v>82</v>
      </c>
      <c r="AL6" s="18" t="str">
        <f>VLOOKUP(AK6,'Axe 2 Règles de gestion'!$D$2:$F$13,3, FALSE)</f>
        <v>La date de début de congé rémunéré passé hors du territoire d'exercice doit être postérieure ou égale à la date d'entrée dans la FPE ou dans la carrière militaire.</v>
      </c>
      <c r="AM6" s="17" t="s">
        <v>84</v>
      </c>
      <c r="AN6" s="18" t="str">
        <f>VLOOKUP(AM6,'Axe 2 Règles de gestion'!$D$2:$F$13,3, FALSE)</f>
        <v>La date de fin de congé rémunéré passé hors du territoire d'exercice doit être antérieure ou égale à la date limite de départ à la retraite.</v>
      </c>
      <c r="AO6" s="17" t="s">
        <v>86</v>
      </c>
      <c r="AP6" s="18" t="str">
        <f>VLOOKUP(AO6,'Axe 2 Règles de gestion'!$D$2:$F$13,3, FALSE)</f>
        <v>La date de fin de congé rémunéré passé hors du territoire d'exercice doit être postérieure ou égale à la date de début.</v>
      </c>
      <c r="AQ6" s="17" t="s">
        <v>88</v>
      </c>
      <c r="AR6" s="18" t="str">
        <f>VLOOKUP(AQ6,'Axe 2 Règles de gestion'!$D$2:$F$13,3, FALSE)</f>
        <v>La date de début de congé rémunéré passé hors du territoire d'exercice doit être postérieure ou égale à la date de début des services</v>
      </c>
      <c r="AS6" s="17" t="s">
        <v>90</v>
      </c>
      <c r="AT6" s="18" t="str">
        <f>VLOOKUP(AS6,'Axe 2 Règles de gestion'!$D$2:$F$13,3, FALSE)</f>
        <v>La date de fin de congé rémunéré passé hors du territoire d'exercice doit être antérieure ou égale à la date de fin des services</v>
      </c>
      <c r="AU6" s="17" t="s">
        <v>92</v>
      </c>
      <c r="AV6" s="18" t="str">
        <f>VLOOKUP(AU6,'Axe 2 Règles de gestion'!$D$2:$F$13,3, FALSE)</f>
        <v>L'agent exerce ses fonctions hors d'Europe.</v>
      </c>
      <c r="AW6" s="14" t="s">
        <v>63</v>
      </c>
      <c r="AX6" s="16" t="s">
        <v>63</v>
      </c>
    </row>
    <row r="7" spans="1:50" ht="72.5" x14ac:dyDescent="0.35">
      <c r="A7" s="14" t="s">
        <v>51</v>
      </c>
      <c r="B7" s="14" t="s">
        <v>52</v>
      </c>
      <c r="C7" s="15">
        <v>43152.5</v>
      </c>
      <c r="D7" s="14" t="s">
        <v>53</v>
      </c>
      <c r="E7" s="16" t="s">
        <v>54</v>
      </c>
      <c r="F7" s="14" t="s">
        <v>55</v>
      </c>
      <c r="G7" s="16" t="s">
        <v>56</v>
      </c>
      <c r="H7" s="14" t="s">
        <v>57</v>
      </c>
      <c r="I7" s="16" t="s">
        <v>56</v>
      </c>
      <c r="J7" s="16" t="s">
        <v>58</v>
      </c>
      <c r="K7" s="16" t="s">
        <v>59</v>
      </c>
      <c r="L7" s="14" t="s">
        <v>94</v>
      </c>
      <c r="M7" s="16" t="s">
        <v>95</v>
      </c>
      <c r="N7" s="14" t="s">
        <v>96</v>
      </c>
      <c r="O7" s="16" t="s">
        <v>63</v>
      </c>
      <c r="P7" s="16" t="s">
        <v>63</v>
      </c>
      <c r="Q7" s="16" t="s">
        <v>102</v>
      </c>
      <c r="R7" s="14" t="s">
        <v>103</v>
      </c>
      <c r="S7" s="14" t="s">
        <v>104</v>
      </c>
      <c r="T7" s="14" t="s">
        <v>67</v>
      </c>
      <c r="U7" s="14" t="s">
        <v>68</v>
      </c>
      <c r="V7" s="15">
        <v>40725</v>
      </c>
      <c r="W7" s="15"/>
      <c r="X7" s="16" t="s">
        <v>97</v>
      </c>
      <c r="Y7" s="17" t="s">
        <v>72</v>
      </c>
      <c r="Z7" s="18" t="str">
        <f>VLOOKUP(Y7,'Axe 2 Règles de gestion'!$D$2:$F$13,3, FALSE)</f>
        <v>La date de fin des services doit être antérieure ou égale à la date limite de départ à la retraite.</v>
      </c>
      <c r="AA7" s="17" t="s">
        <v>74</v>
      </c>
      <c r="AB7" s="18" t="str">
        <f>VLOOKUP(AA7,'Axe 2 Règles de gestion'!$D$2:$F$13,3, FALSE)</f>
        <v>La date de fin des services doit être postérieure ou égale à la date de début.</v>
      </c>
      <c r="AC7" s="17" t="s">
        <v>76</v>
      </c>
      <c r="AD7" s="18" t="str">
        <f>VLOOKUP(AC7,'Axe 2 Règles de gestion'!$D$2:$F$13,3, FALSE)</f>
        <v>Si le pays ou territoire pour campagne est renseigné, alors le pays ou territoire hors d'Europe ne doit pas être renseigné.</v>
      </c>
      <c r="AE7" s="17" t="s">
        <v>78</v>
      </c>
      <c r="AF7" s="18" t="str">
        <f>VLOOKUP(AE7,'Axe 2 Règles de gestion'!$D$2:$F$13,3, FALSE)</f>
        <v>Si le pays ou territoire hors d'Europe est renseigné, alors le pays ou territoire pour campagne ne doit pas être renseigné.</v>
      </c>
      <c r="AG7" s="17" t="s">
        <v>80</v>
      </c>
      <c r="AH7" s="18" t="str">
        <f>VLOOKUP(AG7,'Axe 2 Règles de gestion'!$D$2:$F$13,3, FALSE)</f>
        <v>Le pays ou territoire pour campagne ou le pays ou territoire hors d'Europe doit être saisi.</v>
      </c>
      <c r="AI7" s="17" t="s">
        <v>84</v>
      </c>
      <c r="AJ7" s="18" t="str">
        <f>VLOOKUP(AI7,'Axe 2 Règles de gestion'!$D$2:$F$13,3, FALSE)</f>
        <v>La date de fin de congé rémunéré passé hors du territoire d'exercice doit être antérieure ou égale à la date limite de départ à la retraite.</v>
      </c>
      <c r="AK7" s="17" t="s">
        <v>86</v>
      </c>
      <c r="AL7" s="18" t="str">
        <f>VLOOKUP(AK7,'Axe 2 Règles de gestion'!$D$2:$F$13,3, FALSE)</f>
        <v>La date de fin de congé rémunéré passé hors du territoire d'exercice doit être postérieure ou égale à la date de début.</v>
      </c>
      <c r="AM7" s="17" t="s">
        <v>90</v>
      </c>
      <c r="AN7" s="18" t="str">
        <f>VLOOKUP(AM7,'Axe 2 Règles de gestion'!$D$2:$F$13,3, FALSE)</f>
        <v>La date de fin de congé rémunéré passé hors du territoire d'exercice doit être antérieure ou égale à la date de fin des services</v>
      </c>
      <c r="AO7" s="17" t="s">
        <v>92</v>
      </c>
      <c r="AP7" s="18" t="str">
        <f>VLOOKUP(AO7,'Axe 2 Règles de gestion'!$D$2:$F$13,3, FALSE)</f>
        <v>L'agent exerce ses fonctions hors d'Europe.</v>
      </c>
      <c r="AQ7" s="17"/>
      <c r="AR7" s="18"/>
      <c r="AS7" s="17"/>
      <c r="AT7" s="18"/>
      <c r="AU7" s="17"/>
      <c r="AV7" s="18"/>
      <c r="AW7" s="14" t="s">
        <v>63</v>
      </c>
      <c r="AX7" s="16" t="s">
        <v>63</v>
      </c>
    </row>
    <row r="8" spans="1:50" ht="29" x14ac:dyDescent="0.35">
      <c r="A8" s="14" t="s">
        <v>51</v>
      </c>
      <c r="B8" s="14" t="s">
        <v>52</v>
      </c>
      <c r="C8" s="15">
        <v>43189.5</v>
      </c>
      <c r="D8" s="14" t="s">
        <v>53</v>
      </c>
      <c r="E8" s="16" t="s">
        <v>54</v>
      </c>
      <c r="F8" s="14" t="s">
        <v>55</v>
      </c>
      <c r="G8" s="16" t="s">
        <v>56</v>
      </c>
      <c r="H8" s="14" t="s">
        <v>57</v>
      </c>
      <c r="I8" s="16" t="s">
        <v>56</v>
      </c>
      <c r="J8" s="16" t="s">
        <v>58</v>
      </c>
      <c r="K8" s="16" t="s">
        <v>59</v>
      </c>
      <c r="L8" s="14" t="s">
        <v>60</v>
      </c>
      <c r="M8" s="16" t="s">
        <v>61</v>
      </c>
      <c r="N8" s="14" t="s">
        <v>62</v>
      </c>
      <c r="O8" s="16" t="s">
        <v>63</v>
      </c>
      <c r="P8" s="16" t="s">
        <v>63</v>
      </c>
      <c r="Q8" s="16" t="s">
        <v>105</v>
      </c>
      <c r="R8" s="14" t="s">
        <v>106</v>
      </c>
      <c r="S8" s="14" t="s">
        <v>107</v>
      </c>
      <c r="T8" s="14" t="s">
        <v>67</v>
      </c>
      <c r="U8" s="14" t="s">
        <v>101</v>
      </c>
      <c r="V8" s="15">
        <v>40725</v>
      </c>
      <c r="W8" s="15"/>
      <c r="X8" s="16" t="s">
        <v>63</v>
      </c>
      <c r="Y8" s="17"/>
      <c r="Z8" s="18"/>
      <c r="AA8" s="17"/>
      <c r="AB8" s="18"/>
      <c r="AC8" s="17"/>
      <c r="AD8" s="18"/>
      <c r="AE8" s="17"/>
      <c r="AF8" s="18"/>
      <c r="AG8" s="17"/>
      <c r="AH8" s="18"/>
      <c r="AI8" s="17"/>
      <c r="AJ8" s="18"/>
      <c r="AK8" s="17"/>
      <c r="AL8" s="18"/>
      <c r="AM8" s="17"/>
      <c r="AN8" s="18"/>
      <c r="AO8" s="17"/>
      <c r="AP8" s="18"/>
      <c r="AQ8" s="17"/>
      <c r="AR8" s="18"/>
      <c r="AS8" s="17"/>
      <c r="AT8" s="18"/>
      <c r="AU8" s="17"/>
      <c r="AV8" s="18"/>
      <c r="AW8" s="14" t="s">
        <v>63</v>
      </c>
      <c r="AX8" s="16" t="s">
        <v>63</v>
      </c>
    </row>
    <row r="9" spans="1:50" ht="29" x14ac:dyDescent="0.35">
      <c r="A9" s="14" t="s">
        <v>51</v>
      </c>
      <c r="B9" s="14" t="s">
        <v>52</v>
      </c>
      <c r="C9" s="15">
        <v>43189.5</v>
      </c>
      <c r="D9" s="14" t="s">
        <v>53</v>
      </c>
      <c r="E9" s="16" t="s">
        <v>54</v>
      </c>
      <c r="F9" s="14" t="s">
        <v>55</v>
      </c>
      <c r="G9" s="16" t="s">
        <v>56</v>
      </c>
      <c r="H9" s="14" t="s">
        <v>57</v>
      </c>
      <c r="I9" s="16" t="s">
        <v>56</v>
      </c>
      <c r="J9" s="16" t="s">
        <v>58</v>
      </c>
      <c r="K9" s="16" t="s">
        <v>59</v>
      </c>
      <c r="L9" s="14" t="s">
        <v>94</v>
      </c>
      <c r="M9" s="16" t="s">
        <v>95</v>
      </c>
      <c r="N9" s="14" t="s">
        <v>96</v>
      </c>
      <c r="O9" s="16" t="s">
        <v>63</v>
      </c>
      <c r="P9" s="16" t="s">
        <v>63</v>
      </c>
      <c r="Q9" s="16" t="s">
        <v>105</v>
      </c>
      <c r="R9" s="14" t="s">
        <v>106</v>
      </c>
      <c r="S9" s="14" t="s">
        <v>107</v>
      </c>
      <c r="T9" s="14" t="s">
        <v>67</v>
      </c>
      <c r="U9" s="14" t="s">
        <v>101</v>
      </c>
      <c r="V9" s="15">
        <v>40725</v>
      </c>
      <c r="W9" s="15"/>
      <c r="X9" s="16" t="s">
        <v>63</v>
      </c>
      <c r="Y9" s="17"/>
      <c r="Z9" s="18"/>
      <c r="AA9" s="17"/>
      <c r="AB9" s="18"/>
      <c r="AC9" s="17"/>
      <c r="AD9" s="18"/>
      <c r="AE9" s="17"/>
      <c r="AF9" s="18"/>
      <c r="AG9" s="17"/>
      <c r="AH9" s="18"/>
      <c r="AI9" s="17"/>
      <c r="AJ9" s="18"/>
      <c r="AK9" s="17"/>
      <c r="AL9" s="18"/>
      <c r="AM9" s="17"/>
      <c r="AN9" s="18"/>
      <c r="AO9" s="17"/>
      <c r="AP9" s="18"/>
      <c r="AQ9" s="17"/>
      <c r="AR9" s="18"/>
      <c r="AS9" s="17"/>
      <c r="AT9" s="18"/>
      <c r="AU9" s="17"/>
      <c r="AV9" s="18"/>
      <c r="AW9" s="14" t="s">
        <v>63</v>
      </c>
      <c r="AX9" s="16" t="s">
        <v>63</v>
      </c>
    </row>
    <row r="10" spans="1:50" x14ac:dyDescent="0.35">
      <c r="A10" s="19"/>
      <c r="B10" s="20"/>
      <c r="C10" s="21"/>
      <c r="D10" s="19"/>
      <c r="E10" s="20"/>
      <c r="F10" s="19"/>
      <c r="G10" s="20"/>
      <c r="H10" s="19"/>
      <c r="I10" s="20"/>
      <c r="J10" s="20" t="s">
        <v>63</v>
      </c>
      <c r="K10" s="20" t="s">
        <v>63</v>
      </c>
      <c r="L10" s="20"/>
      <c r="M10" s="20"/>
      <c r="N10" s="20" t="s">
        <v>63</v>
      </c>
      <c r="O10" s="20" t="s">
        <v>63</v>
      </c>
      <c r="P10" s="20" t="s">
        <v>63</v>
      </c>
      <c r="Q10" s="20"/>
      <c r="R10" s="20"/>
      <c r="T10" s="20"/>
      <c r="U10" s="19"/>
      <c r="V10" s="22"/>
      <c r="W10" s="22"/>
      <c r="X10" s="20"/>
      <c r="AW10" s="25"/>
      <c r="AX10" s="20"/>
    </row>
    <row r="11" spans="1:50" x14ac:dyDescent="0.35">
      <c r="A11" s="19"/>
      <c r="B11" s="20"/>
      <c r="C11" s="21"/>
      <c r="D11" s="19"/>
      <c r="E11" s="20"/>
      <c r="F11" s="19"/>
      <c r="G11" s="20"/>
      <c r="H11" s="19"/>
      <c r="I11" s="20"/>
      <c r="J11" s="20" t="s">
        <v>63</v>
      </c>
      <c r="K11" s="20" t="s">
        <v>63</v>
      </c>
      <c r="L11" s="20"/>
      <c r="M11" s="20"/>
      <c r="N11" s="20" t="s">
        <v>63</v>
      </c>
      <c r="O11" s="20" t="s">
        <v>63</v>
      </c>
      <c r="P11" s="20" t="s">
        <v>63</v>
      </c>
      <c r="Q11" s="20"/>
      <c r="R11" s="20"/>
      <c r="T11" s="20"/>
      <c r="U11" s="19"/>
      <c r="V11" s="22"/>
      <c r="W11" s="22"/>
      <c r="X11" s="20"/>
      <c r="AW11" s="25"/>
      <c r="AX11" s="20"/>
    </row>
    <row r="12" spans="1:50" x14ac:dyDescent="0.35">
      <c r="A12" s="19"/>
      <c r="B12" s="20"/>
      <c r="C12" s="21"/>
      <c r="D12" s="19"/>
      <c r="E12" s="20"/>
      <c r="F12" s="19"/>
      <c r="G12" s="20"/>
      <c r="H12" s="19"/>
      <c r="I12" s="20"/>
      <c r="J12" s="20" t="s">
        <v>63</v>
      </c>
      <c r="K12" s="20" t="s">
        <v>63</v>
      </c>
      <c r="L12" s="20"/>
      <c r="M12" s="20"/>
      <c r="N12" s="20" t="s">
        <v>63</v>
      </c>
      <c r="O12" s="20" t="s">
        <v>63</v>
      </c>
      <c r="P12" s="20" t="s">
        <v>63</v>
      </c>
      <c r="Q12" s="20"/>
      <c r="R12" s="20"/>
      <c r="T12" s="20"/>
      <c r="U12" s="19"/>
      <c r="V12" s="22"/>
      <c r="W12" s="22"/>
      <c r="X12" s="20"/>
      <c r="AW12" s="25"/>
      <c r="AX12" s="20"/>
    </row>
    <row r="13" spans="1:50" x14ac:dyDescent="0.35">
      <c r="A13" s="19"/>
      <c r="B13" s="20"/>
      <c r="C13" s="21"/>
      <c r="D13" s="19"/>
      <c r="E13" s="20"/>
      <c r="F13" s="19"/>
      <c r="G13" s="20"/>
      <c r="H13" s="19"/>
      <c r="I13" s="20"/>
      <c r="J13" s="20" t="s">
        <v>63</v>
      </c>
      <c r="K13" s="20" t="s">
        <v>63</v>
      </c>
      <c r="L13" s="20"/>
      <c r="M13" s="20"/>
      <c r="N13" s="20" t="s">
        <v>63</v>
      </c>
      <c r="O13" s="20" t="s">
        <v>63</v>
      </c>
      <c r="P13" s="20" t="s">
        <v>63</v>
      </c>
      <c r="Q13" s="20"/>
      <c r="R13" s="20"/>
      <c r="T13" s="20"/>
      <c r="U13" s="19"/>
      <c r="V13" s="22"/>
      <c r="W13" s="22"/>
      <c r="X13" s="20"/>
      <c r="AW13" s="25"/>
      <c r="AX13" s="20"/>
    </row>
    <row r="14" spans="1:50" x14ac:dyDescent="0.35">
      <c r="A14" s="19"/>
      <c r="B14" s="20"/>
      <c r="C14" s="21"/>
      <c r="D14" s="19"/>
      <c r="E14" s="20"/>
      <c r="F14" s="19"/>
      <c r="G14" s="20"/>
      <c r="H14" s="19"/>
      <c r="I14" s="20"/>
      <c r="J14" s="20" t="s">
        <v>63</v>
      </c>
      <c r="K14" s="20" t="s">
        <v>63</v>
      </c>
      <c r="L14" s="20"/>
      <c r="M14" s="20"/>
      <c r="N14" s="20" t="s">
        <v>63</v>
      </c>
      <c r="O14" s="20" t="s">
        <v>63</v>
      </c>
      <c r="P14" s="20" t="s">
        <v>63</v>
      </c>
      <c r="Q14" s="20"/>
      <c r="R14" s="20"/>
      <c r="T14" s="20"/>
      <c r="U14" s="19"/>
      <c r="V14" s="22"/>
      <c r="W14" s="22"/>
      <c r="X14" s="20"/>
      <c r="AW14" s="25"/>
      <c r="AX14" s="20"/>
    </row>
    <row r="15" spans="1:50" x14ac:dyDescent="0.35">
      <c r="A15" s="19"/>
      <c r="B15" s="20"/>
      <c r="C15" s="21"/>
      <c r="D15" s="19"/>
      <c r="E15" s="20"/>
      <c r="F15" s="19"/>
      <c r="G15" s="20"/>
      <c r="H15" s="19"/>
      <c r="I15" s="20"/>
      <c r="J15" s="20" t="s">
        <v>63</v>
      </c>
      <c r="K15" s="20" t="s">
        <v>63</v>
      </c>
      <c r="L15" s="20"/>
      <c r="M15" s="20"/>
      <c r="N15" s="20" t="s">
        <v>63</v>
      </c>
      <c r="O15" s="20" t="s">
        <v>63</v>
      </c>
      <c r="P15" s="20" t="s">
        <v>63</v>
      </c>
      <c r="Q15" s="20"/>
      <c r="R15" s="20"/>
      <c r="T15" s="20"/>
      <c r="U15" s="19"/>
      <c r="V15" s="22"/>
      <c r="W15" s="22"/>
      <c r="X15" s="20"/>
      <c r="AW15" s="25"/>
      <c r="AX15" s="20"/>
    </row>
    <row r="16" spans="1:50" x14ac:dyDescent="0.35">
      <c r="A16" s="19"/>
      <c r="B16" s="20"/>
      <c r="C16" s="21"/>
      <c r="D16" s="19"/>
      <c r="E16" s="20"/>
      <c r="F16" s="19"/>
      <c r="G16" s="20"/>
      <c r="H16" s="19"/>
      <c r="I16" s="20"/>
      <c r="J16" s="20" t="s">
        <v>63</v>
      </c>
      <c r="K16" s="20" t="s">
        <v>63</v>
      </c>
      <c r="L16" s="20"/>
      <c r="M16" s="20"/>
      <c r="N16" s="20" t="s">
        <v>63</v>
      </c>
      <c r="O16" s="20" t="s">
        <v>63</v>
      </c>
      <c r="P16" s="20" t="s">
        <v>63</v>
      </c>
      <c r="Q16" s="20"/>
      <c r="R16" s="20"/>
      <c r="T16" s="20"/>
      <c r="U16" s="19"/>
      <c r="V16" s="22"/>
      <c r="W16" s="22"/>
      <c r="X16" s="20"/>
      <c r="AW16" s="25"/>
      <c r="AX16" s="20"/>
    </row>
    <row r="17" spans="1:50" x14ac:dyDescent="0.35">
      <c r="A17" s="19"/>
      <c r="B17" s="20"/>
      <c r="C17" s="21"/>
      <c r="D17" s="19"/>
      <c r="E17" s="20"/>
      <c r="F17" s="19"/>
      <c r="G17" s="20"/>
      <c r="H17" s="19"/>
      <c r="I17" s="20"/>
      <c r="J17" s="20" t="s">
        <v>63</v>
      </c>
      <c r="K17" s="20" t="s">
        <v>63</v>
      </c>
      <c r="L17" s="20"/>
      <c r="M17" s="20"/>
      <c r="N17" s="20" t="s">
        <v>63</v>
      </c>
      <c r="O17" s="20" t="s">
        <v>63</v>
      </c>
      <c r="P17" s="20" t="s">
        <v>63</v>
      </c>
      <c r="Q17" s="20"/>
      <c r="R17" s="20"/>
      <c r="T17" s="20"/>
      <c r="U17" s="19"/>
      <c r="V17" s="22"/>
      <c r="W17" s="22"/>
      <c r="X17" s="20"/>
      <c r="AW17" s="25"/>
      <c r="AX17" s="20"/>
    </row>
    <row r="18" spans="1:50" x14ac:dyDescent="0.35">
      <c r="A18" s="19"/>
      <c r="B18" s="20"/>
      <c r="C18" s="21"/>
      <c r="D18" s="19"/>
      <c r="E18" s="20"/>
      <c r="F18" s="19"/>
      <c r="G18" s="20"/>
      <c r="H18" s="19"/>
      <c r="I18" s="20"/>
      <c r="J18" s="20" t="s">
        <v>63</v>
      </c>
      <c r="K18" s="20" t="s">
        <v>63</v>
      </c>
      <c r="L18" s="20"/>
      <c r="M18" s="20"/>
      <c r="N18" s="20" t="s">
        <v>63</v>
      </c>
      <c r="O18" s="20" t="s">
        <v>63</v>
      </c>
      <c r="P18" s="20" t="s">
        <v>63</v>
      </c>
      <c r="Q18" s="20"/>
      <c r="R18" s="20"/>
      <c r="T18" s="20"/>
      <c r="U18" s="19"/>
      <c r="V18" s="22"/>
      <c r="W18" s="22"/>
      <c r="X18" s="20"/>
      <c r="AW18" s="25"/>
      <c r="AX18" s="20"/>
    </row>
    <row r="19" spans="1:50" x14ac:dyDescent="0.35">
      <c r="A19" s="19"/>
      <c r="B19" s="20"/>
      <c r="C19" s="21"/>
      <c r="D19" s="19"/>
      <c r="E19" s="20"/>
      <c r="F19" s="19"/>
      <c r="G19" s="20"/>
      <c r="H19" s="19"/>
      <c r="I19" s="20"/>
      <c r="J19" s="20" t="s">
        <v>63</v>
      </c>
      <c r="K19" s="20" t="s">
        <v>63</v>
      </c>
      <c r="L19" s="20"/>
      <c r="M19" s="20"/>
      <c r="N19" s="20" t="s">
        <v>63</v>
      </c>
      <c r="O19" s="20" t="s">
        <v>63</v>
      </c>
      <c r="P19" s="20" t="s">
        <v>63</v>
      </c>
      <c r="Q19" s="20"/>
      <c r="R19" s="20"/>
      <c r="T19" s="20"/>
      <c r="U19" s="19"/>
      <c r="V19" s="22"/>
      <c r="W19" s="22"/>
      <c r="X19" s="20"/>
      <c r="AW19" s="25"/>
      <c r="AX19" s="20"/>
    </row>
    <row r="20" spans="1:50" x14ac:dyDescent="0.35">
      <c r="A20" s="19"/>
      <c r="B20" s="20"/>
      <c r="C20" s="21"/>
      <c r="D20" s="19"/>
      <c r="E20" s="20"/>
      <c r="F20" s="19"/>
      <c r="G20" s="20"/>
      <c r="H20" s="19"/>
      <c r="I20" s="20"/>
      <c r="J20" s="20" t="s">
        <v>63</v>
      </c>
      <c r="K20" s="20" t="s">
        <v>63</v>
      </c>
      <c r="L20" s="20"/>
      <c r="M20" s="20"/>
      <c r="N20" s="20" t="s">
        <v>63</v>
      </c>
      <c r="O20" s="20" t="s">
        <v>63</v>
      </c>
      <c r="P20" s="20" t="s">
        <v>63</v>
      </c>
      <c r="Q20" s="20"/>
      <c r="R20" s="20"/>
      <c r="T20" s="20"/>
      <c r="U20" s="19"/>
      <c r="V20" s="22"/>
      <c r="W20" s="22"/>
      <c r="X20" s="20"/>
      <c r="AW20" s="25"/>
      <c r="AX20" s="20"/>
    </row>
    <row r="21" spans="1:50" x14ac:dyDescent="0.35">
      <c r="A21" s="19"/>
      <c r="B21" s="20"/>
      <c r="C21" s="21"/>
      <c r="D21" s="19"/>
      <c r="E21" s="20"/>
      <c r="F21" s="19"/>
      <c r="G21" s="20"/>
      <c r="H21" s="19"/>
      <c r="I21" s="20"/>
      <c r="J21" s="20" t="s">
        <v>63</v>
      </c>
      <c r="K21" s="20" t="s">
        <v>63</v>
      </c>
      <c r="L21" s="20"/>
      <c r="M21" s="20"/>
      <c r="N21" s="20" t="s">
        <v>63</v>
      </c>
      <c r="O21" s="20" t="s">
        <v>63</v>
      </c>
      <c r="P21" s="20" t="s">
        <v>63</v>
      </c>
      <c r="Q21" s="20"/>
      <c r="R21" s="20"/>
      <c r="T21" s="20"/>
      <c r="U21" s="19"/>
      <c r="V21" s="22"/>
      <c r="W21" s="22"/>
      <c r="X21" s="20"/>
      <c r="AW21" s="25"/>
      <c r="AX21" s="20"/>
    </row>
  </sheetData>
  <autoFilter ref="A1:OJ1" xr:uid="{90C68363-0C03-4650-9870-E2F8C82F973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2EF23-0EAC-4E03-B73B-CBB8CD5095CF}">
  <dimension ref="A1:Z21"/>
  <sheetViews>
    <sheetView workbookViewId="0">
      <pane ySplit="1" topLeftCell="A2" activePane="bottomLeft" state="frozenSplit"/>
      <selection pane="bottomLeft"/>
    </sheetView>
  </sheetViews>
  <sheetFormatPr baseColWidth="10" defaultRowHeight="14.5" x14ac:dyDescent="0.35"/>
  <cols>
    <col min="1" max="1" width="8.6328125" style="13" customWidth="1"/>
    <col min="2" max="2" width="7.6328125" style="13" customWidth="1"/>
    <col min="3" max="3" width="12.6328125" style="13" customWidth="1"/>
    <col min="4" max="4" width="13.6328125" style="13" customWidth="1"/>
    <col min="5" max="5" width="25.6328125" style="24" customWidth="1"/>
    <col min="6" max="6" width="13.6328125" style="13" customWidth="1"/>
    <col min="7" max="7" width="25.6328125" style="24" customWidth="1"/>
    <col min="8" max="8" width="13.6328125" style="13" customWidth="1"/>
    <col min="9" max="11" width="25.6328125" style="24" customWidth="1"/>
    <col min="12" max="12" width="13.6328125" style="13" customWidth="1"/>
    <col min="13" max="13" width="25.6328125" style="24" customWidth="1"/>
    <col min="14" max="14" width="13.6328125" style="13" customWidth="1"/>
    <col min="15" max="16" width="30.6328125" style="24" customWidth="1"/>
    <col min="17" max="17" width="25.6328125" style="24" customWidth="1"/>
    <col min="18" max="21" width="13.6328125" style="13" customWidth="1"/>
    <col min="22" max="23" width="12.6328125" style="13" customWidth="1"/>
    <col min="24" max="24" width="40.6328125" style="24" customWidth="1"/>
    <col min="25" max="25" width="9.6328125" style="23" customWidth="1"/>
    <col min="26" max="26" width="15.6328125" style="24" customWidth="1"/>
    <col min="27" max="16384" width="10.90625" style="13"/>
  </cols>
  <sheetData>
    <row r="1" spans="1:26" ht="43.5" x14ac:dyDescent="0.35">
      <c r="A1" s="10" t="s">
        <v>2</v>
      </c>
      <c r="B1" s="10" t="s">
        <v>3</v>
      </c>
      <c r="C1" s="11" t="s">
        <v>4</v>
      </c>
      <c r="D1" s="10" t="s">
        <v>5</v>
      </c>
      <c r="E1" s="10" t="s">
        <v>6</v>
      </c>
      <c r="F1" s="10" t="s">
        <v>7</v>
      </c>
      <c r="G1" s="10" t="s">
        <v>8</v>
      </c>
      <c r="H1" s="10" t="s">
        <v>9</v>
      </c>
      <c r="I1" s="10" t="s">
        <v>10</v>
      </c>
      <c r="J1" s="10" t="s">
        <v>11</v>
      </c>
      <c r="K1" s="10" t="s">
        <v>12</v>
      </c>
      <c r="L1" s="10" t="s">
        <v>13</v>
      </c>
      <c r="M1" s="10" t="s">
        <v>14</v>
      </c>
      <c r="N1" s="10" t="s">
        <v>3</v>
      </c>
      <c r="O1" s="10" t="s">
        <v>15</v>
      </c>
      <c r="P1" s="10" t="s">
        <v>16</v>
      </c>
      <c r="Q1" s="10" t="s">
        <v>17</v>
      </c>
      <c r="R1" s="10" t="s">
        <v>18</v>
      </c>
      <c r="S1" s="10" t="s">
        <v>19</v>
      </c>
      <c r="T1" s="10" t="s">
        <v>20</v>
      </c>
      <c r="U1" s="10" t="s">
        <v>21</v>
      </c>
      <c r="V1" s="11" t="s">
        <v>22</v>
      </c>
      <c r="W1" s="11" t="s">
        <v>23</v>
      </c>
      <c r="X1" s="10" t="s">
        <v>108</v>
      </c>
      <c r="Y1" s="10" t="s">
        <v>49</v>
      </c>
      <c r="Z1" s="10" t="s">
        <v>50</v>
      </c>
    </row>
    <row r="2" spans="1:26" ht="29" x14ac:dyDescent="0.35">
      <c r="A2" s="14" t="s">
        <v>51</v>
      </c>
      <c r="B2" s="14" t="s">
        <v>52</v>
      </c>
      <c r="C2" s="15">
        <v>43152.5</v>
      </c>
      <c r="D2" s="14" t="s">
        <v>53</v>
      </c>
      <c r="E2" s="16" t="s">
        <v>54</v>
      </c>
      <c r="F2" s="14" t="s">
        <v>55</v>
      </c>
      <c r="G2" s="16" t="s">
        <v>56</v>
      </c>
      <c r="H2" s="14" t="s">
        <v>57</v>
      </c>
      <c r="I2" s="16" t="s">
        <v>56</v>
      </c>
      <c r="J2" s="16" t="s">
        <v>58</v>
      </c>
      <c r="K2" s="16" t="s">
        <v>59</v>
      </c>
      <c r="L2" s="14" t="s">
        <v>60</v>
      </c>
      <c r="M2" s="16" t="s">
        <v>61</v>
      </c>
      <c r="N2" s="14" t="s">
        <v>62</v>
      </c>
      <c r="O2" s="16" t="s">
        <v>63</v>
      </c>
      <c r="P2" s="16" t="s">
        <v>63</v>
      </c>
      <c r="Q2" s="16" t="s">
        <v>64</v>
      </c>
      <c r="R2" s="14" t="s">
        <v>65</v>
      </c>
      <c r="S2" s="14" t="s">
        <v>66</v>
      </c>
      <c r="T2" s="14" t="s">
        <v>67</v>
      </c>
      <c r="U2" s="14" t="s">
        <v>68</v>
      </c>
      <c r="V2" s="15">
        <v>40725</v>
      </c>
      <c r="W2" s="15"/>
      <c r="X2" s="16" t="s">
        <v>63</v>
      </c>
      <c r="Y2" s="14" t="s">
        <v>63</v>
      </c>
      <c r="Z2" s="16" t="s">
        <v>63</v>
      </c>
    </row>
    <row r="3" spans="1:26" ht="29" x14ac:dyDescent="0.35">
      <c r="A3" s="14" t="s">
        <v>51</v>
      </c>
      <c r="B3" s="14" t="s">
        <v>52</v>
      </c>
      <c r="C3" s="15">
        <v>43152.5</v>
      </c>
      <c r="D3" s="14" t="s">
        <v>53</v>
      </c>
      <c r="E3" s="16" t="s">
        <v>54</v>
      </c>
      <c r="F3" s="14" t="s">
        <v>55</v>
      </c>
      <c r="G3" s="16" t="s">
        <v>56</v>
      </c>
      <c r="H3" s="14" t="s">
        <v>57</v>
      </c>
      <c r="I3" s="16" t="s">
        <v>56</v>
      </c>
      <c r="J3" s="16" t="s">
        <v>58</v>
      </c>
      <c r="K3" s="16" t="s">
        <v>59</v>
      </c>
      <c r="L3" s="14" t="s">
        <v>94</v>
      </c>
      <c r="M3" s="16" t="s">
        <v>95</v>
      </c>
      <c r="N3" s="14" t="s">
        <v>96</v>
      </c>
      <c r="O3" s="16" t="s">
        <v>63</v>
      </c>
      <c r="P3" s="16" t="s">
        <v>63</v>
      </c>
      <c r="Q3" s="16" t="s">
        <v>64</v>
      </c>
      <c r="R3" s="14" t="s">
        <v>65</v>
      </c>
      <c r="S3" s="14" t="s">
        <v>66</v>
      </c>
      <c r="T3" s="14" t="s">
        <v>67</v>
      </c>
      <c r="U3" s="14" t="s">
        <v>68</v>
      </c>
      <c r="V3" s="15">
        <v>40725</v>
      </c>
      <c r="W3" s="15"/>
      <c r="X3" s="16" t="s">
        <v>63</v>
      </c>
      <c r="Y3" s="14" t="s">
        <v>63</v>
      </c>
      <c r="Z3" s="16" t="s">
        <v>63</v>
      </c>
    </row>
    <row r="4" spans="1:26" ht="29" x14ac:dyDescent="0.35">
      <c r="A4" s="14" t="s">
        <v>51</v>
      </c>
      <c r="B4" s="14" t="s">
        <v>52</v>
      </c>
      <c r="C4" s="15">
        <v>43152.5</v>
      </c>
      <c r="D4" s="14" t="s">
        <v>53</v>
      </c>
      <c r="E4" s="16" t="s">
        <v>54</v>
      </c>
      <c r="F4" s="14" t="s">
        <v>55</v>
      </c>
      <c r="G4" s="16" t="s">
        <v>56</v>
      </c>
      <c r="H4" s="14" t="s">
        <v>57</v>
      </c>
      <c r="I4" s="16" t="s">
        <v>56</v>
      </c>
      <c r="J4" s="16" t="s">
        <v>58</v>
      </c>
      <c r="K4" s="16" t="s">
        <v>59</v>
      </c>
      <c r="L4" s="14" t="s">
        <v>60</v>
      </c>
      <c r="M4" s="16" t="s">
        <v>61</v>
      </c>
      <c r="N4" s="14" t="s">
        <v>62</v>
      </c>
      <c r="O4" s="16" t="s">
        <v>63</v>
      </c>
      <c r="P4" s="16" t="s">
        <v>63</v>
      </c>
      <c r="Q4" s="16" t="s">
        <v>98</v>
      </c>
      <c r="R4" s="14" t="s">
        <v>99</v>
      </c>
      <c r="S4" s="14" t="s">
        <v>100</v>
      </c>
      <c r="T4" s="14" t="s">
        <v>67</v>
      </c>
      <c r="U4" s="14" t="s">
        <v>101</v>
      </c>
      <c r="V4" s="15">
        <v>40725</v>
      </c>
      <c r="W4" s="15"/>
      <c r="X4" s="16" t="s">
        <v>63</v>
      </c>
      <c r="Y4" s="14" t="s">
        <v>63</v>
      </c>
      <c r="Z4" s="16" t="s">
        <v>63</v>
      </c>
    </row>
    <row r="5" spans="1:26" ht="29" x14ac:dyDescent="0.35">
      <c r="A5" s="14" t="s">
        <v>51</v>
      </c>
      <c r="B5" s="14" t="s">
        <v>52</v>
      </c>
      <c r="C5" s="15">
        <v>43152.5</v>
      </c>
      <c r="D5" s="14" t="s">
        <v>53</v>
      </c>
      <c r="E5" s="16" t="s">
        <v>54</v>
      </c>
      <c r="F5" s="14" t="s">
        <v>55</v>
      </c>
      <c r="G5" s="16" t="s">
        <v>56</v>
      </c>
      <c r="H5" s="14" t="s">
        <v>57</v>
      </c>
      <c r="I5" s="16" t="s">
        <v>56</v>
      </c>
      <c r="J5" s="16" t="s">
        <v>58</v>
      </c>
      <c r="K5" s="16" t="s">
        <v>59</v>
      </c>
      <c r="L5" s="14" t="s">
        <v>94</v>
      </c>
      <c r="M5" s="16" t="s">
        <v>95</v>
      </c>
      <c r="N5" s="14" t="s">
        <v>96</v>
      </c>
      <c r="O5" s="16" t="s">
        <v>63</v>
      </c>
      <c r="P5" s="16" t="s">
        <v>63</v>
      </c>
      <c r="Q5" s="16" t="s">
        <v>98</v>
      </c>
      <c r="R5" s="14" t="s">
        <v>99</v>
      </c>
      <c r="S5" s="14" t="s">
        <v>100</v>
      </c>
      <c r="T5" s="14" t="s">
        <v>67</v>
      </c>
      <c r="U5" s="14" t="s">
        <v>101</v>
      </c>
      <c r="V5" s="15">
        <v>40725</v>
      </c>
      <c r="W5" s="15"/>
      <c r="X5" s="16" t="s">
        <v>63</v>
      </c>
      <c r="Y5" s="14" t="s">
        <v>63</v>
      </c>
      <c r="Z5" s="16" t="s">
        <v>63</v>
      </c>
    </row>
    <row r="6" spans="1:26" ht="29" x14ac:dyDescent="0.35">
      <c r="A6" s="14" t="s">
        <v>51</v>
      </c>
      <c r="B6" s="14" t="s">
        <v>52</v>
      </c>
      <c r="C6" s="15">
        <v>43152.5</v>
      </c>
      <c r="D6" s="14" t="s">
        <v>53</v>
      </c>
      <c r="E6" s="16" t="s">
        <v>54</v>
      </c>
      <c r="F6" s="14" t="s">
        <v>55</v>
      </c>
      <c r="G6" s="16" t="s">
        <v>56</v>
      </c>
      <c r="H6" s="14" t="s">
        <v>57</v>
      </c>
      <c r="I6" s="16" t="s">
        <v>56</v>
      </c>
      <c r="J6" s="16" t="s">
        <v>58</v>
      </c>
      <c r="K6" s="16" t="s">
        <v>59</v>
      </c>
      <c r="L6" s="14" t="s">
        <v>60</v>
      </c>
      <c r="M6" s="16" t="s">
        <v>61</v>
      </c>
      <c r="N6" s="14" t="s">
        <v>62</v>
      </c>
      <c r="O6" s="16" t="s">
        <v>63</v>
      </c>
      <c r="P6" s="16" t="s">
        <v>63</v>
      </c>
      <c r="Q6" s="16" t="s">
        <v>102</v>
      </c>
      <c r="R6" s="14" t="s">
        <v>103</v>
      </c>
      <c r="S6" s="14" t="s">
        <v>104</v>
      </c>
      <c r="T6" s="14" t="s">
        <v>67</v>
      </c>
      <c r="U6" s="14" t="s">
        <v>68</v>
      </c>
      <c r="V6" s="15">
        <v>40725</v>
      </c>
      <c r="W6" s="15"/>
      <c r="X6" s="16" t="s">
        <v>63</v>
      </c>
      <c r="Y6" s="14" t="s">
        <v>63</v>
      </c>
      <c r="Z6" s="16" t="s">
        <v>63</v>
      </c>
    </row>
    <row r="7" spans="1:26" ht="29" x14ac:dyDescent="0.35">
      <c r="A7" s="14" t="s">
        <v>51</v>
      </c>
      <c r="B7" s="14" t="s">
        <v>52</v>
      </c>
      <c r="C7" s="15">
        <v>43152.5</v>
      </c>
      <c r="D7" s="14" t="s">
        <v>53</v>
      </c>
      <c r="E7" s="16" t="s">
        <v>54</v>
      </c>
      <c r="F7" s="14" t="s">
        <v>55</v>
      </c>
      <c r="G7" s="16" t="s">
        <v>56</v>
      </c>
      <c r="H7" s="14" t="s">
        <v>57</v>
      </c>
      <c r="I7" s="16" t="s">
        <v>56</v>
      </c>
      <c r="J7" s="16" t="s">
        <v>58</v>
      </c>
      <c r="K7" s="16" t="s">
        <v>59</v>
      </c>
      <c r="L7" s="14" t="s">
        <v>94</v>
      </c>
      <c r="M7" s="16" t="s">
        <v>95</v>
      </c>
      <c r="N7" s="14" t="s">
        <v>96</v>
      </c>
      <c r="O7" s="16" t="s">
        <v>63</v>
      </c>
      <c r="P7" s="16" t="s">
        <v>63</v>
      </c>
      <c r="Q7" s="16" t="s">
        <v>102</v>
      </c>
      <c r="R7" s="14" t="s">
        <v>103</v>
      </c>
      <c r="S7" s="14" t="s">
        <v>104</v>
      </c>
      <c r="T7" s="14" t="s">
        <v>67</v>
      </c>
      <c r="U7" s="14" t="s">
        <v>68</v>
      </c>
      <c r="V7" s="15">
        <v>40725</v>
      </c>
      <c r="W7" s="15"/>
      <c r="X7" s="16" t="s">
        <v>63</v>
      </c>
      <c r="Y7" s="14" t="s">
        <v>63</v>
      </c>
      <c r="Z7" s="16" t="s">
        <v>63</v>
      </c>
    </row>
    <row r="8" spans="1:26" ht="29" x14ac:dyDescent="0.35">
      <c r="A8" s="14" t="s">
        <v>51</v>
      </c>
      <c r="B8" s="14" t="s">
        <v>52</v>
      </c>
      <c r="C8" s="15">
        <v>43189.5</v>
      </c>
      <c r="D8" s="14" t="s">
        <v>53</v>
      </c>
      <c r="E8" s="16" t="s">
        <v>54</v>
      </c>
      <c r="F8" s="14" t="s">
        <v>55</v>
      </c>
      <c r="G8" s="16" t="s">
        <v>56</v>
      </c>
      <c r="H8" s="14" t="s">
        <v>57</v>
      </c>
      <c r="I8" s="16" t="s">
        <v>56</v>
      </c>
      <c r="J8" s="16" t="s">
        <v>58</v>
      </c>
      <c r="K8" s="16" t="s">
        <v>59</v>
      </c>
      <c r="L8" s="14" t="s">
        <v>60</v>
      </c>
      <c r="M8" s="16" t="s">
        <v>61</v>
      </c>
      <c r="N8" s="14" t="s">
        <v>62</v>
      </c>
      <c r="O8" s="16" t="s">
        <v>63</v>
      </c>
      <c r="P8" s="16" t="s">
        <v>63</v>
      </c>
      <c r="Q8" s="16" t="s">
        <v>105</v>
      </c>
      <c r="R8" s="14" t="s">
        <v>106</v>
      </c>
      <c r="S8" s="14" t="s">
        <v>107</v>
      </c>
      <c r="T8" s="14" t="s">
        <v>67</v>
      </c>
      <c r="U8" s="14" t="s">
        <v>101</v>
      </c>
      <c r="V8" s="15">
        <v>40725</v>
      </c>
      <c r="W8" s="15"/>
      <c r="X8" s="16" t="s">
        <v>63</v>
      </c>
      <c r="Y8" s="14" t="s">
        <v>63</v>
      </c>
      <c r="Z8" s="16" t="s">
        <v>63</v>
      </c>
    </row>
    <row r="9" spans="1:26" ht="29" x14ac:dyDescent="0.35">
      <c r="A9" s="14" t="s">
        <v>51</v>
      </c>
      <c r="B9" s="14" t="s">
        <v>52</v>
      </c>
      <c r="C9" s="15">
        <v>43189.5</v>
      </c>
      <c r="D9" s="14" t="s">
        <v>53</v>
      </c>
      <c r="E9" s="16" t="s">
        <v>54</v>
      </c>
      <c r="F9" s="14" t="s">
        <v>55</v>
      </c>
      <c r="G9" s="16" t="s">
        <v>56</v>
      </c>
      <c r="H9" s="14" t="s">
        <v>57</v>
      </c>
      <c r="I9" s="16" t="s">
        <v>56</v>
      </c>
      <c r="J9" s="16" t="s">
        <v>58</v>
      </c>
      <c r="K9" s="16" t="s">
        <v>59</v>
      </c>
      <c r="L9" s="14" t="s">
        <v>94</v>
      </c>
      <c r="M9" s="16" t="s">
        <v>95</v>
      </c>
      <c r="N9" s="14" t="s">
        <v>96</v>
      </c>
      <c r="O9" s="16" t="s">
        <v>63</v>
      </c>
      <c r="P9" s="16" t="s">
        <v>63</v>
      </c>
      <c r="Q9" s="16" t="s">
        <v>105</v>
      </c>
      <c r="R9" s="14" t="s">
        <v>106</v>
      </c>
      <c r="S9" s="14" t="s">
        <v>107</v>
      </c>
      <c r="T9" s="14" t="s">
        <v>67</v>
      </c>
      <c r="U9" s="14" t="s">
        <v>101</v>
      </c>
      <c r="V9" s="15">
        <v>40725</v>
      </c>
      <c r="W9" s="15"/>
      <c r="X9" s="16" t="s">
        <v>63</v>
      </c>
      <c r="Y9" s="14" t="s">
        <v>63</v>
      </c>
      <c r="Z9" s="16" t="s">
        <v>63</v>
      </c>
    </row>
    <row r="10" spans="1:26" x14ac:dyDescent="0.35">
      <c r="A10" s="19"/>
      <c r="B10" s="20"/>
      <c r="C10" s="21"/>
      <c r="D10" s="19"/>
      <c r="E10" s="20"/>
      <c r="F10" s="19"/>
      <c r="G10" s="20"/>
      <c r="H10" s="19"/>
      <c r="I10" s="20"/>
      <c r="J10" s="20" t="s">
        <v>63</v>
      </c>
      <c r="K10" s="20" t="s">
        <v>63</v>
      </c>
      <c r="L10" s="20"/>
      <c r="M10" s="20"/>
      <c r="N10" s="20" t="s">
        <v>63</v>
      </c>
      <c r="O10" s="20" t="s">
        <v>63</v>
      </c>
      <c r="P10" s="20" t="s">
        <v>63</v>
      </c>
      <c r="Q10" s="20"/>
      <c r="R10" s="20"/>
      <c r="S10" s="19"/>
      <c r="T10" s="20"/>
      <c r="U10" s="19"/>
      <c r="V10" s="22"/>
      <c r="W10" s="22"/>
      <c r="X10" s="20"/>
      <c r="Y10" s="25"/>
      <c r="Z10" s="20"/>
    </row>
    <row r="11" spans="1:26" x14ac:dyDescent="0.35">
      <c r="A11" s="19"/>
      <c r="B11" s="20"/>
      <c r="C11" s="21"/>
      <c r="D11" s="19"/>
      <c r="E11" s="20"/>
      <c r="F11" s="19"/>
      <c r="G11" s="20"/>
      <c r="H11" s="19"/>
      <c r="I11" s="20"/>
      <c r="J11" s="20" t="s">
        <v>63</v>
      </c>
      <c r="K11" s="20" t="s">
        <v>63</v>
      </c>
      <c r="L11" s="20"/>
      <c r="M11" s="20"/>
      <c r="N11" s="20" t="s">
        <v>63</v>
      </c>
      <c r="O11" s="20" t="s">
        <v>63</v>
      </c>
      <c r="P11" s="20" t="s">
        <v>63</v>
      </c>
      <c r="Q11" s="20"/>
      <c r="R11" s="20"/>
      <c r="S11" s="19"/>
      <c r="T11" s="20"/>
      <c r="U11" s="19"/>
      <c r="V11" s="22"/>
      <c r="W11" s="22"/>
      <c r="X11" s="20"/>
      <c r="Y11" s="25"/>
      <c r="Z11" s="20"/>
    </row>
    <row r="12" spans="1:26" x14ac:dyDescent="0.35">
      <c r="A12" s="19"/>
      <c r="B12" s="20"/>
      <c r="C12" s="21"/>
      <c r="D12" s="19"/>
      <c r="E12" s="20"/>
      <c r="F12" s="19"/>
      <c r="G12" s="20"/>
      <c r="H12" s="19"/>
      <c r="I12" s="20"/>
      <c r="J12" s="20" t="s">
        <v>63</v>
      </c>
      <c r="K12" s="20" t="s">
        <v>63</v>
      </c>
      <c r="L12" s="20"/>
      <c r="M12" s="20"/>
      <c r="N12" s="20" t="s">
        <v>63</v>
      </c>
      <c r="O12" s="20" t="s">
        <v>63</v>
      </c>
      <c r="P12" s="20" t="s">
        <v>63</v>
      </c>
      <c r="Q12" s="20"/>
      <c r="R12" s="20"/>
      <c r="S12" s="19"/>
      <c r="T12" s="20"/>
      <c r="U12" s="19"/>
      <c r="V12" s="22"/>
      <c r="W12" s="22"/>
      <c r="X12" s="20"/>
      <c r="Y12" s="25"/>
      <c r="Z12" s="20"/>
    </row>
    <row r="13" spans="1:26" x14ac:dyDescent="0.35">
      <c r="A13" s="19"/>
      <c r="B13" s="20"/>
      <c r="C13" s="21"/>
      <c r="D13" s="19"/>
      <c r="E13" s="20"/>
      <c r="F13" s="19"/>
      <c r="G13" s="20"/>
      <c r="H13" s="19"/>
      <c r="I13" s="20"/>
      <c r="J13" s="20" t="s">
        <v>63</v>
      </c>
      <c r="K13" s="20" t="s">
        <v>63</v>
      </c>
      <c r="L13" s="20"/>
      <c r="M13" s="20"/>
      <c r="N13" s="20" t="s">
        <v>63</v>
      </c>
      <c r="O13" s="20" t="s">
        <v>63</v>
      </c>
      <c r="P13" s="20" t="s">
        <v>63</v>
      </c>
      <c r="Q13" s="20"/>
      <c r="R13" s="20"/>
      <c r="S13" s="19"/>
      <c r="T13" s="20"/>
      <c r="U13" s="19"/>
      <c r="V13" s="22"/>
      <c r="W13" s="22"/>
      <c r="X13" s="20"/>
      <c r="Y13" s="25"/>
      <c r="Z13" s="20"/>
    </row>
    <row r="14" spans="1:26" x14ac:dyDescent="0.35">
      <c r="A14" s="19"/>
      <c r="B14" s="20"/>
      <c r="C14" s="21"/>
      <c r="D14" s="19"/>
      <c r="E14" s="20"/>
      <c r="F14" s="19"/>
      <c r="G14" s="20"/>
      <c r="H14" s="19"/>
      <c r="I14" s="20"/>
      <c r="J14" s="20" t="s">
        <v>63</v>
      </c>
      <c r="K14" s="20" t="s">
        <v>63</v>
      </c>
      <c r="L14" s="20"/>
      <c r="M14" s="20"/>
      <c r="N14" s="20" t="s">
        <v>63</v>
      </c>
      <c r="O14" s="20" t="s">
        <v>63</v>
      </c>
      <c r="P14" s="20" t="s">
        <v>63</v>
      </c>
      <c r="Q14" s="20"/>
      <c r="R14" s="20"/>
      <c r="S14" s="19"/>
      <c r="T14" s="20"/>
      <c r="U14" s="19"/>
      <c r="V14" s="22"/>
      <c r="W14" s="22"/>
      <c r="X14" s="20"/>
      <c r="Y14" s="25"/>
      <c r="Z14" s="20"/>
    </row>
    <row r="15" spans="1:26" x14ac:dyDescent="0.35">
      <c r="A15" s="19"/>
      <c r="B15" s="20"/>
      <c r="C15" s="21"/>
      <c r="D15" s="19"/>
      <c r="E15" s="20"/>
      <c r="F15" s="19"/>
      <c r="G15" s="20"/>
      <c r="H15" s="19"/>
      <c r="I15" s="20"/>
      <c r="J15" s="20" t="s">
        <v>63</v>
      </c>
      <c r="K15" s="20" t="s">
        <v>63</v>
      </c>
      <c r="L15" s="20"/>
      <c r="M15" s="20"/>
      <c r="N15" s="20" t="s">
        <v>63</v>
      </c>
      <c r="O15" s="20" t="s">
        <v>63</v>
      </c>
      <c r="P15" s="20" t="s">
        <v>63</v>
      </c>
      <c r="Q15" s="20"/>
      <c r="R15" s="20"/>
      <c r="S15" s="19"/>
      <c r="T15" s="20"/>
      <c r="U15" s="19"/>
      <c r="V15" s="22"/>
      <c r="W15" s="22"/>
      <c r="X15" s="20"/>
      <c r="Y15" s="25"/>
      <c r="Z15" s="20"/>
    </row>
    <row r="16" spans="1:26" x14ac:dyDescent="0.35">
      <c r="A16" s="19"/>
      <c r="B16" s="20"/>
      <c r="C16" s="21"/>
      <c r="D16" s="19"/>
      <c r="E16" s="20"/>
      <c r="F16" s="19"/>
      <c r="G16" s="20"/>
      <c r="H16" s="19"/>
      <c r="I16" s="20"/>
      <c r="J16" s="20" t="s">
        <v>63</v>
      </c>
      <c r="K16" s="20" t="s">
        <v>63</v>
      </c>
      <c r="L16" s="20"/>
      <c r="M16" s="20"/>
      <c r="N16" s="20" t="s">
        <v>63</v>
      </c>
      <c r="O16" s="20" t="s">
        <v>63</v>
      </c>
      <c r="P16" s="20" t="s">
        <v>63</v>
      </c>
      <c r="Q16" s="20"/>
      <c r="R16" s="20"/>
      <c r="S16" s="19"/>
      <c r="T16" s="20"/>
      <c r="U16" s="19"/>
      <c r="V16" s="22"/>
      <c r="W16" s="22"/>
      <c r="X16" s="20"/>
      <c r="Y16" s="25"/>
      <c r="Z16" s="20"/>
    </row>
    <row r="17" spans="1:26" x14ac:dyDescent="0.35">
      <c r="A17" s="19"/>
      <c r="B17" s="20"/>
      <c r="C17" s="21"/>
      <c r="D17" s="19"/>
      <c r="E17" s="20"/>
      <c r="F17" s="19"/>
      <c r="G17" s="20"/>
      <c r="H17" s="19"/>
      <c r="I17" s="20"/>
      <c r="J17" s="20" t="s">
        <v>63</v>
      </c>
      <c r="K17" s="20" t="s">
        <v>63</v>
      </c>
      <c r="L17" s="20"/>
      <c r="M17" s="20"/>
      <c r="N17" s="20" t="s">
        <v>63</v>
      </c>
      <c r="O17" s="20" t="s">
        <v>63</v>
      </c>
      <c r="P17" s="20" t="s">
        <v>63</v>
      </c>
      <c r="Q17" s="20"/>
      <c r="R17" s="20"/>
      <c r="S17" s="19"/>
      <c r="T17" s="20"/>
      <c r="U17" s="19"/>
      <c r="V17" s="22"/>
      <c r="W17" s="22"/>
      <c r="X17" s="20"/>
      <c r="Y17" s="25"/>
      <c r="Z17" s="20"/>
    </row>
    <row r="18" spans="1:26" x14ac:dyDescent="0.35">
      <c r="A18" s="19"/>
      <c r="B18" s="20"/>
      <c r="C18" s="21"/>
      <c r="D18" s="19"/>
      <c r="E18" s="20"/>
      <c r="F18" s="19"/>
      <c r="G18" s="20"/>
      <c r="H18" s="19"/>
      <c r="I18" s="20"/>
      <c r="J18" s="20" t="s">
        <v>63</v>
      </c>
      <c r="K18" s="20" t="s">
        <v>63</v>
      </c>
      <c r="L18" s="20"/>
      <c r="M18" s="20"/>
      <c r="N18" s="20" t="s">
        <v>63</v>
      </c>
      <c r="O18" s="20" t="s">
        <v>63</v>
      </c>
      <c r="P18" s="20" t="s">
        <v>63</v>
      </c>
      <c r="Q18" s="20"/>
      <c r="R18" s="20"/>
      <c r="S18" s="19"/>
      <c r="T18" s="20"/>
      <c r="U18" s="19"/>
      <c r="V18" s="22"/>
      <c r="W18" s="22"/>
      <c r="X18" s="20"/>
      <c r="Y18" s="25"/>
      <c r="Z18" s="20"/>
    </row>
    <row r="19" spans="1:26" x14ac:dyDescent="0.35">
      <c r="A19" s="19"/>
      <c r="B19" s="20"/>
      <c r="C19" s="21"/>
      <c r="D19" s="19"/>
      <c r="E19" s="20"/>
      <c r="F19" s="19"/>
      <c r="G19" s="20"/>
      <c r="H19" s="19"/>
      <c r="I19" s="20"/>
      <c r="J19" s="20" t="s">
        <v>63</v>
      </c>
      <c r="K19" s="20" t="s">
        <v>63</v>
      </c>
      <c r="L19" s="20"/>
      <c r="M19" s="20"/>
      <c r="N19" s="20" t="s">
        <v>63</v>
      </c>
      <c r="O19" s="20" t="s">
        <v>63</v>
      </c>
      <c r="P19" s="20" t="s">
        <v>63</v>
      </c>
      <c r="Q19" s="20"/>
      <c r="R19" s="20"/>
      <c r="S19" s="19"/>
      <c r="T19" s="20"/>
      <c r="U19" s="19"/>
      <c r="V19" s="22"/>
      <c r="W19" s="22"/>
      <c r="X19" s="20"/>
      <c r="Y19" s="25"/>
      <c r="Z19" s="20"/>
    </row>
    <row r="20" spans="1:26" x14ac:dyDescent="0.35">
      <c r="A20" s="19"/>
      <c r="B20" s="20"/>
      <c r="C20" s="21"/>
      <c r="D20" s="19"/>
      <c r="E20" s="20"/>
      <c r="F20" s="19"/>
      <c r="G20" s="20"/>
      <c r="H20" s="19"/>
      <c r="I20" s="20"/>
      <c r="J20" s="20" t="s">
        <v>63</v>
      </c>
      <c r="K20" s="20" t="s">
        <v>63</v>
      </c>
      <c r="L20" s="20"/>
      <c r="M20" s="20"/>
      <c r="N20" s="20" t="s">
        <v>63</v>
      </c>
      <c r="O20" s="20" t="s">
        <v>63</v>
      </c>
      <c r="P20" s="20" t="s">
        <v>63</v>
      </c>
      <c r="Q20" s="20"/>
      <c r="R20" s="20"/>
      <c r="S20" s="19"/>
      <c r="T20" s="20"/>
      <c r="U20" s="19"/>
      <c r="V20" s="22"/>
      <c r="W20" s="22"/>
      <c r="X20" s="20"/>
      <c r="Y20" s="25"/>
      <c r="Z20" s="20"/>
    </row>
    <row r="21" spans="1:26" x14ac:dyDescent="0.35">
      <c r="A21" s="19"/>
      <c r="B21" s="20"/>
      <c r="C21" s="21"/>
      <c r="D21" s="19"/>
      <c r="E21" s="20"/>
      <c r="F21" s="19"/>
      <c r="G21" s="20"/>
      <c r="H21" s="19"/>
      <c r="I21" s="20"/>
      <c r="J21" s="20" t="s">
        <v>63</v>
      </c>
      <c r="K21" s="20" t="s">
        <v>63</v>
      </c>
      <c r="L21" s="20"/>
      <c r="M21" s="20"/>
      <c r="N21" s="20" t="s">
        <v>63</v>
      </c>
      <c r="O21" s="20" t="s">
        <v>63</v>
      </c>
      <c r="P21" s="20" t="s">
        <v>63</v>
      </c>
      <c r="Q21" s="20"/>
      <c r="R21" s="20"/>
      <c r="S21" s="19"/>
      <c r="T21" s="20"/>
      <c r="U21" s="19"/>
      <c r="V21" s="22"/>
      <c r="W21" s="22"/>
      <c r="X21" s="20"/>
      <c r="Y21" s="25"/>
      <c r="Z21" s="20"/>
    </row>
  </sheetData>
  <autoFilter ref="A1:OJ1" xr:uid="{C792EF23-0EAC-4E03-B73B-CBB8CD5095CF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0702C-6343-484A-A646-F4271A38EA0D}">
  <dimension ref="A1:AO9"/>
  <sheetViews>
    <sheetView workbookViewId="0">
      <pane ySplit="1" topLeftCell="A2" activePane="bottomLeft" state="frozenSplit"/>
      <selection pane="bottomLeft"/>
    </sheetView>
  </sheetViews>
  <sheetFormatPr baseColWidth="10" defaultRowHeight="14.5" x14ac:dyDescent="0.35"/>
  <cols>
    <col min="1" max="1" width="8.6328125" style="13" customWidth="1"/>
    <col min="2" max="2" width="7.6328125" style="13" customWidth="1"/>
    <col min="3" max="3" width="12.6328125" style="13" customWidth="1"/>
    <col min="4" max="4" width="13.6328125" style="13" customWidth="1"/>
    <col min="5" max="5" width="25.6328125" style="24" customWidth="1"/>
    <col min="6" max="6" width="13.6328125" style="13" customWidth="1"/>
    <col min="7" max="7" width="25.6328125" style="24" customWidth="1"/>
    <col min="8" max="8" width="13.6328125" style="13" customWidth="1"/>
    <col min="9" max="11" width="25.6328125" style="24" customWidth="1"/>
    <col min="12" max="12" width="8.6328125" style="13" customWidth="1"/>
    <col min="13" max="13" width="25.6328125" style="24" customWidth="1"/>
    <col min="14" max="14" width="13.6328125" style="13" customWidth="1"/>
    <col min="15" max="16" width="30.6328125" style="24" customWidth="1"/>
    <col min="17" max="17" width="25.6328125" style="24" customWidth="1"/>
    <col min="18" max="20" width="13.6328125" style="13" customWidth="1"/>
    <col min="21" max="22" width="12.6328125" style="13" customWidth="1"/>
    <col min="23" max="24" width="25.6328125" style="24" customWidth="1"/>
    <col min="25" max="25" width="15.6328125" style="13" customWidth="1"/>
    <col min="26" max="28" width="25.6328125" style="24" customWidth="1"/>
    <col min="29" max="29" width="15.6328125" style="13" customWidth="1"/>
    <col min="30" max="32" width="25.6328125" style="24" customWidth="1"/>
    <col min="33" max="33" width="15.6328125" style="13" customWidth="1"/>
    <col min="34" max="36" width="25.6328125" style="24" customWidth="1"/>
    <col min="37" max="37" width="15.6328125" style="13" customWidth="1"/>
    <col min="38" max="38" width="25.6328125" style="24" customWidth="1"/>
    <col min="39" max="39" width="40.6328125" style="24" customWidth="1"/>
    <col min="40" max="40" width="9.6328125" style="13" customWidth="1"/>
    <col min="41" max="41" width="15.6328125" style="13" customWidth="1"/>
    <col min="42" max="16384" width="10.90625" style="13"/>
  </cols>
  <sheetData>
    <row r="1" spans="1:41" ht="58" x14ac:dyDescent="0.35">
      <c r="A1" s="10" t="s">
        <v>2</v>
      </c>
      <c r="B1" s="10" t="s">
        <v>3</v>
      </c>
      <c r="C1" s="11" t="s">
        <v>4</v>
      </c>
      <c r="D1" s="10" t="s">
        <v>5</v>
      </c>
      <c r="E1" s="10" t="s">
        <v>6</v>
      </c>
      <c r="F1" s="10" t="s">
        <v>7</v>
      </c>
      <c r="G1" s="10" t="s">
        <v>8</v>
      </c>
      <c r="H1" s="10" t="s">
        <v>9</v>
      </c>
      <c r="I1" s="10" t="s">
        <v>10</v>
      </c>
      <c r="J1" s="10" t="s">
        <v>11</v>
      </c>
      <c r="K1" s="10" t="s">
        <v>12</v>
      </c>
      <c r="L1" s="10" t="s">
        <v>13</v>
      </c>
      <c r="M1" s="10" t="s">
        <v>14</v>
      </c>
      <c r="N1" s="10" t="s">
        <v>3</v>
      </c>
      <c r="O1" s="10" t="s">
        <v>15</v>
      </c>
      <c r="P1" s="10" t="s">
        <v>16</v>
      </c>
      <c r="Q1" s="10" t="s">
        <v>17</v>
      </c>
      <c r="R1" s="10" t="s">
        <v>18</v>
      </c>
      <c r="S1" s="10" t="s">
        <v>20</v>
      </c>
      <c r="T1" s="10" t="s">
        <v>21</v>
      </c>
      <c r="U1" s="11" t="s">
        <v>22</v>
      </c>
      <c r="V1" s="11" t="s">
        <v>23</v>
      </c>
      <c r="W1" s="10" t="s">
        <v>109</v>
      </c>
      <c r="X1" s="10" t="s">
        <v>110</v>
      </c>
      <c r="Y1" s="10" t="s">
        <v>111</v>
      </c>
      <c r="Z1" s="10" t="s">
        <v>112</v>
      </c>
      <c r="AA1" s="10" t="s">
        <v>113</v>
      </c>
      <c r="AB1" s="10" t="s">
        <v>114</v>
      </c>
      <c r="AC1" s="10" t="s">
        <v>115</v>
      </c>
      <c r="AD1" s="10" t="s">
        <v>116</v>
      </c>
      <c r="AE1" s="10" t="s">
        <v>117</v>
      </c>
      <c r="AF1" s="10" t="s">
        <v>118</v>
      </c>
      <c r="AG1" s="10" t="s">
        <v>119</v>
      </c>
      <c r="AH1" s="10" t="s">
        <v>120</v>
      </c>
      <c r="AI1" s="10" t="s">
        <v>121</v>
      </c>
      <c r="AJ1" s="10" t="s">
        <v>122</v>
      </c>
      <c r="AK1" s="10" t="s">
        <v>123</v>
      </c>
      <c r="AL1" s="10" t="s">
        <v>124</v>
      </c>
      <c r="AM1" s="10" t="s">
        <v>125</v>
      </c>
      <c r="AN1" s="10" t="s">
        <v>49</v>
      </c>
      <c r="AO1" s="10" t="s">
        <v>50</v>
      </c>
    </row>
    <row r="2" spans="1:41" ht="29" x14ac:dyDescent="0.35">
      <c r="A2" s="14" t="s">
        <v>51</v>
      </c>
      <c r="B2" s="14" t="s">
        <v>52</v>
      </c>
      <c r="C2" s="15">
        <v>43152.5</v>
      </c>
      <c r="D2" s="14" t="s">
        <v>53</v>
      </c>
      <c r="E2" s="16" t="s">
        <v>54</v>
      </c>
      <c r="F2" s="14" t="s">
        <v>55</v>
      </c>
      <c r="G2" s="16" t="s">
        <v>56</v>
      </c>
      <c r="H2" s="14" t="s">
        <v>57</v>
      </c>
      <c r="I2" s="16" t="s">
        <v>56</v>
      </c>
      <c r="J2" s="16" t="s">
        <v>58</v>
      </c>
      <c r="K2" s="16" t="s">
        <v>59</v>
      </c>
      <c r="L2" s="14" t="s">
        <v>60</v>
      </c>
      <c r="M2" s="16" t="s">
        <v>61</v>
      </c>
      <c r="N2" s="14" t="s">
        <v>62</v>
      </c>
      <c r="O2" s="16" t="s">
        <v>63</v>
      </c>
      <c r="P2" s="16" t="s">
        <v>63</v>
      </c>
      <c r="Q2" s="16" t="s">
        <v>64</v>
      </c>
      <c r="R2" s="14" t="s">
        <v>65</v>
      </c>
      <c r="S2" s="14" t="s">
        <v>67</v>
      </c>
      <c r="T2" s="14" t="s">
        <v>68</v>
      </c>
      <c r="U2" s="15">
        <v>40550</v>
      </c>
      <c r="V2" s="15"/>
      <c r="W2" s="16"/>
      <c r="X2" s="16" t="s">
        <v>63</v>
      </c>
      <c r="Y2" s="14" t="s">
        <v>63</v>
      </c>
      <c r="Z2" s="16" t="s">
        <v>63</v>
      </c>
      <c r="AA2" s="16" t="s">
        <v>63</v>
      </c>
      <c r="AB2" s="16" t="s">
        <v>63</v>
      </c>
      <c r="AC2" s="14" t="s">
        <v>63</v>
      </c>
      <c r="AD2" s="16" t="s">
        <v>63</v>
      </c>
      <c r="AE2" s="16" t="s">
        <v>63</v>
      </c>
      <c r="AF2" s="16" t="s">
        <v>63</v>
      </c>
      <c r="AG2" s="14" t="s">
        <v>63</v>
      </c>
      <c r="AH2" s="16" t="s">
        <v>63</v>
      </c>
      <c r="AI2" s="16" t="s">
        <v>63</v>
      </c>
      <c r="AJ2" s="16" t="s">
        <v>63</v>
      </c>
      <c r="AK2" s="14" t="s">
        <v>63</v>
      </c>
      <c r="AL2" s="16" t="s">
        <v>63</v>
      </c>
      <c r="AM2" s="16" t="s">
        <v>63</v>
      </c>
      <c r="AN2" s="14" t="s">
        <v>63</v>
      </c>
      <c r="AO2" s="14" t="s">
        <v>63</v>
      </c>
    </row>
    <row r="3" spans="1:41" ht="29" x14ac:dyDescent="0.35">
      <c r="A3" s="14" t="s">
        <v>51</v>
      </c>
      <c r="B3" s="14" t="s">
        <v>52</v>
      </c>
      <c r="C3" s="15">
        <v>43152.5</v>
      </c>
      <c r="D3" s="14" t="s">
        <v>53</v>
      </c>
      <c r="E3" s="16" t="s">
        <v>54</v>
      </c>
      <c r="F3" s="14" t="s">
        <v>55</v>
      </c>
      <c r="G3" s="16" t="s">
        <v>56</v>
      </c>
      <c r="H3" s="14" t="s">
        <v>57</v>
      </c>
      <c r="I3" s="16" t="s">
        <v>56</v>
      </c>
      <c r="J3" s="16" t="s">
        <v>58</v>
      </c>
      <c r="K3" s="16" t="s">
        <v>59</v>
      </c>
      <c r="L3" s="14" t="s">
        <v>94</v>
      </c>
      <c r="M3" s="16" t="s">
        <v>95</v>
      </c>
      <c r="N3" s="14" t="s">
        <v>96</v>
      </c>
      <c r="O3" s="16" t="s">
        <v>63</v>
      </c>
      <c r="P3" s="16" t="s">
        <v>63</v>
      </c>
      <c r="Q3" s="16" t="s">
        <v>64</v>
      </c>
      <c r="R3" s="14" t="s">
        <v>65</v>
      </c>
      <c r="S3" s="14" t="s">
        <v>67</v>
      </c>
      <c r="T3" s="14" t="s">
        <v>68</v>
      </c>
      <c r="U3" s="15">
        <v>40550</v>
      </c>
      <c r="V3" s="15"/>
      <c r="W3" s="16"/>
      <c r="X3" s="16" t="s">
        <v>63</v>
      </c>
      <c r="Y3" s="14" t="s">
        <v>63</v>
      </c>
      <c r="Z3" s="16" t="s">
        <v>63</v>
      </c>
      <c r="AA3" s="16" t="s">
        <v>63</v>
      </c>
      <c r="AB3" s="16" t="s">
        <v>63</v>
      </c>
      <c r="AC3" s="14" t="s">
        <v>63</v>
      </c>
      <c r="AD3" s="16" t="s">
        <v>63</v>
      </c>
      <c r="AE3" s="16" t="s">
        <v>63</v>
      </c>
      <c r="AF3" s="16" t="s">
        <v>63</v>
      </c>
      <c r="AG3" s="14" t="s">
        <v>63</v>
      </c>
      <c r="AH3" s="16" t="s">
        <v>63</v>
      </c>
      <c r="AI3" s="16" t="s">
        <v>63</v>
      </c>
      <c r="AJ3" s="16" t="s">
        <v>63</v>
      </c>
      <c r="AK3" s="14" t="s">
        <v>63</v>
      </c>
      <c r="AL3" s="16" t="s">
        <v>63</v>
      </c>
      <c r="AM3" s="16" t="s">
        <v>63</v>
      </c>
      <c r="AN3" s="14" t="s">
        <v>63</v>
      </c>
      <c r="AO3" s="14" t="s">
        <v>63</v>
      </c>
    </row>
    <row r="4" spans="1:41" ht="29" x14ac:dyDescent="0.35">
      <c r="A4" s="14" t="s">
        <v>51</v>
      </c>
      <c r="B4" s="14" t="s">
        <v>52</v>
      </c>
      <c r="C4" s="15">
        <v>43152.5</v>
      </c>
      <c r="D4" s="14" t="s">
        <v>53</v>
      </c>
      <c r="E4" s="16" t="s">
        <v>54</v>
      </c>
      <c r="F4" s="14" t="s">
        <v>55</v>
      </c>
      <c r="G4" s="16" t="s">
        <v>56</v>
      </c>
      <c r="H4" s="14" t="s">
        <v>57</v>
      </c>
      <c r="I4" s="16" t="s">
        <v>56</v>
      </c>
      <c r="J4" s="16" t="s">
        <v>58</v>
      </c>
      <c r="K4" s="16" t="s">
        <v>59</v>
      </c>
      <c r="L4" s="14" t="s">
        <v>60</v>
      </c>
      <c r="M4" s="16" t="s">
        <v>61</v>
      </c>
      <c r="N4" s="14" t="s">
        <v>62</v>
      </c>
      <c r="O4" s="16" t="s">
        <v>63</v>
      </c>
      <c r="P4" s="16" t="s">
        <v>63</v>
      </c>
      <c r="Q4" s="16" t="s">
        <v>98</v>
      </c>
      <c r="R4" s="14" t="s">
        <v>99</v>
      </c>
      <c r="S4" s="14" t="s">
        <v>67</v>
      </c>
      <c r="T4" s="14" t="s">
        <v>101</v>
      </c>
      <c r="U4" s="15">
        <v>40550</v>
      </c>
      <c r="V4" s="15"/>
      <c r="W4" s="16"/>
      <c r="X4" s="16" t="s">
        <v>63</v>
      </c>
      <c r="Y4" s="14" t="s">
        <v>63</v>
      </c>
      <c r="Z4" s="16" t="s">
        <v>63</v>
      </c>
      <c r="AA4" s="16" t="s">
        <v>63</v>
      </c>
      <c r="AB4" s="16" t="s">
        <v>63</v>
      </c>
      <c r="AC4" s="14" t="s">
        <v>63</v>
      </c>
      <c r="AD4" s="16" t="s">
        <v>63</v>
      </c>
      <c r="AE4" s="16" t="s">
        <v>63</v>
      </c>
      <c r="AF4" s="16" t="s">
        <v>63</v>
      </c>
      <c r="AG4" s="14" t="s">
        <v>63</v>
      </c>
      <c r="AH4" s="16" t="s">
        <v>63</v>
      </c>
      <c r="AI4" s="16" t="s">
        <v>63</v>
      </c>
      <c r="AJ4" s="16" t="s">
        <v>63</v>
      </c>
      <c r="AK4" s="14" t="s">
        <v>63</v>
      </c>
      <c r="AL4" s="16" t="s">
        <v>63</v>
      </c>
      <c r="AM4" s="16" t="s">
        <v>63</v>
      </c>
      <c r="AN4" s="14" t="s">
        <v>63</v>
      </c>
      <c r="AO4" s="14" t="s">
        <v>63</v>
      </c>
    </row>
    <row r="5" spans="1:41" ht="29" x14ac:dyDescent="0.35">
      <c r="A5" s="14" t="s">
        <v>51</v>
      </c>
      <c r="B5" s="14" t="s">
        <v>52</v>
      </c>
      <c r="C5" s="15">
        <v>43152.5</v>
      </c>
      <c r="D5" s="14" t="s">
        <v>53</v>
      </c>
      <c r="E5" s="16" t="s">
        <v>54</v>
      </c>
      <c r="F5" s="14" t="s">
        <v>55</v>
      </c>
      <c r="G5" s="16" t="s">
        <v>56</v>
      </c>
      <c r="H5" s="14" t="s">
        <v>57</v>
      </c>
      <c r="I5" s="16" t="s">
        <v>56</v>
      </c>
      <c r="J5" s="16" t="s">
        <v>58</v>
      </c>
      <c r="K5" s="16" t="s">
        <v>59</v>
      </c>
      <c r="L5" s="14" t="s">
        <v>94</v>
      </c>
      <c r="M5" s="16" t="s">
        <v>95</v>
      </c>
      <c r="N5" s="14" t="s">
        <v>96</v>
      </c>
      <c r="O5" s="16" t="s">
        <v>63</v>
      </c>
      <c r="P5" s="16" t="s">
        <v>63</v>
      </c>
      <c r="Q5" s="16" t="s">
        <v>98</v>
      </c>
      <c r="R5" s="14" t="s">
        <v>99</v>
      </c>
      <c r="S5" s="14" t="s">
        <v>67</v>
      </c>
      <c r="T5" s="14" t="s">
        <v>101</v>
      </c>
      <c r="U5" s="15">
        <v>40550</v>
      </c>
      <c r="V5" s="15"/>
      <c r="W5" s="16"/>
      <c r="X5" s="16" t="s">
        <v>63</v>
      </c>
      <c r="Y5" s="14" t="s">
        <v>63</v>
      </c>
      <c r="Z5" s="16" t="s">
        <v>63</v>
      </c>
      <c r="AA5" s="16" t="s">
        <v>63</v>
      </c>
      <c r="AB5" s="16" t="s">
        <v>63</v>
      </c>
      <c r="AC5" s="14" t="s">
        <v>63</v>
      </c>
      <c r="AD5" s="16" t="s">
        <v>63</v>
      </c>
      <c r="AE5" s="16" t="s">
        <v>63</v>
      </c>
      <c r="AF5" s="16" t="s">
        <v>63</v>
      </c>
      <c r="AG5" s="14" t="s">
        <v>63</v>
      </c>
      <c r="AH5" s="16" t="s">
        <v>63</v>
      </c>
      <c r="AI5" s="16" t="s">
        <v>63</v>
      </c>
      <c r="AJ5" s="16" t="s">
        <v>63</v>
      </c>
      <c r="AK5" s="14" t="s">
        <v>63</v>
      </c>
      <c r="AL5" s="16" t="s">
        <v>63</v>
      </c>
      <c r="AM5" s="16" t="s">
        <v>63</v>
      </c>
      <c r="AN5" s="14" t="s">
        <v>63</v>
      </c>
      <c r="AO5" s="14" t="s">
        <v>63</v>
      </c>
    </row>
    <row r="6" spans="1:41" ht="29" x14ac:dyDescent="0.35">
      <c r="A6" s="14" t="s">
        <v>51</v>
      </c>
      <c r="B6" s="14" t="s">
        <v>52</v>
      </c>
      <c r="C6" s="15">
        <v>43152.5</v>
      </c>
      <c r="D6" s="14" t="s">
        <v>53</v>
      </c>
      <c r="E6" s="16" t="s">
        <v>54</v>
      </c>
      <c r="F6" s="14" t="s">
        <v>55</v>
      </c>
      <c r="G6" s="16" t="s">
        <v>56</v>
      </c>
      <c r="H6" s="14" t="s">
        <v>57</v>
      </c>
      <c r="I6" s="16" t="s">
        <v>56</v>
      </c>
      <c r="J6" s="16" t="s">
        <v>58</v>
      </c>
      <c r="K6" s="16" t="s">
        <v>59</v>
      </c>
      <c r="L6" s="14" t="s">
        <v>60</v>
      </c>
      <c r="M6" s="16" t="s">
        <v>61</v>
      </c>
      <c r="N6" s="14" t="s">
        <v>62</v>
      </c>
      <c r="O6" s="16" t="s">
        <v>63</v>
      </c>
      <c r="P6" s="16" t="s">
        <v>63</v>
      </c>
      <c r="Q6" s="16" t="s">
        <v>102</v>
      </c>
      <c r="R6" s="14" t="s">
        <v>103</v>
      </c>
      <c r="S6" s="14" t="s">
        <v>67</v>
      </c>
      <c r="T6" s="14" t="s">
        <v>68</v>
      </c>
      <c r="U6" s="15">
        <v>40550</v>
      </c>
      <c r="V6" s="15"/>
      <c r="W6" s="16"/>
      <c r="X6" s="16" t="s">
        <v>63</v>
      </c>
      <c r="Y6" s="14" t="s">
        <v>63</v>
      </c>
      <c r="Z6" s="16" t="s">
        <v>63</v>
      </c>
      <c r="AA6" s="16" t="s">
        <v>63</v>
      </c>
      <c r="AB6" s="16" t="s">
        <v>63</v>
      </c>
      <c r="AC6" s="14" t="s">
        <v>63</v>
      </c>
      <c r="AD6" s="16" t="s">
        <v>63</v>
      </c>
      <c r="AE6" s="16" t="s">
        <v>63</v>
      </c>
      <c r="AF6" s="16" t="s">
        <v>63</v>
      </c>
      <c r="AG6" s="14" t="s">
        <v>63</v>
      </c>
      <c r="AH6" s="16" t="s">
        <v>63</v>
      </c>
      <c r="AI6" s="16" t="s">
        <v>63</v>
      </c>
      <c r="AJ6" s="16" t="s">
        <v>63</v>
      </c>
      <c r="AK6" s="14" t="s">
        <v>63</v>
      </c>
      <c r="AL6" s="16" t="s">
        <v>63</v>
      </c>
      <c r="AM6" s="16" t="s">
        <v>63</v>
      </c>
      <c r="AN6" s="14" t="s">
        <v>63</v>
      </c>
      <c r="AO6" s="14" t="s">
        <v>63</v>
      </c>
    </row>
    <row r="7" spans="1:41" ht="29" x14ac:dyDescent="0.35">
      <c r="A7" s="14" t="s">
        <v>51</v>
      </c>
      <c r="B7" s="14" t="s">
        <v>52</v>
      </c>
      <c r="C7" s="15">
        <v>43152.5</v>
      </c>
      <c r="D7" s="14" t="s">
        <v>53</v>
      </c>
      <c r="E7" s="16" t="s">
        <v>54</v>
      </c>
      <c r="F7" s="14" t="s">
        <v>55</v>
      </c>
      <c r="G7" s="16" t="s">
        <v>56</v>
      </c>
      <c r="H7" s="14" t="s">
        <v>57</v>
      </c>
      <c r="I7" s="16" t="s">
        <v>56</v>
      </c>
      <c r="J7" s="16" t="s">
        <v>58</v>
      </c>
      <c r="K7" s="16" t="s">
        <v>59</v>
      </c>
      <c r="L7" s="14" t="s">
        <v>94</v>
      </c>
      <c r="M7" s="16" t="s">
        <v>95</v>
      </c>
      <c r="N7" s="14" t="s">
        <v>96</v>
      </c>
      <c r="O7" s="16" t="s">
        <v>63</v>
      </c>
      <c r="P7" s="16" t="s">
        <v>63</v>
      </c>
      <c r="Q7" s="16" t="s">
        <v>102</v>
      </c>
      <c r="R7" s="14" t="s">
        <v>103</v>
      </c>
      <c r="S7" s="14" t="s">
        <v>67</v>
      </c>
      <c r="T7" s="14" t="s">
        <v>68</v>
      </c>
      <c r="U7" s="15">
        <v>40550</v>
      </c>
      <c r="V7" s="15"/>
      <c r="W7" s="16"/>
      <c r="X7" s="16" t="s">
        <v>63</v>
      </c>
      <c r="Y7" s="14" t="s">
        <v>63</v>
      </c>
      <c r="Z7" s="16" t="s">
        <v>63</v>
      </c>
      <c r="AA7" s="16" t="s">
        <v>63</v>
      </c>
      <c r="AB7" s="16" t="s">
        <v>63</v>
      </c>
      <c r="AC7" s="14" t="s">
        <v>63</v>
      </c>
      <c r="AD7" s="16" t="s">
        <v>63</v>
      </c>
      <c r="AE7" s="16" t="s">
        <v>63</v>
      </c>
      <c r="AF7" s="16" t="s">
        <v>63</v>
      </c>
      <c r="AG7" s="14" t="s">
        <v>63</v>
      </c>
      <c r="AH7" s="16" t="s">
        <v>63</v>
      </c>
      <c r="AI7" s="16" t="s">
        <v>63</v>
      </c>
      <c r="AJ7" s="16" t="s">
        <v>63</v>
      </c>
      <c r="AK7" s="14" t="s">
        <v>63</v>
      </c>
      <c r="AL7" s="16" t="s">
        <v>63</v>
      </c>
      <c r="AM7" s="16" t="s">
        <v>63</v>
      </c>
      <c r="AN7" s="14" t="s">
        <v>63</v>
      </c>
      <c r="AO7" s="14" t="s">
        <v>63</v>
      </c>
    </row>
    <row r="8" spans="1:41" ht="29" x14ac:dyDescent="0.35">
      <c r="A8" s="14" t="s">
        <v>51</v>
      </c>
      <c r="B8" s="14" t="s">
        <v>52</v>
      </c>
      <c r="C8" s="15">
        <v>43189.5</v>
      </c>
      <c r="D8" s="14" t="s">
        <v>53</v>
      </c>
      <c r="E8" s="16" t="s">
        <v>54</v>
      </c>
      <c r="F8" s="14" t="s">
        <v>55</v>
      </c>
      <c r="G8" s="16" t="s">
        <v>56</v>
      </c>
      <c r="H8" s="14" t="s">
        <v>57</v>
      </c>
      <c r="I8" s="16" t="s">
        <v>56</v>
      </c>
      <c r="J8" s="16" t="s">
        <v>58</v>
      </c>
      <c r="K8" s="16" t="s">
        <v>59</v>
      </c>
      <c r="L8" s="14" t="s">
        <v>60</v>
      </c>
      <c r="M8" s="16" t="s">
        <v>61</v>
      </c>
      <c r="N8" s="14" t="s">
        <v>62</v>
      </c>
      <c r="O8" s="16" t="s">
        <v>63</v>
      </c>
      <c r="P8" s="16" t="s">
        <v>63</v>
      </c>
      <c r="Q8" s="16" t="s">
        <v>105</v>
      </c>
      <c r="R8" s="14" t="s">
        <v>106</v>
      </c>
      <c r="S8" s="14" t="s">
        <v>67</v>
      </c>
      <c r="T8" s="14" t="s">
        <v>101</v>
      </c>
      <c r="U8" s="15">
        <v>40550</v>
      </c>
      <c r="V8" s="15"/>
      <c r="W8" s="16"/>
      <c r="X8" s="16" t="s">
        <v>63</v>
      </c>
      <c r="Y8" s="14" t="s">
        <v>63</v>
      </c>
      <c r="Z8" s="16" t="s">
        <v>63</v>
      </c>
      <c r="AA8" s="16" t="s">
        <v>63</v>
      </c>
      <c r="AB8" s="16" t="s">
        <v>63</v>
      </c>
      <c r="AC8" s="14" t="s">
        <v>63</v>
      </c>
      <c r="AD8" s="16" t="s">
        <v>63</v>
      </c>
      <c r="AE8" s="16" t="s">
        <v>63</v>
      </c>
      <c r="AF8" s="16" t="s">
        <v>63</v>
      </c>
      <c r="AG8" s="14" t="s">
        <v>63</v>
      </c>
      <c r="AH8" s="16" t="s">
        <v>63</v>
      </c>
      <c r="AI8" s="16" t="s">
        <v>63</v>
      </c>
      <c r="AJ8" s="16" t="s">
        <v>63</v>
      </c>
      <c r="AK8" s="14" t="s">
        <v>63</v>
      </c>
      <c r="AL8" s="16" t="s">
        <v>63</v>
      </c>
      <c r="AM8" s="16" t="s">
        <v>63</v>
      </c>
      <c r="AN8" s="14" t="s">
        <v>63</v>
      </c>
      <c r="AO8" s="14" t="s">
        <v>63</v>
      </c>
    </row>
    <row r="9" spans="1:41" ht="29" x14ac:dyDescent="0.35">
      <c r="A9" s="14" t="s">
        <v>51</v>
      </c>
      <c r="B9" s="14" t="s">
        <v>52</v>
      </c>
      <c r="C9" s="15">
        <v>43189.5</v>
      </c>
      <c r="D9" s="14" t="s">
        <v>53</v>
      </c>
      <c r="E9" s="16" t="s">
        <v>54</v>
      </c>
      <c r="F9" s="14" t="s">
        <v>55</v>
      </c>
      <c r="G9" s="16" t="s">
        <v>56</v>
      </c>
      <c r="H9" s="14" t="s">
        <v>57</v>
      </c>
      <c r="I9" s="16" t="s">
        <v>56</v>
      </c>
      <c r="J9" s="16" t="s">
        <v>58</v>
      </c>
      <c r="K9" s="16" t="s">
        <v>59</v>
      </c>
      <c r="L9" s="14" t="s">
        <v>94</v>
      </c>
      <c r="M9" s="16" t="s">
        <v>95</v>
      </c>
      <c r="N9" s="14" t="s">
        <v>96</v>
      </c>
      <c r="O9" s="16" t="s">
        <v>63</v>
      </c>
      <c r="P9" s="16" t="s">
        <v>63</v>
      </c>
      <c r="Q9" s="16" t="s">
        <v>105</v>
      </c>
      <c r="R9" s="14" t="s">
        <v>106</v>
      </c>
      <c r="S9" s="14" t="s">
        <v>67</v>
      </c>
      <c r="T9" s="14" t="s">
        <v>101</v>
      </c>
      <c r="U9" s="15">
        <v>40550</v>
      </c>
      <c r="V9" s="15"/>
      <c r="W9" s="16"/>
      <c r="X9" s="16" t="s">
        <v>63</v>
      </c>
      <c r="Y9" s="14" t="s">
        <v>63</v>
      </c>
      <c r="Z9" s="16" t="s">
        <v>63</v>
      </c>
      <c r="AA9" s="16" t="s">
        <v>63</v>
      </c>
      <c r="AB9" s="16" t="s">
        <v>63</v>
      </c>
      <c r="AC9" s="14" t="s">
        <v>63</v>
      </c>
      <c r="AD9" s="16" t="s">
        <v>63</v>
      </c>
      <c r="AE9" s="16" t="s">
        <v>63</v>
      </c>
      <c r="AF9" s="16" t="s">
        <v>63</v>
      </c>
      <c r="AG9" s="14" t="s">
        <v>63</v>
      </c>
      <c r="AH9" s="16" t="s">
        <v>63</v>
      </c>
      <c r="AI9" s="16" t="s">
        <v>63</v>
      </c>
      <c r="AJ9" s="16" t="s">
        <v>63</v>
      </c>
      <c r="AK9" s="14" t="s">
        <v>63</v>
      </c>
      <c r="AL9" s="16" t="s">
        <v>63</v>
      </c>
      <c r="AM9" s="16" t="s">
        <v>63</v>
      </c>
      <c r="AN9" s="14" t="s">
        <v>63</v>
      </c>
      <c r="AO9" s="14" t="s">
        <v>63</v>
      </c>
    </row>
  </sheetData>
  <autoFilter ref="A1:AS1" xr:uid="{6FA0702C-6343-484A-A646-F4271A38EA0D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EEE8A-43F9-4524-A6BD-4862AE9223C1}">
  <dimension ref="A1:V21"/>
  <sheetViews>
    <sheetView workbookViewId="0">
      <pane ySplit="1" topLeftCell="A2" activePane="bottomLeft" state="frozenSplit"/>
      <selection pane="bottomLeft"/>
    </sheetView>
  </sheetViews>
  <sheetFormatPr baseColWidth="10" defaultRowHeight="14.5" x14ac:dyDescent="0.35"/>
  <cols>
    <col min="1" max="1" width="8.6328125" style="13" customWidth="1"/>
    <col min="2" max="2" width="7.6328125" style="13" customWidth="1"/>
    <col min="3" max="4" width="12.6328125" style="13" customWidth="1"/>
    <col min="5" max="5" width="14.6328125" style="13" customWidth="1"/>
    <col min="6" max="6" width="40.6328125" style="24" customWidth="1"/>
    <col min="7" max="7" width="25.6328125" style="13" customWidth="1"/>
    <col min="8" max="9" width="12.6328125" style="13" customWidth="1"/>
    <col min="10" max="11" width="40.6328125" style="24" customWidth="1"/>
    <col min="12" max="12" width="14.6328125" style="13" customWidth="1"/>
    <col min="13" max="13" width="25.6328125" style="24" customWidth="1"/>
    <col min="14" max="18" width="25.6328125" style="13" customWidth="1"/>
    <col min="19" max="19" width="9.6328125" style="13" customWidth="1"/>
    <col min="20" max="21" width="15.6328125" style="13" customWidth="1"/>
    <col min="22" max="22" width="40.6328125" style="24" customWidth="1"/>
    <col min="23" max="16384" width="10.90625" style="13"/>
  </cols>
  <sheetData>
    <row r="1" spans="1:22" ht="43.5" x14ac:dyDescent="0.35">
      <c r="A1" s="10" t="s">
        <v>2</v>
      </c>
      <c r="B1" s="10" t="s">
        <v>3</v>
      </c>
      <c r="C1" s="11" t="s">
        <v>4</v>
      </c>
      <c r="D1" s="10" t="s">
        <v>126</v>
      </c>
      <c r="E1" s="10" t="s">
        <v>127</v>
      </c>
      <c r="F1" s="10" t="s">
        <v>128</v>
      </c>
      <c r="G1" s="10" t="s">
        <v>129</v>
      </c>
      <c r="H1" s="11" t="s">
        <v>22</v>
      </c>
      <c r="I1" s="11" t="s">
        <v>23</v>
      </c>
      <c r="J1" s="10" t="s">
        <v>130</v>
      </c>
      <c r="K1" s="10" t="s">
        <v>131</v>
      </c>
      <c r="L1" s="10" t="s">
        <v>132</v>
      </c>
      <c r="M1" s="10" t="s">
        <v>125</v>
      </c>
      <c r="N1" s="10" t="s">
        <v>133</v>
      </c>
      <c r="O1" s="12" t="s">
        <v>134</v>
      </c>
      <c r="P1" s="12" t="s">
        <v>135</v>
      </c>
      <c r="Q1" s="12" t="s">
        <v>136</v>
      </c>
      <c r="R1" s="12" t="s">
        <v>137</v>
      </c>
      <c r="S1" s="10" t="s">
        <v>49</v>
      </c>
      <c r="T1" s="10" t="s">
        <v>50</v>
      </c>
      <c r="U1" s="10" t="s">
        <v>138</v>
      </c>
      <c r="V1" s="10" t="s">
        <v>139</v>
      </c>
    </row>
    <row r="2" spans="1:22" ht="43.5" x14ac:dyDescent="0.35">
      <c r="A2" s="14" t="s">
        <v>51</v>
      </c>
      <c r="B2" s="14" t="s">
        <v>52</v>
      </c>
      <c r="C2" s="15">
        <v>43152.5</v>
      </c>
      <c r="D2" s="14" t="s">
        <v>70</v>
      </c>
      <c r="E2" s="14" t="s">
        <v>140</v>
      </c>
      <c r="F2" s="16" t="s">
        <v>71</v>
      </c>
      <c r="G2" s="14" t="s">
        <v>63</v>
      </c>
      <c r="H2" s="15">
        <v>40725</v>
      </c>
      <c r="I2" s="15"/>
      <c r="J2" s="16" t="s">
        <v>63</v>
      </c>
      <c r="K2" s="16" t="s">
        <v>141</v>
      </c>
      <c r="L2" s="14" t="s">
        <v>142</v>
      </c>
      <c r="M2" s="16" t="s">
        <v>63</v>
      </c>
      <c r="N2" s="14" t="s">
        <v>63</v>
      </c>
      <c r="O2" s="17"/>
      <c r="P2" s="17"/>
      <c r="Q2" s="17"/>
      <c r="R2" s="17"/>
      <c r="S2" s="14" t="s">
        <v>63</v>
      </c>
      <c r="T2" s="14" t="s">
        <v>63</v>
      </c>
      <c r="U2" s="14" t="s">
        <v>63</v>
      </c>
      <c r="V2" s="16" t="s">
        <v>63</v>
      </c>
    </row>
    <row r="3" spans="1:22" ht="29" x14ac:dyDescent="0.35">
      <c r="A3" s="14" t="s">
        <v>51</v>
      </c>
      <c r="B3" s="14" t="s">
        <v>52</v>
      </c>
      <c r="C3" s="15">
        <v>43152.5</v>
      </c>
      <c r="D3" s="14" t="s">
        <v>72</v>
      </c>
      <c r="E3" s="14" t="s">
        <v>140</v>
      </c>
      <c r="F3" s="16" t="s">
        <v>73</v>
      </c>
      <c r="G3" s="14" t="s">
        <v>63</v>
      </c>
      <c r="H3" s="15">
        <v>40725</v>
      </c>
      <c r="I3" s="15"/>
      <c r="J3" s="16" t="s">
        <v>143</v>
      </c>
      <c r="K3" s="16" t="s">
        <v>144</v>
      </c>
      <c r="L3" s="14" t="s">
        <v>145</v>
      </c>
      <c r="M3" s="16" t="s">
        <v>63</v>
      </c>
      <c r="N3" s="14" t="s">
        <v>63</v>
      </c>
      <c r="O3" s="17"/>
      <c r="P3" s="17"/>
      <c r="Q3" s="17"/>
      <c r="R3" s="17"/>
      <c r="S3" s="14" t="s">
        <v>63</v>
      </c>
      <c r="T3" s="14" t="s">
        <v>63</v>
      </c>
      <c r="U3" s="14" t="s">
        <v>63</v>
      </c>
      <c r="V3" s="16" t="s">
        <v>63</v>
      </c>
    </row>
    <row r="4" spans="1:22" ht="29" x14ac:dyDescent="0.35">
      <c r="A4" s="14" t="s">
        <v>51</v>
      </c>
      <c r="B4" s="14" t="s">
        <v>52</v>
      </c>
      <c r="C4" s="15">
        <v>43152.5</v>
      </c>
      <c r="D4" s="14" t="s">
        <v>74</v>
      </c>
      <c r="E4" s="14" t="s">
        <v>140</v>
      </c>
      <c r="F4" s="16" t="s">
        <v>75</v>
      </c>
      <c r="G4" s="14" t="s">
        <v>63</v>
      </c>
      <c r="H4" s="15">
        <v>40725</v>
      </c>
      <c r="I4" s="15"/>
      <c r="J4" s="16" t="s">
        <v>143</v>
      </c>
      <c r="K4" s="16" t="s">
        <v>146</v>
      </c>
      <c r="L4" s="14" t="s">
        <v>142</v>
      </c>
      <c r="M4" s="16" t="s">
        <v>63</v>
      </c>
      <c r="N4" s="14" t="s">
        <v>63</v>
      </c>
      <c r="O4" s="17"/>
      <c r="P4" s="17"/>
      <c r="Q4" s="17"/>
      <c r="R4" s="17"/>
      <c r="S4" s="14" t="s">
        <v>63</v>
      </c>
      <c r="T4" s="14" t="s">
        <v>63</v>
      </c>
      <c r="U4" s="14" t="s">
        <v>63</v>
      </c>
      <c r="V4" s="16" t="s">
        <v>63</v>
      </c>
    </row>
    <row r="5" spans="1:22" ht="58" x14ac:dyDescent="0.35">
      <c r="A5" s="14" t="s">
        <v>51</v>
      </c>
      <c r="B5" s="14" t="s">
        <v>52</v>
      </c>
      <c r="C5" s="15">
        <v>43152.5</v>
      </c>
      <c r="D5" s="14" t="s">
        <v>82</v>
      </c>
      <c r="E5" s="14" t="s">
        <v>140</v>
      </c>
      <c r="F5" s="16" t="s">
        <v>83</v>
      </c>
      <c r="G5" s="14" t="s">
        <v>63</v>
      </c>
      <c r="H5" s="15">
        <v>40725</v>
      </c>
      <c r="I5" s="15"/>
      <c r="J5" s="16" t="s">
        <v>147</v>
      </c>
      <c r="K5" s="16" t="s">
        <v>148</v>
      </c>
      <c r="L5" s="14" t="s">
        <v>142</v>
      </c>
      <c r="M5" s="16" t="s">
        <v>63</v>
      </c>
      <c r="N5" s="14" t="s">
        <v>63</v>
      </c>
      <c r="O5" s="17"/>
      <c r="P5" s="17"/>
      <c r="Q5" s="17"/>
      <c r="R5" s="17"/>
      <c r="S5" s="14" t="s">
        <v>63</v>
      </c>
      <c r="T5" s="14" t="s">
        <v>63</v>
      </c>
      <c r="U5" s="14" t="s">
        <v>63</v>
      </c>
      <c r="V5" s="16" t="s">
        <v>63</v>
      </c>
    </row>
    <row r="6" spans="1:22" ht="43.5" x14ac:dyDescent="0.35">
      <c r="A6" s="14" t="s">
        <v>51</v>
      </c>
      <c r="B6" s="14" t="s">
        <v>52</v>
      </c>
      <c r="C6" s="15">
        <v>43152.5</v>
      </c>
      <c r="D6" s="14" t="s">
        <v>84</v>
      </c>
      <c r="E6" s="14" t="s">
        <v>140</v>
      </c>
      <c r="F6" s="16" t="s">
        <v>85</v>
      </c>
      <c r="G6" s="14" t="s">
        <v>63</v>
      </c>
      <c r="H6" s="15">
        <v>40725</v>
      </c>
      <c r="I6" s="15"/>
      <c r="J6" s="16" t="s">
        <v>149</v>
      </c>
      <c r="K6" s="16" t="s">
        <v>150</v>
      </c>
      <c r="L6" s="14" t="s">
        <v>145</v>
      </c>
      <c r="M6" s="16" t="s">
        <v>63</v>
      </c>
      <c r="N6" s="14" t="s">
        <v>63</v>
      </c>
      <c r="O6" s="17"/>
      <c r="P6" s="17"/>
      <c r="Q6" s="17"/>
      <c r="R6" s="17"/>
      <c r="S6" s="14" t="s">
        <v>63</v>
      </c>
      <c r="T6" s="14" t="s">
        <v>63</v>
      </c>
      <c r="U6" s="14" t="s">
        <v>63</v>
      </c>
      <c r="V6" s="16" t="s">
        <v>63</v>
      </c>
    </row>
    <row r="7" spans="1:22" ht="43.5" x14ac:dyDescent="0.35">
      <c r="A7" s="14" t="s">
        <v>51</v>
      </c>
      <c r="B7" s="14" t="s">
        <v>52</v>
      </c>
      <c r="C7" s="15">
        <v>43152.5</v>
      </c>
      <c r="D7" s="14" t="s">
        <v>86</v>
      </c>
      <c r="E7" s="14" t="s">
        <v>140</v>
      </c>
      <c r="F7" s="16" t="s">
        <v>87</v>
      </c>
      <c r="G7" s="14" t="s">
        <v>63</v>
      </c>
      <c r="H7" s="15">
        <v>40725</v>
      </c>
      <c r="I7" s="15"/>
      <c r="J7" s="16" t="s">
        <v>151</v>
      </c>
      <c r="K7" s="16" t="s">
        <v>152</v>
      </c>
      <c r="L7" s="14" t="s">
        <v>142</v>
      </c>
      <c r="M7" s="16" t="s">
        <v>63</v>
      </c>
      <c r="N7" s="14" t="s">
        <v>63</v>
      </c>
      <c r="O7" s="17"/>
      <c r="P7" s="17"/>
      <c r="Q7" s="17"/>
      <c r="R7" s="17"/>
      <c r="S7" s="14" t="s">
        <v>63</v>
      </c>
      <c r="T7" s="14" t="s">
        <v>63</v>
      </c>
      <c r="U7" s="14" t="s">
        <v>63</v>
      </c>
      <c r="V7" s="16" t="s">
        <v>63</v>
      </c>
    </row>
    <row r="8" spans="1:22" ht="58" x14ac:dyDescent="0.35">
      <c r="A8" s="14" t="s">
        <v>51</v>
      </c>
      <c r="B8" s="14" t="s">
        <v>52</v>
      </c>
      <c r="C8" s="15">
        <v>43152.5</v>
      </c>
      <c r="D8" s="14" t="s">
        <v>88</v>
      </c>
      <c r="E8" s="14" t="s">
        <v>140</v>
      </c>
      <c r="F8" s="16" t="s">
        <v>89</v>
      </c>
      <c r="G8" s="14" t="s">
        <v>63</v>
      </c>
      <c r="H8" s="15">
        <v>40725</v>
      </c>
      <c r="I8" s="15"/>
      <c r="J8" s="16" t="s">
        <v>147</v>
      </c>
      <c r="K8" s="16" t="s">
        <v>153</v>
      </c>
      <c r="L8" s="14" t="s">
        <v>142</v>
      </c>
      <c r="M8" s="16" t="s">
        <v>63</v>
      </c>
      <c r="N8" s="14" t="s">
        <v>63</v>
      </c>
      <c r="O8" s="17"/>
      <c r="P8" s="17"/>
      <c r="Q8" s="17"/>
      <c r="R8" s="17"/>
      <c r="S8" s="14" t="s">
        <v>63</v>
      </c>
      <c r="T8" s="14" t="s">
        <v>63</v>
      </c>
      <c r="U8" s="14" t="s">
        <v>63</v>
      </c>
      <c r="V8" s="16" t="s">
        <v>63</v>
      </c>
    </row>
    <row r="9" spans="1:22" ht="43.5" x14ac:dyDescent="0.35">
      <c r="A9" s="14" t="s">
        <v>51</v>
      </c>
      <c r="B9" s="14" t="s">
        <v>52</v>
      </c>
      <c r="C9" s="15">
        <v>43152.5</v>
      </c>
      <c r="D9" s="14" t="s">
        <v>90</v>
      </c>
      <c r="E9" s="14" t="s">
        <v>140</v>
      </c>
      <c r="F9" s="16" t="s">
        <v>91</v>
      </c>
      <c r="G9" s="14" t="s">
        <v>63</v>
      </c>
      <c r="H9" s="15">
        <v>40725</v>
      </c>
      <c r="I9" s="15"/>
      <c r="J9" s="16" t="s">
        <v>154</v>
      </c>
      <c r="K9" s="16" t="s">
        <v>155</v>
      </c>
      <c r="L9" s="14" t="s">
        <v>142</v>
      </c>
      <c r="M9" s="16" t="s">
        <v>63</v>
      </c>
      <c r="N9" s="14" t="s">
        <v>63</v>
      </c>
      <c r="O9" s="17"/>
      <c r="P9" s="17"/>
      <c r="Q9" s="17"/>
      <c r="R9" s="17"/>
      <c r="S9" s="14" t="s">
        <v>63</v>
      </c>
      <c r="T9" s="14" t="s">
        <v>63</v>
      </c>
      <c r="U9" s="14" t="s">
        <v>63</v>
      </c>
      <c r="V9" s="16" t="s">
        <v>63</v>
      </c>
    </row>
    <row r="10" spans="1:22" ht="43.5" x14ac:dyDescent="0.35">
      <c r="A10" s="14" t="s">
        <v>51</v>
      </c>
      <c r="B10" s="14" t="s">
        <v>52</v>
      </c>
      <c r="C10" s="15">
        <v>43152.5</v>
      </c>
      <c r="D10" s="14" t="s">
        <v>76</v>
      </c>
      <c r="E10" s="14" t="s">
        <v>140</v>
      </c>
      <c r="F10" s="16" t="s">
        <v>77</v>
      </c>
      <c r="G10" s="14" t="s">
        <v>63</v>
      </c>
      <c r="H10" s="15">
        <v>40725</v>
      </c>
      <c r="I10" s="15"/>
      <c r="J10" s="16" t="s">
        <v>156</v>
      </c>
      <c r="K10" s="16" t="s">
        <v>157</v>
      </c>
      <c r="L10" s="14" t="s">
        <v>142</v>
      </c>
      <c r="M10" s="16" t="s">
        <v>63</v>
      </c>
      <c r="N10" s="14" t="s">
        <v>63</v>
      </c>
      <c r="O10" s="17"/>
      <c r="P10" s="17"/>
      <c r="Q10" s="17"/>
      <c r="R10" s="17"/>
      <c r="S10" s="14" t="s">
        <v>63</v>
      </c>
      <c r="T10" s="14" t="s">
        <v>63</v>
      </c>
      <c r="U10" s="14" t="s">
        <v>63</v>
      </c>
      <c r="V10" s="16" t="s">
        <v>63</v>
      </c>
    </row>
    <row r="11" spans="1:22" ht="43.5" x14ac:dyDescent="0.35">
      <c r="A11" s="14" t="s">
        <v>51</v>
      </c>
      <c r="B11" s="14" t="s">
        <v>52</v>
      </c>
      <c r="C11" s="15">
        <v>43152.5</v>
      </c>
      <c r="D11" s="14" t="s">
        <v>78</v>
      </c>
      <c r="E11" s="14" t="s">
        <v>140</v>
      </c>
      <c r="F11" s="16" t="s">
        <v>79</v>
      </c>
      <c r="G11" s="14" t="s">
        <v>63</v>
      </c>
      <c r="H11" s="15">
        <v>40725</v>
      </c>
      <c r="I11" s="15"/>
      <c r="J11" s="16" t="s">
        <v>158</v>
      </c>
      <c r="K11" s="16" t="s">
        <v>159</v>
      </c>
      <c r="L11" s="14" t="s">
        <v>142</v>
      </c>
      <c r="M11" s="16" t="s">
        <v>63</v>
      </c>
      <c r="N11" s="14" t="s">
        <v>63</v>
      </c>
      <c r="O11" s="17"/>
      <c r="P11" s="17"/>
      <c r="Q11" s="17"/>
      <c r="R11" s="17"/>
      <c r="S11" s="14" t="s">
        <v>63</v>
      </c>
      <c r="T11" s="14" t="s">
        <v>63</v>
      </c>
      <c r="U11" s="14" t="s">
        <v>63</v>
      </c>
      <c r="V11" s="16" t="s">
        <v>63</v>
      </c>
    </row>
    <row r="12" spans="1:22" x14ac:dyDescent="0.35">
      <c r="A12" s="14" t="s">
        <v>51</v>
      </c>
      <c r="B12" s="14" t="s">
        <v>52</v>
      </c>
      <c r="C12" s="15">
        <v>43152.5</v>
      </c>
      <c r="D12" s="14" t="s">
        <v>92</v>
      </c>
      <c r="E12" s="14" t="s">
        <v>140</v>
      </c>
      <c r="F12" s="16" t="s">
        <v>93</v>
      </c>
      <c r="G12" s="14" t="s">
        <v>63</v>
      </c>
      <c r="H12" s="15">
        <v>40725</v>
      </c>
      <c r="I12" s="15"/>
      <c r="J12" s="16" t="s">
        <v>63</v>
      </c>
      <c r="K12" s="16" t="s">
        <v>160</v>
      </c>
      <c r="L12" s="14" t="s">
        <v>142</v>
      </c>
      <c r="M12" s="16" t="s">
        <v>63</v>
      </c>
      <c r="N12" s="14" t="s">
        <v>63</v>
      </c>
      <c r="O12" s="17"/>
      <c r="P12" s="17"/>
      <c r="Q12" s="17"/>
      <c r="R12" s="17"/>
      <c r="S12" s="14" t="s">
        <v>63</v>
      </c>
      <c r="T12" s="14" t="s">
        <v>63</v>
      </c>
      <c r="U12" s="14" t="s">
        <v>63</v>
      </c>
      <c r="V12" s="16" t="s">
        <v>63</v>
      </c>
    </row>
    <row r="13" spans="1:22" ht="29" x14ac:dyDescent="0.35">
      <c r="A13" s="14" t="s">
        <v>51</v>
      </c>
      <c r="B13" s="14" t="s">
        <v>52</v>
      </c>
      <c r="C13" s="15">
        <v>43152.5</v>
      </c>
      <c r="D13" s="14" t="s">
        <v>80</v>
      </c>
      <c r="E13" s="14" t="s">
        <v>140</v>
      </c>
      <c r="F13" s="16" t="s">
        <v>81</v>
      </c>
      <c r="G13" s="14" t="s">
        <v>63</v>
      </c>
      <c r="H13" s="15">
        <v>40725</v>
      </c>
      <c r="I13" s="15"/>
      <c r="J13" s="16" t="s">
        <v>63</v>
      </c>
      <c r="K13" s="16" t="s">
        <v>161</v>
      </c>
      <c r="L13" s="14" t="s">
        <v>142</v>
      </c>
      <c r="M13" s="16" t="s">
        <v>63</v>
      </c>
      <c r="N13" s="14" t="s">
        <v>63</v>
      </c>
      <c r="O13" s="17"/>
      <c r="P13" s="17"/>
      <c r="Q13" s="17"/>
      <c r="R13" s="17"/>
      <c r="S13" s="14" t="s">
        <v>63</v>
      </c>
      <c r="T13" s="14" t="s">
        <v>63</v>
      </c>
      <c r="U13" s="14" t="s">
        <v>63</v>
      </c>
      <c r="V13" s="16" t="s">
        <v>63</v>
      </c>
    </row>
    <row r="14" spans="1:22" x14ac:dyDescent="0.35">
      <c r="A14" s="19"/>
      <c r="B14" s="19"/>
      <c r="C14" s="22"/>
      <c r="D14" s="19"/>
      <c r="E14" s="19"/>
      <c r="F14" s="20" t="s">
        <v>63</v>
      </c>
      <c r="G14" s="19"/>
      <c r="H14" s="22"/>
      <c r="I14" s="22"/>
      <c r="J14" s="20" t="s">
        <v>63</v>
      </c>
      <c r="K14" s="20" t="s">
        <v>63</v>
      </c>
      <c r="L14" s="19"/>
      <c r="M14" s="20" t="s">
        <v>63</v>
      </c>
      <c r="N14" s="19"/>
      <c r="S14" s="19"/>
      <c r="T14" s="19"/>
      <c r="U14" s="19"/>
      <c r="V14" s="20" t="s">
        <v>63</v>
      </c>
    </row>
    <row r="15" spans="1:22" x14ac:dyDescent="0.35">
      <c r="A15" s="19"/>
      <c r="B15" s="19"/>
      <c r="C15" s="22"/>
      <c r="D15" s="19"/>
      <c r="E15" s="19"/>
      <c r="F15" s="20" t="s">
        <v>63</v>
      </c>
      <c r="G15" s="19"/>
      <c r="H15" s="22"/>
      <c r="I15" s="22"/>
      <c r="J15" s="20" t="s">
        <v>63</v>
      </c>
      <c r="K15" s="20" t="s">
        <v>63</v>
      </c>
      <c r="L15" s="19"/>
      <c r="M15" s="20" t="s">
        <v>63</v>
      </c>
      <c r="N15" s="19"/>
      <c r="S15" s="19"/>
      <c r="T15" s="19"/>
      <c r="U15" s="19"/>
      <c r="V15" s="20" t="s">
        <v>63</v>
      </c>
    </row>
    <row r="16" spans="1:22" x14ac:dyDescent="0.35">
      <c r="A16" s="19"/>
      <c r="B16" s="19"/>
      <c r="C16" s="22"/>
      <c r="D16" s="19"/>
      <c r="E16" s="19"/>
      <c r="F16" s="20" t="s">
        <v>63</v>
      </c>
      <c r="G16" s="19"/>
      <c r="H16" s="22"/>
      <c r="I16" s="22"/>
      <c r="J16" s="20" t="s">
        <v>63</v>
      </c>
      <c r="K16" s="20" t="s">
        <v>63</v>
      </c>
      <c r="L16" s="19"/>
      <c r="M16" s="20" t="s">
        <v>63</v>
      </c>
      <c r="N16" s="19"/>
      <c r="S16" s="19"/>
      <c r="T16" s="19"/>
      <c r="U16" s="19"/>
      <c r="V16" s="20" t="s">
        <v>63</v>
      </c>
    </row>
    <row r="17" spans="1:22" x14ac:dyDescent="0.35">
      <c r="A17" s="19"/>
      <c r="B17" s="19"/>
      <c r="C17" s="22"/>
      <c r="D17" s="19"/>
      <c r="E17" s="19"/>
      <c r="F17" s="20" t="s">
        <v>63</v>
      </c>
      <c r="G17" s="19"/>
      <c r="H17" s="22"/>
      <c r="I17" s="22"/>
      <c r="J17" s="20" t="s">
        <v>63</v>
      </c>
      <c r="K17" s="20" t="s">
        <v>63</v>
      </c>
      <c r="L17" s="19"/>
      <c r="M17" s="20" t="s">
        <v>63</v>
      </c>
      <c r="N17" s="19"/>
      <c r="S17" s="19"/>
      <c r="T17" s="19"/>
      <c r="U17" s="19"/>
      <c r="V17" s="20" t="s">
        <v>63</v>
      </c>
    </row>
    <row r="18" spans="1:22" x14ac:dyDescent="0.35">
      <c r="A18" s="19"/>
      <c r="B18" s="19"/>
      <c r="C18" s="22"/>
      <c r="D18" s="19"/>
      <c r="E18" s="19"/>
      <c r="F18" s="20" t="s">
        <v>63</v>
      </c>
      <c r="G18" s="19"/>
      <c r="H18" s="22"/>
      <c r="I18" s="22"/>
      <c r="J18" s="20" t="s">
        <v>63</v>
      </c>
      <c r="K18" s="20" t="s">
        <v>63</v>
      </c>
      <c r="L18" s="19"/>
      <c r="M18" s="20" t="s">
        <v>63</v>
      </c>
      <c r="N18" s="19"/>
      <c r="S18" s="19"/>
      <c r="T18" s="19"/>
      <c r="U18" s="19"/>
      <c r="V18" s="20" t="s">
        <v>63</v>
      </c>
    </row>
    <row r="19" spans="1:22" x14ac:dyDescent="0.35">
      <c r="A19" s="19"/>
      <c r="B19" s="19"/>
      <c r="C19" s="22"/>
      <c r="D19" s="19"/>
      <c r="E19" s="19"/>
      <c r="F19" s="20" t="s">
        <v>63</v>
      </c>
      <c r="G19" s="19"/>
      <c r="H19" s="22"/>
      <c r="I19" s="22"/>
      <c r="J19" s="20" t="s">
        <v>63</v>
      </c>
      <c r="K19" s="20" t="s">
        <v>63</v>
      </c>
      <c r="L19" s="19"/>
      <c r="M19" s="20" t="s">
        <v>63</v>
      </c>
      <c r="N19" s="19"/>
      <c r="S19" s="19"/>
      <c r="T19" s="19"/>
      <c r="U19" s="19"/>
      <c r="V19" s="20" t="s">
        <v>63</v>
      </c>
    </row>
    <row r="20" spans="1:22" x14ac:dyDescent="0.35">
      <c r="A20" s="19"/>
      <c r="B20" s="19"/>
      <c r="C20" s="22"/>
      <c r="D20" s="19"/>
      <c r="E20" s="19"/>
      <c r="F20" s="20" t="s">
        <v>63</v>
      </c>
      <c r="G20" s="19"/>
      <c r="H20" s="22"/>
      <c r="I20" s="22"/>
      <c r="J20" s="20" t="s">
        <v>63</v>
      </c>
      <c r="K20" s="20" t="s">
        <v>63</v>
      </c>
      <c r="L20" s="19"/>
      <c r="M20" s="20" t="s">
        <v>63</v>
      </c>
      <c r="N20" s="19"/>
      <c r="S20" s="19"/>
      <c r="T20" s="19"/>
      <c r="U20" s="19"/>
      <c r="V20" s="20" t="s">
        <v>63</v>
      </c>
    </row>
    <row r="21" spans="1:22" x14ac:dyDescent="0.35">
      <c r="A21" s="19"/>
      <c r="B21" s="19"/>
      <c r="C21" s="22"/>
      <c r="D21" s="19"/>
      <c r="E21" s="19"/>
      <c r="F21" s="20" t="s">
        <v>63</v>
      </c>
      <c r="G21" s="19"/>
      <c r="H21" s="22"/>
      <c r="I21" s="22"/>
      <c r="J21" s="20" t="s">
        <v>63</v>
      </c>
      <c r="K21" s="20" t="s">
        <v>63</v>
      </c>
      <c r="L21" s="19"/>
      <c r="M21" s="20" t="s">
        <v>63</v>
      </c>
      <c r="N21" s="19"/>
      <c r="S21" s="19"/>
      <c r="T21" s="19"/>
      <c r="U21" s="19"/>
      <c r="V21" s="20" t="s">
        <v>63</v>
      </c>
    </row>
  </sheetData>
  <autoFilter ref="A1:Z1" xr:uid="{7D0EEE8A-43F9-4524-A6BD-4862AE9223C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5</vt:i4>
      </vt:variant>
      <vt:variant>
        <vt:lpstr>Plages nommées</vt:lpstr>
      </vt:variant>
      <vt:variant>
        <vt:i4>1</vt:i4>
      </vt:variant>
    </vt:vector>
  </HeadingPairs>
  <TitlesOfParts>
    <vt:vector size="6" baseType="lpstr">
      <vt:lpstr>Mode opératoire</vt:lpstr>
      <vt:lpstr>Axe 1 Enchainement des RG</vt:lpstr>
      <vt:lpstr>Axe 1 Enchaînement RG Impact</vt:lpstr>
      <vt:lpstr>Axe 1 Rattachement des actes</vt:lpstr>
      <vt:lpstr>Axe 2 Règles de gestion</vt:lpstr>
      <vt:lpstr>notice_ENCHN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SCHLOKSARCZYK Sophie</dc:creator>
  <cp:lastModifiedBy>SCHLOKSARCZYK Sophie</cp:lastModifiedBy>
  <dcterms:created xsi:type="dcterms:W3CDTF">2026-06-05T06:20:18Z</dcterms:created>
  <dcterms:modified xsi:type="dcterms:W3CDTF">2026-06-05T06:20:19Z</dcterms:modified>
</cp:coreProperties>
</file>