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03-BARRI\REFERENTIELS\NOYAU\1-20260206_25.10.00\4-Règles de gestion\RGRH\Restructurées\Carrière\"/>
    </mc:Choice>
  </mc:AlternateContent>
  <xr:revisionPtr revIDLastSave="0" documentId="8_{646E4B40-7D7B-4E98-8EEA-4A0E6725208A}" xr6:coauthVersionLast="47" xr6:coauthVersionMax="47" xr10:uidLastSave="{00000000-0000-0000-0000-000000000000}"/>
  <bookViews>
    <workbookView xWindow="53880" yWindow="-120" windowWidth="25440" windowHeight="15270" firstSheet="1" activeTab="1" xr2:uid="{5D48CC29-1A98-4DA3-BF62-F137BACB9978}"/>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RG'!$A$1:$BU$38</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gestion'!$A$1:$U$62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S23" i="5" l="1"/>
  <c r="BS13" i="5"/>
  <c r="BQ38" i="5"/>
  <c r="BQ37" i="5"/>
  <c r="BQ36" i="5"/>
  <c r="BQ34" i="5"/>
  <c r="BQ23" i="5"/>
  <c r="BQ13" i="5"/>
  <c r="BO38" i="5"/>
  <c r="BO37" i="5"/>
  <c r="BO36" i="5"/>
  <c r="BO35" i="5"/>
  <c r="BO34" i="5"/>
  <c r="BO33" i="5"/>
  <c r="BO32" i="5"/>
  <c r="BO31" i="5"/>
  <c r="BO28" i="5"/>
  <c r="BO26" i="5"/>
  <c r="BO25" i="5"/>
  <c r="BO24" i="5"/>
  <c r="BO23" i="5"/>
  <c r="BO13" i="5"/>
  <c r="BO8" i="5"/>
  <c r="BO7" i="5"/>
  <c r="BM38" i="5"/>
  <c r="BM37" i="5"/>
  <c r="BM36" i="5"/>
  <c r="BM35" i="5"/>
  <c r="BM34" i="5"/>
  <c r="BM33" i="5"/>
  <c r="BM32" i="5"/>
  <c r="BM31" i="5"/>
  <c r="BM28" i="5"/>
  <c r="BM26" i="5"/>
  <c r="BM25" i="5"/>
  <c r="BM24" i="5"/>
  <c r="BM23" i="5"/>
  <c r="BM13" i="5"/>
  <c r="BM8" i="5"/>
  <c r="BM7" i="5"/>
  <c r="BM3" i="5"/>
  <c r="BK38" i="5"/>
  <c r="BK37" i="5"/>
  <c r="BK36" i="5"/>
  <c r="BK35" i="5"/>
  <c r="BK34" i="5"/>
  <c r="BK33" i="5"/>
  <c r="BK32" i="5"/>
  <c r="BK31" i="5"/>
  <c r="BK28" i="5"/>
  <c r="BK26" i="5"/>
  <c r="BK25" i="5"/>
  <c r="BK24" i="5"/>
  <c r="BK23" i="5"/>
  <c r="BK14" i="5"/>
  <c r="BK13" i="5"/>
  <c r="BK9" i="5"/>
  <c r="BK8" i="5"/>
  <c r="BK7" i="5"/>
  <c r="BK3" i="5"/>
  <c r="BI38" i="5"/>
  <c r="BI37" i="5"/>
  <c r="BI36" i="5"/>
  <c r="BI35" i="5"/>
  <c r="BI34" i="5"/>
  <c r="BI33" i="5"/>
  <c r="BI32" i="5"/>
  <c r="BI31" i="5"/>
  <c r="BI28" i="5"/>
  <c r="BI26" i="5"/>
  <c r="BI25" i="5"/>
  <c r="BI24" i="5"/>
  <c r="BI23" i="5"/>
  <c r="BI14" i="5"/>
  <c r="BI13" i="5"/>
  <c r="BI9" i="5"/>
  <c r="BI8" i="5"/>
  <c r="BI7" i="5"/>
  <c r="BI3" i="5"/>
  <c r="BG38" i="5"/>
  <c r="BG37" i="5"/>
  <c r="BG36" i="5"/>
  <c r="BG35" i="5"/>
  <c r="BG34" i="5"/>
  <c r="BG33" i="5"/>
  <c r="BG32" i="5"/>
  <c r="BG31" i="5"/>
  <c r="BG28" i="5"/>
  <c r="BG26" i="5"/>
  <c r="BG25" i="5"/>
  <c r="BG24" i="5"/>
  <c r="BG23" i="5"/>
  <c r="BG14" i="5"/>
  <c r="BG13" i="5"/>
  <c r="BG9" i="5"/>
  <c r="BG8" i="5"/>
  <c r="BG7" i="5"/>
  <c r="BG3" i="5"/>
  <c r="BE38" i="5"/>
  <c r="BE37" i="5"/>
  <c r="BE36" i="5"/>
  <c r="BE35" i="5"/>
  <c r="BE34" i="5"/>
  <c r="BE33" i="5"/>
  <c r="BE32" i="5"/>
  <c r="BE31" i="5"/>
  <c r="BE28" i="5"/>
  <c r="BE26" i="5"/>
  <c r="BE25" i="5"/>
  <c r="BE24" i="5"/>
  <c r="BE23" i="5"/>
  <c r="BE14" i="5"/>
  <c r="BE13" i="5"/>
  <c r="BE9" i="5"/>
  <c r="BE8" i="5"/>
  <c r="BE7" i="5"/>
  <c r="BE3" i="5"/>
  <c r="BC38" i="5"/>
  <c r="BC37" i="5"/>
  <c r="BC36" i="5"/>
  <c r="BC34" i="5"/>
  <c r="BC23" i="5"/>
  <c r="BC13" i="5"/>
  <c r="BA38" i="5"/>
  <c r="BA37" i="5"/>
  <c r="BA36" i="5"/>
  <c r="BA34" i="5"/>
  <c r="BA28" i="5"/>
  <c r="BA23" i="5"/>
  <c r="BA13" i="5"/>
  <c r="BA8" i="5"/>
  <c r="BA7" i="5"/>
  <c r="AY28" i="5"/>
  <c r="AW28" i="5"/>
  <c r="AU28" i="5"/>
  <c r="AS28" i="5"/>
  <c r="AQ28" i="5"/>
  <c r="AO28" i="5"/>
  <c r="AM28" i="5"/>
  <c r="AK28" i="5"/>
  <c r="AI28" i="5"/>
  <c r="AI8" i="5"/>
  <c r="AG33" i="5"/>
  <c r="AG32" i="5"/>
  <c r="AG28" i="5"/>
  <c r="AG8" i="5"/>
  <c r="AE33" i="5"/>
  <c r="AE32" i="5"/>
  <c r="AE28" i="5"/>
  <c r="AE13" i="5"/>
  <c r="AE8" i="5"/>
  <c r="AC33" i="5"/>
  <c r="AC32" i="5"/>
  <c r="AC28" i="5"/>
  <c r="AC23" i="5"/>
  <c r="AC13" i="5"/>
  <c r="AC8" i="5"/>
  <c r="AA34" i="5"/>
  <c r="AA33" i="5"/>
  <c r="AA32" i="5"/>
  <c r="AA28" i="5"/>
  <c r="AA23" i="5"/>
  <c r="AA13" i="5"/>
  <c r="AA8" i="5"/>
  <c r="Y38" i="5"/>
  <c r="Y37" i="5"/>
  <c r="Y36" i="5"/>
  <c r="Y34" i="5"/>
  <c r="Y33" i="5"/>
  <c r="Y32" i="5"/>
  <c r="Y31" i="5"/>
  <c r="Y28" i="5"/>
  <c r="Y24" i="5"/>
  <c r="Y23" i="5"/>
  <c r="Y13" i="5"/>
  <c r="Y8" i="5"/>
</calcChain>
</file>

<file path=xl/sharedStrings.xml><?xml version="1.0" encoding="utf-8"?>
<sst xmlns="http://schemas.openxmlformats.org/spreadsheetml/2006/main" count="3094" uniqueCount="393">
  <si>
    <t>MODE OPERATOIRE</t>
  </si>
  <si>
    <t>La transaction s'effectue au niveau des sous-rubriques :
-	« Statut de l'agent »
-	« Carrière origine/accueil »
La population traitée est la population de l'occurrence précédente.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</si>
  <si>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</si>
  <si>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</si>
  <si>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</si>
  <si>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</si>
  <si>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</si>
  <si>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</si>
  <si>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</si>
  <si>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</si>
  <si>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</si>
  <si>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</si>
  <si>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</si>
  <si>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</si>
  <si>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</si>
  <si>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</si>
  <si>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</si>
  <si>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</si>
  <si>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</si>
  <si>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</si>
  <si>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</si>
  <si>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</si>
  <si>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</si>
  <si>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</si>
  <si>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</si>
  <si>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</si>
  <si>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</si>
  <si>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</si>
  <si>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</si>
  <si>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</si>
  <si>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</si>
  <si>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</si>
  <si>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</si>
  <si>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</si>
  <si>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</si>
  <si>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</si>
  <si>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</si>
  <si>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</si>
  <si>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</si>
  <si>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</si>
  <si>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</si>
  <si>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</si>
  <si>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</si>
  <si>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</si>
  <si>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</si>
  <si>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</si>
  <si>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</si>
  <si>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</si>
  <si>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</si>
  <si>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</si>
  <si>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</si>
  <si>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</si>
  <si>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</si>
  <si>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</si>
  <si>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</si>
  <si>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</si>
  <si>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</si>
  <si>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</si>
  <si>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</si>
  <si>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</si>
  <si>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</si>
  <si>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</si>
  <si>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</si>
  <si>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</si>
  <si>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</si>
  <si>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</si>
  <si>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</si>
  <si>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</si>
  <si>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</si>
  <si>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</si>
  <si>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</si>
  <si>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</si>
  <si>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FIME</t>
  </si>
  <si>
    <t>Statut de travail</t>
  </si>
  <si>
    <t>17.10.00</t>
  </si>
  <si>
    <t>A</t>
  </si>
  <si>
    <t>D0005</t>
  </si>
  <si>
    <t>Carrière</t>
  </si>
  <si>
    <t>S0039</t>
  </si>
  <si>
    <t>Changement de statut</t>
  </si>
  <si>
    <t>E0697</t>
  </si>
  <si>
    <t>Le statut de l'agent est saisi sur l'occurrence précédente.</t>
  </si>
  <si>
    <t>A_CAR_STAAGE [Occurrence précédente] &lt;&gt; Vide</t>
  </si>
  <si>
    <t>T1509</t>
  </si>
  <si>
    <t>Titularisation</t>
  </si>
  <si>
    <t>Création Modification</t>
  </si>
  <si>
    <t>Le statut saisi est 'Titulaire' ou 'Magistrat'.</t>
  </si>
  <si>
    <t>A_CAR_STAAGE [Saisi] = STATUT_TYPPOP.R_FOR_IDEN05 ET STATUT_TYPPOP. R_REL_STAGN1 = 'TITU0'</t>
  </si>
  <si>
    <t>Titulaire ou magistrat</t>
  </si>
  <si>
    <t>P0001</t>
  </si>
  <si>
    <t>Général</t>
  </si>
  <si>
    <t>Exclu</t>
  </si>
  <si>
    <t>T1688</t>
  </si>
  <si>
    <t>Le statut saisi n'est ni 'Titulaire' ni 'Magistrat'.</t>
  </si>
  <si>
    <t>A_CAR_STAAGE [Saisi] = STATUT_TYPPOP.R_FOR_IDEN05 ET STATUT_TYPPOP. R_REL_STAGN1 &lt;&gt; 'TITU0'</t>
  </si>
  <si>
    <t>Passant</t>
  </si>
  <si>
    <t>CAR_C_011 ET CAR_C_060 ET CAR_C_061 ET CAR_C_045 ET CAR_C_126</t>
  </si>
  <si>
    <t>CAR_C_011</t>
  </si>
  <si>
    <t>La date d'entrée dans le statut doit être postérieure à la date de fin du statut précédent.</t>
  </si>
  <si>
    <t>CAR_C_060</t>
  </si>
  <si>
    <t>Le nouveau statut de l'agent est "Non Titulaire".</t>
  </si>
  <si>
    <t>CAR_C_061</t>
  </si>
  <si>
    <t>L'agent est en position de détachement entrant/sortant auprès d'une administration de l'Etat ou dans un EP de l'Etat dans un emploi ne conduisant pas à pension</t>
  </si>
  <si>
    <t>CAR_C_045</t>
  </si>
  <si>
    <t>Le statut saisi de l'agent est différent du statut précédent.</t>
  </si>
  <si>
    <t>CAR_C_126</t>
  </si>
  <si>
    <t>Si la date de fin du statut est renseignée alors elle doit être postérieure à la date de début du statut de l'occurrence.</t>
  </si>
  <si>
    <t>T1875</t>
  </si>
  <si>
    <t>Confirmation des ouvriers d'Etat</t>
  </si>
  <si>
    <t>Le statut saisi est 'Ouvrier réglementé affilié' ou 'Ouvrier des parcs et ateliers confirmé affilié' ou 'Ouvrier des parcs et ateliers confirmé non affilié'.</t>
  </si>
  <si>
    <t>A_CAR_STAAGE [Saisi] DANS ('O0101','O0201','O0202')</t>
  </si>
  <si>
    <t>25.10.00</t>
  </si>
  <si>
    <t>M</t>
  </si>
  <si>
    <t>T1876</t>
  </si>
  <si>
    <t>Confirmation des OPA</t>
  </si>
  <si>
    <t>Le statut saisi est 'Ouvrier des parcs et ateliers confirmé affilié'.</t>
  </si>
  <si>
    <t>A_CAR_STAAGE [Saisi] = 'O0201'</t>
  </si>
  <si>
    <t>2025-70</t>
  </si>
  <si>
    <t>T1907</t>
  </si>
  <si>
    <t>Le statut saisi est 'Ouvrier des parcs et ateliers confirmé non affilié'.</t>
  </si>
  <si>
    <t>A_CAR_STAAGE [Saisi] = 'O0202'</t>
  </si>
  <si>
    <t>Contractuel</t>
  </si>
  <si>
    <t>P0003</t>
  </si>
  <si>
    <t>TIT_D_137 ET CAR_C_045 ET CAR_C_116 ET CAR_C_011 ET CAR_C_062 ET CAR_C_143 ET CAR_C_126</t>
  </si>
  <si>
    <t>TIT_D_137</t>
  </si>
  <si>
    <t>L'agent doit compter au moins 4 ans d'ancienneté en équivalent temps plein dans la FPE au cours des 6 années précédant le 31/03/2011 ou à la date de clôture des inscriptions.</t>
  </si>
  <si>
    <t>CAR_C_116</t>
  </si>
  <si>
    <t>L'agent doit être en activité.</t>
  </si>
  <si>
    <t>CAR_C_062</t>
  </si>
  <si>
    <t>Le nouveau statut de l'agent est "Titulaire".</t>
  </si>
  <si>
    <t>CAR_C_143</t>
  </si>
  <si>
    <t>L'agent affecté à Wallis et Futuna doit compter au moins 4 ans d'ancienneté dans la FPE au cours des 5 années précédant le 20/07/2014.</t>
  </si>
  <si>
    <t>19.00.00</t>
  </si>
  <si>
    <t>TIT_I_003 ET TIT_I_004 ET TIT_I_005 ET TIT_I_006 ET TIT_I_007 ET TIT_I_008 ET TIT_D_138 ET CAR_C_045 ET CAR_C_116 ET CAR_C_011 ET CAR_C_062 ET CAR_C_143 ET CAR_C_126</t>
  </si>
  <si>
    <t>TIT_I_003</t>
  </si>
  <si>
    <t>Les conditions de nomination de l'agent déclaré apte sont celles prévues par les statuts particuliers des corps d'accueil.</t>
  </si>
  <si>
    <t>TIT_I_004</t>
  </si>
  <si>
    <t>La titularisation ne peut être prononcée que sous réserve du respect par l'agent des dispositions législatives et réglementaires régissant le cumul d'activités des agents publics.</t>
  </si>
  <si>
    <t>TIT_I_005</t>
  </si>
  <si>
    <t>L'agent en contrat à durée indéterminée au 31 mars 2013 et remplissant les conditions, ne peut accéder qu'aux corps de fonctionnaires dont les missions relèvent d'une catégorie hiérarchique équivalente à celle des fonctions qu'il exerce à cette date.</t>
  </si>
  <si>
    <t>TIT_I_006</t>
  </si>
  <si>
    <t>L'agent en contrat à durée déterminée au 31 mars 2013 et remplissant les conditions ne peut accéder qu'aux corps de fonctionnaires de catégorie hiérarchique équivalente à celle des fonctions exercées pendant une durée de 4 ans en équivalent temps plein.</t>
  </si>
  <si>
    <t>TIT_I_007</t>
  </si>
  <si>
    <t>Si l'agent a acquis une ancienneté supérieure à 4 ans dans une administration pour laquelle il est éligible, l'ancienneté s'apprécie au regard des 4 années pendant lesquelles il a exercé les fonctions équivalentes à la ou aux catégories les plus élevées.</t>
  </si>
  <si>
    <t>TIT_I_008</t>
  </si>
  <si>
    <t>Lorsque l'ancienneté a été acquise dans des catégories différentes, les agents peuvent accéder aux corps relevant de la catégorie dans laquelle ils ont exercé leurs fonctions le plus longtemps pendant la période de 4 années.</t>
  </si>
  <si>
    <t>TIT_D_138</t>
  </si>
  <si>
    <t>L'agent doit compter au moins 4 ans d'ancienneté en équivalent temps plein dans la FPE au cours des 6 années précédant le 31/03/2013 ou à la date de clôture des inscriptions.</t>
  </si>
  <si>
    <t>CAR_C_011 ET CAR_C_060 ET CAR_C_045 ET CAR_C_126</t>
  </si>
  <si>
    <t>22.10.00</t>
  </si>
  <si>
    <t>Stagiaire ou auditeur ou élève</t>
  </si>
  <si>
    <t>P0004</t>
  </si>
  <si>
    <t>TIT_I_010 ET TIT_I_011 ET TIT_I_012 ET TIT_I_015 ET TIT_D_002 ET TIT_D_003 ET CAR_C_011 ET CAR_C_062 ET CAR_C_051 ET CAR_C_052 ET CAR_C_053 ET CAR_C_045 ET CAR_C_116 ET CAR_C_126</t>
  </si>
  <si>
    <t>TIT_I_010</t>
  </si>
  <si>
    <t>La titularisation est prononcée sous réserve de l'aptitude physique de l'agent à l'exercice des fonctions compte tenu des possibilités de compensation du handicap.</t>
  </si>
  <si>
    <t>TIT_I_011</t>
  </si>
  <si>
    <t>La titularisation est prononcée sous réserve de la compatibilité de l'extrait numéro 2 du casier judiciaire avec l'exercice des fonctions.</t>
  </si>
  <si>
    <t>TIT_I_012</t>
  </si>
  <si>
    <t>L'agent, titulaire dans un autre cadre des administrations de l'Etat et qui est élu au Parlement durant son stage, est titularisé de plein droit dans son nouveau grade, à l'issue d'une période égale à la durée moyenne du stage de ce nouveau grade.</t>
  </si>
  <si>
    <t>TIT_I_015</t>
  </si>
  <si>
    <t>Les élèves et stagiaires des services actifs de la police nationale, mortellement blessés dans l'exercice de leurs fonctions, peuvent être titularisés dans leurs corps, après avis de la commission paritaire.</t>
  </si>
  <si>
    <t>TIT_D_002</t>
  </si>
  <si>
    <t>La titularisation intervient à J+1 de la date prévisionnelle de fin de stage avec ou sans prolongation sauf exceptions.</t>
  </si>
  <si>
    <t>TIT_D_003</t>
  </si>
  <si>
    <t>La titularisation intervient à J+1 de la date réelle de fin de stage avec ou sans prolongation sauf exceptions.</t>
  </si>
  <si>
    <t>CAR_C_051</t>
  </si>
  <si>
    <t>La date d'entrée dans le statut doit être postérieure à la date prévisionnelle de fin de stage.</t>
  </si>
  <si>
    <t>CAR_C_052</t>
  </si>
  <si>
    <t>La date d'entrée dans le statut doit être postérieure à la date réelle de fin de stage.</t>
  </si>
  <si>
    <t>CAR_C_053</t>
  </si>
  <si>
    <t>La date de fin réelle du stage ou la date prévisionnelle de fin de stage doit être renseignée.</t>
  </si>
  <si>
    <t>Ouvrier d'état</t>
  </si>
  <si>
    <t>P0005</t>
  </si>
  <si>
    <t>Auditeur de justice</t>
  </si>
  <si>
    <t>P0009</t>
  </si>
  <si>
    <t>Particulier</t>
  </si>
  <si>
    <t>TIT_I_016 ET TIT_I_017 ET TIT_I_012 ET TIT_D_043 ET TIT_D_044 ET CAR_C_011 ET CAR_C_063 ET CAR_C_051 ET CAR_C_052 ET CAR_C_053 ET CAR_C_045 ET CAR_C_116 ET CAR_C_126</t>
  </si>
  <si>
    <t>TIT_I_016</t>
  </si>
  <si>
    <t>Pour pouvoir être nommé magistrat, l'agent doit être déclaré apte à exercer les fonctions judiciaires, à la sortie de l'école, par le jury de l'examen d'aptitude et de classement.</t>
  </si>
  <si>
    <t>TIT_I_017</t>
  </si>
  <si>
    <t>L'agent remplissant les conditions requises peut être nommé directement, sans stage, dans le corps judiciaire sur le premier ou le second grade.</t>
  </si>
  <si>
    <t>TIT_D_043</t>
  </si>
  <si>
    <t>La nomination intervient à J+1 de la date prévisionnelle de fin de stage avec ou sans prolongation sauf exceptions.</t>
  </si>
  <si>
    <t>TIT_D_044</t>
  </si>
  <si>
    <t>La nomination intervient à J+1 de la date réelle de fin de stage avec ou sans prolongation sauf exceptions.</t>
  </si>
  <si>
    <t>CAR_C_063</t>
  </si>
  <si>
    <t>Le nouveau statut de l'agent est "Magistrat".</t>
  </si>
  <si>
    <t>Enseignant-chercheur maître de conférences des universités stagiaire</t>
  </si>
  <si>
    <t>P0044</t>
  </si>
  <si>
    <t>TIT_I_019 ET CAR_C_116 ET CAR_C_011 ET CAR_C_045 ET CAR_C_062 ET CAR_C_125 ET CAR_C_126</t>
  </si>
  <si>
    <t>TIT_I_019</t>
  </si>
  <si>
    <t>L'agent en délégation est titularisé après avis conformes du directeur de l'établissement ou de l'organisme de recherche dans lequel il est placé en délégation, du directeur de l'établissement ou il assure son service d'enseignement et des instances.</t>
  </si>
  <si>
    <t>CAR_C_125</t>
  </si>
  <si>
    <t>La titularisation intervient à J+1 de la date de fin réelle ou prévisionnelle du lien juridique.</t>
  </si>
  <si>
    <t>Policier adjoint en emploi aidé</t>
  </si>
  <si>
    <t>P0049</t>
  </si>
  <si>
    <t>CAR_C_116 ET CAR_C_011 ET CAR_C_045 ET CAR_C_062 ET CAR_C_125 ET CAR_C_126</t>
  </si>
  <si>
    <t>Policier adjoint (autre qu'emploi aidé) ou cadet de la république</t>
  </si>
  <si>
    <t>P0050</t>
  </si>
  <si>
    <t>20.10.00</t>
  </si>
  <si>
    <t>Apprenti</t>
  </si>
  <si>
    <t>P0052</t>
  </si>
  <si>
    <t>TIT_I_029 ET TIT_I_030 ET TIT_I_031 ET TIT_I_032 ET TIT_I_033 ET TIT_I_034 ET TIT_I_035 ET TIT_I_036 ET TIT_I_037 ET TIT_I_038 ET TIT_I_039 ET TIT_I_040 ET TIT_I_041 ET TIT_I_042 ET TIT_D_050 ET CAR_C_116 ET CAR_C_011 ET CAR_C_045 ET CAR_C_062 ET CAR_C_125 ET CAR_C_126</t>
  </si>
  <si>
    <t>TIT_I_029</t>
  </si>
  <si>
    <t>Le contrat d'apprentissage doit se terminer au plus tôt le 01/06/2020 et au plus tard le 06/08/2024.</t>
  </si>
  <si>
    <t>TIT_I_030</t>
  </si>
  <si>
    <t>L'agent est informé dès son entrée en apprentissage de la possibilité offerte d'être titularisé à l'issue du contrat d'apprentissage.</t>
  </si>
  <si>
    <t>TIT_I_031</t>
  </si>
  <si>
    <t>L'agent adresse sa demande de titularisation, 3 mois au moins avant le terme de son contrat d'apprentissage, à l'autorité de recrutement.</t>
  </si>
  <si>
    <t>TIT_I_032</t>
  </si>
  <si>
    <t>Dans le délai d'1 mois à compter de la réception de la demande, l'autorité de recrutement transmet a l'agent une proposition de titularisation.</t>
  </si>
  <si>
    <t>TIT_I_033</t>
  </si>
  <si>
    <t>L'autorité de recrutement transmet également une ou plusieurs offres d'emploi correspondant aux fonctions exercées pendant la période d'apprentissage.</t>
  </si>
  <si>
    <t>TIT_I_034</t>
  </si>
  <si>
    <t>Dans le délai d'1 mois à compter de la réception de la demande, si elle ne peut faire de proposition de titularisation, l'autorité de recrutement doit en informer l'agent.</t>
  </si>
  <si>
    <t>TIT_I_035</t>
  </si>
  <si>
    <t>La commission de titularisation apprécie l'aptitude de l'agent à être titularisé.</t>
  </si>
  <si>
    <t>TIT_I_036</t>
  </si>
  <si>
    <t>Au terme d'un premier examen du dossier, la commission décide s'il y a lieu de procéder à la sélection de l'agent en vue de l'auditionner. Dans ce cas, l'entretien a lieu au plus tard 1 mois avant le terme de son contrat d'apprentissage.</t>
  </si>
  <si>
    <t>TIT_I_037</t>
  </si>
  <si>
    <t>L'autorité administrative ayant pouvoir de nomination peut procéder à la titularisation de l'agent au terme de son contrat d'apprentissage s'il a obtenu le diplôme ou titre préparé dans le cadre du contrat d'apprentissage.</t>
  </si>
  <si>
    <t>TIT_I_038</t>
  </si>
  <si>
    <t>A défaut, l'agent peut être titularisé à la date d'obtention de ce diplôme ou titre sous réserve qu'elle intervienne au plus 6 mois après le terme du contrat d'apprentissage.</t>
  </si>
  <si>
    <t>TIT_I_039</t>
  </si>
  <si>
    <t>La titularisation est prononcée malgré la condition d'âge pouvant être prévue par les statuts particuliers.</t>
  </si>
  <si>
    <t>TIT_I_040</t>
  </si>
  <si>
    <t>L'avis d'une ou plusieurs personnes peut être sollicité par la commission de titularisation.</t>
  </si>
  <si>
    <t>TIT_I_041</t>
  </si>
  <si>
    <t>Si le statut particulier du corps dans lequel la titularisation à vocation à intervenir prévoit une formation en école de service public, l'agent bénéficie de cette formation, sous réserve d'aménagements éventuels imposés par son handicap.</t>
  </si>
  <si>
    <t>TIT_I_042</t>
  </si>
  <si>
    <t>Dans le cas d'une formation en école de service public, s'il est prévu un engagement de servir d'une durée minimale, cette obligation s'applique à hauteur de la durée de formation effectivement réalisée au sein de cette école.</t>
  </si>
  <si>
    <t>TIT_D_050</t>
  </si>
  <si>
    <t>L'agent doit relever de l'obligation d'emploi des travailleurs handicapés.</t>
  </si>
  <si>
    <t>Personnel civil payé à l'acte ou à la tâche</t>
  </si>
  <si>
    <t>P0054</t>
  </si>
  <si>
    <t>Contractuel sous contrat PACTE</t>
  </si>
  <si>
    <t>P0166</t>
  </si>
  <si>
    <t>TIT_I_020 ET CAR_C_116 ET CAR_C_011 ET CAR_C_045 ET CAR_C_125 ET CAR_C_062 ET CAR_C_126</t>
  </si>
  <si>
    <t>TIT_I_020</t>
  </si>
  <si>
    <t>La titularisation est subordonnée à un engagement à servir correspondant à 2 fois la durée du contrat PACTE, majorée le cas échéant de la période de renouvellement.</t>
  </si>
  <si>
    <t>25.00.00</t>
  </si>
  <si>
    <t>Contractuel en situation de handicap ou contractuel conjoint de militaire décédé</t>
  </si>
  <si>
    <t>P0167</t>
  </si>
  <si>
    <t>TIT_I_021 ET TIT_I_022 ET TIT_I_023 ET TIT_I_024 ET TIT_I_025 ET CAR_C_116 ET CAR_C_011 ET CAR_C_045 ET CAR_C_062 ET CAR_C_125 ET CAR_C_126</t>
  </si>
  <si>
    <t>TIT_I_021</t>
  </si>
  <si>
    <t>Si l'agent a suivi la formation initiale prévue par le statut du corps à intégrer, il subit les épreuves dans les mêmes conditions que les fonctionnaires stagiaires avant la titularisation sous réserve d'aménagements éventuels imposés par son handicap.</t>
  </si>
  <si>
    <t>TIT_I_022</t>
  </si>
  <si>
    <t>L'appréciation de l'aptitude professionnelle est assurée en fin de scolarité par le jury désigné, un représentant de l'autorité administrative ayant pouvoir de nomination et une personne compétente en insertion professionnelle des personnes handicapées.</t>
  </si>
  <si>
    <t>TIT_I_023</t>
  </si>
  <si>
    <t>L'appréciation de l'aptitude professionnelle de l'agent par l'autorité ayant le pouvoir de nomination est basée sur le dossier de l'agent et après un entretien entre l'intéressé et un jury organisé par l'administration chargée du recrutement.</t>
  </si>
  <si>
    <t>TIT_I_024</t>
  </si>
  <si>
    <t>La titularisation est prononcée sous réserve de l'aptitude physique de l'agent à l'exercice des fonctions.</t>
  </si>
  <si>
    <t>TIT_I_025</t>
  </si>
  <si>
    <t>Dans tous les cas, la titularisation est prononcée par l'autorité ayant pouvoir de nomination, après avis de la Commission administrative paritaire du corps concerné.</t>
  </si>
  <si>
    <t>TIT_I_021 ET TIT_I_022 ET TIT_I_023 ET TIT_I_024 ET TIT_I_043 ET CAR_C_116 ET CAR_C_011 ET CAR_C_045 ET CAR_C_062 ET CAR_C_125 ET CAR_C_126</t>
  </si>
  <si>
    <t>TIT_I_043</t>
  </si>
  <si>
    <t>Dans tous les cas, la titularisation est prononcée par l'autorité ayant pouvoir de nomination.</t>
  </si>
  <si>
    <t>Ouvrier de la défense auxiliaire non affilié ou temporaire non mensualisé</t>
  </si>
  <si>
    <t>P0182</t>
  </si>
  <si>
    <t>TIT_I_026 ET TIT_I_027 ET TIT_D_031 ET TIT_D_032 ET CAR_C_011 ET CAR_C_051 ET CAR_C_052 ET CAR_C_053 ET CAR_C_045 ET CAR_C_116 ET CAR_C_126</t>
  </si>
  <si>
    <t>TIT_I_026</t>
  </si>
  <si>
    <t>Aucun recrutement n'est prononcé avant que l'administration n'ait reçu le bulletin n°2 du casier judiciaire de l'agent.</t>
  </si>
  <si>
    <t>TIT_I_027</t>
  </si>
  <si>
    <t>La confirmation est prononcée sous réserve de l'aptitude physique de l'agent à l'exercice des fonctions.</t>
  </si>
  <si>
    <t>TIT_D_031</t>
  </si>
  <si>
    <t>L'affiliation au fonds spécial des pensions intervient à J+1 de la date prévisionnelle de fin de stage avec ou sans prolongation sauf exceptions.</t>
  </si>
  <si>
    <t>TIT_D_032</t>
  </si>
  <si>
    <t>L'affiliation au fonds spécial des pensions intervient à J+1 de la date réelle de fin de stage avec ou sans prolongation sauf exceptions.</t>
  </si>
  <si>
    <t>Contractuel recruté pour présenter un concours administratif pour accéder à un corps ou cadre d'emplois de la fonction publique de l'Etat</t>
  </si>
  <si>
    <t>P0225</t>
  </si>
  <si>
    <t>CAR_C_116 ET CAR_C_011 ET CAR_C_045 ET CAR_C_125 ET CAR_C_062 ET CAR_C_126</t>
  </si>
  <si>
    <t>Ouvrier des parcs et ateliers stagiaire</t>
  </si>
  <si>
    <t>P0226</t>
  </si>
  <si>
    <t>TIT_I_028 ET TIT_D_033 ET TIT_D_034 ET CAR_C_011 ET CAR_C_051 ET CAR_C_052 ET CAR_C_053 ET CAR_C_045 ET CAR_C_116 ET CAR_C_126</t>
  </si>
  <si>
    <t>TIT_I_028</t>
  </si>
  <si>
    <t>A la fin du stage, l'agent qui a donné satisfaction est confirmé.</t>
  </si>
  <si>
    <t>TIT_D_033</t>
  </si>
  <si>
    <t>TIT_D_034</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</si>
  <si>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</si>
  <si>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</si>
  <si>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</si>
  <si>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</si>
  <si>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</si>
  <si>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</si>
  <si>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</si>
  <si>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</si>
  <si>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</si>
  <si>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</si>
  <si>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</si>
  <si>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</si>
  <si>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</si>
  <si>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</si>
  <si>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</si>
  <si>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</si>
  <si>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</si>
  <si>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</si>
  <si>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</si>
  <si>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</si>
  <si>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</si>
  <si>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</si>
  <si>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</si>
  <si>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</si>
  <si>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</si>
  <si>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</si>
  <si>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</si>
  <si>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</si>
  <si>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</si>
  <si>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</si>
  <si>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</si>
  <si>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R327-9</t>
  </si>
  <si>
    <t>SI A_CAR_DAFNSG [Saisi] &lt;&gt; Vide ET A_CAR_DAFRSG [Saisi] = Vide ET A_CAR_DATTIT [Saisi] &lt;&gt; Vide</t>
  </si>
  <si>
    <t>A_CAR_DATTIT [Saisi] - A_CAR_DAFNSG [Saisi] = 1 JOUR</t>
  </si>
  <si>
    <t>Non Bloquant</t>
  </si>
  <si>
    <t>Le contrôle est non bloquant pour gérer la prolongation de la période de stage qui n'a pas d'impact sur la date d'effet de titularisation (Prolongation suite à congé de maternité, paternité, adoption)</t>
  </si>
  <si>
    <t>2025-104</t>
  </si>
  <si>
    <t>SI A_CAR_DAFRSG [Saisi] &lt;&gt; Vide ET A_CAR_DATTIT [Saisi] &lt;&gt; Vide</t>
  </si>
  <si>
    <t>A_CAR_DATTIT [Saisi] - A_CAR_DAFRSG [Saisi] = 1 JOUR</t>
  </si>
  <si>
    <t>P0004 - E0697</t>
  </si>
  <si>
    <t>x</t>
  </si>
  <si>
    <t>La titularisation intervient au lendemain de la date de fin de stage avec ou sans prolongation sauf exceptions.</t>
  </si>
  <si>
    <t>18.10.00</t>
  </si>
  <si>
    <t>Arrêté du 30 decembre 2016 A24 | A25 / Instruction 318 du 16 mars 2000 Pt 1</t>
  </si>
  <si>
    <t>SI A_CAR_DAFNSG [Saisi] &lt;&gt; Vide
ET A_CAR_DAFRSG [Saisi] = Vide
ET A_CAR_DATTIT [Saisi] &lt;&gt; Vide</t>
  </si>
  <si>
    <t>Le contrôle est non bloquant pour gérer la prolongation de la période de stage qui n'a pas d'impact sur la date d'effet de titularisation (Prolongation suite à congé de maternité, paternité, adoption).</t>
  </si>
  <si>
    <t>P0182 - E0697</t>
  </si>
  <si>
    <t>SI A_CAR_DAFRSG [Saisi] &lt;&gt; Vide
ET A_CAR_DATTIT [Saisi] &lt;&gt; Vide</t>
  </si>
  <si>
    <t>L'affiliation au fonds spécial des pensions intervient au lendemain de la date de fin de stage avec ou sans prolongation sauf exceptions.</t>
  </si>
  <si>
    <t>Décret 65-382 A7</t>
  </si>
  <si>
    <t>P0226 - E0697</t>
  </si>
  <si>
    <t>Ordonnance 58-1270 A21</t>
  </si>
  <si>
    <t>P0009 - E0697</t>
  </si>
  <si>
    <t>La nomination intervient au lendemain de la date de fin de stage avec ou sans prolongation sauf exceptions.</t>
  </si>
  <si>
    <t>Décret 2020-530 A1</t>
  </si>
  <si>
    <t>P_HAN_RQTH [Dossier] = '1' ET P_CBO_CATEGO [Dossier] DANS ('BE02', 'BE03', 'BE04', 'BE08', 'BE12', 'BE16')</t>
  </si>
  <si>
    <t>Bloquant</t>
  </si>
  <si>
    <t>P0052 - E0697 - Titularisation</t>
  </si>
  <si>
    <t>Loi 2012-347 A4</t>
  </si>
  <si>
    <t>SI A_CAR_TYPCOT [Dossier] = 'TC01' ET O_POS_IDENTI1 [Dossier] = O_POS_IDENTI ET O_UST_IDENTI1 = O_UST_IDENTI ET O_UST_PAYS &lt;&gt; 'WLF'</t>
  </si>
  <si>
    <t>#L'agent a acquis au moins 4 ans d'ancienneté en équivalent temps plein dans la FPE entre le 01/04/2005 et le 31/03/2011.#</t>
  </si>
  <si>
    <t>.</t>
  </si>
  <si>
    <t>#L'agent a acquis au moins 4 ans d'ancienneté en équivalent temps plein dans la FPE entre le 01/04/2007 et le 31/03/2013.#</t>
  </si>
  <si>
    <t>P0003 - E0697</t>
  </si>
  <si>
    <t>L'agent doit compter au moins 4 ans d'ancienneté en équivalent temps plein dans la fonction publique de l'Etat au cours des 6 années précédant le 31/03/2013 ou à la date de clôture des inscriptions.</t>
  </si>
  <si>
    <t>Contrôle</t>
  </si>
  <si>
    <t>SI A_CAR_DAFNST [Occurrence précédente] &lt;&gt; Vide</t>
  </si>
  <si>
    <t>A_CAR_DAENST [Saisi] &gt; A_CAR_DAFNST [Occurrence précédente]</t>
  </si>
  <si>
    <t>A_CAR_STAAGE [Saisi] &lt;&gt; A_CAR_STAAGE [Occurrence précédente]</t>
  </si>
  <si>
    <t>SI A_CAR_DAFNSG [Saisi] &lt;&gt; Vide ET A_CAR_DAFRSG [Saisi] = Vide</t>
  </si>
  <si>
    <t>A_CAR_DAENST [Saisi] &gt; A_CAR_DAFNSG [Saisi]</t>
  </si>
  <si>
    <t>Cette RG a été mise dans Changement de statut plutôt que dans changement de Corps car il a été pris comme hypothèse que le gestionnaire saisit la fin de stage avant de saisir le changement de statut.</t>
  </si>
  <si>
    <t>SI A_CAR_DAFRSG [Saisi] &lt;&gt; Vide</t>
  </si>
  <si>
    <t>A_CAR_DAENST [Saisi] &gt; A_CAR_DAFRSG [Saisi]</t>
  </si>
  <si>
    <t>A_CAR_DAFNSG [Saisi] &lt;&gt; Vide OU A_CAR_DAFRSG [Saisi] &lt;&gt; Vide</t>
  </si>
  <si>
    <t>A_CAR_STAAGE [Saisi] = STATUT_TYPPOP.R_FOR_IDEN05 ET STATUT_TYPPOP. R_REL_STAGN1 DANS ('C0000','PCDPR')</t>
  </si>
  <si>
    <t>A_POS_POSIAD [Dossier] = 'DES04'</t>
  </si>
  <si>
    <t>Non bloquant car dépend de l'ordre de saisie dans le SIRH.</t>
  </si>
  <si>
    <t>A_CAR_STAAGE [Saisi] = 'TITU1'</t>
  </si>
  <si>
    <t>A_CAR_STAAGE [Saisi] = 'MAGIS'</t>
  </si>
  <si>
    <t>A_POS_POSIAD [Dossier] = POSITION_SITUATION.R_FOR_IDEN05 ET (POSITION_SITUATION.R_REL_PSSAG2 DANS ('ACI','HCA','MAD','DEL','MDE','MLD')) OU (POSITION_SITUATION.R_REL_PSSAG1 DANS ('DEE00', 'DES00'))</t>
  </si>
  <si>
    <t>P0009 / P0044 / P0049 / P0050 / P0166 / P0167 / P0182 / P0225 / P0226 - P0003 / P0004 - E0697</t>
  </si>
  <si>
    <t>SI A_CAR_TYPCOT [Dossier] = 'TC01'</t>
  </si>
  <si>
    <t>A_CAR_DATTIT [Saisi] - [Date limite de fin réelle ou prévisionnelle du lien juridique] = 1 JOUR</t>
  </si>
  <si>
    <t>SI A_CAR_DAFNST [Saisi] &lt;&gt; Vide</t>
  </si>
  <si>
    <t>A_CAR_DAENST [Saisi] &lt; A_CAR_DAFNST [Saisi]</t>
  </si>
  <si>
    <t>SI A_CAR_TYPCOT [Dossier] = 'TC01' ET O_POS_IDENTI1 [Dossier] = O_POS_IDENTI ET O_UST_IDENTI1 = O_UST_IDENTI ET O_UST_PAYS = 'WLF'</t>
  </si>
  <si>
    <t>#L'agent a acquis au moins 4 ans d'ancienneté dans la FPE entre le 21/07/2009 et le 20/07/2014.#</t>
  </si>
  <si>
    <t>Intellectuel</t>
  </si>
  <si>
    <t>Loi 2012-347 A6</t>
  </si>
  <si>
    <t>Code général de la fonction publique L321-1</t>
  </si>
  <si>
    <t>Code général de la fonction publique L327-1 | L327-2</t>
  </si>
  <si>
    <t>P0009 - P0004 - E0697</t>
  </si>
  <si>
    <t>Décret 95-654 A36-II</t>
  </si>
  <si>
    <t>Ordonnance 58-1270 A21 / Décret 72-355 A48</t>
  </si>
  <si>
    <t>Ordonnance 58-1270 A22 | A23</t>
  </si>
  <si>
    <t>Décret 92-171 A10</t>
  </si>
  <si>
    <t>P0044 - E0697</t>
  </si>
  <si>
    <t>Code général de la fonction publique L326-10 / Décret 2005-902 A19-1</t>
  </si>
  <si>
    <t>P0166 - E0697</t>
  </si>
  <si>
    <t>Code général de la fonction publique R352-25</t>
  </si>
  <si>
    <t>P0167 - E0697</t>
  </si>
  <si>
    <t>2025-107</t>
  </si>
  <si>
    <t>Code général de la fonction publique R352-24</t>
  </si>
  <si>
    <t>Décret 95-979 A8-I / Décret 82-451 A25</t>
  </si>
  <si>
    <t>Arrêté du 30 decembre 2016 A23</t>
  </si>
  <si>
    <t>Arrêté du 30 decembre 2016 A25</t>
  </si>
  <si>
    <t>Décret 2020-530 A1 | A32</t>
  </si>
  <si>
    <t>Décret 2020-530 A3</t>
  </si>
  <si>
    <t>Décret 2020-530 A4</t>
  </si>
  <si>
    <t>Décret 2020-530 A7</t>
  </si>
  <si>
    <t>P0052 - E0697 - titularisation</t>
  </si>
  <si>
    <t>Décret 2020-530 A8</t>
  </si>
  <si>
    <t>Décret 2020-530 A10</t>
  </si>
  <si>
    <t>Code général de la fonction publique R352-26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</si>
</sst>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40B08-C3A5-4B5F-A238-ED87A1B6A394}">
  <sheetPr codeName="Feuil2"/>
  <dimension ref="A1:AG425"/>
  <sheetViews>
    <sheetView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58"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0BA6E-18A7-4377-9234-11E36427EC81}">
  <sheetPr filterMode="1"/>
  <dimension ref="A1:BU239"/>
  <sheetViews>
    <sheetView tabSelected="1" workbookViewId="0">
      <pane ySplit="1" topLeftCell="A2" activePane="bottomLeft" state="frozenSplit"/>
      <selection pane="bottomLeft" activeCell="BK1" sqref="A1:XFD1"/>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9.6328125" style="18" customWidth="1"/>
    <col min="73" max="73" width="15.6328125" style="12" customWidth="1"/>
    <col min="74" max="16384" width="10.90625" style="12"/>
  </cols>
  <sheetData>
    <row r="1" spans="1:7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1"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row>
    <row r="2" spans="1:73" ht="58" hidden="1" x14ac:dyDescent="0.35">
      <c r="A2" s="13" t="s">
        <v>74</v>
      </c>
      <c r="B2" s="13" t="s">
        <v>75</v>
      </c>
      <c r="C2" s="14">
        <v>43152.5</v>
      </c>
      <c r="D2" s="13" t="s">
        <v>76</v>
      </c>
      <c r="E2" s="15" t="s">
        <v>77</v>
      </c>
      <c r="F2" s="13" t="s">
        <v>78</v>
      </c>
      <c r="G2" s="15" t="s">
        <v>79</v>
      </c>
      <c r="H2" s="13" t="s">
        <v>80</v>
      </c>
      <c r="I2" s="15" t="s">
        <v>79</v>
      </c>
      <c r="J2" s="15" t="s">
        <v>81</v>
      </c>
      <c r="K2" s="15" t="s">
        <v>82</v>
      </c>
      <c r="L2" s="13" t="s">
        <v>83</v>
      </c>
      <c r="M2" s="15" t="s">
        <v>84</v>
      </c>
      <c r="N2" s="14" t="s">
        <v>85</v>
      </c>
      <c r="O2" s="15" t="s">
        <v>86</v>
      </c>
      <c r="P2" s="15" t="s">
        <v>87</v>
      </c>
      <c r="Q2" s="15" t="s">
        <v>88</v>
      </c>
      <c r="R2" s="13" t="s">
        <v>89</v>
      </c>
      <c r="S2" s="13" t="s">
        <v>90</v>
      </c>
      <c r="T2" s="13" t="s">
        <v>91</v>
      </c>
      <c r="U2" s="14">
        <v>40725</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3"/>
    </row>
    <row r="3" spans="1:73" ht="87" hidden="1" x14ac:dyDescent="0.35">
      <c r="A3" s="13" t="s">
        <v>74</v>
      </c>
      <c r="B3" s="13" t="s">
        <v>75</v>
      </c>
      <c r="C3" s="14">
        <v>43152.5</v>
      </c>
      <c r="D3" s="13" t="s">
        <v>76</v>
      </c>
      <c r="E3" s="15" t="s">
        <v>77</v>
      </c>
      <c r="F3" s="13" t="s">
        <v>78</v>
      </c>
      <c r="G3" s="15" t="s">
        <v>79</v>
      </c>
      <c r="H3" s="13" t="s">
        <v>80</v>
      </c>
      <c r="I3" s="15" t="s">
        <v>79</v>
      </c>
      <c r="J3" s="15" t="s">
        <v>81</v>
      </c>
      <c r="K3" s="15" t="s">
        <v>82</v>
      </c>
      <c r="L3" s="13" t="s">
        <v>92</v>
      </c>
      <c r="M3" s="15" t="s">
        <v>79</v>
      </c>
      <c r="N3" s="14" t="s">
        <v>85</v>
      </c>
      <c r="O3" s="15" t="s">
        <v>93</v>
      </c>
      <c r="P3" s="15" t="s">
        <v>94</v>
      </c>
      <c r="Q3" s="15" t="s">
        <v>88</v>
      </c>
      <c r="R3" s="13" t="s">
        <v>89</v>
      </c>
      <c r="S3" s="13" t="s">
        <v>90</v>
      </c>
      <c r="T3" s="13" t="s">
        <v>95</v>
      </c>
      <c r="U3" s="14">
        <v>40725</v>
      </c>
      <c r="V3" s="14"/>
      <c r="W3" s="15" t="s">
        <v>96</v>
      </c>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t="s">
        <v>97</v>
      </c>
      <c r="BE3" s="15" t="str">
        <f>VLOOKUP(BD3,'Axe 2 Règles de gestion'!$D$2:$F$62,3, FALSE)</f>
        <v>La date d'entrée dans le statut doit être postérieure à la date de fin du statut précédent.</v>
      </c>
      <c r="BF3" s="13" t="s">
        <v>99</v>
      </c>
      <c r="BG3" s="15" t="str">
        <f>VLOOKUP(BF3,'Axe 2 Règles de gestion'!$D$2:$F$62,3, FALSE)</f>
        <v>Le nouveau statut de l'agent est "Non Titulaire".</v>
      </c>
      <c r="BH3" s="13" t="s">
        <v>101</v>
      </c>
      <c r="BI3" s="15" t="str">
        <f>VLOOKUP(BH3,'Axe 2 Règles de gestion'!$D$2:$F$62,3, FALSE)</f>
        <v>L'agent est en position de détachement entrant/sortant auprès d'une administration de l'Etat ou dans un EP de l'Etat dans un emploi ne conduisant pas à pension</v>
      </c>
      <c r="BJ3" s="13" t="s">
        <v>103</v>
      </c>
      <c r="BK3" s="15" t="str">
        <f>VLOOKUP(BJ3,'Axe 2 Règles de gestion'!$D$2:$F$62,3, FALSE)</f>
        <v>Le statut saisi de l'agent est différent du statut précédent.</v>
      </c>
      <c r="BL3" s="13" t="s">
        <v>105</v>
      </c>
      <c r="BM3" s="15" t="str">
        <f>VLOOKUP(BL3,'Axe 2 Règles de gestion'!$D$2:$F$62,3, FALSE)</f>
        <v>Si la date de fin du statut est renseignée alors elle doit être postérieure à la date de début du statut de l'occurrence.</v>
      </c>
      <c r="BN3" s="13"/>
      <c r="BO3" s="15"/>
      <c r="BP3" s="13"/>
      <c r="BQ3" s="15"/>
      <c r="BR3" s="13"/>
      <c r="BS3" s="15"/>
      <c r="BT3" s="13"/>
      <c r="BU3" s="13"/>
    </row>
    <row r="4" spans="1:73" ht="72.5" hidden="1" x14ac:dyDescent="0.35">
      <c r="A4" s="13" t="s">
        <v>74</v>
      </c>
      <c r="B4" s="13" t="s">
        <v>75</v>
      </c>
      <c r="C4" s="14">
        <v>43189.5</v>
      </c>
      <c r="D4" s="13" t="s">
        <v>76</v>
      </c>
      <c r="E4" s="15" t="s">
        <v>77</v>
      </c>
      <c r="F4" s="13" t="s">
        <v>78</v>
      </c>
      <c r="G4" s="15" t="s">
        <v>79</v>
      </c>
      <c r="H4" s="13" t="s">
        <v>80</v>
      </c>
      <c r="I4" s="15" t="s">
        <v>79</v>
      </c>
      <c r="J4" s="15" t="s">
        <v>81</v>
      </c>
      <c r="K4" s="15" t="s">
        <v>82</v>
      </c>
      <c r="L4" s="13" t="s">
        <v>107</v>
      </c>
      <c r="M4" s="15" t="s">
        <v>108</v>
      </c>
      <c r="N4" s="14" t="s">
        <v>85</v>
      </c>
      <c r="O4" s="15" t="s">
        <v>109</v>
      </c>
      <c r="P4" s="15" t="s">
        <v>110</v>
      </c>
      <c r="Q4" s="15" t="s">
        <v>88</v>
      </c>
      <c r="R4" s="13" t="s">
        <v>89</v>
      </c>
      <c r="S4" s="13" t="s">
        <v>90</v>
      </c>
      <c r="T4" s="13" t="s">
        <v>91</v>
      </c>
      <c r="U4" s="14">
        <v>40725</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3"/>
    </row>
    <row r="5" spans="1:73" ht="29" x14ac:dyDescent="0.35">
      <c r="A5" s="19" t="s">
        <v>111</v>
      </c>
      <c r="B5" s="19" t="s">
        <v>112</v>
      </c>
      <c r="C5" s="20">
        <v>45950.390972222223</v>
      </c>
      <c r="D5" s="19" t="s">
        <v>76</v>
      </c>
      <c r="E5" s="21" t="s">
        <v>77</v>
      </c>
      <c r="F5" s="19" t="s">
        <v>78</v>
      </c>
      <c r="G5" s="21" t="s">
        <v>79</v>
      </c>
      <c r="H5" s="19" t="s">
        <v>80</v>
      </c>
      <c r="I5" s="21" t="s">
        <v>79</v>
      </c>
      <c r="J5" s="21" t="s">
        <v>81</v>
      </c>
      <c r="K5" s="21" t="s">
        <v>82</v>
      </c>
      <c r="L5" s="19" t="s">
        <v>113</v>
      </c>
      <c r="M5" s="21" t="s">
        <v>114</v>
      </c>
      <c r="N5" s="20" t="s">
        <v>85</v>
      </c>
      <c r="O5" s="21" t="s">
        <v>115</v>
      </c>
      <c r="P5" s="21" t="s">
        <v>116</v>
      </c>
      <c r="Q5" s="21" t="s">
        <v>88</v>
      </c>
      <c r="R5" s="19" t="s">
        <v>89</v>
      </c>
      <c r="S5" s="19" t="s">
        <v>90</v>
      </c>
      <c r="T5" s="19" t="s">
        <v>91</v>
      </c>
      <c r="U5" s="20">
        <v>40725</v>
      </c>
      <c r="V5" s="20">
        <v>40725</v>
      </c>
      <c r="W5" s="21"/>
      <c r="X5" s="19"/>
      <c r="Y5" s="21"/>
      <c r="Z5" s="19"/>
      <c r="AA5" s="21"/>
      <c r="AB5" s="19"/>
      <c r="AC5" s="21"/>
      <c r="AD5" s="19"/>
      <c r="AE5" s="21"/>
      <c r="AF5" s="19"/>
      <c r="AG5" s="21"/>
      <c r="AH5" s="19"/>
      <c r="AI5" s="21"/>
      <c r="AJ5" s="19"/>
      <c r="AK5" s="21"/>
      <c r="AL5" s="19"/>
      <c r="AM5" s="21"/>
      <c r="AN5" s="19"/>
      <c r="AO5" s="21"/>
      <c r="AP5" s="19"/>
      <c r="AQ5" s="21"/>
      <c r="AR5" s="19"/>
      <c r="AS5" s="21"/>
      <c r="AT5" s="19"/>
      <c r="AU5" s="21"/>
      <c r="AV5" s="19"/>
      <c r="AW5" s="21"/>
      <c r="AX5" s="19"/>
      <c r="AY5" s="21"/>
      <c r="AZ5" s="19"/>
      <c r="BA5" s="21"/>
      <c r="BB5" s="19"/>
      <c r="BC5" s="21"/>
      <c r="BD5" s="19"/>
      <c r="BE5" s="21"/>
      <c r="BF5" s="19"/>
      <c r="BG5" s="21"/>
      <c r="BH5" s="19"/>
      <c r="BI5" s="21"/>
      <c r="BJ5" s="19"/>
      <c r="BK5" s="21"/>
      <c r="BL5" s="19"/>
      <c r="BM5" s="21"/>
      <c r="BN5" s="19"/>
      <c r="BO5" s="21"/>
      <c r="BP5" s="19"/>
      <c r="BQ5" s="21"/>
      <c r="BR5" s="19"/>
      <c r="BS5" s="21"/>
      <c r="BT5" s="19" t="s">
        <v>117</v>
      </c>
      <c r="BU5" s="19"/>
    </row>
    <row r="6" spans="1:73" ht="29" x14ac:dyDescent="0.35">
      <c r="A6" s="19" t="s">
        <v>111</v>
      </c>
      <c r="B6" s="19" t="s">
        <v>112</v>
      </c>
      <c r="C6" s="20">
        <v>45950.392361111109</v>
      </c>
      <c r="D6" s="19" t="s">
        <v>76</v>
      </c>
      <c r="E6" s="21" t="s">
        <v>77</v>
      </c>
      <c r="F6" s="19" t="s">
        <v>78</v>
      </c>
      <c r="G6" s="21" t="s">
        <v>79</v>
      </c>
      <c r="H6" s="19" t="s">
        <v>80</v>
      </c>
      <c r="I6" s="21" t="s">
        <v>79</v>
      </c>
      <c r="J6" s="21" t="s">
        <v>81</v>
      </c>
      <c r="K6" s="21" t="s">
        <v>82</v>
      </c>
      <c r="L6" s="19" t="s">
        <v>118</v>
      </c>
      <c r="M6" s="21" t="s">
        <v>114</v>
      </c>
      <c r="N6" s="20" t="s">
        <v>85</v>
      </c>
      <c r="O6" s="21" t="s">
        <v>119</v>
      </c>
      <c r="P6" s="21" t="s">
        <v>120</v>
      </c>
      <c r="Q6" s="21" t="s">
        <v>88</v>
      </c>
      <c r="R6" s="19" t="s">
        <v>89</v>
      </c>
      <c r="S6" s="19" t="s">
        <v>90</v>
      </c>
      <c r="T6" s="19" t="s">
        <v>91</v>
      </c>
      <c r="U6" s="20">
        <v>40725</v>
      </c>
      <c r="V6" s="20">
        <v>40725</v>
      </c>
      <c r="W6" s="21"/>
      <c r="X6" s="19"/>
      <c r="Y6" s="21"/>
      <c r="Z6" s="19"/>
      <c r="AA6" s="21"/>
      <c r="AB6" s="19"/>
      <c r="AC6" s="21"/>
      <c r="AD6" s="19"/>
      <c r="AE6" s="21"/>
      <c r="AF6" s="19"/>
      <c r="AG6" s="21"/>
      <c r="AH6" s="19"/>
      <c r="AI6" s="21"/>
      <c r="AJ6" s="19"/>
      <c r="AK6" s="21"/>
      <c r="AL6" s="19"/>
      <c r="AM6" s="21"/>
      <c r="AN6" s="19"/>
      <c r="AO6" s="21"/>
      <c r="AP6" s="19"/>
      <c r="AQ6" s="21"/>
      <c r="AR6" s="19"/>
      <c r="AS6" s="21"/>
      <c r="AT6" s="19"/>
      <c r="AU6" s="21"/>
      <c r="AV6" s="19"/>
      <c r="AW6" s="21"/>
      <c r="AX6" s="19"/>
      <c r="AY6" s="21"/>
      <c r="AZ6" s="19"/>
      <c r="BA6" s="21"/>
      <c r="BB6" s="19"/>
      <c r="BC6" s="21"/>
      <c r="BD6" s="19"/>
      <c r="BE6" s="21"/>
      <c r="BF6" s="19"/>
      <c r="BG6" s="21"/>
      <c r="BH6" s="19"/>
      <c r="BI6" s="21"/>
      <c r="BJ6" s="19"/>
      <c r="BK6" s="21"/>
      <c r="BL6" s="19"/>
      <c r="BM6" s="21"/>
      <c r="BN6" s="19"/>
      <c r="BO6" s="21"/>
      <c r="BP6" s="19"/>
      <c r="BQ6" s="21"/>
      <c r="BR6" s="19"/>
      <c r="BS6" s="21"/>
      <c r="BT6" s="19" t="s">
        <v>117</v>
      </c>
      <c r="BU6" s="19"/>
    </row>
    <row r="7" spans="1:73" ht="101.5" hidden="1" x14ac:dyDescent="0.35">
      <c r="A7" s="13" t="s">
        <v>74</v>
      </c>
      <c r="B7" s="13" t="s">
        <v>75</v>
      </c>
      <c r="C7" s="14">
        <v>43152.5</v>
      </c>
      <c r="D7" s="13" t="s">
        <v>76</v>
      </c>
      <c r="E7" s="15" t="s">
        <v>77</v>
      </c>
      <c r="F7" s="13" t="s">
        <v>78</v>
      </c>
      <c r="G7" s="15" t="s">
        <v>79</v>
      </c>
      <c r="H7" s="13" t="s">
        <v>80</v>
      </c>
      <c r="I7" s="15" t="s">
        <v>79</v>
      </c>
      <c r="J7" s="15" t="s">
        <v>81</v>
      </c>
      <c r="K7" s="15" t="s">
        <v>82</v>
      </c>
      <c r="L7" s="13" t="s">
        <v>83</v>
      </c>
      <c r="M7" s="15" t="s">
        <v>84</v>
      </c>
      <c r="N7" s="14" t="s">
        <v>85</v>
      </c>
      <c r="O7" s="15" t="s">
        <v>86</v>
      </c>
      <c r="P7" s="15" t="s">
        <v>87</v>
      </c>
      <c r="Q7" s="15" t="s">
        <v>121</v>
      </c>
      <c r="R7" s="13" t="s">
        <v>122</v>
      </c>
      <c r="S7" s="13" t="s">
        <v>90</v>
      </c>
      <c r="T7" s="13" t="s">
        <v>95</v>
      </c>
      <c r="U7" s="14">
        <v>40725</v>
      </c>
      <c r="V7" s="14">
        <v>42481</v>
      </c>
      <c r="W7" s="15" t="s">
        <v>123</v>
      </c>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t="s">
        <v>124</v>
      </c>
      <c r="BA7" s="15" t="str">
        <f>VLOOKUP(AZ7,'Axe 2 Règles de gestion'!$D$2:$F$62,3, FALSE)</f>
        <v>L'agent doit compter au moins 4 ans d'ancienneté en équivalent temps plein dans la FPE au cours des 6 années précédant le 31/03/2011 ou à la date de clôture des inscriptions.</v>
      </c>
      <c r="BB7" s="13"/>
      <c r="BC7" s="15"/>
      <c r="BD7" s="13" t="s">
        <v>103</v>
      </c>
      <c r="BE7" s="15" t="str">
        <f>VLOOKUP(BD7,'Axe 2 Règles de gestion'!$D$2:$F$62,3, FALSE)</f>
        <v>Le statut saisi de l'agent est différent du statut précédent.</v>
      </c>
      <c r="BF7" s="13" t="s">
        <v>126</v>
      </c>
      <c r="BG7" s="15" t="str">
        <f>VLOOKUP(BF7,'Axe 2 Règles de gestion'!$D$2:$F$62,3, FALSE)</f>
        <v>L'agent doit être en activité.</v>
      </c>
      <c r="BH7" s="13" t="s">
        <v>97</v>
      </c>
      <c r="BI7" s="15" t="str">
        <f>VLOOKUP(BH7,'Axe 2 Règles de gestion'!$D$2:$F$62,3, FALSE)</f>
        <v>La date d'entrée dans le statut doit être postérieure à la date de fin du statut précédent.</v>
      </c>
      <c r="BJ7" s="13" t="s">
        <v>128</v>
      </c>
      <c r="BK7" s="15" t="str">
        <f>VLOOKUP(BJ7,'Axe 2 Règles de gestion'!$D$2:$F$62,3, FALSE)</f>
        <v>Le nouveau statut de l'agent est "Titulaire".</v>
      </c>
      <c r="BL7" s="13" t="s">
        <v>130</v>
      </c>
      <c r="BM7" s="15" t="str">
        <f>VLOOKUP(BL7,'Axe 2 Règles de gestion'!$D$2:$F$62,3, FALSE)</f>
        <v>L'agent affecté à Wallis et Futuna doit compter au moins 4 ans d'ancienneté dans la FPE au cours des 5 années précédant le 20/07/2014.</v>
      </c>
      <c r="BN7" s="13" t="s">
        <v>105</v>
      </c>
      <c r="BO7" s="15" t="str">
        <f>VLOOKUP(BN7,'Axe 2 Règles de gestion'!$D$2:$F$62,3, FALSE)</f>
        <v>Si la date de fin du statut est renseignée alors elle doit être postérieure à la date de début du statut de l'occurrence.</v>
      </c>
      <c r="BP7" s="13"/>
      <c r="BQ7" s="15"/>
      <c r="BR7" s="13"/>
      <c r="BS7" s="15"/>
      <c r="BT7" s="13"/>
      <c r="BU7" s="13"/>
    </row>
    <row r="8" spans="1:73" ht="159.5" hidden="1" x14ac:dyDescent="0.35">
      <c r="A8" s="13" t="s">
        <v>132</v>
      </c>
      <c r="B8" s="13" t="s">
        <v>112</v>
      </c>
      <c r="C8" s="14">
        <v>43628.435416666667</v>
      </c>
      <c r="D8" s="13" t="s">
        <v>76</v>
      </c>
      <c r="E8" s="15" t="s">
        <v>77</v>
      </c>
      <c r="F8" s="13" t="s">
        <v>78</v>
      </c>
      <c r="G8" s="15" t="s">
        <v>79</v>
      </c>
      <c r="H8" s="13" t="s">
        <v>80</v>
      </c>
      <c r="I8" s="15" t="s">
        <v>79</v>
      </c>
      <c r="J8" s="15" t="s">
        <v>81</v>
      </c>
      <c r="K8" s="15" t="s">
        <v>82</v>
      </c>
      <c r="L8" s="13" t="s">
        <v>83</v>
      </c>
      <c r="M8" s="15" t="s">
        <v>84</v>
      </c>
      <c r="N8" s="14" t="s">
        <v>85</v>
      </c>
      <c r="O8" s="15" t="s">
        <v>86</v>
      </c>
      <c r="P8" s="15" t="s">
        <v>87</v>
      </c>
      <c r="Q8" s="15" t="s">
        <v>121</v>
      </c>
      <c r="R8" s="13" t="s">
        <v>122</v>
      </c>
      <c r="S8" s="13" t="s">
        <v>90</v>
      </c>
      <c r="T8" s="13" t="s">
        <v>95</v>
      </c>
      <c r="U8" s="14">
        <v>42482</v>
      </c>
      <c r="V8" s="14"/>
      <c r="W8" s="15" t="s">
        <v>133</v>
      </c>
      <c r="X8" s="13" t="s">
        <v>134</v>
      </c>
      <c r="Y8" s="15" t="str">
        <f>VLOOKUP(X8,'Axe 2 Règles de gestion'!$D$2:$F$62,3, FALSE)</f>
        <v>Les conditions de nomination de l'agent déclaré apte sont celles prévues par les statuts particuliers des corps d'accueil.</v>
      </c>
      <c r="Z8" s="13" t="s">
        <v>136</v>
      </c>
      <c r="AA8" s="15" t="str">
        <f>VLOOKUP(Z8,'Axe 2 Règles de gestion'!$D$2:$F$62,3, FALSE)</f>
        <v>La titularisation ne peut être prononcée que sous réserve du respect par l'agent des dispositions législatives et réglementaires régissant le cumul d'activités des agents publics.</v>
      </c>
      <c r="AB8" s="13" t="s">
        <v>138</v>
      </c>
      <c r="AC8" s="15" t="str">
        <f>VLOOKUP(AB8,'Axe 2 Règles de gestion'!$D$2:$F$62,3, FALSE)</f>
        <v>L'agent en contrat à durée indéterminée au 31 mars 2013 et remplissant les conditions, ne peut accéder qu'aux corps de fonctionnaires dont les missions relèvent d'une catégorie hiérarchique équivalente à celle des fonctions qu'il exerce à cette date.</v>
      </c>
      <c r="AD8" s="13" t="s">
        <v>140</v>
      </c>
      <c r="AE8" s="15" t="str">
        <f>VLOOKUP(AD8,'Axe 2 Règles de gestion'!$D$2:$F$62,3, FALSE)</f>
        <v>L'agent en contrat à durée déterminée au 31 mars 2013 et remplissant les conditions ne peut accéder qu'aux corps de fonctionnaires de catégorie hiérarchique équivalente à celle des fonctions exercées pendant une durée de 4 ans en équivalent temps plein.</v>
      </c>
      <c r="AF8" s="13" t="s">
        <v>142</v>
      </c>
      <c r="AG8" s="15" t="str">
        <f>VLOOKUP(AF8,'Axe 2 Règles de gestion'!$D$2:$F$62,3, FALSE)</f>
        <v>Si l'agent a acquis une ancienneté supérieure à 4 ans dans une administration pour laquelle il est éligible, l'ancienneté s'apprécie au regard des 4 années pendant lesquelles il a exercé les fonctions équivalentes à la ou aux catégories les plus élevées.</v>
      </c>
      <c r="AH8" s="13" t="s">
        <v>144</v>
      </c>
      <c r="AI8" s="15" t="str">
        <f>VLOOKUP(AH8,'Axe 2 Règles de gestion'!$D$2:$F$62,3, FALSE)</f>
        <v>Lorsque l'ancienneté a été acquise dans des catégories différentes, les agents peuvent accéder aux corps relevant de la catégorie dans laquelle ils ont exercé leurs fonctions le plus longtemps pendant la période de 4 années.</v>
      </c>
      <c r="AJ8" s="13"/>
      <c r="AK8" s="15"/>
      <c r="AL8" s="13"/>
      <c r="AM8" s="15"/>
      <c r="AN8" s="13"/>
      <c r="AO8" s="15"/>
      <c r="AP8" s="13"/>
      <c r="AQ8" s="15"/>
      <c r="AR8" s="13"/>
      <c r="AS8" s="15"/>
      <c r="AT8" s="13"/>
      <c r="AU8" s="15"/>
      <c r="AV8" s="13"/>
      <c r="AW8" s="15"/>
      <c r="AX8" s="13"/>
      <c r="AY8" s="15"/>
      <c r="AZ8" s="13" t="s">
        <v>146</v>
      </c>
      <c r="BA8" s="15" t="str">
        <f>VLOOKUP(AZ8,'Axe 2 Règles de gestion'!$D$2:$F$62,3, FALSE)</f>
        <v>L'agent doit compter au moins 4 ans d'ancienneté en équivalent temps plein dans la FPE au cours des 6 années précédant le 31/03/2013 ou à la date de clôture des inscriptions.</v>
      </c>
      <c r="BB8" s="13"/>
      <c r="BC8" s="15"/>
      <c r="BD8" s="13" t="s">
        <v>103</v>
      </c>
      <c r="BE8" s="15" t="str">
        <f>VLOOKUP(BD8,'Axe 2 Règles de gestion'!$D$2:$F$62,3, FALSE)</f>
        <v>Le statut saisi de l'agent est différent du statut précédent.</v>
      </c>
      <c r="BF8" s="13" t="s">
        <v>126</v>
      </c>
      <c r="BG8" s="15" t="str">
        <f>VLOOKUP(BF8,'Axe 2 Règles de gestion'!$D$2:$F$62,3, FALSE)</f>
        <v>L'agent doit être en activité.</v>
      </c>
      <c r="BH8" s="13" t="s">
        <v>97</v>
      </c>
      <c r="BI8" s="15" t="str">
        <f>VLOOKUP(BH8,'Axe 2 Règles de gestion'!$D$2:$F$62,3, FALSE)</f>
        <v>La date d'entrée dans le statut doit être postérieure à la date de fin du statut précédent.</v>
      </c>
      <c r="BJ8" s="13" t="s">
        <v>128</v>
      </c>
      <c r="BK8" s="15" t="str">
        <f>VLOOKUP(BJ8,'Axe 2 Règles de gestion'!$D$2:$F$62,3, FALSE)</f>
        <v>Le nouveau statut de l'agent est "Titulaire".</v>
      </c>
      <c r="BL8" s="13" t="s">
        <v>130</v>
      </c>
      <c r="BM8" s="15" t="str">
        <f>VLOOKUP(BL8,'Axe 2 Règles de gestion'!$D$2:$F$62,3, FALSE)</f>
        <v>L'agent affecté à Wallis et Futuna doit compter au moins 4 ans d'ancienneté dans la FPE au cours des 5 années précédant le 20/07/2014.</v>
      </c>
      <c r="BN8" s="13" t="s">
        <v>105</v>
      </c>
      <c r="BO8" s="15" t="str">
        <f>VLOOKUP(BN8,'Axe 2 Règles de gestion'!$D$2:$F$62,3, FALSE)</f>
        <v>Si la date de fin du statut est renseignée alors elle doit être postérieure à la date de début du statut de l'occurrence.</v>
      </c>
      <c r="BP8" s="13"/>
      <c r="BQ8" s="15"/>
      <c r="BR8" s="13"/>
      <c r="BS8" s="15"/>
      <c r="BT8" s="13"/>
      <c r="BU8" s="13"/>
    </row>
    <row r="9" spans="1:73" ht="72.5" hidden="1" x14ac:dyDescent="0.35">
      <c r="A9" s="13" t="s">
        <v>74</v>
      </c>
      <c r="B9" s="13" t="s">
        <v>75</v>
      </c>
      <c r="C9" s="14">
        <v>43152.5</v>
      </c>
      <c r="D9" s="13" t="s">
        <v>76</v>
      </c>
      <c r="E9" s="15" t="s">
        <v>77</v>
      </c>
      <c r="F9" s="13" t="s">
        <v>78</v>
      </c>
      <c r="G9" s="15" t="s">
        <v>79</v>
      </c>
      <c r="H9" s="13" t="s">
        <v>80</v>
      </c>
      <c r="I9" s="15" t="s">
        <v>79</v>
      </c>
      <c r="J9" s="15" t="s">
        <v>81</v>
      </c>
      <c r="K9" s="15" t="s">
        <v>82</v>
      </c>
      <c r="L9" s="13" t="s">
        <v>92</v>
      </c>
      <c r="M9" s="15" t="s">
        <v>79</v>
      </c>
      <c r="N9" s="14" t="s">
        <v>85</v>
      </c>
      <c r="O9" s="15" t="s">
        <v>93</v>
      </c>
      <c r="P9" s="15" t="s">
        <v>94</v>
      </c>
      <c r="Q9" s="15" t="s">
        <v>121</v>
      </c>
      <c r="R9" s="13" t="s">
        <v>122</v>
      </c>
      <c r="S9" s="13" t="s">
        <v>90</v>
      </c>
      <c r="T9" s="13" t="s">
        <v>95</v>
      </c>
      <c r="U9" s="14">
        <v>40725</v>
      </c>
      <c r="V9" s="14"/>
      <c r="W9" s="15" t="s">
        <v>148</v>
      </c>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t="s">
        <v>97</v>
      </c>
      <c r="BE9" s="15" t="str">
        <f>VLOOKUP(BD9,'Axe 2 Règles de gestion'!$D$2:$F$62,3, FALSE)</f>
        <v>La date d'entrée dans le statut doit être postérieure à la date de fin du statut précédent.</v>
      </c>
      <c r="BF9" s="13" t="s">
        <v>99</v>
      </c>
      <c r="BG9" s="15" t="str">
        <f>VLOOKUP(BF9,'Axe 2 Règles de gestion'!$D$2:$F$62,3, FALSE)</f>
        <v>Le nouveau statut de l'agent est "Non Titulaire".</v>
      </c>
      <c r="BH9" s="13" t="s">
        <v>103</v>
      </c>
      <c r="BI9" s="15" t="str">
        <f>VLOOKUP(BH9,'Axe 2 Règles de gestion'!$D$2:$F$62,3, FALSE)</f>
        <v>Le statut saisi de l'agent est différent du statut précédent.</v>
      </c>
      <c r="BJ9" s="13" t="s">
        <v>105</v>
      </c>
      <c r="BK9" s="15" t="str">
        <f>VLOOKUP(BJ9,'Axe 2 Règles de gestion'!$D$2:$F$62,3, FALSE)</f>
        <v>Si la date de fin du statut est renseignée alors elle doit être postérieure à la date de début du statut de l'occurrence.</v>
      </c>
      <c r="BL9" s="13"/>
      <c r="BM9" s="15"/>
      <c r="BN9" s="13"/>
      <c r="BO9" s="15"/>
      <c r="BP9" s="13"/>
      <c r="BQ9" s="15"/>
      <c r="BR9" s="13"/>
      <c r="BS9" s="15"/>
      <c r="BT9" s="13"/>
      <c r="BU9" s="13"/>
    </row>
    <row r="10" spans="1:73" ht="72.5" hidden="1" x14ac:dyDescent="0.35">
      <c r="A10" s="13" t="s">
        <v>74</v>
      </c>
      <c r="B10" s="13" t="s">
        <v>75</v>
      </c>
      <c r="C10" s="14">
        <v>43189.5</v>
      </c>
      <c r="D10" s="13" t="s">
        <v>76</v>
      </c>
      <c r="E10" s="15" t="s">
        <v>77</v>
      </c>
      <c r="F10" s="13" t="s">
        <v>78</v>
      </c>
      <c r="G10" s="15" t="s">
        <v>79</v>
      </c>
      <c r="H10" s="13" t="s">
        <v>80</v>
      </c>
      <c r="I10" s="15" t="s">
        <v>79</v>
      </c>
      <c r="J10" s="15" t="s">
        <v>81</v>
      </c>
      <c r="K10" s="15" t="s">
        <v>82</v>
      </c>
      <c r="L10" s="13" t="s">
        <v>107</v>
      </c>
      <c r="M10" s="15" t="s">
        <v>108</v>
      </c>
      <c r="N10" s="14" t="s">
        <v>85</v>
      </c>
      <c r="O10" s="15" t="s">
        <v>109</v>
      </c>
      <c r="P10" s="15" t="s">
        <v>110</v>
      </c>
      <c r="Q10" s="15" t="s">
        <v>121</v>
      </c>
      <c r="R10" s="13" t="s">
        <v>122</v>
      </c>
      <c r="S10" s="13" t="s">
        <v>90</v>
      </c>
      <c r="T10" s="13" t="s">
        <v>91</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3"/>
    </row>
    <row r="11" spans="1:73" ht="29" x14ac:dyDescent="0.35">
      <c r="A11" s="19" t="s">
        <v>111</v>
      </c>
      <c r="B11" s="19" t="s">
        <v>112</v>
      </c>
      <c r="C11" s="20">
        <v>45950.390277777777</v>
      </c>
      <c r="D11" s="19" t="s">
        <v>76</v>
      </c>
      <c r="E11" s="21" t="s">
        <v>77</v>
      </c>
      <c r="F11" s="19" t="s">
        <v>78</v>
      </c>
      <c r="G11" s="21" t="s">
        <v>79</v>
      </c>
      <c r="H11" s="19" t="s">
        <v>80</v>
      </c>
      <c r="I11" s="21" t="s">
        <v>79</v>
      </c>
      <c r="J11" s="21" t="s">
        <v>81</v>
      </c>
      <c r="K11" s="21" t="s">
        <v>82</v>
      </c>
      <c r="L11" s="19" t="s">
        <v>113</v>
      </c>
      <c r="M11" s="21" t="s">
        <v>114</v>
      </c>
      <c r="N11" s="20" t="s">
        <v>85</v>
      </c>
      <c r="O11" s="21" t="s">
        <v>115</v>
      </c>
      <c r="P11" s="21" t="s">
        <v>116</v>
      </c>
      <c r="Q11" s="21" t="s">
        <v>121</v>
      </c>
      <c r="R11" s="19" t="s">
        <v>122</v>
      </c>
      <c r="S11" s="19" t="s">
        <v>90</v>
      </c>
      <c r="T11" s="19" t="s">
        <v>91</v>
      </c>
      <c r="U11" s="20">
        <v>40725</v>
      </c>
      <c r="V11" s="20">
        <v>40725</v>
      </c>
      <c r="W11" s="21"/>
      <c r="X11" s="19"/>
      <c r="Y11" s="21"/>
      <c r="Z11" s="19"/>
      <c r="AA11" s="21"/>
      <c r="AB11" s="19"/>
      <c r="AC11" s="21"/>
      <c r="AD11" s="19"/>
      <c r="AE11" s="21"/>
      <c r="AF11" s="19"/>
      <c r="AG11" s="21"/>
      <c r="AH11" s="19"/>
      <c r="AI11" s="21"/>
      <c r="AJ11" s="19"/>
      <c r="AK11" s="21"/>
      <c r="AL11" s="19"/>
      <c r="AM11" s="21"/>
      <c r="AN11" s="19"/>
      <c r="AO11" s="21"/>
      <c r="AP11" s="19"/>
      <c r="AQ11" s="21"/>
      <c r="AR11" s="19"/>
      <c r="AS11" s="21"/>
      <c r="AT11" s="19"/>
      <c r="AU11" s="21"/>
      <c r="AV11" s="19"/>
      <c r="AW11" s="21"/>
      <c r="AX11" s="19"/>
      <c r="AY11" s="21"/>
      <c r="AZ11" s="19"/>
      <c r="BA11" s="21"/>
      <c r="BB11" s="19"/>
      <c r="BC11" s="21"/>
      <c r="BD11" s="19"/>
      <c r="BE11" s="21"/>
      <c r="BF11" s="19"/>
      <c r="BG11" s="21"/>
      <c r="BH11" s="19"/>
      <c r="BI11" s="21"/>
      <c r="BJ11" s="19"/>
      <c r="BK11" s="21"/>
      <c r="BL11" s="19"/>
      <c r="BM11" s="21"/>
      <c r="BN11" s="19"/>
      <c r="BO11" s="21"/>
      <c r="BP11" s="19"/>
      <c r="BQ11" s="21"/>
      <c r="BR11" s="19"/>
      <c r="BS11" s="21"/>
      <c r="BT11" s="19" t="s">
        <v>117</v>
      </c>
      <c r="BU11" s="19"/>
    </row>
    <row r="12" spans="1:73" ht="29" x14ac:dyDescent="0.35">
      <c r="A12" s="19" t="s">
        <v>111</v>
      </c>
      <c r="B12" s="19" t="s">
        <v>112</v>
      </c>
      <c r="C12" s="20">
        <v>45950.390972222223</v>
      </c>
      <c r="D12" s="19" t="s">
        <v>76</v>
      </c>
      <c r="E12" s="21" t="s">
        <v>77</v>
      </c>
      <c r="F12" s="19" t="s">
        <v>78</v>
      </c>
      <c r="G12" s="21" t="s">
        <v>79</v>
      </c>
      <c r="H12" s="19" t="s">
        <v>80</v>
      </c>
      <c r="I12" s="21" t="s">
        <v>79</v>
      </c>
      <c r="J12" s="21" t="s">
        <v>81</v>
      </c>
      <c r="K12" s="21" t="s">
        <v>82</v>
      </c>
      <c r="L12" s="19" t="s">
        <v>118</v>
      </c>
      <c r="M12" s="21" t="s">
        <v>114</v>
      </c>
      <c r="N12" s="20" t="s">
        <v>85</v>
      </c>
      <c r="O12" s="21" t="s">
        <v>119</v>
      </c>
      <c r="P12" s="21" t="s">
        <v>120</v>
      </c>
      <c r="Q12" s="21" t="s">
        <v>121</v>
      </c>
      <c r="R12" s="19" t="s">
        <v>122</v>
      </c>
      <c r="S12" s="19" t="s">
        <v>90</v>
      </c>
      <c r="T12" s="19" t="s">
        <v>91</v>
      </c>
      <c r="U12" s="20">
        <v>40725</v>
      </c>
      <c r="V12" s="20">
        <v>40725</v>
      </c>
      <c r="W12" s="21"/>
      <c r="X12" s="19"/>
      <c r="Y12" s="21"/>
      <c r="Z12" s="19"/>
      <c r="AA12" s="21"/>
      <c r="AB12" s="19"/>
      <c r="AC12" s="21"/>
      <c r="AD12" s="19"/>
      <c r="AE12" s="21"/>
      <c r="AF12" s="19"/>
      <c r="AG12" s="21"/>
      <c r="AH12" s="19"/>
      <c r="AI12" s="21"/>
      <c r="AJ12" s="19"/>
      <c r="AK12" s="21"/>
      <c r="AL12" s="19"/>
      <c r="AM12" s="21"/>
      <c r="AN12" s="19"/>
      <c r="AO12" s="21"/>
      <c r="AP12" s="19"/>
      <c r="AQ12" s="21"/>
      <c r="AR12" s="19"/>
      <c r="AS12" s="21"/>
      <c r="AT12" s="19"/>
      <c r="AU12" s="21"/>
      <c r="AV12" s="19"/>
      <c r="AW12" s="21"/>
      <c r="AX12" s="19"/>
      <c r="AY12" s="21"/>
      <c r="AZ12" s="19"/>
      <c r="BA12" s="21"/>
      <c r="BB12" s="19"/>
      <c r="BC12" s="21"/>
      <c r="BD12" s="19"/>
      <c r="BE12" s="21"/>
      <c r="BF12" s="19"/>
      <c r="BG12" s="21"/>
      <c r="BH12" s="19"/>
      <c r="BI12" s="21"/>
      <c r="BJ12" s="19"/>
      <c r="BK12" s="21"/>
      <c r="BL12" s="19"/>
      <c r="BM12" s="21"/>
      <c r="BN12" s="19"/>
      <c r="BO12" s="21"/>
      <c r="BP12" s="19"/>
      <c r="BQ12" s="21"/>
      <c r="BR12" s="19"/>
      <c r="BS12" s="21"/>
      <c r="BT12" s="19" t="s">
        <v>117</v>
      </c>
      <c r="BU12" s="19"/>
    </row>
    <row r="13" spans="1:73" ht="145" hidden="1" x14ac:dyDescent="0.35">
      <c r="A13" s="13" t="s">
        <v>149</v>
      </c>
      <c r="B13" s="13" t="s">
        <v>112</v>
      </c>
      <c r="C13" s="14">
        <v>44746.49722222222</v>
      </c>
      <c r="D13" s="13" t="s">
        <v>76</v>
      </c>
      <c r="E13" s="15" t="s">
        <v>77</v>
      </c>
      <c r="F13" s="13" t="s">
        <v>78</v>
      </c>
      <c r="G13" s="15" t="s">
        <v>79</v>
      </c>
      <c r="H13" s="13" t="s">
        <v>80</v>
      </c>
      <c r="I13" s="15" t="s">
        <v>79</v>
      </c>
      <c r="J13" s="15" t="s">
        <v>81</v>
      </c>
      <c r="K13" s="15" t="s">
        <v>82</v>
      </c>
      <c r="L13" s="13" t="s">
        <v>83</v>
      </c>
      <c r="M13" s="15" t="s">
        <v>84</v>
      </c>
      <c r="N13" s="14" t="s">
        <v>85</v>
      </c>
      <c r="O13" s="15" t="s">
        <v>86</v>
      </c>
      <c r="P13" s="15" t="s">
        <v>87</v>
      </c>
      <c r="Q13" s="15" t="s">
        <v>150</v>
      </c>
      <c r="R13" s="13" t="s">
        <v>151</v>
      </c>
      <c r="S13" s="13" t="s">
        <v>90</v>
      </c>
      <c r="T13" s="13" t="s">
        <v>95</v>
      </c>
      <c r="U13" s="14">
        <v>40725</v>
      </c>
      <c r="V13" s="14"/>
      <c r="W13" s="15" t="s">
        <v>152</v>
      </c>
      <c r="X13" s="13" t="s">
        <v>153</v>
      </c>
      <c r="Y13" s="15" t="str">
        <f>VLOOKUP(X13,'Axe 2 Règles de gestion'!$D$2:$F$62,3, FALSE)</f>
        <v>La titularisation est prononcée sous réserve de l'aptitude physique de l'agent à l'exercice des fonctions compte tenu des possibilités de compensation du handicap.</v>
      </c>
      <c r="Z13" s="13" t="s">
        <v>155</v>
      </c>
      <c r="AA13" s="15" t="str">
        <f>VLOOKUP(Z13,'Axe 2 Règles de gestion'!$D$2:$F$62,3, FALSE)</f>
        <v>La titularisation est prononcée sous réserve de la compatibilité de l'extrait numéro 2 du casier judiciaire avec l'exercice des fonctions.</v>
      </c>
      <c r="AB13" s="13" t="s">
        <v>157</v>
      </c>
      <c r="AC13" s="15" t="str">
        <f>VLOOKUP(AB13,'Axe 2 Règles de gestion'!$D$2:$F$62,3, FALSE)</f>
        <v>L'agent, titulaire dans un autre cadre des administrations de l'Etat et qui est élu au Parlement durant son stage, est titularisé de plein droit dans son nouveau grade, à l'issue d'une période égale à la durée moyenne du stage de ce nouveau grade.</v>
      </c>
      <c r="AD13" s="13" t="s">
        <v>159</v>
      </c>
      <c r="AE13" s="15" t="str">
        <f>VLOOKUP(AD13,'Axe 2 Règles de gestion'!$D$2:$F$62,3, FALSE)</f>
        <v>Les élèves et stagiaires des services actifs de la police nationale, mortellement blessés dans l'exercice de leurs fonctions, peuvent être titularisés dans leurs corps, après avis de la commission paritaire.</v>
      </c>
      <c r="AF13" s="13"/>
      <c r="AG13" s="15"/>
      <c r="AH13" s="13"/>
      <c r="AI13" s="15"/>
      <c r="AJ13" s="13"/>
      <c r="AK13" s="15"/>
      <c r="AL13" s="13"/>
      <c r="AM13" s="15"/>
      <c r="AN13" s="13"/>
      <c r="AO13" s="15"/>
      <c r="AP13" s="13"/>
      <c r="AQ13" s="15"/>
      <c r="AR13" s="13"/>
      <c r="AS13" s="15"/>
      <c r="AT13" s="13"/>
      <c r="AU13" s="15"/>
      <c r="AV13" s="13"/>
      <c r="AW13" s="15"/>
      <c r="AX13" s="13"/>
      <c r="AY13" s="15"/>
      <c r="AZ13" s="13" t="s">
        <v>161</v>
      </c>
      <c r="BA13" s="15" t="str">
        <f>VLOOKUP(AZ13,'Axe 2 Règles de gestion'!$D$2:$F$62,3, FALSE)</f>
        <v>La titularisation intervient à J+1 de la date prévisionnelle de fin de stage avec ou sans prolongation sauf exceptions.</v>
      </c>
      <c r="BB13" s="13" t="s">
        <v>163</v>
      </c>
      <c r="BC13" s="15" t="str">
        <f>VLOOKUP(BB13,'Axe 2 Règles de gestion'!$D$2:$F$62,3, FALSE)</f>
        <v>La titularisation intervient à J+1 de la date réelle de fin de stage avec ou sans prolongation sauf exceptions.</v>
      </c>
      <c r="BD13" s="13" t="s">
        <v>97</v>
      </c>
      <c r="BE13" s="15" t="str">
        <f>VLOOKUP(BD13,'Axe 2 Règles de gestion'!$D$2:$F$62,3, FALSE)</f>
        <v>La date d'entrée dans le statut doit être postérieure à la date de fin du statut précédent.</v>
      </c>
      <c r="BF13" s="13" t="s">
        <v>128</v>
      </c>
      <c r="BG13" s="15" t="str">
        <f>VLOOKUP(BF13,'Axe 2 Règles de gestion'!$D$2:$F$62,3, FALSE)</f>
        <v>Le nouveau statut de l'agent est "Titulaire".</v>
      </c>
      <c r="BH13" s="13" t="s">
        <v>165</v>
      </c>
      <c r="BI13" s="15" t="str">
        <f>VLOOKUP(BH13,'Axe 2 Règles de gestion'!$D$2:$F$62,3, FALSE)</f>
        <v>La date d'entrée dans le statut doit être postérieure à la date prévisionnelle de fin de stage.</v>
      </c>
      <c r="BJ13" s="13" t="s">
        <v>167</v>
      </c>
      <c r="BK13" s="15" t="str">
        <f>VLOOKUP(BJ13,'Axe 2 Règles de gestion'!$D$2:$F$62,3, FALSE)</f>
        <v>La date d'entrée dans le statut doit être postérieure à la date réelle de fin de stage.</v>
      </c>
      <c r="BL13" s="13" t="s">
        <v>169</v>
      </c>
      <c r="BM13" s="15" t="str">
        <f>VLOOKUP(BL13,'Axe 2 Règles de gestion'!$D$2:$F$62,3, FALSE)</f>
        <v>La date de fin réelle du stage ou la date prévisionnelle de fin de stage doit être renseignée.</v>
      </c>
      <c r="BN13" s="13" t="s">
        <v>103</v>
      </c>
      <c r="BO13" s="15" t="str">
        <f>VLOOKUP(BN13,'Axe 2 Règles de gestion'!$D$2:$F$62,3, FALSE)</f>
        <v>Le statut saisi de l'agent est différent du statut précédent.</v>
      </c>
      <c r="BP13" s="13" t="s">
        <v>126</v>
      </c>
      <c r="BQ13" s="15" t="str">
        <f>VLOOKUP(BP13,'Axe 2 Règles de gestion'!$D$2:$F$62,3, FALSE)</f>
        <v>L'agent doit être en activité.</v>
      </c>
      <c r="BR13" s="13" t="s">
        <v>105</v>
      </c>
      <c r="BS13" s="15" t="str">
        <f>VLOOKUP(BR13,'Axe 2 Règles de gestion'!$D$2:$F$62,3, FALSE)</f>
        <v>Si la date de fin du statut est renseignée alors elle doit être postérieure à la date de début du statut de l'occurrence.</v>
      </c>
      <c r="BT13" s="13"/>
      <c r="BU13" s="13"/>
    </row>
    <row r="14" spans="1:73" ht="72.5" hidden="1" x14ac:dyDescent="0.35">
      <c r="A14" s="13" t="s">
        <v>74</v>
      </c>
      <c r="B14" s="13" t="s">
        <v>75</v>
      </c>
      <c r="C14" s="14">
        <v>43152.5</v>
      </c>
      <c r="D14" s="13" t="s">
        <v>76</v>
      </c>
      <c r="E14" s="15" t="s">
        <v>77</v>
      </c>
      <c r="F14" s="13" t="s">
        <v>78</v>
      </c>
      <c r="G14" s="15" t="s">
        <v>79</v>
      </c>
      <c r="H14" s="13" t="s">
        <v>80</v>
      </c>
      <c r="I14" s="15" t="s">
        <v>79</v>
      </c>
      <c r="J14" s="15" t="s">
        <v>81</v>
      </c>
      <c r="K14" s="15" t="s">
        <v>82</v>
      </c>
      <c r="L14" s="13" t="s">
        <v>92</v>
      </c>
      <c r="M14" s="15" t="s">
        <v>79</v>
      </c>
      <c r="N14" s="14" t="s">
        <v>85</v>
      </c>
      <c r="O14" s="15" t="s">
        <v>93</v>
      </c>
      <c r="P14" s="15" t="s">
        <v>94</v>
      </c>
      <c r="Q14" s="15" t="s">
        <v>150</v>
      </c>
      <c r="R14" s="13" t="s">
        <v>151</v>
      </c>
      <c r="S14" s="13" t="s">
        <v>90</v>
      </c>
      <c r="T14" s="13" t="s">
        <v>95</v>
      </c>
      <c r="U14" s="14">
        <v>40725</v>
      </c>
      <c r="V14" s="14"/>
      <c r="W14" s="15" t="s">
        <v>148</v>
      </c>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t="s">
        <v>97</v>
      </c>
      <c r="BE14" s="15" t="str">
        <f>VLOOKUP(BD14,'Axe 2 Règles de gestion'!$D$2:$F$62,3, FALSE)</f>
        <v>La date d'entrée dans le statut doit être postérieure à la date de fin du statut précédent.</v>
      </c>
      <c r="BF14" s="13" t="s">
        <v>99</v>
      </c>
      <c r="BG14" s="15" t="str">
        <f>VLOOKUP(BF14,'Axe 2 Règles de gestion'!$D$2:$F$62,3, FALSE)</f>
        <v>Le nouveau statut de l'agent est "Non Titulaire".</v>
      </c>
      <c r="BH14" s="13" t="s">
        <v>103</v>
      </c>
      <c r="BI14" s="15" t="str">
        <f>VLOOKUP(BH14,'Axe 2 Règles de gestion'!$D$2:$F$62,3, FALSE)</f>
        <v>Le statut saisi de l'agent est différent du statut précédent.</v>
      </c>
      <c r="BJ14" s="13" t="s">
        <v>105</v>
      </c>
      <c r="BK14" s="15" t="str">
        <f>VLOOKUP(BJ14,'Axe 2 Règles de gestion'!$D$2:$F$62,3, FALSE)</f>
        <v>Si la date de fin du statut est renseignée alors elle doit être postérieure à la date de début du statut de l'occurrence.</v>
      </c>
      <c r="BL14" s="13"/>
      <c r="BM14" s="15"/>
      <c r="BN14" s="13"/>
      <c r="BO14" s="15"/>
      <c r="BP14" s="13"/>
      <c r="BQ14" s="15"/>
      <c r="BR14" s="13"/>
      <c r="BS14" s="15"/>
      <c r="BT14" s="13"/>
      <c r="BU14" s="13"/>
    </row>
    <row r="15" spans="1:73" ht="72.5" hidden="1" x14ac:dyDescent="0.35">
      <c r="A15" s="13" t="s">
        <v>74</v>
      </c>
      <c r="B15" s="13" t="s">
        <v>75</v>
      </c>
      <c r="C15" s="14">
        <v>43189.5</v>
      </c>
      <c r="D15" s="13" t="s">
        <v>76</v>
      </c>
      <c r="E15" s="15" t="s">
        <v>77</v>
      </c>
      <c r="F15" s="13" t="s">
        <v>78</v>
      </c>
      <c r="G15" s="15" t="s">
        <v>79</v>
      </c>
      <c r="H15" s="13" t="s">
        <v>80</v>
      </c>
      <c r="I15" s="15" t="s">
        <v>79</v>
      </c>
      <c r="J15" s="15" t="s">
        <v>81</v>
      </c>
      <c r="K15" s="15" t="s">
        <v>82</v>
      </c>
      <c r="L15" s="13" t="s">
        <v>107</v>
      </c>
      <c r="M15" s="15" t="s">
        <v>108</v>
      </c>
      <c r="N15" s="14" t="s">
        <v>85</v>
      </c>
      <c r="O15" s="15" t="s">
        <v>109</v>
      </c>
      <c r="P15" s="15" t="s">
        <v>110</v>
      </c>
      <c r="Q15" s="15" t="s">
        <v>150</v>
      </c>
      <c r="R15" s="13" t="s">
        <v>151</v>
      </c>
      <c r="S15" s="13" t="s">
        <v>90</v>
      </c>
      <c r="T15" s="13" t="s">
        <v>91</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3"/>
    </row>
    <row r="16" spans="1:73" ht="29" x14ac:dyDescent="0.35">
      <c r="A16" s="19" t="s">
        <v>111</v>
      </c>
      <c r="B16" s="19" t="s">
        <v>112</v>
      </c>
      <c r="C16" s="20">
        <v>45950.390277777777</v>
      </c>
      <c r="D16" s="19" t="s">
        <v>76</v>
      </c>
      <c r="E16" s="21" t="s">
        <v>77</v>
      </c>
      <c r="F16" s="19" t="s">
        <v>78</v>
      </c>
      <c r="G16" s="21" t="s">
        <v>79</v>
      </c>
      <c r="H16" s="19" t="s">
        <v>80</v>
      </c>
      <c r="I16" s="21" t="s">
        <v>79</v>
      </c>
      <c r="J16" s="21" t="s">
        <v>81</v>
      </c>
      <c r="K16" s="21" t="s">
        <v>82</v>
      </c>
      <c r="L16" s="19" t="s">
        <v>113</v>
      </c>
      <c r="M16" s="21" t="s">
        <v>114</v>
      </c>
      <c r="N16" s="20" t="s">
        <v>85</v>
      </c>
      <c r="O16" s="21" t="s">
        <v>115</v>
      </c>
      <c r="P16" s="21" t="s">
        <v>116</v>
      </c>
      <c r="Q16" s="21" t="s">
        <v>150</v>
      </c>
      <c r="R16" s="19" t="s">
        <v>151</v>
      </c>
      <c r="S16" s="19" t="s">
        <v>90</v>
      </c>
      <c r="T16" s="19" t="s">
        <v>91</v>
      </c>
      <c r="U16" s="20">
        <v>40725</v>
      </c>
      <c r="V16" s="20">
        <v>40725</v>
      </c>
      <c r="W16" s="21"/>
      <c r="X16" s="19"/>
      <c r="Y16" s="21"/>
      <c r="Z16" s="19"/>
      <c r="AA16" s="21"/>
      <c r="AB16" s="19"/>
      <c r="AC16" s="21"/>
      <c r="AD16" s="19"/>
      <c r="AE16" s="21"/>
      <c r="AF16" s="19"/>
      <c r="AG16" s="21"/>
      <c r="AH16" s="19"/>
      <c r="AI16" s="21"/>
      <c r="AJ16" s="19"/>
      <c r="AK16" s="21"/>
      <c r="AL16" s="19"/>
      <c r="AM16" s="21"/>
      <c r="AN16" s="19"/>
      <c r="AO16" s="21"/>
      <c r="AP16" s="19"/>
      <c r="AQ16" s="21"/>
      <c r="AR16" s="19"/>
      <c r="AS16" s="21"/>
      <c r="AT16" s="19"/>
      <c r="AU16" s="21"/>
      <c r="AV16" s="19"/>
      <c r="AW16" s="21"/>
      <c r="AX16" s="19"/>
      <c r="AY16" s="21"/>
      <c r="AZ16" s="19"/>
      <c r="BA16" s="21"/>
      <c r="BB16" s="19"/>
      <c r="BC16" s="21"/>
      <c r="BD16" s="19"/>
      <c r="BE16" s="21"/>
      <c r="BF16" s="19"/>
      <c r="BG16" s="21"/>
      <c r="BH16" s="19"/>
      <c r="BI16" s="21"/>
      <c r="BJ16" s="19"/>
      <c r="BK16" s="21"/>
      <c r="BL16" s="19"/>
      <c r="BM16" s="21"/>
      <c r="BN16" s="19"/>
      <c r="BO16" s="21"/>
      <c r="BP16" s="19"/>
      <c r="BQ16" s="21"/>
      <c r="BR16" s="19"/>
      <c r="BS16" s="21"/>
      <c r="BT16" s="19" t="s">
        <v>117</v>
      </c>
      <c r="BU16" s="19"/>
    </row>
    <row r="17" spans="1:73" ht="29" x14ac:dyDescent="0.35">
      <c r="A17" s="19" t="s">
        <v>111</v>
      </c>
      <c r="B17" s="19" t="s">
        <v>112</v>
      </c>
      <c r="C17" s="20">
        <v>45950.39166666667</v>
      </c>
      <c r="D17" s="19" t="s">
        <v>76</v>
      </c>
      <c r="E17" s="21" t="s">
        <v>77</v>
      </c>
      <c r="F17" s="19" t="s">
        <v>78</v>
      </c>
      <c r="G17" s="21" t="s">
        <v>79</v>
      </c>
      <c r="H17" s="19" t="s">
        <v>80</v>
      </c>
      <c r="I17" s="21" t="s">
        <v>79</v>
      </c>
      <c r="J17" s="21" t="s">
        <v>81</v>
      </c>
      <c r="K17" s="21" t="s">
        <v>82</v>
      </c>
      <c r="L17" s="19" t="s">
        <v>118</v>
      </c>
      <c r="M17" s="21" t="s">
        <v>114</v>
      </c>
      <c r="N17" s="20" t="s">
        <v>85</v>
      </c>
      <c r="O17" s="21" t="s">
        <v>119</v>
      </c>
      <c r="P17" s="21" t="s">
        <v>120</v>
      </c>
      <c r="Q17" s="21" t="s">
        <v>150</v>
      </c>
      <c r="R17" s="19" t="s">
        <v>151</v>
      </c>
      <c r="S17" s="19" t="s">
        <v>90</v>
      </c>
      <c r="T17" s="19" t="s">
        <v>91</v>
      </c>
      <c r="U17" s="20">
        <v>40725</v>
      </c>
      <c r="V17" s="20">
        <v>40725</v>
      </c>
      <c r="W17" s="21"/>
      <c r="X17" s="19"/>
      <c r="Y17" s="21"/>
      <c r="Z17" s="19"/>
      <c r="AA17" s="21"/>
      <c r="AB17" s="19"/>
      <c r="AC17" s="21"/>
      <c r="AD17" s="19"/>
      <c r="AE17" s="21"/>
      <c r="AF17" s="19"/>
      <c r="AG17" s="21"/>
      <c r="AH17" s="19"/>
      <c r="AI17" s="21"/>
      <c r="AJ17" s="19"/>
      <c r="AK17" s="21"/>
      <c r="AL17" s="19"/>
      <c r="AM17" s="21"/>
      <c r="AN17" s="19"/>
      <c r="AO17" s="21"/>
      <c r="AP17" s="19"/>
      <c r="AQ17" s="21"/>
      <c r="AR17" s="19"/>
      <c r="AS17" s="21"/>
      <c r="AT17" s="19"/>
      <c r="AU17" s="21"/>
      <c r="AV17" s="19"/>
      <c r="AW17" s="21"/>
      <c r="AX17" s="19"/>
      <c r="AY17" s="21"/>
      <c r="AZ17" s="19"/>
      <c r="BA17" s="21"/>
      <c r="BB17" s="19"/>
      <c r="BC17" s="21"/>
      <c r="BD17" s="19"/>
      <c r="BE17" s="21"/>
      <c r="BF17" s="19"/>
      <c r="BG17" s="21"/>
      <c r="BH17" s="19"/>
      <c r="BI17" s="21"/>
      <c r="BJ17" s="19"/>
      <c r="BK17" s="21"/>
      <c r="BL17" s="19"/>
      <c r="BM17" s="21"/>
      <c r="BN17" s="19"/>
      <c r="BO17" s="21"/>
      <c r="BP17" s="19"/>
      <c r="BQ17" s="21"/>
      <c r="BR17" s="19"/>
      <c r="BS17" s="21"/>
      <c r="BT17" s="19" t="s">
        <v>117</v>
      </c>
      <c r="BU17" s="19"/>
    </row>
    <row r="18" spans="1:73" ht="58" hidden="1" x14ac:dyDescent="0.35">
      <c r="A18" s="13" t="s">
        <v>74</v>
      </c>
      <c r="B18" s="13" t="s">
        <v>75</v>
      </c>
      <c r="C18" s="14">
        <v>43189.5</v>
      </c>
      <c r="D18" s="13" t="s">
        <v>76</v>
      </c>
      <c r="E18" s="15" t="s">
        <v>77</v>
      </c>
      <c r="F18" s="13" t="s">
        <v>78</v>
      </c>
      <c r="G18" s="15" t="s">
        <v>79</v>
      </c>
      <c r="H18" s="13" t="s">
        <v>80</v>
      </c>
      <c r="I18" s="15" t="s">
        <v>79</v>
      </c>
      <c r="J18" s="15" t="s">
        <v>81</v>
      </c>
      <c r="K18" s="15" t="s">
        <v>82</v>
      </c>
      <c r="L18" s="13" t="s">
        <v>83</v>
      </c>
      <c r="M18" s="15" t="s">
        <v>84</v>
      </c>
      <c r="N18" s="14" t="s">
        <v>85</v>
      </c>
      <c r="O18" s="15" t="s">
        <v>86</v>
      </c>
      <c r="P18" s="15" t="s">
        <v>87</v>
      </c>
      <c r="Q18" s="15" t="s">
        <v>171</v>
      </c>
      <c r="R18" s="13" t="s">
        <v>172</v>
      </c>
      <c r="S18" s="13" t="s">
        <v>90</v>
      </c>
      <c r="T18" s="13" t="s">
        <v>91</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3"/>
    </row>
    <row r="19" spans="1:73" ht="58" hidden="1" x14ac:dyDescent="0.35">
      <c r="A19" s="13" t="s">
        <v>74</v>
      </c>
      <c r="B19" s="13" t="s">
        <v>75</v>
      </c>
      <c r="C19" s="14">
        <v>43189.5</v>
      </c>
      <c r="D19" s="13" t="s">
        <v>76</v>
      </c>
      <c r="E19" s="15" t="s">
        <v>77</v>
      </c>
      <c r="F19" s="13" t="s">
        <v>78</v>
      </c>
      <c r="G19" s="15" t="s">
        <v>79</v>
      </c>
      <c r="H19" s="13" t="s">
        <v>80</v>
      </c>
      <c r="I19" s="15" t="s">
        <v>79</v>
      </c>
      <c r="J19" s="15" t="s">
        <v>81</v>
      </c>
      <c r="K19" s="15" t="s">
        <v>82</v>
      </c>
      <c r="L19" s="13" t="s">
        <v>92</v>
      </c>
      <c r="M19" s="15" t="s">
        <v>79</v>
      </c>
      <c r="N19" s="14" t="s">
        <v>85</v>
      </c>
      <c r="O19" s="15" t="s">
        <v>93</v>
      </c>
      <c r="P19" s="15" t="s">
        <v>94</v>
      </c>
      <c r="Q19" s="15" t="s">
        <v>171</v>
      </c>
      <c r="R19" s="13" t="s">
        <v>172</v>
      </c>
      <c r="S19" s="13" t="s">
        <v>90</v>
      </c>
      <c r="T19" s="13" t="s">
        <v>91</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3"/>
    </row>
    <row r="20" spans="1:73" ht="72.5" hidden="1" x14ac:dyDescent="0.35">
      <c r="A20" s="13" t="s">
        <v>74</v>
      </c>
      <c r="B20" s="13" t="s">
        <v>75</v>
      </c>
      <c r="C20" s="14">
        <v>43189.5</v>
      </c>
      <c r="D20" s="13" t="s">
        <v>76</v>
      </c>
      <c r="E20" s="15" t="s">
        <v>77</v>
      </c>
      <c r="F20" s="13" t="s">
        <v>78</v>
      </c>
      <c r="G20" s="15" t="s">
        <v>79</v>
      </c>
      <c r="H20" s="13" t="s">
        <v>80</v>
      </c>
      <c r="I20" s="15" t="s">
        <v>79</v>
      </c>
      <c r="J20" s="15" t="s">
        <v>81</v>
      </c>
      <c r="K20" s="15" t="s">
        <v>82</v>
      </c>
      <c r="L20" s="13" t="s">
        <v>107</v>
      </c>
      <c r="M20" s="15" t="s">
        <v>108</v>
      </c>
      <c r="N20" s="14" t="s">
        <v>85</v>
      </c>
      <c r="O20" s="15" t="s">
        <v>109</v>
      </c>
      <c r="P20" s="15" t="s">
        <v>110</v>
      </c>
      <c r="Q20" s="15" t="s">
        <v>171</v>
      </c>
      <c r="R20" s="13" t="s">
        <v>172</v>
      </c>
      <c r="S20" s="13" t="s">
        <v>90</v>
      </c>
      <c r="T20" s="13" t="s">
        <v>91</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3"/>
    </row>
    <row r="21" spans="1:73" ht="29" x14ac:dyDescent="0.35">
      <c r="A21" s="19" t="s">
        <v>111</v>
      </c>
      <c r="B21" s="19" t="s">
        <v>112</v>
      </c>
      <c r="C21" s="20">
        <v>45950.390277777777</v>
      </c>
      <c r="D21" s="19" t="s">
        <v>76</v>
      </c>
      <c r="E21" s="21" t="s">
        <v>77</v>
      </c>
      <c r="F21" s="19" t="s">
        <v>78</v>
      </c>
      <c r="G21" s="21" t="s">
        <v>79</v>
      </c>
      <c r="H21" s="19" t="s">
        <v>80</v>
      </c>
      <c r="I21" s="21" t="s">
        <v>79</v>
      </c>
      <c r="J21" s="21" t="s">
        <v>81</v>
      </c>
      <c r="K21" s="21" t="s">
        <v>82</v>
      </c>
      <c r="L21" s="19" t="s">
        <v>113</v>
      </c>
      <c r="M21" s="21" t="s">
        <v>114</v>
      </c>
      <c r="N21" s="20" t="s">
        <v>85</v>
      </c>
      <c r="O21" s="21" t="s">
        <v>115</v>
      </c>
      <c r="P21" s="21" t="s">
        <v>116</v>
      </c>
      <c r="Q21" s="21" t="s">
        <v>171</v>
      </c>
      <c r="R21" s="19" t="s">
        <v>172</v>
      </c>
      <c r="S21" s="19" t="s">
        <v>90</v>
      </c>
      <c r="T21" s="19" t="s">
        <v>91</v>
      </c>
      <c r="U21" s="20">
        <v>40725</v>
      </c>
      <c r="V21" s="20">
        <v>40725</v>
      </c>
      <c r="W21" s="21"/>
      <c r="X21" s="19"/>
      <c r="Y21" s="21"/>
      <c r="Z21" s="19"/>
      <c r="AA21" s="21"/>
      <c r="AB21" s="19"/>
      <c r="AC21" s="21"/>
      <c r="AD21" s="19"/>
      <c r="AE21" s="21"/>
      <c r="AF21" s="19"/>
      <c r="AG21" s="21"/>
      <c r="AH21" s="19"/>
      <c r="AI21" s="21"/>
      <c r="AJ21" s="19"/>
      <c r="AK21" s="21"/>
      <c r="AL21" s="19"/>
      <c r="AM21" s="21"/>
      <c r="AN21" s="19"/>
      <c r="AO21" s="21"/>
      <c r="AP21" s="19"/>
      <c r="AQ21" s="21"/>
      <c r="AR21" s="19"/>
      <c r="AS21" s="21"/>
      <c r="AT21" s="19"/>
      <c r="AU21" s="21"/>
      <c r="AV21" s="19"/>
      <c r="AW21" s="21"/>
      <c r="AX21" s="19"/>
      <c r="AY21" s="21"/>
      <c r="AZ21" s="19"/>
      <c r="BA21" s="21"/>
      <c r="BB21" s="19"/>
      <c r="BC21" s="21"/>
      <c r="BD21" s="19"/>
      <c r="BE21" s="21"/>
      <c r="BF21" s="19"/>
      <c r="BG21" s="21"/>
      <c r="BH21" s="19"/>
      <c r="BI21" s="21"/>
      <c r="BJ21" s="19"/>
      <c r="BK21" s="21"/>
      <c r="BL21" s="19"/>
      <c r="BM21" s="21"/>
      <c r="BN21" s="19"/>
      <c r="BO21" s="21"/>
      <c r="BP21" s="19"/>
      <c r="BQ21" s="21"/>
      <c r="BR21" s="19"/>
      <c r="BS21" s="21"/>
      <c r="BT21" s="19" t="s">
        <v>117</v>
      </c>
      <c r="BU21" s="19"/>
    </row>
    <row r="22" spans="1:73" ht="29" x14ac:dyDescent="0.35">
      <c r="A22" s="19" t="s">
        <v>111</v>
      </c>
      <c r="B22" s="19" t="s">
        <v>112</v>
      </c>
      <c r="C22" s="20">
        <v>45950.39166666667</v>
      </c>
      <c r="D22" s="19" t="s">
        <v>76</v>
      </c>
      <c r="E22" s="21" t="s">
        <v>77</v>
      </c>
      <c r="F22" s="19" t="s">
        <v>78</v>
      </c>
      <c r="G22" s="21" t="s">
        <v>79</v>
      </c>
      <c r="H22" s="19" t="s">
        <v>80</v>
      </c>
      <c r="I22" s="21" t="s">
        <v>79</v>
      </c>
      <c r="J22" s="21" t="s">
        <v>81</v>
      </c>
      <c r="K22" s="21" t="s">
        <v>82</v>
      </c>
      <c r="L22" s="19" t="s">
        <v>118</v>
      </c>
      <c r="M22" s="21" t="s">
        <v>114</v>
      </c>
      <c r="N22" s="20" t="s">
        <v>85</v>
      </c>
      <c r="O22" s="21" t="s">
        <v>119</v>
      </c>
      <c r="P22" s="21" t="s">
        <v>120</v>
      </c>
      <c r="Q22" s="21" t="s">
        <v>171</v>
      </c>
      <c r="R22" s="19" t="s">
        <v>172</v>
      </c>
      <c r="S22" s="19" t="s">
        <v>90</v>
      </c>
      <c r="T22" s="19" t="s">
        <v>91</v>
      </c>
      <c r="U22" s="20">
        <v>40725</v>
      </c>
      <c r="V22" s="20">
        <v>40725</v>
      </c>
      <c r="W22" s="21"/>
      <c r="X22" s="19"/>
      <c r="Y22" s="21"/>
      <c r="Z22" s="19"/>
      <c r="AA22" s="21"/>
      <c r="AB22" s="19"/>
      <c r="AC22" s="21"/>
      <c r="AD22" s="19"/>
      <c r="AE22" s="21"/>
      <c r="AF22" s="19"/>
      <c r="AG22" s="21"/>
      <c r="AH22" s="19"/>
      <c r="AI22" s="21"/>
      <c r="AJ22" s="19"/>
      <c r="AK22" s="21"/>
      <c r="AL22" s="19"/>
      <c r="AM22" s="21"/>
      <c r="AN22" s="19"/>
      <c r="AO22" s="21"/>
      <c r="AP22" s="19"/>
      <c r="AQ22" s="21"/>
      <c r="AR22" s="19"/>
      <c r="AS22" s="21"/>
      <c r="AT22" s="19"/>
      <c r="AU22" s="21"/>
      <c r="AV22" s="19"/>
      <c r="AW22" s="21"/>
      <c r="AX22" s="19"/>
      <c r="AY22" s="21"/>
      <c r="AZ22" s="19"/>
      <c r="BA22" s="21"/>
      <c r="BB22" s="19"/>
      <c r="BC22" s="21"/>
      <c r="BD22" s="19"/>
      <c r="BE22" s="21"/>
      <c r="BF22" s="19"/>
      <c r="BG22" s="21"/>
      <c r="BH22" s="19"/>
      <c r="BI22" s="21"/>
      <c r="BJ22" s="19"/>
      <c r="BK22" s="21"/>
      <c r="BL22" s="19"/>
      <c r="BM22" s="21"/>
      <c r="BN22" s="19"/>
      <c r="BO22" s="21"/>
      <c r="BP22" s="19"/>
      <c r="BQ22" s="21"/>
      <c r="BR22" s="19"/>
      <c r="BS22" s="21"/>
      <c r="BT22" s="19" t="s">
        <v>117</v>
      </c>
      <c r="BU22" s="19"/>
    </row>
    <row r="23" spans="1:73" ht="145" hidden="1" x14ac:dyDescent="0.35">
      <c r="A23" s="13" t="s">
        <v>132</v>
      </c>
      <c r="B23" s="13" t="s">
        <v>112</v>
      </c>
      <c r="C23" s="14">
        <v>43628.442361111112</v>
      </c>
      <c r="D23" s="13" t="s">
        <v>76</v>
      </c>
      <c r="E23" s="15" t="s">
        <v>77</v>
      </c>
      <c r="F23" s="13" t="s">
        <v>78</v>
      </c>
      <c r="G23" s="15" t="s">
        <v>79</v>
      </c>
      <c r="H23" s="13" t="s">
        <v>80</v>
      </c>
      <c r="I23" s="15" t="s">
        <v>79</v>
      </c>
      <c r="J23" s="15" t="s">
        <v>81</v>
      </c>
      <c r="K23" s="15" t="s">
        <v>82</v>
      </c>
      <c r="L23" s="13" t="s">
        <v>83</v>
      </c>
      <c r="M23" s="15" t="s">
        <v>84</v>
      </c>
      <c r="N23" s="14" t="s">
        <v>85</v>
      </c>
      <c r="O23" s="15" t="s">
        <v>86</v>
      </c>
      <c r="P23" s="15" t="s">
        <v>87</v>
      </c>
      <c r="Q23" s="15" t="s">
        <v>173</v>
      </c>
      <c r="R23" s="13" t="s">
        <v>174</v>
      </c>
      <c r="S23" s="13" t="s">
        <v>175</v>
      </c>
      <c r="T23" s="13" t="s">
        <v>95</v>
      </c>
      <c r="U23" s="14">
        <v>40725</v>
      </c>
      <c r="V23" s="14"/>
      <c r="W23" s="15" t="s">
        <v>176</v>
      </c>
      <c r="X23" s="13" t="s">
        <v>177</v>
      </c>
      <c r="Y23" s="15" t="str">
        <f>VLOOKUP(X23,'Axe 2 Règles de gestion'!$D$2:$F$62,3, FALSE)</f>
        <v>Pour pouvoir être nommé magistrat, l'agent doit être déclaré apte à exercer les fonctions judiciaires, à la sortie de l'école, par le jury de l'examen d'aptitude et de classement.</v>
      </c>
      <c r="Z23" s="13" t="s">
        <v>179</v>
      </c>
      <c r="AA23" s="15" t="str">
        <f>VLOOKUP(Z23,'Axe 2 Règles de gestion'!$D$2:$F$62,3, FALSE)</f>
        <v>L'agent remplissant les conditions requises peut être nommé directement, sans stage, dans le corps judiciaire sur le premier ou le second grade.</v>
      </c>
      <c r="AB23" s="13" t="s">
        <v>157</v>
      </c>
      <c r="AC23" s="15" t="str">
        <f>VLOOKUP(AB23,'Axe 2 Règles de gestion'!$D$2:$F$62,3, FALSE)</f>
        <v>L'agent, titulaire dans un autre cadre des administrations de l'Etat et qui est élu au Parlement durant son stage, est titularisé de plein droit dans son nouveau grade, à l'issue d'une période égale à la durée moyenne du stage de ce nouveau grade.</v>
      </c>
      <c r="AD23" s="13"/>
      <c r="AE23" s="15"/>
      <c r="AF23" s="13"/>
      <c r="AG23" s="15"/>
      <c r="AH23" s="13"/>
      <c r="AI23" s="15"/>
      <c r="AJ23" s="13"/>
      <c r="AK23" s="15"/>
      <c r="AL23" s="13"/>
      <c r="AM23" s="15"/>
      <c r="AN23" s="13"/>
      <c r="AO23" s="15"/>
      <c r="AP23" s="13"/>
      <c r="AQ23" s="15"/>
      <c r="AR23" s="13"/>
      <c r="AS23" s="15"/>
      <c r="AT23" s="13"/>
      <c r="AU23" s="15"/>
      <c r="AV23" s="13"/>
      <c r="AW23" s="15"/>
      <c r="AX23" s="13"/>
      <c r="AY23" s="15"/>
      <c r="AZ23" s="13" t="s">
        <v>181</v>
      </c>
      <c r="BA23" s="15" t="str">
        <f>VLOOKUP(AZ23,'Axe 2 Règles de gestion'!$D$2:$F$62,3, FALSE)</f>
        <v>La nomination intervient à J+1 de la date prévisionnelle de fin de stage avec ou sans prolongation sauf exceptions.</v>
      </c>
      <c r="BB23" s="13" t="s">
        <v>183</v>
      </c>
      <c r="BC23" s="15" t="str">
        <f>VLOOKUP(BB23,'Axe 2 Règles de gestion'!$D$2:$F$62,3, FALSE)</f>
        <v>La nomination intervient à J+1 de la date réelle de fin de stage avec ou sans prolongation sauf exceptions.</v>
      </c>
      <c r="BD23" s="13" t="s">
        <v>97</v>
      </c>
      <c r="BE23" s="15" t="str">
        <f>VLOOKUP(BD23,'Axe 2 Règles de gestion'!$D$2:$F$62,3, FALSE)</f>
        <v>La date d'entrée dans le statut doit être postérieure à la date de fin du statut précédent.</v>
      </c>
      <c r="BF23" s="13" t="s">
        <v>185</v>
      </c>
      <c r="BG23" s="15" t="str">
        <f>VLOOKUP(BF23,'Axe 2 Règles de gestion'!$D$2:$F$62,3, FALSE)</f>
        <v>Le nouveau statut de l'agent est "Magistrat".</v>
      </c>
      <c r="BH23" s="13" t="s">
        <v>165</v>
      </c>
      <c r="BI23" s="15" t="str">
        <f>VLOOKUP(BH23,'Axe 2 Règles de gestion'!$D$2:$F$62,3, FALSE)</f>
        <v>La date d'entrée dans le statut doit être postérieure à la date prévisionnelle de fin de stage.</v>
      </c>
      <c r="BJ23" s="13" t="s">
        <v>167</v>
      </c>
      <c r="BK23" s="15" t="str">
        <f>VLOOKUP(BJ23,'Axe 2 Règles de gestion'!$D$2:$F$62,3, FALSE)</f>
        <v>La date d'entrée dans le statut doit être postérieure à la date réelle de fin de stage.</v>
      </c>
      <c r="BL23" s="13" t="s">
        <v>169</v>
      </c>
      <c r="BM23" s="15" t="str">
        <f>VLOOKUP(BL23,'Axe 2 Règles de gestion'!$D$2:$F$62,3, FALSE)</f>
        <v>La date de fin réelle du stage ou la date prévisionnelle de fin de stage doit être renseignée.</v>
      </c>
      <c r="BN23" s="13" t="s">
        <v>103</v>
      </c>
      <c r="BO23" s="15" t="str">
        <f>VLOOKUP(BN23,'Axe 2 Règles de gestion'!$D$2:$F$62,3, FALSE)</f>
        <v>Le statut saisi de l'agent est différent du statut précédent.</v>
      </c>
      <c r="BP23" s="13" t="s">
        <v>126</v>
      </c>
      <c r="BQ23" s="15" t="str">
        <f>VLOOKUP(BP23,'Axe 2 Règles de gestion'!$D$2:$F$62,3, FALSE)</f>
        <v>L'agent doit être en activité.</v>
      </c>
      <c r="BR23" s="13" t="s">
        <v>105</v>
      </c>
      <c r="BS23" s="15" t="str">
        <f>VLOOKUP(BR23,'Axe 2 Règles de gestion'!$D$2:$F$62,3, FALSE)</f>
        <v>Si la date de fin du statut est renseignée alors elle doit être postérieure à la date de début du statut de l'occurrence.</v>
      </c>
      <c r="BT23" s="13"/>
      <c r="BU23" s="13"/>
    </row>
    <row r="24" spans="1:73" ht="145" hidden="1" x14ac:dyDescent="0.35">
      <c r="A24" s="13" t="s">
        <v>132</v>
      </c>
      <c r="B24" s="13" t="s">
        <v>75</v>
      </c>
      <c r="C24" s="14">
        <v>43628.446527777778</v>
      </c>
      <c r="D24" s="13" t="s">
        <v>76</v>
      </c>
      <c r="E24" s="15" t="s">
        <v>77</v>
      </c>
      <c r="F24" s="13" t="s">
        <v>78</v>
      </c>
      <c r="G24" s="15" t="s">
        <v>79</v>
      </c>
      <c r="H24" s="13" t="s">
        <v>80</v>
      </c>
      <c r="I24" s="15" t="s">
        <v>79</v>
      </c>
      <c r="J24" s="15" t="s">
        <v>81</v>
      </c>
      <c r="K24" s="15" t="s">
        <v>82</v>
      </c>
      <c r="L24" s="13" t="s">
        <v>83</v>
      </c>
      <c r="M24" s="15" t="s">
        <v>84</v>
      </c>
      <c r="N24" s="14" t="s">
        <v>85</v>
      </c>
      <c r="O24" s="15" t="s">
        <v>86</v>
      </c>
      <c r="P24" s="15" t="s">
        <v>87</v>
      </c>
      <c r="Q24" s="15" t="s">
        <v>187</v>
      </c>
      <c r="R24" s="13" t="s">
        <v>188</v>
      </c>
      <c r="S24" s="13" t="s">
        <v>175</v>
      </c>
      <c r="T24" s="13" t="s">
        <v>95</v>
      </c>
      <c r="U24" s="14">
        <v>40725</v>
      </c>
      <c r="V24" s="14"/>
      <c r="W24" s="15" t="s">
        <v>189</v>
      </c>
      <c r="X24" s="13" t="s">
        <v>190</v>
      </c>
      <c r="Y24" s="15" t="str">
        <f>VLOOKUP(X24,'Axe 2 Règles de gestion'!$D$2:$F$62,3, FALSE)</f>
        <v>L'agent en délégation est titularisé après avis conformes du directeur de l'établissement ou de l'organisme de recherche dans lequel il est placé en délégation, du directeur de l'établissement ou il assure son service d'enseignement et des instances.</v>
      </c>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t="s">
        <v>126</v>
      </c>
      <c r="BE24" s="15" t="str">
        <f>VLOOKUP(BD24,'Axe 2 Règles de gestion'!$D$2:$F$62,3, FALSE)</f>
        <v>L'agent doit être en activité.</v>
      </c>
      <c r="BF24" s="13" t="s">
        <v>97</v>
      </c>
      <c r="BG24" s="15" t="str">
        <f>VLOOKUP(BF24,'Axe 2 Règles de gestion'!$D$2:$F$62,3, FALSE)</f>
        <v>La date d'entrée dans le statut doit être postérieure à la date de fin du statut précédent.</v>
      </c>
      <c r="BH24" s="13" t="s">
        <v>103</v>
      </c>
      <c r="BI24" s="15" t="str">
        <f>VLOOKUP(BH24,'Axe 2 Règles de gestion'!$D$2:$F$62,3, FALSE)</f>
        <v>Le statut saisi de l'agent est différent du statut précédent.</v>
      </c>
      <c r="BJ24" s="13" t="s">
        <v>128</v>
      </c>
      <c r="BK24" s="15" t="str">
        <f>VLOOKUP(BJ24,'Axe 2 Règles de gestion'!$D$2:$F$62,3, FALSE)</f>
        <v>Le nouveau statut de l'agent est "Titulaire".</v>
      </c>
      <c r="BL24" s="13" t="s">
        <v>192</v>
      </c>
      <c r="BM24" s="15" t="str">
        <f>VLOOKUP(BL24,'Axe 2 Règles de gestion'!$D$2:$F$62,3, FALSE)</f>
        <v>La titularisation intervient à J+1 de la date de fin réelle ou prévisionnelle du lien juridique.</v>
      </c>
      <c r="BN24" s="13" t="s">
        <v>105</v>
      </c>
      <c r="BO24" s="15" t="str">
        <f>VLOOKUP(BN24,'Axe 2 Règles de gestion'!$D$2:$F$62,3, FALSE)</f>
        <v>Si la date de fin du statut est renseignée alors elle doit être postérieure à la date de début du statut de l'occurrence.</v>
      </c>
      <c r="BP24" s="13"/>
      <c r="BQ24" s="15"/>
      <c r="BR24" s="13"/>
      <c r="BS24" s="15"/>
      <c r="BT24" s="13"/>
      <c r="BU24" s="13"/>
    </row>
    <row r="25" spans="1:73" ht="72.5" hidden="1" x14ac:dyDescent="0.35">
      <c r="A25" s="13" t="s">
        <v>74</v>
      </c>
      <c r="B25" s="13" t="s">
        <v>75</v>
      </c>
      <c r="C25" s="14">
        <v>43152.5</v>
      </c>
      <c r="D25" s="13" t="s">
        <v>76</v>
      </c>
      <c r="E25" s="15" t="s">
        <v>77</v>
      </c>
      <c r="F25" s="13" t="s">
        <v>78</v>
      </c>
      <c r="G25" s="15" t="s">
        <v>79</v>
      </c>
      <c r="H25" s="13" t="s">
        <v>80</v>
      </c>
      <c r="I25" s="15" t="s">
        <v>79</v>
      </c>
      <c r="J25" s="15" t="s">
        <v>81</v>
      </c>
      <c r="K25" s="15" t="s">
        <v>82</v>
      </c>
      <c r="L25" s="13" t="s">
        <v>83</v>
      </c>
      <c r="M25" s="15" t="s">
        <v>84</v>
      </c>
      <c r="N25" s="14" t="s">
        <v>85</v>
      </c>
      <c r="O25" s="15" t="s">
        <v>86</v>
      </c>
      <c r="P25" s="15" t="s">
        <v>87</v>
      </c>
      <c r="Q25" s="15" t="s">
        <v>194</v>
      </c>
      <c r="R25" s="13" t="s">
        <v>195</v>
      </c>
      <c r="S25" s="13" t="s">
        <v>175</v>
      </c>
      <c r="T25" s="13" t="s">
        <v>95</v>
      </c>
      <c r="U25" s="14">
        <v>40725</v>
      </c>
      <c r="V25" s="14"/>
      <c r="W25" s="15" t="s">
        <v>196</v>
      </c>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t="s">
        <v>126</v>
      </c>
      <c r="BE25" s="15" t="str">
        <f>VLOOKUP(BD25,'Axe 2 Règles de gestion'!$D$2:$F$62,3, FALSE)</f>
        <v>L'agent doit être en activité.</v>
      </c>
      <c r="BF25" s="13" t="s">
        <v>97</v>
      </c>
      <c r="BG25" s="15" t="str">
        <f>VLOOKUP(BF25,'Axe 2 Règles de gestion'!$D$2:$F$62,3, FALSE)</f>
        <v>La date d'entrée dans le statut doit être postérieure à la date de fin du statut précédent.</v>
      </c>
      <c r="BH25" s="13" t="s">
        <v>103</v>
      </c>
      <c r="BI25" s="15" t="str">
        <f>VLOOKUP(BH25,'Axe 2 Règles de gestion'!$D$2:$F$62,3, FALSE)</f>
        <v>Le statut saisi de l'agent est différent du statut précédent.</v>
      </c>
      <c r="BJ25" s="13" t="s">
        <v>128</v>
      </c>
      <c r="BK25" s="15" t="str">
        <f>VLOOKUP(BJ25,'Axe 2 Règles de gestion'!$D$2:$F$62,3, FALSE)</f>
        <v>Le nouveau statut de l'agent est "Titulaire".</v>
      </c>
      <c r="BL25" s="13" t="s">
        <v>192</v>
      </c>
      <c r="BM25" s="15" t="str">
        <f>VLOOKUP(BL25,'Axe 2 Règles de gestion'!$D$2:$F$62,3, FALSE)</f>
        <v>La titularisation intervient à J+1 de la date de fin réelle ou prévisionnelle du lien juridique.</v>
      </c>
      <c r="BN25" s="13" t="s">
        <v>105</v>
      </c>
      <c r="BO25" s="15" t="str">
        <f>VLOOKUP(BN25,'Axe 2 Règles de gestion'!$D$2:$F$62,3, FALSE)</f>
        <v>Si la date de fin du statut est renseignée alors elle doit être postérieure à la date de début du statut de l'occurrence.</v>
      </c>
      <c r="BP25" s="13"/>
      <c r="BQ25" s="15"/>
      <c r="BR25" s="13"/>
      <c r="BS25" s="15"/>
      <c r="BT25" s="13"/>
      <c r="BU25" s="13"/>
    </row>
    <row r="26" spans="1:73" ht="72.5" hidden="1" x14ac:dyDescent="0.35">
      <c r="A26" s="13" t="s">
        <v>74</v>
      </c>
      <c r="B26" s="13" t="s">
        <v>75</v>
      </c>
      <c r="C26" s="14">
        <v>43152.5</v>
      </c>
      <c r="D26" s="13" t="s">
        <v>76</v>
      </c>
      <c r="E26" s="15" t="s">
        <v>77</v>
      </c>
      <c r="F26" s="13" t="s">
        <v>78</v>
      </c>
      <c r="G26" s="15" t="s">
        <v>79</v>
      </c>
      <c r="H26" s="13" t="s">
        <v>80</v>
      </c>
      <c r="I26" s="15" t="s">
        <v>79</v>
      </c>
      <c r="J26" s="15" t="s">
        <v>81</v>
      </c>
      <c r="K26" s="15" t="s">
        <v>82</v>
      </c>
      <c r="L26" s="13" t="s">
        <v>83</v>
      </c>
      <c r="M26" s="15" t="s">
        <v>84</v>
      </c>
      <c r="N26" s="14" t="s">
        <v>85</v>
      </c>
      <c r="O26" s="15" t="s">
        <v>86</v>
      </c>
      <c r="P26" s="15" t="s">
        <v>87</v>
      </c>
      <c r="Q26" s="15" t="s">
        <v>197</v>
      </c>
      <c r="R26" s="13" t="s">
        <v>198</v>
      </c>
      <c r="S26" s="13" t="s">
        <v>175</v>
      </c>
      <c r="T26" s="13" t="s">
        <v>95</v>
      </c>
      <c r="U26" s="14">
        <v>40725</v>
      </c>
      <c r="V26" s="14"/>
      <c r="W26" s="15" t="s">
        <v>196</v>
      </c>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t="s">
        <v>126</v>
      </c>
      <c r="BE26" s="15" t="str">
        <f>VLOOKUP(BD26,'Axe 2 Règles de gestion'!$D$2:$F$62,3, FALSE)</f>
        <v>L'agent doit être en activité.</v>
      </c>
      <c r="BF26" s="13" t="s">
        <v>97</v>
      </c>
      <c r="BG26" s="15" t="str">
        <f>VLOOKUP(BF26,'Axe 2 Règles de gestion'!$D$2:$F$62,3, FALSE)</f>
        <v>La date d'entrée dans le statut doit être postérieure à la date de fin du statut précédent.</v>
      </c>
      <c r="BH26" s="13" t="s">
        <v>103</v>
      </c>
      <c r="BI26" s="15" t="str">
        <f>VLOOKUP(BH26,'Axe 2 Règles de gestion'!$D$2:$F$62,3, FALSE)</f>
        <v>Le statut saisi de l'agent est différent du statut précédent.</v>
      </c>
      <c r="BJ26" s="13" t="s">
        <v>128</v>
      </c>
      <c r="BK26" s="15" t="str">
        <f>VLOOKUP(BJ26,'Axe 2 Règles de gestion'!$D$2:$F$62,3, FALSE)</f>
        <v>Le nouveau statut de l'agent est "Titulaire".</v>
      </c>
      <c r="BL26" s="13" t="s">
        <v>192</v>
      </c>
      <c r="BM26" s="15" t="str">
        <f>VLOOKUP(BL26,'Axe 2 Règles de gestion'!$D$2:$F$62,3, FALSE)</f>
        <v>La titularisation intervient à J+1 de la date de fin réelle ou prévisionnelle du lien juridique.</v>
      </c>
      <c r="BN26" s="13" t="s">
        <v>105</v>
      </c>
      <c r="BO26" s="15" t="str">
        <f>VLOOKUP(BN26,'Axe 2 Règles de gestion'!$D$2:$F$62,3, FALSE)</f>
        <v>Si la date de fin du statut est renseignée alors elle doit être postérieure à la date de début du statut de l'occurrence.</v>
      </c>
      <c r="BP26" s="13"/>
      <c r="BQ26" s="15"/>
      <c r="BR26" s="13"/>
      <c r="BS26" s="15"/>
      <c r="BT26" s="13"/>
      <c r="BU26" s="13"/>
    </row>
    <row r="27" spans="1:73" ht="58" hidden="1" x14ac:dyDescent="0.35">
      <c r="A27" s="13" t="s">
        <v>199</v>
      </c>
      <c r="B27" s="13" t="s">
        <v>75</v>
      </c>
      <c r="C27" s="14">
        <v>44049.634027777778</v>
      </c>
      <c r="D27" s="13" t="s">
        <v>76</v>
      </c>
      <c r="E27" s="15" t="s">
        <v>77</v>
      </c>
      <c r="F27" s="13" t="s">
        <v>78</v>
      </c>
      <c r="G27" s="15" t="s">
        <v>79</v>
      </c>
      <c r="H27" s="13" t="s">
        <v>80</v>
      </c>
      <c r="I27" s="15" t="s">
        <v>79</v>
      </c>
      <c r="J27" s="15" t="s">
        <v>81</v>
      </c>
      <c r="K27" s="15" t="s">
        <v>82</v>
      </c>
      <c r="L27" s="13" t="s">
        <v>83</v>
      </c>
      <c r="M27" s="15" t="s">
        <v>84</v>
      </c>
      <c r="N27" s="14" t="s">
        <v>85</v>
      </c>
      <c r="O27" s="15" t="s">
        <v>86</v>
      </c>
      <c r="P27" s="15" t="s">
        <v>87</v>
      </c>
      <c r="Q27" s="15" t="s">
        <v>200</v>
      </c>
      <c r="R27" s="13" t="s">
        <v>201</v>
      </c>
      <c r="S27" s="13" t="s">
        <v>175</v>
      </c>
      <c r="T27" s="13" t="s">
        <v>91</v>
      </c>
      <c r="U27" s="14">
        <v>40725</v>
      </c>
      <c r="V27" s="14">
        <v>43683</v>
      </c>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3"/>
    </row>
    <row r="28" spans="1:73" ht="130.5" hidden="1" x14ac:dyDescent="0.35">
      <c r="A28" s="13" t="s">
        <v>199</v>
      </c>
      <c r="B28" s="13" t="s">
        <v>75</v>
      </c>
      <c r="C28" s="14">
        <v>44049.635416666664</v>
      </c>
      <c r="D28" s="13" t="s">
        <v>76</v>
      </c>
      <c r="E28" s="15" t="s">
        <v>77</v>
      </c>
      <c r="F28" s="13" t="s">
        <v>78</v>
      </c>
      <c r="G28" s="15" t="s">
        <v>79</v>
      </c>
      <c r="H28" s="13" t="s">
        <v>80</v>
      </c>
      <c r="I28" s="15" t="s">
        <v>79</v>
      </c>
      <c r="J28" s="15" t="s">
        <v>81</v>
      </c>
      <c r="K28" s="15" t="s">
        <v>82</v>
      </c>
      <c r="L28" s="13" t="s">
        <v>83</v>
      </c>
      <c r="M28" s="15" t="s">
        <v>84</v>
      </c>
      <c r="N28" s="14" t="s">
        <v>85</v>
      </c>
      <c r="O28" s="15" t="s">
        <v>86</v>
      </c>
      <c r="P28" s="15" t="s">
        <v>87</v>
      </c>
      <c r="Q28" s="15" t="s">
        <v>200</v>
      </c>
      <c r="R28" s="13" t="s">
        <v>201</v>
      </c>
      <c r="S28" s="13" t="s">
        <v>175</v>
      </c>
      <c r="T28" s="13" t="s">
        <v>95</v>
      </c>
      <c r="U28" s="14">
        <v>43684</v>
      </c>
      <c r="V28" s="14"/>
      <c r="W28" s="15" t="s">
        <v>202</v>
      </c>
      <c r="X28" s="13" t="s">
        <v>203</v>
      </c>
      <c r="Y28" s="15" t="str">
        <f>VLOOKUP(X28,'Axe 2 Règles de gestion'!$D$2:$F$62,3, FALSE)</f>
        <v>Le contrat d'apprentissage doit se terminer au plus tôt le 01/06/2020 et au plus tard le 06/08/2024.</v>
      </c>
      <c r="Z28" s="13" t="s">
        <v>205</v>
      </c>
      <c r="AA28" s="15" t="str">
        <f>VLOOKUP(Z28,'Axe 2 Règles de gestion'!$D$2:$F$62,3, FALSE)</f>
        <v>L'agent est informé dès son entrée en apprentissage de la possibilité offerte d'être titularisé à l'issue du contrat d'apprentissage.</v>
      </c>
      <c r="AB28" s="13" t="s">
        <v>207</v>
      </c>
      <c r="AC28" s="15" t="str">
        <f>VLOOKUP(AB28,'Axe 2 Règles de gestion'!$D$2:$F$62,3, FALSE)</f>
        <v>L'agent adresse sa demande de titularisation, 3 mois au moins avant le terme de son contrat d'apprentissage, à l'autorité de recrutement.</v>
      </c>
      <c r="AD28" s="13" t="s">
        <v>209</v>
      </c>
      <c r="AE28" s="15" t="str">
        <f>VLOOKUP(AD28,'Axe 2 Règles de gestion'!$D$2:$F$62,3, FALSE)</f>
        <v>Dans le délai d'1 mois à compter de la réception de la demande, l'autorité de recrutement transmet a l'agent une proposition de titularisation.</v>
      </c>
      <c r="AF28" s="13" t="s">
        <v>211</v>
      </c>
      <c r="AG28" s="15" t="str">
        <f>VLOOKUP(AF28,'Axe 2 Règles de gestion'!$D$2:$F$62,3, FALSE)</f>
        <v>L'autorité de recrutement transmet également une ou plusieurs offres d'emploi correspondant aux fonctions exercées pendant la période d'apprentissage.</v>
      </c>
      <c r="AH28" s="13" t="s">
        <v>213</v>
      </c>
      <c r="AI28" s="15" t="str">
        <f>VLOOKUP(AH28,'Axe 2 Règles de gestion'!$D$2:$F$62,3, FALSE)</f>
        <v>Dans le délai d'1 mois à compter de la réception de la demande, si elle ne peut faire de proposition de titularisation, l'autorité de recrutement doit en informer l'agent.</v>
      </c>
      <c r="AJ28" s="13" t="s">
        <v>215</v>
      </c>
      <c r="AK28" s="15" t="str">
        <f>VLOOKUP(AJ28,'Axe 2 Règles de gestion'!$D$2:$F$62,3, FALSE)</f>
        <v>La commission de titularisation apprécie l'aptitude de l'agent à être titularisé.</v>
      </c>
      <c r="AL28" s="13" t="s">
        <v>217</v>
      </c>
      <c r="AM28" s="15" t="str">
        <f>VLOOKUP(AL28,'Axe 2 Règles de gestion'!$D$2:$F$62,3, FALSE)</f>
        <v>Au terme d'un premier examen du dossier, la commission décide s'il y a lieu de procéder à la sélection de l'agent en vue de l'auditionner. Dans ce cas, l'entretien a lieu au plus tard 1 mois avant le terme de son contrat d'apprentissage.</v>
      </c>
      <c r="AN28" s="13" t="s">
        <v>219</v>
      </c>
      <c r="AO28" s="15" t="str">
        <f>VLOOKUP(AN28,'Axe 2 Règles de gestion'!$D$2:$F$62,3, FALSE)</f>
        <v>L'autorité administrative ayant pouvoir de nomination peut procéder à la titularisation de l'agent au terme de son contrat d'apprentissage s'il a obtenu le diplôme ou titre préparé dans le cadre du contrat d'apprentissage.</v>
      </c>
      <c r="AP28" s="13" t="s">
        <v>221</v>
      </c>
      <c r="AQ28" s="15" t="str">
        <f>VLOOKUP(AP28,'Axe 2 Règles de gestion'!$D$2:$F$62,3, FALSE)</f>
        <v>A défaut, l'agent peut être titularisé à la date d'obtention de ce diplôme ou titre sous réserve qu'elle intervienne au plus 6 mois après le terme du contrat d'apprentissage.</v>
      </c>
      <c r="AR28" s="13" t="s">
        <v>223</v>
      </c>
      <c r="AS28" s="15" t="str">
        <f>VLOOKUP(AR28,'Axe 2 Règles de gestion'!$D$2:$F$62,3, FALSE)</f>
        <v>La titularisation est prononcée malgré la condition d'âge pouvant être prévue par les statuts particuliers.</v>
      </c>
      <c r="AT28" s="13" t="s">
        <v>225</v>
      </c>
      <c r="AU28" s="15" t="str">
        <f>VLOOKUP(AT28,'Axe 2 Règles de gestion'!$D$2:$F$62,3, FALSE)</f>
        <v>L'avis d'une ou plusieurs personnes peut être sollicité par la commission de titularisation.</v>
      </c>
      <c r="AV28" s="13" t="s">
        <v>227</v>
      </c>
      <c r="AW28" s="15" t="str">
        <f>VLOOKUP(AV28,'Axe 2 Règles de gestion'!$D$2:$F$62,3, FALSE)</f>
        <v>Si le statut particulier du corps dans lequel la titularisation à vocation à intervenir prévoit une formation en école de service public, l'agent bénéficie de cette formation, sous réserve d'aménagements éventuels imposés par son handicap.</v>
      </c>
      <c r="AX28" s="13" t="s">
        <v>229</v>
      </c>
      <c r="AY28" s="15" t="str">
        <f>VLOOKUP(AX28,'Axe 2 Règles de gestion'!$D$2:$F$62,3, FALSE)</f>
        <v>Dans le cas d'une formation en école de service public, s'il est prévu un engagement de servir d'une durée minimale, cette obligation s'applique à hauteur de la durée de formation effectivement réalisée au sein de cette école.</v>
      </c>
      <c r="AZ28" s="13" t="s">
        <v>231</v>
      </c>
      <c r="BA28" s="15" t="str">
        <f>VLOOKUP(AZ28,'Axe 2 Règles de gestion'!$D$2:$F$62,3, FALSE)</f>
        <v>L'agent doit relever de l'obligation d'emploi des travailleurs handicapés.</v>
      </c>
      <c r="BB28" s="13"/>
      <c r="BC28" s="15"/>
      <c r="BD28" s="13" t="s">
        <v>126</v>
      </c>
      <c r="BE28" s="15" t="str">
        <f>VLOOKUP(BD28,'Axe 2 Règles de gestion'!$D$2:$F$62,3, FALSE)</f>
        <v>L'agent doit être en activité.</v>
      </c>
      <c r="BF28" s="13" t="s">
        <v>97</v>
      </c>
      <c r="BG28" s="15" t="str">
        <f>VLOOKUP(BF28,'Axe 2 Règles de gestion'!$D$2:$F$62,3, FALSE)</f>
        <v>La date d'entrée dans le statut doit être postérieure à la date de fin du statut précédent.</v>
      </c>
      <c r="BH28" s="13" t="s">
        <v>103</v>
      </c>
      <c r="BI28" s="15" t="str">
        <f>VLOOKUP(BH28,'Axe 2 Règles de gestion'!$D$2:$F$62,3, FALSE)</f>
        <v>Le statut saisi de l'agent est différent du statut précédent.</v>
      </c>
      <c r="BJ28" s="13" t="s">
        <v>128</v>
      </c>
      <c r="BK28" s="15" t="str">
        <f>VLOOKUP(BJ28,'Axe 2 Règles de gestion'!$D$2:$F$62,3, FALSE)</f>
        <v>Le nouveau statut de l'agent est "Titulaire".</v>
      </c>
      <c r="BL28" s="13" t="s">
        <v>192</v>
      </c>
      <c r="BM28" s="15" t="str">
        <f>VLOOKUP(BL28,'Axe 2 Règles de gestion'!$D$2:$F$62,3, FALSE)</f>
        <v>La titularisation intervient à J+1 de la date de fin réelle ou prévisionnelle du lien juridique.</v>
      </c>
      <c r="BN28" s="13" t="s">
        <v>105</v>
      </c>
      <c r="BO28" s="15" t="str">
        <f>VLOOKUP(BN28,'Axe 2 Règles de gestion'!$D$2:$F$62,3, FALSE)</f>
        <v>Si la date de fin du statut est renseignée alors elle doit être postérieure à la date de début du statut de l'occurrence.</v>
      </c>
      <c r="BP28" s="13"/>
      <c r="BQ28" s="15"/>
      <c r="BR28" s="13"/>
      <c r="BS28" s="15"/>
      <c r="BT28" s="13"/>
      <c r="BU28" s="13"/>
    </row>
    <row r="29" spans="1:73" ht="58" hidden="1" x14ac:dyDescent="0.35">
      <c r="A29" s="13" t="s">
        <v>74</v>
      </c>
      <c r="B29" s="13" t="s">
        <v>75</v>
      </c>
      <c r="C29" s="14">
        <v>43152.5</v>
      </c>
      <c r="D29" s="13" t="s">
        <v>76</v>
      </c>
      <c r="E29" s="15" t="s">
        <v>77</v>
      </c>
      <c r="F29" s="13" t="s">
        <v>78</v>
      </c>
      <c r="G29" s="15" t="s">
        <v>79</v>
      </c>
      <c r="H29" s="13" t="s">
        <v>80</v>
      </c>
      <c r="I29" s="15" t="s">
        <v>79</v>
      </c>
      <c r="J29" s="15" t="s">
        <v>81</v>
      </c>
      <c r="K29" s="15" t="s">
        <v>82</v>
      </c>
      <c r="L29" s="13" t="s">
        <v>83</v>
      </c>
      <c r="M29" s="15" t="s">
        <v>84</v>
      </c>
      <c r="N29" s="14" t="s">
        <v>85</v>
      </c>
      <c r="O29" s="15" t="s">
        <v>86</v>
      </c>
      <c r="P29" s="15" t="s">
        <v>87</v>
      </c>
      <c r="Q29" s="15" t="s">
        <v>233</v>
      </c>
      <c r="R29" s="13" t="s">
        <v>234</v>
      </c>
      <c r="S29" s="13" t="s">
        <v>175</v>
      </c>
      <c r="T29" s="13" t="s">
        <v>91</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3"/>
    </row>
    <row r="30" spans="1:73" ht="58" hidden="1" x14ac:dyDescent="0.35">
      <c r="A30" s="13" t="s">
        <v>74</v>
      </c>
      <c r="B30" s="13" t="s">
        <v>75</v>
      </c>
      <c r="C30" s="14">
        <v>43152.5</v>
      </c>
      <c r="D30" s="13" t="s">
        <v>76</v>
      </c>
      <c r="E30" s="15" t="s">
        <v>77</v>
      </c>
      <c r="F30" s="13" t="s">
        <v>78</v>
      </c>
      <c r="G30" s="15" t="s">
        <v>79</v>
      </c>
      <c r="H30" s="13" t="s">
        <v>80</v>
      </c>
      <c r="I30" s="15" t="s">
        <v>79</v>
      </c>
      <c r="J30" s="15" t="s">
        <v>81</v>
      </c>
      <c r="K30" s="15" t="s">
        <v>82</v>
      </c>
      <c r="L30" s="13" t="s">
        <v>92</v>
      </c>
      <c r="M30" s="15" t="s">
        <v>79</v>
      </c>
      <c r="N30" s="14" t="s">
        <v>85</v>
      </c>
      <c r="O30" s="15" t="s">
        <v>93</v>
      </c>
      <c r="P30" s="15" t="s">
        <v>94</v>
      </c>
      <c r="Q30" s="15" t="s">
        <v>233</v>
      </c>
      <c r="R30" s="13" t="s">
        <v>234</v>
      </c>
      <c r="S30" s="13" t="s">
        <v>175</v>
      </c>
      <c r="T30" s="13" t="s">
        <v>91</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3"/>
    </row>
    <row r="31" spans="1:73" ht="101.5" hidden="1" x14ac:dyDescent="0.35">
      <c r="A31" s="13" t="s">
        <v>132</v>
      </c>
      <c r="B31" s="13" t="s">
        <v>112</v>
      </c>
      <c r="C31" s="14">
        <v>43628.443055555559</v>
      </c>
      <c r="D31" s="13" t="s">
        <v>76</v>
      </c>
      <c r="E31" s="15" t="s">
        <v>77</v>
      </c>
      <c r="F31" s="13" t="s">
        <v>78</v>
      </c>
      <c r="G31" s="15" t="s">
        <v>79</v>
      </c>
      <c r="H31" s="13" t="s">
        <v>80</v>
      </c>
      <c r="I31" s="15" t="s">
        <v>79</v>
      </c>
      <c r="J31" s="15" t="s">
        <v>81</v>
      </c>
      <c r="K31" s="15" t="s">
        <v>82</v>
      </c>
      <c r="L31" s="13" t="s">
        <v>83</v>
      </c>
      <c r="M31" s="15" t="s">
        <v>84</v>
      </c>
      <c r="N31" s="14" t="s">
        <v>85</v>
      </c>
      <c r="O31" s="15" t="s">
        <v>86</v>
      </c>
      <c r="P31" s="15" t="s">
        <v>87</v>
      </c>
      <c r="Q31" s="15" t="s">
        <v>235</v>
      </c>
      <c r="R31" s="13" t="s">
        <v>236</v>
      </c>
      <c r="S31" s="13" t="s">
        <v>175</v>
      </c>
      <c r="T31" s="13" t="s">
        <v>95</v>
      </c>
      <c r="U31" s="14">
        <v>40725</v>
      </c>
      <c r="V31" s="14"/>
      <c r="W31" s="15" t="s">
        <v>237</v>
      </c>
      <c r="X31" s="13" t="s">
        <v>238</v>
      </c>
      <c r="Y31" s="15" t="str">
        <f>VLOOKUP(X31,'Axe 2 Règles de gestion'!$D$2:$F$62,3, FALSE)</f>
        <v>La titularisation est subordonnée à un engagement à servir correspondant à 2 fois la durée du contrat PACTE, majorée le cas échéant de la période de renouvellement.</v>
      </c>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t="s">
        <v>126</v>
      </c>
      <c r="BE31" s="15" t="str">
        <f>VLOOKUP(BD31,'Axe 2 Règles de gestion'!$D$2:$F$62,3, FALSE)</f>
        <v>L'agent doit être en activité.</v>
      </c>
      <c r="BF31" s="13" t="s">
        <v>97</v>
      </c>
      <c r="BG31" s="15" t="str">
        <f>VLOOKUP(BF31,'Axe 2 Règles de gestion'!$D$2:$F$62,3, FALSE)</f>
        <v>La date d'entrée dans le statut doit être postérieure à la date de fin du statut précédent.</v>
      </c>
      <c r="BH31" s="13" t="s">
        <v>103</v>
      </c>
      <c r="BI31" s="15" t="str">
        <f>VLOOKUP(BH31,'Axe 2 Règles de gestion'!$D$2:$F$62,3, FALSE)</f>
        <v>Le statut saisi de l'agent est différent du statut précédent.</v>
      </c>
      <c r="BJ31" s="13" t="s">
        <v>192</v>
      </c>
      <c r="BK31" s="15" t="str">
        <f>VLOOKUP(BJ31,'Axe 2 Règles de gestion'!$D$2:$F$62,3, FALSE)</f>
        <v>La titularisation intervient à J+1 de la date de fin réelle ou prévisionnelle du lien juridique.</v>
      </c>
      <c r="BL31" s="13" t="s">
        <v>128</v>
      </c>
      <c r="BM31" s="15" t="str">
        <f>VLOOKUP(BL31,'Axe 2 Règles de gestion'!$D$2:$F$62,3, FALSE)</f>
        <v>Le nouveau statut de l'agent est "Titulaire".</v>
      </c>
      <c r="BN31" s="13" t="s">
        <v>105</v>
      </c>
      <c r="BO31" s="15" t="str">
        <f>VLOOKUP(BN31,'Axe 2 Règles de gestion'!$D$2:$F$62,3, FALSE)</f>
        <v>Si la date de fin du statut est renseignée alors elle doit être postérieure à la date de début du statut de l'occurrence.</v>
      </c>
      <c r="BP31" s="13"/>
      <c r="BQ31" s="15"/>
      <c r="BR31" s="13"/>
      <c r="BS31" s="15"/>
      <c r="BT31" s="13"/>
      <c r="BU31" s="13"/>
    </row>
    <row r="32" spans="1:73" ht="145" hidden="1" x14ac:dyDescent="0.35">
      <c r="A32" s="13" t="s">
        <v>240</v>
      </c>
      <c r="B32" s="13" t="s">
        <v>112</v>
      </c>
      <c r="C32" s="14">
        <v>45783.602083333331</v>
      </c>
      <c r="D32" s="13" t="s">
        <v>76</v>
      </c>
      <c r="E32" s="15" t="s">
        <v>77</v>
      </c>
      <c r="F32" s="13" t="s">
        <v>78</v>
      </c>
      <c r="G32" s="15" t="s">
        <v>79</v>
      </c>
      <c r="H32" s="13" t="s">
        <v>80</v>
      </c>
      <c r="I32" s="15" t="s">
        <v>79</v>
      </c>
      <c r="J32" s="15" t="s">
        <v>81</v>
      </c>
      <c r="K32" s="15" t="s">
        <v>82</v>
      </c>
      <c r="L32" s="13" t="s">
        <v>83</v>
      </c>
      <c r="M32" s="15" t="s">
        <v>84</v>
      </c>
      <c r="N32" s="14" t="s">
        <v>85</v>
      </c>
      <c r="O32" s="15" t="s">
        <v>86</v>
      </c>
      <c r="P32" s="15" t="s">
        <v>87</v>
      </c>
      <c r="Q32" s="15" t="s">
        <v>241</v>
      </c>
      <c r="R32" s="13" t="s">
        <v>242</v>
      </c>
      <c r="S32" s="13" t="s">
        <v>175</v>
      </c>
      <c r="T32" s="13" t="s">
        <v>95</v>
      </c>
      <c r="U32" s="14">
        <v>40725</v>
      </c>
      <c r="V32" s="14">
        <v>44196</v>
      </c>
      <c r="W32" s="15" t="s">
        <v>243</v>
      </c>
      <c r="X32" s="13" t="s">
        <v>244</v>
      </c>
      <c r="Y32" s="15" t="str">
        <f>VLOOKUP(X32,'Axe 2 Règles de gestion'!$D$2:$F$62,3, FALSE)</f>
        <v>Si l'agent a suivi la formation initiale prévue par le statut du corps à intégrer, il subit les épreuves dans les mêmes conditions que les fonctionnaires stagiaires avant la titularisation sous réserve d'aménagements éventuels imposés par son handicap.</v>
      </c>
      <c r="Z32" s="13" t="s">
        <v>246</v>
      </c>
      <c r="AA32" s="15" t="str">
        <f>VLOOKUP(Z32,'Axe 2 Règles de gestion'!$D$2:$F$62,3, FALSE)</f>
        <v>L'appréciation de l'aptitude professionnelle est assurée en fin de scolarité par le jury désigné, un représentant de l'autorité administrative ayant pouvoir de nomination et une personne compétente en insertion professionnelle des personnes handicapées.</v>
      </c>
      <c r="AB32" s="13" t="s">
        <v>248</v>
      </c>
      <c r="AC32" s="15" t="str">
        <f>VLOOKUP(AB32,'Axe 2 Règles de gestion'!$D$2:$F$62,3, FALSE)</f>
        <v>L'appréciation de l'aptitude professionnelle de l'agent par l'autorité ayant le pouvoir de nomination est basée sur le dossier de l'agent et après un entretien entre l'intéressé et un jury organisé par l'administration chargée du recrutement.</v>
      </c>
      <c r="AD32" s="13" t="s">
        <v>250</v>
      </c>
      <c r="AE32" s="15" t="str">
        <f>VLOOKUP(AD32,'Axe 2 Règles de gestion'!$D$2:$F$62,3, FALSE)</f>
        <v>La titularisation est prononcée sous réserve de l'aptitude physique de l'agent à l'exercice des fonctions.</v>
      </c>
      <c r="AF32" s="13" t="s">
        <v>252</v>
      </c>
      <c r="AG32" s="15" t="str">
        <f>VLOOKUP(AF32,'Axe 2 Règles de gestion'!$D$2:$F$62,3, FALSE)</f>
        <v>Dans tous les cas, la titularisation est prononcée par l'autorité ayant pouvoir de nomination, après avis de la Commission administrative paritaire du corps concerné.</v>
      </c>
      <c r="AH32" s="13"/>
      <c r="AI32" s="15"/>
      <c r="AJ32" s="13"/>
      <c r="AK32" s="15"/>
      <c r="AL32" s="13"/>
      <c r="AM32" s="15"/>
      <c r="AN32" s="13"/>
      <c r="AO32" s="15"/>
      <c r="AP32" s="13"/>
      <c r="AQ32" s="15"/>
      <c r="AR32" s="13"/>
      <c r="AS32" s="15"/>
      <c r="AT32" s="13"/>
      <c r="AU32" s="15"/>
      <c r="AV32" s="13"/>
      <c r="AW32" s="15"/>
      <c r="AX32" s="13"/>
      <c r="AY32" s="15"/>
      <c r="AZ32" s="13"/>
      <c r="BA32" s="15"/>
      <c r="BB32" s="13"/>
      <c r="BC32" s="15"/>
      <c r="BD32" s="13" t="s">
        <v>126</v>
      </c>
      <c r="BE32" s="15" t="str">
        <f>VLOOKUP(BD32,'Axe 2 Règles de gestion'!$D$2:$F$62,3, FALSE)</f>
        <v>L'agent doit être en activité.</v>
      </c>
      <c r="BF32" s="13" t="s">
        <v>97</v>
      </c>
      <c r="BG32" s="15" t="str">
        <f>VLOOKUP(BF32,'Axe 2 Règles de gestion'!$D$2:$F$62,3, FALSE)</f>
        <v>La date d'entrée dans le statut doit être postérieure à la date de fin du statut précédent.</v>
      </c>
      <c r="BH32" s="13" t="s">
        <v>103</v>
      </c>
      <c r="BI32" s="15" t="str">
        <f>VLOOKUP(BH32,'Axe 2 Règles de gestion'!$D$2:$F$62,3, FALSE)</f>
        <v>Le statut saisi de l'agent est différent du statut précédent.</v>
      </c>
      <c r="BJ32" s="13" t="s">
        <v>128</v>
      </c>
      <c r="BK32" s="15" t="str">
        <f>VLOOKUP(BJ32,'Axe 2 Règles de gestion'!$D$2:$F$62,3, FALSE)</f>
        <v>Le nouveau statut de l'agent est "Titulaire".</v>
      </c>
      <c r="BL32" s="13" t="s">
        <v>192</v>
      </c>
      <c r="BM32" s="15" t="str">
        <f>VLOOKUP(BL32,'Axe 2 Règles de gestion'!$D$2:$F$62,3, FALSE)</f>
        <v>La titularisation intervient à J+1 de la date de fin réelle ou prévisionnelle du lien juridique.</v>
      </c>
      <c r="BN32" s="13" t="s">
        <v>105</v>
      </c>
      <c r="BO32" s="15" t="str">
        <f>VLOOKUP(BN32,'Axe 2 Règles de gestion'!$D$2:$F$62,3, FALSE)</f>
        <v>Si la date de fin du statut est renseignée alors elle doit être postérieure à la date de début du statut de l'occurrence.</v>
      </c>
      <c r="BP32" s="13"/>
      <c r="BQ32" s="15"/>
      <c r="BR32" s="13"/>
      <c r="BS32" s="15"/>
      <c r="BT32" s="13"/>
      <c r="BU32" s="13"/>
    </row>
    <row r="33" spans="1:73" ht="145" hidden="1" x14ac:dyDescent="0.35">
      <c r="A33" s="13" t="s">
        <v>240</v>
      </c>
      <c r="B33" s="13" t="s">
        <v>75</v>
      </c>
      <c r="C33" s="14">
        <v>45783.602083333331</v>
      </c>
      <c r="D33" s="13" t="s">
        <v>76</v>
      </c>
      <c r="E33" s="15" t="s">
        <v>77</v>
      </c>
      <c r="F33" s="13" t="s">
        <v>78</v>
      </c>
      <c r="G33" s="15" t="s">
        <v>79</v>
      </c>
      <c r="H33" s="13" t="s">
        <v>80</v>
      </c>
      <c r="I33" s="15" t="s">
        <v>79</v>
      </c>
      <c r="J33" s="15" t="s">
        <v>81</v>
      </c>
      <c r="K33" s="15" t="s">
        <v>82</v>
      </c>
      <c r="L33" s="13" t="s">
        <v>83</v>
      </c>
      <c r="M33" s="15" t="s">
        <v>84</v>
      </c>
      <c r="N33" s="14" t="s">
        <v>85</v>
      </c>
      <c r="O33" s="15" t="s">
        <v>86</v>
      </c>
      <c r="P33" s="15" t="s">
        <v>87</v>
      </c>
      <c r="Q33" s="15" t="s">
        <v>241</v>
      </c>
      <c r="R33" s="13" t="s">
        <v>242</v>
      </c>
      <c r="S33" s="13" t="s">
        <v>175</v>
      </c>
      <c r="T33" s="13" t="s">
        <v>95</v>
      </c>
      <c r="U33" s="14">
        <v>44197</v>
      </c>
      <c r="V33" s="14"/>
      <c r="W33" s="15" t="s">
        <v>254</v>
      </c>
      <c r="X33" s="13" t="s">
        <v>244</v>
      </c>
      <c r="Y33" s="15" t="str">
        <f>VLOOKUP(X33,'Axe 2 Règles de gestion'!$D$2:$F$62,3, FALSE)</f>
        <v>Si l'agent a suivi la formation initiale prévue par le statut du corps à intégrer, il subit les épreuves dans les mêmes conditions que les fonctionnaires stagiaires avant la titularisation sous réserve d'aménagements éventuels imposés par son handicap.</v>
      </c>
      <c r="Z33" s="13" t="s">
        <v>246</v>
      </c>
      <c r="AA33" s="15" t="str">
        <f>VLOOKUP(Z33,'Axe 2 Règles de gestion'!$D$2:$F$62,3, FALSE)</f>
        <v>L'appréciation de l'aptitude professionnelle est assurée en fin de scolarité par le jury désigné, un représentant de l'autorité administrative ayant pouvoir de nomination et une personne compétente en insertion professionnelle des personnes handicapées.</v>
      </c>
      <c r="AB33" s="13" t="s">
        <v>248</v>
      </c>
      <c r="AC33" s="15" t="str">
        <f>VLOOKUP(AB33,'Axe 2 Règles de gestion'!$D$2:$F$62,3, FALSE)</f>
        <v>L'appréciation de l'aptitude professionnelle de l'agent par l'autorité ayant le pouvoir de nomination est basée sur le dossier de l'agent et après un entretien entre l'intéressé et un jury organisé par l'administration chargée du recrutement.</v>
      </c>
      <c r="AD33" s="13" t="s">
        <v>250</v>
      </c>
      <c r="AE33" s="15" t="str">
        <f>VLOOKUP(AD33,'Axe 2 Règles de gestion'!$D$2:$F$62,3, FALSE)</f>
        <v>La titularisation est prononcée sous réserve de l'aptitude physique de l'agent à l'exercice des fonctions.</v>
      </c>
      <c r="AF33" s="13" t="s">
        <v>255</v>
      </c>
      <c r="AG33" s="15" t="str">
        <f>VLOOKUP(AF33,'Axe 2 Règles de gestion'!$D$2:$F$62,3, FALSE)</f>
        <v>Dans tous les cas, la titularisation est prononcée par l'autorité ayant pouvoir de nomination.</v>
      </c>
      <c r="AH33" s="13"/>
      <c r="AI33" s="15"/>
      <c r="AJ33" s="13"/>
      <c r="AK33" s="15"/>
      <c r="AL33" s="13"/>
      <c r="AM33" s="15"/>
      <c r="AN33" s="13"/>
      <c r="AO33" s="15"/>
      <c r="AP33" s="13"/>
      <c r="AQ33" s="15"/>
      <c r="AR33" s="13"/>
      <c r="AS33" s="15"/>
      <c r="AT33" s="13"/>
      <c r="AU33" s="15"/>
      <c r="AV33" s="13"/>
      <c r="AW33" s="15"/>
      <c r="AX33" s="13"/>
      <c r="AY33" s="15"/>
      <c r="AZ33" s="13"/>
      <c r="BA33" s="15"/>
      <c r="BB33" s="13"/>
      <c r="BC33" s="15"/>
      <c r="BD33" s="13" t="s">
        <v>126</v>
      </c>
      <c r="BE33" s="15" t="str">
        <f>VLOOKUP(BD33,'Axe 2 Règles de gestion'!$D$2:$F$62,3, FALSE)</f>
        <v>L'agent doit être en activité.</v>
      </c>
      <c r="BF33" s="13" t="s">
        <v>97</v>
      </c>
      <c r="BG33" s="15" t="str">
        <f>VLOOKUP(BF33,'Axe 2 Règles de gestion'!$D$2:$F$62,3, FALSE)</f>
        <v>La date d'entrée dans le statut doit être postérieure à la date de fin du statut précédent.</v>
      </c>
      <c r="BH33" s="13" t="s">
        <v>103</v>
      </c>
      <c r="BI33" s="15" t="str">
        <f>VLOOKUP(BH33,'Axe 2 Règles de gestion'!$D$2:$F$62,3, FALSE)</f>
        <v>Le statut saisi de l'agent est différent du statut précédent.</v>
      </c>
      <c r="BJ33" s="13" t="s">
        <v>128</v>
      </c>
      <c r="BK33" s="15" t="str">
        <f>VLOOKUP(BJ33,'Axe 2 Règles de gestion'!$D$2:$F$62,3, FALSE)</f>
        <v>Le nouveau statut de l'agent est "Titulaire".</v>
      </c>
      <c r="BL33" s="13" t="s">
        <v>192</v>
      </c>
      <c r="BM33" s="15" t="str">
        <f>VLOOKUP(BL33,'Axe 2 Règles de gestion'!$D$2:$F$62,3, FALSE)</f>
        <v>La titularisation intervient à J+1 de la date de fin réelle ou prévisionnelle du lien juridique.</v>
      </c>
      <c r="BN33" s="13" t="s">
        <v>105</v>
      </c>
      <c r="BO33" s="15" t="str">
        <f>VLOOKUP(BN33,'Axe 2 Règles de gestion'!$D$2:$F$62,3, FALSE)</f>
        <v>Si la date de fin du statut est renseignée alors elle doit être postérieure à la date de début du statut de l'occurrence.</v>
      </c>
      <c r="BP33" s="13"/>
      <c r="BQ33" s="15"/>
      <c r="BR33" s="13"/>
      <c r="BS33" s="15"/>
      <c r="BT33" s="13"/>
      <c r="BU33" s="13"/>
    </row>
    <row r="34" spans="1:73" ht="72.5" hidden="1" x14ac:dyDescent="0.35">
      <c r="A34" s="13" t="s">
        <v>132</v>
      </c>
      <c r="B34" s="13" t="s">
        <v>112</v>
      </c>
      <c r="C34" s="14">
        <v>43628.443749999999</v>
      </c>
      <c r="D34" s="13" t="s">
        <v>76</v>
      </c>
      <c r="E34" s="15" t="s">
        <v>77</v>
      </c>
      <c r="F34" s="13" t="s">
        <v>78</v>
      </c>
      <c r="G34" s="15" t="s">
        <v>79</v>
      </c>
      <c r="H34" s="13" t="s">
        <v>80</v>
      </c>
      <c r="I34" s="15" t="s">
        <v>79</v>
      </c>
      <c r="J34" s="15" t="s">
        <v>81</v>
      </c>
      <c r="K34" s="15" t="s">
        <v>82</v>
      </c>
      <c r="L34" s="13" t="s">
        <v>107</v>
      </c>
      <c r="M34" s="15" t="s">
        <v>108</v>
      </c>
      <c r="N34" s="14" t="s">
        <v>85</v>
      </c>
      <c r="O34" s="15" t="s">
        <v>109</v>
      </c>
      <c r="P34" s="15" t="s">
        <v>110</v>
      </c>
      <c r="Q34" s="15" t="s">
        <v>257</v>
      </c>
      <c r="R34" s="13" t="s">
        <v>258</v>
      </c>
      <c r="S34" s="13" t="s">
        <v>175</v>
      </c>
      <c r="T34" s="13" t="s">
        <v>95</v>
      </c>
      <c r="U34" s="14">
        <v>40725</v>
      </c>
      <c r="V34" s="14"/>
      <c r="W34" s="15" t="s">
        <v>259</v>
      </c>
      <c r="X34" s="13" t="s">
        <v>260</v>
      </c>
      <c r="Y34" s="15" t="str">
        <f>VLOOKUP(X34,'Axe 2 Règles de gestion'!$D$2:$F$62,3, FALSE)</f>
        <v>Aucun recrutement n'est prononcé avant que l'administration n'ait reçu le bulletin n°2 du casier judiciaire de l'agent.</v>
      </c>
      <c r="Z34" s="13" t="s">
        <v>262</v>
      </c>
      <c r="AA34" s="15" t="str">
        <f>VLOOKUP(Z34,'Axe 2 Règles de gestion'!$D$2:$F$62,3, FALSE)</f>
        <v>La confirmation est prononcée sous réserve de l'aptitude physique de l'agent à l'exercice des fonctions.</v>
      </c>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t="s">
        <v>264</v>
      </c>
      <c r="BA34" s="15" t="str">
        <f>VLOOKUP(AZ34,'Axe 2 Règles de gestion'!$D$2:$F$62,3, FALSE)</f>
        <v>L'affiliation au fonds spécial des pensions intervient à J+1 de la date prévisionnelle de fin de stage avec ou sans prolongation sauf exceptions.</v>
      </c>
      <c r="BB34" s="13" t="s">
        <v>266</v>
      </c>
      <c r="BC34" s="15" t="str">
        <f>VLOOKUP(BB34,'Axe 2 Règles de gestion'!$D$2:$F$62,3, FALSE)</f>
        <v>L'affiliation au fonds spécial des pensions intervient à J+1 de la date réelle de fin de stage avec ou sans prolongation sauf exceptions.</v>
      </c>
      <c r="BD34" s="13" t="s">
        <v>97</v>
      </c>
      <c r="BE34" s="15" t="str">
        <f>VLOOKUP(BD34,'Axe 2 Règles de gestion'!$D$2:$F$62,3, FALSE)</f>
        <v>La date d'entrée dans le statut doit être postérieure à la date de fin du statut précédent.</v>
      </c>
      <c r="BF34" s="13" t="s">
        <v>165</v>
      </c>
      <c r="BG34" s="15" t="str">
        <f>VLOOKUP(BF34,'Axe 2 Règles de gestion'!$D$2:$F$62,3, FALSE)</f>
        <v>La date d'entrée dans le statut doit être postérieure à la date prévisionnelle de fin de stage.</v>
      </c>
      <c r="BH34" s="13" t="s">
        <v>167</v>
      </c>
      <c r="BI34" s="15" t="str">
        <f>VLOOKUP(BH34,'Axe 2 Règles de gestion'!$D$2:$F$62,3, FALSE)</f>
        <v>La date d'entrée dans le statut doit être postérieure à la date réelle de fin de stage.</v>
      </c>
      <c r="BJ34" s="13" t="s">
        <v>169</v>
      </c>
      <c r="BK34" s="15" t="str">
        <f>VLOOKUP(BJ34,'Axe 2 Règles de gestion'!$D$2:$F$62,3, FALSE)</f>
        <v>La date de fin réelle du stage ou la date prévisionnelle de fin de stage doit être renseignée.</v>
      </c>
      <c r="BL34" s="13" t="s">
        <v>103</v>
      </c>
      <c r="BM34" s="15" t="str">
        <f>VLOOKUP(BL34,'Axe 2 Règles de gestion'!$D$2:$F$62,3, FALSE)</f>
        <v>Le statut saisi de l'agent est différent du statut précédent.</v>
      </c>
      <c r="BN34" s="13" t="s">
        <v>126</v>
      </c>
      <c r="BO34" s="15" t="str">
        <f>VLOOKUP(BN34,'Axe 2 Règles de gestion'!$D$2:$F$62,3, FALSE)</f>
        <v>L'agent doit être en activité.</v>
      </c>
      <c r="BP34" s="13" t="s">
        <v>105</v>
      </c>
      <c r="BQ34" s="15" t="str">
        <f>VLOOKUP(BP34,'Axe 2 Règles de gestion'!$D$2:$F$62,3, FALSE)</f>
        <v>Si la date de fin du statut est renseignée alors elle doit être postérieure à la date de début du statut de l'occurrence.</v>
      </c>
      <c r="BR34" s="13"/>
      <c r="BS34" s="15"/>
      <c r="BT34" s="13"/>
      <c r="BU34" s="13"/>
    </row>
    <row r="35" spans="1:73" ht="87" hidden="1" x14ac:dyDescent="0.35">
      <c r="A35" s="13" t="s">
        <v>74</v>
      </c>
      <c r="B35" s="13" t="s">
        <v>75</v>
      </c>
      <c r="C35" s="14">
        <v>43164.738194444442</v>
      </c>
      <c r="D35" s="13" t="s">
        <v>76</v>
      </c>
      <c r="E35" s="15" t="s">
        <v>77</v>
      </c>
      <c r="F35" s="13" t="s">
        <v>78</v>
      </c>
      <c r="G35" s="15" t="s">
        <v>79</v>
      </c>
      <c r="H35" s="13" t="s">
        <v>80</v>
      </c>
      <c r="I35" s="15" t="s">
        <v>79</v>
      </c>
      <c r="J35" s="15" t="s">
        <v>81</v>
      </c>
      <c r="K35" s="15" t="s">
        <v>82</v>
      </c>
      <c r="L35" s="13" t="s">
        <v>83</v>
      </c>
      <c r="M35" s="15" t="s">
        <v>84</v>
      </c>
      <c r="N35" s="14" t="s">
        <v>85</v>
      </c>
      <c r="O35" s="15" t="s">
        <v>86</v>
      </c>
      <c r="P35" s="15" t="s">
        <v>87</v>
      </c>
      <c r="Q35" s="15" t="s">
        <v>268</v>
      </c>
      <c r="R35" s="13" t="s">
        <v>269</v>
      </c>
      <c r="S35" s="13" t="s">
        <v>175</v>
      </c>
      <c r="T35" s="13" t="s">
        <v>95</v>
      </c>
      <c r="U35" s="14">
        <v>43101</v>
      </c>
      <c r="V35" s="14"/>
      <c r="W35" s="15" t="s">
        <v>270</v>
      </c>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t="s">
        <v>126</v>
      </c>
      <c r="BE35" s="15" t="str">
        <f>VLOOKUP(BD35,'Axe 2 Règles de gestion'!$D$2:$F$62,3, FALSE)</f>
        <v>L'agent doit être en activité.</v>
      </c>
      <c r="BF35" s="13" t="s">
        <v>97</v>
      </c>
      <c r="BG35" s="15" t="str">
        <f>VLOOKUP(BF35,'Axe 2 Règles de gestion'!$D$2:$F$62,3, FALSE)</f>
        <v>La date d'entrée dans le statut doit être postérieure à la date de fin du statut précédent.</v>
      </c>
      <c r="BH35" s="13" t="s">
        <v>103</v>
      </c>
      <c r="BI35" s="15" t="str">
        <f>VLOOKUP(BH35,'Axe 2 Règles de gestion'!$D$2:$F$62,3, FALSE)</f>
        <v>Le statut saisi de l'agent est différent du statut précédent.</v>
      </c>
      <c r="BJ35" s="13" t="s">
        <v>192</v>
      </c>
      <c r="BK35" s="15" t="str">
        <f>VLOOKUP(BJ35,'Axe 2 Règles de gestion'!$D$2:$F$62,3, FALSE)</f>
        <v>La titularisation intervient à J+1 de la date de fin réelle ou prévisionnelle du lien juridique.</v>
      </c>
      <c r="BL35" s="13" t="s">
        <v>128</v>
      </c>
      <c r="BM35" s="15" t="str">
        <f>VLOOKUP(BL35,'Axe 2 Règles de gestion'!$D$2:$F$62,3, FALSE)</f>
        <v>Le nouveau statut de l'agent est "Titulaire".</v>
      </c>
      <c r="BN35" s="13" t="s">
        <v>105</v>
      </c>
      <c r="BO35" s="15" t="str">
        <f>VLOOKUP(BN35,'Axe 2 Règles de gestion'!$D$2:$F$62,3, FALSE)</f>
        <v>Si la date de fin du statut est renseignée alors elle doit être postérieure à la date de début du statut de l'occurrence.</v>
      </c>
      <c r="BP35" s="13"/>
      <c r="BQ35" s="15"/>
      <c r="BR35" s="13"/>
      <c r="BS35" s="15"/>
      <c r="BT35" s="13"/>
      <c r="BU35" s="13"/>
    </row>
    <row r="36" spans="1:73" ht="72.5" x14ac:dyDescent="0.35">
      <c r="A36" s="19" t="s">
        <v>111</v>
      </c>
      <c r="B36" s="19" t="s">
        <v>75</v>
      </c>
      <c r="C36" s="20">
        <v>45947.451388888891</v>
      </c>
      <c r="D36" s="19" t="s">
        <v>76</v>
      </c>
      <c r="E36" s="21" t="s">
        <v>77</v>
      </c>
      <c r="F36" s="19" t="s">
        <v>78</v>
      </c>
      <c r="G36" s="21" t="s">
        <v>79</v>
      </c>
      <c r="H36" s="19" t="s">
        <v>80</v>
      </c>
      <c r="I36" s="21" t="s">
        <v>79</v>
      </c>
      <c r="J36" s="21" t="s">
        <v>81</v>
      </c>
      <c r="K36" s="21" t="s">
        <v>82</v>
      </c>
      <c r="L36" s="19" t="s">
        <v>107</v>
      </c>
      <c r="M36" s="21" t="s">
        <v>108</v>
      </c>
      <c r="N36" s="20" t="s">
        <v>85</v>
      </c>
      <c r="O36" s="21" t="s">
        <v>109</v>
      </c>
      <c r="P36" s="21" t="s">
        <v>110</v>
      </c>
      <c r="Q36" s="21" t="s">
        <v>271</v>
      </c>
      <c r="R36" s="19" t="s">
        <v>272</v>
      </c>
      <c r="S36" s="19" t="s">
        <v>175</v>
      </c>
      <c r="T36" s="19" t="s">
        <v>95</v>
      </c>
      <c r="U36" s="20">
        <v>40725</v>
      </c>
      <c r="V36" s="20"/>
      <c r="W36" s="21" t="s">
        <v>273</v>
      </c>
      <c r="X36" s="19" t="s">
        <v>274</v>
      </c>
      <c r="Y36" s="21" t="str">
        <f>VLOOKUP(X36,'Axe 2 Règles de gestion'!$D$2:$F$62,3, FALSE)</f>
        <v>A la fin du stage, l'agent qui a donné satisfaction est confirmé.</v>
      </c>
      <c r="Z36" s="19"/>
      <c r="AA36" s="21"/>
      <c r="AB36" s="19"/>
      <c r="AC36" s="21"/>
      <c r="AD36" s="19"/>
      <c r="AE36" s="21"/>
      <c r="AF36" s="19"/>
      <c r="AG36" s="21"/>
      <c r="AH36" s="19"/>
      <c r="AI36" s="21"/>
      <c r="AJ36" s="19"/>
      <c r="AK36" s="21"/>
      <c r="AL36" s="19"/>
      <c r="AM36" s="21"/>
      <c r="AN36" s="19"/>
      <c r="AO36" s="21"/>
      <c r="AP36" s="19"/>
      <c r="AQ36" s="21"/>
      <c r="AR36" s="19"/>
      <c r="AS36" s="21"/>
      <c r="AT36" s="19"/>
      <c r="AU36" s="21"/>
      <c r="AV36" s="19"/>
      <c r="AW36" s="21"/>
      <c r="AX36" s="19"/>
      <c r="AY36" s="21"/>
      <c r="AZ36" s="19" t="s">
        <v>276</v>
      </c>
      <c r="BA36" s="21" t="str">
        <f>VLOOKUP(AZ36,'Axe 2 Règles de gestion'!$D$2:$F$62,3, FALSE)</f>
        <v>La titularisation intervient à J+1 de la date prévisionnelle de fin de stage avec ou sans prolongation sauf exceptions.</v>
      </c>
      <c r="BB36" s="19" t="s">
        <v>277</v>
      </c>
      <c r="BC36" s="21" t="str">
        <f>VLOOKUP(BB36,'Axe 2 Règles de gestion'!$D$2:$F$62,3, FALSE)</f>
        <v>La titularisation intervient à J+1 de la date réelle de fin de stage avec ou sans prolongation sauf exceptions.</v>
      </c>
      <c r="BD36" s="19" t="s">
        <v>97</v>
      </c>
      <c r="BE36" s="21" t="str">
        <f>VLOOKUP(BD36,'Axe 2 Règles de gestion'!$D$2:$F$62,3, FALSE)</f>
        <v>La date d'entrée dans le statut doit être postérieure à la date de fin du statut précédent.</v>
      </c>
      <c r="BF36" s="19" t="s">
        <v>165</v>
      </c>
      <c r="BG36" s="21" t="str">
        <f>VLOOKUP(BF36,'Axe 2 Règles de gestion'!$D$2:$F$62,3, FALSE)</f>
        <v>La date d'entrée dans le statut doit être postérieure à la date prévisionnelle de fin de stage.</v>
      </c>
      <c r="BH36" s="19" t="s">
        <v>167</v>
      </c>
      <c r="BI36" s="21" t="str">
        <f>VLOOKUP(BH36,'Axe 2 Règles de gestion'!$D$2:$F$62,3, FALSE)</f>
        <v>La date d'entrée dans le statut doit être postérieure à la date réelle de fin de stage.</v>
      </c>
      <c r="BJ36" s="19" t="s">
        <v>169</v>
      </c>
      <c r="BK36" s="21" t="str">
        <f>VLOOKUP(BJ36,'Axe 2 Règles de gestion'!$D$2:$F$62,3, FALSE)</f>
        <v>La date de fin réelle du stage ou la date prévisionnelle de fin de stage doit être renseignée.</v>
      </c>
      <c r="BL36" s="19" t="s">
        <v>103</v>
      </c>
      <c r="BM36" s="21" t="str">
        <f>VLOOKUP(BL36,'Axe 2 Règles de gestion'!$D$2:$F$62,3, FALSE)</f>
        <v>Le statut saisi de l'agent est différent du statut précédent.</v>
      </c>
      <c r="BN36" s="19" t="s">
        <v>126</v>
      </c>
      <c r="BO36" s="21" t="str">
        <f>VLOOKUP(BN36,'Axe 2 Règles de gestion'!$D$2:$F$62,3, FALSE)</f>
        <v>L'agent doit être en activité.</v>
      </c>
      <c r="BP36" s="19" t="s">
        <v>105</v>
      </c>
      <c r="BQ36" s="21" t="str">
        <f>VLOOKUP(BP36,'Axe 2 Règles de gestion'!$D$2:$F$62,3, FALSE)</f>
        <v>Si la date de fin du statut est renseignée alors elle doit être postérieure à la date de début du statut de l'occurrence.</v>
      </c>
      <c r="BR36" s="19"/>
      <c r="BS36" s="21"/>
      <c r="BT36" s="19" t="s">
        <v>117</v>
      </c>
      <c r="BU36" s="19"/>
    </row>
    <row r="37" spans="1:73" ht="72.5" x14ac:dyDescent="0.35">
      <c r="A37" s="19" t="s">
        <v>111</v>
      </c>
      <c r="B37" s="19" t="s">
        <v>112</v>
      </c>
      <c r="C37" s="20">
        <v>45944.395833333336</v>
      </c>
      <c r="D37" s="19" t="s">
        <v>76</v>
      </c>
      <c r="E37" s="21" t="s">
        <v>77</v>
      </c>
      <c r="F37" s="19" t="s">
        <v>78</v>
      </c>
      <c r="G37" s="21" t="s">
        <v>79</v>
      </c>
      <c r="H37" s="19" t="s">
        <v>80</v>
      </c>
      <c r="I37" s="21" t="s">
        <v>79</v>
      </c>
      <c r="J37" s="21" t="s">
        <v>81</v>
      </c>
      <c r="K37" s="21" t="s">
        <v>82</v>
      </c>
      <c r="L37" s="19" t="s">
        <v>113</v>
      </c>
      <c r="M37" s="21" t="s">
        <v>114</v>
      </c>
      <c r="N37" s="20" t="s">
        <v>85</v>
      </c>
      <c r="O37" s="21" t="s">
        <v>115</v>
      </c>
      <c r="P37" s="21" t="s">
        <v>116</v>
      </c>
      <c r="Q37" s="21" t="s">
        <v>271</v>
      </c>
      <c r="R37" s="19" t="s">
        <v>272</v>
      </c>
      <c r="S37" s="19" t="s">
        <v>175</v>
      </c>
      <c r="T37" s="19" t="s">
        <v>95</v>
      </c>
      <c r="U37" s="20">
        <v>40725</v>
      </c>
      <c r="V37" s="20">
        <v>40725</v>
      </c>
      <c r="W37" s="21" t="s">
        <v>273</v>
      </c>
      <c r="X37" s="19" t="s">
        <v>274</v>
      </c>
      <c r="Y37" s="21" t="str">
        <f>VLOOKUP(X37,'Axe 2 Règles de gestion'!$D$2:$F$62,3, FALSE)</f>
        <v>A la fin du stage, l'agent qui a donné satisfaction est confirmé.</v>
      </c>
      <c r="Z37" s="19"/>
      <c r="AA37" s="21"/>
      <c r="AB37" s="19"/>
      <c r="AC37" s="21"/>
      <c r="AD37" s="19"/>
      <c r="AE37" s="21"/>
      <c r="AF37" s="19"/>
      <c r="AG37" s="21"/>
      <c r="AH37" s="19"/>
      <c r="AI37" s="21"/>
      <c r="AJ37" s="19"/>
      <c r="AK37" s="21"/>
      <c r="AL37" s="19"/>
      <c r="AM37" s="21"/>
      <c r="AN37" s="19"/>
      <c r="AO37" s="21"/>
      <c r="AP37" s="19"/>
      <c r="AQ37" s="21"/>
      <c r="AR37" s="19"/>
      <c r="AS37" s="21"/>
      <c r="AT37" s="19"/>
      <c r="AU37" s="21"/>
      <c r="AV37" s="19"/>
      <c r="AW37" s="21"/>
      <c r="AX37" s="19"/>
      <c r="AY37" s="21"/>
      <c r="AZ37" s="19" t="s">
        <v>276</v>
      </c>
      <c r="BA37" s="21" t="str">
        <f>VLOOKUP(AZ37,'Axe 2 Règles de gestion'!$D$2:$F$62,3, FALSE)</f>
        <v>La titularisation intervient à J+1 de la date prévisionnelle de fin de stage avec ou sans prolongation sauf exceptions.</v>
      </c>
      <c r="BB37" s="19" t="s">
        <v>277</v>
      </c>
      <c r="BC37" s="21" t="str">
        <f>VLOOKUP(BB37,'Axe 2 Règles de gestion'!$D$2:$F$62,3, FALSE)</f>
        <v>La titularisation intervient à J+1 de la date réelle de fin de stage avec ou sans prolongation sauf exceptions.</v>
      </c>
      <c r="BD37" s="19" t="s">
        <v>97</v>
      </c>
      <c r="BE37" s="21" t="str">
        <f>VLOOKUP(BD37,'Axe 2 Règles de gestion'!$D$2:$F$62,3, FALSE)</f>
        <v>La date d'entrée dans le statut doit être postérieure à la date de fin du statut précédent.</v>
      </c>
      <c r="BF37" s="19" t="s">
        <v>165</v>
      </c>
      <c r="BG37" s="21" t="str">
        <f>VLOOKUP(BF37,'Axe 2 Règles de gestion'!$D$2:$F$62,3, FALSE)</f>
        <v>La date d'entrée dans le statut doit être postérieure à la date prévisionnelle de fin de stage.</v>
      </c>
      <c r="BH37" s="19" t="s">
        <v>167</v>
      </c>
      <c r="BI37" s="21" t="str">
        <f>VLOOKUP(BH37,'Axe 2 Règles de gestion'!$D$2:$F$62,3, FALSE)</f>
        <v>La date d'entrée dans le statut doit être postérieure à la date réelle de fin de stage.</v>
      </c>
      <c r="BJ37" s="19" t="s">
        <v>169</v>
      </c>
      <c r="BK37" s="21" t="str">
        <f>VLOOKUP(BJ37,'Axe 2 Règles de gestion'!$D$2:$F$62,3, FALSE)</f>
        <v>La date de fin réelle du stage ou la date prévisionnelle de fin de stage doit être renseignée.</v>
      </c>
      <c r="BL37" s="19" t="s">
        <v>103</v>
      </c>
      <c r="BM37" s="21" t="str">
        <f>VLOOKUP(BL37,'Axe 2 Règles de gestion'!$D$2:$F$62,3, FALSE)</f>
        <v>Le statut saisi de l'agent est différent du statut précédent.</v>
      </c>
      <c r="BN37" s="19" t="s">
        <v>126</v>
      </c>
      <c r="BO37" s="21" t="str">
        <f>VLOOKUP(BN37,'Axe 2 Règles de gestion'!$D$2:$F$62,3, FALSE)</f>
        <v>L'agent doit être en activité.</v>
      </c>
      <c r="BP37" s="19" t="s">
        <v>105</v>
      </c>
      <c r="BQ37" s="21" t="str">
        <f>VLOOKUP(BP37,'Axe 2 Règles de gestion'!$D$2:$F$62,3, FALSE)</f>
        <v>Si la date de fin du statut est renseignée alors elle doit être postérieure à la date de début du statut de l'occurrence.</v>
      </c>
      <c r="BR37" s="19"/>
      <c r="BS37" s="21"/>
      <c r="BT37" s="19" t="s">
        <v>117</v>
      </c>
      <c r="BU37" s="19"/>
    </row>
    <row r="38" spans="1:73" ht="72.5" x14ac:dyDescent="0.35">
      <c r="A38" s="19" t="s">
        <v>111</v>
      </c>
      <c r="B38" s="19" t="s">
        <v>112</v>
      </c>
      <c r="C38" s="20">
        <v>45944.395833333336</v>
      </c>
      <c r="D38" s="19" t="s">
        <v>76</v>
      </c>
      <c r="E38" s="21" t="s">
        <v>77</v>
      </c>
      <c r="F38" s="19" t="s">
        <v>78</v>
      </c>
      <c r="G38" s="21" t="s">
        <v>79</v>
      </c>
      <c r="H38" s="19" t="s">
        <v>80</v>
      </c>
      <c r="I38" s="21" t="s">
        <v>79</v>
      </c>
      <c r="J38" s="21" t="s">
        <v>81</v>
      </c>
      <c r="K38" s="21" t="s">
        <v>82</v>
      </c>
      <c r="L38" s="19" t="s">
        <v>118</v>
      </c>
      <c r="M38" s="21" t="s">
        <v>114</v>
      </c>
      <c r="N38" s="20" t="s">
        <v>85</v>
      </c>
      <c r="O38" s="21" t="s">
        <v>119</v>
      </c>
      <c r="P38" s="21" t="s">
        <v>120</v>
      </c>
      <c r="Q38" s="21" t="s">
        <v>271</v>
      </c>
      <c r="R38" s="19" t="s">
        <v>272</v>
      </c>
      <c r="S38" s="19" t="s">
        <v>175</v>
      </c>
      <c r="T38" s="19" t="s">
        <v>95</v>
      </c>
      <c r="U38" s="20">
        <v>40725</v>
      </c>
      <c r="V38" s="20">
        <v>40725</v>
      </c>
      <c r="W38" s="21" t="s">
        <v>273</v>
      </c>
      <c r="X38" s="19" t="s">
        <v>274</v>
      </c>
      <c r="Y38" s="21" t="str">
        <f>VLOOKUP(X38,'Axe 2 Règles de gestion'!$D$2:$F$62,3, FALSE)</f>
        <v>A la fin du stage, l'agent qui a donné satisfaction est confirmé.</v>
      </c>
      <c r="Z38" s="19"/>
      <c r="AA38" s="21"/>
      <c r="AB38" s="19"/>
      <c r="AC38" s="21"/>
      <c r="AD38" s="19"/>
      <c r="AE38" s="21"/>
      <c r="AF38" s="19"/>
      <c r="AG38" s="21"/>
      <c r="AH38" s="19"/>
      <c r="AI38" s="21"/>
      <c r="AJ38" s="19"/>
      <c r="AK38" s="21"/>
      <c r="AL38" s="19"/>
      <c r="AM38" s="21"/>
      <c r="AN38" s="19"/>
      <c r="AO38" s="21"/>
      <c r="AP38" s="19"/>
      <c r="AQ38" s="21"/>
      <c r="AR38" s="19"/>
      <c r="AS38" s="21"/>
      <c r="AT38" s="19"/>
      <c r="AU38" s="21"/>
      <c r="AV38" s="19"/>
      <c r="AW38" s="21"/>
      <c r="AX38" s="19"/>
      <c r="AY38" s="21"/>
      <c r="AZ38" s="19" t="s">
        <v>276</v>
      </c>
      <c r="BA38" s="21" t="str">
        <f>VLOOKUP(AZ38,'Axe 2 Règles de gestion'!$D$2:$F$62,3, FALSE)</f>
        <v>La titularisation intervient à J+1 de la date prévisionnelle de fin de stage avec ou sans prolongation sauf exceptions.</v>
      </c>
      <c r="BB38" s="19" t="s">
        <v>277</v>
      </c>
      <c r="BC38" s="21" t="str">
        <f>VLOOKUP(BB38,'Axe 2 Règles de gestion'!$D$2:$F$62,3, FALSE)</f>
        <v>La titularisation intervient à J+1 de la date réelle de fin de stage avec ou sans prolongation sauf exceptions.</v>
      </c>
      <c r="BD38" s="19" t="s">
        <v>97</v>
      </c>
      <c r="BE38" s="21" t="str">
        <f>VLOOKUP(BD38,'Axe 2 Règles de gestion'!$D$2:$F$62,3, FALSE)</f>
        <v>La date d'entrée dans le statut doit être postérieure à la date de fin du statut précédent.</v>
      </c>
      <c r="BF38" s="19" t="s">
        <v>165</v>
      </c>
      <c r="BG38" s="21" t="str">
        <f>VLOOKUP(BF38,'Axe 2 Règles de gestion'!$D$2:$F$62,3, FALSE)</f>
        <v>La date d'entrée dans le statut doit être postérieure à la date prévisionnelle de fin de stage.</v>
      </c>
      <c r="BH38" s="19" t="s">
        <v>167</v>
      </c>
      <c r="BI38" s="21" t="str">
        <f>VLOOKUP(BH38,'Axe 2 Règles de gestion'!$D$2:$F$62,3, FALSE)</f>
        <v>La date d'entrée dans le statut doit être postérieure à la date réelle de fin de stage.</v>
      </c>
      <c r="BJ38" s="19" t="s">
        <v>169</v>
      </c>
      <c r="BK38" s="21" t="str">
        <f>VLOOKUP(BJ38,'Axe 2 Règles de gestion'!$D$2:$F$62,3, FALSE)</f>
        <v>La date de fin réelle du stage ou la date prévisionnelle de fin de stage doit être renseignée.</v>
      </c>
      <c r="BL38" s="19" t="s">
        <v>103</v>
      </c>
      <c r="BM38" s="21" t="str">
        <f>VLOOKUP(BL38,'Axe 2 Règles de gestion'!$D$2:$F$62,3, FALSE)</f>
        <v>Le statut saisi de l'agent est différent du statut précédent.</v>
      </c>
      <c r="BN38" s="19" t="s">
        <v>126</v>
      </c>
      <c r="BO38" s="21" t="str">
        <f>VLOOKUP(BN38,'Axe 2 Règles de gestion'!$D$2:$F$62,3, FALSE)</f>
        <v>L'agent doit être en activité.</v>
      </c>
      <c r="BP38" s="19" t="s">
        <v>105</v>
      </c>
      <c r="BQ38" s="21" t="str">
        <f>VLOOKUP(BP38,'Axe 2 Règles de gestion'!$D$2:$F$62,3, FALSE)</f>
        <v>Si la date de fin du statut est renseignée alors elle doit être postérieure à la date de début du statut de l'occurrence.</v>
      </c>
      <c r="BR38" s="19"/>
      <c r="BS38" s="21"/>
      <c r="BT38" s="19" t="s">
        <v>117</v>
      </c>
      <c r="BU38" s="19"/>
    </row>
    <row r="39" spans="1:73" x14ac:dyDescent="0.35">
      <c r="C39" s="16"/>
      <c r="N39" s="16"/>
      <c r="U39" s="16"/>
      <c r="V39" s="16"/>
    </row>
    <row r="40" spans="1:73" x14ac:dyDescent="0.35">
      <c r="C40" s="16"/>
      <c r="N40" s="16"/>
      <c r="U40" s="16"/>
      <c r="V40" s="16"/>
    </row>
    <row r="41" spans="1:73" x14ac:dyDescent="0.35">
      <c r="C41" s="16"/>
      <c r="N41" s="16"/>
      <c r="U41" s="16"/>
      <c r="V41" s="16"/>
    </row>
    <row r="42" spans="1:73" x14ac:dyDescent="0.35">
      <c r="C42" s="16"/>
      <c r="N42" s="16"/>
      <c r="U42" s="16"/>
      <c r="V42" s="16"/>
    </row>
    <row r="43" spans="1:73" x14ac:dyDescent="0.35">
      <c r="C43" s="16"/>
      <c r="N43" s="16"/>
      <c r="U43" s="16"/>
      <c r="V43" s="16"/>
    </row>
    <row r="44" spans="1:73" x14ac:dyDescent="0.35">
      <c r="C44" s="16"/>
      <c r="N44" s="16"/>
      <c r="U44" s="16"/>
      <c r="V44" s="16"/>
    </row>
    <row r="45" spans="1:73" x14ac:dyDescent="0.35">
      <c r="C45" s="16"/>
      <c r="N45" s="16"/>
      <c r="U45" s="16"/>
      <c r="V45" s="16"/>
    </row>
    <row r="46" spans="1:73" x14ac:dyDescent="0.35">
      <c r="C46" s="16"/>
      <c r="N46" s="16"/>
      <c r="U46" s="16"/>
      <c r="V46" s="16"/>
    </row>
    <row r="47" spans="1:73" x14ac:dyDescent="0.35">
      <c r="C47" s="16"/>
      <c r="N47" s="16"/>
      <c r="U47" s="16"/>
      <c r="V47" s="16"/>
    </row>
    <row r="48" spans="1:73" x14ac:dyDescent="0.35">
      <c r="C48" s="16"/>
      <c r="N48" s="16"/>
      <c r="U48" s="16"/>
      <c r="V48" s="16"/>
    </row>
    <row r="49" spans="3:22" x14ac:dyDescent="0.35">
      <c r="C49" s="16"/>
      <c r="N49" s="16"/>
      <c r="U49" s="16"/>
      <c r="V49" s="16"/>
    </row>
    <row r="50" spans="3:22" x14ac:dyDescent="0.35">
      <c r="C50" s="16"/>
      <c r="N50" s="16"/>
      <c r="U50" s="16"/>
      <c r="V50" s="16"/>
    </row>
    <row r="51" spans="3:22" x14ac:dyDescent="0.35">
      <c r="C51" s="16"/>
      <c r="N51" s="16"/>
      <c r="U51" s="16"/>
      <c r="V51" s="16"/>
    </row>
    <row r="52" spans="3:22" x14ac:dyDescent="0.35">
      <c r="C52" s="16"/>
      <c r="N52" s="16"/>
      <c r="U52" s="16"/>
      <c r="V52" s="16"/>
    </row>
    <row r="53" spans="3:22" x14ac:dyDescent="0.35">
      <c r="C53" s="16"/>
      <c r="N53" s="16"/>
      <c r="U53" s="16"/>
      <c r="V53" s="16"/>
    </row>
    <row r="54" spans="3:22" x14ac:dyDescent="0.35">
      <c r="C54" s="16"/>
      <c r="N54" s="16"/>
      <c r="U54" s="16"/>
      <c r="V54" s="16"/>
    </row>
    <row r="55" spans="3:22" x14ac:dyDescent="0.35">
      <c r="C55" s="16"/>
      <c r="N55" s="16"/>
      <c r="U55" s="16"/>
      <c r="V55" s="16"/>
    </row>
    <row r="56" spans="3:22" x14ac:dyDescent="0.35">
      <c r="C56" s="16"/>
      <c r="N56" s="16"/>
      <c r="U56" s="16"/>
      <c r="V56" s="16"/>
    </row>
    <row r="57" spans="3:22" x14ac:dyDescent="0.35">
      <c r="C57" s="16"/>
      <c r="N57" s="16"/>
      <c r="U57" s="16"/>
      <c r="V57" s="16"/>
    </row>
    <row r="58" spans="3:22" x14ac:dyDescent="0.35">
      <c r="C58" s="16"/>
      <c r="N58" s="16"/>
      <c r="U58" s="16"/>
      <c r="V58" s="16"/>
    </row>
    <row r="59" spans="3:22" x14ac:dyDescent="0.35">
      <c r="C59" s="16"/>
      <c r="N59" s="16"/>
      <c r="U59" s="16"/>
      <c r="V59" s="16"/>
    </row>
    <row r="60" spans="3:22" x14ac:dyDescent="0.35">
      <c r="C60" s="16"/>
      <c r="N60" s="16"/>
      <c r="U60" s="16"/>
      <c r="V60" s="16"/>
    </row>
    <row r="61" spans="3:22" x14ac:dyDescent="0.35">
      <c r="C61" s="16"/>
      <c r="N61" s="16"/>
      <c r="U61" s="16"/>
      <c r="V61" s="16"/>
    </row>
    <row r="62" spans="3:22" x14ac:dyDescent="0.35">
      <c r="C62" s="16"/>
      <c r="N62" s="16"/>
      <c r="U62" s="16"/>
      <c r="V62" s="16"/>
    </row>
    <row r="63" spans="3:22" x14ac:dyDescent="0.35">
      <c r="C63" s="16"/>
      <c r="N63" s="16"/>
      <c r="U63" s="16"/>
      <c r="V63" s="16"/>
    </row>
    <row r="64" spans="3:22" x14ac:dyDescent="0.35">
      <c r="C64" s="16"/>
      <c r="N64" s="16"/>
      <c r="U64" s="16"/>
      <c r="V64" s="16"/>
    </row>
    <row r="65" spans="3:22" x14ac:dyDescent="0.35">
      <c r="C65" s="16"/>
      <c r="N65" s="16"/>
      <c r="U65" s="16"/>
      <c r="V65" s="16"/>
    </row>
    <row r="66" spans="3:22" x14ac:dyDescent="0.35">
      <c r="C66" s="16"/>
      <c r="N66" s="16"/>
      <c r="U66" s="16"/>
      <c r="V66" s="16"/>
    </row>
    <row r="67" spans="3:22" x14ac:dyDescent="0.35">
      <c r="C67" s="16"/>
      <c r="N67" s="16"/>
      <c r="U67" s="16"/>
      <c r="V67" s="16"/>
    </row>
    <row r="68" spans="3:22" x14ac:dyDescent="0.35">
      <c r="C68" s="16"/>
      <c r="N68" s="16"/>
      <c r="U68" s="16"/>
      <c r="V68" s="16"/>
    </row>
    <row r="69" spans="3:22" x14ac:dyDescent="0.35">
      <c r="C69" s="16"/>
      <c r="N69" s="16"/>
      <c r="U69" s="16"/>
      <c r="V69" s="16"/>
    </row>
    <row r="70" spans="3:22" x14ac:dyDescent="0.35">
      <c r="C70" s="16"/>
      <c r="N70" s="16"/>
      <c r="U70" s="16"/>
      <c r="V70" s="16"/>
    </row>
    <row r="71" spans="3:22" x14ac:dyDescent="0.35">
      <c r="C71" s="16"/>
      <c r="N71" s="16"/>
      <c r="U71" s="16"/>
      <c r="V71" s="16"/>
    </row>
    <row r="72" spans="3:22" x14ac:dyDescent="0.35">
      <c r="C72" s="16"/>
      <c r="N72" s="16"/>
      <c r="U72" s="16"/>
      <c r="V72" s="16"/>
    </row>
    <row r="73" spans="3:22" x14ac:dyDescent="0.35">
      <c r="C73" s="16"/>
      <c r="N73" s="16"/>
      <c r="U73" s="16"/>
      <c r="V73" s="16"/>
    </row>
    <row r="74" spans="3:22" x14ac:dyDescent="0.35">
      <c r="C74" s="16"/>
      <c r="N74" s="16"/>
      <c r="U74" s="16"/>
      <c r="V74" s="16"/>
    </row>
    <row r="75" spans="3:22" x14ac:dyDescent="0.35">
      <c r="C75" s="16"/>
      <c r="N75" s="16"/>
      <c r="U75" s="16"/>
      <c r="V75" s="16"/>
    </row>
    <row r="76" spans="3:22" x14ac:dyDescent="0.35">
      <c r="C76" s="16"/>
      <c r="N76" s="16"/>
      <c r="U76" s="16"/>
      <c r="V76" s="16"/>
    </row>
    <row r="77" spans="3:22" x14ac:dyDescent="0.35">
      <c r="C77" s="16"/>
      <c r="N77" s="16"/>
      <c r="U77" s="16"/>
      <c r="V77" s="16"/>
    </row>
    <row r="78" spans="3:22" x14ac:dyDescent="0.35">
      <c r="C78" s="16"/>
      <c r="N78" s="16"/>
      <c r="U78" s="16"/>
      <c r="V78" s="16"/>
    </row>
    <row r="79" spans="3:22" x14ac:dyDescent="0.35">
      <c r="C79" s="16"/>
      <c r="N79" s="16"/>
      <c r="U79" s="16"/>
      <c r="V79" s="16"/>
    </row>
    <row r="80" spans="3:22" x14ac:dyDescent="0.35">
      <c r="C80" s="16"/>
      <c r="N80" s="16"/>
      <c r="U80" s="16"/>
      <c r="V80" s="16"/>
    </row>
    <row r="81" spans="3:22" x14ac:dyDescent="0.35">
      <c r="C81" s="16"/>
      <c r="N81" s="16"/>
      <c r="U81" s="16"/>
      <c r="V81" s="16"/>
    </row>
    <row r="82" spans="3:22" x14ac:dyDescent="0.35">
      <c r="C82" s="16"/>
      <c r="N82" s="16"/>
      <c r="U82" s="16"/>
      <c r="V82" s="16"/>
    </row>
    <row r="83" spans="3:22" x14ac:dyDescent="0.35">
      <c r="C83" s="16"/>
      <c r="N83" s="16"/>
      <c r="U83" s="16"/>
      <c r="V83" s="16"/>
    </row>
    <row r="84" spans="3:22" x14ac:dyDescent="0.35">
      <c r="C84" s="16"/>
      <c r="N84" s="16"/>
      <c r="U84" s="16"/>
      <c r="V84" s="16"/>
    </row>
    <row r="85" spans="3:22" x14ac:dyDescent="0.35">
      <c r="C85" s="16"/>
      <c r="N85" s="16"/>
      <c r="U85" s="16"/>
      <c r="V85" s="16"/>
    </row>
    <row r="86" spans="3:22" x14ac:dyDescent="0.35">
      <c r="C86" s="16"/>
      <c r="N86" s="16"/>
      <c r="U86" s="16"/>
      <c r="V86" s="16"/>
    </row>
    <row r="87" spans="3:22" x14ac:dyDescent="0.35">
      <c r="C87" s="16"/>
      <c r="N87" s="16"/>
      <c r="U87" s="16"/>
      <c r="V87" s="16"/>
    </row>
    <row r="88" spans="3:22" x14ac:dyDescent="0.35">
      <c r="C88" s="16"/>
      <c r="N88" s="16"/>
      <c r="U88" s="16"/>
      <c r="V88" s="16"/>
    </row>
    <row r="89" spans="3:22" x14ac:dyDescent="0.35">
      <c r="C89" s="16"/>
      <c r="N89" s="16"/>
      <c r="U89" s="16"/>
      <c r="V89" s="16"/>
    </row>
    <row r="90" spans="3:22" x14ac:dyDescent="0.35">
      <c r="C90" s="16"/>
      <c r="N90" s="16"/>
      <c r="U90" s="16"/>
      <c r="V90" s="16"/>
    </row>
    <row r="91" spans="3:22" x14ac:dyDescent="0.35">
      <c r="C91" s="16"/>
      <c r="N91" s="16"/>
      <c r="U91" s="16"/>
      <c r="V91" s="16"/>
    </row>
    <row r="92" spans="3:22" x14ac:dyDescent="0.35">
      <c r="C92" s="16"/>
      <c r="N92" s="16"/>
      <c r="U92" s="16"/>
      <c r="V92" s="16"/>
    </row>
    <row r="93" spans="3:22" x14ac:dyDescent="0.35">
      <c r="C93" s="16"/>
      <c r="N93" s="16"/>
      <c r="U93" s="16"/>
      <c r="V93" s="16"/>
    </row>
    <row r="94" spans="3:22" x14ac:dyDescent="0.35">
      <c r="C94" s="16"/>
      <c r="N94" s="16"/>
      <c r="U94" s="16"/>
      <c r="V94" s="16"/>
    </row>
    <row r="95" spans="3:22" x14ac:dyDescent="0.35">
      <c r="C95" s="16"/>
      <c r="N95" s="16"/>
      <c r="U95" s="16"/>
      <c r="V95" s="16"/>
    </row>
    <row r="96" spans="3:22" x14ac:dyDescent="0.35">
      <c r="C96" s="16"/>
      <c r="N96" s="16"/>
      <c r="U96" s="16"/>
      <c r="V96" s="16"/>
    </row>
    <row r="97" spans="3:22" x14ac:dyDescent="0.35">
      <c r="C97" s="16"/>
      <c r="N97" s="16"/>
      <c r="U97" s="16"/>
      <c r="V97" s="16"/>
    </row>
    <row r="98" spans="3:22" x14ac:dyDescent="0.35">
      <c r="C98" s="16"/>
      <c r="N98" s="16"/>
      <c r="U98" s="16"/>
      <c r="V98" s="16"/>
    </row>
    <row r="99" spans="3:22" x14ac:dyDescent="0.35">
      <c r="C99" s="16"/>
      <c r="N99" s="16"/>
      <c r="U99" s="16"/>
      <c r="V99" s="16"/>
    </row>
    <row r="100" spans="3:22" x14ac:dyDescent="0.35">
      <c r="C100" s="16"/>
      <c r="N100" s="16"/>
      <c r="U100" s="16"/>
      <c r="V100" s="16"/>
    </row>
    <row r="101" spans="3:22" x14ac:dyDescent="0.35">
      <c r="C101" s="16"/>
      <c r="N101" s="16"/>
      <c r="U101" s="16"/>
      <c r="V101" s="16"/>
    </row>
    <row r="102" spans="3:22" x14ac:dyDescent="0.35">
      <c r="C102" s="16"/>
      <c r="N102" s="16"/>
      <c r="U102" s="16"/>
      <c r="V102" s="16"/>
    </row>
    <row r="103" spans="3:22" x14ac:dyDescent="0.35">
      <c r="C103" s="16"/>
      <c r="N103" s="16"/>
      <c r="U103" s="16"/>
      <c r="V103" s="16"/>
    </row>
    <row r="104" spans="3:22" x14ac:dyDescent="0.35">
      <c r="C104" s="16"/>
      <c r="N104" s="16"/>
      <c r="U104" s="16"/>
      <c r="V104" s="16"/>
    </row>
    <row r="105" spans="3:22" x14ac:dyDescent="0.35">
      <c r="C105" s="16"/>
      <c r="N105" s="16"/>
      <c r="U105" s="16"/>
      <c r="V105" s="16"/>
    </row>
    <row r="106" spans="3:22" x14ac:dyDescent="0.35">
      <c r="C106" s="16"/>
      <c r="N106" s="16"/>
      <c r="U106" s="16"/>
      <c r="V106" s="16"/>
    </row>
    <row r="107" spans="3:22" x14ac:dyDescent="0.35">
      <c r="C107" s="16"/>
      <c r="N107" s="16"/>
      <c r="U107" s="16"/>
      <c r="V107" s="16"/>
    </row>
    <row r="108" spans="3:22" x14ac:dyDescent="0.35">
      <c r="C108" s="16"/>
      <c r="N108" s="16"/>
      <c r="U108" s="16"/>
      <c r="V108" s="16"/>
    </row>
    <row r="109" spans="3:22" x14ac:dyDescent="0.35">
      <c r="C109" s="16"/>
      <c r="N109" s="16"/>
      <c r="U109" s="16"/>
      <c r="V109" s="16"/>
    </row>
    <row r="110" spans="3:22" x14ac:dyDescent="0.35">
      <c r="C110" s="16"/>
      <c r="N110" s="16"/>
      <c r="U110" s="16"/>
      <c r="V110" s="16"/>
    </row>
    <row r="111" spans="3:22" x14ac:dyDescent="0.35">
      <c r="C111" s="16"/>
      <c r="N111" s="16"/>
      <c r="U111" s="16"/>
      <c r="V111" s="16"/>
    </row>
    <row r="112" spans="3:22" x14ac:dyDescent="0.35">
      <c r="C112" s="16"/>
      <c r="N112" s="16"/>
      <c r="U112" s="16"/>
      <c r="V112" s="16"/>
    </row>
    <row r="113" spans="3:22" x14ac:dyDescent="0.35">
      <c r="C113" s="16"/>
      <c r="N113" s="16"/>
      <c r="U113" s="16"/>
      <c r="V113" s="16"/>
    </row>
    <row r="114" spans="3:22" x14ac:dyDescent="0.35">
      <c r="C114" s="16"/>
      <c r="N114" s="16"/>
      <c r="U114" s="16"/>
      <c r="V114" s="16"/>
    </row>
    <row r="115" spans="3:22" x14ac:dyDescent="0.35">
      <c r="C115" s="16"/>
      <c r="N115" s="16"/>
      <c r="U115" s="16"/>
      <c r="V115" s="16"/>
    </row>
    <row r="116" spans="3:22" x14ac:dyDescent="0.35">
      <c r="C116" s="16"/>
      <c r="N116" s="16"/>
      <c r="U116" s="16"/>
      <c r="V116" s="16"/>
    </row>
    <row r="117" spans="3:22" x14ac:dyDescent="0.35">
      <c r="C117" s="16"/>
      <c r="N117" s="16"/>
      <c r="U117" s="16"/>
      <c r="V117" s="16"/>
    </row>
    <row r="118" spans="3:22" x14ac:dyDescent="0.35">
      <c r="C118" s="16"/>
      <c r="N118" s="16"/>
      <c r="U118" s="16"/>
      <c r="V118" s="16"/>
    </row>
    <row r="119" spans="3:22" x14ac:dyDescent="0.35">
      <c r="C119" s="16"/>
      <c r="N119" s="16"/>
      <c r="U119" s="16"/>
      <c r="V119" s="16"/>
    </row>
    <row r="120" spans="3:22" x14ac:dyDescent="0.35">
      <c r="C120" s="16"/>
      <c r="N120" s="16"/>
      <c r="U120" s="16"/>
      <c r="V120" s="16"/>
    </row>
    <row r="121" spans="3:22" x14ac:dyDescent="0.35">
      <c r="C121" s="16"/>
      <c r="N121" s="16"/>
      <c r="U121" s="16"/>
      <c r="V121" s="16"/>
    </row>
    <row r="122" spans="3:22" x14ac:dyDescent="0.35">
      <c r="C122" s="16"/>
      <c r="N122" s="16"/>
      <c r="U122" s="16"/>
      <c r="V122" s="16"/>
    </row>
    <row r="123" spans="3:22" x14ac:dyDescent="0.35">
      <c r="C123" s="16"/>
      <c r="N123" s="16"/>
      <c r="U123" s="16"/>
      <c r="V123" s="16"/>
    </row>
    <row r="124" spans="3:22" x14ac:dyDescent="0.35">
      <c r="C124" s="16"/>
      <c r="N124" s="16"/>
      <c r="U124" s="16"/>
      <c r="V124" s="16"/>
    </row>
    <row r="125" spans="3:22" x14ac:dyDescent="0.35">
      <c r="C125" s="16"/>
      <c r="N125" s="16"/>
      <c r="U125" s="16"/>
      <c r="V125" s="16"/>
    </row>
    <row r="126" spans="3:22" x14ac:dyDescent="0.35">
      <c r="C126" s="16"/>
      <c r="N126" s="16"/>
      <c r="U126" s="16"/>
      <c r="V126" s="16"/>
    </row>
    <row r="127" spans="3:22" x14ac:dyDescent="0.35">
      <c r="C127" s="16"/>
      <c r="N127" s="16"/>
      <c r="U127" s="16"/>
      <c r="V127" s="16"/>
    </row>
    <row r="128" spans="3:22" x14ac:dyDescent="0.35">
      <c r="C128" s="16"/>
      <c r="N128" s="16"/>
      <c r="U128" s="16"/>
      <c r="V128" s="16"/>
    </row>
    <row r="129" spans="3:22" x14ac:dyDescent="0.35">
      <c r="C129" s="16"/>
      <c r="N129" s="16"/>
      <c r="U129" s="16"/>
      <c r="V129" s="16"/>
    </row>
    <row r="130" spans="3:22" x14ac:dyDescent="0.35">
      <c r="C130" s="16"/>
      <c r="N130" s="16"/>
      <c r="U130" s="16"/>
      <c r="V130" s="16"/>
    </row>
    <row r="131" spans="3:22" x14ac:dyDescent="0.35">
      <c r="C131" s="16"/>
      <c r="N131" s="16"/>
      <c r="U131" s="16"/>
      <c r="V131" s="16"/>
    </row>
    <row r="132" spans="3:22" x14ac:dyDescent="0.35">
      <c r="C132" s="16"/>
      <c r="N132" s="16"/>
      <c r="U132" s="16"/>
      <c r="V132" s="16"/>
    </row>
    <row r="133" spans="3:22" x14ac:dyDescent="0.35">
      <c r="C133" s="16"/>
      <c r="N133" s="16"/>
      <c r="U133" s="16"/>
      <c r="V133" s="16"/>
    </row>
    <row r="134" spans="3:22" x14ac:dyDescent="0.35">
      <c r="C134" s="16"/>
      <c r="N134" s="16"/>
      <c r="U134" s="16"/>
      <c r="V134" s="16"/>
    </row>
    <row r="135" spans="3:22" x14ac:dyDescent="0.35">
      <c r="C135" s="16"/>
      <c r="N135" s="16"/>
      <c r="U135" s="16"/>
      <c r="V135" s="16"/>
    </row>
    <row r="136" spans="3:22" x14ac:dyDescent="0.35">
      <c r="C136" s="16"/>
      <c r="N136" s="16"/>
      <c r="U136" s="16"/>
      <c r="V136" s="16"/>
    </row>
    <row r="137" spans="3:22" x14ac:dyDescent="0.35">
      <c r="C137" s="16"/>
      <c r="N137" s="16"/>
      <c r="U137" s="16"/>
      <c r="V137" s="16"/>
    </row>
    <row r="138" spans="3:22" x14ac:dyDescent="0.35">
      <c r="C138" s="16"/>
      <c r="N138" s="16"/>
      <c r="U138" s="16"/>
      <c r="V138" s="16"/>
    </row>
    <row r="139" spans="3:22" x14ac:dyDescent="0.35">
      <c r="C139" s="16"/>
      <c r="N139" s="16"/>
      <c r="U139" s="16"/>
      <c r="V139" s="16"/>
    </row>
    <row r="140" spans="3:22" x14ac:dyDescent="0.35">
      <c r="C140" s="16"/>
      <c r="N140" s="16"/>
      <c r="U140" s="16"/>
      <c r="V140" s="16"/>
    </row>
    <row r="141" spans="3:22" x14ac:dyDescent="0.35">
      <c r="C141" s="16"/>
      <c r="N141" s="16"/>
      <c r="U141" s="16"/>
      <c r="V141" s="16"/>
    </row>
    <row r="142" spans="3:22" x14ac:dyDescent="0.35">
      <c r="C142" s="16"/>
      <c r="N142" s="16"/>
      <c r="U142" s="16"/>
      <c r="V142" s="16"/>
    </row>
    <row r="143" spans="3:22" x14ac:dyDescent="0.35">
      <c r="C143" s="16"/>
      <c r="N143" s="16"/>
      <c r="U143" s="16"/>
      <c r="V143" s="16"/>
    </row>
    <row r="144" spans="3:22" x14ac:dyDescent="0.35">
      <c r="C144" s="16"/>
      <c r="N144" s="16"/>
      <c r="U144" s="16"/>
      <c r="V144" s="16"/>
    </row>
    <row r="145" spans="3:22" x14ac:dyDescent="0.35">
      <c r="C145" s="16"/>
      <c r="N145" s="16"/>
      <c r="U145" s="16"/>
      <c r="V145" s="16"/>
    </row>
    <row r="146" spans="3:22" x14ac:dyDescent="0.35">
      <c r="C146" s="16"/>
      <c r="N146" s="16"/>
      <c r="U146" s="16"/>
      <c r="V146" s="16"/>
    </row>
    <row r="147" spans="3:22" x14ac:dyDescent="0.35">
      <c r="C147" s="16"/>
      <c r="N147" s="16"/>
      <c r="U147" s="16"/>
      <c r="V147" s="16"/>
    </row>
    <row r="148" spans="3:22" x14ac:dyDescent="0.35">
      <c r="C148" s="16"/>
      <c r="N148" s="16"/>
      <c r="U148" s="16"/>
      <c r="V148" s="16"/>
    </row>
    <row r="149" spans="3:22" x14ac:dyDescent="0.35">
      <c r="C149" s="16"/>
      <c r="N149" s="16"/>
      <c r="U149" s="16"/>
      <c r="V149" s="16"/>
    </row>
    <row r="150" spans="3:22" x14ac:dyDescent="0.35">
      <c r="C150" s="16"/>
      <c r="N150" s="16"/>
      <c r="U150" s="16"/>
      <c r="V150" s="16"/>
    </row>
    <row r="151" spans="3:22" x14ac:dyDescent="0.35">
      <c r="C151" s="16"/>
      <c r="N151" s="16"/>
      <c r="U151" s="16"/>
      <c r="V151" s="16"/>
    </row>
    <row r="152" spans="3:22" x14ac:dyDescent="0.35">
      <c r="C152" s="16"/>
      <c r="N152" s="16"/>
      <c r="U152" s="16"/>
      <c r="V152" s="16"/>
    </row>
    <row r="153" spans="3:22" x14ac:dyDescent="0.35">
      <c r="C153" s="16"/>
      <c r="N153" s="16"/>
      <c r="U153" s="16"/>
      <c r="V153" s="16"/>
    </row>
    <row r="154" spans="3:22" x14ac:dyDescent="0.35">
      <c r="C154" s="16"/>
      <c r="N154" s="16"/>
      <c r="U154" s="16"/>
      <c r="V154" s="16"/>
    </row>
    <row r="155" spans="3:22" x14ac:dyDescent="0.35">
      <c r="C155" s="16"/>
      <c r="N155" s="16"/>
      <c r="U155" s="16"/>
      <c r="V155" s="16"/>
    </row>
    <row r="156" spans="3:22" x14ac:dyDescent="0.35">
      <c r="C156" s="16"/>
      <c r="N156" s="16"/>
      <c r="U156" s="16"/>
      <c r="V156" s="16"/>
    </row>
    <row r="157" spans="3:22" x14ac:dyDescent="0.35">
      <c r="C157" s="16"/>
      <c r="N157" s="16"/>
      <c r="U157" s="16"/>
      <c r="V157" s="16"/>
    </row>
    <row r="158" spans="3:22" x14ac:dyDescent="0.35">
      <c r="C158" s="16"/>
      <c r="N158" s="16"/>
      <c r="U158" s="16"/>
      <c r="V158" s="16"/>
    </row>
    <row r="159" spans="3:22" x14ac:dyDescent="0.35">
      <c r="C159" s="16"/>
      <c r="N159" s="16"/>
      <c r="U159" s="16"/>
      <c r="V159" s="16"/>
    </row>
    <row r="160" spans="3:22" x14ac:dyDescent="0.35">
      <c r="C160" s="16"/>
      <c r="N160" s="16"/>
      <c r="U160" s="16"/>
      <c r="V160" s="16"/>
    </row>
    <row r="161" spans="3:22" x14ac:dyDescent="0.35">
      <c r="C161" s="16"/>
      <c r="N161" s="16"/>
      <c r="U161" s="16"/>
      <c r="V161" s="16"/>
    </row>
    <row r="162" spans="3:22" x14ac:dyDescent="0.35">
      <c r="C162" s="16"/>
      <c r="N162" s="16"/>
      <c r="U162" s="16"/>
      <c r="V162" s="16"/>
    </row>
    <row r="163" spans="3:22" x14ac:dyDescent="0.35">
      <c r="C163" s="16"/>
      <c r="N163" s="16"/>
      <c r="U163" s="16"/>
      <c r="V163" s="16"/>
    </row>
    <row r="164" spans="3:22" x14ac:dyDescent="0.35">
      <c r="C164" s="16"/>
      <c r="N164" s="16"/>
      <c r="U164" s="16"/>
      <c r="V164" s="16"/>
    </row>
    <row r="165" spans="3:22" x14ac:dyDescent="0.35">
      <c r="C165" s="16"/>
      <c r="N165" s="16"/>
      <c r="U165" s="16"/>
      <c r="V165" s="16"/>
    </row>
    <row r="166" spans="3:22" x14ac:dyDescent="0.35">
      <c r="C166" s="16"/>
      <c r="N166" s="16"/>
      <c r="U166" s="16"/>
      <c r="V166" s="16"/>
    </row>
    <row r="167" spans="3:22" x14ac:dyDescent="0.35">
      <c r="C167" s="16"/>
      <c r="N167" s="16"/>
      <c r="U167" s="16"/>
      <c r="V167" s="16"/>
    </row>
    <row r="168" spans="3:22" x14ac:dyDescent="0.35">
      <c r="C168" s="16"/>
      <c r="N168" s="16"/>
      <c r="U168" s="16"/>
      <c r="V168" s="16"/>
    </row>
    <row r="169" spans="3:22" x14ac:dyDescent="0.35">
      <c r="C169" s="16"/>
      <c r="N169" s="16"/>
      <c r="U169" s="16"/>
      <c r="V169" s="16"/>
    </row>
    <row r="170" spans="3:22" x14ac:dyDescent="0.35">
      <c r="C170" s="16"/>
      <c r="N170" s="16"/>
      <c r="U170" s="16"/>
      <c r="V170" s="16"/>
    </row>
    <row r="171" spans="3:22" x14ac:dyDescent="0.35">
      <c r="C171" s="16"/>
      <c r="N171" s="16"/>
      <c r="U171" s="16"/>
      <c r="V171" s="16"/>
    </row>
    <row r="172" spans="3:22" x14ac:dyDescent="0.35">
      <c r="C172" s="16"/>
      <c r="N172" s="16"/>
      <c r="U172" s="16"/>
      <c r="V172" s="16"/>
    </row>
    <row r="173" spans="3:22" x14ac:dyDescent="0.35">
      <c r="C173" s="16"/>
      <c r="N173" s="16"/>
      <c r="U173" s="16"/>
      <c r="V173" s="16"/>
    </row>
    <row r="174" spans="3:22" x14ac:dyDescent="0.35">
      <c r="C174" s="16"/>
      <c r="N174" s="16"/>
      <c r="U174" s="16"/>
      <c r="V174" s="16"/>
    </row>
    <row r="175" spans="3:22" x14ac:dyDescent="0.35">
      <c r="C175" s="16"/>
      <c r="N175" s="16"/>
      <c r="U175" s="16"/>
      <c r="V175" s="16"/>
    </row>
    <row r="176" spans="3:22" x14ac:dyDescent="0.35">
      <c r="C176" s="16"/>
      <c r="N176" s="16"/>
      <c r="U176" s="16"/>
      <c r="V176" s="16"/>
    </row>
    <row r="177" spans="3:22" x14ac:dyDescent="0.35">
      <c r="C177" s="16"/>
      <c r="N177" s="16"/>
      <c r="U177" s="16"/>
      <c r="V177" s="16"/>
    </row>
    <row r="178" spans="3:22" x14ac:dyDescent="0.35">
      <c r="C178" s="16"/>
      <c r="N178" s="16"/>
      <c r="U178" s="16"/>
      <c r="V178" s="16"/>
    </row>
    <row r="179" spans="3:22" x14ac:dyDescent="0.35">
      <c r="C179" s="16"/>
      <c r="N179" s="16"/>
      <c r="U179" s="16"/>
      <c r="V179" s="16"/>
    </row>
    <row r="180" spans="3:22" x14ac:dyDescent="0.35">
      <c r="C180" s="16"/>
      <c r="N180" s="16"/>
      <c r="U180" s="16"/>
      <c r="V180" s="16"/>
    </row>
    <row r="181" spans="3:22" x14ac:dyDescent="0.35">
      <c r="C181" s="16"/>
      <c r="N181" s="16"/>
      <c r="U181" s="16"/>
      <c r="V181" s="16"/>
    </row>
    <row r="182" spans="3:22" x14ac:dyDescent="0.35">
      <c r="C182" s="16"/>
      <c r="N182" s="16"/>
      <c r="U182" s="16"/>
      <c r="V182" s="16"/>
    </row>
    <row r="183" spans="3:22" x14ac:dyDescent="0.35">
      <c r="C183" s="16"/>
      <c r="N183" s="16"/>
      <c r="U183" s="16"/>
      <c r="V183" s="16"/>
    </row>
    <row r="184" spans="3:22" x14ac:dyDescent="0.35">
      <c r="C184" s="16"/>
      <c r="N184" s="16"/>
      <c r="U184" s="16"/>
      <c r="V184" s="16"/>
    </row>
    <row r="185" spans="3:22" x14ac:dyDescent="0.35">
      <c r="C185" s="16"/>
      <c r="N185" s="16"/>
      <c r="U185" s="16"/>
      <c r="V185" s="16"/>
    </row>
    <row r="186" spans="3:22" x14ac:dyDescent="0.35">
      <c r="C186" s="16"/>
      <c r="N186" s="16"/>
      <c r="U186" s="16"/>
      <c r="V186" s="16"/>
    </row>
    <row r="187" spans="3:22" x14ac:dyDescent="0.35">
      <c r="C187" s="16"/>
      <c r="N187" s="16"/>
      <c r="U187" s="16"/>
      <c r="V187" s="16"/>
    </row>
    <row r="188" spans="3:22" x14ac:dyDescent="0.35">
      <c r="C188" s="16"/>
      <c r="N188" s="16"/>
      <c r="U188" s="16"/>
      <c r="V188" s="16"/>
    </row>
    <row r="189" spans="3:22" x14ac:dyDescent="0.35">
      <c r="C189" s="16"/>
      <c r="N189" s="16"/>
      <c r="U189" s="16"/>
      <c r="V189" s="16"/>
    </row>
    <row r="190" spans="3:22" x14ac:dyDescent="0.35">
      <c r="C190" s="16"/>
      <c r="N190" s="16"/>
      <c r="U190" s="16"/>
      <c r="V190" s="16"/>
    </row>
    <row r="191" spans="3:22" x14ac:dyDescent="0.35">
      <c r="C191" s="16"/>
      <c r="N191" s="16"/>
      <c r="U191" s="16"/>
      <c r="V191" s="16"/>
    </row>
    <row r="192" spans="3:22" x14ac:dyDescent="0.35">
      <c r="C192" s="16"/>
      <c r="N192" s="16"/>
      <c r="U192" s="16"/>
      <c r="V192" s="16"/>
    </row>
    <row r="193" spans="3:22" x14ac:dyDescent="0.35">
      <c r="C193" s="16"/>
      <c r="N193" s="16"/>
      <c r="U193" s="16"/>
      <c r="V193" s="16"/>
    </row>
    <row r="194" spans="3:22" x14ac:dyDescent="0.35">
      <c r="C194" s="16"/>
      <c r="N194" s="16"/>
      <c r="U194" s="16"/>
      <c r="V194" s="16"/>
    </row>
    <row r="195" spans="3:22" x14ac:dyDescent="0.35">
      <c r="C195" s="16"/>
      <c r="N195" s="16"/>
      <c r="U195" s="16"/>
      <c r="V195" s="16"/>
    </row>
    <row r="196" spans="3:22" x14ac:dyDescent="0.35">
      <c r="C196" s="16"/>
      <c r="N196" s="16"/>
      <c r="U196" s="16"/>
      <c r="V196" s="16"/>
    </row>
    <row r="197" spans="3:22" x14ac:dyDescent="0.35">
      <c r="C197" s="16"/>
      <c r="N197" s="16"/>
      <c r="U197" s="16"/>
      <c r="V197" s="16"/>
    </row>
    <row r="198" spans="3:22" x14ac:dyDescent="0.35">
      <c r="C198" s="16"/>
      <c r="N198" s="16"/>
      <c r="U198" s="16"/>
      <c r="V198" s="16"/>
    </row>
    <row r="199" spans="3:22" x14ac:dyDescent="0.35">
      <c r="C199" s="16"/>
      <c r="N199" s="16"/>
      <c r="U199" s="16"/>
      <c r="V199" s="16"/>
    </row>
    <row r="200" spans="3:22" x14ac:dyDescent="0.35">
      <c r="C200" s="16"/>
      <c r="N200" s="16"/>
      <c r="U200" s="16"/>
      <c r="V200" s="16"/>
    </row>
    <row r="201" spans="3:22" x14ac:dyDescent="0.35">
      <c r="C201" s="16"/>
      <c r="N201" s="16"/>
      <c r="U201" s="16"/>
      <c r="V201" s="16"/>
    </row>
    <row r="202" spans="3:22" x14ac:dyDescent="0.35">
      <c r="C202" s="16"/>
      <c r="N202" s="16"/>
      <c r="U202" s="16"/>
      <c r="V202" s="16"/>
    </row>
    <row r="203" spans="3:22" x14ac:dyDescent="0.35">
      <c r="C203" s="16"/>
      <c r="N203" s="16"/>
      <c r="U203" s="16"/>
      <c r="V203" s="16"/>
    </row>
    <row r="204" spans="3:22" x14ac:dyDescent="0.35">
      <c r="C204" s="16"/>
      <c r="N204" s="16"/>
      <c r="U204" s="16"/>
      <c r="V204" s="16"/>
    </row>
    <row r="205" spans="3:22" x14ac:dyDescent="0.35">
      <c r="C205" s="16"/>
      <c r="N205" s="16"/>
      <c r="U205" s="16"/>
      <c r="V205" s="16"/>
    </row>
    <row r="206" spans="3:22" x14ac:dyDescent="0.35">
      <c r="C206" s="16"/>
      <c r="N206" s="16"/>
      <c r="U206" s="16"/>
      <c r="V206" s="16"/>
    </row>
    <row r="207" spans="3:22" x14ac:dyDescent="0.35">
      <c r="C207" s="16"/>
      <c r="N207" s="16"/>
      <c r="U207" s="16"/>
      <c r="V207" s="16"/>
    </row>
    <row r="208" spans="3:22" x14ac:dyDescent="0.35">
      <c r="C208" s="16"/>
      <c r="N208" s="16"/>
      <c r="U208" s="16"/>
      <c r="V208" s="16"/>
    </row>
    <row r="209" spans="3:22" x14ac:dyDescent="0.35">
      <c r="C209" s="16"/>
      <c r="N209" s="16"/>
      <c r="U209" s="16"/>
      <c r="V209" s="16"/>
    </row>
    <row r="210" spans="3:22" x14ac:dyDescent="0.35">
      <c r="C210" s="16"/>
      <c r="N210" s="16"/>
      <c r="U210" s="16"/>
      <c r="V210" s="16"/>
    </row>
    <row r="211" spans="3:22" x14ac:dyDescent="0.35">
      <c r="C211" s="16"/>
      <c r="N211" s="16"/>
      <c r="U211" s="16"/>
      <c r="V211" s="16"/>
    </row>
    <row r="212" spans="3:22" x14ac:dyDescent="0.35">
      <c r="C212" s="16"/>
      <c r="N212" s="16"/>
      <c r="U212" s="16"/>
      <c r="V212" s="16"/>
    </row>
    <row r="213" spans="3:22" x14ac:dyDescent="0.35">
      <c r="C213" s="16"/>
      <c r="N213" s="16"/>
      <c r="U213" s="16"/>
      <c r="V213" s="16"/>
    </row>
    <row r="214" spans="3:22" x14ac:dyDescent="0.35">
      <c r="C214" s="16"/>
      <c r="N214" s="16"/>
      <c r="U214" s="16"/>
      <c r="V214" s="16"/>
    </row>
    <row r="215" spans="3:22" x14ac:dyDescent="0.35">
      <c r="C215" s="16"/>
      <c r="N215" s="16"/>
      <c r="U215" s="16"/>
      <c r="V215" s="16"/>
    </row>
    <row r="216" spans="3:22" x14ac:dyDescent="0.35">
      <c r="C216" s="16"/>
      <c r="N216" s="16"/>
      <c r="U216" s="16"/>
      <c r="V216" s="16"/>
    </row>
    <row r="217" spans="3:22" x14ac:dyDescent="0.35">
      <c r="C217" s="16"/>
      <c r="N217" s="16"/>
      <c r="U217" s="16"/>
      <c r="V217" s="16"/>
    </row>
    <row r="218" spans="3:22" x14ac:dyDescent="0.35">
      <c r="C218" s="16"/>
      <c r="N218" s="16"/>
      <c r="U218" s="16"/>
      <c r="V218" s="16"/>
    </row>
    <row r="219" spans="3:22" x14ac:dyDescent="0.35">
      <c r="C219" s="16"/>
      <c r="N219" s="16"/>
      <c r="U219" s="16"/>
      <c r="V219" s="16"/>
    </row>
    <row r="220" spans="3:22" x14ac:dyDescent="0.35">
      <c r="C220" s="16"/>
      <c r="N220" s="16"/>
      <c r="U220" s="16"/>
      <c r="V220" s="16"/>
    </row>
    <row r="221" spans="3:22" x14ac:dyDescent="0.35">
      <c r="C221" s="16"/>
      <c r="N221" s="16"/>
      <c r="U221" s="16"/>
      <c r="V221" s="16"/>
    </row>
    <row r="222" spans="3:22" x14ac:dyDescent="0.35">
      <c r="C222" s="16"/>
      <c r="N222" s="16"/>
      <c r="U222" s="16"/>
      <c r="V222" s="16"/>
    </row>
    <row r="223" spans="3:22" x14ac:dyDescent="0.35">
      <c r="C223" s="16"/>
      <c r="N223" s="16"/>
      <c r="U223" s="16"/>
      <c r="V223" s="16"/>
    </row>
    <row r="224" spans="3:22" x14ac:dyDescent="0.35">
      <c r="C224" s="16"/>
      <c r="N224" s="16"/>
      <c r="U224" s="16"/>
      <c r="V224" s="16"/>
    </row>
    <row r="225" spans="3:22" x14ac:dyDescent="0.35">
      <c r="C225" s="16"/>
      <c r="N225" s="16"/>
      <c r="U225" s="16"/>
      <c r="V225" s="16"/>
    </row>
    <row r="226" spans="3:22" x14ac:dyDescent="0.35">
      <c r="C226" s="16"/>
      <c r="N226" s="16"/>
      <c r="U226" s="16"/>
      <c r="V226" s="16"/>
    </row>
    <row r="227" spans="3:22" x14ac:dyDescent="0.35">
      <c r="C227" s="16"/>
      <c r="N227" s="16"/>
      <c r="U227" s="16"/>
      <c r="V227" s="16"/>
    </row>
    <row r="228" spans="3:22" x14ac:dyDescent="0.35">
      <c r="C228" s="16"/>
      <c r="N228" s="16"/>
      <c r="U228" s="16"/>
      <c r="V228" s="16"/>
    </row>
    <row r="229" spans="3:22" x14ac:dyDescent="0.35">
      <c r="C229" s="16"/>
      <c r="N229" s="16"/>
      <c r="U229" s="16"/>
      <c r="V229" s="16"/>
    </row>
    <row r="230" spans="3:22" x14ac:dyDescent="0.35">
      <c r="C230" s="16"/>
      <c r="N230" s="16"/>
      <c r="U230" s="16"/>
      <c r="V230" s="16"/>
    </row>
    <row r="231" spans="3:22" x14ac:dyDescent="0.35">
      <c r="C231" s="16"/>
      <c r="N231" s="16"/>
      <c r="U231" s="16"/>
      <c r="V231" s="16"/>
    </row>
    <row r="232" spans="3:22" x14ac:dyDescent="0.35">
      <c r="C232" s="16"/>
      <c r="N232" s="16"/>
      <c r="U232" s="16"/>
      <c r="V232" s="16"/>
    </row>
    <row r="233" spans="3:22" x14ac:dyDescent="0.35">
      <c r="C233" s="16"/>
      <c r="N233" s="16"/>
      <c r="U233" s="16"/>
      <c r="V233" s="16"/>
    </row>
    <row r="234" spans="3:22" x14ac:dyDescent="0.35">
      <c r="C234" s="16"/>
      <c r="N234" s="16"/>
      <c r="U234" s="16"/>
      <c r="V234" s="16"/>
    </row>
    <row r="235" spans="3:22" x14ac:dyDescent="0.35">
      <c r="C235" s="16"/>
      <c r="N235" s="16"/>
      <c r="U235" s="16"/>
      <c r="V235" s="16"/>
    </row>
    <row r="236" spans="3:22" x14ac:dyDescent="0.35">
      <c r="C236" s="16"/>
      <c r="N236" s="16"/>
      <c r="U236" s="16"/>
      <c r="V236" s="16"/>
    </row>
    <row r="237" spans="3:22" x14ac:dyDescent="0.35">
      <c r="C237" s="16"/>
      <c r="N237" s="16"/>
      <c r="U237" s="16"/>
      <c r="V237" s="16"/>
    </row>
    <row r="238" spans="3:22" x14ac:dyDescent="0.35">
      <c r="C238" s="16"/>
      <c r="N238" s="16"/>
      <c r="U238" s="16"/>
      <c r="V238" s="16"/>
    </row>
    <row r="239" spans="3:22" x14ac:dyDescent="0.35">
      <c r="C239" s="16"/>
      <c r="N239" s="16"/>
      <c r="U239" s="16"/>
      <c r="V239" s="16"/>
    </row>
  </sheetData>
  <autoFilter ref="A1:BU38" xr:uid="{D080BA6E-18A7-4377-9234-11E36427EC81}">
    <filterColumn colId="0">
      <filters>
        <filter val="25.10.00"/>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2306C-6F53-4877-BDEA-6BF60A5AA828}">
  <dimension ref="A1:Y23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9.6328125" style="18" customWidth="1"/>
    <col min="25" max="25" width="15.6328125" style="12" customWidth="1"/>
    <col min="26" max="16384" width="10.90625" style="12"/>
  </cols>
  <sheetData>
    <row r="1" spans="1:2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1" t="s">
        <v>3</v>
      </c>
      <c r="O1" s="10" t="s">
        <v>15</v>
      </c>
      <c r="P1" s="10" t="s">
        <v>16</v>
      </c>
      <c r="Q1" s="10" t="s">
        <v>17</v>
      </c>
      <c r="R1" s="10" t="s">
        <v>18</v>
      </c>
      <c r="S1" s="10" t="s">
        <v>19</v>
      </c>
      <c r="T1" s="10" t="s">
        <v>20</v>
      </c>
      <c r="U1" s="11" t="s">
        <v>21</v>
      </c>
      <c r="V1" s="11" t="s">
        <v>22</v>
      </c>
      <c r="W1" s="10" t="s">
        <v>278</v>
      </c>
      <c r="X1" s="10" t="s">
        <v>72</v>
      </c>
      <c r="Y1" s="10" t="s">
        <v>73</v>
      </c>
    </row>
    <row r="2" spans="1:25" ht="58" x14ac:dyDescent="0.35">
      <c r="A2" s="13" t="s">
        <v>74</v>
      </c>
      <c r="B2" s="13" t="s">
        <v>75</v>
      </c>
      <c r="C2" s="14">
        <v>43152.5</v>
      </c>
      <c r="D2" s="13" t="s">
        <v>76</v>
      </c>
      <c r="E2" s="15" t="s">
        <v>77</v>
      </c>
      <c r="F2" s="13" t="s">
        <v>78</v>
      </c>
      <c r="G2" s="15" t="s">
        <v>79</v>
      </c>
      <c r="H2" s="13" t="s">
        <v>80</v>
      </c>
      <c r="I2" s="15" t="s">
        <v>79</v>
      </c>
      <c r="J2" s="15" t="s">
        <v>81</v>
      </c>
      <c r="K2" s="15" t="s">
        <v>82</v>
      </c>
      <c r="L2" s="13" t="s">
        <v>83</v>
      </c>
      <c r="M2" s="15" t="s">
        <v>84</v>
      </c>
      <c r="N2" s="14" t="s">
        <v>85</v>
      </c>
      <c r="O2" s="15" t="s">
        <v>86</v>
      </c>
      <c r="P2" s="15" t="s">
        <v>87</v>
      </c>
      <c r="Q2" s="15" t="s">
        <v>88</v>
      </c>
      <c r="R2" s="13" t="s">
        <v>89</v>
      </c>
      <c r="S2" s="13" t="s">
        <v>90</v>
      </c>
      <c r="T2" s="13" t="s">
        <v>91</v>
      </c>
      <c r="U2" s="14">
        <v>40725</v>
      </c>
      <c r="V2" s="14"/>
      <c r="W2" s="15"/>
      <c r="X2" s="13"/>
      <c r="Y2" s="13"/>
    </row>
    <row r="3" spans="1:25" ht="58" x14ac:dyDescent="0.35">
      <c r="A3" s="13" t="s">
        <v>74</v>
      </c>
      <c r="B3" s="13" t="s">
        <v>75</v>
      </c>
      <c r="C3" s="14">
        <v>43152.5</v>
      </c>
      <c r="D3" s="13" t="s">
        <v>76</v>
      </c>
      <c r="E3" s="15" t="s">
        <v>77</v>
      </c>
      <c r="F3" s="13" t="s">
        <v>78</v>
      </c>
      <c r="G3" s="15" t="s">
        <v>79</v>
      </c>
      <c r="H3" s="13" t="s">
        <v>80</v>
      </c>
      <c r="I3" s="15" t="s">
        <v>79</v>
      </c>
      <c r="J3" s="15" t="s">
        <v>81</v>
      </c>
      <c r="K3" s="15" t="s">
        <v>82</v>
      </c>
      <c r="L3" s="13" t="s">
        <v>92</v>
      </c>
      <c r="M3" s="15" t="s">
        <v>79</v>
      </c>
      <c r="N3" s="14" t="s">
        <v>85</v>
      </c>
      <c r="O3" s="15" t="s">
        <v>93</v>
      </c>
      <c r="P3" s="15" t="s">
        <v>94</v>
      </c>
      <c r="Q3" s="15" t="s">
        <v>88</v>
      </c>
      <c r="R3" s="13" t="s">
        <v>89</v>
      </c>
      <c r="S3" s="13" t="s">
        <v>90</v>
      </c>
      <c r="T3" s="13" t="s">
        <v>95</v>
      </c>
      <c r="U3" s="14">
        <v>40725</v>
      </c>
      <c r="V3" s="14"/>
      <c r="W3" s="15"/>
      <c r="X3" s="13"/>
      <c r="Y3" s="13"/>
    </row>
    <row r="4" spans="1:25" ht="72.5" x14ac:dyDescent="0.35">
      <c r="A4" s="13" t="s">
        <v>74</v>
      </c>
      <c r="B4" s="13" t="s">
        <v>75</v>
      </c>
      <c r="C4" s="14">
        <v>43189.5</v>
      </c>
      <c r="D4" s="13" t="s">
        <v>76</v>
      </c>
      <c r="E4" s="15" t="s">
        <v>77</v>
      </c>
      <c r="F4" s="13" t="s">
        <v>78</v>
      </c>
      <c r="G4" s="15" t="s">
        <v>79</v>
      </c>
      <c r="H4" s="13" t="s">
        <v>80</v>
      </c>
      <c r="I4" s="15" t="s">
        <v>79</v>
      </c>
      <c r="J4" s="15" t="s">
        <v>81</v>
      </c>
      <c r="K4" s="15" t="s">
        <v>82</v>
      </c>
      <c r="L4" s="13" t="s">
        <v>107</v>
      </c>
      <c r="M4" s="15" t="s">
        <v>108</v>
      </c>
      <c r="N4" s="14" t="s">
        <v>85</v>
      </c>
      <c r="O4" s="15" t="s">
        <v>109</v>
      </c>
      <c r="P4" s="15" t="s">
        <v>110</v>
      </c>
      <c r="Q4" s="15" t="s">
        <v>88</v>
      </c>
      <c r="R4" s="13" t="s">
        <v>89</v>
      </c>
      <c r="S4" s="13" t="s">
        <v>90</v>
      </c>
      <c r="T4" s="13" t="s">
        <v>91</v>
      </c>
      <c r="U4" s="14">
        <v>40725</v>
      </c>
      <c r="V4" s="14"/>
      <c r="W4" s="15"/>
      <c r="X4" s="13"/>
      <c r="Y4" s="13"/>
    </row>
    <row r="5" spans="1:25" ht="29" x14ac:dyDescent="0.35">
      <c r="A5" s="13" t="s">
        <v>111</v>
      </c>
      <c r="B5" s="13" t="s">
        <v>112</v>
      </c>
      <c r="C5" s="14">
        <v>45950.390972222223</v>
      </c>
      <c r="D5" s="13" t="s">
        <v>76</v>
      </c>
      <c r="E5" s="15" t="s">
        <v>77</v>
      </c>
      <c r="F5" s="13" t="s">
        <v>78</v>
      </c>
      <c r="G5" s="15" t="s">
        <v>79</v>
      </c>
      <c r="H5" s="13" t="s">
        <v>80</v>
      </c>
      <c r="I5" s="15" t="s">
        <v>79</v>
      </c>
      <c r="J5" s="15" t="s">
        <v>81</v>
      </c>
      <c r="K5" s="15" t="s">
        <v>82</v>
      </c>
      <c r="L5" s="13" t="s">
        <v>113</v>
      </c>
      <c r="M5" s="15" t="s">
        <v>114</v>
      </c>
      <c r="N5" s="14" t="s">
        <v>85</v>
      </c>
      <c r="O5" s="15" t="s">
        <v>115</v>
      </c>
      <c r="P5" s="15" t="s">
        <v>116</v>
      </c>
      <c r="Q5" s="15" t="s">
        <v>88</v>
      </c>
      <c r="R5" s="13" t="s">
        <v>89</v>
      </c>
      <c r="S5" s="13" t="s">
        <v>90</v>
      </c>
      <c r="T5" s="13" t="s">
        <v>91</v>
      </c>
      <c r="U5" s="14">
        <v>40725</v>
      </c>
      <c r="V5" s="14">
        <v>40725</v>
      </c>
      <c r="W5" s="15"/>
      <c r="X5" s="13" t="s">
        <v>117</v>
      </c>
      <c r="Y5" s="13"/>
    </row>
    <row r="6" spans="1:25" ht="29" x14ac:dyDescent="0.35">
      <c r="A6" s="13" t="s">
        <v>111</v>
      </c>
      <c r="B6" s="13" t="s">
        <v>112</v>
      </c>
      <c r="C6" s="14">
        <v>45950.392361111109</v>
      </c>
      <c r="D6" s="13" t="s">
        <v>76</v>
      </c>
      <c r="E6" s="15" t="s">
        <v>77</v>
      </c>
      <c r="F6" s="13" t="s">
        <v>78</v>
      </c>
      <c r="G6" s="15" t="s">
        <v>79</v>
      </c>
      <c r="H6" s="13" t="s">
        <v>80</v>
      </c>
      <c r="I6" s="15" t="s">
        <v>79</v>
      </c>
      <c r="J6" s="15" t="s">
        <v>81</v>
      </c>
      <c r="K6" s="15" t="s">
        <v>82</v>
      </c>
      <c r="L6" s="13" t="s">
        <v>118</v>
      </c>
      <c r="M6" s="15" t="s">
        <v>114</v>
      </c>
      <c r="N6" s="14" t="s">
        <v>85</v>
      </c>
      <c r="O6" s="15" t="s">
        <v>119</v>
      </c>
      <c r="P6" s="15" t="s">
        <v>120</v>
      </c>
      <c r="Q6" s="15" t="s">
        <v>88</v>
      </c>
      <c r="R6" s="13" t="s">
        <v>89</v>
      </c>
      <c r="S6" s="13" t="s">
        <v>90</v>
      </c>
      <c r="T6" s="13" t="s">
        <v>91</v>
      </c>
      <c r="U6" s="14">
        <v>40725</v>
      </c>
      <c r="V6" s="14">
        <v>40725</v>
      </c>
      <c r="W6" s="15"/>
      <c r="X6" s="13" t="s">
        <v>117</v>
      </c>
      <c r="Y6" s="13"/>
    </row>
    <row r="7" spans="1:25" ht="58" x14ac:dyDescent="0.35">
      <c r="A7" s="13" t="s">
        <v>74</v>
      </c>
      <c r="B7" s="13" t="s">
        <v>75</v>
      </c>
      <c r="C7" s="14">
        <v>43152.5</v>
      </c>
      <c r="D7" s="13" t="s">
        <v>76</v>
      </c>
      <c r="E7" s="15" t="s">
        <v>77</v>
      </c>
      <c r="F7" s="13" t="s">
        <v>78</v>
      </c>
      <c r="G7" s="15" t="s">
        <v>79</v>
      </c>
      <c r="H7" s="13" t="s">
        <v>80</v>
      </c>
      <c r="I7" s="15" t="s">
        <v>79</v>
      </c>
      <c r="J7" s="15" t="s">
        <v>81</v>
      </c>
      <c r="K7" s="15" t="s">
        <v>82</v>
      </c>
      <c r="L7" s="13" t="s">
        <v>83</v>
      </c>
      <c r="M7" s="15" t="s">
        <v>84</v>
      </c>
      <c r="N7" s="14" t="s">
        <v>85</v>
      </c>
      <c r="O7" s="15" t="s">
        <v>86</v>
      </c>
      <c r="P7" s="15" t="s">
        <v>87</v>
      </c>
      <c r="Q7" s="15" t="s">
        <v>121</v>
      </c>
      <c r="R7" s="13" t="s">
        <v>122</v>
      </c>
      <c r="S7" s="13" t="s">
        <v>90</v>
      </c>
      <c r="T7" s="13" t="s">
        <v>95</v>
      </c>
      <c r="U7" s="14">
        <v>40725</v>
      </c>
      <c r="V7" s="14">
        <v>42481</v>
      </c>
      <c r="W7" s="15"/>
      <c r="X7" s="13"/>
      <c r="Y7" s="13"/>
    </row>
    <row r="8" spans="1:25" ht="58" x14ac:dyDescent="0.35">
      <c r="A8" s="13" t="s">
        <v>132</v>
      </c>
      <c r="B8" s="13" t="s">
        <v>112</v>
      </c>
      <c r="C8" s="14">
        <v>43628.435416666667</v>
      </c>
      <c r="D8" s="13" t="s">
        <v>76</v>
      </c>
      <c r="E8" s="15" t="s">
        <v>77</v>
      </c>
      <c r="F8" s="13" t="s">
        <v>78</v>
      </c>
      <c r="G8" s="15" t="s">
        <v>79</v>
      </c>
      <c r="H8" s="13" t="s">
        <v>80</v>
      </c>
      <c r="I8" s="15" t="s">
        <v>79</v>
      </c>
      <c r="J8" s="15" t="s">
        <v>81</v>
      </c>
      <c r="K8" s="15" t="s">
        <v>82</v>
      </c>
      <c r="L8" s="13" t="s">
        <v>83</v>
      </c>
      <c r="M8" s="15" t="s">
        <v>84</v>
      </c>
      <c r="N8" s="14" t="s">
        <v>85</v>
      </c>
      <c r="O8" s="15" t="s">
        <v>86</v>
      </c>
      <c r="P8" s="15" t="s">
        <v>87</v>
      </c>
      <c r="Q8" s="15" t="s">
        <v>121</v>
      </c>
      <c r="R8" s="13" t="s">
        <v>122</v>
      </c>
      <c r="S8" s="13" t="s">
        <v>90</v>
      </c>
      <c r="T8" s="13" t="s">
        <v>95</v>
      </c>
      <c r="U8" s="14">
        <v>42482</v>
      </c>
      <c r="V8" s="14"/>
      <c r="W8" s="15"/>
      <c r="X8" s="13"/>
      <c r="Y8" s="13"/>
    </row>
    <row r="9" spans="1:25" ht="58" x14ac:dyDescent="0.35">
      <c r="A9" s="13" t="s">
        <v>74</v>
      </c>
      <c r="B9" s="13" t="s">
        <v>75</v>
      </c>
      <c r="C9" s="14">
        <v>43152.5</v>
      </c>
      <c r="D9" s="13" t="s">
        <v>76</v>
      </c>
      <c r="E9" s="15" t="s">
        <v>77</v>
      </c>
      <c r="F9" s="13" t="s">
        <v>78</v>
      </c>
      <c r="G9" s="15" t="s">
        <v>79</v>
      </c>
      <c r="H9" s="13" t="s">
        <v>80</v>
      </c>
      <c r="I9" s="15" t="s">
        <v>79</v>
      </c>
      <c r="J9" s="15" t="s">
        <v>81</v>
      </c>
      <c r="K9" s="15" t="s">
        <v>82</v>
      </c>
      <c r="L9" s="13" t="s">
        <v>92</v>
      </c>
      <c r="M9" s="15" t="s">
        <v>79</v>
      </c>
      <c r="N9" s="14" t="s">
        <v>85</v>
      </c>
      <c r="O9" s="15" t="s">
        <v>93</v>
      </c>
      <c r="P9" s="15" t="s">
        <v>94</v>
      </c>
      <c r="Q9" s="15" t="s">
        <v>121</v>
      </c>
      <c r="R9" s="13" t="s">
        <v>122</v>
      </c>
      <c r="S9" s="13" t="s">
        <v>90</v>
      </c>
      <c r="T9" s="13" t="s">
        <v>95</v>
      </c>
      <c r="U9" s="14">
        <v>40725</v>
      </c>
      <c r="V9" s="14"/>
      <c r="W9" s="15"/>
      <c r="X9" s="13"/>
      <c r="Y9" s="13"/>
    </row>
    <row r="10" spans="1:25" ht="72.5" x14ac:dyDescent="0.35">
      <c r="A10" s="13" t="s">
        <v>74</v>
      </c>
      <c r="B10" s="13" t="s">
        <v>75</v>
      </c>
      <c r="C10" s="14">
        <v>43189.5</v>
      </c>
      <c r="D10" s="13" t="s">
        <v>76</v>
      </c>
      <c r="E10" s="15" t="s">
        <v>77</v>
      </c>
      <c r="F10" s="13" t="s">
        <v>78</v>
      </c>
      <c r="G10" s="15" t="s">
        <v>79</v>
      </c>
      <c r="H10" s="13" t="s">
        <v>80</v>
      </c>
      <c r="I10" s="15" t="s">
        <v>79</v>
      </c>
      <c r="J10" s="15" t="s">
        <v>81</v>
      </c>
      <c r="K10" s="15" t="s">
        <v>82</v>
      </c>
      <c r="L10" s="13" t="s">
        <v>107</v>
      </c>
      <c r="M10" s="15" t="s">
        <v>108</v>
      </c>
      <c r="N10" s="14" t="s">
        <v>85</v>
      </c>
      <c r="O10" s="15" t="s">
        <v>109</v>
      </c>
      <c r="P10" s="15" t="s">
        <v>110</v>
      </c>
      <c r="Q10" s="15" t="s">
        <v>121</v>
      </c>
      <c r="R10" s="13" t="s">
        <v>122</v>
      </c>
      <c r="S10" s="13" t="s">
        <v>90</v>
      </c>
      <c r="T10" s="13" t="s">
        <v>91</v>
      </c>
      <c r="U10" s="14">
        <v>40725</v>
      </c>
      <c r="V10" s="14"/>
      <c r="W10" s="15"/>
      <c r="X10" s="13"/>
      <c r="Y10" s="13"/>
    </row>
    <row r="11" spans="1:25" ht="29" x14ac:dyDescent="0.35">
      <c r="A11" s="13" t="s">
        <v>111</v>
      </c>
      <c r="B11" s="13" t="s">
        <v>112</v>
      </c>
      <c r="C11" s="14">
        <v>45950.390277777777</v>
      </c>
      <c r="D11" s="13" t="s">
        <v>76</v>
      </c>
      <c r="E11" s="15" t="s">
        <v>77</v>
      </c>
      <c r="F11" s="13" t="s">
        <v>78</v>
      </c>
      <c r="G11" s="15" t="s">
        <v>79</v>
      </c>
      <c r="H11" s="13" t="s">
        <v>80</v>
      </c>
      <c r="I11" s="15" t="s">
        <v>79</v>
      </c>
      <c r="J11" s="15" t="s">
        <v>81</v>
      </c>
      <c r="K11" s="15" t="s">
        <v>82</v>
      </c>
      <c r="L11" s="13" t="s">
        <v>113</v>
      </c>
      <c r="M11" s="15" t="s">
        <v>114</v>
      </c>
      <c r="N11" s="14" t="s">
        <v>85</v>
      </c>
      <c r="O11" s="15" t="s">
        <v>115</v>
      </c>
      <c r="P11" s="15" t="s">
        <v>116</v>
      </c>
      <c r="Q11" s="15" t="s">
        <v>121</v>
      </c>
      <c r="R11" s="13" t="s">
        <v>122</v>
      </c>
      <c r="S11" s="13" t="s">
        <v>90</v>
      </c>
      <c r="T11" s="13" t="s">
        <v>91</v>
      </c>
      <c r="U11" s="14">
        <v>40725</v>
      </c>
      <c r="V11" s="14">
        <v>40725</v>
      </c>
      <c r="W11" s="15"/>
      <c r="X11" s="13" t="s">
        <v>117</v>
      </c>
      <c r="Y11" s="13"/>
    </row>
    <row r="12" spans="1:25" ht="29" x14ac:dyDescent="0.35">
      <c r="A12" s="13" t="s">
        <v>111</v>
      </c>
      <c r="B12" s="13" t="s">
        <v>112</v>
      </c>
      <c r="C12" s="14">
        <v>45950.390972222223</v>
      </c>
      <c r="D12" s="13" t="s">
        <v>76</v>
      </c>
      <c r="E12" s="15" t="s">
        <v>77</v>
      </c>
      <c r="F12" s="13" t="s">
        <v>78</v>
      </c>
      <c r="G12" s="15" t="s">
        <v>79</v>
      </c>
      <c r="H12" s="13" t="s">
        <v>80</v>
      </c>
      <c r="I12" s="15" t="s">
        <v>79</v>
      </c>
      <c r="J12" s="15" t="s">
        <v>81</v>
      </c>
      <c r="K12" s="15" t="s">
        <v>82</v>
      </c>
      <c r="L12" s="13" t="s">
        <v>118</v>
      </c>
      <c r="M12" s="15" t="s">
        <v>114</v>
      </c>
      <c r="N12" s="14" t="s">
        <v>85</v>
      </c>
      <c r="O12" s="15" t="s">
        <v>119</v>
      </c>
      <c r="P12" s="15" t="s">
        <v>120</v>
      </c>
      <c r="Q12" s="15" t="s">
        <v>121</v>
      </c>
      <c r="R12" s="13" t="s">
        <v>122</v>
      </c>
      <c r="S12" s="13" t="s">
        <v>90</v>
      </c>
      <c r="T12" s="13" t="s">
        <v>91</v>
      </c>
      <c r="U12" s="14">
        <v>40725</v>
      </c>
      <c r="V12" s="14">
        <v>40725</v>
      </c>
      <c r="W12" s="15"/>
      <c r="X12" s="13" t="s">
        <v>117</v>
      </c>
      <c r="Y12" s="13"/>
    </row>
    <row r="13" spans="1:25" ht="58" x14ac:dyDescent="0.35">
      <c r="A13" s="13" t="s">
        <v>149</v>
      </c>
      <c r="B13" s="13" t="s">
        <v>112</v>
      </c>
      <c r="C13" s="14">
        <v>44746.49722222222</v>
      </c>
      <c r="D13" s="13" t="s">
        <v>76</v>
      </c>
      <c r="E13" s="15" t="s">
        <v>77</v>
      </c>
      <c r="F13" s="13" t="s">
        <v>78</v>
      </c>
      <c r="G13" s="15" t="s">
        <v>79</v>
      </c>
      <c r="H13" s="13" t="s">
        <v>80</v>
      </c>
      <c r="I13" s="15" t="s">
        <v>79</v>
      </c>
      <c r="J13" s="15" t="s">
        <v>81</v>
      </c>
      <c r="K13" s="15" t="s">
        <v>82</v>
      </c>
      <c r="L13" s="13" t="s">
        <v>83</v>
      </c>
      <c r="M13" s="15" t="s">
        <v>84</v>
      </c>
      <c r="N13" s="14" t="s">
        <v>85</v>
      </c>
      <c r="O13" s="15" t="s">
        <v>86</v>
      </c>
      <c r="P13" s="15" t="s">
        <v>87</v>
      </c>
      <c r="Q13" s="15" t="s">
        <v>150</v>
      </c>
      <c r="R13" s="13" t="s">
        <v>151</v>
      </c>
      <c r="S13" s="13" t="s">
        <v>90</v>
      </c>
      <c r="T13" s="13" t="s">
        <v>95</v>
      </c>
      <c r="U13" s="14">
        <v>40725</v>
      </c>
      <c r="V13" s="14"/>
      <c r="W13" s="15"/>
      <c r="X13" s="13"/>
      <c r="Y13" s="13"/>
    </row>
    <row r="14" spans="1:25" ht="58" x14ac:dyDescent="0.35">
      <c r="A14" s="13" t="s">
        <v>74</v>
      </c>
      <c r="B14" s="13" t="s">
        <v>75</v>
      </c>
      <c r="C14" s="14">
        <v>43152.5</v>
      </c>
      <c r="D14" s="13" t="s">
        <v>76</v>
      </c>
      <c r="E14" s="15" t="s">
        <v>77</v>
      </c>
      <c r="F14" s="13" t="s">
        <v>78</v>
      </c>
      <c r="G14" s="15" t="s">
        <v>79</v>
      </c>
      <c r="H14" s="13" t="s">
        <v>80</v>
      </c>
      <c r="I14" s="15" t="s">
        <v>79</v>
      </c>
      <c r="J14" s="15" t="s">
        <v>81</v>
      </c>
      <c r="K14" s="15" t="s">
        <v>82</v>
      </c>
      <c r="L14" s="13" t="s">
        <v>92</v>
      </c>
      <c r="M14" s="15" t="s">
        <v>79</v>
      </c>
      <c r="N14" s="14" t="s">
        <v>85</v>
      </c>
      <c r="O14" s="15" t="s">
        <v>93</v>
      </c>
      <c r="P14" s="15" t="s">
        <v>94</v>
      </c>
      <c r="Q14" s="15" t="s">
        <v>150</v>
      </c>
      <c r="R14" s="13" t="s">
        <v>151</v>
      </c>
      <c r="S14" s="13" t="s">
        <v>90</v>
      </c>
      <c r="T14" s="13" t="s">
        <v>95</v>
      </c>
      <c r="U14" s="14">
        <v>40725</v>
      </c>
      <c r="V14" s="14"/>
      <c r="W14" s="15"/>
      <c r="X14" s="13"/>
      <c r="Y14" s="13"/>
    </row>
    <row r="15" spans="1:25" ht="72.5" x14ac:dyDescent="0.35">
      <c r="A15" s="13" t="s">
        <v>74</v>
      </c>
      <c r="B15" s="13" t="s">
        <v>75</v>
      </c>
      <c r="C15" s="14">
        <v>43189.5</v>
      </c>
      <c r="D15" s="13" t="s">
        <v>76</v>
      </c>
      <c r="E15" s="15" t="s">
        <v>77</v>
      </c>
      <c r="F15" s="13" t="s">
        <v>78</v>
      </c>
      <c r="G15" s="15" t="s">
        <v>79</v>
      </c>
      <c r="H15" s="13" t="s">
        <v>80</v>
      </c>
      <c r="I15" s="15" t="s">
        <v>79</v>
      </c>
      <c r="J15" s="15" t="s">
        <v>81</v>
      </c>
      <c r="K15" s="15" t="s">
        <v>82</v>
      </c>
      <c r="L15" s="13" t="s">
        <v>107</v>
      </c>
      <c r="M15" s="15" t="s">
        <v>108</v>
      </c>
      <c r="N15" s="14" t="s">
        <v>85</v>
      </c>
      <c r="O15" s="15" t="s">
        <v>109</v>
      </c>
      <c r="P15" s="15" t="s">
        <v>110</v>
      </c>
      <c r="Q15" s="15" t="s">
        <v>150</v>
      </c>
      <c r="R15" s="13" t="s">
        <v>151</v>
      </c>
      <c r="S15" s="13" t="s">
        <v>90</v>
      </c>
      <c r="T15" s="13" t="s">
        <v>91</v>
      </c>
      <c r="U15" s="14">
        <v>40725</v>
      </c>
      <c r="V15" s="14"/>
      <c r="W15" s="15"/>
      <c r="X15" s="13"/>
      <c r="Y15" s="13"/>
    </row>
    <row r="16" spans="1:25" ht="29" x14ac:dyDescent="0.35">
      <c r="A16" s="13" t="s">
        <v>111</v>
      </c>
      <c r="B16" s="13" t="s">
        <v>112</v>
      </c>
      <c r="C16" s="14">
        <v>45950.390277777777</v>
      </c>
      <c r="D16" s="13" t="s">
        <v>76</v>
      </c>
      <c r="E16" s="15" t="s">
        <v>77</v>
      </c>
      <c r="F16" s="13" t="s">
        <v>78</v>
      </c>
      <c r="G16" s="15" t="s">
        <v>79</v>
      </c>
      <c r="H16" s="13" t="s">
        <v>80</v>
      </c>
      <c r="I16" s="15" t="s">
        <v>79</v>
      </c>
      <c r="J16" s="15" t="s">
        <v>81</v>
      </c>
      <c r="K16" s="15" t="s">
        <v>82</v>
      </c>
      <c r="L16" s="13" t="s">
        <v>113</v>
      </c>
      <c r="M16" s="15" t="s">
        <v>114</v>
      </c>
      <c r="N16" s="14" t="s">
        <v>85</v>
      </c>
      <c r="O16" s="15" t="s">
        <v>115</v>
      </c>
      <c r="P16" s="15" t="s">
        <v>116</v>
      </c>
      <c r="Q16" s="15" t="s">
        <v>150</v>
      </c>
      <c r="R16" s="13" t="s">
        <v>151</v>
      </c>
      <c r="S16" s="13" t="s">
        <v>90</v>
      </c>
      <c r="T16" s="13" t="s">
        <v>91</v>
      </c>
      <c r="U16" s="14">
        <v>40725</v>
      </c>
      <c r="V16" s="14">
        <v>40725</v>
      </c>
      <c r="W16" s="15"/>
      <c r="X16" s="13" t="s">
        <v>117</v>
      </c>
      <c r="Y16" s="13"/>
    </row>
    <row r="17" spans="1:25" ht="29" x14ac:dyDescent="0.35">
      <c r="A17" s="13" t="s">
        <v>111</v>
      </c>
      <c r="B17" s="13" t="s">
        <v>112</v>
      </c>
      <c r="C17" s="14">
        <v>45950.39166666667</v>
      </c>
      <c r="D17" s="13" t="s">
        <v>76</v>
      </c>
      <c r="E17" s="15" t="s">
        <v>77</v>
      </c>
      <c r="F17" s="13" t="s">
        <v>78</v>
      </c>
      <c r="G17" s="15" t="s">
        <v>79</v>
      </c>
      <c r="H17" s="13" t="s">
        <v>80</v>
      </c>
      <c r="I17" s="15" t="s">
        <v>79</v>
      </c>
      <c r="J17" s="15" t="s">
        <v>81</v>
      </c>
      <c r="K17" s="15" t="s">
        <v>82</v>
      </c>
      <c r="L17" s="13" t="s">
        <v>118</v>
      </c>
      <c r="M17" s="15" t="s">
        <v>114</v>
      </c>
      <c r="N17" s="14" t="s">
        <v>85</v>
      </c>
      <c r="O17" s="15" t="s">
        <v>119</v>
      </c>
      <c r="P17" s="15" t="s">
        <v>120</v>
      </c>
      <c r="Q17" s="15" t="s">
        <v>150</v>
      </c>
      <c r="R17" s="13" t="s">
        <v>151</v>
      </c>
      <c r="S17" s="13" t="s">
        <v>90</v>
      </c>
      <c r="T17" s="13" t="s">
        <v>91</v>
      </c>
      <c r="U17" s="14">
        <v>40725</v>
      </c>
      <c r="V17" s="14">
        <v>40725</v>
      </c>
      <c r="W17" s="15"/>
      <c r="X17" s="13" t="s">
        <v>117</v>
      </c>
      <c r="Y17" s="13"/>
    </row>
    <row r="18" spans="1:25" ht="58" x14ac:dyDescent="0.35">
      <c r="A18" s="13" t="s">
        <v>74</v>
      </c>
      <c r="B18" s="13" t="s">
        <v>75</v>
      </c>
      <c r="C18" s="14">
        <v>43189.5</v>
      </c>
      <c r="D18" s="13" t="s">
        <v>76</v>
      </c>
      <c r="E18" s="15" t="s">
        <v>77</v>
      </c>
      <c r="F18" s="13" t="s">
        <v>78</v>
      </c>
      <c r="G18" s="15" t="s">
        <v>79</v>
      </c>
      <c r="H18" s="13" t="s">
        <v>80</v>
      </c>
      <c r="I18" s="15" t="s">
        <v>79</v>
      </c>
      <c r="J18" s="15" t="s">
        <v>81</v>
      </c>
      <c r="K18" s="15" t="s">
        <v>82</v>
      </c>
      <c r="L18" s="13" t="s">
        <v>83</v>
      </c>
      <c r="M18" s="15" t="s">
        <v>84</v>
      </c>
      <c r="N18" s="14" t="s">
        <v>85</v>
      </c>
      <c r="O18" s="15" t="s">
        <v>86</v>
      </c>
      <c r="P18" s="15" t="s">
        <v>87</v>
      </c>
      <c r="Q18" s="15" t="s">
        <v>171</v>
      </c>
      <c r="R18" s="13" t="s">
        <v>172</v>
      </c>
      <c r="S18" s="13" t="s">
        <v>90</v>
      </c>
      <c r="T18" s="13" t="s">
        <v>91</v>
      </c>
      <c r="U18" s="14">
        <v>40725</v>
      </c>
      <c r="V18" s="14"/>
      <c r="W18" s="15"/>
      <c r="X18" s="13"/>
      <c r="Y18" s="13"/>
    </row>
    <row r="19" spans="1:25" ht="58" x14ac:dyDescent="0.35">
      <c r="A19" s="13" t="s">
        <v>74</v>
      </c>
      <c r="B19" s="13" t="s">
        <v>75</v>
      </c>
      <c r="C19" s="14">
        <v>43189.5</v>
      </c>
      <c r="D19" s="13" t="s">
        <v>76</v>
      </c>
      <c r="E19" s="15" t="s">
        <v>77</v>
      </c>
      <c r="F19" s="13" t="s">
        <v>78</v>
      </c>
      <c r="G19" s="15" t="s">
        <v>79</v>
      </c>
      <c r="H19" s="13" t="s">
        <v>80</v>
      </c>
      <c r="I19" s="15" t="s">
        <v>79</v>
      </c>
      <c r="J19" s="15" t="s">
        <v>81</v>
      </c>
      <c r="K19" s="15" t="s">
        <v>82</v>
      </c>
      <c r="L19" s="13" t="s">
        <v>92</v>
      </c>
      <c r="M19" s="15" t="s">
        <v>79</v>
      </c>
      <c r="N19" s="14" t="s">
        <v>85</v>
      </c>
      <c r="O19" s="15" t="s">
        <v>93</v>
      </c>
      <c r="P19" s="15" t="s">
        <v>94</v>
      </c>
      <c r="Q19" s="15" t="s">
        <v>171</v>
      </c>
      <c r="R19" s="13" t="s">
        <v>172</v>
      </c>
      <c r="S19" s="13" t="s">
        <v>90</v>
      </c>
      <c r="T19" s="13" t="s">
        <v>91</v>
      </c>
      <c r="U19" s="14">
        <v>40725</v>
      </c>
      <c r="V19" s="14"/>
      <c r="W19" s="15"/>
      <c r="X19" s="13"/>
      <c r="Y19" s="13"/>
    </row>
    <row r="20" spans="1:25" ht="72.5" x14ac:dyDescent="0.35">
      <c r="A20" s="13" t="s">
        <v>74</v>
      </c>
      <c r="B20" s="13" t="s">
        <v>75</v>
      </c>
      <c r="C20" s="14">
        <v>43189.5</v>
      </c>
      <c r="D20" s="13" t="s">
        <v>76</v>
      </c>
      <c r="E20" s="15" t="s">
        <v>77</v>
      </c>
      <c r="F20" s="13" t="s">
        <v>78</v>
      </c>
      <c r="G20" s="15" t="s">
        <v>79</v>
      </c>
      <c r="H20" s="13" t="s">
        <v>80</v>
      </c>
      <c r="I20" s="15" t="s">
        <v>79</v>
      </c>
      <c r="J20" s="15" t="s">
        <v>81</v>
      </c>
      <c r="K20" s="15" t="s">
        <v>82</v>
      </c>
      <c r="L20" s="13" t="s">
        <v>107</v>
      </c>
      <c r="M20" s="15" t="s">
        <v>108</v>
      </c>
      <c r="N20" s="14" t="s">
        <v>85</v>
      </c>
      <c r="O20" s="15" t="s">
        <v>109</v>
      </c>
      <c r="P20" s="15" t="s">
        <v>110</v>
      </c>
      <c r="Q20" s="15" t="s">
        <v>171</v>
      </c>
      <c r="R20" s="13" t="s">
        <v>172</v>
      </c>
      <c r="S20" s="13" t="s">
        <v>90</v>
      </c>
      <c r="T20" s="13" t="s">
        <v>91</v>
      </c>
      <c r="U20" s="14">
        <v>40725</v>
      </c>
      <c r="V20" s="14"/>
      <c r="W20" s="15"/>
      <c r="X20" s="13"/>
      <c r="Y20" s="13"/>
    </row>
    <row r="21" spans="1:25" ht="29" x14ac:dyDescent="0.35">
      <c r="A21" s="13" t="s">
        <v>111</v>
      </c>
      <c r="B21" s="13" t="s">
        <v>112</v>
      </c>
      <c r="C21" s="14">
        <v>45950.390277777777</v>
      </c>
      <c r="D21" s="13" t="s">
        <v>76</v>
      </c>
      <c r="E21" s="15" t="s">
        <v>77</v>
      </c>
      <c r="F21" s="13" t="s">
        <v>78</v>
      </c>
      <c r="G21" s="15" t="s">
        <v>79</v>
      </c>
      <c r="H21" s="13" t="s">
        <v>80</v>
      </c>
      <c r="I21" s="15" t="s">
        <v>79</v>
      </c>
      <c r="J21" s="15" t="s">
        <v>81</v>
      </c>
      <c r="K21" s="15" t="s">
        <v>82</v>
      </c>
      <c r="L21" s="13" t="s">
        <v>113</v>
      </c>
      <c r="M21" s="15" t="s">
        <v>114</v>
      </c>
      <c r="N21" s="14" t="s">
        <v>85</v>
      </c>
      <c r="O21" s="15" t="s">
        <v>115</v>
      </c>
      <c r="P21" s="15" t="s">
        <v>116</v>
      </c>
      <c r="Q21" s="15" t="s">
        <v>171</v>
      </c>
      <c r="R21" s="13" t="s">
        <v>172</v>
      </c>
      <c r="S21" s="13" t="s">
        <v>90</v>
      </c>
      <c r="T21" s="13" t="s">
        <v>91</v>
      </c>
      <c r="U21" s="14">
        <v>40725</v>
      </c>
      <c r="V21" s="14">
        <v>40725</v>
      </c>
      <c r="W21" s="15"/>
      <c r="X21" s="13" t="s">
        <v>117</v>
      </c>
      <c r="Y21" s="13"/>
    </row>
    <row r="22" spans="1:25" ht="29" x14ac:dyDescent="0.35">
      <c r="A22" s="13" t="s">
        <v>111</v>
      </c>
      <c r="B22" s="13" t="s">
        <v>112</v>
      </c>
      <c r="C22" s="14">
        <v>45950.39166666667</v>
      </c>
      <c r="D22" s="13" t="s">
        <v>76</v>
      </c>
      <c r="E22" s="15" t="s">
        <v>77</v>
      </c>
      <c r="F22" s="13" t="s">
        <v>78</v>
      </c>
      <c r="G22" s="15" t="s">
        <v>79</v>
      </c>
      <c r="H22" s="13" t="s">
        <v>80</v>
      </c>
      <c r="I22" s="15" t="s">
        <v>79</v>
      </c>
      <c r="J22" s="15" t="s">
        <v>81</v>
      </c>
      <c r="K22" s="15" t="s">
        <v>82</v>
      </c>
      <c r="L22" s="13" t="s">
        <v>118</v>
      </c>
      <c r="M22" s="15" t="s">
        <v>114</v>
      </c>
      <c r="N22" s="14" t="s">
        <v>85</v>
      </c>
      <c r="O22" s="15" t="s">
        <v>119</v>
      </c>
      <c r="P22" s="15" t="s">
        <v>120</v>
      </c>
      <c r="Q22" s="15" t="s">
        <v>171</v>
      </c>
      <c r="R22" s="13" t="s">
        <v>172</v>
      </c>
      <c r="S22" s="13" t="s">
        <v>90</v>
      </c>
      <c r="T22" s="13" t="s">
        <v>91</v>
      </c>
      <c r="U22" s="14">
        <v>40725</v>
      </c>
      <c r="V22" s="14">
        <v>40725</v>
      </c>
      <c r="W22" s="15"/>
      <c r="X22" s="13" t="s">
        <v>117</v>
      </c>
      <c r="Y22" s="13"/>
    </row>
    <row r="23" spans="1:25" ht="58" x14ac:dyDescent="0.35">
      <c r="A23" s="13" t="s">
        <v>132</v>
      </c>
      <c r="B23" s="13" t="s">
        <v>112</v>
      </c>
      <c r="C23" s="14">
        <v>43628.442361111112</v>
      </c>
      <c r="D23" s="13" t="s">
        <v>76</v>
      </c>
      <c r="E23" s="15" t="s">
        <v>77</v>
      </c>
      <c r="F23" s="13" t="s">
        <v>78</v>
      </c>
      <c r="G23" s="15" t="s">
        <v>79</v>
      </c>
      <c r="H23" s="13" t="s">
        <v>80</v>
      </c>
      <c r="I23" s="15" t="s">
        <v>79</v>
      </c>
      <c r="J23" s="15" t="s">
        <v>81</v>
      </c>
      <c r="K23" s="15" t="s">
        <v>82</v>
      </c>
      <c r="L23" s="13" t="s">
        <v>83</v>
      </c>
      <c r="M23" s="15" t="s">
        <v>84</v>
      </c>
      <c r="N23" s="14" t="s">
        <v>85</v>
      </c>
      <c r="O23" s="15" t="s">
        <v>86</v>
      </c>
      <c r="P23" s="15" t="s">
        <v>87</v>
      </c>
      <c r="Q23" s="15" t="s">
        <v>173</v>
      </c>
      <c r="R23" s="13" t="s">
        <v>174</v>
      </c>
      <c r="S23" s="13" t="s">
        <v>175</v>
      </c>
      <c r="T23" s="13" t="s">
        <v>95</v>
      </c>
      <c r="U23" s="14">
        <v>40725</v>
      </c>
      <c r="V23" s="14"/>
      <c r="W23" s="15"/>
      <c r="X23" s="13"/>
      <c r="Y23" s="13"/>
    </row>
    <row r="24" spans="1:25" ht="58" x14ac:dyDescent="0.35">
      <c r="A24" s="13" t="s">
        <v>132</v>
      </c>
      <c r="B24" s="13" t="s">
        <v>75</v>
      </c>
      <c r="C24" s="14">
        <v>43628.446527777778</v>
      </c>
      <c r="D24" s="13" t="s">
        <v>76</v>
      </c>
      <c r="E24" s="15" t="s">
        <v>77</v>
      </c>
      <c r="F24" s="13" t="s">
        <v>78</v>
      </c>
      <c r="G24" s="15" t="s">
        <v>79</v>
      </c>
      <c r="H24" s="13" t="s">
        <v>80</v>
      </c>
      <c r="I24" s="15" t="s">
        <v>79</v>
      </c>
      <c r="J24" s="15" t="s">
        <v>81</v>
      </c>
      <c r="K24" s="15" t="s">
        <v>82</v>
      </c>
      <c r="L24" s="13" t="s">
        <v>83</v>
      </c>
      <c r="M24" s="15" t="s">
        <v>84</v>
      </c>
      <c r="N24" s="14" t="s">
        <v>85</v>
      </c>
      <c r="O24" s="15" t="s">
        <v>86</v>
      </c>
      <c r="P24" s="15" t="s">
        <v>87</v>
      </c>
      <c r="Q24" s="15" t="s">
        <v>187</v>
      </c>
      <c r="R24" s="13" t="s">
        <v>188</v>
      </c>
      <c r="S24" s="13" t="s">
        <v>175</v>
      </c>
      <c r="T24" s="13" t="s">
        <v>95</v>
      </c>
      <c r="U24" s="14">
        <v>40725</v>
      </c>
      <c r="V24" s="14"/>
      <c r="W24" s="15"/>
      <c r="X24" s="13"/>
      <c r="Y24" s="13"/>
    </row>
    <row r="25" spans="1:25" ht="58" x14ac:dyDescent="0.35">
      <c r="A25" s="13" t="s">
        <v>74</v>
      </c>
      <c r="B25" s="13" t="s">
        <v>75</v>
      </c>
      <c r="C25" s="14">
        <v>43152.5</v>
      </c>
      <c r="D25" s="13" t="s">
        <v>76</v>
      </c>
      <c r="E25" s="15" t="s">
        <v>77</v>
      </c>
      <c r="F25" s="13" t="s">
        <v>78</v>
      </c>
      <c r="G25" s="15" t="s">
        <v>79</v>
      </c>
      <c r="H25" s="13" t="s">
        <v>80</v>
      </c>
      <c r="I25" s="15" t="s">
        <v>79</v>
      </c>
      <c r="J25" s="15" t="s">
        <v>81</v>
      </c>
      <c r="K25" s="15" t="s">
        <v>82</v>
      </c>
      <c r="L25" s="13" t="s">
        <v>83</v>
      </c>
      <c r="M25" s="15" t="s">
        <v>84</v>
      </c>
      <c r="N25" s="14" t="s">
        <v>85</v>
      </c>
      <c r="O25" s="15" t="s">
        <v>86</v>
      </c>
      <c r="P25" s="15" t="s">
        <v>87</v>
      </c>
      <c r="Q25" s="15" t="s">
        <v>194</v>
      </c>
      <c r="R25" s="13" t="s">
        <v>195</v>
      </c>
      <c r="S25" s="13" t="s">
        <v>175</v>
      </c>
      <c r="T25" s="13" t="s">
        <v>95</v>
      </c>
      <c r="U25" s="14">
        <v>40725</v>
      </c>
      <c r="V25" s="14"/>
      <c r="W25" s="15"/>
      <c r="X25" s="13"/>
      <c r="Y25" s="13"/>
    </row>
    <row r="26" spans="1:25" ht="58" x14ac:dyDescent="0.35">
      <c r="A26" s="13" t="s">
        <v>74</v>
      </c>
      <c r="B26" s="13" t="s">
        <v>75</v>
      </c>
      <c r="C26" s="14">
        <v>43152.5</v>
      </c>
      <c r="D26" s="13" t="s">
        <v>76</v>
      </c>
      <c r="E26" s="15" t="s">
        <v>77</v>
      </c>
      <c r="F26" s="13" t="s">
        <v>78</v>
      </c>
      <c r="G26" s="15" t="s">
        <v>79</v>
      </c>
      <c r="H26" s="13" t="s">
        <v>80</v>
      </c>
      <c r="I26" s="15" t="s">
        <v>79</v>
      </c>
      <c r="J26" s="15" t="s">
        <v>81</v>
      </c>
      <c r="K26" s="15" t="s">
        <v>82</v>
      </c>
      <c r="L26" s="13" t="s">
        <v>83</v>
      </c>
      <c r="M26" s="15" t="s">
        <v>84</v>
      </c>
      <c r="N26" s="14" t="s">
        <v>85</v>
      </c>
      <c r="O26" s="15" t="s">
        <v>86</v>
      </c>
      <c r="P26" s="15" t="s">
        <v>87</v>
      </c>
      <c r="Q26" s="15" t="s">
        <v>197</v>
      </c>
      <c r="R26" s="13" t="s">
        <v>198</v>
      </c>
      <c r="S26" s="13" t="s">
        <v>175</v>
      </c>
      <c r="T26" s="13" t="s">
        <v>95</v>
      </c>
      <c r="U26" s="14">
        <v>40725</v>
      </c>
      <c r="V26" s="14"/>
      <c r="W26" s="15"/>
      <c r="X26" s="13"/>
      <c r="Y26" s="13"/>
    </row>
    <row r="27" spans="1:25" ht="58" x14ac:dyDescent="0.35">
      <c r="A27" s="13" t="s">
        <v>199</v>
      </c>
      <c r="B27" s="13" t="s">
        <v>75</v>
      </c>
      <c r="C27" s="14">
        <v>44049.634027777778</v>
      </c>
      <c r="D27" s="13" t="s">
        <v>76</v>
      </c>
      <c r="E27" s="15" t="s">
        <v>77</v>
      </c>
      <c r="F27" s="13" t="s">
        <v>78</v>
      </c>
      <c r="G27" s="15" t="s">
        <v>79</v>
      </c>
      <c r="H27" s="13" t="s">
        <v>80</v>
      </c>
      <c r="I27" s="15" t="s">
        <v>79</v>
      </c>
      <c r="J27" s="15" t="s">
        <v>81</v>
      </c>
      <c r="K27" s="15" t="s">
        <v>82</v>
      </c>
      <c r="L27" s="13" t="s">
        <v>83</v>
      </c>
      <c r="M27" s="15" t="s">
        <v>84</v>
      </c>
      <c r="N27" s="14" t="s">
        <v>85</v>
      </c>
      <c r="O27" s="15" t="s">
        <v>86</v>
      </c>
      <c r="P27" s="15" t="s">
        <v>87</v>
      </c>
      <c r="Q27" s="15" t="s">
        <v>200</v>
      </c>
      <c r="R27" s="13" t="s">
        <v>201</v>
      </c>
      <c r="S27" s="13" t="s">
        <v>175</v>
      </c>
      <c r="T27" s="13" t="s">
        <v>91</v>
      </c>
      <c r="U27" s="14">
        <v>40725</v>
      </c>
      <c r="V27" s="14">
        <v>43683</v>
      </c>
      <c r="W27" s="15"/>
      <c r="X27" s="13"/>
      <c r="Y27" s="13"/>
    </row>
    <row r="28" spans="1:25" ht="58" x14ac:dyDescent="0.35">
      <c r="A28" s="13" t="s">
        <v>199</v>
      </c>
      <c r="B28" s="13" t="s">
        <v>75</v>
      </c>
      <c r="C28" s="14">
        <v>44049.635416666664</v>
      </c>
      <c r="D28" s="13" t="s">
        <v>76</v>
      </c>
      <c r="E28" s="15" t="s">
        <v>77</v>
      </c>
      <c r="F28" s="13" t="s">
        <v>78</v>
      </c>
      <c r="G28" s="15" t="s">
        <v>79</v>
      </c>
      <c r="H28" s="13" t="s">
        <v>80</v>
      </c>
      <c r="I28" s="15" t="s">
        <v>79</v>
      </c>
      <c r="J28" s="15" t="s">
        <v>81</v>
      </c>
      <c r="K28" s="15" t="s">
        <v>82</v>
      </c>
      <c r="L28" s="13" t="s">
        <v>83</v>
      </c>
      <c r="M28" s="15" t="s">
        <v>84</v>
      </c>
      <c r="N28" s="14" t="s">
        <v>85</v>
      </c>
      <c r="O28" s="15" t="s">
        <v>86</v>
      </c>
      <c r="P28" s="15" t="s">
        <v>87</v>
      </c>
      <c r="Q28" s="15" t="s">
        <v>200</v>
      </c>
      <c r="R28" s="13" t="s">
        <v>201</v>
      </c>
      <c r="S28" s="13" t="s">
        <v>175</v>
      </c>
      <c r="T28" s="13" t="s">
        <v>95</v>
      </c>
      <c r="U28" s="14">
        <v>43684</v>
      </c>
      <c r="V28" s="14"/>
      <c r="W28" s="15"/>
      <c r="X28" s="13"/>
      <c r="Y28" s="13"/>
    </row>
    <row r="29" spans="1:25" ht="58" x14ac:dyDescent="0.35">
      <c r="A29" s="13" t="s">
        <v>74</v>
      </c>
      <c r="B29" s="13" t="s">
        <v>75</v>
      </c>
      <c r="C29" s="14">
        <v>43152.5</v>
      </c>
      <c r="D29" s="13" t="s">
        <v>76</v>
      </c>
      <c r="E29" s="15" t="s">
        <v>77</v>
      </c>
      <c r="F29" s="13" t="s">
        <v>78</v>
      </c>
      <c r="G29" s="15" t="s">
        <v>79</v>
      </c>
      <c r="H29" s="13" t="s">
        <v>80</v>
      </c>
      <c r="I29" s="15" t="s">
        <v>79</v>
      </c>
      <c r="J29" s="15" t="s">
        <v>81</v>
      </c>
      <c r="K29" s="15" t="s">
        <v>82</v>
      </c>
      <c r="L29" s="13" t="s">
        <v>83</v>
      </c>
      <c r="M29" s="15" t="s">
        <v>84</v>
      </c>
      <c r="N29" s="14" t="s">
        <v>85</v>
      </c>
      <c r="O29" s="15" t="s">
        <v>86</v>
      </c>
      <c r="P29" s="15" t="s">
        <v>87</v>
      </c>
      <c r="Q29" s="15" t="s">
        <v>233</v>
      </c>
      <c r="R29" s="13" t="s">
        <v>234</v>
      </c>
      <c r="S29" s="13" t="s">
        <v>175</v>
      </c>
      <c r="T29" s="13" t="s">
        <v>91</v>
      </c>
      <c r="U29" s="14">
        <v>40725</v>
      </c>
      <c r="V29" s="14"/>
      <c r="W29" s="15"/>
      <c r="X29" s="13"/>
      <c r="Y29" s="13"/>
    </row>
    <row r="30" spans="1:25" ht="58" x14ac:dyDescent="0.35">
      <c r="A30" s="13" t="s">
        <v>74</v>
      </c>
      <c r="B30" s="13" t="s">
        <v>75</v>
      </c>
      <c r="C30" s="14">
        <v>43152.5</v>
      </c>
      <c r="D30" s="13" t="s">
        <v>76</v>
      </c>
      <c r="E30" s="15" t="s">
        <v>77</v>
      </c>
      <c r="F30" s="13" t="s">
        <v>78</v>
      </c>
      <c r="G30" s="15" t="s">
        <v>79</v>
      </c>
      <c r="H30" s="13" t="s">
        <v>80</v>
      </c>
      <c r="I30" s="15" t="s">
        <v>79</v>
      </c>
      <c r="J30" s="15" t="s">
        <v>81</v>
      </c>
      <c r="K30" s="15" t="s">
        <v>82</v>
      </c>
      <c r="L30" s="13" t="s">
        <v>92</v>
      </c>
      <c r="M30" s="15" t="s">
        <v>79</v>
      </c>
      <c r="N30" s="14" t="s">
        <v>85</v>
      </c>
      <c r="O30" s="15" t="s">
        <v>93</v>
      </c>
      <c r="P30" s="15" t="s">
        <v>94</v>
      </c>
      <c r="Q30" s="15" t="s">
        <v>233</v>
      </c>
      <c r="R30" s="13" t="s">
        <v>234</v>
      </c>
      <c r="S30" s="13" t="s">
        <v>175</v>
      </c>
      <c r="T30" s="13" t="s">
        <v>91</v>
      </c>
      <c r="U30" s="14">
        <v>40725</v>
      </c>
      <c r="V30" s="14"/>
      <c r="W30" s="15"/>
      <c r="X30" s="13"/>
      <c r="Y30" s="13"/>
    </row>
    <row r="31" spans="1:25" ht="58" x14ac:dyDescent="0.35">
      <c r="A31" s="13" t="s">
        <v>132</v>
      </c>
      <c r="B31" s="13" t="s">
        <v>112</v>
      </c>
      <c r="C31" s="14">
        <v>43628.443055555559</v>
      </c>
      <c r="D31" s="13" t="s">
        <v>76</v>
      </c>
      <c r="E31" s="15" t="s">
        <v>77</v>
      </c>
      <c r="F31" s="13" t="s">
        <v>78</v>
      </c>
      <c r="G31" s="15" t="s">
        <v>79</v>
      </c>
      <c r="H31" s="13" t="s">
        <v>80</v>
      </c>
      <c r="I31" s="15" t="s">
        <v>79</v>
      </c>
      <c r="J31" s="15" t="s">
        <v>81</v>
      </c>
      <c r="K31" s="15" t="s">
        <v>82</v>
      </c>
      <c r="L31" s="13" t="s">
        <v>83</v>
      </c>
      <c r="M31" s="15" t="s">
        <v>84</v>
      </c>
      <c r="N31" s="14" t="s">
        <v>85</v>
      </c>
      <c r="O31" s="15" t="s">
        <v>86</v>
      </c>
      <c r="P31" s="15" t="s">
        <v>87</v>
      </c>
      <c r="Q31" s="15" t="s">
        <v>235</v>
      </c>
      <c r="R31" s="13" t="s">
        <v>236</v>
      </c>
      <c r="S31" s="13" t="s">
        <v>175</v>
      </c>
      <c r="T31" s="13" t="s">
        <v>95</v>
      </c>
      <c r="U31" s="14">
        <v>40725</v>
      </c>
      <c r="V31" s="14"/>
      <c r="W31" s="15"/>
      <c r="X31" s="13"/>
      <c r="Y31" s="13"/>
    </row>
    <row r="32" spans="1:25" ht="58" x14ac:dyDescent="0.35">
      <c r="A32" s="13" t="s">
        <v>240</v>
      </c>
      <c r="B32" s="13" t="s">
        <v>112</v>
      </c>
      <c r="C32" s="14">
        <v>45783.602083333331</v>
      </c>
      <c r="D32" s="13" t="s">
        <v>76</v>
      </c>
      <c r="E32" s="15" t="s">
        <v>77</v>
      </c>
      <c r="F32" s="13" t="s">
        <v>78</v>
      </c>
      <c r="G32" s="15" t="s">
        <v>79</v>
      </c>
      <c r="H32" s="13" t="s">
        <v>80</v>
      </c>
      <c r="I32" s="15" t="s">
        <v>79</v>
      </c>
      <c r="J32" s="15" t="s">
        <v>81</v>
      </c>
      <c r="K32" s="15" t="s">
        <v>82</v>
      </c>
      <c r="L32" s="13" t="s">
        <v>83</v>
      </c>
      <c r="M32" s="15" t="s">
        <v>84</v>
      </c>
      <c r="N32" s="14" t="s">
        <v>85</v>
      </c>
      <c r="O32" s="15" t="s">
        <v>86</v>
      </c>
      <c r="P32" s="15" t="s">
        <v>87</v>
      </c>
      <c r="Q32" s="15" t="s">
        <v>241</v>
      </c>
      <c r="R32" s="13" t="s">
        <v>242</v>
      </c>
      <c r="S32" s="13" t="s">
        <v>175</v>
      </c>
      <c r="T32" s="13" t="s">
        <v>95</v>
      </c>
      <c r="U32" s="14">
        <v>40725</v>
      </c>
      <c r="V32" s="14">
        <v>44196</v>
      </c>
      <c r="W32" s="15"/>
      <c r="X32" s="13"/>
      <c r="Y32" s="13"/>
    </row>
    <row r="33" spans="1:25" ht="58" x14ac:dyDescent="0.35">
      <c r="A33" s="13" t="s">
        <v>240</v>
      </c>
      <c r="B33" s="13" t="s">
        <v>75</v>
      </c>
      <c r="C33" s="14">
        <v>45783.602083333331</v>
      </c>
      <c r="D33" s="13" t="s">
        <v>76</v>
      </c>
      <c r="E33" s="15" t="s">
        <v>77</v>
      </c>
      <c r="F33" s="13" t="s">
        <v>78</v>
      </c>
      <c r="G33" s="15" t="s">
        <v>79</v>
      </c>
      <c r="H33" s="13" t="s">
        <v>80</v>
      </c>
      <c r="I33" s="15" t="s">
        <v>79</v>
      </c>
      <c r="J33" s="15" t="s">
        <v>81</v>
      </c>
      <c r="K33" s="15" t="s">
        <v>82</v>
      </c>
      <c r="L33" s="13" t="s">
        <v>83</v>
      </c>
      <c r="M33" s="15" t="s">
        <v>84</v>
      </c>
      <c r="N33" s="14" t="s">
        <v>85</v>
      </c>
      <c r="O33" s="15" t="s">
        <v>86</v>
      </c>
      <c r="P33" s="15" t="s">
        <v>87</v>
      </c>
      <c r="Q33" s="15" t="s">
        <v>241</v>
      </c>
      <c r="R33" s="13" t="s">
        <v>242</v>
      </c>
      <c r="S33" s="13" t="s">
        <v>175</v>
      </c>
      <c r="T33" s="13" t="s">
        <v>95</v>
      </c>
      <c r="U33" s="14">
        <v>44197</v>
      </c>
      <c r="V33" s="14"/>
      <c r="W33" s="15"/>
      <c r="X33" s="13"/>
      <c r="Y33" s="13"/>
    </row>
    <row r="34" spans="1:25" ht="72.5" x14ac:dyDescent="0.35">
      <c r="A34" s="13" t="s">
        <v>132</v>
      </c>
      <c r="B34" s="13" t="s">
        <v>112</v>
      </c>
      <c r="C34" s="14">
        <v>43628.443749999999</v>
      </c>
      <c r="D34" s="13" t="s">
        <v>76</v>
      </c>
      <c r="E34" s="15" t="s">
        <v>77</v>
      </c>
      <c r="F34" s="13" t="s">
        <v>78</v>
      </c>
      <c r="G34" s="15" t="s">
        <v>79</v>
      </c>
      <c r="H34" s="13" t="s">
        <v>80</v>
      </c>
      <c r="I34" s="15" t="s">
        <v>79</v>
      </c>
      <c r="J34" s="15" t="s">
        <v>81</v>
      </c>
      <c r="K34" s="15" t="s">
        <v>82</v>
      </c>
      <c r="L34" s="13" t="s">
        <v>107</v>
      </c>
      <c r="M34" s="15" t="s">
        <v>108</v>
      </c>
      <c r="N34" s="14" t="s">
        <v>85</v>
      </c>
      <c r="O34" s="15" t="s">
        <v>109</v>
      </c>
      <c r="P34" s="15" t="s">
        <v>110</v>
      </c>
      <c r="Q34" s="15" t="s">
        <v>257</v>
      </c>
      <c r="R34" s="13" t="s">
        <v>258</v>
      </c>
      <c r="S34" s="13" t="s">
        <v>175</v>
      </c>
      <c r="T34" s="13" t="s">
        <v>95</v>
      </c>
      <c r="U34" s="14">
        <v>40725</v>
      </c>
      <c r="V34" s="14"/>
      <c r="W34" s="15"/>
      <c r="X34" s="13"/>
      <c r="Y34" s="13"/>
    </row>
    <row r="35" spans="1:25" ht="87" x14ac:dyDescent="0.35">
      <c r="A35" s="13" t="s">
        <v>74</v>
      </c>
      <c r="B35" s="13" t="s">
        <v>75</v>
      </c>
      <c r="C35" s="14">
        <v>43164.738194444442</v>
      </c>
      <c r="D35" s="13" t="s">
        <v>76</v>
      </c>
      <c r="E35" s="15" t="s">
        <v>77</v>
      </c>
      <c r="F35" s="13" t="s">
        <v>78</v>
      </c>
      <c r="G35" s="15" t="s">
        <v>79</v>
      </c>
      <c r="H35" s="13" t="s">
        <v>80</v>
      </c>
      <c r="I35" s="15" t="s">
        <v>79</v>
      </c>
      <c r="J35" s="15" t="s">
        <v>81</v>
      </c>
      <c r="K35" s="15" t="s">
        <v>82</v>
      </c>
      <c r="L35" s="13" t="s">
        <v>83</v>
      </c>
      <c r="M35" s="15" t="s">
        <v>84</v>
      </c>
      <c r="N35" s="14" t="s">
        <v>85</v>
      </c>
      <c r="O35" s="15" t="s">
        <v>86</v>
      </c>
      <c r="P35" s="15" t="s">
        <v>87</v>
      </c>
      <c r="Q35" s="15" t="s">
        <v>268</v>
      </c>
      <c r="R35" s="13" t="s">
        <v>269</v>
      </c>
      <c r="S35" s="13" t="s">
        <v>175</v>
      </c>
      <c r="T35" s="13" t="s">
        <v>95</v>
      </c>
      <c r="U35" s="14">
        <v>43101</v>
      </c>
      <c r="V35" s="14"/>
      <c r="W35" s="15"/>
      <c r="X35" s="13"/>
      <c r="Y35" s="13"/>
    </row>
    <row r="36" spans="1:25" ht="72.5" x14ac:dyDescent="0.35">
      <c r="A36" s="13" t="s">
        <v>111</v>
      </c>
      <c r="B36" s="13" t="s">
        <v>75</v>
      </c>
      <c r="C36" s="14">
        <v>45947.451388888891</v>
      </c>
      <c r="D36" s="13" t="s">
        <v>76</v>
      </c>
      <c r="E36" s="15" t="s">
        <v>77</v>
      </c>
      <c r="F36" s="13" t="s">
        <v>78</v>
      </c>
      <c r="G36" s="15" t="s">
        <v>79</v>
      </c>
      <c r="H36" s="13" t="s">
        <v>80</v>
      </c>
      <c r="I36" s="15" t="s">
        <v>79</v>
      </c>
      <c r="J36" s="15" t="s">
        <v>81</v>
      </c>
      <c r="K36" s="15" t="s">
        <v>82</v>
      </c>
      <c r="L36" s="13" t="s">
        <v>107</v>
      </c>
      <c r="M36" s="15" t="s">
        <v>108</v>
      </c>
      <c r="N36" s="14" t="s">
        <v>85</v>
      </c>
      <c r="O36" s="15" t="s">
        <v>109</v>
      </c>
      <c r="P36" s="15" t="s">
        <v>110</v>
      </c>
      <c r="Q36" s="15" t="s">
        <v>271</v>
      </c>
      <c r="R36" s="13" t="s">
        <v>272</v>
      </c>
      <c r="S36" s="13" t="s">
        <v>175</v>
      </c>
      <c r="T36" s="13" t="s">
        <v>95</v>
      </c>
      <c r="U36" s="14">
        <v>40725</v>
      </c>
      <c r="V36" s="14"/>
      <c r="W36" s="15"/>
      <c r="X36" s="13" t="s">
        <v>117</v>
      </c>
      <c r="Y36" s="13"/>
    </row>
    <row r="37" spans="1:25" ht="29" x14ac:dyDescent="0.35">
      <c r="A37" s="13" t="s">
        <v>111</v>
      </c>
      <c r="B37" s="13" t="s">
        <v>112</v>
      </c>
      <c r="C37" s="14">
        <v>45944.395833333336</v>
      </c>
      <c r="D37" s="13" t="s">
        <v>76</v>
      </c>
      <c r="E37" s="15" t="s">
        <v>77</v>
      </c>
      <c r="F37" s="13" t="s">
        <v>78</v>
      </c>
      <c r="G37" s="15" t="s">
        <v>79</v>
      </c>
      <c r="H37" s="13" t="s">
        <v>80</v>
      </c>
      <c r="I37" s="15" t="s">
        <v>79</v>
      </c>
      <c r="J37" s="15" t="s">
        <v>81</v>
      </c>
      <c r="K37" s="15" t="s">
        <v>82</v>
      </c>
      <c r="L37" s="13" t="s">
        <v>113</v>
      </c>
      <c r="M37" s="15" t="s">
        <v>114</v>
      </c>
      <c r="N37" s="14" t="s">
        <v>85</v>
      </c>
      <c r="O37" s="15" t="s">
        <v>115</v>
      </c>
      <c r="P37" s="15" t="s">
        <v>116</v>
      </c>
      <c r="Q37" s="15" t="s">
        <v>271</v>
      </c>
      <c r="R37" s="13" t="s">
        <v>272</v>
      </c>
      <c r="S37" s="13" t="s">
        <v>175</v>
      </c>
      <c r="T37" s="13" t="s">
        <v>95</v>
      </c>
      <c r="U37" s="14">
        <v>40725</v>
      </c>
      <c r="V37" s="14">
        <v>40725</v>
      </c>
      <c r="W37" s="15"/>
      <c r="X37" s="13" t="s">
        <v>117</v>
      </c>
      <c r="Y37" s="13"/>
    </row>
    <row r="38" spans="1:25" ht="29" x14ac:dyDescent="0.35">
      <c r="A38" s="13" t="s">
        <v>111</v>
      </c>
      <c r="B38" s="13" t="s">
        <v>112</v>
      </c>
      <c r="C38" s="14">
        <v>45944.395833333336</v>
      </c>
      <c r="D38" s="13" t="s">
        <v>76</v>
      </c>
      <c r="E38" s="15" t="s">
        <v>77</v>
      </c>
      <c r="F38" s="13" t="s">
        <v>78</v>
      </c>
      <c r="G38" s="15" t="s">
        <v>79</v>
      </c>
      <c r="H38" s="13" t="s">
        <v>80</v>
      </c>
      <c r="I38" s="15" t="s">
        <v>79</v>
      </c>
      <c r="J38" s="15" t="s">
        <v>81</v>
      </c>
      <c r="K38" s="15" t="s">
        <v>82</v>
      </c>
      <c r="L38" s="13" t="s">
        <v>118</v>
      </c>
      <c r="M38" s="15" t="s">
        <v>114</v>
      </c>
      <c r="N38" s="14" t="s">
        <v>85</v>
      </c>
      <c r="O38" s="15" t="s">
        <v>119</v>
      </c>
      <c r="P38" s="15" t="s">
        <v>120</v>
      </c>
      <c r="Q38" s="15" t="s">
        <v>271</v>
      </c>
      <c r="R38" s="13" t="s">
        <v>272</v>
      </c>
      <c r="S38" s="13" t="s">
        <v>175</v>
      </c>
      <c r="T38" s="13" t="s">
        <v>95</v>
      </c>
      <c r="U38" s="14">
        <v>40725</v>
      </c>
      <c r="V38" s="14">
        <v>40725</v>
      </c>
      <c r="W38" s="15"/>
      <c r="X38" s="13" t="s">
        <v>117</v>
      </c>
      <c r="Y38" s="13"/>
    </row>
    <row r="39" spans="1:25" x14ac:dyDescent="0.35">
      <c r="C39" s="16"/>
      <c r="N39" s="16"/>
      <c r="U39" s="16"/>
      <c r="V39" s="16"/>
    </row>
    <row r="40" spans="1:25" x14ac:dyDescent="0.35">
      <c r="C40" s="16"/>
      <c r="N40" s="16"/>
      <c r="U40" s="16"/>
      <c r="V40" s="16"/>
    </row>
    <row r="41" spans="1:25" x14ac:dyDescent="0.35">
      <c r="C41" s="16"/>
      <c r="N41" s="16"/>
      <c r="U41" s="16"/>
      <c r="V41" s="16"/>
    </row>
    <row r="42" spans="1:25" x14ac:dyDescent="0.35">
      <c r="C42" s="16"/>
      <c r="N42" s="16"/>
      <c r="U42" s="16"/>
      <c r="V42" s="16"/>
    </row>
    <row r="43" spans="1:25" x14ac:dyDescent="0.35">
      <c r="C43" s="16"/>
      <c r="N43" s="16"/>
      <c r="U43" s="16"/>
      <c r="V43" s="16"/>
    </row>
    <row r="44" spans="1:25" x14ac:dyDescent="0.35">
      <c r="C44" s="16"/>
      <c r="N44" s="16"/>
      <c r="U44" s="16"/>
      <c r="V44" s="16"/>
    </row>
    <row r="45" spans="1:25" x14ac:dyDescent="0.35">
      <c r="C45" s="16"/>
      <c r="N45" s="16"/>
      <c r="U45" s="16"/>
      <c r="V45" s="16"/>
    </row>
    <row r="46" spans="1:25" x14ac:dyDescent="0.35">
      <c r="C46" s="16"/>
      <c r="N46" s="16"/>
      <c r="U46" s="16"/>
      <c r="V46" s="16"/>
    </row>
    <row r="47" spans="1:25" x14ac:dyDescent="0.35">
      <c r="C47" s="16"/>
      <c r="N47" s="16"/>
      <c r="U47" s="16"/>
      <c r="V47" s="16"/>
    </row>
    <row r="48" spans="1:25" x14ac:dyDescent="0.35">
      <c r="C48" s="16"/>
      <c r="N48" s="16"/>
      <c r="U48" s="16"/>
      <c r="V48" s="16"/>
    </row>
    <row r="49" spans="3:22" x14ac:dyDescent="0.35">
      <c r="C49" s="16"/>
      <c r="N49" s="16"/>
      <c r="U49" s="16"/>
      <c r="V49" s="16"/>
    </row>
    <row r="50" spans="3:22" x14ac:dyDescent="0.35">
      <c r="C50" s="16"/>
      <c r="N50" s="16"/>
      <c r="U50" s="16"/>
      <c r="V50" s="16"/>
    </row>
    <row r="51" spans="3:22" x14ac:dyDescent="0.35">
      <c r="C51" s="16"/>
      <c r="N51" s="16"/>
      <c r="U51" s="16"/>
      <c r="V51" s="16"/>
    </row>
    <row r="52" spans="3:22" x14ac:dyDescent="0.35">
      <c r="C52" s="16"/>
      <c r="N52" s="16"/>
      <c r="U52" s="16"/>
      <c r="V52" s="16"/>
    </row>
    <row r="53" spans="3:22" x14ac:dyDescent="0.35">
      <c r="C53" s="16"/>
      <c r="N53" s="16"/>
      <c r="U53" s="16"/>
      <c r="V53" s="16"/>
    </row>
    <row r="54" spans="3:22" x14ac:dyDescent="0.35">
      <c r="C54" s="16"/>
      <c r="N54" s="16"/>
      <c r="U54" s="16"/>
      <c r="V54" s="16"/>
    </row>
    <row r="55" spans="3:22" x14ac:dyDescent="0.35">
      <c r="C55" s="16"/>
      <c r="N55" s="16"/>
      <c r="U55" s="16"/>
      <c r="V55" s="16"/>
    </row>
    <row r="56" spans="3:22" x14ac:dyDescent="0.35">
      <c r="C56" s="16"/>
      <c r="N56" s="16"/>
      <c r="U56" s="16"/>
      <c r="V56" s="16"/>
    </row>
    <row r="57" spans="3:22" x14ac:dyDescent="0.35">
      <c r="C57" s="16"/>
      <c r="N57" s="16"/>
      <c r="U57" s="16"/>
      <c r="V57" s="16"/>
    </row>
    <row r="58" spans="3:22" x14ac:dyDescent="0.35">
      <c r="C58" s="16"/>
      <c r="N58" s="16"/>
      <c r="U58" s="16"/>
      <c r="V58" s="16"/>
    </row>
    <row r="59" spans="3:22" x14ac:dyDescent="0.35">
      <c r="C59" s="16"/>
      <c r="N59" s="16"/>
      <c r="U59" s="16"/>
      <c r="V59" s="16"/>
    </row>
    <row r="60" spans="3:22" x14ac:dyDescent="0.35">
      <c r="C60" s="16"/>
      <c r="N60" s="16"/>
      <c r="U60" s="16"/>
      <c r="V60" s="16"/>
    </row>
    <row r="61" spans="3:22" x14ac:dyDescent="0.35">
      <c r="C61" s="16"/>
      <c r="N61" s="16"/>
      <c r="U61" s="16"/>
      <c r="V61" s="16"/>
    </row>
    <row r="62" spans="3:22" x14ac:dyDescent="0.35">
      <c r="C62" s="16"/>
      <c r="N62" s="16"/>
      <c r="U62" s="16"/>
      <c r="V62" s="16"/>
    </row>
    <row r="63" spans="3:22" x14ac:dyDescent="0.35">
      <c r="C63" s="16"/>
      <c r="N63" s="16"/>
      <c r="U63" s="16"/>
      <c r="V63" s="16"/>
    </row>
    <row r="64" spans="3:22" x14ac:dyDescent="0.35">
      <c r="C64" s="16"/>
      <c r="N64" s="16"/>
      <c r="U64" s="16"/>
      <c r="V64" s="16"/>
    </row>
    <row r="65" spans="3:22" x14ac:dyDescent="0.35">
      <c r="C65" s="16"/>
      <c r="N65" s="16"/>
      <c r="U65" s="16"/>
      <c r="V65" s="16"/>
    </row>
    <row r="66" spans="3:22" x14ac:dyDescent="0.35">
      <c r="C66" s="16"/>
      <c r="N66" s="16"/>
      <c r="U66" s="16"/>
      <c r="V66" s="16"/>
    </row>
    <row r="67" spans="3:22" x14ac:dyDescent="0.35">
      <c r="C67" s="16"/>
      <c r="N67" s="16"/>
      <c r="U67" s="16"/>
      <c r="V67" s="16"/>
    </row>
    <row r="68" spans="3:22" x14ac:dyDescent="0.35">
      <c r="C68" s="16"/>
      <c r="N68" s="16"/>
      <c r="U68" s="16"/>
      <c r="V68" s="16"/>
    </row>
    <row r="69" spans="3:22" x14ac:dyDescent="0.35">
      <c r="C69" s="16"/>
      <c r="N69" s="16"/>
      <c r="U69" s="16"/>
      <c r="V69" s="16"/>
    </row>
    <row r="70" spans="3:22" x14ac:dyDescent="0.35">
      <c r="C70" s="16"/>
      <c r="N70" s="16"/>
      <c r="U70" s="16"/>
      <c r="V70" s="16"/>
    </row>
    <row r="71" spans="3:22" x14ac:dyDescent="0.35">
      <c r="C71" s="16"/>
      <c r="N71" s="16"/>
      <c r="U71" s="16"/>
      <c r="V71" s="16"/>
    </row>
    <row r="72" spans="3:22" x14ac:dyDescent="0.35">
      <c r="C72" s="16"/>
      <c r="N72" s="16"/>
      <c r="U72" s="16"/>
      <c r="V72" s="16"/>
    </row>
    <row r="73" spans="3:22" x14ac:dyDescent="0.35">
      <c r="C73" s="16"/>
      <c r="N73" s="16"/>
      <c r="U73" s="16"/>
      <c r="V73" s="16"/>
    </row>
    <row r="74" spans="3:22" x14ac:dyDescent="0.35">
      <c r="C74" s="16"/>
      <c r="N74" s="16"/>
      <c r="U74" s="16"/>
      <c r="V74" s="16"/>
    </row>
    <row r="75" spans="3:22" x14ac:dyDescent="0.35">
      <c r="C75" s="16"/>
      <c r="N75" s="16"/>
      <c r="U75" s="16"/>
      <c r="V75" s="16"/>
    </row>
    <row r="76" spans="3:22" x14ac:dyDescent="0.35">
      <c r="C76" s="16"/>
      <c r="N76" s="16"/>
      <c r="U76" s="16"/>
      <c r="V76" s="16"/>
    </row>
    <row r="77" spans="3:22" x14ac:dyDescent="0.35">
      <c r="C77" s="16"/>
      <c r="N77" s="16"/>
      <c r="U77" s="16"/>
      <c r="V77" s="16"/>
    </row>
    <row r="78" spans="3:22" x14ac:dyDescent="0.35">
      <c r="C78" s="16"/>
      <c r="N78" s="16"/>
      <c r="U78" s="16"/>
      <c r="V78" s="16"/>
    </row>
    <row r="79" spans="3:22" x14ac:dyDescent="0.35">
      <c r="C79" s="16"/>
      <c r="N79" s="16"/>
      <c r="U79" s="16"/>
      <c r="V79" s="16"/>
    </row>
    <row r="80" spans="3:22" x14ac:dyDescent="0.35">
      <c r="C80" s="16"/>
      <c r="N80" s="16"/>
      <c r="U80" s="16"/>
      <c r="V80" s="16"/>
    </row>
    <row r="81" spans="3:22" x14ac:dyDescent="0.35">
      <c r="C81" s="16"/>
      <c r="N81" s="16"/>
      <c r="U81" s="16"/>
      <c r="V81" s="16"/>
    </row>
    <row r="82" spans="3:22" x14ac:dyDescent="0.35">
      <c r="C82" s="16"/>
      <c r="N82" s="16"/>
      <c r="U82" s="16"/>
      <c r="V82" s="16"/>
    </row>
    <row r="83" spans="3:22" x14ac:dyDescent="0.35">
      <c r="C83" s="16"/>
      <c r="N83" s="16"/>
      <c r="U83" s="16"/>
      <c r="V83" s="16"/>
    </row>
    <row r="84" spans="3:22" x14ac:dyDescent="0.35">
      <c r="C84" s="16"/>
      <c r="N84" s="16"/>
      <c r="U84" s="16"/>
      <c r="V84" s="16"/>
    </row>
    <row r="85" spans="3:22" x14ac:dyDescent="0.35">
      <c r="C85" s="16"/>
      <c r="N85" s="16"/>
      <c r="U85" s="16"/>
      <c r="V85" s="16"/>
    </row>
    <row r="86" spans="3:22" x14ac:dyDescent="0.35">
      <c r="C86" s="16"/>
      <c r="N86" s="16"/>
      <c r="U86" s="16"/>
      <c r="V86" s="16"/>
    </row>
    <row r="87" spans="3:22" x14ac:dyDescent="0.35">
      <c r="C87" s="16"/>
      <c r="N87" s="16"/>
      <c r="U87" s="16"/>
      <c r="V87" s="16"/>
    </row>
    <row r="88" spans="3:22" x14ac:dyDescent="0.35">
      <c r="C88" s="16"/>
      <c r="N88" s="16"/>
      <c r="U88" s="16"/>
      <c r="V88" s="16"/>
    </row>
    <row r="89" spans="3:22" x14ac:dyDescent="0.35">
      <c r="C89" s="16"/>
      <c r="N89" s="16"/>
      <c r="U89" s="16"/>
      <c r="V89" s="16"/>
    </row>
    <row r="90" spans="3:22" x14ac:dyDescent="0.35">
      <c r="C90" s="16"/>
      <c r="N90" s="16"/>
      <c r="U90" s="16"/>
      <c r="V90" s="16"/>
    </row>
    <row r="91" spans="3:22" x14ac:dyDescent="0.35">
      <c r="C91" s="16"/>
      <c r="N91" s="16"/>
      <c r="U91" s="16"/>
      <c r="V91" s="16"/>
    </row>
    <row r="92" spans="3:22" x14ac:dyDescent="0.35">
      <c r="C92" s="16"/>
      <c r="N92" s="16"/>
      <c r="U92" s="16"/>
      <c r="V92" s="16"/>
    </row>
    <row r="93" spans="3:22" x14ac:dyDescent="0.35">
      <c r="C93" s="16"/>
      <c r="N93" s="16"/>
      <c r="U93" s="16"/>
      <c r="V93" s="16"/>
    </row>
    <row r="94" spans="3:22" x14ac:dyDescent="0.35">
      <c r="C94" s="16"/>
      <c r="N94" s="16"/>
      <c r="U94" s="16"/>
      <c r="V94" s="16"/>
    </row>
    <row r="95" spans="3:22" x14ac:dyDescent="0.35">
      <c r="C95" s="16"/>
      <c r="N95" s="16"/>
      <c r="U95" s="16"/>
      <c r="V95" s="16"/>
    </row>
    <row r="96" spans="3:22" x14ac:dyDescent="0.35">
      <c r="C96" s="16"/>
      <c r="N96" s="16"/>
      <c r="U96" s="16"/>
      <c r="V96" s="16"/>
    </row>
    <row r="97" spans="3:22" x14ac:dyDescent="0.35">
      <c r="C97" s="16"/>
      <c r="N97" s="16"/>
      <c r="U97" s="16"/>
      <c r="V97" s="16"/>
    </row>
    <row r="98" spans="3:22" x14ac:dyDescent="0.35">
      <c r="C98" s="16"/>
      <c r="N98" s="16"/>
      <c r="U98" s="16"/>
      <c r="V98" s="16"/>
    </row>
    <row r="99" spans="3:22" x14ac:dyDescent="0.35">
      <c r="C99" s="16"/>
      <c r="N99" s="16"/>
      <c r="U99" s="16"/>
      <c r="V99" s="16"/>
    </row>
    <row r="100" spans="3:22" x14ac:dyDescent="0.35">
      <c r="C100" s="16"/>
      <c r="N100" s="16"/>
      <c r="U100" s="16"/>
      <c r="V100" s="16"/>
    </row>
    <row r="101" spans="3:22" x14ac:dyDescent="0.35">
      <c r="C101" s="16"/>
      <c r="N101" s="16"/>
      <c r="U101" s="16"/>
      <c r="V101" s="16"/>
    </row>
    <row r="102" spans="3:22" x14ac:dyDescent="0.35">
      <c r="C102" s="16"/>
      <c r="N102" s="16"/>
      <c r="U102" s="16"/>
      <c r="V102" s="16"/>
    </row>
    <row r="103" spans="3:22" x14ac:dyDescent="0.35">
      <c r="C103" s="16"/>
      <c r="N103" s="16"/>
      <c r="U103" s="16"/>
      <c r="V103" s="16"/>
    </row>
    <row r="104" spans="3:22" x14ac:dyDescent="0.35">
      <c r="C104" s="16"/>
      <c r="N104" s="16"/>
      <c r="U104" s="16"/>
      <c r="V104" s="16"/>
    </row>
    <row r="105" spans="3:22" x14ac:dyDescent="0.35">
      <c r="C105" s="16"/>
      <c r="N105" s="16"/>
      <c r="U105" s="16"/>
      <c r="V105" s="16"/>
    </row>
    <row r="106" spans="3:22" x14ac:dyDescent="0.35">
      <c r="C106" s="16"/>
      <c r="N106" s="16"/>
      <c r="U106" s="16"/>
      <c r="V106" s="16"/>
    </row>
    <row r="107" spans="3:22" x14ac:dyDescent="0.35">
      <c r="C107" s="16"/>
      <c r="N107" s="16"/>
      <c r="U107" s="16"/>
      <c r="V107" s="16"/>
    </row>
    <row r="108" spans="3:22" x14ac:dyDescent="0.35">
      <c r="C108" s="16"/>
      <c r="N108" s="16"/>
      <c r="U108" s="16"/>
      <c r="V108" s="16"/>
    </row>
    <row r="109" spans="3:22" x14ac:dyDescent="0.35">
      <c r="C109" s="16"/>
      <c r="N109" s="16"/>
      <c r="U109" s="16"/>
      <c r="V109" s="16"/>
    </row>
    <row r="110" spans="3:22" x14ac:dyDescent="0.35">
      <c r="C110" s="16"/>
      <c r="N110" s="16"/>
      <c r="U110" s="16"/>
      <c r="V110" s="16"/>
    </row>
    <row r="111" spans="3:22" x14ac:dyDescent="0.35">
      <c r="C111" s="16"/>
      <c r="N111" s="16"/>
      <c r="U111" s="16"/>
      <c r="V111" s="16"/>
    </row>
    <row r="112" spans="3:22" x14ac:dyDescent="0.35">
      <c r="C112" s="16"/>
      <c r="N112" s="16"/>
      <c r="U112" s="16"/>
      <c r="V112" s="16"/>
    </row>
    <row r="113" spans="3:22" x14ac:dyDescent="0.35">
      <c r="C113" s="16"/>
      <c r="N113" s="16"/>
      <c r="U113" s="16"/>
      <c r="V113" s="16"/>
    </row>
    <row r="114" spans="3:22" x14ac:dyDescent="0.35">
      <c r="C114" s="16"/>
      <c r="N114" s="16"/>
      <c r="U114" s="16"/>
      <c r="V114" s="16"/>
    </row>
    <row r="115" spans="3:22" x14ac:dyDescent="0.35">
      <c r="C115" s="16"/>
      <c r="N115" s="16"/>
      <c r="U115" s="16"/>
      <c r="V115" s="16"/>
    </row>
    <row r="116" spans="3:22" x14ac:dyDescent="0.35">
      <c r="C116" s="16"/>
      <c r="N116" s="16"/>
      <c r="U116" s="16"/>
      <c r="V116" s="16"/>
    </row>
    <row r="117" spans="3:22" x14ac:dyDescent="0.35">
      <c r="C117" s="16"/>
      <c r="N117" s="16"/>
      <c r="U117" s="16"/>
      <c r="V117" s="16"/>
    </row>
    <row r="118" spans="3:22" x14ac:dyDescent="0.35">
      <c r="C118" s="16"/>
      <c r="N118" s="16"/>
      <c r="U118" s="16"/>
      <c r="V118" s="16"/>
    </row>
    <row r="119" spans="3:22" x14ac:dyDescent="0.35">
      <c r="C119" s="16"/>
      <c r="N119" s="16"/>
      <c r="U119" s="16"/>
      <c r="V119" s="16"/>
    </row>
    <row r="120" spans="3:22" x14ac:dyDescent="0.35">
      <c r="C120" s="16"/>
      <c r="N120" s="16"/>
      <c r="U120" s="16"/>
      <c r="V120" s="16"/>
    </row>
    <row r="121" spans="3:22" x14ac:dyDescent="0.35">
      <c r="C121" s="16"/>
      <c r="N121" s="16"/>
      <c r="U121" s="16"/>
      <c r="V121" s="16"/>
    </row>
    <row r="122" spans="3:22" x14ac:dyDescent="0.35">
      <c r="C122" s="16"/>
      <c r="N122" s="16"/>
      <c r="U122" s="16"/>
      <c r="V122" s="16"/>
    </row>
    <row r="123" spans="3:22" x14ac:dyDescent="0.35">
      <c r="C123" s="16"/>
      <c r="N123" s="16"/>
      <c r="U123" s="16"/>
      <c r="V123" s="16"/>
    </row>
    <row r="124" spans="3:22" x14ac:dyDescent="0.35">
      <c r="C124" s="16"/>
      <c r="N124" s="16"/>
      <c r="U124" s="16"/>
      <c r="V124" s="16"/>
    </row>
    <row r="125" spans="3:22" x14ac:dyDescent="0.35">
      <c r="C125" s="16"/>
      <c r="N125" s="16"/>
      <c r="U125" s="16"/>
      <c r="V125" s="16"/>
    </row>
    <row r="126" spans="3:22" x14ac:dyDescent="0.35">
      <c r="C126" s="16"/>
      <c r="N126" s="16"/>
      <c r="U126" s="16"/>
      <c r="V126" s="16"/>
    </row>
    <row r="127" spans="3:22" x14ac:dyDescent="0.35">
      <c r="C127" s="16"/>
      <c r="N127" s="16"/>
      <c r="U127" s="16"/>
      <c r="V127" s="16"/>
    </row>
    <row r="128" spans="3:22" x14ac:dyDescent="0.35">
      <c r="C128" s="16"/>
      <c r="N128" s="16"/>
      <c r="U128" s="16"/>
      <c r="V128" s="16"/>
    </row>
    <row r="129" spans="3:22" x14ac:dyDescent="0.35">
      <c r="C129" s="16"/>
      <c r="N129" s="16"/>
      <c r="U129" s="16"/>
      <c r="V129" s="16"/>
    </row>
    <row r="130" spans="3:22" x14ac:dyDescent="0.35">
      <c r="C130" s="16"/>
      <c r="N130" s="16"/>
      <c r="U130" s="16"/>
      <c r="V130" s="16"/>
    </row>
    <row r="131" spans="3:22" x14ac:dyDescent="0.35">
      <c r="C131" s="16"/>
      <c r="N131" s="16"/>
      <c r="U131" s="16"/>
      <c r="V131" s="16"/>
    </row>
    <row r="132" spans="3:22" x14ac:dyDescent="0.35">
      <c r="C132" s="16"/>
      <c r="N132" s="16"/>
      <c r="U132" s="16"/>
      <c r="V132" s="16"/>
    </row>
    <row r="133" spans="3:22" x14ac:dyDescent="0.35">
      <c r="C133" s="16"/>
      <c r="N133" s="16"/>
      <c r="U133" s="16"/>
      <c r="V133" s="16"/>
    </row>
    <row r="134" spans="3:22" x14ac:dyDescent="0.35">
      <c r="C134" s="16"/>
      <c r="N134" s="16"/>
      <c r="U134" s="16"/>
      <c r="V134" s="16"/>
    </row>
    <row r="135" spans="3:22" x14ac:dyDescent="0.35">
      <c r="C135" s="16"/>
      <c r="N135" s="16"/>
      <c r="U135" s="16"/>
      <c r="V135" s="16"/>
    </row>
    <row r="136" spans="3:22" x14ac:dyDescent="0.35">
      <c r="C136" s="16"/>
      <c r="N136" s="16"/>
      <c r="U136" s="16"/>
      <c r="V136" s="16"/>
    </row>
    <row r="137" spans="3:22" x14ac:dyDescent="0.35">
      <c r="C137" s="16"/>
      <c r="N137" s="16"/>
      <c r="U137" s="16"/>
      <c r="V137" s="16"/>
    </row>
    <row r="138" spans="3:22" x14ac:dyDescent="0.35">
      <c r="C138" s="16"/>
      <c r="N138" s="16"/>
      <c r="U138" s="16"/>
      <c r="V138" s="16"/>
    </row>
    <row r="139" spans="3:22" x14ac:dyDescent="0.35">
      <c r="C139" s="16"/>
      <c r="N139" s="16"/>
      <c r="U139" s="16"/>
      <c r="V139" s="16"/>
    </row>
    <row r="140" spans="3:22" x14ac:dyDescent="0.35">
      <c r="C140" s="16"/>
      <c r="N140" s="16"/>
      <c r="U140" s="16"/>
      <c r="V140" s="16"/>
    </row>
    <row r="141" spans="3:22" x14ac:dyDescent="0.35">
      <c r="C141" s="16"/>
      <c r="N141" s="16"/>
      <c r="U141" s="16"/>
      <c r="V141" s="16"/>
    </row>
    <row r="142" spans="3:22" x14ac:dyDescent="0.35">
      <c r="C142" s="16"/>
      <c r="N142" s="16"/>
      <c r="U142" s="16"/>
      <c r="V142" s="16"/>
    </row>
    <row r="143" spans="3:22" x14ac:dyDescent="0.35">
      <c r="C143" s="16"/>
      <c r="N143" s="16"/>
      <c r="U143" s="16"/>
      <c r="V143" s="16"/>
    </row>
    <row r="144" spans="3:22" x14ac:dyDescent="0.35">
      <c r="C144" s="16"/>
      <c r="N144" s="16"/>
      <c r="U144" s="16"/>
      <c r="V144" s="16"/>
    </row>
    <row r="145" spans="3:22" x14ac:dyDescent="0.35">
      <c r="C145" s="16"/>
      <c r="N145" s="16"/>
      <c r="U145" s="16"/>
      <c r="V145" s="16"/>
    </row>
    <row r="146" spans="3:22" x14ac:dyDescent="0.35">
      <c r="C146" s="16"/>
      <c r="N146" s="16"/>
      <c r="U146" s="16"/>
      <c r="V146" s="16"/>
    </row>
    <row r="147" spans="3:22" x14ac:dyDescent="0.35">
      <c r="C147" s="16"/>
      <c r="N147" s="16"/>
      <c r="U147" s="16"/>
      <c r="V147" s="16"/>
    </row>
    <row r="148" spans="3:22" x14ac:dyDescent="0.35">
      <c r="C148" s="16"/>
      <c r="N148" s="16"/>
      <c r="U148" s="16"/>
      <c r="V148" s="16"/>
    </row>
    <row r="149" spans="3:22" x14ac:dyDescent="0.35">
      <c r="C149" s="16"/>
      <c r="N149" s="16"/>
      <c r="U149" s="16"/>
      <c r="V149" s="16"/>
    </row>
    <row r="150" spans="3:22" x14ac:dyDescent="0.35">
      <c r="C150" s="16"/>
      <c r="N150" s="16"/>
      <c r="U150" s="16"/>
      <c r="V150" s="16"/>
    </row>
    <row r="151" spans="3:22" x14ac:dyDescent="0.35">
      <c r="C151" s="16"/>
      <c r="N151" s="16"/>
      <c r="U151" s="16"/>
      <c r="V151" s="16"/>
    </row>
    <row r="152" spans="3:22" x14ac:dyDescent="0.35">
      <c r="C152" s="16"/>
      <c r="N152" s="16"/>
      <c r="U152" s="16"/>
      <c r="V152" s="16"/>
    </row>
    <row r="153" spans="3:22" x14ac:dyDescent="0.35">
      <c r="C153" s="16"/>
      <c r="N153" s="16"/>
      <c r="U153" s="16"/>
      <c r="V153" s="16"/>
    </row>
    <row r="154" spans="3:22" x14ac:dyDescent="0.35">
      <c r="C154" s="16"/>
      <c r="N154" s="16"/>
      <c r="U154" s="16"/>
      <c r="V154" s="16"/>
    </row>
    <row r="155" spans="3:22" x14ac:dyDescent="0.35">
      <c r="C155" s="16"/>
      <c r="N155" s="16"/>
      <c r="U155" s="16"/>
      <c r="V155" s="16"/>
    </row>
    <row r="156" spans="3:22" x14ac:dyDescent="0.35">
      <c r="C156" s="16"/>
      <c r="N156" s="16"/>
      <c r="U156" s="16"/>
      <c r="V156" s="16"/>
    </row>
    <row r="157" spans="3:22" x14ac:dyDescent="0.35">
      <c r="C157" s="16"/>
      <c r="N157" s="16"/>
      <c r="U157" s="16"/>
      <c r="V157" s="16"/>
    </row>
    <row r="158" spans="3:22" x14ac:dyDescent="0.35">
      <c r="C158" s="16"/>
      <c r="N158" s="16"/>
      <c r="U158" s="16"/>
      <c r="V158" s="16"/>
    </row>
    <row r="159" spans="3:22" x14ac:dyDescent="0.35">
      <c r="C159" s="16"/>
      <c r="N159" s="16"/>
      <c r="U159" s="16"/>
      <c r="V159" s="16"/>
    </row>
    <row r="160" spans="3:22" x14ac:dyDescent="0.35">
      <c r="C160" s="16"/>
      <c r="N160" s="16"/>
      <c r="U160" s="16"/>
      <c r="V160" s="16"/>
    </row>
    <row r="161" spans="3:22" x14ac:dyDescent="0.35">
      <c r="C161" s="16"/>
      <c r="N161" s="16"/>
      <c r="U161" s="16"/>
      <c r="V161" s="16"/>
    </row>
    <row r="162" spans="3:22" x14ac:dyDescent="0.35">
      <c r="C162" s="16"/>
      <c r="N162" s="16"/>
      <c r="U162" s="16"/>
      <c r="V162" s="16"/>
    </row>
    <row r="163" spans="3:22" x14ac:dyDescent="0.35">
      <c r="C163" s="16"/>
      <c r="N163" s="16"/>
      <c r="U163" s="16"/>
      <c r="V163" s="16"/>
    </row>
    <row r="164" spans="3:22" x14ac:dyDescent="0.35">
      <c r="C164" s="16"/>
      <c r="N164" s="16"/>
      <c r="U164" s="16"/>
      <c r="V164" s="16"/>
    </row>
    <row r="165" spans="3:22" x14ac:dyDescent="0.35">
      <c r="C165" s="16"/>
      <c r="N165" s="16"/>
      <c r="U165" s="16"/>
      <c r="V165" s="16"/>
    </row>
    <row r="166" spans="3:22" x14ac:dyDescent="0.35">
      <c r="C166" s="16"/>
      <c r="N166" s="16"/>
      <c r="U166" s="16"/>
      <c r="V166" s="16"/>
    </row>
    <row r="167" spans="3:22" x14ac:dyDescent="0.35">
      <c r="C167" s="16"/>
      <c r="N167" s="16"/>
      <c r="U167" s="16"/>
      <c r="V167" s="16"/>
    </row>
    <row r="168" spans="3:22" x14ac:dyDescent="0.35">
      <c r="C168" s="16"/>
      <c r="N168" s="16"/>
      <c r="U168" s="16"/>
      <c r="V168" s="16"/>
    </row>
    <row r="169" spans="3:22" x14ac:dyDescent="0.35">
      <c r="C169" s="16"/>
      <c r="N169" s="16"/>
      <c r="U169" s="16"/>
      <c r="V169" s="16"/>
    </row>
    <row r="170" spans="3:22" x14ac:dyDescent="0.35">
      <c r="C170" s="16"/>
      <c r="N170" s="16"/>
      <c r="U170" s="16"/>
      <c r="V170" s="16"/>
    </row>
    <row r="171" spans="3:22" x14ac:dyDescent="0.35">
      <c r="C171" s="16"/>
      <c r="N171" s="16"/>
      <c r="U171" s="16"/>
      <c r="V171" s="16"/>
    </row>
    <row r="172" spans="3:22" x14ac:dyDescent="0.35">
      <c r="C172" s="16"/>
      <c r="N172" s="16"/>
      <c r="U172" s="16"/>
      <c r="V172" s="16"/>
    </row>
    <row r="173" spans="3:22" x14ac:dyDescent="0.35">
      <c r="C173" s="16"/>
      <c r="N173" s="16"/>
      <c r="U173" s="16"/>
      <c r="V173" s="16"/>
    </row>
    <row r="174" spans="3:22" x14ac:dyDescent="0.35">
      <c r="C174" s="16"/>
      <c r="N174" s="16"/>
      <c r="U174" s="16"/>
      <c r="V174" s="16"/>
    </row>
    <row r="175" spans="3:22" x14ac:dyDescent="0.35">
      <c r="C175" s="16"/>
      <c r="N175" s="16"/>
      <c r="U175" s="16"/>
      <c r="V175" s="16"/>
    </row>
    <row r="176" spans="3:22" x14ac:dyDescent="0.35">
      <c r="C176" s="16"/>
      <c r="N176" s="16"/>
      <c r="U176" s="16"/>
      <c r="V176" s="16"/>
    </row>
    <row r="177" spans="3:22" x14ac:dyDescent="0.35">
      <c r="C177" s="16"/>
      <c r="N177" s="16"/>
      <c r="U177" s="16"/>
      <c r="V177" s="16"/>
    </row>
    <row r="178" spans="3:22" x14ac:dyDescent="0.35">
      <c r="C178" s="16"/>
      <c r="N178" s="16"/>
      <c r="U178" s="16"/>
      <c r="V178" s="16"/>
    </row>
    <row r="179" spans="3:22" x14ac:dyDescent="0.35">
      <c r="C179" s="16"/>
      <c r="N179" s="16"/>
      <c r="U179" s="16"/>
      <c r="V179" s="16"/>
    </row>
    <row r="180" spans="3:22" x14ac:dyDescent="0.35">
      <c r="C180" s="16"/>
      <c r="N180" s="16"/>
      <c r="U180" s="16"/>
      <c r="V180" s="16"/>
    </row>
    <row r="181" spans="3:22" x14ac:dyDescent="0.35">
      <c r="C181" s="16"/>
      <c r="N181" s="16"/>
      <c r="U181" s="16"/>
      <c r="V181" s="16"/>
    </row>
    <row r="182" spans="3:22" x14ac:dyDescent="0.35">
      <c r="C182" s="16"/>
      <c r="N182" s="16"/>
      <c r="U182" s="16"/>
      <c r="V182" s="16"/>
    </row>
    <row r="183" spans="3:22" x14ac:dyDescent="0.35">
      <c r="C183" s="16"/>
      <c r="N183" s="16"/>
      <c r="U183" s="16"/>
      <c r="V183" s="16"/>
    </row>
    <row r="184" spans="3:22" x14ac:dyDescent="0.35">
      <c r="C184" s="16"/>
      <c r="N184" s="16"/>
      <c r="U184" s="16"/>
      <c r="V184" s="16"/>
    </row>
    <row r="185" spans="3:22" x14ac:dyDescent="0.35">
      <c r="C185" s="16"/>
      <c r="N185" s="16"/>
      <c r="U185" s="16"/>
      <c r="V185" s="16"/>
    </row>
    <row r="186" spans="3:22" x14ac:dyDescent="0.35">
      <c r="C186" s="16"/>
      <c r="N186" s="16"/>
      <c r="U186" s="16"/>
      <c r="V186" s="16"/>
    </row>
    <row r="187" spans="3:22" x14ac:dyDescent="0.35">
      <c r="C187" s="16"/>
      <c r="N187" s="16"/>
      <c r="U187" s="16"/>
      <c r="V187" s="16"/>
    </row>
    <row r="188" spans="3:22" x14ac:dyDescent="0.35">
      <c r="C188" s="16"/>
      <c r="N188" s="16"/>
      <c r="U188" s="16"/>
      <c r="V188" s="16"/>
    </row>
    <row r="189" spans="3:22" x14ac:dyDescent="0.35">
      <c r="C189" s="16"/>
      <c r="N189" s="16"/>
      <c r="U189" s="16"/>
      <c r="V189" s="16"/>
    </row>
    <row r="190" spans="3:22" x14ac:dyDescent="0.35">
      <c r="C190" s="16"/>
      <c r="N190" s="16"/>
      <c r="U190" s="16"/>
      <c r="V190" s="16"/>
    </row>
    <row r="191" spans="3:22" x14ac:dyDescent="0.35">
      <c r="C191" s="16"/>
      <c r="N191" s="16"/>
      <c r="U191" s="16"/>
      <c r="V191" s="16"/>
    </row>
    <row r="192" spans="3:22" x14ac:dyDescent="0.35">
      <c r="C192" s="16"/>
      <c r="N192" s="16"/>
      <c r="U192" s="16"/>
      <c r="V192" s="16"/>
    </row>
    <row r="193" spans="3:22" x14ac:dyDescent="0.35">
      <c r="C193" s="16"/>
      <c r="N193" s="16"/>
      <c r="U193" s="16"/>
      <c r="V193" s="16"/>
    </row>
    <row r="194" spans="3:22" x14ac:dyDescent="0.35">
      <c r="C194" s="16"/>
      <c r="N194" s="16"/>
      <c r="U194" s="16"/>
      <c r="V194" s="16"/>
    </row>
    <row r="195" spans="3:22" x14ac:dyDescent="0.35">
      <c r="C195" s="16"/>
      <c r="N195" s="16"/>
      <c r="U195" s="16"/>
      <c r="V195" s="16"/>
    </row>
    <row r="196" spans="3:22" x14ac:dyDescent="0.35">
      <c r="C196" s="16"/>
      <c r="N196" s="16"/>
      <c r="U196" s="16"/>
      <c r="V196" s="16"/>
    </row>
    <row r="197" spans="3:22" x14ac:dyDescent="0.35">
      <c r="C197" s="16"/>
      <c r="N197" s="16"/>
      <c r="U197" s="16"/>
      <c r="V197" s="16"/>
    </row>
    <row r="198" spans="3:22" x14ac:dyDescent="0.35">
      <c r="C198" s="16"/>
      <c r="N198" s="16"/>
      <c r="U198" s="16"/>
      <c r="V198" s="16"/>
    </row>
    <row r="199" spans="3:22" x14ac:dyDescent="0.35">
      <c r="C199" s="16"/>
      <c r="N199" s="16"/>
      <c r="U199" s="16"/>
      <c r="V199" s="16"/>
    </row>
    <row r="200" spans="3:22" x14ac:dyDescent="0.35">
      <c r="C200" s="16"/>
      <c r="N200" s="16"/>
      <c r="U200" s="16"/>
      <c r="V200" s="16"/>
    </row>
    <row r="201" spans="3:22" x14ac:dyDescent="0.35">
      <c r="C201" s="16"/>
      <c r="N201" s="16"/>
      <c r="U201" s="16"/>
      <c r="V201" s="16"/>
    </row>
    <row r="202" spans="3:22" x14ac:dyDescent="0.35">
      <c r="C202" s="16"/>
      <c r="N202" s="16"/>
      <c r="U202" s="16"/>
      <c r="V202" s="16"/>
    </row>
    <row r="203" spans="3:22" x14ac:dyDescent="0.35">
      <c r="C203" s="16"/>
      <c r="N203" s="16"/>
      <c r="U203" s="16"/>
      <c r="V203" s="16"/>
    </row>
    <row r="204" spans="3:22" x14ac:dyDescent="0.35">
      <c r="C204" s="16"/>
      <c r="N204" s="16"/>
      <c r="U204" s="16"/>
      <c r="V204" s="16"/>
    </row>
    <row r="205" spans="3:22" x14ac:dyDescent="0.35">
      <c r="C205" s="16"/>
      <c r="N205" s="16"/>
      <c r="U205" s="16"/>
      <c r="V205" s="16"/>
    </row>
    <row r="206" spans="3:22" x14ac:dyDescent="0.35">
      <c r="C206" s="16"/>
      <c r="N206" s="16"/>
      <c r="U206" s="16"/>
      <c r="V206" s="16"/>
    </row>
    <row r="207" spans="3:22" x14ac:dyDescent="0.35">
      <c r="C207" s="16"/>
      <c r="N207" s="16"/>
      <c r="U207" s="16"/>
      <c r="V207" s="16"/>
    </row>
    <row r="208" spans="3:22" x14ac:dyDescent="0.35">
      <c r="C208" s="16"/>
      <c r="N208" s="16"/>
      <c r="U208" s="16"/>
      <c r="V208" s="16"/>
    </row>
    <row r="209" spans="3:22" x14ac:dyDescent="0.35">
      <c r="C209" s="16"/>
      <c r="N209" s="16"/>
      <c r="U209" s="16"/>
      <c r="V209" s="16"/>
    </row>
    <row r="210" spans="3:22" x14ac:dyDescent="0.35">
      <c r="C210" s="16"/>
      <c r="N210" s="16"/>
      <c r="U210" s="16"/>
      <c r="V210" s="16"/>
    </row>
    <row r="211" spans="3:22" x14ac:dyDescent="0.35">
      <c r="C211" s="16"/>
      <c r="N211" s="16"/>
      <c r="U211" s="16"/>
      <c r="V211" s="16"/>
    </row>
    <row r="212" spans="3:22" x14ac:dyDescent="0.35">
      <c r="C212" s="16"/>
      <c r="N212" s="16"/>
      <c r="U212" s="16"/>
      <c r="V212" s="16"/>
    </row>
    <row r="213" spans="3:22" x14ac:dyDescent="0.35">
      <c r="C213" s="16"/>
      <c r="N213" s="16"/>
      <c r="U213" s="16"/>
      <c r="V213" s="16"/>
    </row>
    <row r="214" spans="3:22" x14ac:dyDescent="0.35">
      <c r="C214" s="16"/>
      <c r="N214" s="16"/>
      <c r="U214" s="16"/>
      <c r="V214" s="16"/>
    </row>
    <row r="215" spans="3:22" x14ac:dyDescent="0.35">
      <c r="C215" s="16"/>
      <c r="N215" s="16"/>
      <c r="U215" s="16"/>
      <c r="V215" s="16"/>
    </row>
    <row r="216" spans="3:22" x14ac:dyDescent="0.35">
      <c r="C216" s="16"/>
      <c r="N216" s="16"/>
      <c r="U216" s="16"/>
      <c r="V216" s="16"/>
    </row>
    <row r="217" spans="3:22" x14ac:dyDescent="0.35">
      <c r="C217" s="16"/>
      <c r="N217" s="16"/>
      <c r="U217" s="16"/>
      <c r="V217" s="16"/>
    </row>
    <row r="218" spans="3:22" x14ac:dyDescent="0.35">
      <c r="C218" s="16"/>
      <c r="N218" s="16"/>
      <c r="U218" s="16"/>
      <c r="V218" s="16"/>
    </row>
    <row r="219" spans="3:22" x14ac:dyDescent="0.35">
      <c r="C219" s="16"/>
      <c r="N219" s="16"/>
      <c r="U219" s="16"/>
      <c r="V219" s="16"/>
    </row>
    <row r="220" spans="3:22" x14ac:dyDescent="0.35">
      <c r="C220" s="16"/>
      <c r="N220" s="16"/>
      <c r="U220" s="16"/>
      <c r="V220" s="16"/>
    </row>
    <row r="221" spans="3:22" x14ac:dyDescent="0.35">
      <c r="C221" s="16"/>
      <c r="N221" s="16"/>
      <c r="U221" s="16"/>
      <c r="V221" s="16"/>
    </row>
    <row r="222" spans="3:22" x14ac:dyDescent="0.35">
      <c r="C222" s="16"/>
      <c r="N222" s="16"/>
      <c r="U222" s="16"/>
      <c r="V222" s="16"/>
    </row>
    <row r="223" spans="3:22" x14ac:dyDescent="0.35">
      <c r="C223" s="16"/>
      <c r="N223" s="16"/>
      <c r="U223" s="16"/>
      <c r="V223" s="16"/>
    </row>
    <row r="224" spans="3:22" x14ac:dyDescent="0.35">
      <c r="C224" s="16"/>
      <c r="N224" s="16"/>
      <c r="U224" s="16"/>
      <c r="V224" s="16"/>
    </row>
    <row r="225" spans="3:22" x14ac:dyDescent="0.35">
      <c r="C225" s="16"/>
      <c r="N225" s="16"/>
      <c r="U225" s="16"/>
      <c r="V225" s="16"/>
    </row>
    <row r="226" spans="3:22" x14ac:dyDescent="0.35">
      <c r="C226" s="16"/>
      <c r="N226" s="16"/>
      <c r="U226" s="16"/>
      <c r="V226" s="16"/>
    </row>
    <row r="227" spans="3:22" x14ac:dyDescent="0.35">
      <c r="C227" s="16"/>
      <c r="N227" s="16"/>
      <c r="U227" s="16"/>
      <c r="V227" s="16"/>
    </row>
    <row r="228" spans="3:22" x14ac:dyDescent="0.35">
      <c r="C228" s="16"/>
      <c r="N228" s="16"/>
      <c r="U228" s="16"/>
      <c r="V228" s="16"/>
    </row>
    <row r="229" spans="3:22" x14ac:dyDescent="0.35">
      <c r="C229" s="16"/>
      <c r="N229" s="16"/>
      <c r="U229" s="16"/>
      <c r="V229" s="16"/>
    </row>
    <row r="230" spans="3:22" x14ac:dyDescent="0.35">
      <c r="C230" s="16"/>
      <c r="N230" s="16"/>
      <c r="U230" s="16"/>
      <c r="V230" s="16"/>
    </row>
    <row r="231" spans="3:22" x14ac:dyDescent="0.35">
      <c r="C231" s="16"/>
      <c r="N231" s="16"/>
      <c r="U231" s="16"/>
      <c r="V231" s="16"/>
    </row>
    <row r="232" spans="3:22" x14ac:dyDescent="0.35">
      <c r="C232" s="16"/>
      <c r="N232" s="16"/>
      <c r="U232" s="16"/>
      <c r="V232" s="16"/>
    </row>
    <row r="233" spans="3:22" x14ac:dyDescent="0.35">
      <c r="C233" s="16"/>
      <c r="N233" s="16"/>
      <c r="U233" s="16"/>
      <c r="V233" s="16"/>
    </row>
    <row r="234" spans="3:22" x14ac:dyDescent="0.35">
      <c r="C234" s="16"/>
      <c r="N234" s="16"/>
      <c r="U234" s="16"/>
      <c r="V234" s="16"/>
    </row>
    <row r="235" spans="3:22" x14ac:dyDescent="0.35">
      <c r="C235" s="16"/>
      <c r="N235" s="16"/>
      <c r="U235" s="16"/>
      <c r="V235" s="16"/>
    </row>
    <row r="236" spans="3:22" x14ac:dyDescent="0.35">
      <c r="C236" s="16"/>
      <c r="N236" s="16"/>
      <c r="U236" s="16"/>
      <c r="V236" s="16"/>
    </row>
    <row r="237" spans="3:22" x14ac:dyDescent="0.35">
      <c r="C237" s="16"/>
      <c r="N237" s="16"/>
      <c r="U237" s="16"/>
      <c r="V237" s="16"/>
    </row>
    <row r="238" spans="3:22" x14ac:dyDescent="0.35">
      <c r="C238" s="16"/>
      <c r="N238" s="16"/>
      <c r="U238" s="16"/>
      <c r="V238" s="16"/>
    </row>
    <row r="239" spans="3:22" x14ac:dyDescent="0.35">
      <c r="C239" s="16"/>
      <c r="N239" s="16"/>
      <c r="U239" s="16"/>
      <c r="V239" s="16"/>
    </row>
  </sheetData>
  <autoFilter ref="A1:OJ1" xr:uid="{EE42306C-6F53-4877-BDEA-6BF60A5AA82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41BE1-3C71-4963-9357-9814B4F5186F}">
  <dimension ref="A1:AO3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1" t="s">
        <v>3</v>
      </c>
      <c r="O1" s="10" t="s">
        <v>15</v>
      </c>
      <c r="P1" s="10" t="s">
        <v>16</v>
      </c>
      <c r="Q1" s="10" t="s">
        <v>17</v>
      </c>
      <c r="R1" s="10" t="s">
        <v>18</v>
      </c>
      <c r="S1" s="10" t="s">
        <v>19</v>
      </c>
      <c r="T1" s="10" t="s">
        <v>20</v>
      </c>
      <c r="U1" s="11" t="s">
        <v>21</v>
      </c>
      <c r="V1" s="11" t="s">
        <v>22</v>
      </c>
      <c r="W1" s="10" t="s">
        <v>279</v>
      </c>
      <c r="X1" s="10" t="s">
        <v>280</v>
      </c>
      <c r="Y1" s="10" t="s">
        <v>281</v>
      </c>
      <c r="Z1" s="10" t="s">
        <v>282</v>
      </c>
      <c r="AA1" s="10" t="s">
        <v>283</v>
      </c>
      <c r="AB1" s="10" t="s">
        <v>284</v>
      </c>
      <c r="AC1" s="10" t="s">
        <v>285</v>
      </c>
      <c r="AD1" s="10" t="s">
        <v>286</v>
      </c>
      <c r="AE1" s="10" t="s">
        <v>287</v>
      </c>
      <c r="AF1" s="10" t="s">
        <v>288</v>
      </c>
      <c r="AG1" s="10" t="s">
        <v>289</v>
      </c>
      <c r="AH1" s="10" t="s">
        <v>290</v>
      </c>
      <c r="AI1" s="10" t="s">
        <v>291</v>
      </c>
      <c r="AJ1" s="10" t="s">
        <v>292</v>
      </c>
      <c r="AK1" s="10" t="s">
        <v>293</v>
      </c>
      <c r="AL1" s="10" t="s">
        <v>294</v>
      </c>
      <c r="AM1" s="10" t="s">
        <v>295</v>
      </c>
      <c r="AN1" s="10" t="s">
        <v>72</v>
      </c>
      <c r="AO1" s="10" t="s">
        <v>73</v>
      </c>
    </row>
    <row r="2" spans="1:41" ht="58" x14ac:dyDescent="0.35">
      <c r="A2" s="13" t="s">
        <v>74</v>
      </c>
      <c r="B2" s="13" t="s">
        <v>75</v>
      </c>
      <c r="C2" s="14">
        <v>43152.5</v>
      </c>
      <c r="D2" s="13" t="s">
        <v>76</v>
      </c>
      <c r="E2" s="15" t="s">
        <v>77</v>
      </c>
      <c r="F2" s="13" t="s">
        <v>78</v>
      </c>
      <c r="G2" s="15" t="s">
        <v>79</v>
      </c>
      <c r="H2" s="13" t="s">
        <v>80</v>
      </c>
      <c r="I2" s="15" t="s">
        <v>79</v>
      </c>
      <c r="J2" s="15" t="s">
        <v>81</v>
      </c>
      <c r="K2" s="15" t="s">
        <v>82</v>
      </c>
      <c r="L2" s="13" t="s">
        <v>83</v>
      </c>
      <c r="M2" s="15" t="s">
        <v>84</v>
      </c>
      <c r="N2" s="14" t="s">
        <v>85</v>
      </c>
      <c r="O2" s="15" t="s">
        <v>86</v>
      </c>
      <c r="P2" s="15" t="s">
        <v>87</v>
      </c>
      <c r="Q2" s="15" t="s">
        <v>88</v>
      </c>
      <c r="R2" s="13" t="s">
        <v>89</v>
      </c>
      <c r="S2" s="13" t="s">
        <v>90</v>
      </c>
      <c r="T2" s="13" t="s">
        <v>91</v>
      </c>
      <c r="U2" s="14">
        <v>40725</v>
      </c>
      <c r="V2" s="14"/>
      <c r="W2" s="15"/>
      <c r="X2" s="15"/>
      <c r="Y2" s="13"/>
      <c r="Z2" s="15"/>
      <c r="AA2" s="15"/>
      <c r="AB2" s="15"/>
      <c r="AC2" s="13"/>
      <c r="AD2" s="15"/>
      <c r="AE2" s="15"/>
      <c r="AF2" s="15"/>
      <c r="AG2" s="13"/>
      <c r="AH2" s="15"/>
      <c r="AI2" s="15"/>
      <c r="AJ2" s="15"/>
      <c r="AK2" s="13"/>
      <c r="AL2" s="15"/>
      <c r="AM2" s="15"/>
      <c r="AN2" s="13"/>
      <c r="AO2" s="13"/>
    </row>
    <row r="3" spans="1:41" ht="58" x14ac:dyDescent="0.35">
      <c r="A3" s="13" t="s">
        <v>74</v>
      </c>
      <c r="B3" s="13" t="s">
        <v>75</v>
      </c>
      <c r="C3" s="14">
        <v>43152.5</v>
      </c>
      <c r="D3" s="13" t="s">
        <v>76</v>
      </c>
      <c r="E3" s="15" t="s">
        <v>77</v>
      </c>
      <c r="F3" s="13" t="s">
        <v>78</v>
      </c>
      <c r="G3" s="15" t="s">
        <v>79</v>
      </c>
      <c r="H3" s="13" t="s">
        <v>80</v>
      </c>
      <c r="I3" s="15" t="s">
        <v>79</v>
      </c>
      <c r="J3" s="15" t="s">
        <v>81</v>
      </c>
      <c r="K3" s="15" t="s">
        <v>82</v>
      </c>
      <c r="L3" s="13" t="s">
        <v>92</v>
      </c>
      <c r="M3" s="15" t="s">
        <v>79</v>
      </c>
      <c r="N3" s="14" t="s">
        <v>85</v>
      </c>
      <c r="O3" s="15" t="s">
        <v>93</v>
      </c>
      <c r="P3" s="15" t="s">
        <v>94</v>
      </c>
      <c r="Q3" s="15" t="s">
        <v>88</v>
      </c>
      <c r="R3" s="13" t="s">
        <v>89</v>
      </c>
      <c r="S3" s="13" t="s">
        <v>90</v>
      </c>
      <c r="T3" s="13" t="s">
        <v>95</v>
      </c>
      <c r="U3" s="14">
        <v>40725</v>
      </c>
      <c r="V3" s="14"/>
      <c r="W3" s="15"/>
      <c r="X3" s="15"/>
      <c r="Y3" s="13"/>
      <c r="Z3" s="15"/>
      <c r="AA3" s="15"/>
      <c r="AB3" s="15"/>
      <c r="AC3" s="13"/>
      <c r="AD3" s="15"/>
      <c r="AE3" s="15"/>
      <c r="AF3" s="15"/>
      <c r="AG3" s="13"/>
      <c r="AH3" s="15"/>
      <c r="AI3" s="15"/>
      <c r="AJ3" s="15"/>
      <c r="AK3" s="13"/>
      <c r="AL3" s="15"/>
      <c r="AM3" s="15"/>
      <c r="AN3" s="13"/>
      <c r="AO3" s="13"/>
    </row>
    <row r="4" spans="1:41" ht="72.5" x14ac:dyDescent="0.35">
      <c r="A4" s="13" t="s">
        <v>74</v>
      </c>
      <c r="B4" s="13" t="s">
        <v>75</v>
      </c>
      <c r="C4" s="14">
        <v>43189.5</v>
      </c>
      <c r="D4" s="13" t="s">
        <v>76</v>
      </c>
      <c r="E4" s="15" t="s">
        <v>77</v>
      </c>
      <c r="F4" s="13" t="s">
        <v>78</v>
      </c>
      <c r="G4" s="15" t="s">
        <v>79</v>
      </c>
      <c r="H4" s="13" t="s">
        <v>80</v>
      </c>
      <c r="I4" s="15" t="s">
        <v>79</v>
      </c>
      <c r="J4" s="15" t="s">
        <v>81</v>
      </c>
      <c r="K4" s="15" t="s">
        <v>82</v>
      </c>
      <c r="L4" s="13" t="s">
        <v>107</v>
      </c>
      <c r="M4" s="15" t="s">
        <v>108</v>
      </c>
      <c r="N4" s="14" t="s">
        <v>85</v>
      </c>
      <c r="O4" s="15" t="s">
        <v>109</v>
      </c>
      <c r="P4" s="15" t="s">
        <v>110</v>
      </c>
      <c r="Q4" s="15" t="s">
        <v>88</v>
      </c>
      <c r="R4" s="13" t="s">
        <v>89</v>
      </c>
      <c r="S4" s="13" t="s">
        <v>90</v>
      </c>
      <c r="T4" s="13" t="s">
        <v>91</v>
      </c>
      <c r="U4" s="14">
        <v>40725</v>
      </c>
      <c r="V4" s="14"/>
      <c r="W4" s="15"/>
      <c r="X4" s="15"/>
      <c r="Y4" s="13"/>
      <c r="Z4" s="15"/>
      <c r="AA4" s="15"/>
      <c r="AB4" s="15"/>
      <c r="AC4" s="13"/>
      <c r="AD4" s="15"/>
      <c r="AE4" s="15"/>
      <c r="AF4" s="15"/>
      <c r="AG4" s="13"/>
      <c r="AH4" s="15"/>
      <c r="AI4" s="15"/>
      <c r="AJ4" s="15"/>
      <c r="AK4" s="13"/>
      <c r="AL4" s="15"/>
      <c r="AM4" s="15"/>
      <c r="AN4" s="13"/>
      <c r="AO4" s="13"/>
    </row>
    <row r="5" spans="1:41" ht="29" x14ac:dyDescent="0.35">
      <c r="A5" s="13" t="s">
        <v>111</v>
      </c>
      <c r="B5" s="13" t="s">
        <v>112</v>
      </c>
      <c r="C5" s="14">
        <v>45950.390972222223</v>
      </c>
      <c r="D5" s="13" t="s">
        <v>76</v>
      </c>
      <c r="E5" s="15" t="s">
        <v>77</v>
      </c>
      <c r="F5" s="13" t="s">
        <v>78</v>
      </c>
      <c r="G5" s="15" t="s">
        <v>79</v>
      </c>
      <c r="H5" s="13" t="s">
        <v>80</v>
      </c>
      <c r="I5" s="15" t="s">
        <v>79</v>
      </c>
      <c r="J5" s="15" t="s">
        <v>81</v>
      </c>
      <c r="K5" s="15" t="s">
        <v>82</v>
      </c>
      <c r="L5" s="13" t="s">
        <v>113</v>
      </c>
      <c r="M5" s="15" t="s">
        <v>114</v>
      </c>
      <c r="N5" s="14" t="s">
        <v>85</v>
      </c>
      <c r="O5" s="15" t="s">
        <v>115</v>
      </c>
      <c r="P5" s="15" t="s">
        <v>116</v>
      </c>
      <c r="Q5" s="15" t="s">
        <v>88</v>
      </c>
      <c r="R5" s="13" t="s">
        <v>89</v>
      </c>
      <c r="S5" s="13" t="s">
        <v>90</v>
      </c>
      <c r="T5" s="13" t="s">
        <v>91</v>
      </c>
      <c r="U5" s="14">
        <v>40725</v>
      </c>
      <c r="V5" s="14">
        <v>40725</v>
      </c>
      <c r="W5" s="15"/>
      <c r="X5" s="15"/>
      <c r="Y5" s="13"/>
      <c r="Z5" s="15"/>
      <c r="AA5" s="15"/>
      <c r="AB5" s="15"/>
      <c r="AC5" s="13"/>
      <c r="AD5" s="15"/>
      <c r="AE5" s="15"/>
      <c r="AF5" s="15"/>
      <c r="AG5" s="13"/>
      <c r="AH5" s="15"/>
      <c r="AI5" s="15"/>
      <c r="AJ5" s="15"/>
      <c r="AK5" s="13"/>
      <c r="AL5" s="15"/>
      <c r="AM5" s="15"/>
      <c r="AN5" s="13"/>
      <c r="AO5" s="13"/>
    </row>
    <row r="6" spans="1:41" ht="29" x14ac:dyDescent="0.35">
      <c r="A6" s="13" t="s">
        <v>111</v>
      </c>
      <c r="B6" s="13" t="s">
        <v>112</v>
      </c>
      <c r="C6" s="14">
        <v>45950.392361111109</v>
      </c>
      <c r="D6" s="13" t="s">
        <v>76</v>
      </c>
      <c r="E6" s="15" t="s">
        <v>77</v>
      </c>
      <c r="F6" s="13" t="s">
        <v>78</v>
      </c>
      <c r="G6" s="15" t="s">
        <v>79</v>
      </c>
      <c r="H6" s="13" t="s">
        <v>80</v>
      </c>
      <c r="I6" s="15" t="s">
        <v>79</v>
      </c>
      <c r="J6" s="15" t="s">
        <v>81</v>
      </c>
      <c r="K6" s="15" t="s">
        <v>82</v>
      </c>
      <c r="L6" s="13" t="s">
        <v>118</v>
      </c>
      <c r="M6" s="15" t="s">
        <v>114</v>
      </c>
      <c r="N6" s="14" t="s">
        <v>85</v>
      </c>
      <c r="O6" s="15" t="s">
        <v>119</v>
      </c>
      <c r="P6" s="15" t="s">
        <v>120</v>
      </c>
      <c r="Q6" s="15" t="s">
        <v>88</v>
      </c>
      <c r="R6" s="13" t="s">
        <v>89</v>
      </c>
      <c r="S6" s="13" t="s">
        <v>90</v>
      </c>
      <c r="T6" s="13" t="s">
        <v>91</v>
      </c>
      <c r="U6" s="14">
        <v>40725</v>
      </c>
      <c r="V6" s="14">
        <v>40725</v>
      </c>
      <c r="W6" s="15"/>
      <c r="X6" s="15"/>
      <c r="Y6" s="13"/>
      <c r="Z6" s="15"/>
      <c r="AA6" s="15"/>
      <c r="AB6" s="15"/>
      <c r="AC6" s="13"/>
      <c r="AD6" s="15"/>
      <c r="AE6" s="15"/>
      <c r="AF6" s="15"/>
      <c r="AG6" s="13"/>
      <c r="AH6" s="15"/>
      <c r="AI6" s="15"/>
      <c r="AJ6" s="15"/>
      <c r="AK6" s="13"/>
      <c r="AL6" s="15"/>
      <c r="AM6" s="15"/>
      <c r="AN6" s="13"/>
      <c r="AO6" s="13"/>
    </row>
    <row r="7" spans="1:41" ht="58" x14ac:dyDescent="0.35">
      <c r="A7" s="13" t="s">
        <v>74</v>
      </c>
      <c r="B7" s="13" t="s">
        <v>75</v>
      </c>
      <c r="C7" s="14">
        <v>43152.5</v>
      </c>
      <c r="D7" s="13" t="s">
        <v>76</v>
      </c>
      <c r="E7" s="15" t="s">
        <v>77</v>
      </c>
      <c r="F7" s="13" t="s">
        <v>78</v>
      </c>
      <c r="G7" s="15" t="s">
        <v>79</v>
      </c>
      <c r="H7" s="13" t="s">
        <v>80</v>
      </c>
      <c r="I7" s="15" t="s">
        <v>79</v>
      </c>
      <c r="J7" s="15" t="s">
        <v>81</v>
      </c>
      <c r="K7" s="15" t="s">
        <v>82</v>
      </c>
      <c r="L7" s="13" t="s">
        <v>83</v>
      </c>
      <c r="M7" s="15" t="s">
        <v>84</v>
      </c>
      <c r="N7" s="14" t="s">
        <v>85</v>
      </c>
      <c r="O7" s="15" t="s">
        <v>86</v>
      </c>
      <c r="P7" s="15" t="s">
        <v>87</v>
      </c>
      <c r="Q7" s="15" t="s">
        <v>121</v>
      </c>
      <c r="R7" s="13" t="s">
        <v>122</v>
      </c>
      <c r="S7" s="13" t="s">
        <v>90</v>
      </c>
      <c r="T7" s="13" t="s">
        <v>95</v>
      </c>
      <c r="U7" s="14">
        <v>40725</v>
      </c>
      <c r="V7" s="14">
        <v>42481</v>
      </c>
      <c r="W7" s="15"/>
      <c r="X7" s="15"/>
      <c r="Y7" s="13"/>
      <c r="Z7" s="15"/>
      <c r="AA7" s="15"/>
      <c r="AB7" s="15"/>
      <c r="AC7" s="13"/>
      <c r="AD7" s="15"/>
      <c r="AE7" s="15"/>
      <c r="AF7" s="15"/>
      <c r="AG7" s="13"/>
      <c r="AH7" s="15"/>
      <c r="AI7" s="15"/>
      <c r="AJ7" s="15"/>
      <c r="AK7" s="13"/>
      <c r="AL7" s="15"/>
      <c r="AM7" s="15"/>
      <c r="AN7" s="13"/>
      <c r="AO7" s="13"/>
    </row>
    <row r="8" spans="1:41" ht="58" x14ac:dyDescent="0.35">
      <c r="A8" s="13" t="s">
        <v>132</v>
      </c>
      <c r="B8" s="13" t="s">
        <v>112</v>
      </c>
      <c r="C8" s="14">
        <v>43628.435416666667</v>
      </c>
      <c r="D8" s="13" t="s">
        <v>76</v>
      </c>
      <c r="E8" s="15" t="s">
        <v>77</v>
      </c>
      <c r="F8" s="13" t="s">
        <v>78</v>
      </c>
      <c r="G8" s="15" t="s">
        <v>79</v>
      </c>
      <c r="H8" s="13" t="s">
        <v>80</v>
      </c>
      <c r="I8" s="15" t="s">
        <v>79</v>
      </c>
      <c r="J8" s="15" t="s">
        <v>81</v>
      </c>
      <c r="K8" s="15" t="s">
        <v>82</v>
      </c>
      <c r="L8" s="13" t="s">
        <v>83</v>
      </c>
      <c r="M8" s="15" t="s">
        <v>84</v>
      </c>
      <c r="N8" s="14" t="s">
        <v>85</v>
      </c>
      <c r="O8" s="15" t="s">
        <v>86</v>
      </c>
      <c r="P8" s="15" t="s">
        <v>87</v>
      </c>
      <c r="Q8" s="15" t="s">
        <v>121</v>
      </c>
      <c r="R8" s="13" t="s">
        <v>122</v>
      </c>
      <c r="S8" s="13" t="s">
        <v>90</v>
      </c>
      <c r="T8" s="13" t="s">
        <v>95</v>
      </c>
      <c r="U8" s="14">
        <v>42482</v>
      </c>
      <c r="V8" s="14"/>
      <c r="W8" s="15"/>
      <c r="X8" s="15"/>
      <c r="Y8" s="13"/>
      <c r="Z8" s="15"/>
      <c r="AA8" s="15"/>
      <c r="AB8" s="15"/>
      <c r="AC8" s="13"/>
      <c r="AD8" s="15"/>
      <c r="AE8" s="15"/>
      <c r="AF8" s="15"/>
      <c r="AG8" s="13"/>
      <c r="AH8" s="15"/>
      <c r="AI8" s="15"/>
      <c r="AJ8" s="15"/>
      <c r="AK8" s="13"/>
      <c r="AL8" s="15"/>
      <c r="AM8" s="15"/>
      <c r="AN8" s="13"/>
      <c r="AO8" s="13"/>
    </row>
    <row r="9" spans="1:41" ht="58" x14ac:dyDescent="0.35">
      <c r="A9" s="13" t="s">
        <v>74</v>
      </c>
      <c r="B9" s="13" t="s">
        <v>75</v>
      </c>
      <c r="C9" s="14">
        <v>43152.5</v>
      </c>
      <c r="D9" s="13" t="s">
        <v>76</v>
      </c>
      <c r="E9" s="15" t="s">
        <v>77</v>
      </c>
      <c r="F9" s="13" t="s">
        <v>78</v>
      </c>
      <c r="G9" s="15" t="s">
        <v>79</v>
      </c>
      <c r="H9" s="13" t="s">
        <v>80</v>
      </c>
      <c r="I9" s="15" t="s">
        <v>79</v>
      </c>
      <c r="J9" s="15" t="s">
        <v>81</v>
      </c>
      <c r="K9" s="15" t="s">
        <v>82</v>
      </c>
      <c r="L9" s="13" t="s">
        <v>92</v>
      </c>
      <c r="M9" s="15" t="s">
        <v>79</v>
      </c>
      <c r="N9" s="14" t="s">
        <v>85</v>
      </c>
      <c r="O9" s="15" t="s">
        <v>93</v>
      </c>
      <c r="P9" s="15" t="s">
        <v>94</v>
      </c>
      <c r="Q9" s="15" t="s">
        <v>121</v>
      </c>
      <c r="R9" s="13" t="s">
        <v>122</v>
      </c>
      <c r="S9" s="13" t="s">
        <v>90</v>
      </c>
      <c r="T9" s="13" t="s">
        <v>95</v>
      </c>
      <c r="U9" s="14">
        <v>40725</v>
      </c>
      <c r="V9" s="14"/>
      <c r="W9" s="15"/>
      <c r="X9" s="15"/>
      <c r="Y9" s="13"/>
      <c r="Z9" s="15"/>
      <c r="AA9" s="15"/>
      <c r="AB9" s="15"/>
      <c r="AC9" s="13"/>
      <c r="AD9" s="15"/>
      <c r="AE9" s="15"/>
      <c r="AF9" s="15"/>
      <c r="AG9" s="13"/>
      <c r="AH9" s="15"/>
      <c r="AI9" s="15"/>
      <c r="AJ9" s="15"/>
      <c r="AK9" s="13"/>
      <c r="AL9" s="15"/>
      <c r="AM9" s="15"/>
      <c r="AN9" s="13"/>
      <c r="AO9" s="13"/>
    </row>
    <row r="10" spans="1:41" ht="72.5" x14ac:dyDescent="0.35">
      <c r="A10" s="13" t="s">
        <v>74</v>
      </c>
      <c r="B10" s="13" t="s">
        <v>75</v>
      </c>
      <c r="C10" s="14">
        <v>43189.5</v>
      </c>
      <c r="D10" s="13" t="s">
        <v>76</v>
      </c>
      <c r="E10" s="15" t="s">
        <v>77</v>
      </c>
      <c r="F10" s="13" t="s">
        <v>78</v>
      </c>
      <c r="G10" s="15" t="s">
        <v>79</v>
      </c>
      <c r="H10" s="13" t="s">
        <v>80</v>
      </c>
      <c r="I10" s="15" t="s">
        <v>79</v>
      </c>
      <c r="J10" s="15" t="s">
        <v>81</v>
      </c>
      <c r="K10" s="15" t="s">
        <v>82</v>
      </c>
      <c r="L10" s="13" t="s">
        <v>107</v>
      </c>
      <c r="M10" s="15" t="s">
        <v>108</v>
      </c>
      <c r="N10" s="14" t="s">
        <v>85</v>
      </c>
      <c r="O10" s="15" t="s">
        <v>109</v>
      </c>
      <c r="P10" s="15" t="s">
        <v>110</v>
      </c>
      <c r="Q10" s="15" t="s">
        <v>121</v>
      </c>
      <c r="R10" s="13" t="s">
        <v>122</v>
      </c>
      <c r="S10" s="13" t="s">
        <v>90</v>
      </c>
      <c r="T10" s="13" t="s">
        <v>91</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29" x14ac:dyDescent="0.35">
      <c r="A11" s="13" t="s">
        <v>111</v>
      </c>
      <c r="B11" s="13" t="s">
        <v>112</v>
      </c>
      <c r="C11" s="14">
        <v>45950.390277777777</v>
      </c>
      <c r="D11" s="13" t="s">
        <v>76</v>
      </c>
      <c r="E11" s="15" t="s">
        <v>77</v>
      </c>
      <c r="F11" s="13" t="s">
        <v>78</v>
      </c>
      <c r="G11" s="15" t="s">
        <v>79</v>
      </c>
      <c r="H11" s="13" t="s">
        <v>80</v>
      </c>
      <c r="I11" s="15" t="s">
        <v>79</v>
      </c>
      <c r="J11" s="15" t="s">
        <v>81</v>
      </c>
      <c r="K11" s="15" t="s">
        <v>82</v>
      </c>
      <c r="L11" s="13" t="s">
        <v>113</v>
      </c>
      <c r="M11" s="15" t="s">
        <v>114</v>
      </c>
      <c r="N11" s="14" t="s">
        <v>85</v>
      </c>
      <c r="O11" s="15" t="s">
        <v>115</v>
      </c>
      <c r="P11" s="15" t="s">
        <v>116</v>
      </c>
      <c r="Q11" s="15" t="s">
        <v>121</v>
      </c>
      <c r="R11" s="13" t="s">
        <v>122</v>
      </c>
      <c r="S11" s="13" t="s">
        <v>90</v>
      </c>
      <c r="T11" s="13" t="s">
        <v>91</v>
      </c>
      <c r="U11" s="14">
        <v>40725</v>
      </c>
      <c r="V11" s="14">
        <v>40725</v>
      </c>
      <c r="W11" s="15"/>
      <c r="X11" s="15"/>
      <c r="Y11" s="13"/>
      <c r="Z11" s="15"/>
      <c r="AA11" s="15"/>
      <c r="AB11" s="15"/>
      <c r="AC11" s="13"/>
      <c r="AD11" s="15"/>
      <c r="AE11" s="15"/>
      <c r="AF11" s="15"/>
      <c r="AG11" s="13"/>
      <c r="AH11" s="15"/>
      <c r="AI11" s="15"/>
      <c r="AJ11" s="15"/>
      <c r="AK11" s="13"/>
      <c r="AL11" s="15"/>
      <c r="AM11" s="15"/>
      <c r="AN11" s="13"/>
      <c r="AO11" s="13"/>
    </row>
    <row r="12" spans="1:41" ht="29" x14ac:dyDescent="0.35">
      <c r="A12" s="13" t="s">
        <v>111</v>
      </c>
      <c r="B12" s="13" t="s">
        <v>112</v>
      </c>
      <c r="C12" s="14">
        <v>45950.390972222223</v>
      </c>
      <c r="D12" s="13" t="s">
        <v>76</v>
      </c>
      <c r="E12" s="15" t="s">
        <v>77</v>
      </c>
      <c r="F12" s="13" t="s">
        <v>78</v>
      </c>
      <c r="G12" s="15" t="s">
        <v>79</v>
      </c>
      <c r="H12" s="13" t="s">
        <v>80</v>
      </c>
      <c r="I12" s="15" t="s">
        <v>79</v>
      </c>
      <c r="J12" s="15" t="s">
        <v>81</v>
      </c>
      <c r="K12" s="15" t="s">
        <v>82</v>
      </c>
      <c r="L12" s="13" t="s">
        <v>118</v>
      </c>
      <c r="M12" s="15" t="s">
        <v>114</v>
      </c>
      <c r="N12" s="14" t="s">
        <v>85</v>
      </c>
      <c r="O12" s="15" t="s">
        <v>119</v>
      </c>
      <c r="P12" s="15" t="s">
        <v>120</v>
      </c>
      <c r="Q12" s="15" t="s">
        <v>121</v>
      </c>
      <c r="R12" s="13" t="s">
        <v>122</v>
      </c>
      <c r="S12" s="13" t="s">
        <v>90</v>
      </c>
      <c r="T12" s="13" t="s">
        <v>91</v>
      </c>
      <c r="U12" s="14">
        <v>40725</v>
      </c>
      <c r="V12" s="14">
        <v>40725</v>
      </c>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149</v>
      </c>
      <c r="B13" s="13" t="s">
        <v>112</v>
      </c>
      <c r="C13" s="14">
        <v>44746.49722222222</v>
      </c>
      <c r="D13" s="13" t="s">
        <v>76</v>
      </c>
      <c r="E13" s="15" t="s">
        <v>77</v>
      </c>
      <c r="F13" s="13" t="s">
        <v>78</v>
      </c>
      <c r="G13" s="15" t="s">
        <v>79</v>
      </c>
      <c r="H13" s="13" t="s">
        <v>80</v>
      </c>
      <c r="I13" s="15" t="s">
        <v>79</v>
      </c>
      <c r="J13" s="15" t="s">
        <v>81</v>
      </c>
      <c r="K13" s="15" t="s">
        <v>82</v>
      </c>
      <c r="L13" s="13" t="s">
        <v>83</v>
      </c>
      <c r="M13" s="15" t="s">
        <v>84</v>
      </c>
      <c r="N13" s="14" t="s">
        <v>85</v>
      </c>
      <c r="O13" s="15" t="s">
        <v>86</v>
      </c>
      <c r="P13" s="15" t="s">
        <v>87</v>
      </c>
      <c r="Q13" s="15" t="s">
        <v>150</v>
      </c>
      <c r="R13" s="13" t="s">
        <v>151</v>
      </c>
      <c r="S13" s="13" t="s">
        <v>90</v>
      </c>
      <c r="T13" s="13" t="s">
        <v>95</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58" x14ac:dyDescent="0.35">
      <c r="A14" s="13" t="s">
        <v>74</v>
      </c>
      <c r="B14" s="13" t="s">
        <v>75</v>
      </c>
      <c r="C14" s="14">
        <v>43152.5</v>
      </c>
      <c r="D14" s="13" t="s">
        <v>76</v>
      </c>
      <c r="E14" s="15" t="s">
        <v>77</v>
      </c>
      <c r="F14" s="13" t="s">
        <v>78</v>
      </c>
      <c r="G14" s="15" t="s">
        <v>79</v>
      </c>
      <c r="H14" s="13" t="s">
        <v>80</v>
      </c>
      <c r="I14" s="15" t="s">
        <v>79</v>
      </c>
      <c r="J14" s="15" t="s">
        <v>81</v>
      </c>
      <c r="K14" s="15" t="s">
        <v>82</v>
      </c>
      <c r="L14" s="13" t="s">
        <v>92</v>
      </c>
      <c r="M14" s="15" t="s">
        <v>79</v>
      </c>
      <c r="N14" s="14" t="s">
        <v>85</v>
      </c>
      <c r="O14" s="15" t="s">
        <v>93</v>
      </c>
      <c r="P14" s="15" t="s">
        <v>94</v>
      </c>
      <c r="Q14" s="15" t="s">
        <v>150</v>
      </c>
      <c r="R14" s="13" t="s">
        <v>151</v>
      </c>
      <c r="S14" s="13" t="s">
        <v>90</v>
      </c>
      <c r="T14" s="13" t="s">
        <v>95</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72.5" x14ac:dyDescent="0.35">
      <c r="A15" s="13" t="s">
        <v>74</v>
      </c>
      <c r="B15" s="13" t="s">
        <v>75</v>
      </c>
      <c r="C15" s="14">
        <v>43189.5</v>
      </c>
      <c r="D15" s="13" t="s">
        <v>76</v>
      </c>
      <c r="E15" s="15" t="s">
        <v>77</v>
      </c>
      <c r="F15" s="13" t="s">
        <v>78</v>
      </c>
      <c r="G15" s="15" t="s">
        <v>79</v>
      </c>
      <c r="H15" s="13" t="s">
        <v>80</v>
      </c>
      <c r="I15" s="15" t="s">
        <v>79</v>
      </c>
      <c r="J15" s="15" t="s">
        <v>81</v>
      </c>
      <c r="K15" s="15" t="s">
        <v>82</v>
      </c>
      <c r="L15" s="13" t="s">
        <v>107</v>
      </c>
      <c r="M15" s="15" t="s">
        <v>108</v>
      </c>
      <c r="N15" s="14" t="s">
        <v>85</v>
      </c>
      <c r="O15" s="15" t="s">
        <v>109</v>
      </c>
      <c r="P15" s="15" t="s">
        <v>110</v>
      </c>
      <c r="Q15" s="15" t="s">
        <v>150</v>
      </c>
      <c r="R15" s="13" t="s">
        <v>151</v>
      </c>
      <c r="S15" s="13" t="s">
        <v>90</v>
      </c>
      <c r="T15" s="13" t="s">
        <v>91</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29" x14ac:dyDescent="0.35">
      <c r="A16" s="13" t="s">
        <v>111</v>
      </c>
      <c r="B16" s="13" t="s">
        <v>112</v>
      </c>
      <c r="C16" s="14">
        <v>45950.390277777777</v>
      </c>
      <c r="D16" s="13" t="s">
        <v>76</v>
      </c>
      <c r="E16" s="15" t="s">
        <v>77</v>
      </c>
      <c r="F16" s="13" t="s">
        <v>78</v>
      </c>
      <c r="G16" s="15" t="s">
        <v>79</v>
      </c>
      <c r="H16" s="13" t="s">
        <v>80</v>
      </c>
      <c r="I16" s="15" t="s">
        <v>79</v>
      </c>
      <c r="J16" s="15" t="s">
        <v>81</v>
      </c>
      <c r="K16" s="15" t="s">
        <v>82</v>
      </c>
      <c r="L16" s="13" t="s">
        <v>113</v>
      </c>
      <c r="M16" s="15" t="s">
        <v>114</v>
      </c>
      <c r="N16" s="14" t="s">
        <v>85</v>
      </c>
      <c r="O16" s="15" t="s">
        <v>115</v>
      </c>
      <c r="P16" s="15" t="s">
        <v>116</v>
      </c>
      <c r="Q16" s="15" t="s">
        <v>150</v>
      </c>
      <c r="R16" s="13" t="s">
        <v>151</v>
      </c>
      <c r="S16" s="13" t="s">
        <v>90</v>
      </c>
      <c r="T16" s="13" t="s">
        <v>91</v>
      </c>
      <c r="U16" s="14">
        <v>40725</v>
      </c>
      <c r="V16" s="14">
        <v>40725</v>
      </c>
      <c r="W16" s="15"/>
      <c r="X16" s="15"/>
      <c r="Y16" s="13"/>
      <c r="Z16" s="15"/>
      <c r="AA16" s="15"/>
      <c r="AB16" s="15"/>
      <c r="AC16" s="13"/>
      <c r="AD16" s="15"/>
      <c r="AE16" s="15"/>
      <c r="AF16" s="15"/>
      <c r="AG16" s="13"/>
      <c r="AH16" s="15"/>
      <c r="AI16" s="15"/>
      <c r="AJ16" s="15"/>
      <c r="AK16" s="13"/>
      <c r="AL16" s="15"/>
      <c r="AM16" s="15"/>
      <c r="AN16" s="13"/>
      <c r="AO16" s="13"/>
    </row>
    <row r="17" spans="1:41" ht="29" x14ac:dyDescent="0.35">
      <c r="A17" s="13" t="s">
        <v>111</v>
      </c>
      <c r="B17" s="13" t="s">
        <v>112</v>
      </c>
      <c r="C17" s="14">
        <v>45950.39166666667</v>
      </c>
      <c r="D17" s="13" t="s">
        <v>76</v>
      </c>
      <c r="E17" s="15" t="s">
        <v>77</v>
      </c>
      <c r="F17" s="13" t="s">
        <v>78</v>
      </c>
      <c r="G17" s="15" t="s">
        <v>79</v>
      </c>
      <c r="H17" s="13" t="s">
        <v>80</v>
      </c>
      <c r="I17" s="15" t="s">
        <v>79</v>
      </c>
      <c r="J17" s="15" t="s">
        <v>81</v>
      </c>
      <c r="K17" s="15" t="s">
        <v>82</v>
      </c>
      <c r="L17" s="13" t="s">
        <v>118</v>
      </c>
      <c r="M17" s="15" t="s">
        <v>114</v>
      </c>
      <c r="N17" s="14" t="s">
        <v>85</v>
      </c>
      <c r="O17" s="15" t="s">
        <v>119</v>
      </c>
      <c r="P17" s="15" t="s">
        <v>120</v>
      </c>
      <c r="Q17" s="15" t="s">
        <v>150</v>
      </c>
      <c r="R17" s="13" t="s">
        <v>151</v>
      </c>
      <c r="S17" s="13" t="s">
        <v>90</v>
      </c>
      <c r="T17" s="13" t="s">
        <v>91</v>
      </c>
      <c r="U17" s="14">
        <v>40725</v>
      </c>
      <c r="V17" s="14">
        <v>40725</v>
      </c>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74</v>
      </c>
      <c r="B18" s="13" t="s">
        <v>75</v>
      </c>
      <c r="C18" s="14">
        <v>43189.5</v>
      </c>
      <c r="D18" s="13" t="s">
        <v>76</v>
      </c>
      <c r="E18" s="15" t="s">
        <v>77</v>
      </c>
      <c r="F18" s="13" t="s">
        <v>78</v>
      </c>
      <c r="G18" s="15" t="s">
        <v>79</v>
      </c>
      <c r="H18" s="13" t="s">
        <v>80</v>
      </c>
      <c r="I18" s="15" t="s">
        <v>79</v>
      </c>
      <c r="J18" s="15" t="s">
        <v>81</v>
      </c>
      <c r="K18" s="15" t="s">
        <v>82</v>
      </c>
      <c r="L18" s="13" t="s">
        <v>83</v>
      </c>
      <c r="M18" s="15" t="s">
        <v>84</v>
      </c>
      <c r="N18" s="14" t="s">
        <v>85</v>
      </c>
      <c r="O18" s="15" t="s">
        <v>86</v>
      </c>
      <c r="P18" s="15" t="s">
        <v>87</v>
      </c>
      <c r="Q18" s="15" t="s">
        <v>171</v>
      </c>
      <c r="R18" s="13" t="s">
        <v>172</v>
      </c>
      <c r="S18" s="13" t="s">
        <v>90</v>
      </c>
      <c r="T18" s="13" t="s">
        <v>91</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74</v>
      </c>
      <c r="B19" s="13" t="s">
        <v>75</v>
      </c>
      <c r="C19" s="14">
        <v>43189.5</v>
      </c>
      <c r="D19" s="13" t="s">
        <v>76</v>
      </c>
      <c r="E19" s="15" t="s">
        <v>77</v>
      </c>
      <c r="F19" s="13" t="s">
        <v>78</v>
      </c>
      <c r="G19" s="15" t="s">
        <v>79</v>
      </c>
      <c r="H19" s="13" t="s">
        <v>80</v>
      </c>
      <c r="I19" s="15" t="s">
        <v>79</v>
      </c>
      <c r="J19" s="15" t="s">
        <v>81</v>
      </c>
      <c r="K19" s="15" t="s">
        <v>82</v>
      </c>
      <c r="L19" s="13" t="s">
        <v>92</v>
      </c>
      <c r="M19" s="15" t="s">
        <v>79</v>
      </c>
      <c r="N19" s="14" t="s">
        <v>85</v>
      </c>
      <c r="O19" s="15" t="s">
        <v>93</v>
      </c>
      <c r="P19" s="15" t="s">
        <v>94</v>
      </c>
      <c r="Q19" s="15" t="s">
        <v>171</v>
      </c>
      <c r="R19" s="13" t="s">
        <v>172</v>
      </c>
      <c r="S19" s="13" t="s">
        <v>90</v>
      </c>
      <c r="T19" s="13" t="s">
        <v>91</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72.5" x14ac:dyDescent="0.35">
      <c r="A20" s="13" t="s">
        <v>74</v>
      </c>
      <c r="B20" s="13" t="s">
        <v>75</v>
      </c>
      <c r="C20" s="14">
        <v>43189.5</v>
      </c>
      <c r="D20" s="13" t="s">
        <v>76</v>
      </c>
      <c r="E20" s="15" t="s">
        <v>77</v>
      </c>
      <c r="F20" s="13" t="s">
        <v>78</v>
      </c>
      <c r="G20" s="15" t="s">
        <v>79</v>
      </c>
      <c r="H20" s="13" t="s">
        <v>80</v>
      </c>
      <c r="I20" s="15" t="s">
        <v>79</v>
      </c>
      <c r="J20" s="15" t="s">
        <v>81</v>
      </c>
      <c r="K20" s="15" t="s">
        <v>82</v>
      </c>
      <c r="L20" s="13" t="s">
        <v>107</v>
      </c>
      <c r="M20" s="15" t="s">
        <v>108</v>
      </c>
      <c r="N20" s="14" t="s">
        <v>85</v>
      </c>
      <c r="O20" s="15" t="s">
        <v>109</v>
      </c>
      <c r="P20" s="15" t="s">
        <v>110</v>
      </c>
      <c r="Q20" s="15" t="s">
        <v>171</v>
      </c>
      <c r="R20" s="13" t="s">
        <v>172</v>
      </c>
      <c r="S20" s="13" t="s">
        <v>90</v>
      </c>
      <c r="T20" s="13" t="s">
        <v>91</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29" x14ac:dyDescent="0.35">
      <c r="A21" s="13" t="s">
        <v>111</v>
      </c>
      <c r="B21" s="13" t="s">
        <v>112</v>
      </c>
      <c r="C21" s="14">
        <v>45950.390277777777</v>
      </c>
      <c r="D21" s="13" t="s">
        <v>76</v>
      </c>
      <c r="E21" s="15" t="s">
        <v>77</v>
      </c>
      <c r="F21" s="13" t="s">
        <v>78</v>
      </c>
      <c r="G21" s="15" t="s">
        <v>79</v>
      </c>
      <c r="H21" s="13" t="s">
        <v>80</v>
      </c>
      <c r="I21" s="15" t="s">
        <v>79</v>
      </c>
      <c r="J21" s="15" t="s">
        <v>81</v>
      </c>
      <c r="K21" s="15" t="s">
        <v>82</v>
      </c>
      <c r="L21" s="13" t="s">
        <v>113</v>
      </c>
      <c r="M21" s="15" t="s">
        <v>114</v>
      </c>
      <c r="N21" s="14" t="s">
        <v>85</v>
      </c>
      <c r="O21" s="15" t="s">
        <v>115</v>
      </c>
      <c r="P21" s="15" t="s">
        <v>116</v>
      </c>
      <c r="Q21" s="15" t="s">
        <v>171</v>
      </c>
      <c r="R21" s="13" t="s">
        <v>172</v>
      </c>
      <c r="S21" s="13" t="s">
        <v>90</v>
      </c>
      <c r="T21" s="13" t="s">
        <v>91</v>
      </c>
      <c r="U21" s="14">
        <v>40725</v>
      </c>
      <c r="V21" s="14">
        <v>40725</v>
      </c>
      <c r="W21" s="15"/>
      <c r="X21" s="15"/>
      <c r="Y21" s="13"/>
      <c r="Z21" s="15"/>
      <c r="AA21" s="15"/>
      <c r="AB21" s="15"/>
      <c r="AC21" s="13"/>
      <c r="AD21" s="15"/>
      <c r="AE21" s="15"/>
      <c r="AF21" s="15"/>
      <c r="AG21" s="13"/>
      <c r="AH21" s="15"/>
      <c r="AI21" s="15"/>
      <c r="AJ21" s="15"/>
      <c r="AK21" s="13"/>
      <c r="AL21" s="15"/>
      <c r="AM21" s="15"/>
      <c r="AN21" s="13"/>
      <c r="AO21" s="13"/>
    </row>
    <row r="22" spans="1:41" ht="29" x14ac:dyDescent="0.35">
      <c r="A22" s="13" t="s">
        <v>111</v>
      </c>
      <c r="B22" s="13" t="s">
        <v>112</v>
      </c>
      <c r="C22" s="14">
        <v>45950.39166666667</v>
      </c>
      <c r="D22" s="13" t="s">
        <v>76</v>
      </c>
      <c r="E22" s="15" t="s">
        <v>77</v>
      </c>
      <c r="F22" s="13" t="s">
        <v>78</v>
      </c>
      <c r="G22" s="15" t="s">
        <v>79</v>
      </c>
      <c r="H22" s="13" t="s">
        <v>80</v>
      </c>
      <c r="I22" s="15" t="s">
        <v>79</v>
      </c>
      <c r="J22" s="15" t="s">
        <v>81</v>
      </c>
      <c r="K22" s="15" t="s">
        <v>82</v>
      </c>
      <c r="L22" s="13" t="s">
        <v>118</v>
      </c>
      <c r="M22" s="15" t="s">
        <v>114</v>
      </c>
      <c r="N22" s="14" t="s">
        <v>85</v>
      </c>
      <c r="O22" s="15" t="s">
        <v>119</v>
      </c>
      <c r="P22" s="15" t="s">
        <v>120</v>
      </c>
      <c r="Q22" s="15" t="s">
        <v>171</v>
      </c>
      <c r="R22" s="13" t="s">
        <v>172</v>
      </c>
      <c r="S22" s="13" t="s">
        <v>90</v>
      </c>
      <c r="T22" s="13" t="s">
        <v>91</v>
      </c>
      <c r="U22" s="14">
        <v>40725</v>
      </c>
      <c r="V22" s="14">
        <v>40725</v>
      </c>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132</v>
      </c>
      <c r="B23" s="13" t="s">
        <v>112</v>
      </c>
      <c r="C23" s="14">
        <v>43628.442361111112</v>
      </c>
      <c r="D23" s="13" t="s">
        <v>76</v>
      </c>
      <c r="E23" s="15" t="s">
        <v>77</v>
      </c>
      <c r="F23" s="13" t="s">
        <v>78</v>
      </c>
      <c r="G23" s="15" t="s">
        <v>79</v>
      </c>
      <c r="H23" s="13" t="s">
        <v>80</v>
      </c>
      <c r="I23" s="15" t="s">
        <v>79</v>
      </c>
      <c r="J23" s="15" t="s">
        <v>81</v>
      </c>
      <c r="K23" s="15" t="s">
        <v>82</v>
      </c>
      <c r="L23" s="13" t="s">
        <v>83</v>
      </c>
      <c r="M23" s="15" t="s">
        <v>84</v>
      </c>
      <c r="N23" s="14" t="s">
        <v>85</v>
      </c>
      <c r="O23" s="15" t="s">
        <v>86</v>
      </c>
      <c r="P23" s="15" t="s">
        <v>87</v>
      </c>
      <c r="Q23" s="15" t="s">
        <v>173</v>
      </c>
      <c r="R23" s="13" t="s">
        <v>174</v>
      </c>
      <c r="S23" s="13" t="s">
        <v>175</v>
      </c>
      <c r="T23" s="13" t="s">
        <v>95</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58" x14ac:dyDescent="0.35">
      <c r="A24" s="13" t="s">
        <v>132</v>
      </c>
      <c r="B24" s="13" t="s">
        <v>75</v>
      </c>
      <c r="C24" s="14">
        <v>43628.446527777778</v>
      </c>
      <c r="D24" s="13" t="s">
        <v>76</v>
      </c>
      <c r="E24" s="15" t="s">
        <v>77</v>
      </c>
      <c r="F24" s="13" t="s">
        <v>78</v>
      </c>
      <c r="G24" s="15" t="s">
        <v>79</v>
      </c>
      <c r="H24" s="13" t="s">
        <v>80</v>
      </c>
      <c r="I24" s="15" t="s">
        <v>79</v>
      </c>
      <c r="J24" s="15" t="s">
        <v>81</v>
      </c>
      <c r="K24" s="15" t="s">
        <v>82</v>
      </c>
      <c r="L24" s="13" t="s">
        <v>83</v>
      </c>
      <c r="M24" s="15" t="s">
        <v>84</v>
      </c>
      <c r="N24" s="14" t="s">
        <v>85</v>
      </c>
      <c r="O24" s="15" t="s">
        <v>86</v>
      </c>
      <c r="P24" s="15" t="s">
        <v>87</v>
      </c>
      <c r="Q24" s="15" t="s">
        <v>187</v>
      </c>
      <c r="R24" s="13" t="s">
        <v>188</v>
      </c>
      <c r="S24" s="13" t="s">
        <v>175</v>
      </c>
      <c r="T24" s="13" t="s">
        <v>95</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74</v>
      </c>
      <c r="B25" s="13" t="s">
        <v>75</v>
      </c>
      <c r="C25" s="14">
        <v>43152.5</v>
      </c>
      <c r="D25" s="13" t="s">
        <v>76</v>
      </c>
      <c r="E25" s="15" t="s">
        <v>77</v>
      </c>
      <c r="F25" s="13" t="s">
        <v>78</v>
      </c>
      <c r="G25" s="15" t="s">
        <v>79</v>
      </c>
      <c r="H25" s="13" t="s">
        <v>80</v>
      </c>
      <c r="I25" s="15" t="s">
        <v>79</v>
      </c>
      <c r="J25" s="15" t="s">
        <v>81</v>
      </c>
      <c r="K25" s="15" t="s">
        <v>82</v>
      </c>
      <c r="L25" s="13" t="s">
        <v>83</v>
      </c>
      <c r="M25" s="15" t="s">
        <v>84</v>
      </c>
      <c r="N25" s="14" t="s">
        <v>85</v>
      </c>
      <c r="O25" s="15" t="s">
        <v>86</v>
      </c>
      <c r="P25" s="15" t="s">
        <v>87</v>
      </c>
      <c r="Q25" s="15" t="s">
        <v>194</v>
      </c>
      <c r="R25" s="13" t="s">
        <v>195</v>
      </c>
      <c r="S25" s="13" t="s">
        <v>175</v>
      </c>
      <c r="T25" s="13" t="s">
        <v>95</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74</v>
      </c>
      <c r="B26" s="13" t="s">
        <v>75</v>
      </c>
      <c r="C26" s="14">
        <v>43152.5</v>
      </c>
      <c r="D26" s="13" t="s">
        <v>76</v>
      </c>
      <c r="E26" s="15" t="s">
        <v>77</v>
      </c>
      <c r="F26" s="13" t="s">
        <v>78</v>
      </c>
      <c r="G26" s="15" t="s">
        <v>79</v>
      </c>
      <c r="H26" s="13" t="s">
        <v>80</v>
      </c>
      <c r="I26" s="15" t="s">
        <v>79</v>
      </c>
      <c r="J26" s="15" t="s">
        <v>81</v>
      </c>
      <c r="K26" s="15" t="s">
        <v>82</v>
      </c>
      <c r="L26" s="13" t="s">
        <v>83</v>
      </c>
      <c r="M26" s="15" t="s">
        <v>84</v>
      </c>
      <c r="N26" s="14" t="s">
        <v>85</v>
      </c>
      <c r="O26" s="15" t="s">
        <v>86</v>
      </c>
      <c r="P26" s="15" t="s">
        <v>87</v>
      </c>
      <c r="Q26" s="15" t="s">
        <v>197</v>
      </c>
      <c r="R26" s="13" t="s">
        <v>198</v>
      </c>
      <c r="S26" s="13" t="s">
        <v>175</v>
      </c>
      <c r="T26" s="13" t="s">
        <v>95</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58" x14ac:dyDescent="0.35">
      <c r="A27" s="13" t="s">
        <v>199</v>
      </c>
      <c r="B27" s="13" t="s">
        <v>75</v>
      </c>
      <c r="C27" s="14">
        <v>44049.634027777778</v>
      </c>
      <c r="D27" s="13" t="s">
        <v>76</v>
      </c>
      <c r="E27" s="15" t="s">
        <v>77</v>
      </c>
      <c r="F27" s="13" t="s">
        <v>78</v>
      </c>
      <c r="G27" s="15" t="s">
        <v>79</v>
      </c>
      <c r="H27" s="13" t="s">
        <v>80</v>
      </c>
      <c r="I27" s="15" t="s">
        <v>79</v>
      </c>
      <c r="J27" s="15" t="s">
        <v>81</v>
      </c>
      <c r="K27" s="15" t="s">
        <v>82</v>
      </c>
      <c r="L27" s="13" t="s">
        <v>83</v>
      </c>
      <c r="M27" s="15" t="s">
        <v>84</v>
      </c>
      <c r="N27" s="14" t="s">
        <v>85</v>
      </c>
      <c r="O27" s="15" t="s">
        <v>86</v>
      </c>
      <c r="P27" s="15" t="s">
        <v>87</v>
      </c>
      <c r="Q27" s="15" t="s">
        <v>200</v>
      </c>
      <c r="R27" s="13" t="s">
        <v>201</v>
      </c>
      <c r="S27" s="13" t="s">
        <v>175</v>
      </c>
      <c r="T27" s="13" t="s">
        <v>91</v>
      </c>
      <c r="U27" s="14">
        <v>40725</v>
      </c>
      <c r="V27" s="14">
        <v>43683</v>
      </c>
      <c r="W27" s="15"/>
      <c r="X27" s="15"/>
      <c r="Y27" s="13"/>
      <c r="Z27" s="15"/>
      <c r="AA27" s="15"/>
      <c r="AB27" s="15"/>
      <c r="AC27" s="13"/>
      <c r="AD27" s="15"/>
      <c r="AE27" s="15"/>
      <c r="AF27" s="15"/>
      <c r="AG27" s="13"/>
      <c r="AH27" s="15"/>
      <c r="AI27" s="15"/>
      <c r="AJ27" s="15"/>
      <c r="AK27" s="13"/>
      <c r="AL27" s="15"/>
      <c r="AM27" s="15"/>
      <c r="AN27" s="13"/>
      <c r="AO27" s="13"/>
    </row>
    <row r="28" spans="1:41" ht="58" x14ac:dyDescent="0.35">
      <c r="A28" s="13" t="s">
        <v>199</v>
      </c>
      <c r="B28" s="13" t="s">
        <v>75</v>
      </c>
      <c r="C28" s="14">
        <v>44049.635416666664</v>
      </c>
      <c r="D28" s="13" t="s">
        <v>76</v>
      </c>
      <c r="E28" s="15" t="s">
        <v>77</v>
      </c>
      <c r="F28" s="13" t="s">
        <v>78</v>
      </c>
      <c r="G28" s="15" t="s">
        <v>79</v>
      </c>
      <c r="H28" s="13" t="s">
        <v>80</v>
      </c>
      <c r="I28" s="15" t="s">
        <v>79</v>
      </c>
      <c r="J28" s="15" t="s">
        <v>81</v>
      </c>
      <c r="K28" s="15" t="s">
        <v>82</v>
      </c>
      <c r="L28" s="13" t="s">
        <v>83</v>
      </c>
      <c r="M28" s="15" t="s">
        <v>84</v>
      </c>
      <c r="N28" s="14" t="s">
        <v>85</v>
      </c>
      <c r="O28" s="15" t="s">
        <v>86</v>
      </c>
      <c r="P28" s="15" t="s">
        <v>87</v>
      </c>
      <c r="Q28" s="15" t="s">
        <v>200</v>
      </c>
      <c r="R28" s="13" t="s">
        <v>201</v>
      </c>
      <c r="S28" s="13" t="s">
        <v>175</v>
      </c>
      <c r="T28" s="13" t="s">
        <v>95</v>
      </c>
      <c r="U28" s="14">
        <v>43684</v>
      </c>
      <c r="V28" s="14"/>
      <c r="W28" s="15"/>
      <c r="X28" s="15"/>
      <c r="Y28" s="13"/>
      <c r="Z28" s="15"/>
      <c r="AA28" s="15"/>
      <c r="AB28" s="15"/>
      <c r="AC28" s="13"/>
      <c r="AD28" s="15"/>
      <c r="AE28" s="15"/>
      <c r="AF28" s="15"/>
      <c r="AG28" s="13"/>
      <c r="AH28" s="15"/>
      <c r="AI28" s="15"/>
      <c r="AJ28" s="15"/>
      <c r="AK28" s="13"/>
      <c r="AL28" s="15"/>
      <c r="AM28" s="15"/>
      <c r="AN28" s="13"/>
      <c r="AO28" s="13"/>
    </row>
    <row r="29" spans="1:41" ht="58" x14ac:dyDescent="0.35">
      <c r="A29" s="13" t="s">
        <v>74</v>
      </c>
      <c r="B29" s="13" t="s">
        <v>75</v>
      </c>
      <c r="C29" s="14">
        <v>43152.5</v>
      </c>
      <c r="D29" s="13" t="s">
        <v>76</v>
      </c>
      <c r="E29" s="15" t="s">
        <v>77</v>
      </c>
      <c r="F29" s="13" t="s">
        <v>78</v>
      </c>
      <c r="G29" s="15" t="s">
        <v>79</v>
      </c>
      <c r="H29" s="13" t="s">
        <v>80</v>
      </c>
      <c r="I29" s="15" t="s">
        <v>79</v>
      </c>
      <c r="J29" s="15" t="s">
        <v>81</v>
      </c>
      <c r="K29" s="15" t="s">
        <v>82</v>
      </c>
      <c r="L29" s="13" t="s">
        <v>83</v>
      </c>
      <c r="M29" s="15" t="s">
        <v>84</v>
      </c>
      <c r="N29" s="14" t="s">
        <v>85</v>
      </c>
      <c r="O29" s="15" t="s">
        <v>86</v>
      </c>
      <c r="P29" s="15" t="s">
        <v>87</v>
      </c>
      <c r="Q29" s="15" t="s">
        <v>233</v>
      </c>
      <c r="R29" s="13" t="s">
        <v>234</v>
      </c>
      <c r="S29" s="13" t="s">
        <v>175</v>
      </c>
      <c r="T29" s="13" t="s">
        <v>91</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58" x14ac:dyDescent="0.35">
      <c r="A30" s="13" t="s">
        <v>74</v>
      </c>
      <c r="B30" s="13" t="s">
        <v>75</v>
      </c>
      <c r="C30" s="14">
        <v>43152.5</v>
      </c>
      <c r="D30" s="13" t="s">
        <v>76</v>
      </c>
      <c r="E30" s="15" t="s">
        <v>77</v>
      </c>
      <c r="F30" s="13" t="s">
        <v>78</v>
      </c>
      <c r="G30" s="15" t="s">
        <v>79</v>
      </c>
      <c r="H30" s="13" t="s">
        <v>80</v>
      </c>
      <c r="I30" s="15" t="s">
        <v>79</v>
      </c>
      <c r="J30" s="15" t="s">
        <v>81</v>
      </c>
      <c r="K30" s="15" t="s">
        <v>82</v>
      </c>
      <c r="L30" s="13" t="s">
        <v>92</v>
      </c>
      <c r="M30" s="15" t="s">
        <v>79</v>
      </c>
      <c r="N30" s="14" t="s">
        <v>85</v>
      </c>
      <c r="O30" s="15" t="s">
        <v>93</v>
      </c>
      <c r="P30" s="15" t="s">
        <v>94</v>
      </c>
      <c r="Q30" s="15" t="s">
        <v>233</v>
      </c>
      <c r="R30" s="13" t="s">
        <v>234</v>
      </c>
      <c r="S30" s="13" t="s">
        <v>175</v>
      </c>
      <c r="T30" s="13" t="s">
        <v>91</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58" x14ac:dyDescent="0.35">
      <c r="A31" s="13" t="s">
        <v>132</v>
      </c>
      <c r="B31" s="13" t="s">
        <v>112</v>
      </c>
      <c r="C31" s="14">
        <v>43628.443055555559</v>
      </c>
      <c r="D31" s="13" t="s">
        <v>76</v>
      </c>
      <c r="E31" s="15" t="s">
        <v>77</v>
      </c>
      <c r="F31" s="13" t="s">
        <v>78</v>
      </c>
      <c r="G31" s="15" t="s">
        <v>79</v>
      </c>
      <c r="H31" s="13" t="s">
        <v>80</v>
      </c>
      <c r="I31" s="15" t="s">
        <v>79</v>
      </c>
      <c r="J31" s="15" t="s">
        <v>81</v>
      </c>
      <c r="K31" s="15" t="s">
        <v>82</v>
      </c>
      <c r="L31" s="13" t="s">
        <v>83</v>
      </c>
      <c r="M31" s="15" t="s">
        <v>84</v>
      </c>
      <c r="N31" s="14" t="s">
        <v>85</v>
      </c>
      <c r="O31" s="15" t="s">
        <v>86</v>
      </c>
      <c r="P31" s="15" t="s">
        <v>87</v>
      </c>
      <c r="Q31" s="15" t="s">
        <v>235</v>
      </c>
      <c r="R31" s="13" t="s">
        <v>236</v>
      </c>
      <c r="S31" s="13" t="s">
        <v>175</v>
      </c>
      <c r="T31" s="13" t="s">
        <v>95</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240</v>
      </c>
      <c r="B32" s="13" t="s">
        <v>112</v>
      </c>
      <c r="C32" s="14">
        <v>45783.602083333331</v>
      </c>
      <c r="D32" s="13" t="s">
        <v>76</v>
      </c>
      <c r="E32" s="15" t="s">
        <v>77</v>
      </c>
      <c r="F32" s="13" t="s">
        <v>78</v>
      </c>
      <c r="G32" s="15" t="s">
        <v>79</v>
      </c>
      <c r="H32" s="13" t="s">
        <v>80</v>
      </c>
      <c r="I32" s="15" t="s">
        <v>79</v>
      </c>
      <c r="J32" s="15" t="s">
        <v>81</v>
      </c>
      <c r="K32" s="15" t="s">
        <v>82</v>
      </c>
      <c r="L32" s="13" t="s">
        <v>83</v>
      </c>
      <c r="M32" s="15" t="s">
        <v>84</v>
      </c>
      <c r="N32" s="14" t="s">
        <v>85</v>
      </c>
      <c r="O32" s="15" t="s">
        <v>86</v>
      </c>
      <c r="P32" s="15" t="s">
        <v>87</v>
      </c>
      <c r="Q32" s="15" t="s">
        <v>241</v>
      </c>
      <c r="R32" s="13" t="s">
        <v>242</v>
      </c>
      <c r="S32" s="13" t="s">
        <v>175</v>
      </c>
      <c r="T32" s="13" t="s">
        <v>95</v>
      </c>
      <c r="U32" s="14">
        <v>40725</v>
      </c>
      <c r="V32" s="14">
        <v>44196</v>
      </c>
      <c r="W32" s="15"/>
      <c r="X32" s="15"/>
      <c r="Y32" s="13"/>
      <c r="Z32" s="15"/>
      <c r="AA32" s="15"/>
      <c r="AB32" s="15"/>
      <c r="AC32" s="13"/>
      <c r="AD32" s="15"/>
      <c r="AE32" s="15"/>
      <c r="AF32" s="15"/>
      <c r="AG32" s="13"/>
      <c r="AH32" s="15"/>
      <c r="AI32" s="15"/>
      <c r="AJ32" s="15"/>
      <c r="AK32" s="13"/>
      <c r="AL32" s="15"/>
      <c r="AM32" s="15"/>
      <c r="AN32" s="13"/>
      <c r="AO32" s="13"/>
    </row>
    <row r="33" spans="1:41" ht="58" x14ac:dyDescent="0.35">
      <c r="A33" s="13" t="s">
        <v>240</v>
      </c>
      <c r="B33" s="13" t="s">
        <v>75</v>
      </c>
      <c r="C33" s="14">
        <v>45783.602083333331</v>
      </c>
      <c r="D33" s="13" t="s">
        <v>76</v>
      </c>
      <c r="E33" s="15" t="s">
        <v>77</v>
      </c>
      <c r="F33" s="13" t="s">
        <v>78</v>
      </c>
      <c r="G33" s="15" t="s">
        <v>79</v>
      </c>
      <c r="H33" s="13" t="s">
        <v>80</v>
      </c>
      <c r="I33" s="15" t="s">
        <v>79</v>
      </c>
      <c r="J33" s="15" t="s">
        <v>81</v>
      </c>
      <c r="K33" s="15" t="s">
        <v>82</v>
      </c>
      <c r="L33" s="13" t="s">
        <v>83</v>
      </c>
      <c r="M33" s="15" t="s">
        <v>84</v>
      </c>
      <c r="N33" s="14" t="s">
        <v>85</v>
      </c>
      <c r="O33" s="15" t="s">
        <v>86</v>
      </c>
      <c r="P33" s="15" t="s">
        <v>87</v>
      </c>
      <c r="Q33" s="15" t="s">
        <v>241</v>
      </c>
      <c r="R33" s="13" t="s">
        <v>242</v>
      </c>
      <c r="S33" s="13" t="s">
        <v>175</v>
      </c>
      <c r="T33" s="13" t="s">
        <v>95</v>
      </c>
      <c r="U33" s="14">
        <v>44197</v>
      </c>
      <c r="V33" s="14"/>
      <c r="W33" s="15"/>
      <c r="X33" s="15"/>
      <c r="Y33" s="13"/>
      <c r="Z33" s="15"/>
      <c r="AA33" s="15"/>
      <c r="AB33" s="15"/>
      <c r="AC33" s="13"/>
      <c r="AD33" s="15"/>
      <c r="AE33" s="15"/>
      <c r="AF33" s="15"/>
      <c r="AG33" s="13"/>
      <c r="AH33" s="15"/>
      <c r="AI33" s="15"/>
      <c r="AJ33" s="15"/>
      <c r="AK33" s="13"/>
      <c r="AL33" s="15"/>
      <c r="AM33" s="15"/>
      <c r="AN33" s="13"/>
      <c r="AO33" s="13"/>
    </row>
    <row r="34" spans="1:41" ht="72.5" x14ac:dyDescent="0.35">
      <c r="A34" s="13" t="s">
        <v>132</v>
      </c>
      <c r="B34" s="13" t="s">
        <v>112</v>
      </c>
      <c r="C34" s="14">
        <v>43628.443749999999</v>
      </c>
      <c r="D34" s="13" t="s">
        <v>76</v>
      </c>
      <c r="E34" s="15" t="s">
        <v>77</v>
      </c>
      <c r="F34" s="13" t="s">
        <v>78</v>
      </c>
      <c r="G34" s="15" t="s">
        <v>79</v>
      </c>
      <c r="H34" s="13" t="s">
        <v>80</v>
      </c>
      <c r="I34" s="15" t="s">
        <v>79</v>
      </c>
      <c r="J34" s="15" t="s">
        <v>81</v>
      </c>
      <c r="K34" s="15" t="s">
        <v>82</v>
      </c>
      <c r="L34" s="13" t="s">
        <v>107</v>
      </c>
      <c r="M34" s="15" t="s">
        <v>108</v>
      </c>
      <c r="N34" s="14" t="s">
        <v>85</v>
      </c>
      <c r="O34" s="15" t="s">
        <v>109</v>
      </c>
      <c r="P34" s="15" t="s">
        <v>110</v>
      </c>
      <c r="Q34" s="15" t="s">
        <v>257</v>
      </c>
      <c r="R34" s="13" t="s">
        <v>258</v>
      </c>
      <c r="S34" s="13" t="s">
        <v>175</v>
      </c>
      <c r="T34" s="13" t="s">
        <v>95</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87" x14ac:dyDescent="0.35">
      <c r="A35" s="13" t="s">
        <v>74</v>
      </c>
      <c r="B35" s="13" t="s">
        <v>75</v>
      </c>
      <c r="C35" s="14">
        <v>43164.738194444442</v>
      </c>
      <c r="D35" s="13" t="s">
        <v>76</v>
      </c>
      <c r="E35" s="15" t="s">
        <v>77</v>
      </c>
      <c r="F35" s="13" t="s">
        <v>78</v>
      </c>
      <c r="G35" s="15" t="s">
        <v>79</v>
      </c>
      <c r="H35" s="13" t="s">
        <v>80</v>
      </c>
      <c r="I35" s="15" t="s">
        <v>79</v>
      </c>
      <c r="J35" s="15" t="s">
        <v>81</v>
      </c>
      <c r="K35" s="15" t="s">
        <v>82</v>
      </c>
      <c r="L35" s="13" t="s">
        <v>83</v>
      </c>
      <c r="M35" s="15" t="s">
        <v>84</v>
      </c>
      <c r="N35" s="14" t="s">
        <v>85</v>
      </c>
      <c r="O35" s="15" t="s">
        <v>86</v>
      </c>
      <c r="P35" s="15" t="s">
        <v>87</v>
      </c>
      <c r="Q35" s="15" t="s">
        <v>268</v>
      </c>
      <c r="R35" s="13" t="s">
        <v>269</v>
      </c>
      <c r="S35" s="13" t="s">
        <v>175</v>
      </c>
      <c r="T35" s="13" t="s">
        <v>95</v>
      </c>
      <c r="U35" s="14">
        <v>43101</v>
      </c>
      <c r="V35" s="14"/>
      <c r="W35" s="15"/>
      <c r="X35" s="15"/>
      <c r="Y35" s="13"/>
      <c r="Z35" s="15"/>
      <c r="AA35" s="15"/>
      <c r="AB35" s="15"/>
      <c r="AC35" s="13"/>
      <c r="AD35" s="15"/>
      <c r="AE35" s="15"/>
      <c r="AF35" s="15"/>
      <c r="AG35" s="13"/>
      <c r="AH35" s="15"/>
      <c r="AI35" s="15"/>
      <c r="AJ35" s="15"/>
      <c r="AK35" s="13"/>
      <c r="AL35" s="15"/>
      <c r="AM35" s="15"/>
      <c r="AN35" s="13"/>
      <c r="AO35" s="13"/>
    </row>
    <row r="36" spans="1:41" ht="72.5" x14ac:dyDescent="0.35">
      <c r="A36" s="13" t="s">
        <v>111</v>
      </c>
      <c r="B36" s="13" t="s">
        <v>75</v>
      </c>
      <c r="C36" s="14">
        <v>45947.451388888891</v>
      </c>
      <c r="D36" s="13" t="s">
        <v>76</v>
      </c>
      <c r="E36" s="15" t="s">
        <v>77</v>
      </c>
      <c r="F36" s="13" t="s">
        <v>78</v>
      </c>
      <c r="G36" s="15" t="s">
        <v>79</v>
      </c>
      <c r="H36" s="13" t="s">
        <v>80</v>
      </c>
      <c r="I36" s="15" t="s">
        <v>79</v>
      </c>
      <c r="J36" s="15" t="s">
        <v>81</v>
      </c>
      <c r="K36" s="15" t="s">
        <v>82</v>
      </c>
      <c r="L36" s="13" t="s">
        <v>107</v>
      </c>
      <c r="M36" s="15" t="s">
        <v>108</v>
      </c>
      <c r="N36" s="14" t="s">
        <v>85</v>
      </c>
      <c r="O36" s="15" t="s">
        <v>109</v>
      </c>
      <c r="P36" s="15" t="s">
        <v>110</v>
      </c>
      <c r="Q36" s="15" t="s">
        <v>271</v>
      </c>
      <c r="R36" s="13" t="s">
        <v>272</v>
      </c>
      <c r="S36" s="13" t="s">
        <v>175</v>
      </c>
      <c r="T36" s="13" t="s">
        <v>95</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29" x14ac:dyDescent="0.35">
      <c r="A37" s="13" t="s">
        <v>111</v>
      </c>
      <c r="B37" s="13" t="s">
        <v>112</v>
      </c>
      <c r="C37" s="14">
        <v>45944.395833333336</v>
      </c>
      <c r="D37" s="13" t="s">
        <v>76</v>
      </c>
      <c r="E37" s="15" t="s">
        <v>77</v>
      </c>
      <c r="F37" s="13" t="s">
        <v>78</v>
      </c>
      <c r="G37" s="15" t="s">
        <v>79</v>
      </c>
      <c r="H37" s="13" t="s">
        <v>80</v>
      </c>
      <c r="I37" s="15" t="s">
        <v>79</v>
      </c>
      <c r="J37" s="15" t="s">
        <v>81</v>
      </c>
      <c r="K37" s="15" t="s">
        <v>82</v>
      </c>
      <c r="L37" s="13" t="s">
        <v>113</v>
      </c>
      <c r="M37" s="15" t="s">
        <v>114</v>
      </c>
      <c r="N37" s="14" t="s">
        <v>85</v>
      </c>
      <c r="O37" s="15" t="s">
        <v>115</v>
      </c>
      <c r="P37" s="15" t="s">
        <v>116</v>
      </c>
      <c r="Q37" s="15" t="s">
        <v>271</v>
      </c>
      <c r="R37" s="13" t="s">
        <v>272</v>
      </c>
      <c r="S37" s="13" t="s">
        <v>175</v>
      </c>
      <c r="T37" s="13" t="s">
        <v>95</v>
      </c>
      <c r="U37" s="14">
        <v>40725</v>
      </c>
      <c r="V37" s="14">
        <v>40725</v>
      </c>
      <c r="W37" s="15"/>
      <c r="X37" s="15"/>
      <c r="Y37" s="13"/>
      <c r="Z37" s="15"/>
      <c r="AA37" s="15"/>
      <c r="AB37" s="15"/>
      <c r="AC37" s="13"/>
      <c r="AD37" s="15"/>
      <c r="AE37" s="15"/>
      <c r="AF37" s="15"/>
      <c r="AG37" s="13"/>
      <c r="AH37" s="15"/>
      <c r="AI37" s="15"/>
      <c r="AJ37" s="15"/>
      <c r="AK37" s="13"/>
      <c r="AL37" s="15"/>
      <c r="AM37" s="15"/>
      <c r="AN37" s="13"/>
      <c r="AO37" s="13"/>
    </row>
    <row r="38" spans="1:41" ht="29" x14ac:dyDescent="0.35">
      <c r="A38" s="13" t="s">
        <v>111</v>
      </c>
      <c r="B38" s="13" t="s">
        <v>112</v>
      </c>
      <c r="C38" s="14">
        <v>45944.395833333336</v>
      </c>
      <c r="D38" s="13" t="s">
        <v>76</v>
      </c>
      <c r="E38" s="15" t="s">
        <v>77</v>
      </c>
      <c r="F38" s="13" t="s">
        <v>78</v>
      </c>
      <c r="G38" s="15" t="s">
        <v>79</v>
      </c>
      <c r="H38" s="13" t="s">
        <v>80</v>
      </c>
      <c r="I38" s="15" t="s">
        <v>79</v>
      </c>
      <c r="J38" s="15" t="s">
        <v>81</v>
      </c>
      <c r="K38" s="15" t="s">
        <v>82</v>
      </c>
      <c r="L38" s="13" t="s">
        <v>118</v>
      </c>
      <c r="M38" s="15" t="s">
        <v>114</v>
      </c>
      <c r="N38" s="14" t="s">
        <v>85</v>
      </c>
      <c r="O38" s="15" t="s">
        <v>119</v>
      </c>
      <c r="P38" s="15" t="s">
        <v>120</v>
      </c>
      <c r="Q38" s="15" t="s">
        <v>271</v>
      </c>
      <c r="R38" s="13" t="s">
        <v>272</v>
      </c>
      <c r="S38" s="13" t="s">
        <v>175</v>
      </c>
      <c r="T38" s="13" t="s">
        <v>95</v>
      </c>
      <c r="U38" s="14">
        <v>40725</v>
      </c>
      <c r="V38" s="14">
        <v>40725</v>
      </c>
      <c r="W38" s="15"/>
      <c r="X38" s="15"/>
      <c r="Y38" s="13"/>
      <c r="Z38" s="15"/>
      <c r="AA38" s="15"/>
      <c r="AB38" s="15"/>
      <c r="AC38" s="13"/>
      <c r="AD38" s="15"/>
      <c r="AE38" s="15"/>
      <c r="AF38" s="15"/>
      <c r="AG38" s="13"/>
      <c r="AH38" s="15"/>
      <c r="AI38" s="15"/>
      <c r="AJ38" s="15"/>
      <c r="AK38" s="13"/>
      <c r="AL38" s="15"/>
      <c r="AM38" s="15"/>
      <c r="AN38" s="13"/>
      <c r="AO38" s="13"/>
    </row>
  </sheetData>
  <autoFilter ref="A1:AS1" xr:uid="{1C041BE1-3C71-4963-9357-9814B4F5186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91514-26AB-4583-B06C-1B7C376E14B1}">
  <sheetPr filterMode="1"/>
  <dimension ref="A1:U62"/>
  <sheetViews>
    <sheetView workbookViewId="0">
      <pane ySplit="1" topLeftCell="A2" activePane="bottomLeft" state="frozenSplit"/>
      <selection pane="bottomLeft" activeCell="B1" sqref="A1:XFD1"/>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296</v>
      </c>
      <c r="E1" s="10" t="s">
        <v>297</v>
      </c>
      <c r="F1" s="10" t="s">
        <v>298</v>
      </c>
      <c r="G1" s="10" t="s">
        <v>299</v>
      </c>
      <c r="H1" s="11" t="s">
        <v>21</v>
      </c>
      <c r="I1" s="11" t="s">
        <v>22</v>
      </c>
      <c r="J1" s="10" t="s">
        <v>300</v>
      </c>
      <c r="K1" s="10" t="s">
        <v>301</v>
      </c>
      <c r="L1" s="10" t="s">
        <v>302</v>
      </c>
      <c r="M1" s="10" t="s">
        <v>295</v>
      </c>
      <c r="N1" s="10" t="s">
        <v>303</v>
      </c>
      <c r="O1" s="10" t="s">
        <v>304</v>
      </c>
      <c r="P1" s="10" t="s">
        <v>305</v>
      </c>
      <c r="Q1" s="10" t="s">
        <v>306</v>
      </c>
      <c r="R1" s="10" t="s">
        <v>72</v>
      </c>
      <c r="S1" s="10" t="s">
        <v>73</v>
      </c>
      <c r="T1" s="10" t="s">
        <v>307</v>
      </c>
      <c r="U1" s="10" t="s">
        <v>308</v>
      </c>
    </row>
    <row r="2" spans="1:21" ht="116" x14ac:dyDescent="0.35">
      <c r="A2" s="19" t="s">
        <v>111</v>
      </c>
      <c r="B2" s="19" t="s">
        <v>112</v>
      </c>
      <c r="C2" s="20">
        <v>45973.659722222219</v>
      </c>
      <c r="D2" s="19" t="s">
        <v>161</v>
      </c>
      <c r="E2" s="19" t="s">
        <v>300</v>
      </c>
      <c r="F2" s="21" t="s">
        <v>162</v>
      </c>
      <c r="G2" s="19" t="s">
        <v>309</v>
      </c>
      <c r="H2" s="20">
        <v>40725</v>
      </c>
      <c r="I2" s="20"/>
      <c r="J2" s="21" t="s">
        <v>310</v>
      </c>
      <c r="K2" s="21" t="s">
        <v>311</v>
      </c>
      <c r="L2" s="19" t="s">
        <v>312</v>
      </c>
      <c r="M2" s="21" t="s">
        <v>313</v>
      </c>
      <c r="N2" s="19"/>
      <c r="O2" s="19"/>
      <c r="P2" s="19"/>
      <c r="Q2" s="19"/>
      <c r="R2" s="19" t="s">
        <v>314</v>
      </c>
      <c r="S2" s="19"/>
      <c r="T2" s="19"/>
      <c r="U2" s="21"/>
    </row>
    <row r="3" spans="1:21" ht="116" x14ac:dyDescent="0.35">
      <c r="A3" s="19" t="s">
        <v>111</v>
      </c>
      <c r="B3" s="19" t="s">
        <v>112</v>
      </c>
      <c r="C3" s="20">
        <v>45973.660416666666</v>
      </c>
      <c r="D3" s="19" t="s">
        <v>163</v>
      </c>
      <c r="E3" s="19" t="s">
        <v>300</v>
      </c>
      <c r="F3" s="21" t="s">
        <v>164</v>
      </c>
      <c r="G3" s="19" t="s">
        <v>309</v>
      </c>
      <c r="H3" s="20">
        <v>40725</v>
      </c>
      <c r="I3" s="20"/>
      <c r="J3" s="21" t="s">
        <v>315</v>
      </c>
      <c r="K3" s="21" t="s">
        <v>316</v>
      </c>
      <c r="L3" s="19" t="s">
        <v>312</v>
      </c>
      <c r="M3" s="21" t="s">
        <v>313</v>
      </c>
      <c r="N3" s="19" t="s">
        <v>317</v>
      </c>
      <c r="O3" s="19"/>
      <c r="P3" s="19"/>
      <c r="Q3" s="19"/>
      <c r="R3" s="19" t="s">
        <v>314</v>
      </c>
      <c r="S3" s="19"/>
      <c r="T3" s="19" t="s">
        <v>318</v>
      </c>
      <c r="U3" s="21" t="s">
        <v>319</v>
      </c>
    </row>
    <row r="4" spans="1:21" ht="116" hidden="1" x14ac:dyDescent="0.35">
      <c r="A4" s="13" t="s">
        <v>320</v>
      </c>
      <c r="B4" s="13" t="s">
        <v>112</v>
      </c>
      <c r="C4" s="14">
        <v>43550.668055555558</v>
      </c>
      <c r="D4" s="13" t="s">
        <v>264</v>
      </c>
      <c r="E4" s="13" t="s">
        <v>300</v>
      </c>
      <c r="F4" s="15" t="s">
        <v>265</v>
      </c>
      <c r="G4" s="13" t="s">
        <v>321</v>
      </c>
      <c r="H4" s="14">
        <v>40725</v>
      </c>
      <c r="I4" s="14"/>
      <c r="J4" s="15" t="s">
        <v>322</v>
      </c>
      <c r="K4" s="15" t="s">
        <v>311</v>
      </c>
      <c r="L4" s="13" t="s">
        <v>312</v>
      </c>
      <c r="M4" s="15" t="s">
        <v>323</v>
      </c>
      <c r="N4" s="13" t="s">
        <v>324</v>
      </c>
      <c r="O4" s="13"/>
      <c r="P4" s="13"/>
      <c r="Q4" s="13"/>
      <c r="R4" s="13"/>
      <c r="S4" s="13"/>
      <c r="T4" s="13"/>
      <c r="U4" s="15"/>
    </row>
    <row r="5" spans="1:21" ht="116" hidden="1" x14ac:dyDescent="0.35">
      <c r="A5" s="13" t="s">
        <v>132</v>
      </c>
      <c r="B5" s="13" t="s">
        <v>112</v>
      </c>
      <c r="C5" s="14">
        <v>43628.392361111109</v>
      </c>
      <c r="D5" s="13" t="s">
        <v>266</v>
      </c>
      <c r="E5" s="13" t="s">
        <v>300</v>
      </c>
      <c r="F5" s="15" t="s">
        <v>267</v>
      </c>
      <c r="G5" s="13" t="s">
        <v>321</v>
      </c>
      <c r="H5" s="14">
        <v>40725</v>
      </c>
      <c r="I5" s="14"/>
      <c r="J5" s="15" t="s">
        <v>325</v>
      </c>
      <c r="K5" s="15" t="s">
        <v>316</v>
      </c>
      <c r="L5" s="13" t="s">
        <v>312</v>
      </c>
      <c r="M5" s="15" t="s">
        <v>323</v>
      </c>
      <c r="N5" s="13" t="s">
        <v>324</v>
      </c>
      <c r="O5" s="13"/>
      <c r="P5" s="13"/>
      <c r="Q5" s="13"/>
      <c r="R5" s="13"/>
      <c r="S5" s="13"/>
      <c r="T5" s="13" t="s">
        <v>318</v>
      </c>
      <c r="U5" s="15" t="s">
        <v>326</v>
      </c>
    </row>
    <row r="6" spans="1:21" ht="116" hidden="1" x14ac:dyDescent="0.35">
      <c r="A6" s="13" t="s">
        <v>74</v>
      </c>
      <c r="B6" s="13" t="s">
        <v>75</v>
      </c>
      <c r="C6" s="14">
        <v>43565.696527777778</v>
      </c>
      <c r="D6" s="13" t="s">
        <v>276</v>
      </c>
      <c r="E6" s="13" t="s">
        <v>300</v>
      </c>
      <c r="F6" s="15" t="s">
        <v>162</v>
      </c>
      <c r="G6" s="13" t="s">
        <v>327</v>
      </c>
      <c r="H6" s="14">
        <v>40725</v>
      </c>
      <c r="I6" s="14"/>
      <c r="J6" s="15" t="s">
        <v>322</v>
      </c>
      <c r="K6" s="15" t="s">
        <v>311</v>
      </c>
      <c r="L6" s="13" t="s">
        <v>312</v>
      </c>
      <c r="M6" s="15" t="s">
        <v>323</v>
      </c>
      <c r="N6" s="13"/>
      <c r="O6" s="13"/>
      <c r="P6" s="13"/>
      <c r="Q6" s="13"/>
      <c r="R6" s="13"/>
      <c r="S6" s="13"/>
      <c r="T6" s="13"/>
      <c r="U6" s="15"/>
    </row>
    <row r="7" spans="1:21" ht="116" hidden="1" x14ac:dyDescent="0.35">
      <c r="A7" s="13" t="s">
        <v>132</v>
      </c>
      <c r="B7" s="13" t="s">
        <v>112</v>
      </c>
      <c r="C7" s="14">
        <v>43627.736805555556</v>
      </c>
      <c r="D7" s="13" t="s">
        <v>277</v>
      </c>
      <c r="E7" s="13" t="s">
        <v>300</v>
      </c>
      <c r="F7" s="15" t="s">
        <v>164</v>
      </c>
      <c r="G7" s="13" t="s">
        <v>327</v>
      </c>
      <c r="H7" s="14">
        <v>40725</v>
      </c>
      <c r="I7" s="14"/>
      <c r="J7" s="15" t="s">
        <v>325</v>
      </c>
      <c r="K7" s="15" t="s">
        <v>316</v>
      </c>
      <c r="L7" s="13" t="s">
        <v>312</v>
      </c>
      <c r="M7" s="15" t="s">
        <v>323</v>
      </c>
      <c r="N7" s="13" t="s">
        <v>328</v>
      </c>
      <c r="O7" s="13"/>
      <c r="P7" s="13"/>
      <c r="Q7" s="13"/>
      <c r="R7" s="13"/>
      <c r="S7" s="13"/>
      <c r="T7" s="13" t="s">
        <v>318</v>
      </c>
      <c r="U7" s="15" t="s">
        <v>319</v>
      </c>
    </row>
    <row r="8" spans="1:21" ht="116" hidden="1" x14ac:dyDescent="0.35">
      <c r="A8" s="13" t="s">
        <v>74</v>
      </c>
      <c r="B8" s="13" t="s">
        <v>75</v>
      </c>
      <c r="C8" s="14">
        <v>43166.692361111112</v>
      </c>
      <c r="D8" s="13" t="s">
        <v>181</v>
      </c>
      <c r="E8" s="13" t="s">
        <v>300</v>
      </c>
      <c r="F8" s="15" t="s">
        <v>182</v>
      </c>
      <c r="G8" s="13" t="s">
        <v>329</v>
      </c>
      <c r="H8" s="14">
        <v>40725</v>
      </c>
      <c r="I8" s="14"/>
      <c r="J8" s="15" t="s">
        <v>310</v>
      </c>
      <c r="K8" s="15" t="s">
        <v>311</v>
      </c>
      <c r="L8" s="13" t="s">
        <v>312</v>
      </c>
      <c r="M8" s="15" t="s">
        <v>323</v>
      </c>
      <c r="N8" s="13"/>
      <c r="O8" s="13"/>
      <c r="P8" s="13"/>
      <c r="Q8" s="13"/>
      <c r="R8" s="13"/>
      <c r="S8" s="13"/>
      <c r="T8" s="13"/>
      <c r="U8" s="15"/>
    </row>
    <row r="9" spans="1:21" ht="116" hidden="1" x14ac:dyDescent="0.35">
      <c r="A9" s="13" t="s">
        <v>132</v>
      </c>
      <c r="B9" s="13" t="s">
        <v>112</v>
      </c>
      <c r="C9" s="14">
        <v>43628.392361111109</v>
      </c>
      <c r="D9" s="13" t="s">
        <v>183</v>
      </c>
      <c r="E9" s="13" t="s">
        <v>300</v>
      </c>
      <c r="F9" s="15" t="s">
        <v>184</v>
      </c>
      <c r="G9" s="13" t="s">
        <v>329</v>
      </c>
      <c r="H9" s="14">
        <v>40725</v>
      </c>
      <c r="I9" s="14"/>
      <c r="J9" s="15" t="s">
        <v>315</v>
      </c>
      <c r="K9" s="15" t="s">
        <v>316</v>
      </c>
      <c r="L9" s="13" t="s">
        <v>312</v>
      </c>
      <c r="M9" s="15" t="s">
        <v>313</v>
      </c>
      <c r="N9" s="13" t="s">
        <v>330</v>
      </c>
      <c r="O9" s="13"/>
      <c r="P9" s="13"/>
      <c r="Q9" s="13"/>
      <c r="R9" s="13"/>
      <c r="S9" s="13"/>
      <c r="T9" s="13" t="s">
        <v>318</v>
      </c>
      <c r="U9" s="15" t="s">
        <v>331</v>
      </c>
    </row>
    <row r="10" spans="1:21" ht="43.5" hidden="1" x14ac:dyDescent="0.35">
      <c r="A10" s="13" t="s">
        <v>199</v>
      </c>
      <c r="B10" s="13" t="s">
        <v>75</v>
      </c>
      <c r="C10" s="14">
        <v>44048.655555555553</v>
      </c>
      <c r="D10" s="13" t="s">
        <v>231</v>
      </c>
      <c r="E10" s="13" t="s">
        <v>300</v>
      </c>
      <c r="F10" s="15" t="s">
        <v>232</v>
      </c>
      <c r="G10" s="13" t="s">
        <v>332</v>
      </c>
      <c r="H10" s="14">
        <v>43684</v>
      </c>
      <c r="I10" s="14"/>
      <c r="J10" s="15"/>
      <c r="K10" s="15" t="s">
        <v>333</v>
      </c>
      <c r="L10" s="13" t="s">
        <v>334</v>
      </c>
      <c r="M10" s="15"/>
      <c r="N10" s="13" t="s">
        <v>335</v>
      </c>
      <c r="O10" s="13"/>
      <c r="P10" s="13"/>
      <c r="Q10" s="13"/>
      <c r="R10" s="13"/>
      <c r="S10" s="13"/>
      <c r="T10" s="13" t="s">
        <v>318</v>
      </c>
      <c r="U10" s="15" t="s">
        <v>232</v>
      </c>
    </row>
    <row r="11" spans="1:21" ht="72.5" hidden="1" x14ac:dyDescent="0.35">
      <c r="A11" s="13" t="s">
        <v>74</v>
      </c>
      <c r="B11" s="13" t="s">
        <v>75</v>
      </c>
      <c r="C11" s="14">
        <v>43628.612500000003</v>
      </c>
      <c r="D11" s="13" t="s">
        <v>124</v>
      </c>
      <c r="E11" s="13" t="s">
        <v>300</v>
      </c>
      <c r="F11" s="15" t="s">
        <v>125</v>
      </c>
      <c r="G11" s="13" t="s">
        <v>336</v>
      </c>
      <c r="H11" s="14">
        <v>40725</v>
      </c>
      <c r="I11" s="14">
        <v>42481</v>
      </c>
      <c r="J11" s="15" t="s">
        <v>337</v>
      </c>
      <c r="K11" s="15" t="s">
        <v>338</v>
      </c>
      <c r="L11" s="13" t="s">
        <v>312</v>
      </c>
      <c r="M11" s="15" t="s">
        <v>339</v>
      </c>
      <c r="N11" s="13"/>
      <c r="O11" s="13"/>
      <c r="P11" s="13"/>
      <c r="Q11" s="13"/>
      <c r="R11" s="13"/>
      <c r="S11" s="13"/>
      <c r="T11" s="13"/>
      <c r="U11" s="15"/>
    </row>
    <row r="12" spans="1:21" ht="72.5" hidden="1" x14ac:dyDescent="0.35">
      <c r="A12" s="13" t="s">
        <v>132</v>
      </c>
      <c r="B12" s="13" t="s">
        <v>112</v>
      </c>
      <c r="C12" s="14">
        <v>43628.395138888889</v>
      </c>
      <c r="D12" s="13" t="s">
        <v>146</v>
      </c>
      <c r="E12" s="13" t="s">
        <v>300</v>
      </c>
      <c r="F12" s="15" t="s">
        <v>147</v>
      </c>
      <c r="G12" s="13" t="s">
        <v>336</v>
      </c>
      <c r="H12" s="14">
        <v>42482</v>
      </c>
      <c r="I12" s="14"/>
      <c r="J12" s="15" t="s">
        <v>337</v>
      </c>
      <c r="K12" s="15" t="s">
        <v>340</v>
      </c>
      <c r="L12" s="13" t="s">
        <v>312</v>
      </c>
      <c r="M12" s="15" t="s">
        <v>339</v>
      </c>
      <c r="N12" s="13" t="s">
        <v>341</v>
      </c>
      <c r="O12" s="13"/>
      <c r="P12" s="13"/>
      <c r="Q12" s="13"/>
      <c r="R12" s="13"/>
      <c r="S12" s="13"/>
      <c r="T12" s="13" t="s">
        <v>318</v>
      </c>
      <c r="U12" s="15" t="s">
        <v>342</v>
      </c>
    </row>
    <row r="13" spans="1:21" ht="43.5" hidden="1" x14ac:dyDescent="0.35">
      <c r="A13" s="13" t="s">
        <v>74</v>
      </c>
      <c r="B13" s="13" t="s">
        <v>75</v>
      </c>
      <c r="C13" s="14">
        <v>43152.5</v>
      </c>
      <c r="D13" s="13" t="s">
        <v>97</v>
      </c>
      <c r="E13" s="13" t="s">
        <v>343</v>
      </c>
      <c r="F13" s="15" t="s">
        <v>98</v>
      </c>
      <c r="G13" s="13"/>
      <c r="H13" s="14">
        <v>40725</v>
      </c>
      <c r="I13" s="14"/>
      <c r="J13" s="15" t="s">
        <v>344</v>
      </c>
      <c r="K13" s="15" t="s">
        <v>345</v>
      </c>
      <c r="L13" s="13" t="s">
        <v>334</v>
      </c>
      <c r="M13" s="15"/>
      <c r="N13" s="13"/>
      <c r="O13" s="13"/>
      <c r="P13" s="13"/>
      <c r="Q13" s="13"/>
      <c r="R13" s="13"/>
      <c r="S13" s="13"/>
      <c r="T13" s="13"/>
      <c r="U13" s="15"/>
    </row>
    <row r="14" spans="1:21" ht="29" hidden="1" x14ac:dyDescent="0.35">
      <c r="A14" s="13" t="s">
        <v>74</v>
      </c>
      <c r="B14" s="13" t="s">
        <v>75</v>
      </c>
      <c r="C14" s="14">
        <v>43152.5</v>
      </c>
      <c r="D14" s="13" t="s">
        <v>103</v>
      </c>
      <c r="E14" s="13" t="s">
        <v>343</v>
      </c>
      <c r="F14" s="15" t="s">
        <v>104</v>
      </c>
      <c r="G14" s="13"/>
      <c r="H14" s="14">
        <v>40725</v>
      </c>
      <c r="I14" s="14"/>
      <c r="J14" s="15"/>
      <c r="K14" s="15" t="s">
        <v>346</v>
      </c>
      <c r="L14" s="13" t="s">
        <v>334</v>
      </c>
      <c r="M14" s="15"/>
      <c r="N14" s="13"/>
      <c r="O14" s="13"/>
      <c r="P14" s="13"/>
      <c r="Q14" s="13"/>
      <c r="R14" s="13"/>
      <c r="S14" s="13"/>
      <c r="T14" s="13"/>
      <c r="U14" s="15"/>
    </row>
    <row r="15" spans="1:21" ht="116" hidden="1" x14ac:dyDescent="0.35">
      <c r="A15" s="13" t="s">
        <v>74</v>
      </c>
      <c r="B15" s="13" t="s">
        <v>75</v>
      </c>
      <c r="C15" s="14">
        <v>43152.5</v>
      </c>
      <c r="D15" s="13" t="s">
        <v>165</v>
      </c>
      <c r="E15" s="13" t="s">
        <v>343</v>
      </c>
      <c r="F15" s="15" t="s">
        <v>166</v>
      </c>
      <c r="G15" s="13"/>
      <c r="H15" s="14">
        <v>40725</v>
      </c>
      <c r="I15" s="14"/>
      <c r="J15" s="15" t="s">
        <v>347</v>
      </c>
      <c r="K15" s="15" t="s">
        <v>348</v>
      </c>
      <c r="L15" s="13" t="s">
        <v>334</v>
      </c>
      <c r="M15" s="15" t="s">
        <v>349</v>
      </c>
      <c r="N15" s="13"/>
      <c r="O15" s="13"/>
      <c r="P15" s="13"/>
      <c r="Q15" s="13"/>
      <c r="R15" s="13"/>
      <c r="S15" s="13"/>
      <c r="T15" s="13"/>
      <c r="U15" s="15"/>
    </row>
    <row r="16" spans="1:21" ht="116" hidden="1" x14ac:dyDescent="0.35">
      <c r="A16" s="13" t="s">
        <v>74</v>
      </c>
      <c r="B16" s="13" t="s">
        <v>75</v>
      </c>
      <c r="C16" s="14">
        <v>43152.5</v>
      </c>
      <c r="D16" s="13" t="s">
        <v>167</v>
      </c>
      <c r="E16" s="13" t="s">
        <v>343</v>
      </c>
      <c r="F16" s="15" t="s">
        <v>168</v>
      </c>
      <c r="G16" s="13"/>
      <c r="H16" s="14">
        <v>40725</v>
      </c>
      <c r="I16" s="14"/>
      <c r="J16" s="15" t="s">
        <v>350</v>
      </c>
      <c r="K16" s="15" t="s">
        <v>351</v>
      </c>
      <c r="L16" s="13" t="s">
        <v>334</v>
      </c>
      <c r="M16" s="15" t="s">
        <v>349</v>
      </c>
      <c r="N16" s="13"/>
      <c r="O16" s="13"/>
      <c r="P16" s="13"/>
      <c r="Q16" s="13"/>
      <c r="R16" s="13"/>
      <c r="S16" s="13"/>
      <c r="T16" s="13"/>
      <c r="U16" s="15"/>
    </row>
    <row r="17" spans="1:21" ht="43.5" hidden="1" x14ac:dyDescent="0.35">
      <c r="A17" s="13" t="s">
        <v>74</v>
      </c>
      <c r="B17" s="13" t="s">
        <v>75</v>
      </c>
      <c r="C17" s="14">
        <v>43152.5</v>
      </c>
      <c r="D17" s="13" t="s">
        <v>169</v>
      </c>
      <c r="E17" s="13" t="s">
        <v>343</v>
      </c>
      <c r="F17" s="15" t="s">
        <v>170</v>
      </c>
      <c r="G17" s="13"/>
      <c r="H17" s="14">
        <v>40725</v>
      </c>
      <c r="I17" s="14"/>
      <c r="J17" s="15"/>
      <c r="K17" s="15" t="s">
        <v>352</v>
      </c>
      <c r="L17" s="13" t="s">
        <v>334</v>
      </c>
      <c r="M17" s="15"/>
      <c r="N17" s="13"/>
      <c r="O17" s="13"/>
      <c r="P17" s="13"/>
      <c r="Q17" s="13"/>
      <c r="R17" s="13"/>
      <c r="S17" s="13"/>
      <c r="T17" s="13"/>
      <c r="U17" s="15"/>
    </row>
    <row r="18" spans="1:21" ht="58" hidden="1" x14ac:dyDescent="0.35">
      <c r="A18" s="13" t="s">
        <v>74</v>
      </c>
      <c r="B18" s="13" t="s">
        <v>75</v>
      </c>
      <c r="C18" s="14">
        <v>43152.5</v>
      </c>
      <c r="D18" s="13" t="s">
        <v>99</v>
      </c>
      <c r="E18" s="13" t="s">
        <v>343</v>
      </c>
      <c r="F18" s="15" t="s">
        <v>100</v>
      </c>
      <c r="G18" s="13"/>
      <c r="H18" s="14">
        <v>40725</v>
      </c>
      <c r="I18" s="14"/>
      <c r="J18" s="15"/>
      <c r="K18" s="15" t="s">
        <v>353</v>
      </c>
      <c r="L18" s="13" t="s">
        <v>334</v>
      </c>
      <c r="M18" s="15"/>
      <c r="N18" s="13"/>
      <c r="O18" s="13"/>
      <c r="P18" s="13"/>
      <c r="Q18" s="13"/>
      <c r="R18" s="13"/>
      <c r="S18" s="13"/>
      <c r="T18" s="13"/>
      <c r="U18" s="15"/>
    </row>
    <row r="19" spans="1:21" ht="58" hidden="1" x14ac:dyDescent="0.35">
      <c r="A19" s="13" t="s">
        <v>74</v>
      </c>
      <c r="B19" s="13" t="s">
        <v>75</v>
      </c>
      <c r="C19" s="14">
        <v>43152.5</v>
      </c>
      <c r="D19" s="13" t="s">
        <v>101</v>
      </c>
      <c r="E19" s="13" t="s">
        <v>343</v>
      </c>
      <c r="F19" s="15" t="s">
        <v>102</v>
      </c>
      <c r="G19" s="13"/>
      <c r="H19" s="14">
        <v>40725</v>
      </c>
      <c r="I19" s="14"/>
      <c r="J19" s="15"/>
      <c r="K19" s="15" t="s">
        <v>354</v>
      </c>
      <c r="L19" s="13" t="s">
        <v>312</v>
      </c>
      <c r="M19" s="15" t="s">
        <v>355</v>
      </c>
      <c r="N19" s="13"/>
      <c r="O19" s="13"/>
      <c r="P19" s="13"/>
      <c r="Q19" s="13"/>
      <c r="R19" s="13"/>
      <c r="S19" s="13"/>
      <c r="T19" s="13"/>
      <c r="U19" s="15"/>
    </row>
    <row r="20" spans="1:21" hidden="1" x14ac:dyDescent="0.35">
      <c r="A20" s="13" t="s">
        <v>74</v>
      </c>
      <c r="B20" s="13" t="s">
        <v>75</v>
      </c>
      <c r="C20" s="14">
        <v>43152.5</v>
      </c>
      <c r="D20" s="13" t="s">
        <v>128</v>
      </c>
      <c r="E20" s="13" t="s">
        <v>343</v>
      </c>
      <c r="F20" s="15" t="s">
        <v>129</v>
      </c>
      <c r="G20" s="13"/>
      <c r="H20" s="14">
        <v>40725</v>
      </c>
      <c r="I20" s="14"/>
      <c r="J20" s="15"/>
      <c r="K20" s="15" t="s">
        <v>356</v>
      </c>
      <c r="L20" s="13" t="s">
        <v>334</v>
      </c>
      <c r="M20" s="15"/>
      <c r="N20" s="13"/>
      <c r="O20" s="13"/>
      <c r="P20" s="13"/>
      <c r="Q20" s="13"/>
      <c r="R20" s="13"/>
      <c r="S20" s="13"/>
      <c r="T20" s="13"/>
      <c r="U20" s="15"/>
    </row>
    <row r="21" spans="1:21" hidden="1" x14ac:dyDescent="0.35">
      <c r="A21" s="13" t="s">
        <v>74</v>
      </c>
      <c r="B21" s="13" t="s">
        <v>75</v>
      </c>
      <c r="C21" s="14">
        <v>43152.5</v>
      </c>
      <c r="D21" s="13" t="s">
        <v>185</v>
      </c>
      <c r="E21" s="13" t="s">
        <v>343</v>
      </c>
      <c r="F21" s="15" t="s">
        <v>186</v>
      </c>
      <c r="G21" s="13"/>
      <c r="H21" s="14">
        <v>40725</v>
      </c>
      <c r="I21" s="14"/>
      <c r="J21" s="15"/>
      <c r="K21" s="15" t="s">
        <v>357</v>
      </c>
      <c r="L21" s="13" t="s">
        <v>334</v>
      </c>
      <c r="M21" s="15"/>
      <c r="N21" s="13"/>
      <c r="O21" s="13"/>
      <c r="P21" s="13"/>
      <c r="Q21" s="13"/>
      <c r="R21" s="13"/>
      <c r="S21" s="13"/>
      <c r="T21" s="13"/>
      <c r="U21" s="15"/>
    </row>
    <row r="22" spans="1:21" ht="87" hidden="1" x14ac:dyDescent="0.35">
      <c r="A22" s="13" t="s">
        <v>132</v>
      </c>
      <c r="B22" s="13" t="s">
        <v>112</v>
      </c>
      <c r="C22" s="14">
        <v>43628.398611111108</v>
      </c>
      <c r="D22" s="13" t="s">
        <v>126</v>
      </c>
      <c r="E22" s="13" t="s">
        <v>343</v>
      </c>
      <c r="F22" s="15" t="s">
        <v>127</v>
      </c>
      <c r="G22" s="13"/>
      <c r="H22" s="14">
        <v>40725</v>
      </c>
      <c r="I22" s="14"/>
      <c r="J22" s="15"/>
      <c r="K22" s="15" t="s">
        <v>358</v>
      </c>
      <c r="L22" s="13" t="s">
        <v>334</v>
      </c>
      <c r="M22" s="15"/>
      <c r="N22" s="13"/>
      <c r="O22" s="13" t="s">
        <v>359</v>
      </c>
      <c r="P22" s="13"/>
      <c r="Q22" s="13"/>
      <c r="R22" s="13"/>
      <c r="S22" s="13"/>
      <c r="T22" s="13" t="s">
        <v>318</v>
      </c>
      <c r="U22" s="15" t="s">
        <v>127</v>
      </c>
    </row>
    <row r="23" spans="1:21" ht="29" hidden="1" x14ac:dyDescent="0.35">
      <c r="A23" s="13" t="s">
        <v>74</v>
      </c>
      <c r="B23" s="13" t="s">
        <v>75</v>
      </c>
      <c r="C23" s="14">
        <v>43152.5</v>
      </c>
      <c r="D23" s="13" t="s">
        <v>192</v>
      </c>
      <c r="E23" s="13" t="s">
        <v>343</v>
      </c>
      <c r="F23" s="15" t="s">
        <v>193</v>
      </c>
      <c r="G23" s="13"/>
      <c r="H23" s="14">
        <v>40725</v>
      </c>
      <c r="I23" s="14"/>
      <c r="J23" s="15" t="s">
        <v>360</v>
      </c>
      <c r="K23" s="15" t="s">
        <v>361</v>
      </c>
      <c r="L23" s="13" t="s">
        <v>334</v>
      </c>
      <c r="M23" s="15"/>
      <c r="N23" s="13"/>
      <c r="O23" s="13"/>
      <c r="P23" s="13"/>
      <c r="Q23" s="13"/>
      <c r="R23" s="13"/>
      <c r="S23" s="13"/>
      <c r="T23" s="13"/>
      <c r="U23" s="15"/>
    </row>
    <row r="24" spans="1:21" ht="43.5" hidden="1" x14ac:dyDescent="0.35">
      <c r="A24" s="13" t="s">
        <v>74</v>
      </c>
      <c r="B24" s="13" t="s">
        <v>75</v>
      </c>
      <c r="C24" s="14">
        <v>43565.697916666664</v>
      </c>
      <c r="D24" s="13" t="s">
        <v>105</v>
      </c>
      <c r="E24" s="13" t="s">
        <v>343</v>
      </c>
      <c r="F24" s="15" t="s">
        <v>106</v>
      </c>
      <c r="G24" s="13"/>
      <c r="H24" s="14">
        <v>40725</v>
      </c>
      <c r="I24" s="14"/>
      <c r="J24" s="15" t="s">
        <v>362</v>
      </c>
      <c r="K24" s="15" t="s">
        <v>363</v>
      </c>
      <c r="L24" s="13" t="s">
        <v>334</v>
      </c>
      <c r="M24" s="15"/>
      <c r="N24" s="13"/>
      <c r="O24" s="13"/>
      <c r="P24" s="13"/>
      <c r="Q24" s="13"/>
      <c r="R24" s="13"/>
      <c r="S24" s="13"/>
      <c r="T24" s="13"/>
      <c r="U24" s="15"/>
    </row>
    <row r="25" spans="1:21" ht="58" hidden="1" x14ac:dyDescent="0.35">
      <c r="A25" s="13" t="s">
        <v>74</v>
      </c>
      <c r="B25" s="13" t="s">
        <v>75</v>
      </c>
      <c r="C25" s="14">
        <v>43152.5</v>
      </c>
      <c r="D25" s="13" t="s">
        <v>130</v>
      </c>
      <c r="E25" s="13" t="s">
        <v>343</v>
      </c>
      <c r="F25" s="15" t="s">
        <v>131</v>
      </c>
      <c r="G25" s="13"/>
      <c r="H25" s="14">
        <v>40725</v>
      </c>
      <c r="I25" s="14"/>
      <c r="J25" s="15" t="s">
        <v>364</v>
      </c>
      <c r="K25" s="15" t="s">
        <v>365</v>
      </c>
      <c r="L25" s="13" t="s">
        <v>312</v>
      </c>
      <c r="M25" s="15"/>
      <c r="N25" s="13"/>
      <c r="O25" s="13"/>
      <c r="P25" s="13"/>
      <c r="Q25" s="13"/>
      <c r="R25" s="13"/>
      <c r="S25" s="13"/>
      <c r="T25" s="13"/>
      <c r="U25" s="15"/>
    </row>
    <row r="26" spans="1:21" ht="43.5" hidden="1" x14ac:dyDescent="0.35">
      <c r="A26" s="13" t="s">
        <v>132</v>
      </c>
      <c r="B26" s="13" t="s">
        <v>75</v>
      </c>
      <c r="C26" s="14">
        <v>43627.642361111109</v>
      </c>
      <c r="D26" s="13" t="s">
        <v>134</v>
      </c>
      <c r="E26" s="13" t="s">
        <v>366</v>
      </c>
      <c r="F26" s="15" t="s">
        <v>135</v>
      </c>
      <c r="G26" s="13" t="s">
        <v>367</v>
      </c>
      <c r="H26" s="14">
        <v>40982</v>
      </c>
      <c r="I26" s="14"/>
      <c r="J26" s="15"/>
      <c r="K26" s="15"/>
      <c r="L26" s="13" t="s">
        <v>312</v>
      </c>
      <c r="M26" s="15"/>
      <c r="N26" s="13"/>
      <c r="O26" s="13"/>
      <c r="P26" s="13" t="s">
        <v>341</v>
      </c>
      <c r="Q26" s="13"/>
      <c r="R26" s="13"/>
      <c r="S26" s="13"/>
      <c r="T26" s="13" t="s">
        <v>318</v>
      </c>
      <c r="U26" s="15" t="s">
        <v>135</v>
      </c>
    </row>
    <row r="27" spans="1:21" ht="72.5" hidden="1" x14ac:dyDescent="0.35">
      <c r="A27" s="13" t="s">
        <v>132</v>
      </c>
      <c r="B27" s="13" t="s">
        <v>75</v>
      </c>
      <c r="C27" s="14">
        <v>43627.643055555556</v>
      </c>
      <c r="D27" s="13" t="s">
        <v>136</v>
      </c>
      <c r="E27" s="13" t="s">
        <v>366</v>
      </c>
      <c r="F27" s="15" t="s">
        <v>137</v>
      </c>
      <c r="G27" s="13" t="s">
        <v>367</v>
      </c>
      <c r="H27" s="14">
        <v>40982</v>
      </c>
      <c r="I27" s="14"/>
      <c r="J27" s="15"/>
      <c r="K27" s="15"/>
      <c r="L27" s="13" t="s">
        <v>312</v>
      </c>
      <c r="M27" s="15"/>
      <c r="N27" s="13"/>
      <c r="O27" s="13"/>
      <c r="P27" s="13" t="s">
        <v>341</v>
      </c>
      <c r="Q27" s="13"/>
      <c r="R27" s="13"/>
      <c r="S27" s="13"/>
      <c r="T27" s="13" t="s">
        <v>318</v>
      </c>
      <c r="U27" s="15" t="s">
        <v>137</v>
      </c>
    </row>
    <row r="28" spans="1:21" ht="87" hidden="1" x14ac:dyDescent="0.35">
      <c r="A28" s="13" t="s">
        <v>132</v>
      </c>
      <c r="B28" s="13" t="s">
        <v>75</v>
      </c>
      <c r="C28" s="14">
        <v>43627.643750000003</v>
      </c>
      <c r="D28" s="13" t="s">
        <v>138</v>
      </c>
      <c r="E28" s="13" t="s">
        <v>366</v>
      </c>
      <c r="F28" s="15" t="s">
        <v>139</v>
      </c>
      <c r="G28" s="13" t="s">
        <v>367</v>
      </c>
      <c r="H28" s="14">
        <v>42482</v>
      </c>
      <c r="I28" s="14"/>
      <c r="J28" s="15"/>
      <c r="K28" s="15"/>
      <c r="L28" s="13" t="s">
        <v>312</v>
      </c>
      <c r="M28" s="15"/>
      <c r="N28" s="13"/>
      <c r="O28" s="13"/>
      <c r="P28" s="13" t="s">
        <v>341</v>
      </c>
      <c r="Q28" s="13"/>
      <c r="R28" s="13"/>
      <c r="S28" s="13"/>
      <c r="T28" s="13" t="s">
        <v>318</v>
      </c>
      <c r="U28" s="15" t="s">
        <v>139</v>
      </c>
    </row>
    <row r="29" spans="1:21" ht="87" hidden="1" x14ac:dyDescent="0.35">
      <c r="A29" s="13" t="s">
        <v>132</v>
      </c>
      <c r="B29" s="13" t="s">
        <v>75</v>
      </c>
      <c r="C29" s="14">
        <v>43627.644444444442</v>
      </c>
      <c r="D29" s="13" t="s">
        <v>140</v>
      </c>
      <c r="E29" s="13" t="s">
        <v>366</v>
      </c>
      <c r="F29" s="15" t="s">
        <v>141</v>
      </c>
      <c r="G29" s="13" t="s">
        <v>367</v>
      </c>
      <c r="H29" s="14">
        <v>42482</v>
      </c>
      <c r="I29" s="14"/>
      <c r="J29" s="15"/>
      <c r="K29" s="15"/>
      <c r="L29" s="13" t="s">
        <v>312</v>
      </c>
      <c r="M29" s="15"/>
      <c r="N29" s="13"/>
      <c r="O29" s="13"/>
      <c r="P29" s="13" t="s">
        <v>341</v>
      </c>
      <c r="Q29" s="13"/>
      <c r="R29" s="13"/>
      <c r="S29" s="13"/>
      <c r="T29" s="13" t="s">
        <v>318</v>
      </c>
      <c r="U29" s="15" t="s">
        <v>141</v>
      </c>
    </row>
    <row r="30" spans="1:21" ht="87" hidden="1" x14ac:dyDescent="0.35">
      <c r="A30" s="13" t="s">
        <v>132</v>
      </c>
      <c r="B30" s="13" t="s">
        <v>75</v>
      </c>
      <c r="C30" s="14">
        <v>43627.644444444442</v>
      </c>
      <c r="D30" s="13" t="s">
        <v>142</v>
      </c>
      <c r="E30" s="13" t="s">
        <v>366</v>
      </c>
      <c r="F30" s="15" t="s">
        <v>143</v>
      </c>
      <c r="G30" s="13" t="s">
        <v>367</v>
      </c>
      <c r="H30" s="14">
        <v>40982</v>
      </c>
      <c r="I30" s="14"/>
      <c r="J30" s="15"/>
      <c r="K30" s="15"/>
      <c r="L30" s="13" t="s">
        <v>312</v>
      </c>
      <c r="M30" s="15"/>
      <c r="N30" s="13"/>
      <c r="O30" s="13"/>
      <c r="P30" s="13" t="s">
        <v>341</v>
      </c>
      <c r="Q30" s="13"/>
      <c r="R30" s="13"/>
      <c r="S30" s="13"/>
      <c r="T30" s="13" t="s">
        <v>318</v>
      </c>
      <c r="U30" s="15" t="s">
        <v>143</v>
      </c>
    </row>
    <row r="31" spans="1:21" ht="72.5" hidden="1" x14ac:dyDescent="0.35">
      <c r="A31" s="13" t="s">
        <v>132</v>
      </c>
      <c r="B31" s="13" t="s">
        <v>75</v>
      </c>
      <c r="C31" s="14">
        <v>43627.645138888889</v>
      </c>
      <c r="D31" s="13" t="s">
        <v>144</v>
      </c>
      <c r="E31" s="13" t="s">
        <v>366</v>
      </c>
      <c r="F31" s="15" t="s">
        <v>145</v>
      </c>
      <c r="G31" s="13" t="s">
        <v>367</v>
      </c>
      <c r="H31" s="14">
        <v>40982</v>
      </c>
      <c r="I31" s="14"/>
      <c r="J31" s="15"/>
      <c r="K31" s="15"/>
      <c r="L31" s="13" t="s">
        <v>312</v>
      </c>
      <c r="M31" s="15"/>
      <c r="N31" s="13"/>
      <c r="O31" s="13"/>
      <c r="P31" s="13" t="s">
        <v>341</v>
      </c>
      <c r="Q31" s="13"/>
      <c r="R31" s="13"/>
      <c r="S31" s="13"/>
      <c r="T31" s="13" t="s">
        <v>318</v>
      </c>
      <c r="U31" s="15" t="s">
        <v>145</v>
      </c>
    </row>
    <row r="32" spans="1:21" ht="58" hidden="1" x14ac:dyDescent="0.35">
      <c r="A32" s="13" t="s">
        <v>149</v>
      </c>
      <c r="B32" s="13" t="s">
        <v>112</v>
      </c>
      <c r="C32" s="14">
        <v>44742.45208333333</v>
      </c>
      <c r="D32" s="13" t="s">
        <v>153</v>
      </c>
      <c r="E32" s="13" t="s">
        <v>366</v>
      </c>
      <c r="F32" s="15" t="s">
        <v>154</v>
      </c>
      <c r="G32" s="13" t="s">
        <v>368</v>
      </c>
      <c r="H32" s="14">
        <v>40725</v>
      </c>
      <c r="I32" s="14"/>
      <c r="J32" s="15"/>
      <c r="K32" s="15"/>
      <c r="L32" s="13" t="s">
        <v>312</v>
      </c>
      <c r="M32" s="15"/>
      <c r="N32" s="13"/>
      <c r="O32" s="13"/>
      <c r="P32" s="13" t="s">
        <v>317</v>
      </c>
      <c r="Q32" s="13"/>
      <c r="R32" s="13"/>
      <c r="S32" s="13"/>
      <c r="T32" s="13" t="s">
        <v>318</v>
      </c>
      <c r="U32" s="15" t="s">
        <v>154</v>
      </c>
    </row>
    <row r="33" spans="1:21" ht="43.5" hidden="1" x14ac:dyDescent="0.35">
      <c r="A33" s="13" t="s">
        <v>149</v>
      </c>
      <c r="B33" s="13" t="s">
        <v>112</v>
      </c>
      <c r="C33" s="14">
        <v>44742.45208333333</v>
      </c>
      <c r="D33" s="13" t="s">
        <v>155</v>
      </c>
      <c r="E33" s="13" t="s">
        <v>366</v>
      </c>
      <c r="F33" s="15" t="s">
        <v>156</v>
      </c>
      <c r="G33" s="13" t="s">
        <v>368</v>
      </c>
      <c r="H33" s="14">
        <v>40725</v>
      </c>
      <c r="I33" s="14"/>
      <c r="J33" s="15"/>
      <c r="K33" s="15"/>
      <c r="L33" s="13" t="s">
        <v>312</v>
      </c>
      <c r="M33" s="15"/>
      <c r="N33" s="13"/>
      <c r="O33" s="13"/>
      <c r="P33" s="13" t="s">
        <v>317</v>
      </c>
      <c r="Q33" s="13"/>
      <c r="R33" s="13"/>
      <c r="S33" s="13"/>
      <c r="T33" s="13" t="s">
        <v>318</v>
      </c>
      <c r="U33" s="15" t="s">
        <v>156</v>
      </c>
    </row>
    <row r="34" spans="1:21" ht="87" hidden="1" x14ac:dyDescent="0.35">
      <c r="A34" s="13" t="s">
        <v>149</v>
      </c>
      <c r="B34" s="13" t="s">
        <v>112</v>
      </c>
      <c r="C34" s="14">
        <v>44742.453472222223</v>
      </c>
      <c r="D34" s="13" t="s">
        <v>157</v>
      </c>
      <c r="E34" s="13" t="s">
        <v>366</v>
      </c>
      <c r="F34" s="15" t="s">
        <v>158</v>
      </c>
      <c r="G34" s="13" t="s">
        <v>369</v>
      </c>
      <c r="H34" s="14">
        <v>40725</v>
      </c>
      <c r="I34" s="14"/>
      <c r="J34" s="15"/>
      <c r="K34" s="15"/>
      <c r="L34" s="13" t="s">
        <v>312</v>
      </c>
      <c r="M34" s="15"/>
      <c r="N34" s="13"/>
      <c r="O34" s="13"/>
      <c r="P34" s="13" t="s">
        <v>370</v>
      </c>
      <c r="Q34" s="13"/>
      <c r="R34" s="13"/>
      <c r="S34" s="13"/>
      <c r="T34" s="13" t="s">
        <v>318</v>
      </c>
      <c r="U34" s="15" t="s">
        <v>158</v>
      </c>
    </row>
    <row r="35" spans="1:21" ht="72.5" hidden="1" x14ac:dyDescent="0.35">
      <c r="A35" s="13" t="s">
        <v>132</v>
      </c>
      <c r="B35" s="13" t="s">
        <v>75</v>
      </c>
      <c r="C35" s="14">
        <v>43627.683333333334</v>
      </c>
      <c r="D35" s="13" t="s">
        <v>159</v>
      </c>
      <c r="E35" s="13" t="s">
        <v>366</v>
      </c>
      <c r="F35" s="15" t="s">
        <v>160</v>
      </c>
      <c r="G35" s="13" t="s">
        <v>371</v>
      </c>
      <c r="H35" s="14">
        <v>40725</v>
      </c>
      <c r="I35" s="14"/>
      <c r="J35" s="15"/>
      <c r="K35" s="15"/>
      <c r="L35" s="13" t="s">
        <v>312</v>
      </c>
      <c r="M35" s="15"/>
      <c r="N35" s="13"/>
      <c r="O35" s="13"/>
      <c r="P35" s="13" t="s">
        <v>317</v>
      </c>
      <c r="Q35" s="13"/>
      <c r="R35" s="13"/>
      <c r="S35" s="13"/>
      <c r="T35" s="13" t="s">
        <v>318</v>
      </c>
      <c r="U35" s="15" t="s">
        <v>160</v>
      </c>
    </row>
    <row r="36" spans="1:21" ht="58" hidden="1" x14ac:dyDescent="0.35">
      <c r="A36" s="13" t="s">
        <v>132</v>
      </c>
      <c r="B36" s="13" t="s">
        <v>75</v>
      </c>
      <c r="C36" s="14">
        <v>43696.431250000001</v>
      </c>
      <c r="D36" s="13" t="s">
        <v>177</v>
      </c>
      <c r="E36" s="13" t="s">
        <v>366</v>
      </c>
      <c r="F36" s="15" t="s">
        <v>178</v>
      </c>
      <c r="G36" s="13" t="s">
        <v>372</v>
      </c>
      <c r="H36" s="14">
        <v>40725</v>
      </c>
      <c r="I36" s="14"/>
      <c r="J36" s="15"/>
      <c r="K36" s="15"/>
      <c r="L36" s="13" t="s">
        <v>312</v>
      </c>
      <c r="M36" s="15"/>
      <c r="N36" s="13"/>
      <c r="O36" s="13"/>
      <c r="P36" s="13" t="s">
        <v>330</v>
      </c>
      <c r="Q36" s="13"/>
      <c r="R36" s="13"/>
      <c r="S36" s="13"/>
      <c r="T36" s="13" t="s">
        <v>318</v>
      </c>
      <c r="U36" s="15" t="s">
        <v>178</v>
      </c>
    </row>
    <row r="37" spans="1:21" ht="58" hidden="1" x14ac:dyDescent="0.35">
      <c r="A37" s="13" t="s">
        <v>132</v>
      </c>
      <c r="B37" s="13" t="s">
        <v>75</v>
      </c>
      <c r="C37" s="14">
        <v>43627.67291666667</v>
      </c>
      <c r="D37" s="13" t="s">
        <v>179</v>
      </c>
      <c r="E37" s="13" t="s">
        <v>366</v>
      </c>
      <c r="F37" s="15" t="s">
        <v>180</v>
      </c>
      <c r="G37" s="13" t="s">
        <v>373</v>
      </c>
      <c r="H37" s="14">
        <v>40725</v>
      </c>
      <c r="I37" s="14"/>
      <c r="J37" s="15"/>
      <c r="K37" s="15"/>
      <c r="L37" s="13" t="s">
        <v>312</v>
      </c>
      <c r="M37" s="15"/>
      <c r="N37" s="13"/>
      <c r="O37" s="13"/>
      <c r="P37" s="13" t="s">
        <v>330</v>
      </c>
      <c r="Q37" s="13"/>
      <c r="R37" s="13"/>
      <c r="S37" s="13"/>
      <c r="T37" s="13" t="s">
        <v>318</v>
      </c>
      <c r="U37" s="15" t="s">
        <v>180</v>
      </c>
    </row>
    <row r="38" spans="1:21" ht="87" hidden="1" x14ac:dyDescent="0.35">
      <c r="A38" s="13" t="s">
        <v>132</v>
      </c>
      <c r="B38" s="13" t="s">
        <v>75</v>
      </c>
      <c r="C38" s="14">
        <v>43627.674305555556</v>
      </c>
      <c r="D38" s="13" t="s">
        <v>190</v>
      </c>
      <c r="E38" s="13" t="s">
        <v>366</v>
      </c>
      <c r="F38" s="15" t="s">
        <v>191</v>
      </c>
      <c r="G38" s="13" t="s">
        <v>374</v>
      </c>
      <c r="H38" s="14">
        <v>40725</v>
      </c>
      <c r="I38" s="14"/>
      <c r="J38" s="15"/>
      <c r="K38" s="15"/>
      <c r="L38" s="13" t="s">
        <v>312</v>
      </c>
      <c r="M38" s="15"/>
      <c r="N38" s="13"/>
      <c r="O38" s="13"/>
      <c r="P38" s="13" t="s">
        <v>375</v>
      </c>
      <c r="Q38" s="13"/>
      <c r="R38" s="13"/>
      <c r="S38" s="13"/>
      <c r="T38" s="13" t="s">
        <v>318</v>
      </c>
      <c r="U38" s="15" t="s">
        <v>191</v>
      </c>
    </row>
    <row r="39" spans="1:21" ht="58" hidden="1" x14ac:dyDescent="0.35">
      <c r="A39" s="13" t="s">
        <v>149</v>
      </c>
      <c r="B39" s="13" t="s">
        <v>112</v>
      </c>
      <c r="C39" s="14">
        <v>44742.461805555555</v>
      </c>
      <c r="D39" s="13" t="s">
        <v>238</v>
      </c>
      <c r="E39" s="13" t="s">
        <v>366</v>
      </c>
      <c r="F39" s="15" t="s">
        <v>239</v>
      </c>
      <c r="G39" s="13" t="s">
        <v>376</v>
      </c>
      <c r="H39" s="14">
        <v>40725</v>
      </c>
      <c r="I39" s="14"/>
      <c r="J39" s="15"/>
      <c r="K39" s="15"/>
      <c r="L39" s="13" t="s">
        <v>312</v>
      </c>
      <c r="M39" s="15"/>
      <c r="N39" s="13"/>
      <c r="O39" s="13"/>
      <c r="P39" s="13" t="s">
        <v>377</v>
      </c>
      <c r="Q39" s="13"/>
      <c r="R39" s="13"/>
      <c r="S39" s="13"/>
      <c r="T39" s="13" t="s">
        <v>318</v>
      </c>
      <c r="U39" s="15" t="s">
        <v>239</v>
      </c>
    </row>
    <row r="40" spans="1:21" ht="87" x14ac:dyDescent="0.35">
      <c r="A40" s="19" t="s">
        <v>111</v>
      </c>
      <c r="B40" s="19" t="s">
        <v>112</v>
      </c>
      <c r="C40" s="20">
        <v>45980.486805555556</v>
      </c>
      <c r="D40" s="19" t="s">
        <v>244</v>
      </c>
      <c r="E40" s="19" t="s">
        <v>366</v>
      </c>
      <c r="F40" s="21" t="s">
        <v>245</v>
      </c>
      <c r="G40" s="19" t="s">
        <v>378</v>
      </c>
      <c r="H40" s="20">
        <v>40725</v>
      </c>
      <c r="I40" s="20"/>
      <c r="J40" s="21"/>
      <c r="K40" s="21"/>
      <c r="L40" s="19" t="s">
        <v>312</v>
      </c>
      <c r="M40" s="21"/>
      <c r="N40" s="19"/>
      <c r="O40" s="19"/>
      <c r="P40" s="19" t="s">
        <v>379</v>
      </c>
      <c r="Q40" s="19"/>
      <c r="R40" s="19" t="s">
        <v>380</v>
      </c>
      <c r="S40" s="19"/>
      <c r="T40" s="19" t="s">
        <v>318</v>
      </c>
      <c r="U40" s="21" t="s">
        <v>245</v>
      </c>
    </row>
    <row r="41" spans="1:21" ht="87" x14ac:dyDescent="0.35">
      <c r="A41" s="19" t="s">
        <v>111</v>
      </c>
      <c r="B41" s="19" t="s">
        <v>112</v>
      </c>
      <c r="C41" s="20">
        <v>45980.486805555556</v>
      </c>
      <c r="D41" s="19" t="s">
        <v>246</v>
      </c>
      <c r="E41" s="19" t="s">
        <v>366</v>
      </c>
      <c r="F41" s="21" t="s">
        <v>247</v>
      </c>
      <c r="G41" s="19" t="s">
        <v>378</v>
      </c>
      <c r="H41" s="20">
        <v>40725</v>
      </c>
      <c r="I41" s="20"/>
      <c r="J41" s="21"/>
      <c r="K41" s="21"/>
      <c r="L41" s="19" t="s">
        <v>312</v>
      </c>
      <c r="M41" s="21"/>
      <c r="N41" s="19"/>
      <c r="O41" s="19"/>
      <c r="P41" s="19" t="s">
        <v>379</v>
      </c>
      <c r="Q41" s="19"/>
      <c r="R41" s="19" t="s">
        <v>380</v>
      </c>
      <c r="S41" s="19"/>
      <c r="T41" s="19" t="s">
        <v>318</v>
      </c>
      <c r="U41" s="21" t="s">
        <v>247</v>
      </c>
    </row>
    <row r="42" spans="1:21" ht="87" x14ac:dyDescent="0.35">
      <c r="A42" s="19" t="s">
        <v>111</v>
      </c>
      <c r="B42" s="19" t="s">
        <v>112</v>
      </c>
      <c r="C42" s="20">
        <v>45980.486805555556</v>
      </c>
      <c r="D42" s="19" t="s">
        <v>248</v>
      </c>
      <c r="E42" s="19" t="s">
        <v>366</v>
      </c>
      <c r="F42" s="21" t="s">
        <v>249</v>
      </c>
      <c r="G42" s="19" t="s">
        <v>381</v>
      </c>
      <c r="H42" s="20">
        <v>40725</v>
      </c>
      <c r="I42" s="20"/>
      <c r="J42" s="21"/>
      <c r="K42" s="21"/>
      <c r="L42" s="19" t="s">
        <v>312</v>
      </c>
      <c r="M42" s="21"/>
      <c r="N42" s="19"/>
      <c r="O42" s="19"/>
      <c r="P42" s="19" t="s">
        <v>379</v>
      </c>
      <c r="Q42" s="19"/>
      <c r="R42" s="19" t="s">
        <v>380</v>
      </c>
      <c r="S42" s="19"/>
      <c r="T42" s="19" t="s">
        <v>318</v>
      </c>
      <c r="U42" s="21" t="s">
        <v>249</v>
      </c>
    </row>
    <row r="43" spans="1:21" ht="43.5" hidden="1" x14ac:dyDescent="0.35">
      <c r="A43" s="13" t="s">
        <v>149</v>
      </c>
      <c r="B43" s="13" t="s">
        <v>112</v>
      </c>
      <c r="C43" s="14">
        <v>44742.461805555555</v>
      </c>
      <c r="D43" s="13" t="s">
        <v>250</v>
      </c>
      <c r="E43" s="13" t="s">
        <v>366</v>
      </c>
      <c r="F43" s="15" t="s">
        <v>251</v>
      </c>
      <c r="G43" s="13" t="s">
        <v>368</v>
      </c>
      <c r="H43" s="14">
        <v>40725</v>
      </c>
      <c r="I43" s="14"/>
      <c r="J43" s="15"/>
      <c r="K43" s="15"/>
      <c r="L43" s="13" t="s">
        <v>312</v>
      </c>
      <c r="M43" s="15"/>
      <c r="N43" s="13"/>
      <c r="O43" s="13"/>
      <c r="P43" s="13" t="s">
        <v>379</v>
      </c>
      <c r="Q43" s="13"/>
      <c r="R43" s="13"/>
      <c r="S43" s="13"/>
      <c r="T43" s="13" t="s">
        <v>318</v>
      </c>
      <c r="U43" s="15" t="s">
        <v>251</v>
      </c>
    </row>
    <row r="44" spans="1:21" ht="58" hidden="1" x14ac:dyDescent="0.35">
      <c r="A44" s="13" t="s">
        <v>240</v>
      </c>
      <c r="B44" s="13" t="s">
        <v>112</v>
      </c>
      <c r="C44" s="14">
        <v>45783.604166666664</v>
      </c>
      <c r="D44" s="13" t="s">
        <v>252</v>
      </c>
      <c r="E44" s="13" t="s">
        <v>366</v>
      </c>
      <c r="F44" s="15" t="s">
        <v>253</v>
      </c>
      <c r="G44" s="13" t="s">
        <v>382</v>
      </c>
      <c r="H44" s="14">
        <v>40725</v>
      </c>
      <c r="I44" s="14">
        <v>44196</v>
      </c>
      <c r="J44" s="15"/>
      <c r="K44" s="15"/>
      <c r="L44" s="13" t="s">
        <v>312</v>
      </c>
      <c r="M44" s="15"/>
      <c r="N44" s="13"/>
      <c r="O44" s="13"/>
      <c r="P44" s="13" t="s">
        <v>379</v>
      </c>
      <c r="Q44" s="13"/>
      <c r="R44" s="13"/>
      <c r="S44" s="13"/>
      <c r="T44" s="13" t="s">
        <v>318</v>
      </c>
      <c r="U44" s="15" t="s">
        <v>253</v>
      </c>
    </row>
    <row r="45" spans="1:21" ht="43.5" hidden="1" x14ac:dyDescent="0.35">
      <c r="A45" s="13" t="s">
        <v>132</v>
      </c>
      <c r="B45" s="13" t="s">
        <v>75</v>
      </c>
      <c r="C45" s="14">
        <v>43633.615277777775</v>
      </c>
      <c r="D45" s="13" t="s">
        <v>260</v>
      </c>
      <c r="E45" s="13" t="s">
        <v>366</v>
      </c>
      <c r="F45" s="15" t="s">
        <v>261</v>
      </c>
      <c r="G45" s="13" t="s">
        <v>383</v>
      </c>
      <c r="H45" s="14">
        <v>40725</v>
      </c>
      <c r="I45" s="14"/>
      <c r="J45" s="15"/>
      <c r="K45" s="15"/>
      <c r="L45" s="13" t="s">
        <v>312</v>
      </c>
      <c r="M45" s="15"/>
      <c r="N45" s="13"/>
      <c r="O45" s="13"/>
      <c r="P45" s="13" t="s">
        <v>324</v>
      </c>
      <c r="Q45" s="13"/>
      <c r="R45" s="13"/>
      <c r="S45" s="13"/>
      <c r="T45" s="13" t="s">
        <v>318</v>
      </c>
      <c r="U45" s="15" t="s">
        <v>261</v>
      </c>
    </row>
    <row r="46" spans="1:21" ht="43.5" hidden="1" x14ac:dyDescent="0.35">
      <c r="A46" s="13" t="s">
        <v>132</v>
      </c>
      <c r="B46" s="13" t="s">
        <v>75</v>
      </c>
      <c r="C46" s="14">
        <v>43633.615972222222</v>
      </c>
      <c r="D46" s="13" t="s">
        <v>262</v>
      </c>
      <c r="E46" s="13" t="s">
        <v>366</v>
      </c>
      <c r="F46" s="15" t="s">
        <v>263</v>
      </c>
      <c r="G46" s="13" t="s">
        <v>384</v>
      </c>
      <c r="H46" s="14">
        <v>40725</v>
      </c>
      <c r="I46" s="14"/>
      <c r="J46" s="15"/>
      <c r="K46" s="15"/>
      <c r="L46" s="13" t="s">
        <v>312</v>
      </c>
      <c r="M46" s="15"/>
      <c r="N46" s="13"/>
      <c r="O46" s="13"/>
      <c r="P46" s="13" t="s">
        <v>324</v>
      </c>
      <c r="Q46" s="13"/>
      <c r="R46" s="13"/>
      <c r="S46" s="13"/>
      <c r="T46" s="13" t="s">
        <v>318</v>
      </c>
      <c r="U46" s="15" t="s">
        <v>263</v>
      </c>
    </row>
    <row r="47" spans="1:21" ht="29" hidden="1" x14ac:dyDescent="0.35">
      <c r="A47" s="13" t="s">
        <v>132</v>
      </c>
      <c r="B47" s="13" t="s">
        <v>75</v>
      </c>
      <c r="C47" s="14">
        <v>43633.605555555558</v>
      </c>
      <c r="D47" s="13" t="s">
        <v>274</v>
      </c>
      <c r="E47" s="13" t="s">
        <v>366</v>
      </c>
      <c r="F47" s="15" t="s">
        <v>275</v>
      </c>
      <c r="G47" s="13" t="s">
        <v>327</v>
      </c>
      <c r="H47" s="14">
        <v>40725</v>
      </c>
      <c r="I47" s="14"/>
      <c r="J47" s="15"/>
      <c r="K47" s="15"/>
      <c r="L47" s="13" t="s">
        <v>312</v>
      </c>
      <c r="M47" s="15"/>
      <c r="N47" s="13"/>
      <c r="O47" s="13"/>
      <c r="P47" s="13" t="s">
        <v>328</v>
      </c>
      <c r="Q47" s="13"/>
      <c r="R47" s="13"/>
      <c r="S47" s="13"/>
      <c r="T47" s="13" t="s">
        <v>318</v>
      </c>
      <c r="U47" s="15" t="s">
        <v>275</v>
      </c>
    </row>
    <row r="48" spans="1:21" ht="43.5" hidden="1" x14ac:dyDescent="0.35">
      <c r="A48" s="13" t="s">
        <v>199</v>
      </c>
      <c r="B48" s="13" t="s">
        <v>75</v>
      </c>
      <c r="C48" s="14">
        <v>44048.654861111114</v>
      </c>
      <c r="D48" s="13" t="s">
        <v>203</v>
      </c>
      <c r="E48" s="13" t="s">
        <v>366</v>
      </c>
      <c r="F48" s="15" t="s">
        <v>204</v>
      </c>
      <c r="G48" s="13" t="s">
        <v>385</v>
      </c>
      <c r="H48" s="14">
        <v>43684</v>
      </c>
      <c r="I48" s="14"/>
      <c r="J48" s="15"/>
      <c r="K48" s="15"/>
      <c r="L48" s="13" t="s">
        <v>312</v>
      </c>
      <c r="M48" s="15"/>
      <c r="N48" s="13"/>
      <c r="O48" s="13"/>
      <c r="P48" s="13" t="s">
        <v>335</v>
      </c>
      <c r="Q48" s="13"/>
      <c r="R48" s="13"/>
      <c r="S48" s="13"/>
      <c r="T48" s="13" t="s">
        <v>318</v>
      </c>
      <c r="U48" s="15" t="s">
        <v>204</v>
      </c>
    </row>
    <row r="49" spans="1:21" ht="43.5" hidden="1" x14ac:dyDescent="0.35">
      <c r="A49" s="13" t="s">
        <v>199</v>
      </c>
      <c r="B49" s="13" t="s">
        <v>75</v>
      </c>
      <c r="C49" s="14">
        <v>44048.658333333333</v>
      </c>
      <c r="D49" s="13" t="s">
        <v>205</v>
      </c>
      <c r="E49" s="13" t="s">
        <v>366</v>
      </c>
      <c r="F49" s="15" t="s">
        <v>206</v>
      </c>
      <c r="G49" s="13" t="s">
        <v>386</v>
      </c>
      <c r="H49" s="14">
        <v>43684</v>
      </c>
      <c r="I49" s="14"/>
      <c r="J49" s="15"/>
      <c r="K49" s="15"/>
      <c r="L49" s="13" t="s">
        <v>312</v>
      </c>
      <c r="M49" s="15"/>
      <c r="N49" s="13"/>
      <c r="O49" s="13"/>
      <c r="P49" s="13" t="s">
        <v>335</v>
      </c>
      <c r="Q49" s="13"/>
      <c r="R49" s="13"/>
      <c r="S49" s="13"/>
      <c r="T49" s="13" t="s">
        <v>318</v>
      </c>
      <c r="U49" s="15" t="s">
        <v>206</v>
      </c>
    </row>
    <row r="50" spans="1:21" ht="43.5" hidden="1" x14ac:dyDescent="0.35">
      <c r="A50" s="13" t="s">
        <v>199</v>
      </c>
      <c r="B50" s="13" t="s">
        <v>75</v>
      </c>
      <c r="C50" s="14">
        <v>44048.660416666666</v>
      </c>
      <c r="D50" s="13" t="s">
        <v>207</v>
      </c>
      <c r="E50" s="13" t="s">
        <v>366</v>
      </c>
      <c r="F50" s="15" t="s">
        <v>208</v>
      </c>
      <c r="G50" s="13" t="s">
        <v>386</v>
      </c>
      <c r="H50" s="14">
        <v>43684</v>
      </c>
      <c r="I50" s="14"/>
      <c r="J50" s="15"/>
      <c r="K50" s="15"/>
      <c r="L50" s="13" t="s">
        <v>312</v>
      </c>
      <c r="M50" s="15"/>
      <c r="N50" s="13"/>
      <c r="O50" s="13"/>
      <c r="P50" s="13" t="s">
        <v>335</v>
      </c>
      <c r="Q50" s="13"/>
      <c r="R50" s="13"/>
      <c r="S50" s="13"/>
      <c r="T50" s="13" t="s">
        <v>318</v>
      </c>
      <c r="U50" s="15" t="s">
        <v>208</v>
      </c>
    </row>
    <row r="51" spans="1:21" ht="58" hidden="1" x14ac:dyDescent="0.35">
      <c r="A51" s="13" t="s">
        <v>199</v>
      </c>
      <c r="B51" s="13" t="s">
        <v>75</v>
      </c>
      <c r="C51" s="14">
        <v>44049.455555555556</v>
      </c>
      <c r="D51" s="13" t="s">
        <v>209</v>
      </c>
      <c r="E51" s="13" t="s">
        <v>366</v>
      </c>
      <c r="F51" s="15" t="s">
        <v>210</v>
      </c>
      <c r="G51" s="13" t="s">
        <v>387</v>
      </c>
      <c r="H51" s="14">
        <v>43684</v>
      </c>
      <c r="I51" s="14"/>
      <c r="J51" s="15"/>
      <c r="K51" s="15"/>
      <c r="L51" s="13" t="s">
        <v>312</v>
      </c>
      <c r="M51" s="15"/>
      <c r="N51" s="13"/>
      <c r="O51" s="13"/>
      <c r="P51" s="13" t="s">
        <v>335</v>
      </c>
      <c r="Q51" s="13"/>
      <c r="R51" s="13"/>
      <c r="S51" s="13"/>
      <c r="T51" s="13" t="s">
        <v>318</v>
      </c>
      <c r="U51" s="15" t="s">
        <v>210</v>
      </c>
    </row>
    <row r="52" spans="1:21" ht="58" hidden="1" x14ac:dyDescent="0.35">
      <c r="A52" s="13" t="s">
        <v>199</v>
      </c>
      <c r="B52" s="13" t="s">
        <v>75</v>
      </c>
      <c r="C52" s="14">
        <v>44049.456944444442</v>
      </c>
      <c r="D52" s="13" t="s">
        <v>211</v>
      </c>
      <c r="E52" s="13" t="s">
        <v>366</v>
      </c>
      <c r="F52" s="15" t="s">
        <v>212</v>
      </c>
      <c r="G52" s="13" t="s">
        <v>387</v>
      </c>
      <c r="H52" s="14">
        <v>43684</v>
      </c>
      <c r="I52" s="14"/>
      <c r="J52" s="15"/>
      <c r="K52" s="15"/>
      <c r="L52" s="13" t="s">
        <v>312</v>
      </c>
      <c r="M52" s="15"/>
      <c r="N52" s="13"/>
      <c r="O52" s="13"/>
      <c r="P52" s="13" t="s">
        <v>335</v>
      </c>
      <c r="Q52" s="13"/>
      <c r="R52" s="13"/>
      <c r="S52" s="13"/>
      <c r="T52" s="13" t="s">
        <v>318</v>
      </c>
      <c r="U52" s="15" t="s">
        <v>212</v>
      </c>
    </row>
    <row r="53" spans="1:21" ht="58" hidden="1" x14ac:dyDescent="0.35">
      <c r="A53" s="13" t="s">
        <v>199</v>
      </c>
      <c r="B53" s="13" t="s">
        <v>75</v>
      </c>
      <c r="C53" s="14">
        <v>44049.457638888889</v>
      </c>
      <c r="D53" s="13" t="s">
        <v>213</v>
      </c>
      <c r="E53" s="13" t="s">
        <v>366</v>
      </c>
      <c r="F53" s="15" t="s">
        <v>214</v>
      </c>
      <c r="G53" s="13" t="s">
        <v>387</v>
      </c>
      <c r="H53" s="14">
        <v>43684</v>
      </c>
      <c r="I53" s="14"/>
      <c r="J53" s="15"/>
      <c r="K53" s="15"/>
      <c r="L53" s="13" t="s">
        <v>312</v>
      </c>
      <c r="M53" s="15"/>
      <c r="N53" s="13"/>
      <c r="O53" s="13"/>
      <c r="P53" s="13" t="s">
        <v>335</v>
      </c>
      <c r="Q53" s="13"/>
      <c r="R53" s="13"/>
      <c r="S53" s="13"/>
      <c r="T53" s="13" t="s">
        <v>318</v>
      </c>
      <c r="U53" s="15" t="s">
        <v>214</v>
      </c>
    </row>
    <row r="54" spans="1:21" ht="29" hidden="1" x14ac:dyDescent="0.35">
      <c r="A54" s="13" t="s">
        <v>199</v>
      </c>
      <c r="B54" s="13" t="s">
        <v>75</v>
      </c>
      <c r="C54" s="14">
        <v>44049.459027777775</v>
      </c>
      <c r="D54" s="13" t="s">
        <v>215</v>
      </c>
      <c r="E54" s="13" t="s">
        <v>366</v>
      </c>
      <c r="F54" s="15" t="s">
        <v>216</v>
      </c>
      <c r="G54" s="13" t="s">
        <v>388</v>
      </c>
      <c r="H54" s="14">
        <v>43684</v>
      </c>
      <c r="I54" s="14"/>
      <c r="J54" s="15"/>
      <c r="K54" s="15"/>
      <c r="L54" s="13" t="s">
        <v>312</v>
      </c>
      <c r="M54" s="15"/>
      <c r="N54" s="13"/>
      <c r="O54" s="13"/>
      <c r="P54" s="13" t="s">
        <v>389</v>
      </c>
      <c r="Q54" s="13"/>
      <c r="R54" s="13"/>
      <c r="S54" s="13"/>
      <c r="T54" s="13" t="s">
        <v>318</v>
      </c>
      <c r="U54" s="15" t="s">
        <v>216</v>
      </c>
    </row>
    <row r="55" spans="1:21" ht="87" hidden="1" x14ac:dyDescent="0.35">
      <c r="A55" s="13" t="s">
        <v>199</v>
      </c>
      <c r="B55" s="13" t="s">
        <v>75</v>
      </c>
      <c r="C55" s="14">
        <v>44049.459722222222</v>
      </c>
      <c r="D55" s="13" t="s">
        <v>217</v>
      </c>
      <c r="E55" s="13" t="s">
        <v>366</v>
      </c>
      <c r="F55" s="15" t="s">
        <v>218</v>
      </c>
      <c r="G55" s="13" t="s">
        <v>388</v>
      </c>
      <c r="H55" s="14">
        <v>43684</v>
      </c>
      <c r="I55" s="14"/>
      <c r="J55" s="15"/>
      <c r="K55" s="15"/>
      <c r="L55" s="13" t="s">
        <v>312</v>
      </c>
      <c r="M55" s="15"/>
      <c r="N55" s="13"/>
      <c r="O55" s="13"/>
      <c r="P55" s="13" t="s">
        <v>335</v>
      </c>
      <c r="Q55" s="13"/>
      <c r="R55" s="13"/>
      <c r="S55" s="13"/>
      <c r="T55" s="13" t="s">
        <v>318</v>
      </c>
      <c r="U55" s="15" t="s">
        <v>218</v>
      </c>
    </row>
    <row r="56" spans="1:21" ht="87" hidden="1" x14ac:dyDescent="0.35">
      <c r="A56" s="13" t="s">
        <v>199</v>
      </c>
      <c r="B56" s="13" t="s">
        <v>75</v>
      </c>
      <c r="C56" s="14">
        <v>44049.586111111108</v>
      </c>
      <c r="D56" s="13" t="s">
        <v>219</v>
      </c>
      <c r="E56" s="13" t="s">
        <v>366</v>
      </c>
      <c r="F56" s="15" t="s">
        <v>220</v>
      </c>
      <c r="G56" s="13" t="s">
        <v>390</v>
      </c>
      <c r="H56" s="14">
        <v>43684</v>
      </c>
      <c r="I56" s="14"/>
      <c r="J56" s="15"/>
      <c r="K56" s="15"/>
      <c r="L56" s="13" t="s">
        <v>312</v>
      </c>
      <c r="M56" s="15"/>
      <c r="N56" s="13"/>
      <c r="O56" s="13"/>
      <c r="P56" s="13" t="s">
        <v>335</v>
      </c>
      <c r="Q56" s="13"/>
      <c r="R56" s="13"/>
      <c r="S56" s="13"/>
      <c r="T56" s="13" t="s">
        <v>318</v>
      </c>
      <c r="U56" s="15" t="s">
        <v>220</v>
      </c>
    </row>
    <row r="57" spans="1:21" ht="58" hidden="1" x14ac:dyDescent="0.35">
      <c r="A57" s="13" t="s">
        <v>199</v>
      </c>
      <c r="B57" s="13" t="s">
        <v>75</v>
      </c>
      <c r="C57" s="14">
        <v>44049.586805555555</v>
      </c>
      <c r="D57" s="13" t="s">
        <v>221</v>
      </c>
      <c r="E57" s="13" t="s">
        <v>366</v>
      </c>
      <c r="F57" s="15" t="s">
        <v>222</v>
      </c>
      <c r="G57" s="13" t="s">
        <v>390</v>
      </c>
      <c r="H57" s="14">
        <v>43684</v>
      </c>
      <c r="I57" s="14"/>
      <c r="J57" s="15"/>
      <c r="K57" s="15"/>
      <c r="L57" s="13" t="s">
        <v>312</v>
      </c>
      <c r="M57" s="15"/>
      <c r="N57" s="13"/>
      <c r="O57" s="13"/>
      <c r="P57" s="13" t="s">
        <v>335</v>
      </c>
      <c r="Q57" s="13"/>
      <c r="R57" s="13"/>
      <c r="S57" s="13"/>
      <c r="T57" s="13" t="s">
        <v>318</v>
      </c>
      <c r="U57" s="15" t="s">
        <v>222</v>
      </c>
    </row>
    <row r="58" spans="1:21" ht="43.5" hidden="1" x14ac:dyDescent="0.35">
      <c r="A58" s="13" t="s">
        <v>199</v>
      </c>
      <c r="B58" s="13" t="s">
        <v>75</v>
      </c>
      <c r="C58" s="14">
        <v>44049.59097222222</v>
      </c>
      <c r="D58" s="13" t="s">
        <v>223</v>
      </c>
      <c r="E58" s="13" t="s">
        <v>366</v>
      </c>
      <c r="F58" s="15" t="s">
        <v>224</v>
      </c>
      <c r="G58" s="13" t="s">
        <v>390</v>
      </c>
      <c r="H58" s="14">
        <v>43684</v>
      </c>
      <c r="I58" s="14"/>
      <c r="J58" s="15"/>
      <c r="K58" s="15"/>
      <c r="L58" s="13" t="s">
        <v>312</v>
      </c>
      <c r="M58" s="15"/>
      <c r="N58" s="13"/>
      <c r="O58" s="13"/>
      <c r="P58" s="13" t="s">
        <v>335</v>
      </c>
      <c r="Q58" s="13"/>
      <c r="R58" s="13"/>
      <c r="S58" s="13"/>
      <c r="T58" s="13" t="s">
        <v>318</v>
      </c>
      <c r="U58" s="15" t="s">
        <v>224</v>
      </c>
    </row>
    <row r="59" spans="1:21" ht="29" hidden="1" x14ac:dyDescent="0.35">
      <c r="A59" s="13" t="s">
        <v>199</v>
      </c>
      <c r="B59" s="13" t="s">
        <v>75</v>
      </c>
      <c r="C59" s="14">
        <v>44049.592361111114</v>
      </c>
      <c r="D59" s="13" t="s">
        <v>225</v>
      </c>
      <c r="E59" s="13" t="s">
        <v>366</v>
      </c>
      <c r="F59" s="15" t="s">
        <v>226</v>
      </c>
      <c r="G59" s="13" t="s">
        <v>388</v>
      </c>
      <c r="H59" s="14">
        <v>43684</v>
      </c>
      <c r="I59" s="14"/>
      <c r="J59" s="15"/>
      <c r="K59" s="15"/>
      <c r="L59" s="13" t="s">
        <v>312</v>
      </c>
      <c r="M59" s="15"/>
      <c r="N59" s="13"/>
      <c r="O59" s="13"/>
      <c r="P59" s="13" t="s">
        <v>335</v>
      </c>
      <c r="Q59" s="13"/>
      <c r="R59" s="13"/>
      <c r="S59" s="13"/>
      <c r="T59" s="13" t="s">
        <v>318</v>
      </c>
      <c r="U59" s="15" t="s">
        <v>226</v>
      </c>
    </row>
    <row r="60" spans="1:21" ht="87" hidden="1" x14ac:dyDescent="0.35">
      <c r="A60" s="13" t="s">
        <v>199</v>
      </c>
      <c r="B60" s="13" t="s">
        <v>75</v>
      </c>
      <c r="C60" s="14">
        <v>44049.593055555553</v>
      </c>
      <c r="D60" s="13" t="s">
        <v>227</v>
      </c>
      <c r="E60" s="13" t="s">
        <v>366</v>
      </c>
      <c r="F60" s="15" t="s">
        <v>228</v>
      </c>
      <c r="G60" s="13" t="s">
        <v>391</v>
      </c>
      <c r="H60" s="14">
        <v>43684</v>
      </c>
      <c r="I60" s="14"/>
      <c r="J60" s="15"/>
      <c r="K60" s="15"/>
      <c r="L60" s="13" t="s">
        <v>312</v>
      </c>
      <c r="M60" s="15"/>
      <c r="N60" s="13"/>
      <c r="O60" s="13"/>
      <c r="P60" s="13" t="s">
        <v>335</v>
      </c>
      <c r="Q60" s="13"/>
      <c r="R60" s="13"/>
      <c r="S60" s="13"/>
      <c r="T60" s="13" t="s">
        <v>318</v>
      </c>
      <c r="U60" s="15" t="s">
        <v>228</v>
      </c>
    </row>
    <row r="61" spans="1:21" ht="72.5" hidden="1" x14ac:dyDescent="0.35">
      <c r="A61" s="13" t="s">
        <v>199</v>
      </c>
      <c r="B61" s="13" t="s">
        <v>75</v>
      </c>
      <c r="C61" s="14">
        <v>44049.594444444447</v>
      </c>
      <c r="D61" s="13" t="s">
        <v>229</v>
      </c>
      <c r="E61" s="13" t="s">
        <v>366</v>
      </c>
      <c r="F61" s="15" t="s">
        <v>230</v>
      </c>
      <c r="G61" s="13" t="s">
        <v>391</v>
      </c>
      <c r="H61" s="14">
        <v>43684</v>
      </c>
      <c r="I61" s="14"/>
      <c r="J61" s="15"/>
      <c r="K61" s="15"/>
      <c r="L61" s="13" t="s">
        <v>312</v>
      </c>
      <c r="M61" s="15"/>
      <c r="N61" s="13"/>
      <c r="O61" s="13"/>
      <c r="P61" s="13" t="s">
        <v>335</v>
      </c>
      <c r="Q61" s="13"/>
      <c r="R61" s="13"/>
      <c r="S61" s="13"/>
      <c r="T61" s="13" t="s">
        <v>318</v>
      </c>
      <c r="U61" s="15" t="s">
        <v>230</v>
      </c>
    </row>
    <row r="62" spans="1:21" ht="43.5" x14ac:dyDescent="0.35">
      <c r="A62" s="19" t="s">
        <v>111</v>
      </c>
      <c r="B62" s="19" t="s">
        <v>112</v>
      </c>
      <c r="C62" s="20">
        <v>45980.487500000003</v>
      </c>
      <c r="D62" s="19" t="s">
        <v>255</v>
      </c>
      <c r="E62" s="19" t="s">
        <v>366</v>
      </c>
      <c r="F62" s="21" t="s">
        <v>256</v>
      </c>
      <c r="G62" s="19" t="s">
        <v>392</v>
      </c>
      <c r="H62" s="20">
        <v>44197</v>
      </c>
      <c r="I62" s="20"/>
      <c r="J62" s="21"/>
      <c r="K62" s="21"/>
      <c r="L62" s="19" t="s">
        <v>312</v>
      </c>
      <c r="M62" s="21"/>
      <c r="N62" s="19"/>
      <c r="O62" s="19"/>
      <c r="P62" s="19" t="s">
        <v>379</v>
      </c>
      <c r="Q62" s="19"/>
      <c r="R62" s="19" t="s">
        <v>380</v>
      </c>
      <c r="S62" s="19"/>
      <c r="T62" s="19" t="s">
        <v>318</v>
      </c>
      <c r="U62" s="21" t="s">
        <v>256</v>
      </c>
    </row>
  </sheetData>
  <autoFilter ref="A1:U62" xr:uid="{FDF91514-26AB-4583-B06C-1B7C376E14B1}">
    <filterColumn colId="0">
      <filters>
        <filter val="25.10.0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BLANC Eric</dc:creator>
  <cp:lastModifiedBy>BLANC Eric</cp:lastModifiedBy>
  <dcterms:created xsi:type="dcterms:W3CDTF">2025-12-30T14:08:37Z</dcterms:created>
  <dcterms:modified xsi:type="dcterms:W3CDTF">2025-12-30T14:24:58Z</dcterms:modified>
</cp:coreProperties>
</file>