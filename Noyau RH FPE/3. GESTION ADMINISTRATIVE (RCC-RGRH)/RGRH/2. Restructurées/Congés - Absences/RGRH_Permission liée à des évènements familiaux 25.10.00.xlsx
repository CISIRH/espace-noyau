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3-BARRI\REFERENTIELS\NOYAU\1-20260206_25.10.00\4-Règles de gestion\RGRH\Restructurées\Congé _absence\"/>
    </mc:Choice>
  </mc:AlternateContent>
  <xr:revisionPtr revIDLastSave="0" documentId="13_ncr:1_{C586B333-45D5-441F-A26B-917756E712A9}" xr6:coauthVersionLast="47" xr6:coauthVersionMax="47" xr10:uidLastSave="{00000000-0000-0000-0000-000000000000}"/>
  <bookViews>
    <workbookView xWindow="-110" yWindow="-110" windowWidth="19420" windowHeight="11500" xr2:uid="{F258F3BE-3FBD-4C0C-BCFE-F02FD51B9989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RG'!$A$1:$OJ$49</definedName>
    <definedName name="_xlnm._FilterDatabase" localSheetId="2" hidden="1">'Axe 1 Enchaînement RG Impact'!$A$1:$OJ$49</definedName>
    <definedName name="_xlnm._FilterDatabase" localSheetId="3" hidden="1">'Axe 1 Rattachement des actes'!$A$1:$AS$49</definedName>
    <definedName name="_xlnm._FilterDatabase" localSheetId="4" hidden="1">'Axe 2 Règles de gestion'!$A$1:$Z$40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48" i="4" l="1"/>
  <c r="AA46" i="4"/>
  <c r="AA44" i="4"/>
  <c r="AA32" i="4"/>
  <c r="AA30" i="4"/>
  <c r="AA28" i="4"/>
  <c r="AA16" i="4"/>
  <c r="AA14" i="4"/>
  <c r="AA12" i="4"/>
  <c r="Y48" i="4"/>
  <c r="Y46" i="4"/>
  <c r="Y44" i="4"/>
  <c r="Y32" i="4"/>
  <c r="Y30" i="4"/>
  <c r="Y28" i="4"/>
  <c r="Y16" i="4"/>
  <c r="Y14" i="4"/>
  <c r="Y12" i="4"/>
  <c r="BU46" i="5"/>
  <c r="BU44" i="5"/>
  <c r="BU30" i="5"/>
  <c r="BU28" i="5"/>
  <c r="BU14" i="5"/>
  <c r="BU12" i="5"/>
  <c r="BS48" i="5"/>
  <c r="BS46" i="5"/>
  <c r="BS44" i="5"/>
  <c r="BS32" i="5"/>
  <c r="BS30" i="5"/>
  <c r="BS28" i="5"/>
  <c r="BS16" i="5"/>
  <c r="BS14" i="5"/>
  <c r="BS12" i="5"/>
  <c r="BQ48" i="5"/>
  <c r="BQ46" i="5"/>
  <c r="BQ44" i="5"/>
  <c r="BQ32" i="5"/>
  <c r="BQ30" i="5"/>
  <c r="BQ28" i="5"/>
  <c r="BQ16" i="5"/>
  <c r="BQ14" i="5"/>
  <c r="BQ12" i="5"/>
  <c r="BO48" i="5"/>
  <c r="BO46" i="5"/>
  <c r="BO44" i="5"/>
  <c r="BO32" i="5"/>
  <c r="BO30" i="5"/>
  <c r="BO28" i="5"/>
  <c r="BO16" i="5"/>
  <c r="BO14" i="5"/>
  <c r="BO12" i="5"/>
  <c r="BM49" i="5"/>
  <c r="BM48" i="5"/>
  <c r="BM47" i="5"/>
  <c r="BM46" i="5"/>
  <c r="BM45" i="5"/>
  <c r="BM44" i="5"/>
  <c r="BM33" i="5"/>
  <c r="BM32" i="5"/>
  <c r="BM31" i="5"/>
  <c r="BM30" i="5"/>
  <c r="BM29" i="5"/>
  <c r="BM28" i="5"/>
  <c r="BM17" i="5"/>
  <c r="BM16" i="5"/>
  <c r="BM15" i="5"/>
  <c r="BM14" i="5"/>
  <c r="BM13" i="5"/>
  <c r="BM12" i="5"/>
  <c r="BK49" i="5"/>
  <c r="BK48" i="5"/>
  <c r="BK47" i="5"/>
  <c r="BK46" i="5"/>
  <c r="BK45" i="5"/>
  <c r="BK44" i="5"/>
  <c r="BK33" i="5"/>
  <c r="BK32" i="5"/>
  <c r="BK31" i="5"/>
  <c r="BK30" i="5"/>
  <c r="BK29" i="5"/>
  <c r="BK28" i="5"/>
  <c r="BK17" i="5"/>
  <c r="BK16" i="5"/>
  <c r="BK15" i="5"/>
  <c r="BK14" i="5"/>
  <c r="BK13" i="5"/>
  <c r="BK12" i="5"/>
  <c r="BI49" i="5"/>
  <c r="BI48" i="5"/>
  <c r="BI47" i="5"/>
  <c r="BI46" i="5"/>
  <c r="BI45" i="5"/>
  <c r="BI44" i="5"/>
  <c r="BI33" i="5"/>
  <c r="BI32" i="5"/>
  <c r="BI31" i="5"/>
  <c r="BI30" i="5"/>
  <c r="BI29" i="5"/>
  <c r="BI28" i="5"/>
  <c r="BI17" i="5"/>
  <c r="BI16" i="5"/>
  <c r="BI15" i="5"/>
  <c r="BI14" i="5"/>
  <c r="BI13" i="5"/>
  <c r="BI12" i="5"/>
  <c r="BG49" i="5"/>
  <c r="BG48" i="5"/>
  <c r="BG47" i="5"/>
  <c r="BG46" i="5"/>
  <c r="BG45" i="5"/>
  <c r="BG44" i="5"/>
  <c r="BG33" i="5"/>
  <c r="BG32" i="5"/>
  <c r="BG31" i="5"/>
  <c r="BG30" i="5"/>
  <c r="BG29" i="5"/>
  <c r="BG28" i="5"/>
  <c r="BG17" i="5"/>
  <c r="BG16" i="5"/>
  <c r="BG15" i="5"/>
  <c r="BG14" i="5"/>
  <c r="BG13" i="5"/>
  <c r="BG12" i="5"/>
  <c r="BE49" i="5"/>
  <c r="BE48" i="5"/>
  <c r="BE47" i="5"/>
  <c r="BE46" i="5"/>
  <c r="BE45" i="5"/>
  <c r="BE44" i="5"/>
  <c r="BE33" i="5"/>
  <c r="BE32" i="5"/>
  <c r="BE31" i="5"/>
  <c r="BE30" i="5"/>
  <c r="BE29" i="5"/>
  <c r="BE28" i="5"/>
  <c r="BE17" i="5"/>
  <c r="BE16" i="5"/>
  <c r="BE15" i="5"/>
  <c r="BE14" i="5"/>
  <c r="BE13" i="5"/>
  <c r="BE12" i="5"/>
  <c r="BC49" i="5"/>
  <c r="BC48" i="5"/>
  <c r="BC47" i="5"/>
  <c r="BC46" i="5"/>
  <c r="BC45" i="5"/>
  <c r="BC44" i="5"/>
  <c r="BC33" i="5"/>
  <c r="BC32" i="5"/>
  <c r="BC31" i="5"/>
  <c r="BC30" i="5"/>
  <c r="BC29" i="5"/>
  <c r="BC28" i="5"/>
  <c r="BC17" i="5"/>
  <c r="BC16" i="5"/>
  <c r="BC15" i="5"/>
  <c r="BC14" i="5"/>
  <c r="BC13" i="5"/>
  <c r="BC12" i="5"/>
  <c r="BA31" i="5"/>
  <c r="BA30" i="5"/>
  <c r="BA29" i="5"/>
  <c r="BA28" i="5"/>
  <c r="AY47" i="5"/>
  <c r="AY46" i="5"/>
  <c r="AY45" i="5"/>
  <c r="AY44" i="5"/>
  <c r="AY31" i="5"/>
  <c r="AY30" i="5"/>
  <c r="AY29" i="5"/>
  <c r="AY28" i="5"/>
  <c r="AY15" i="5"/>
  <c r="AY14" i="5"/>
  <c r="AY13" i="5"/>
  <c r="AY12" i="5"/>
  <c r="AW47" i="5"/>
  <c r="AW46" i="5"/>
  <c r="AW45" i="5"/>
  <c r="AW44" i="5"/>
  <c r="AW33" i="5"/>
  <c r="AW32" i="5"/>
  <c r="AW31" i="5"/>
  <c r="AW30" i="5"/>
  <c r="AW29" i="5"/>
  <c r="AW28" i="5"/>
  <c r="AW15" i="5"/>
  <c r="AW14" i="5"/>
  <c r="AW13" i="5"/>
  <c r="AW12" i="5"/>
  <c r="AU49" i="5"/>
  <c r="AU48" i="5"/>
  <c r="AU47" i="5"/>
  <c r="AU46" i="5"/>
  <c r="AU45" i="5"/>
  <c r="AU44" i="5"/>
  <c r="AU33" i="5"/>
  <c r="AU32" i="5"/>
  <c r="AU31" i="5"/>
  <c r="AU30" i="5"/>
  <c r="AU29" i="5"/>
  <c r="AU28" i="5"/>
  <c r="AU17" i="5"/>
  <c r="AU16" i="5"/>
  <c r="AU15" i="5"/>
  <c r="AU14" i="5"/>
  <c r="AU13" i="5"/>
  <c r="AU12" i="5"/>
  <c r="AS49" i="5"/>
  <c r="AS48" i="5"/>
  <c r="AS47" i="5"/>
  <c r="AS46" i="5"/>
  <c r="AS45" i="5"/>
  <c r="AS44" i="5"/>
  <c r="AS33" i="5"/>
  <c r="AS32" i="5"/>
  <c r="AS31" i="5"/>
  <c r="AS30" i="5"/>
  <c r="AS29" i="5"/>
  <c r="AS28" i="5"/>
  <c r="AS17" i="5"/>
  <c r="AS16" i="5"/>
  <c r="AS15" i="5"/>
  <c r="AS14" i="5"/>
  <c r="AS13" i="5"/>
  <c r="AS12" i="5"/>
  <c r="AQ49" i="5"/>
  <c r="AQ48" i="5"/>
  <c r="AQ47" i="5"/>
  <c r="AQ46" i="5"/>
  <c r="AQ45" i="5"/>
  <c r="AQ44" i="5"/>
  <c r="AQ33" i="5"/>
  <c r="AQ32" i="5"/>
  <c r="AQ31" i="5"/>
  <c r="AQ30" i="5"/>
  <c r="AQ29" i="5"/>
  <c r="AQ28" i="5"/>
  <c r="AQ17" i="5"/>
  <c r="AQ16" i="5"/>
  <c r="AQ15" i="5"/>
  <c r="AQ14" i="5"/>
  <c r="AQ13" i="5"/>
  <c r="AQ12" i="5"/>
  <c r="AO14" i="5"/>
  <c r="AM16" i="5"/>
  <c r="AM14" i="5"/>
  <c r="AM12" i="5"/>
  <c r="AK16" i="5"/>
  <c r="AK14" i="5"/>
  <c r="AK12" i="5"/>
  <c r="AI30" i="5"/>
  <c r="AI16" i="5"/>
  <c r="AI14" i="5"/>
  <c r="AI12" i="5"/>
  <c r="AG46" i="5"/>
  <c r="AG32" i="5"/>
  <c r="AG30" i="5"/>
  <c r="AG28" i="5"/>
  <c r="AG16" i="5"/>
  <c r="AG14" i="5"/>
  <c r="AG12" i="5"/>
  <c r="AE48" i="5"/>
  <c r="AE46" i="5"/>
  <c r="AE44" i="5"/>
  <c r="AE32" i="5"/>
  <c r="AE30" i="5"/>
  <c r="AE28" i="5"/>
  <c r="AE16" i="5"/>
  <c r="AE14" i="5"/>
  <c r="AE12" i="5"/>
  <c r="AC48" i="5"/>
  <c r="AC46" i="5"/>
  <c r="AC44" i="5"/>
  <c r="AC32" i="5"/>
  <c r="AC30" i="5"/>
  <c r="AC28" i="5"/>
  <c r="AC16" i="5"/>
  <c r="AC14" i="5"/>
  <c r="AC12" i="5"/>
  <c r="AA48" i="5"/>
  <c r="AA46" i="5"/>
  <c r="AA44" i="5"/>
  <c r="AA32" i="5"/>
  <c r="AA30" i="5"/>
  <c r="AA28" i="5"/>
  <c r="AA16" i="5"/>
  <c r="AA14" i="5"/>
  <c r="AA12" i="5"/>
  <c r="Y49" i="5"/>
  <c r="Y48" i="5"/>
  <c r="Y47" i="5"/>
  <c r="Y46" i="5"/>
  <c r="Y45" i="5"/>
  <c r="Y44" i="5"/>
  <c r="Y33" i="5"/>
  <c r="Y32" i="5"/>
  <c r="Y31" i="5"/>
  <c r="Y30" i="5"/>
  <c r="Y29" i="5"/>
  <c r="Y28" i="5"/>
  <c r="Y17" i="5"/>
  <c r="Y16" i="5"/>
  <c r="Y15" i="5"/>
  <c r="Y14" i="5"/>
  <c r="Y13" i="5"/>
  <c r="Y12" i="5"/>
</calcChain>
</file>

<file path=xl/sharedStrings.xml><?xml version="1.0" encoding="utf-8"?>
<sst xmlns="http://schemas.openxmlformats.org/spreadsheetml/2006/main" count="3366" uniqueCount="325">
  <si>
    <t>MODE OPERATOIRE</t>
  </si>
  <si>
    <t>La transaction s'effectue au niveau de la rubrique "Congés/absences", elle inclut l'ensemble des sous-rubriques listées ci-dessous :
- Congés/absences
- Complément pour congé / absence : impact rémunération
- Compteurs de périodes de congés.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</si>
  <si>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</si>
  <si>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</si>
  <si>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</si>
  <si>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</si>
  <si>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</si>
  <si>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</si>
  <si>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</si>
  <si>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</si>
  <si>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</si>
  <si>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</si>
  <si>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</si>
  <si>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</si>
  <si>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</si>
  <si>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</si>
  <si>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</si>
  <si>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</si>
  <si>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</si>
  <si>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</si>
  <si>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</si>
  <si>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</si>
  <si>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</si>
  <si>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</si>
  <si>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</si>
  <si>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</si>
  <si>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</si>
  <si>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</si>
  <si>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</si>
  <si>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</si>
  <si>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</si>
  <si>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</si>
  <si>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contrôle intellectuel 5</t>
  </si>
  <si>
    <t>Libellé Règle de contrôle intellectuel 5</t>
  </si>
  <si>
    <t>Identifiant Règle de contrôle intellectuel 6</t>
  </si>
  <si>
    <t>Libellé Règle de contrôle intellectuel 6</t>
  </si>
  <si>
    <t>Identifiant Règle de contrôle intellectuel 7</t>
  </si>
  <si>
    <t>Libellé Règle de contrôle intellectuel 7</t>
  </si>
  <si>
    <t>Identifiant Règle de contrôle intellectuel 8</t>
  </si>
  <si>
    <t>Libellé Règle de contrôle intellectuel 8</t>
  </si>
  <si>
    <t>Identifiant Règle de contrôle intellectuel 9</t>
  </si>
  <si>
    <t>Libellé Règle de contrôle intellectuel 9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</si>
  <si>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</si>
  <si>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</si>
  <si>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</si>
  <si>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</si>
  <si>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condition 3</t>
  </si>
  <si>
    <t>Libellé Règle de condition 3</t>
  </si>
  <si>
    <t>Identifiant Règle de condition 4</t>
  </si>
  <si>
    <t>Libellé Règle de condition 4</t>
  </si>
  <si>
    <t>Identifiant Règle de condition 5</t>
  </si>
  <si>
    <t>Libellé Règle de condition 5</t>
  </si>
  <si>
    <t>Identifiant Règle de condition 6</t>
  </si>
  <si>
    <t>Libellé Règle de condition 6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</si>
  <si>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</si>
  <si>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</si>
  <si>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</si>
  <si>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</si>
  <si>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</si>
  <si>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</si>
  <si>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</si>
  <si>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</si>
  <si>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</si>
  <si>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</si>
  <si>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</si>
  <si>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</si>
  <si>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</si>
  <si>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</si>
  <si>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Identifiant Règle de contrôle 8</t>
  </si>
  <si>
    <t>Libellé Règle de contrôle 8</t>
  </si>
  <si>
    <t>Identifiant Règle de contrôle 9</t>
  </si>
  <si>
    <t>Libellé Règle de contrôle 9</t>
  </si>
  <si>
    <t>Identifiant Règle de contrôle 10</t>
  </si>
  <si>
    <t>Libellé Règle de contrôle 10</t>
  </si>
  <si>
    <t>FIME</t>
  </si>
  <si>
    <t>Statut de travail</t>
  </si>
  <si>
    <t>24.00.00</t>
  </si>
  <si>
    <t>A</t>
  </si>
  <si>
    <t>D0007</t>
  </si>
  <si>
    <t>Congés/Absence</t>
  </si>
  <si>
    <t>S0171</t>
  </si>
  <si>
    <t>Permission liée à des évènements familiaux</t>
  </si>
  <si>
    <t>E0863</t>
  </si>
  <si>
    <t>Permission pour évènements familiaux (mariage, PACS, naissance, adoption, décès d'un parent)</t>
  </si>
  <si>
    <t>Le Type de congé/absence est 'Permission pour évènements familiaux (mariage, PACS, naissance, adoption, décès d'un parent)'</t>
  </si>
  <si>
    <t>A_COA_TYCOAB [Saisi] = 'CP007'</t>
  </si>
  <si>
    <t>T2304</t>
  </si>
  <si>
    <t>Permission pour évènements familiaux (mariage, PACS, naissance, adoption, décès d'un parent) - Demande</t>
  </si>
  <si>
    <t>Création</t>
  </si>
  <si>
    <t>Titulaire ou magistrat</t>
  </si>
  <si>
    <t>P0001</t>
  </si>
  <si>
    <t>Général</t>
  </si>
  <si>
    <t>Exclu</t>
  </si>
  <si>
    <t>T2305</t>
  </si>
  <si>
    <t>Permission pour évènements familiaux (mariage, PACS, naissance, adoption, décès d'un parent) - Fin</t>
  </si>
  <si>
    <t>Modification</t>
  </si>
  <si>
    <t>Militaire</t>
  </si>
  <si>
    <t>P0002</t>
  </si>
  <si>
    <t>Contractuel</t>
  </si>
  <si>
    <t>P0003</t>
  </si>
  <si>
    <t>Stagiaire ou auditeur ou élève</t>
  </si>
  <si>
    <t>P0004</t>
  </si>
  <si>
    <t>Ouvrier d'état</t>
  </si>
  <si>
    <t>P0005</t>
  </si>
  <si>
    <t>Militaire sous contrat</t>
  </si>
  <si>
    <t>P0145</t>
  </si>
  <si>
    <t>Particulier</t>
  </si>
  <si>
    <t>Passant</t>
  </si>
  <si>
    <t>PEF_I_020 ET PEF_I_001 ET PEF_I_011 ET PEF_I_004 ET PEF_I_005 ET PEF_I_003 ET PEF_I_002 ET PEF_I_013 ET PEF_D_003 ET PEF_D_004 ET PEF_D_012 ET PEF_D_011 ET PEF_D_001 ET ABS_C_001 ET ABS_C_045 ET ABS_C_003 ET ABS_C_004 ET ABS_C_007 ET ABS_C_008 ET ABS_C_009 ET ABS_C_019 ET ABS_C_020 ET ABS_C_026</t>
  </si>
  <si>
    <t>PEF_I_020</t>
  </si>
  <si>
    <t>En cas de participation à des opérations militaires, la permission est accordée par le commandant de la formation administrative ou l'autorité équivalente, dans les conditions fixées par le ministre de la défense.</t>
  </si>
  <si>
    <t>PEF_I_001</t>
  </si>
  <si>
    <t>La permission est accordée à l'occasion du mariage du militaire ou de la conclusion d'un pacte civil de solidarité par ce dernier.</t>
  </si>
  <si>
    <t>PEF_I_011</t>
  </si>
  <si>
    <t>La permission est accordée à l'occasion de la naissance d'un enfant du militaire ou de l'accueil d'un enfant par le militaire.</t>
  </si>
  <si>
    <t>PEF_I_004</t>
  </si>
  <si>
    <t>La permission est accordée à l'occasion du mariage d'un enfant du militaire.</t>
  </si>
  <si>
    <t>PEF_I_005</t>
  </si>
  <si>
    <t>La permission est accordée à l'occasion du décès d'un parent du militaire, lorsqu'il s'agit des grands-parents, parents, beaux-parents, frère ou sœur.</t>
  </si>
  <si>
    <t>PEF_I_003</t>
  </si>
  <si>
    <t>La permission est accordée à l'occasion de l'arrivée dans le foyer du militaire d'un enfant placé en vue de son adoption.</t>
  </si>
  <si>
    <t>PEF_I_002</t>
  </si>
  <si>
    <t>Lorsque la permission est prise à l'occasion de de l'arrivée d'un enfant placé en vue de son adoption, les jours sont pris de manière continue ou fractionnée.</t>
  </si>
  <si>
    <t>PEF_I_013</t>
  </si>
  <si>
    <t>La permission peut être prise, au choix du militaire, à compter du jour de l'arrivée de l'enfant adopté au sein du foyer ou au cours de la période de 7 jours consécutifs précédant son arrivée.</t>
  </si>
  <si>
    <t>PEF_D_003</t>
  </si>
  <si>
    <t>La durée prévisionnelle de la permission est de 3 jours ouvrés.</t>
  </si>
  <si>
    <t>PEF_D_004</t>
  </si>
  <si>
    <t>La durée réelle de la permission est de 3 jours ouvrés.</t>
  </si>
  <si>
    <t>PEF_D_012</t>
  </si>
  <si>
    <t>La date de fin prévisionnelle de la permission doit être antérieure ou égale à la date limite de fin réelle ou prévisionnelle du lien juridique. Le militaire ne voit pas son contrat prorogé jusqu'à la date de fin de la permission.</t>
  </si>
  <si>
    <t>PEF_D_011</t>
  </si>
  <si>
    <t>La date de fin réelle de la permission doit être antérieure ou égale à la date limite de fin réelle ou prévisionnelle du lien juridique. Le militaire ne voit pas son contrat prorogé jusqu'à la date de fin de la permission.</t>
  </si>
  <si>
    <t>PEF_D_001</t>
  </si>
  <si>
    <t>Le militaire est en activité.</t>
  </si>
  <si>
    <t>ABS_C_001</t>
  </si>
  <si>
    <t>La date de début du congé/absence doit être postérieure ou égale à la date de recrutement dans la FPE ou dans la carrière militaire.</t>
  </si>
  <si>
    <t>ABS_C_045</t>
  </si>
  <si>
    <t>Pour les militaires sous contrat à durée déterminée, la date de début du congé/absence doit être postérieure ou égale à la date de début du lien juridique.</t>
  </si>
  <si>
    <t>ABS_C_003</t>
  </si>
  <si>
    <t>La date de début du congé/absence doit être antérieure ou égale à la date de fin réelle du congé/absence.</t>
  </si>
  <si>
    <t>ABS_C_004</t>
  </si>
  <si>
    <t>La date de début du congé/absence doit être antérieure ou égale à la date de fin prévisionnelle du congé/absence.</t>
  </si>
  <si>
    <t>ABS_C_007</t>
  </si>
  <si>
    <t>La date de fin réelle du congé/absence doit être antérieure à la date limite de départ à la retraite.</t>
  </si>
  <si>
    <t>ABS_C_008</t>
  </si>
  <si>
    <t>La date de fin prévisionnelle du congé/absence doit être antérieure à la date limite de départ à la retraite.</t>
  </si>
  <si>
    <t>ABS_C_009</t>
  </si>
  <si>
    <t>La date de fin réelle ou la date de fin prévisionnelle du congé/absence doit être saisie.</t>
  </si>
  <si>
    <t>ABS_C_019</t>
  </si>
  <si>
    <t>Si l'absence ne commence pas par une demi-journée et si l'absence précédente ne finit pas par une demi journée, la date de début de l'absence saisie est postérieure à la date de fin réelle de l'absence précédente.</t>
  </si>
  <si>
    <t>ABS_C_020</t>
  </si>
  <si>
    <t>Si l'absence ne commence pas par une demi-journée et si l'absence précédente ne finit pas par une demi journée, la date de début de l'absence saisie est postérieure à la date de fin prévisionnelle de l'absence précédente.</t>
  </si>
  <si>
    <t>ABS_C_026</t>
  </si>
  <si>
    <t>Dans le cas d'un congé autre que CLM, CLD, CGM et CITIS, l'indicateur de requalification doit être à non et les impacts spécifiques à la requalification ne doivent pas être mobilisés ou l'impact rémunération est vide.</t>
  </si>
  <si>
    <t>PEF_I_022 ET PEF_D_003 ET PEF_D_004 ET PEF_D_012 ET PEF_D_011 ET PEF_D_001 ET ABS_C_003 ET ABS_C_004 ET ABS_C_007 ET ABS_C_008 ET ABS_C_009 ET ABS_C_026</t>
  </si>
  <si>
    <t>PEF_I_022</t>
  </si>
  <si>
    <t>Le militaire en permission peut être rappelé immédiatement lorsque les circonstances l'exigent.</t>
  </si>
  <si>
    <t>Militaire de réserve</t>
  </si>
  <si>
    <t>P0146</t>
  </si>
  <si>
    <t>PEF_I_015 ET PEF_I_020 ET PEF_I_001 ET PEF_I_011 ET PEF_I_004 ET PEF_I_005 ET PEF_I_003 ET PEF_I_002 ET PEF_I_013 ET PEF_D_003 ET PEF_D_004 ET PEF_D_012 ET PEF_D_011 ET PEF_D_001 ET ABS_C_001 ET ABS_C_045 ET ABS_C_003 ET ABS_C_004 ET ABS_C_007 ET ABS_C_008 ET ABS_C_009 ET ABS_C_019 ET ABS_C_020 ET ABS_C_026</t>
  </si>
  <si>
    <t>PEF_I_015</t>
  </si>
  <si>
    <t>Le militaire doit exercer une activité au titre d'un engagement à servir dans la réserve opérationnelle ou au titre de la disponibilité.</t>
  </si>
  <si>
    <t>Militaire de carrière</t>
  </si>
  <si>
    <t>P0189</t>
  </si>
  <si>
    <t>PEF_I_020 ET PEF_I_001 ET PEF_I_011 ET PEF_I_004 ET PEF_I_005 ET PEF_I_003 ET PEF_I_002 ET PEF_I_013 ET PEF_D_003 ET PEF_D_004 ET PEF_D_001 ET ABS_C_001 ET ABS_C_003 ET ABS_C_004 ET ABS_C_007 ET ABS_C_008 ET ABS_C_009 ET ABS_C_019 ET ABS_C_020 ET ABS_C_026</t>
  </si>
  <si>
    <t>PEF_I_022 ET PEF_D_003 ET PEF_D_004 ET PEF_D_001 ET ABS_C_003 ET ABS_C_004 ET ABS_C_007 ET ABS_C_008 ET ABS_C_009 ET ABS_C_026</t>
  </si>
  <si>
    <t>E0955</t>
  </si>
  <si>
    <t>Permission pour le décès du conjoint du militaire, du partenaire pacsé ou de l'enfant</t>
  </si>
  <si>
    <t>Le Type de congé/absence est 'Permission pour le décès du conjoint du militaire, du partenaire pacsé ou de l'enfant'</t>
  </si>
  <si>
    <t>A_COA_TYCOAB [Saisi] = 'CP008'</t>
  </si>
  <si>
    <t>T2306</t>
  </si>
  <si>
    <t>Permission pour le décès du conjoint du militaire, du partenaire pacsé ou de l'enfant - Demande</t>
  </si>
  <si>
    <t>T2307</t>
  </si>
  <si>
    <t>Permission pour le décès du conjoint du militaire, du partenaire pacsé ou de l'enfant - Fin</t>
  </si>
  <si>
    <t>PEF_I_020 ET PEF_I_017 ET PEF_I_019 ET PEF_I_028 ET PEF_I_024 ET PEF_D_007 ET PEF_D_008 ET PEF_D_016 ET PEF_D_012 ET PEF_D_011 ET PEF_D_001 ET ABS_C_001 ET ABS_C_045 ET ABS_C_003 ET ABS_C_004 ET ABS_C_007 ET ABS_C_008 ET ABS_C_009 ET ABS_C_019 ET ABS_C_020 ET ABS_C_026</t>
  </si>
  <si>
    <t>PEF_I_017</t>
  </si>
  <si>
    <t>Une permission de 5 jours est accordée pour le décès du conjoint du militaire, du partenaire auquel celui-ci est lié par un PACS ou du concubin.</t>
  </si>
  <si>
    <t>PEF_I_019</t>
  </si>
  <si>
    <t>Une permission de 5 jours est accordée pour le décès de l'enfant du militaire.</t>
  </si>
  <si>
    <t>PEF_I_028</t>
  </si>
  <si>
    <t>La durée de la permission est portée à 7 jours lorsque l'enfant qui décède est âgé de moins de 25 ans ou en cas de décès d'une personne âgée de moins de 25 ans dont le militaire a la charge effective et permanente.</t>
  </si>
  <si>
    <t>PEF_I_024</t>
  </si>
  <si>
    <t>Le militaire bénéficie dans les mêmes conditions d'une seconde permission de 8 jours. Elle peut être fractionnée en 2 périodes. Chaque période est d'une durée au moins égale à 1 journée. Elle est prise dans un délai d'1 an à compter du décès.</t>
  </si>
  <si>
    <t>PEF_D_007</t>
  </si>
  <si>
    <t>La durée prévisionnelle de la permission est de 5 jours ouvrés.</t>
  </si>
  <si>
    <t>PEF_D_008</t>
  </si>
  <si>
    <t>La durée réelle de la permission est de 5 jours ouvrés.</t>
  </si>
  <si>
    <t>PEF_D_016</t>
  </si>
  <si>
    <t>La durée cumulée des deux périodes de permission ne peut pas dépasser les 15 jours ouvrés.</t>
  </si>
  <si>
    <t>PEF_I_022 ET PEF_D_007 ET PEF_D_008 ET PEF_D_016 ET PEF_D_012 ET PEF_D_011 ET PEF_D_001 ET ABS_C_003 ET ABS_C_004 ET ABS_C_007 ET ABS_C_008 ET ABS_C_009 ET ABS_C_026</t>
  </si>
  <si>
    <t>PEF_I_015 ET PEF_I_020 ET PEF_I_017 ET PEF_I_019 ET PEF_I_028 ET PEF_I_024 ET PEF_D_007 ET PEF_D_008 ET PEF_D_016 ET PEF_D_012 ET PEF_D_011 ET PEF_D_001 ET ABS_C_001 ET ABS_C_045 ET ABS_C_003 ET ABS_C_004 ET ABS_C_007 ET ABS_C_008 ET ABS_C_009 ET ABS_C_019 ET ABS_C_020 ET ABS_C_026</t>
  </si>
  <si>
    <t>PEF_I_020 ET PEF_I_017 ET PEF_I_019 ET PEF_I_028 ET PEF_I_024 ET PEF_D_007 ET PEF_D_008 ET PEF_D_016 ET PEF_D_001 ET ABS_C_001 ET ABS_C_003 ET ABS_C_004 ET ABS_C_007 ET ABS_C_008 ET ABS_C_009 ET ABS_C_019 ET ABS_C_020 ET ABS_C_026</t>
  </si>
  <si>
    <t>PEF_I_022 ET PEF_D_007 ET PEF_D_008 ET PEF_D_016 ET PEF_D_001 ET ABS_C_003 ET ABS_C_004 ET ABS_C_007 ET ABS_C_008 ET ABS_C_009 ET ABS_C_026</t>
  </si>
  <si>
    <t>25.10.00</t>
  </si>
  <si>
    <t>E1020</t>
  </si>
  <si>
    <t>Permission pour l'annonce du handicap ou d'une pathologie d'un enfant</t>
  </si>
  <si>
    <t>Le type de congé/absence est 'Permission pour l'annonce du handicap ou d'une pathologie d'un enfant'</t>
  </si>
  <si>
    <t>A_COA_TYCOAB [Saisi] = 'CP010'</t>
  </si>
  <si>
    <t>T2462</t>
  </si>
  <si>
    <t>Permission pour l'annonce du handicap ou d'une pathologie d'un enfant - Demande</t>
  </si>
  <si>
    <t>2025-56</t>
  </si>
  <si>
    <t>T2463</t>
  </si>
  <si>
    <t>Permission pour l'annonce du handicap ou d'une pathologie d'un enfant - Fin</t>
  </si>
  <si>
    <t>PEF_I_020 ET PEF_I_029 ET PEF_I_030 ET PEF_I_031 ET PEF_D_017 ET PEF_D_018 ET PEF_D_012 ET PEF_D_011 ET PEF_D_001 ET ABS_C_001 ET ABS_C_045 ET ABS_C_003 ET ABS_C_004 ET ABS_C_007 ET ABS_C_008 ET ABS_C_009 ET ABS_C_019 ET ABS_C_020 ET ABS_C_026</t>
  </si>
  <si>
    <t>PEF_I_029</t>
  </si>
  <si>
    <t>La permission est accordée à l'occasion de l'annonce de la survenue d'un handicap, d'une pathologie chronique nécessitant un apprentissage thérapeutique ou d'une affection cancéreuse chez l'enfant du militaire.</t>
  </si>
  <si>
    <t>PEF_I_030</t>
  </si>
  <si>
    <t>L'enfant doit être à la charge du militaire.</t>
  </si>
  <si>
    <t>PEF_I_031</t>
  </si>
  <si>
    <t>L'enfant souffre d'une pathologie chronique.</t>
  </si>
  <si>
    <t>PEF_D_017</t>
  </si>
  <si>
    <t>PEF_D_018</t>
  </si>
  <si>
    <t>PEF_I_022 ET PEF_D_017 ET PEF_D_018 ET PEF_D_012 ET PEF_D_011 ET PEF_D_001 ET ABS_C_003 ET ABS_C_004 ET ABS_C_007 ET ABS_C_008 ET ABS_C_009 ET ABS_C_026</t>
  </si>
  <si>
    <t>PEF_I_015 ET PEF_I_020 ET PEF_I_029 ET PEF_I_030 ET PEF_I_031 ET PEF_D_017 ET PEF_D_018 ET PEF_D_012 ET PEF_D_011 ET PEF_D_001 ET ABS_C_001 ET ABS_C_045 ET ABS_C_003 ET ABS_C_004 ET ABS_C_007 ET ABS_C_008 ET ABS_C_009 ET ABS_C_019 ET ABS_C_020 ET ABS_C_026</t>
  </si>
  <si>
    <t>PEF_I_020 ET PEF_I_029 ET PEF_I_030 ET PEF_I_031 ET PEF_D_017 ET PEF_D_018 ET PEF_D_001 ET ABS_C_001 ET ABS_C_003 ET ABS_C_004 ET ABS_C_007 ET ABS_C_008 ET ABS_C_009 ET ABS_C_019 ET ABS_C_020 ET ABS_C_026</t>
  </si>
  <si>
    <t>PEF_I_022 ET PEF_D_017 ET PEF_D_018 ET PEF_D_001 ET ABS_C_003 ET ABS_C_004 ET ABS_C_007 ET ABS_C_008 ET ABS_C_009 ET ABS_C_026</t>
  </si>
  <si>
    <t>Impacts</t>
  </si>
  <si>
    <t>Identifiant Impacts  1</t>
  </si>
  <si>
    <t>Libellé Impacts  1</t>
  </si>
  <si>
    <t>Identifiant Impacts 2</t>
  </si>
  <si>
    <t>Libellé Impacts 2</t>
  </si>
  <si>
    <t>PEF_P_001 ET PEF_P_002</t>
  </si>
  <si>
    <t>PEF_P_001</t>
  </si>
  <si>
    <t>Rémunération : Le militaire perçoit l'intégralité de sa rémunération.</t>
  </si>
  <si>
    <t>PEF_P_002</t>
  </si>
  <si>
    <t>Carrière : La durée de la permission est assimilée à une période de service effectif.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</si>
  <si>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</si>
  <si>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</si>
  <si>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</si>
  <si>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</si>
  <si>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</si>
  <si>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</si>
  <si>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</si>
  <si>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</si>
  <si>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</si>
  <si>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</si>
  <si>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</si>
  <si>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</si>
  <si>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</si>
  <si>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</si>
  <si>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</si>
  <si>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</si>
  <si>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</si>
  <si>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</si>
  <si>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</si>
  <si>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</si>
  <si>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</si>
  <si>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</si>
  <si>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</si>
  <si>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</si>
  <si>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</si>
  <si>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</si>
  <si>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</si>
  <si>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</si>
  <si>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</si>
  <si>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</si>
  <si>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Code de la défense L4138-2 | R4138-16 | L4111-2</t>
  </si>
  <si>
    <t>A_POS_POSIAD [Occurrence précédente] = POSITION_SITUATION.R_FOR_IDEN05 ET (POSITION_SITUATION.R_REL_PSSAG2 DANS ('ACI','HCA','MAD','DEL','MDE','MLD') OU POSITION_SITUATION.R_REL_PSSAG1 DANS ('DEE00', 'DES00'))</t>
  </si>
  <si>
    <t>Bloquant</t>
  </si>
  <si>
    <t>P0145 / P0146 / P0189 - E0863 / E0955 / E1020 - Demande / Fin</t>
  </si>
  <si>
    <t>x</t>
  </si>
  <si>
    <t>Code de la défense R4138-26 | L4111-2</t>
  </si>
  <si>
    <t>SI A_COA_DAFIPR [Saisi] &lt;&gt; Vide ET A_COA_DFRECA [Saisi] = Vide</t>
  </si>
  <si>
    <t>A_COA_DAFIPR [Saisi] - A_COA_DADBCA [Saisi] &lt;= 3 OUVRE</t>
  </si>
  <si>
    <t>Les jours ouvrés doivent être considérés comme des jours travaillés.</t>
  </si>
  <si>
    <t>P0189 / P0145 / P0146 - E0863 - Demande / Fin</t>
  </si>
  <si>
    <t>La durée de la permission est de 3 jours.</t>
  </si>
  <si>
    <t>SI A_COA_DFRECA [Saisi] &lt;&gt; Vide</t>
  </si>
  <si>
    <t>A_COA_DFRECA [Saisi] - A_COA_DADBCA [Saisi] &lt;= 3 OUVRE</t>
  </si>
  <si>
    <t>Code de la défense R4138-26-1 | L4111-2</t>
  </si>
  <si>
    <t>A_COA_DAFIPR [Saisi] - A_COA_DADBCA [Saisi] &lt;= 5 OUVRE</t>
  </si>
  <si>
    <t>Non Bloquant</t>
  </si>
  <si>
    <t>Les jours ouvrés doivent être considérés comme des jours travaillés.
Ce contrôle est non bloquant car dans certains cas la durée de la permission peut atteindre les 15 jours.</t>
  </si>
  <si>
    <t>P0145 / P0146 / P0189 - E0955 - Demande / Fin</t>
  </si>
  <si>
    <t>A_COA_DFRECA [Saisi] - A_COA_DADBCA [Saisi] &lt;= 5 OUVRE</t>
  </si>
  <si>
    <t>P0189 / P0145 / P0146 - E0955 - Demande / Fin</t>
  </si>
  <si>
    <t>Code de la défense L4138-2 | L4111-2</t>
  </si>
  <si>
    <t>SI A_CAR_TYPCOT [Dossier] = 'TC01' ET A_COA_DFRECA [Saisi] &lt;&gt; Vide</t>
  </si>
  <si>
    <t>A_COA_DFRECA [Saisi] &lt;= [Date limite de fin réelle ou prévisionnelle du lien juridique]</t>
  </si>
  <si>
    <t>P0145 / P0146 - E1020 / E0863 / E0955 - Demande / Fin</t>
  </si>
  <si>
    <t>Le militaire ne voit pas son contrat prorogé jusqu'à la date d'expiration de sa permission.</t>
  </si>
  <si>
    <t>SI A_CAR_TYPCOT [Dossier] = 'TC01' ET A_COA_DFRECA [Saisi] = Vide ET A_COA_DAFIPR [Saisi] &lt;&gt; Vide</t>
  </si>
  <si>
    <t>A_COA_DAFIPR [Saisi] &lt;= [Date limite de fin réelle ou prévisionnelle du lien juridique]</t>
  </si>
  <si>
    <t>P0146 / P0145 - E0863 / E0955 / E1020 - Demande / Fin</t>
  </si>
  <si>
    <t>A_COA_TYPCOF [Saisi] = 'CP008' ET A_COA_DTOCOF [Saisi] &lt;= 00/00/15 OUVRE</t>
  </si>
  <si>
    <t>Code de la défense R4138-26</t>
  </si>
  <si>
    <t>P0145 / P0146 / P0189 - E1020 - Demande / Fin</t>
  </si>
  <si>
    <t>La permission est accordée pour une durée de 5 jours.</t>
  </si>
  <si>
    <t>17.10.00</t>
  </si>
  <si>
    <t>Contrôle</t>
  </si>
  <si>
    <t>A_COA_DADBCA [Saisi] &gt;= A_SAP_DENFPE [Dossier]</t>
  </si>
  <si>
    <t>A_COA_DADBCA [Saisi] &lt;= A_COA_DFRECA [Saisi]</t>
  </si>
  <si>
    <t>A_COA_DADBCA [Saisi] &lt;= A_COA_DAFIPR [Saisi]</t>
  </si>
  <si>
    <t>A_COA_DFRECA [Saisi] &lt; A_SAP_DLDPRE [Dossier]</t>
  </si>
  <si>
    <t>A_COA_DAFIPR [Saisi] &lt; A_SAP_DLDPRE [Dossier]</t>
  </si>
  <si>
    <t>A_COA_DAFIPR [Saisi] &lt;&gt; Vide OU A_COA_DFRECA [Saisi] &lt;&gt; Vide</t>
  </si>
  <si>
    <t>SI A_COA_TDAMPM [Saisi] = Vide ET A_COA_TFAMPM [Occurrence précédente] = Vide ET A_COA_DFRECA [Occurrence précédente] &lt;&gt; Vide</t>
  </si>
  <si>
    <t>A_COA_DADBCA [Saisi] &gt; A_COA_DFRECA [Occurrence précédente]</t>
  </si>
  <si>
    <t>On peut avoir deux absences le même jour une le matin et l'autre l'après-midi</t>
  </si>
  <si>
    <t>SI A_COA_TDAMPM [Saisi] = Vide ET A_COA_TFAMPM [Occurrence précédente] = Vide ET A_COA_DAFIPR [Occurrence précédente] &lt;&gt; Vide ET A_COA_DFRECA [Occurrence précédente] = Vide</t>
  </si>
  <si>
    <t>A_COA_DADBCA [Saisi] &gt; A_COA_DAFIPR [Occurrence précédente]</t>
  </si>
  <si>
    <t>19.00.00</t>
  </si>
  <si>
    <t>M</t>
  </si>
  <si>
    <t>A_COA_CMOREQ [Saisi]  = 0  ET ((A_COA_IMPPAY [Saisi] = IMPACT_REMU.R_FOR_IDEN04 ET IMPACT_REMU.R_FOR_REQUAL = '0') OU A_COA_IMPPAY [Saisi] = Vide)</t>
  </si>
  <si>
    <t>21.00.00</t>
  </si>
  <si>
    <t>SI A_CAR_TYPCOT [Dossier] = 'TC01</t>
  </si>
  <si>
    <t>A_COA_DADBCA [Saisi] &gt;= A_CAR_DDLIJU [Dossier]</t>
  </si>
  <si>
    <t>Intellectuel</t>
  </si>
  <si>
    <t>P0189 / P0145 / P0146 - E0863 - Demande</t>
  </si>
  <si>
    <t>P0145 / P0146 / P0189 - E0863 - Demande</t>
  </si>
  <si>
    <t>Code de la défense L4111-2</t>
  </si>
  <si>
    <t>P0146 - E0863 / E0955 / E1020 - Demande</t>
  </si>
  <si>
    <t>P0145 / P0146 / P0189 - E0955 - Demande</t>
  </si>
  <si>
    <t>Code de la défense R4138-18 | L4111-2</t>
  </si>
  <si>
    <t>P0189 / P0145 / P0146 - E0955 / E1020 / E0863 - Demande</t>
  </si>
  <si>
    <t>Code de la défense L4138-5 | L4111-2</t>
  </si>
  <si>
    <t>P0145 / P0146 / P0189 - E0863 / E0955 / E1020 - Fin</t>
  </si>
  <si>
    <t>Les règles de gestion PEF_I_028 et PEF_I_024 sont liées. En effet, les termes "dans les mêmes conditions" renvoient à la règle de gestion PEF_I_0028.</t>
  </si>
  <si>
    <t>P0145 / P0146 / P0189 - E1020 - Demande</t>
  </si>
  <si>
    <t>Code général des impôts A196 / Code de la défense R4138-26</t>
  </si>
  <si>
    <t>Code du travail D3142-1-2 / Code de la défense R4138-26</t>
  </si>
  <si>
    <t>Impact</t>
  </si>
  <si>
    <t>P0145 / P0146 / P0189 - E0863 / E0955 / E1020 - Demande</t>
  </si>
  <si>
    <t>P0189 / P0145 / P0146 - E1020 / E0863 / E0955 - Demande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</si>
</sst>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AED81-0A43-4738-BC14-7491219CE0E4}">
  <sheetPr codeName="Feuil2"/>
  <dimension ref="A1:AG425"/>
  <sheetViews>
    <sheetView tabSelected="1" zoomScaleNormal="100" workbookViewId="0"/>
  </sheetViews>
  <sheetFormatPr baseColWidth="10" defaultRowHeight="14.5" x14ac:dyDescent="0.35"/>
  <cols>
    <col min="2" max="2" width="144.26953125" style="9" customWidth="1"/>
    <col min="3" max="3" width="64.81640625" style="2" bestFit="1" customWidth="1"/>
    <col min="18" max="19" width="11.453125" style="2"/>
  </cols>
  <sheetData>
    <row r="1" spans="1:33" x14ac:dyDescent="0.35">
      <c r="B1" s="1" t="s">
        <v>0</v>
      </c>
    </row>
    <row r="2" spans="1:33" ht="58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8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8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8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8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8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8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8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8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8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8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8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8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8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8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8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8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8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8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01FCB-B704-4064-8EA8-0A480B189973}">
  <dimension ref="A1:BW239"/>
  <sheetViews>
    <sheetView workbookViewId="0">
      <pane ySplit="1" topLeftCell="A2" activePane="bottomLeft" state="frozenSplit"/>
      <selection pane="bottomLeft" activeCell="D4" sqref="D4"/>
    </sheetView>
  </sheetViews>
  <sheetFormatPr baseColWidth="10" defaultColWidth="11.453125" defaultRowHeight="14.5" x14ac:dyDescent="0.35"/>
  <cols>
    <col min="1" max="1" width="8.7265625" style="12" customWidth="1"/>
    <col min="2" max="2" width="7.7265625" style="12" customWidth="1"/>
    <col min="3" max="3" width="12.7265625" style="12" customWidth="1"/>
    <col min="4" max="4" width="13.7265625" style="12" customWidth="1"/>
    <col min="5" max="5" width="25.7265625" style="17" customWidth="1"/>
    <col min="6" max="6" width="13.7265625" style="12" customWidth="1"/>
    <col min="7" max="7" width="25.7265625" style="17" customWidth="1"/>
    <col min="8" max="8" width="13.7265625" style="12" customWidth="1"/>
    <col min="9" max="11" width="25.7265625" style="17" customWidth="1"/>
    <col min="12" max="12" width="13.7265625" style="12" customWidth="1"/>
    <col min="13" max="13" width="25.7265625" style="17" customWidth="1"/>
    <col min="14" max="14" width="13.7265625" style="12" customWidth="1"/>
    <col min="15" max="16" width="30.7265625" style="17" customWidth="1"/>
    <col min="17" max="17" width="25.7265625" style="17" customWidth="1"/>
    <col min="18" max="20" width="13.7265625" style="12" customWidth="1"/>
    <col min="21" max="22" width="12.7265625" style="12" customWidth="1"/>
    <col min="23" max="23" width="40.7265625" style="17" customWidth="1"/>
    <col min="24" max="24" width="15.7265625" style="18" customWidth="1"/>
    <col min="25" max="25" width="25.7265625" style="17" customWidth="1"/>
    <col min="26" max="26" width="15.7265625" style="18" customWidth="1"/>
    <col min="27" max="27" width="25.7265625" style="17" customWidth="1"/>
    <col min="28" max="28" width="15.7265625" style="18" customWidth="1"/>
    <col min="29" max="29" width="25.7265625" style="17" customWidth="1"/>
    <col min="30" max="30" width="15.7265625" style="18" customWidth="1"/>
    <col min="31" max="31" width="25.7265625" style="17" customWidth="1"/>
    <col min="32" max="32" width="15.7265625" style="18" customWidth="1"/>
    <col min="33" max="33" width="25.7265625" style="17" customWidth="1"/>
    <col min="34" max="34" width="15.7265625" style="18" customWidth="1"/>
    <col min="35" max="35" width="25.7265625" style="17" customWidth="1"/>
    <col min="36" max="36" width="15.7265625" style="18" customWidth="1"/>
    <col min="37" max="37" width="25.7265625" style="17" customWidth="1"/>
    <col min="38" max="38" width="15.7265625" style="18" customWidth="1"/>
    <col min="39" max="39" width="25.7265625" style="17" customWidth="1"/>
    <col min="40" max="40" width="15.7265625" style="18" customWidth="1"/>
    <col min="41" max="41" width="25.7265625" style="17" customWidth="1"/>
    <col min="42" max="42" width="15.7265625" style="18" customWidth="1"/>
    <col min="43" max="43" width="25.7265625" style="17" customWidth="1"/>
    <col min="44" max="44" width="15.7265625" style="18" customWidth="1"/>
    <col min="45" max="45" width="25.7265625" style="17" customWidth="1"/>
    <col min="46" max="46" width="15.7265625" style="18" customWidth="1"/>
    <col min="47" max="47" width="25.7265625" style="17" customWidth="1"/>
    <col min="48" max="48" width="15.7265625" style="18" customWidth="1"/>
    <col min="49" max="49" width="25.7265625" style="17" customWidth="1"/>
    <col min="50" max="50" width="15.7265625" style="18" customWidth="1"/>
    <col min="51" max="51" width="25.7265625" style="17" customWidth="1"/>
    <col min="52" max="52" width="15.7265625" style="18" customWidth="1"/>
    <col min="53" max="53" width="25.7265625" style="17" customWidth="1"/>
    <col min="54" max="54" width="15.7265625" style="18" customWidth="1"/>
    <col min="55" max="55" width="25.7265625" style="17" customWidth="1"/>
    <col min="56" max="56" width="15.7265625" style="18" customWidth="1"/>
    <col min="57" max="57" width="25.7265625" style="17" customWidth="1"/>
    <col min="58" max="58" width="15.7265625" style="18" customWidth="1"/>
    <col min="59" max="59" width="25.7265625" style="17" customWidth="1"/>
    <col min="60" max="60" width="15.7265625" style="18" customWidth="1"/>
    <col min="61" max="61" width="25.7265625" style="17" customWidth="1"/>
    <col min="62" max="62" width="15.7265625" style="18" customWidth="1"/>
    <col min="63" max="63" width="25.7265625" style="17" customWidth="1"/>
    <col min="64" max="64" width="15.7265625" style="18" customWidth="1"/>
    <col min="65" max="65" width="25.7265625" style="17" customWidth="1"/>
    <col min="66" max="66" width="15.7265625" style="18" customWidth="1"/>
    <col min="67" max="67" width="25.7265625" style="17" customWidth="1"/>
    <col min="68" max="68" width="15.7265625" style="18" customWidth="1"/>
    <col min="69" max="69" width="25.7265625" style="17" customWidth="1"/>
    <col min="70" max="70" width="15.7265625" style="18" customWidth="1"/>
    <col min="71" max="71" width="25.7265625" style="17" customWidth="1"/>
    <col min="72" max="72" width="15.7265625" style="18" customWidth="1"/>
    <col min="73" max="73" width="25.7265625" style="17" customWidth="1"/>
    <col min="74" max="74" width="9.7265625" style="18" customWidth="1"/>
    <col min="75" max="75" width="15.7265625" style="17" customWidth="1"/>
    <col min="76" max="16384" width="11.453125" style="12"/>
  </cols>
  <sheetData>
    <row r="1" spans="1:75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23</v>
      </c>
      <c r="X1" s="10" t="s">
        <v>24</v>
      </c>
      <c r="Y1" s="10" t="s">
        <v>25</v>
      </c>
      <c r="Z1" s="10" t="s">
        <v>26</v>
      </c>
      <c r="AA1" s="10" t="s">
        <v>27</v>
      </c>
      <c r="AB1" s="10" t="s">
        <v>28</v>
      </c>
      <c r="AC1" s="10" t="s">
        <v>29</v>
      </c>
      <c r="AD1" s="10" t="s">
        <v>30</v>
      </c>
      <c r="AE1" s="10" t="s">
        <v>31</v>
      </c>
      <c r="AF1" s="10" t="s">
        <v>32</v>
      </c>
      <c r="AG1" s="10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10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0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0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0" t="s">
        <v>65</v>
      </c>
      <c r="BN1" s="10" t="s">
        <v>66</v>
      </c>
      <c r="BO1" s="10" t="s">
        <v>67</v>
      </c>
      <c r="BP1" s="10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0" t="s">
        <v>74</v>
      </c>
      <c r="BW1" s="10" t="s">
        <v>75</v>
      </c>
    </row>
    <row r="2" spans="1:75" ht="72.5" x14ac:dyDescent="0.35">
      <c r="A2" s="13" t="s">
        <v>76</v>
      </c>
      <c r="B2" s="13" t="s">
        <v>77</v>
      </c>
      <c r="C2" s="14">
        <v>45414.663888888892</v>
      </c>
      <c r="D2" s="13" t="s">
        <v>78</v>
      </c>
      <c r="E2" s="15" t="s">
        <v>79</v>
      </c>
      <c r="F2" s="13" t="s">
        <v>80</v>
      </c>
      <c r="G2" s="15" t="s">
        <v>81</v>
      </c>
      <c r="H2" s="13" t="s">
        <v>82</v>
      </c>
      <c r="I2" s="15" t="s">
        <v>83</v>
      </c>
      <c r="J2" s="15" t="s">
        <v>84</v>
      </c>
      <c r="K2" s="15" t="s">
        <v>85</v>
      </c>
      <c r="L2" s="13" t="s">
        <v>86</v>
      </c>
      <c r="M2" s="15" t="s">
        <v>87</v>
      </c>
      <c r="N2" s="13" t="s">
        <v>88</v>
      </c>
      <c r="O2" s="15"/>
      <c r="P2" s="15"/>
      <c r="Q2" s="15" t="s">
        <v>89</v>
      </c>
      <c r="R2" s="13" t="s">
        <v>90</v>
      </c>
      <c r="S2" s="13" t="s">
        <v>91</v>
      </c>
      <c r="T2" s="13" t="s">
        <v>92</v>
      </c>
      <c r="U2" s="14">
        <v>44927</v>
      </c>
      <c r="V2" s="14"/>
      <c r="W2" s="15"/>
      <c r="X2" s="13"/>
      <c r="Y2" s="15"/>
      <c r="Z2" s="13"/>
      <c r="AA2" s="15"/>
      <c r="AB2" s="13"/>
      <c r="AC2" s="15"/>
      <c r="AD2" s="13"/>
      <c r="AE2" s="15"/>
      <c r="AF2" s="13"/>
      <c r="AG2" s="15"/>
      <c r="AH2" s="13"/>
      <c r="AI2" s="15"/>
      <c r="AJ2" s="13"/>
      <c r="AK2" s="15"/>
      <c r="AL2" s="13"/>
      <c r="AM2" s="15"/>
      <c r="AN2" s="13"/>
      <c r="AO2" s="15"/>
      <c r="AP2" s="13"/>
      <c r="AQ2" s="15"/>
      <c r="AR2" s="13"/>
      <c r="AS2" s="15"/>
      <c r="AT2" s="13"/>
      <c r="AU2" s="15"/>
      <c r="AV2" s="13"/>
      <c r="AW2" s="15"/>
      <c r="AX2" s="13"/>
      <c r="AY2" s="15"/>
      <c r="AZ2" s="13"/>
      <c r="BA2" s="15"/>
      <c r="BB2" s="13"/>
      <c r="BC2" s="15"/>
      <c r="BD2" s="13"/>
      <c r="BE2" s="15"/>
      <c r="BF2" s="13"/>
      <c r="BG2" s="15"/>
      <c r="BH2" s="13"/>
      <c r="BI2" s="15"/>
      <c r="BJ2" s="13"/>
      <c r="BK2" s="15"/>
      <c r="BL2" s="13"/>
      <c r="BM2" s="15"/>
      <c r="BN2" s="13"/>
      <c r="BO2" s="15"/>
      <c r="BP2" s="13"/>
      <c r="BQ2" s="15"/>
      <c r="BR2" s="13"/>
      <c r="BS2" s="15"/>
      <c r="BT2" s="13"/>
      <c r="BU2" s="15"/>
      <c r="BV2" s="13"/>
      <c r="BW2" s="15"/>
    </row>
    <row r="3" spans="1:75" ht="72.5" x14ac:dyDescent="0.35">
      <c r="A3" s="13" t="s">
        <v>76</v>
      </c>
      <c r="B3" s="13" t="s">
        <v>77</v>
      </c>
      <c r="C3" s="14">
        <v>45414.664583333331</v>
      </c>
      <c r="D3" s="13" t="s">
        <v>78</v>
      </c>
      <c r="E3" s="15" t="s">
        <v>79</v>
      </c>
      <c r="F3" s="13" t="s">
        <v>80</v>
      </c>
      <c r="G3" s="15" t="s">
        <v>81</v>
      </c>
      <c r="H3" s="13" t="s">
        <v>82</v>
      </c>
      <c r="I3" s="15" t="s">
        <v>83</v>
      </c>
      <c r="J3" s="15" t="s">
        <v>84</v>
      </c>
      <c r="K3" s="15" t="s">
        <v>85</v>
      </c>
      <c r="L3" s="13" t="s">
        <v>93</v>
      </c>
      <c r="M3" s="15" t="s">
        <v>94</v>
      </c>
      <c r="N3" s="13" t="s">
        <v>95</v>
      </c>
      <c r="O3" s="15"/>
      <c r="P3" s="15"/>
      <c r="Q3" s="15" t="s">
        <v>89</v>
      </c>
      <c r="R3" s="13" t="s">
        <v>90</v>
      </c>
      <c r="S3" s="13" t="s">
        <v>91</v>
      </c>
      <c r="T3" s="13" t="s">
        <v>92</v>
      </c>
      <c r="U3" s="14">
        <v>44927</v>
      </c>
      <c r="V3" s="14"/>
      <c r="W3" s="15"/>
      <c r="X3" s="13"/>
      <c r="Y3" s="15"/>
      <c r="Z3" s="13"/>
      <c r="AA3" s="15"/>
      <c r="AB3" s="13"/>
      <c r="AC3" s="15"/>
      <c r="AD3" s="13"/>
      <c r="AE3" s="15"/>
      <c r="AF3" s="13"/>
      <c r="AG3" s="15"/>
      <c r="AH3" s="13"/>
      <c r="AI3" s="15"/>
      <c r="AJ3" s="13"/>
      <c r="AK3" s="15"/>
      <c r="AL3" s="13"/>
      <c r="AM3" s="15"/>
      <c r="AN3" s="13"/>
      <c r="AO3" s="15"/>
      <c r="AP3" s="13"/>
      <c r="AQ3" s="15"/>
      <c r="AR3" s="13"/>
      <c r="AS3" s="15"/>
      <c r="AT3" s="13"/>
      <c r="AU3" s="15"/>
      <c r="AV3" s="13"/>
      <c r="AW3" s="15"/>
      <c r="AX3" s="13"/>
      <c r="AY3" s="15"/>
      <c r="AZ3" s="13"/>
      <c r="BA3" s="15"/>
      <c r="BB3" s="13"/>
      <c r="BC3" s="15"/>
      <c r="BD3" s="13"/>
      <c r="BE3" s="15"/>
      <c r="BF3" s="13"/>
      <c r="BG3" s="15"/>
      <c r="BH3" s="13"/>
      <c r="BI3" s="15"/>
      <c r="BJ3" s="13"/>
      <c r="BK3" s="15"/>
      <c r="BL3" s="13"/>
      <c r="BM3" s="15"/>
      <c r="BN3" s="13"/>
      <c r="BO3" s="15"/>
      <c r="BP3" s="13"/>
      <c r="BQ3" s="15"/>
      <c r="BR3" s="13"/>
      <c r="BS3" s="15"/>
      <c r="BT3" s="13"/>
      <c r="BU3" s="15"/>
      <c r="BV3" s="13"/>
      <c r="BW3" s="15"/>
    </row>
    <row r="4" spans="1:75" ht="72.5" x14ac:dyDescent="0.35">
      <c r="A4" s="13" t="s">
        <v>76</v>
      </c>
      <c r="B4" s="13" t="s">
        <v>77</v>
      </c>
      <c r="C4" s="14">
        <v>45414.664583333331</v>
      </c>
      <c r="D4" s="13" t="s">
        <v>78</v>
      </c>
      <c r="E4" s="15" t="s">
        <v>79</v>
      </c>
      <c r="F4" s="13" t="s">
        <v>80</v>
      </c>
      <c r="G4" s="15" t="s">
        <v>81</v>
      </c>
      <c r="H4" s="13" t="s">
        <v>82</v>
      </c>
      <c r="I4" s="15" t="s">
        <v>83</v>
      </c>
      <c r="J4" s="15" t="s">
        <v>84</v>
      </c>
      <c r="K4" s="15" t="s">
        <v>85</v>
      </c>
      <c r="L4" s="13" t="s">
        <v>86</v>
      </c>
      <c r="M4" s="15" t="s">
        <v>87</v>
      </c>
      <c r="N4" s="13" t="s">
        <v>88</v>
      </c>
      <c r="O4" s="15"/>
      <c r="P4" s="15"/>
      <c r="Q4" s="15" t="s">
        <v>96</v>
      </c>
      <c r="R4" s="13" t="s">
        <v>97</v>
      </c>
      <c r="S4" s="13" t="s">
        <v>91</v>
      </c>
      <c r="T4" s="13" t="s">
        <v>92</v>
      </c>
      <c r="U4" s="14">
        <v>44927</v>
      </c>
      <c r="V4" s="14"/>
      <c r="W4" s="15"/>
      <c r="X4" s="13"/>
      <c r="Y4" s="15"/>
      <c r="Z4" s="13"/>
      <c r="AA4" s="15"/>
      <c r="AB4" s="13"/>
      <c r="AC4" s="15"/>
      <c r="AD4" s="13"/>
      <c r="AE4" s="15"/>
      <c r="AF4" s="13"/>
      <c r="AG4" s="15"/>
      <c r="AH4" s="13"/>
      <c r="AI4" s="15"/>
      <c r="AJ4" s="13"/>
      <c r="AK4" s="15"/>
      <c r="AL4" s="13"/>
      <c r="AM4" s="15"/>
      <c r="AN4" s="13"/>
      <c r="AO4" s="15"/>
      <c r="AP4" s="13"/>
      <c r="AQ4" s="15"/>
      <c r="AR4" s="13"/>
      <c r="AS4" s="15"/>
      <c r="AT4" s="13"/>
      <c r="AU4" s="15"/>
      <c r="AV4" s="13"/>
      <c r="AW4" s="15"/>
      <c r="AX4" s="13"/>
      <c r="AY4" s="15"/>
      <c r="AZ4" s="13"/>
      <c r="BA4" s="15"/>
      <c r="BB4" s="13"/>
      <c r="BC4" s="15"/>
      <c r="BD4" s="13"/>
      <c r="BE4" s="15"/>
      <c r="BF4" s="13"/>
      <c r="BG4" s="15"/>
      <c r="BH4" s="13"/>
      <c r="BI4" s="15"/>
      <c r="BJ4" s="13"/>
      <c r="BK4" s="15"/>
      <c r="BL4" s="13"/>
      <c r="BM4" s="15"/>
      <c r="BN4" s="13"/>
      <c r="BO4" s="15"/>
      <c r="BP4" s="13"/>
      <c r="BQ4" s="15"/>
      <c r="BR4" s="13"/>
      <c r="BS4" s="15"/>
      <c r="BT4" s="13"/>
      <c r="BU4" s="15"/>
      <c r="BV4" s="13"/>
      <c r="BW4" s="15"/>
    </row>
    <row r="5" spans="1:75" ht="72.5" x14ac:dyDescent="0.35">
      <c r="A5" s="13" t="s">
        <v>76</v>
      </c>
      <c r="B5" s="13" t="s">
        <v>77</v>
      </c>
      <c r="C5" s="14">
        <v>45414.665277777778</v>
      </c>
      <c r="D5" s="13" t="s">
        <v>78</v>
      </c>
      <c r="E5" s="15" t="s">
        <v>79</v>
      </c>
      <c r="F5" s="13" t="s">
        <v>80</v>
      </c>
      <c r="G5" s="15" t="s">
        <v>81</v>
      </c>
      <c r="H5" s="13" t="s">
        <v>82</v>
      </c>
      <c r="I5" s="15" t="s">
        <v>83</v>
      </c>
      <c r="J5" s="15" t="s">
        <v>84</v>
      </c>
      <c r="K5" s="15" t="s">
        <v>85</v>
      </c>
      <c r="L5" s="13" t="s">
        <v>93</v>
      </c>
      <c r="M5" s="15" t="s">
        <v>94</v>
      </c>
      <c r="N5" s="13" t="s">
        <v>95</v>
      </c>
      <c r="O5" s="15"/>
      <c r="P5" s="15"/>
      <c r="Q5" s="15" t="s">
        <v>96</v>
      </c>
      <c r="R5" s="13" t="s">
        <v>97</v>
      </c>
      <c r="S5" s="13" t="s">
        <v>91</v>
      </c>
      <c r="T5" s="13" t="s">
        <v>92</v>
      </c>
      <c r="U5" s="14">
        <v>44927</v>
      </c>
      <c r="V5" s="14"/>
      <c r="W5" s="15"/>
      <c r="X5" s="13"/>
      <c r="Y5" s="15"/>
      <c r="Z5" s="13"/>
      <c r="AA5" s="15"/>
      <c r="AB5" s="13"/>
      <c r="AC5" s="15"/>
      <c r="AD5" s="13"/>
      <c r="AE5" s="15"/>
      <c r="AF5" s="13"/>
      <c r="AG5" s="15"/>
      <c r="AH5" s="13"/>
      <c r="AI5" s="15"/>
      <c r="AJ5" s="13"/>
      <c r="AK5" s="15"/>
      <c r="AL5" s="13"/>
      <c r="AM5" s="15"/>
      <c r="AN5" s="13"/>
      <c r="AO5" s="15"/>
      <c r="AP5" s="13"/>
      <c r="AQ5" s="15"/>
      <c r="AR5" s="13"/>
      <c r="AS5" s="15"/>
      <c r="AT5" s="13"/>
      <c r="AU5" s="15"/>
      <c r="AV5" s="13"/>
      <c r="AW5" s="15"/>
      <c r="AX5" s="13"/>
      <c r="AY5" s="15"/>
      <c r="AZ5" s="13"/>
      <c r="BA5" s="15"/>
      <c r="BB5" s="13"/>
      <c r="BC5" s="15"/>
      <c r="BD5" s="13"/>
      <c r="BE5" s="15"/>
      <c r="BF5" s="13"/>
      <c r="BG5" s="15"/>
      <c r="BH5" s="13"/>
      <c r="BI5" s="15"/>
      <c r="BJ5" s="13"/>
      <c r="BK5" s="15"/>
      <c r="BL5" s="13"/>
      <c r="BM5" s="15"/>
      <c r="BN5" s="13"/>
      <c r="BO5" s="15"/>
      <c r="BP5" s="13"/>
      <c r="BQ5" s="15"/>
      <c r="BR5" s="13"/>
      <c r="BS5" s="15"/>
      <c r="BT5" s="13"/>
      <c r="BU5" s="15"/>
      <c r="BV5" s="13"/>
      <c r="BW5" s="15"/>
    </row>
    <row r="6" spans="1:75" ht="72.5" x14ac:dyDescent="0.35">
      <c r="A6" s="13" t="s">
        <v>76</v>
      </c>
      <c r="B6" s="13" t="s">
        <v>77</v>
      </c>
      <c r="C6" s="14">
        <v>45414.663888888892</v>
      </c>
      <c r="D6" s="13" t="s">
        <v>78</v>
      </c>
      <c r="E6" s="15" t="s">
        <v>79</v>
      </c>
      <c r="F6" s="13" t="s">
        <v>80</v>
      </c>
      <c r="G6" s="15" t="s">
        <v>81</v>
      </c>
      <c r="H6" s="13" t="s">
        <v>82</v>
      </c>
      <c r="I6" s="15" t="s">
        <v>83</v>
      </c>
      <c r="J6" s="15" t="s">
        <v>84</v>
      </c>
      <c r="K6" s="15" t="s">
        <v>85</v>
      </c>
      <c r="L6" s="13" t="s">
        <v>86</v>
      </c>
      <c r="M6" s="15" t="s">
        <v>87</v>
      </c>
      <c r="N6" s="13" t="s">
        <v>88</v>
      </c>
      <c r="O6" s="15"/>
      <c r="P6" s="15"/>
      <c r="Q6" s="15" t="s">
        <v>98</v>
      </c>
      <c r="R6" s="13" t="s">
        <v>99</v>
      </c>
      <c r="S6" s="13" t="s">
        <v>91</v>
      </c>
      <c r="T6" s="13" t="s">
        <v>92</v>
      </c>
      <c r="U6" s="14">
        <v>44927</v>
      </c>
      <c r="V6" s="14"/>
      <c r="W6" s="15"/>
      <c r="X6" s="13"/>
      <c r="Y6" s="15"/>
      <c r="Z6" s="13"/>
      <c r="AA6" s="15"/>
      <c r="AB6" s="13"/>
      <c r="AC6" s="15"/>
      <c r="AD6" s="13"/>
      <c r="AE6" s="15"/>
      <c r="AF6" s="13"/>
      <c r="AG6" s="15"/>
      <c r="AH6" s="13"/>
      <c r="AI6" s="15"/>
      <c r="AJ6" s="13"/>
      <c r="AK6" s="15"/>
      <c r="AL6" s="13"/>
      <c r="AM6" s="15"/>
      <c r="AN6" s="13"/>
      <c r="AO6" s="15"/>
      <c r="AP6" s="13"/>
      <c r="AQ6" s="15"/>
      <c r="AR6" s="13"/>
      <c r="AS6" s="15"/>
      <c r="AT6" s="13"/>
      <c r="AU6" s="15"/>
      <c r="AV6" s="13"/>
      <c r="AW6" s="15"/>
      <c r="AX6" s="13"/>
      <c r="AY6" s="15"/>
      <c r="AZ6" s="13"/>
      <c r="BA6" s="15"/>
      <c r="BB6" s="13"/>
      <c r="BC6" s="15"/>
      <c r="BD6" s="13"/>
      <c r="BE6" s="15"/>
      <c r="BF6" s="13"/>
      <c r="BG6" s="15"/>
      <c r="BH6" s="13"/>
      <c r="BI6" s="15"/>
      <c r="BJ6" s="13"/>
      <c r="BK6" s="15"/>
      <c r="BL6" s="13"/>
      <c r="BM6" s="15"/>
      <c r="BN6" s="13"/>
      <c r="BO6" s="15"/>
      <c r="BP6" s="13"/>
      <c r="BQ6" s="15"/>
      <c r="BR6" s="13"/>
      <c r="BS6" s="15"/>
      <c r="BT6" s="13"/>
      <c r="BU6" s="15"/>
      <c r="BV6" s="13"/>
      <c r="BW6" s="15"/>
    </row>
    <row r="7" spans="1:75" ht="72.5" x14ac:dyDescent="0.35">
      <c r="A7" s="13" t="s">
        <v>76</v>
      </c>
      <c r="B7" s="13" t="s">
        <v>77</v>
      </c>
      <c r="C7" s="14">
        <v>45414.664583333331</v>
      </c>
      <c r="D7" s="13" t="s">
        <v>78</v>
      </c>
      <c r="E7" s="15" t="s">
        <v>79</v>
      </c>
      <c r="F7" s="13" t="s">
        <v>80</v>
      </c>
      <c r="G7" s="15" t="s">
        <v>81</v>
      </c>
      <c r="H7" s="13" t="s">
        <v>82</v>
      </c>
      <c r="I7" s="15" t="s">
        <v>83</v>
      </c>
      <c r="J7" s="15" t="s">
        <v>84</v>
      </c>
      <c r="K7" s="15" t="s">
        <v>85</v>
      </c>
      <c r="L7" s="13" t="s">
        <v>93</v>
      </c>
      <c r="M7" s="15" t="s">
        <v>94</v>
      </c>
      <c r="N7" s="13" t="s">
        <v>95</v>
      </c>
      <c r="O7" s="15"/>
      <c r="P7" s="15"/>
      <c r="Q7" s="15" t="s">
        <v>98</v>
      </c>
      <c r="R7" s="13" t="s">
        <v>99</v>
      </c>
      <c r="S7" s="13" t="s">
        <v>91</v>
      </c>
      <c r="T7" s="13" t="s">
        <v>92</v>
      </c>
      <c r="U7" s="14">
        <v>44927</v>
      </c>
      <c r="V7" s="14"/>
      <c r="W7" s="15"/>
      <c r="X7" s="13"/>
      <c r="Y7" s="15"/>
      <c r="Z7" s="13"/>
      <c r="AA7" s="15"/>
      <c r="AB7" s="13"/>
      <c r="AC7" s="15"/>
      <c r="AD7" s="13"/>
      <c r="AE7" s="15"/>
      <c r="AF7" s="13"/>
      <c r="AG7" s="15"/>
      <c r="AH7" s="13"/>
      <c r="AI7" s="15"/>
      <c r="AJ7" s="13"/>
      <c r="AK7" s="15"/>
      <c r="AL7" s="13"/>
      <c r="AM7" s="15"/>
      <c r="AN7" s="13"/>
      <c r="AO7" s="15"/>
      <c r="AP7" s="13"/>
      <c r="AQ7" s="15"/>
      <c r="AR7" s="13"/>
      <c r="AS7" s="15"/>
      <c r="AT7" s="13"/>
      <c r="AU7" s="15"/>
      <c r="AV7" s="13"/>
      <c r="AW7" s="15"/>
      <c r="AX7" s="13"/>
      <c r="AY7" s="15"/>
      <c r="AZ7" s="13"/>
      <c r="BA7" s="15"/>
      <c r="BB7" s="13"/>
      <c r="BC7" s="15"/>
      <c r="BD7" s="13"/>
      <c r="BE7" s="15"/>
      <c r="BF7" s="13"/>
      <c r="BG7" s="15"/>
      <c r="BH7" s="13"/>
      <c r="BI7" s="15"/>
      <c r="BJ7" s="13"/>
      <c r="BK7" s="15"/>
      <c r="BL7" s="13"/>
      <c r="BM7" s="15"/>
      <c r="BN7" s="13"/>
      <c r="BO7" s="15"/>
      <c r="BP7" s="13"/>
      <c r="BQ7" s="15"/>
      <c r="BR7" s="13"/>
      <c r="BS7" s="15"/>
      <c r="BT7" s="13"/>
      <c r="BU7" s="15"/>
      <c r="BV7" s="13"/>
      <c r="BW7" s="15"/>
    </row>
    <row r="8" spans="1:75" ht="72.5" x14ac:dyDescent="0.35">
      <c r="A8" s="13" t="s">
        <v>76</v>
      </c>
      <c r="B8" s="13" t="s">
        <v>77</v>
      </c>
      <c r="C8" s="14">
        <v>45414.663888888892</v>
      </c>
      <c r="D8" s="13" t="s">
        <v>78</v>
      </c>
      <c r="E8" s="15" t="s">
        <v>79</v>
      </c>
      <c r="F8" s="13" t="s">
        <v>80</v>
      </c>
      <c r="G8" s="15" t="s">
        <v>81</v>
      </c>
      <c r="H8" s="13" t="s">
        <v>82</v>
      </c>
      <c r="I8" s="15" t="s">
        <v>83</v>
      </c>
      <c r="J8" s="15" t="s">
        <v>84</v>
      </c>
      <c r="K8" s="15" t="s">
        <v>85</v>
      </c>
      <c r="L8" s="13" t="s">
        <v>86</v>
      </c>
      <c r="M8" s="15" t="s">
        <v>87</v>
      </c>
      <c r="N8" s="13" t="s">
        <v>88</v>
      </c>
      <c r="O8" s="15"/>
      <c r="P8" s="15"/>
      <c r="Q8" s="15" t="s">
        <v>100</v>
      </c>
      <c r="R8" s="13" t="s">
        <v>101</v>
      </c>
      <c r="S8" s="13" t="s">
        <v>91</v>
      </c>
      <c r="T8" s="13" t="s">
        <v>92</v>
      </c>
      <c r="U8" s="14">
        <v>44927</v>
      </c>
      <c r="V8" s="14"/>
      <c r="W8" s="15"/>
      <c r="X8" s="13"/>
      <c r="Y8" s="15"/>
      <c r="Z8" s="13"/>
      <c r="AA8" s="15"/>
      <c r="AB8" s="13"/>
      <c r="AC8" s="15"/>
      <c r="AD8" s="13"/>
      <c r="AE8" s="15"/>
      <c r="AF8" s="13"/>
      <c r="AG8" s="15"/>
      <c r="AH8" s="13"/>
      <c r="AI8" s="15"/>
      <c r="AJ8" s="13"/>
      <c r="AK8" s="15"/>
      <c r="AL8" s="13"/>
      <c r="AM8" s="15"/>
      <c r="AN8" s="13"/>
      <c r="AO8" s="15"/>
      <c r="AP8" s="13"/>
      <c r="AQ8" s="15"/>
      <c r="AR8" s="13"/>
      <c r="AS8" s="15"/>
      <c r="AT8" s="13"/>
      <c r="AU8" s="15"/>
      <c r="AV8" s="13"/>
      <c r="AW8" s="15"/>
      <c r="AX8" s="13"/>
      <c r="AY8" s="15"/>
      <c r="AZ8" s="13"/>
      <c r="BA8" s="15"/>
      <c r="BB8" s="13"/>
      <c r="BC8" s="15"/>
      <c r="BD8" s="13"/>
      <c r="BE8" s="15"/>
      <c r="BF8" s="13"/>
      <c r="BG8" s="15"/>
      <c r="BH8" s="13"/>
      <c r="BI8" s="15"/>
      <c r="BJ8" s="13"/>
      <c r="BK8" s="15"/>
      <c r="BL8" s="13"/>
      <c r="BM8" s="15"/>
      <c r="BN8" s="13"/>
      <c r="BO8" s="15"/>
      <c r="BP8" s="13"/>
      <c r="BQ8" s="15"/>
      <c r="BR8" s="13"/>
      <c r="BS8" s="15"/>
      <c r="BT8" s="13"/>
      <c r="BU8" s="15"/>
      <c r="BV8" s="13"/>
      <c r="BW8" s="15"/>
    </row>
    <row r="9" spans="1:75" ht="72.5" x14ac:dyDescent="0.35">
      <c r="A9" s="13" t="s">
        <v>76</v>
      </c>
      <c r="B9" s="13" t="s">
        <v>77</v>
      </c>
      <c r="C9" s="14">
        <v>45414.664583333331</v>
      </c>
      <c r="D9" s="13" t="s">
        <v>78</v>
      </c>
      <c r="E9" s="15" t="s">
        <v>79</v>
      </c>
      <c r="F9" s="13" t="s">
        <v>80</v>
      </c>
      <c r="G9" s="15" t="s">
        <v>81</v>
      </c>
      <c r="H9" s="13" t="s">
        <v>82</v>
      </c>
      <c r="I9" s="15" t="s">
        <v>83</v>
      </c>
      <c r="J9" s="15" t="s">
        <v>84</v>
      </c>
      <c r="K9" s="15" t="s">
        <v>85</v>
      </c>
      <c r="L9" s="13" t="s">
        <v>93</v>
      </c>
      <c r="M9" s="15" t="s">
        <v>94</v>
      </c>
      <c r="N9" s="13" t="s">
        <v>95</v>
      </c>
      <c r="O9" s="15"/>
      <c r="P9" s="15"/>
      <c r="Q9" s="15" t="s">
        <v>100</v>
      </c>
      <c r="R9" s="13" t="s">
        <v>101</v>
      </c>
      <c r="S9" s="13" t="s">
        <v>91</v>
      </c>
      <c r="T9" s="13" t="s">
        <v>92</v>
      </c>
      <c r="U9" s="14">
        <v>44927</v>
      </c>
      <c r="V9" s="14"/>
      <c r="W9" s="15"/>
      <c r="X9" s="13"/>
      <c r="Y9" s="15"/>
      <c r="Z9" s="13"/>
      <c r="AA9" s="15"/>
      <c r="AB9" s="13"/>
      <c r="AC9" s="15"/>
      <c r="AD9" s="13"/>
      <c r="AE9" s="15"/>
      <c r="AF9" s="13"/>
      <c r="AG9" s="15"/>
      <c r="AH9" s="13"/>
      <c r="AI9" s="15"/>
      <c r="AJ9" s="13"/>
      <c r="AK9" s="15"/>
      <c r="AL9" s="13"/>
      <c r="AM9" s="15"/>
      <c r="AN9" s="13"/>
      <c r="AO9" s="15"/>
      <c r="AP9" s="13"/>
      <c r="AQ9" s="15"/>
      <c r="AR9" s="13"/>
      <c r="AS9" s="15"/>
      <c r="AT9" s="13"/>
      <c r="AU9" s="15"/>
      <c r="AV9" s="13"/>
      <c r="AW9" s="15"/>
      <c r="AX9" s="13"/>
      <c r="AY9" s="15"/>
      <c r="AZ9" s="13"/>
      <c r="BA9" s="15"/>
      <c r="BB9" s="13"/>
      <c r="BC9" s="15"/>
      <c r="BD9" s="13"/>
      <c r="BE9" s="15"/>
      <c r="BF9" s="13"/>
      <c r="BG9" s="15"/>
      <c r="BH9" s="13"/>
      <c r="BI9" s="15"/>
      <c r="BJ9" s="13"/>
      <c r="BK9" s="15"/>
      <c r="BL9" s="13"/>
      <c r="BM9" s="15"/>
      <c r="BN9" s="13"/>
      <c r="BO9" s="15"/>
      <c r="BP9" s="13"/>
      <c r="BQ9" s="15"/>
      <c r="BR9" s="13"/>
      <c r="BS9" s="15"/>
      <c r="BT9" s="13"/>
      <c r="BU9" s="15"/>
      <c r="BV9" s="13"/>
      <c r="BW9" s="15"/>
    </row>
    <row r="10" spans="1:75" ht="72.5" x14ac:dyDescent="0.35">
      <c r="A10" s="13" t="s">
        <v>76</v>
      </c>
      <c r="B10" s="13" t="s">
        <v>77</v>
      </c>
      <c r="C10" s="14">
        <v>45414.663888888892</v>
      </c>
      <c r="D10" s="13" t="s">
        <v>78</v>
      </c>
      <c r="E10" s="15" t="s">
        <v>79</v>
      </c>
      <c r="F10" s="13" t="s">
        <v>80</v>
      </c>
      <c r="G10" s="15" t="s">
        <v>81</v>
      </c>
      <c r="H10" s="13" t="s">
        <v>82</v>
      </c>
      <c r="I10" s="15" t="s">
        <v>83</v>
      </c>
      <c r="J10" s="15" t="s">
        <v>84</v>
      </c>
      <c r="K10" s="15" t="s">
        <v>85</v>
      </c>
      <c r="L10" s="13" t="s">
        <v>86</v>
      </c>
      <c r="M10" s="15" t="s">
        <v>87</v>
      </c>
      <c r="N10" s="13" t="s">
        <v>88</v>
      </c>
      <c r="O10" s="15"/>
      <c r="P10" s="15"/>
      <c r="Q10" s="15" t="s">
        <v>102</v>
      </c>
      <c r="R10" s="13" t="s">
        <v>103</v>
      </c>
      <c r="S10" s="13" t="s">
        <v>91</v>
      </c>
      <c r="T10" s="13" t="s">
        <v>92</v>
      </c>
      <c r="U10" s="14">
        <v>44927</v>
      </c>
      <c r="V10" s="14"/>
      <c r="W10" s="15"/>
      <c r="X10" s="13"/>
      <c r="Y10" s="15"/>
      <c r="Z10" s="13"/>
      <c r="AA10" s="15"/>
      <c r="AB10" s="13"/>
      <c r="AC10" s="15"/>
      <c r="AD10" s="13"/>
      <c r="AE10" s="15"/>
      <c r="AF10" s="13"/>
      <c r="AG10" s="15"/>
      <c r="AH10" s="13"/>
      <c r="AI10" s="15"/>
      <c r="AJ10" s="13"/>
      <c r="AK10" s="15"/>
      <c r="AL10" s="13"/>
      <c r="AM10" s="15"/>
      <c r="AN10" s="13"/>
      <c r="AO10" s="15"/>
      <c r="AP10" s="13"/>
      <c r="AQ10" s="15"/>
      <c r="AR10" s="13"/>
      <c r="AS10" s="15"/>
      <c r="AT10" s="13"/>
      <c r="AU10" s="15"/>
      <c r="AV10" s="13"/>
      <c r="AW10" s="15"/>
      <c r="AX10" s="13"/>
      <c r="AY10" s="15"/>
      <c r="AZ10" s="13"/>
      <c r="BA10" s="15"/>
      <c r="BB10" s="13"/>
      <c r="BC10" s="15"/>
      <c r="BD10" s="13"/>
      <c r="BE10" s="15"/>
      <c r="BF10" s="13"/>
      <c r="BG10" s="15"/>
      <c r="BH10" s="13"/>
      <c r="BI10" s="15"/>
      <c r="BJ10" s="13"/>
      <c r="BK10" s="15"/>
      <c r="BL10" s="13"/>
      <c r="BM10" s="15"/>
      <c r="BN10" s="13"/>
      <c r="BO10" s="15"/>
      <c r="BP10" s="13"/>
      <c r="BQ10" s="15"/>
      <c r="BR10" s="13"/>
      <c r="BS10" s="15"/>
      <c r="BT10" s="13"/>
      <c r="BU10" s="15"/>
      <c r="BV10" s="13"/>
      <c r="BW10" s="15"/>
    </row>
    <row r="11" spans="1:75" ht="72.5" x14ac:dyDescent="0.35">
      <c r="A11" s="13" t="s">
        <v>76</v>
      </c>
      <c r="B11" s="13" t="s">
        <v>77</v>
      </c>
      <c r="C11" s="14">
        <v>45414.665277777778</v>
      </c>
      <c r="D11" s="13" t="s">
        <v>78</v>
      </c>
      <c r="E11" s="15" t="s">
        <v>79</v>
      </c>
      <c r="F11" s="13" t="s">
        <v>80</v>
      </c>
      <c r="G11" s="15" t="s">
        <v>81</v>
      </c>
      <c r="H11" s="13" t="s">
        <v>82</v>
      </c>
      <c r="I11" s="15" t="s">
        <v>83</v>
      </c>
      <c r="J11" s="15" t="s">
        <v>84</v>
      </c>
      <c r="K11" s="15" t="s">
        <v>85</v>
      </c>
      <c r="L11" s="13" t="s">
        <v>93</v>
      </c>
      <c r="M11" s="15" t="s">
        <v>94</v>
      </c>
      <c r="N11" s="13" t="s">
        <v>95</v>
      </c>
      <c r="O11" s="15"/>
      <c r="P11" s="15"/>
      <c r="Q11" s="15" t="s">
        <v>102</v>
      </c>
      <c r="R11" s="13" t="s">
        <v>103</v>
      </c>
      <c r="S11" s="13" t="s">
        <v>91</v>
      </c>
      <c r="T11" s="13" t="s">
        <v>92</v>
      </c>
      <c r="U11" s="14">
        <v>44927</v>
      </c>
      <c r="V11" s="14"/>
      <c r="W11" s="15"/>
      <c r="X11" s="13"/>
      <c r="Y11" s="15"/>
      <c r="Z11" s="13"/>
      <c r="AA11" s="15"/>
      <c r="AB11" s="13"/>
      <c r="AC11" s="15"/>
      <c r="AD11" s="13"/>
      <c r="AE11" s="15"/>
      <c r="AF11" s="13"/>
      <c r="AG11" s="15"/>
      <c r="AH11" s="13"/>
      <c r="AI11" s="15"/>
      <c r="AJ11" s="13"/>
      <c r="AK11" s="15"/>
      <c r="AL11" s="13"/>
      <c r="AM11" s="15"/>
      <c r="AN11" s="13"/>
      <c r="AO11" s="15"/>
      <c r="AP11" s="13"/>
      <c r="AQ11" s="15"/>
      <c r="AR11" s="13"/>
      <c r="AS11" s="15"/>
      <c r="AT11" s="13"/>
      <c r="AU11" s="15"/>
      <c r="AV11" s="13"/>
      <c r="AW11" s="15"/>
      <c r="AX11" s="13"/>
      <c r="AY11" s="15"/>
      <c r="AZ11" s="13"/>
      <c r="BA11" s="15"/>
      <c r="BB11" s="13"/>
      <c r="BC11" s="15"/>
      <c r="BD11" s="13"/>
      <c r="BE11" s="15"/>
      <c r="BF11" s="13"/>
      <c r="BG11" s="15"/>
      <c r="BH11" s="13"/>
      <c r="BI11" s="15"/>
      <c r="BJ11" s="13"/>
      <c r="BK11" s="15"/>
      <c r="BL11" s="13"/>
      <c r="BM11" s="15"/>
      <c r="BN11" s="13"/>
      <c r="BO11" s="15"/>
      <c r="BP11" s="13"/>
      <c r="BQ11" s="15"/>
      <c r="BR11" s="13"/>
      <c r="BS11" s="15"/>
      <c r="BT11" s="13"/>
      <c r="BU11" s="15"/>
      <c r="BV11" s="13"/>
      <c r="BW11" s="15"/>
    </row>
    <row r="12" spans="1:75" ht="130.5" x14ac:dyDescent="0.35">
      <c r="A12" s="13" t="s">
        <v>76</v>
      </c>
      <c r="B12" s="13" t="s">
        <v>77</v>
      </c>
      <c r="C12" s="14">
        <v>45414.665972222225</v>
      </c>
      <c r="D12" s="13" t="s">
        <v>78</v>
      </c>
      <c r="E12" s="15" t="s">
        <v>79</v>
      </c>
      <c r="F12" s="13" t="s">
        <v>80</v>
      </c>
      <c r="G12" s="15" t="s">
        <v>81</v>
      </c>
      <c r="H12" s="13" t="s">
        <v>82</v>
      </c>
      <c r="I12" s="15" t="s">
        <v>83</v>
      </c>
      <c r="J12" s="15" t="s">
        <v>84</v>
      </c>
      <c r="K12" s="15" t="s">
        <v>85</v>
      </c>
      <c r="L12" s="13" t="s">
        <v>86</v>
      </c>
      <c r="M12" s="15" t="s">
        <v>87</v>
      </c>
      <c r="N12" s="13" t="s">
        <v>88</v>
      </c>
      <c r="O12" s="15"/>
      <c r="P12" s="15"/>
      <c r="Q12" s="15" t="s">
        <v>104</v>
      </c>
      <c r="R12" s="13" t="s">
        <v>105</v>
      </c>
      <c r="S12" s="13" t="s">
        <v>106</v>
      </c>
      <c r="T12" s="13" t="s">
        <v>107</v>
      </c>
      <c r="U12" s="14">
        <v>44927</v>
      </c>
      <c r="V12" s="14"/>
      <c r="W12" s="15" t="s">
        <v>108</v>
      </c>
      <c r="X12" s="13" t="s">
        <v>109</v>
      </c>
      <c r="Y12" s="15" t="str">
        <f>VLOOKUP(X12,'Axe 2 Règles de gestion'!$D$2:$F$40,3, FALSE)</f>
        <v>En cas de participation à des opérations militaires, la permission est accordée par le commandant de la formation administrative ou l'autorité équivalente, dans les conditions fixées par le ministre de la défense.</v>
      </c>
      <c r="Z12" s="13" t="s">
        <v>111</v>
      </c>
      <c r="AA12" s="15" t="str">
        <f>VLOOKUP(Z12,'Axe 2 Règles de gestion'!$D$2:$F$40,3, FALSE)</f>
        <v>La permission est accordée à l'occasion du mariage du militaire ou de la conclusion d'un pacte civil de solidarité par ce dernier.</v>
      </c>
      <c r="AB12" s="13" t="s">
        <v>113</v>
      </c>
      <c r="AC12" s="15" t="str">
        <f>VLOOKUP(AB12,'Axe 2 Règles de gestion'!$D$2:$F$40,3, FALSE)</f>
        <v>La permission est accordée à l'occasion de la naissance d'un enfant du militaire ou de l'accueil d'un enfant par le militaire.</v>
      </c>
      <c r="AD12" s="13" t="s">
        <v>115</v>
      </c>
      <c r="AE12" s="15" t="str">
        <f>VLOOKUP(AD12,'Axe 2 Règles de gestion'!$D$2:$F$40,3, FALSE)</f>
        <v>La permission est accordée à l'occasion du mariage d'un enfant du militaire.</v>
      </c>
      <c r="AF12" s="13" t="s">
        <v>117</v>
      </c>
      <c r="AG12" s="15" t="str">
        <f>VLOOKUP(AF12,'Axe 2 Règles de gestion'!$D$2:$F$40,3, FALSE)</f>
        <v>La permission est accordée à l'occasion du décès d'un parent du militaire, lorsqu'il s'agit des grands-parents, parents, beaux-parents, frère ou sœur.</v>
      </c>
      <c r="AH12" s="13" t="s">
        <v>119</v>
      </c>
      <c r="AI12" s="15" t="str">
        <f>VLOOKUP(AH12,'Axe 2 Règles de gestion'!$D$2:$F$40,3, FALSE)</f>
        <v>La permission est accordée à l'occasion de l'arrivée dans le foyer du militaire d'un enfant placé en vue de son adoption.</v>
      </c>
      <c r="AJ12" s="13" t="s">
        <v>121</v>
      </c>
      <c r="AK12" s="15" t="str">
        <f>VLOOKUP(AJ12,'Axe 2 Règles de gestion'!$D$2:$F$40,3, FALSE)</f>
        <v>Lorsque la permission est prise à l'occasion de de l'arrivée d'un enfant placé en vue de son adoption, les jours sont pris de manière continue ou fractionnée.</v>
      </c>
      <c r="AL12" s="13" t="s">
        <v>123</v>
      </c>
      <c r="AM12" s="15" t="str">
        <f>VLOOKUP(AL12,'Axe 2 Règles de gestion'!$D$2:$F$40,3, FALSE)</f>
        <v>La permission peut être prise, au choix du militaire, à compter du jour de l'arrivée de l'enfant adopté au sein du foyer ou au cours de la période de 7 jours consécutifs précédant son arrivée.</v>
      </c>
      <c r="AN12" s="13"/>
      <c r="AO12" s="15"/>
      <c r="AP12" s="13" t="s">
        <v>125</v>
      </c>
      <c r="AQ12" s="15" t="str">
        <f>VLOOKUP(AP12,'Axe 2 Règles de gestion'!$D$2:$F$40,3, FALSE)</f>
        <v>La durée prévisionnelle de la permission est de 3 jours ouvrés.</v>
      </c>
      <c r="AR12" s="13" t="s">
        <v>127</v>
      </c>
      <c r="AS12" s="15" t="str">
        <f>VLOOKUP(AR12,'Axe 2 Règles de gestion'!$D$2:$F$40,3, FALSE)</f>
        <v>La durée réelle de la permission est de 3 jours ouvrés.</v>
      </c>
      <c r="AT12" s="13" t="s">
        <v>129</v>
      </c>
      <c r="AU12" s="15" t="str">
        <f>VLOOKUP(AT12,'Axe 2 Règles de gestion'!$D$2:$F$40,3, FALSE)</f>
        <v>La date de fin prévisionnelle de la permission doit être antérieure ou égale à la date limite de fin réelle ou prévisionnelle du lien juridique. Le militaire ne voit pas son contrat prorogé jusqu'à la date de fin de la permission.</v>
      </c>
      <c r="AV12" s="13" t="s">
        <v>131</v>
      </c>
      <c r="AW12" s="15" t="str">
        <f>VLOOKUP(AV12,'Axe 2 Règles de gestion'!$D$2:$F$40,3, FALSE)</f>
        <v>La date de fin réelle de la permission doit être antérieure ou égale à la date limite de fin réelle ou prévisionnelle du lien juridique. Le militaire ne voit pas son contrat prorogé jusqu'à la date de fin de la permission.</v>
      </c>
      <c r="AX12" s="13" t="s">
        <v>133</v>
      </c>
      <c r="AY12" s="15" t="str">
        <f>VLOOKUP(AX12,'Axe 2 Règles de gestion'!$D$2:$F$40,3, FALSE)</f>
        <v>Le militaire est en activité.</v>
      </c>
      <c r="AZ12" s="13"/>
      <c r="BA12" s="15"/>
      <c r="BB12" s="13" t="s">
        <v>135</v>
      </c>
      <c r="BC12" s="15" t="str">
        <f>VLOOKUP(BB12,'Axe 2 Règles de gestion'!$D$2:$F$40,3, FALSE)</f>
        <v>La date de début du congé/absence doit être postérieure ou égale à la date de recrutement dans la FPE ou dans la carrière militaire.</v>
      </c>
      <c r="BD12" s="13" t="s">
        <v>137</v>
      </c>
      <c r="BE12" s="15" t="str">
        <f>VLOOKUP(BD12,'Axe 2 Règles de gestion'!$D$2:$F$40,3, FALSE)</f>
        <v>Pour les militaires sous contrat à durée déterminée, la date de début du congé/absence doit être postérieure ou égale à la date de début du lien juridique.</v>
      </c>
      <c r="BF12" s="13" t="s">
        <v>139</v>
      </c>
      <c r="BG12" s="15" t="str">
        <f>VLOOKUP(BF12,'Axe 2 Règles de gestion'!$D$2:$F$40,3, FALSE)</f>
        <v>La date de début du congé/absence doit être antérieure ou égale à la date de fin réelle du congé/absence.</v>
      </c>
      <c r="BH12" s="13" t="s">
        <v>141</v>
      </c>
      <c r="BI12" s="15" t="str">
        <f>VLOOKUP(BH12,'Axe 2 Règles de gestion'!$D$2:$F$40,3, FALSE)</f>
        <v>La date de début du congé/absence doit être antérieure ou égale à la date de fin prévisionnelle du congé/absence.</v>
      </c>
      <c r="BJ12" s="13" t="s">
        <v>143</v>
      </c>
      <c r="BK12" s="15" t="str">
        <f>VLOOKUP(BJ12,'Axe 2 Règles de gestion'!$D$2:$F$40,3, FALSE)</f>
        <v>La date de fin réelle du congé/absence doit être antérieure à la date limite de départ à la retraite.</v>
      </c>
      <c r="BL12" s="13" t="s">
        <v>145</v>
      </c>
      <c r="BM12" s="15" t="str">
        <f>VLOOKUP(BL12,'Axe 2 Règles de gestion'!$D$2:$F$40,3, FALSE)</f>
        <v>La date de fin prévisionnelle du congé/absence doit être antérieure à la date limite de départ à la retraite.</v>
      </c>
      <c r="BN12" s="13" t="s">
        <v>147</v>
      </c>
      <c r="BO12" s="15" t="str">
        <f>VLOOKUP(BN12,'Axe 2 Règles de gestion'!$D$2:$F$40,3, FALSE)</f>
        <v>La date de fin réelle ou la date de fin prévisionnelle du congé/absence doit être saisie.</v>
      </c>
      <c r="BP12" s="13" t="s">
        <v>149</v>
      </c>
      <c r="BQ12" s="15" t="str">
        <f>VLOOKUP(BP12,'Axe 2 Règles de gestion'!$D$2:$F$40,3, FALSE)</f>
        <v>Si l'absence ne commence pas par une demi-journée et si l'absence précédente ne finit pas par une demi journée, la date de début de l'absence saisie est postérieure à la date de fin réelle de l'absence précédente.</v>
      </c>
      <c r="BR12" s="13" t="s">
        <v>151</v>
      </c>
      <c r="BS12" s="15" t="str">
        <f>VLOOKUP(BR12,'Axe 2 Règles de gestion'!$D$2:$F$40,3,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T12" s="13" t="s">
        <v>153</v>
      </c>
      <c r="BU12" s="15" t="str">
        <f>VLOOKUP(BT12,'Axe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V12" s="13"/>
      <c r="BW12" s="15"/>
    </row>
    <row r="13" spans="1:75" ht="130.5" x14ac:dyDescent="0.35">
      <c r="A13" s="13" t="s">
        <v>76</v>
      </c>
      <c r="B13" s="13" t="s">
        <v>77</v>
      </c>
      <c r="C13" s="14">
        <v>45414.666666666664</v>
      </c>
      <c r="D13" s="13" t="s">
        <v>78</v>
      </c>
      <c r="E13" s="15" t="s">
        <v>79</v>
      </c>
      <c r="F13" s="13" t="s">
        <v>80</v>
      </c>
      <c r="G13" s="15" t="s">
        <v>81</v>
      </c>
      <c r="H13" s="13" t="s">
        <v>82</v>
      </c>
      <c r="I13" s="15" t="s">
        <v>83</v>
      </c>
      <c r="J13" s="15" t="s">
        <v>84</v>
      </c>
      <c r="K13" s="15" t="s">
        <v>85</v>
      </c>
      <c r="L13" s="13" t="s">
        <v>93</v>
      </c>
      <c r="M13" s="15" t="s">
        <v>94</v>
      </c>
      <c r="N13" s="13" t="s">
        <v>95</v>
      </c>
      <c r="O13" s="15"/>
      <c r="P13" s="15"/>
      <c r="Q13" s="15" t="s">
        <v>104</v>
      </c>
      <c r="R13" s="13" t="s">
        <v>105</v>
      </c>
      <c r="S13" s="13" t="s">
        <v>106</v>
      </c>
      <c r="T13" s="13" t="s">
        <v>107</v>
      </c>
      <c r="U13" s="14">
        <v>44927</v>
      </c>
      <c r="V13" s="14"/>
      <c r="W13" s="15" t="s">
        <v>155</v>
      </c>
      <c r="X13" s="13" t="s">
        <v>156</v>
      </c>
      <c r="Y13" s="15" t="str">
        <f>VLOOKUP(X13,'Axe 2 Règles de gestion'!$D$2:$F$40,3, FALSE)</f>
        <v>Le militaire en permission peut être rappelé immédiatement lorsque les circonstances l'exigent.</v>
      </c>
      <c r="Z13" s="13"/>
      <c r="AA13" s="15"/>
      <c r="AB13" s="13"/>
      <c r="AC13" s="15"/>
      <c r="AD13" s="13"/>
      <c r="AE13" s="15"/>
      <c r="AF13" s="13"/>
      <c r="AG13" s="15"/>
      <c r="AH13" s="13"/>
      <c r="AI13" s="15"/>
      <c r="AJ13" s="13"/>
      <c r="AK13" s="15"/>
      <c r="AL13" s="13"/>
      <c r="AM13" s="15"/>
      <c r="AN13" s="13"/>
      <c r="AO13" s="15"/>
      <c r="AP13" s="13" t="s">
        <v>125</v>
      </c>
      <c r="AQ13" s="15" t="str">
        <f>VLOOKUP(AP13,'Axe 2 Règles de gestion'!$D$2:$F$40,3, FALSE)</f>
        <v>La durée prévisionnelle de la permission est de 3 jours ouvrés.</v>
      </c>
      <c r="AR13" s="13" t="s">
        <v>127</v>
      </c>
      <c r="AS13" s="15" t="str">
        <f>VLOOKUP(AR13,'Axe 2 Règles de gestion'!$D$2:$F$40,3, FALSE)</f>
        <v>La durée réelle de la permission est de 3 jours ouvrés.</v>
      </c>
      <c r="AT13" s="13" t="s">
        <v>129</v>
      </c>
      <c r="AU13" s="15" t="str">
        <f>VLOOKUP(AT13,'Axe 2 Règles de gestion'!$D$2:$F$40,3, FALSE)</f>
        <v>La date de fin prévisionnelle de la permission doit être antérieure ou égale à la date limite de fin réelle ou prévisionnelle du lien juridique. Le militaire ne voit pas son contrat prorogé jusqu'à la date de fin de la permission.</v>
      </c>
      <c r="AV13" s="13" t="s">
        <v>131</v>
      </c>
      <c r="AW13" s="15" t="str">
        <f>VLOOKUP(AV13,'Axe 2 Règles de gestion'!$D$2:$F$40,3, FALSE)</f>
        <v>La date de fin réelle de la permission doit être antérieure ou égale à la date limite de fin réelle ou prévisionnelle du lien juridique. Le militaire ne voit pas son contrat prorogé jusqu'à la date de fin de la permission.</v>
      </c>
      <c r="AX13" s="13" t="s">
        <v>133</v>
      </c>
      <c r="AY13" s="15" t="str">
        <f>VLOOKUP(AX13,'Axe 2 Règles de gestion'!$D$2:$F$40,3, FALSE)</f>
        <v>Le militaire est en activité.</v>
      </c>
      <c r="AZ13" s="13"/>
      <c r="BA13" s="15"/>
      <c r="BB13" s="13" t="s">
        <v>139</v>
      </c>
      <c r="BC13" s="15" t="str">
        <f>VLOOKUP(BB13,'Axe 2 Règles de gestion'!$D$2:$F$40,3, FALSE)</f>
        <v>La date de début du congé/absence doit être antérieure ou égale à la date de fin réelle du congé/absence.</v>
      </c>
      <c r="BD13" s="13" t="s">
        <v>141</v>
      </c>
      <c r="BE13" s="15" t="str">
        <f>VLOOKUP(BD13,'Axe 2 Règles de gestion'!$D$2:$F$40,3, FALSE)</f>
        <v>La date de début du congé/absence doit être antérieure ou égale à la date de fin prévisionnelle du congé/absence.</v>
      </c>
      <c r="BF13" s="13" t="s">
        <v>143</v>
      </c>
      <c r="BG13" s="15" t="str">
        <f>VLOOKUP(BF13,'Axe 2 Règles de gestion'!$D$2:$F$40,3, FALSE)</f>
        <v>La date de fin réelle du congé/absence doit être antérieure à la date limite de départ à la retraite.</v>
      </c>
      <c r="BH13" s="13" t="s">
        <v>145</v>
      </c>
      <c r="BI13" s="15" t="str">
        <f>VLOOKUP(BH13,'Axe 2 Règles de gestion'!$D$2:$F$40,3, FALSE)</f>
        <v>La date de fin prévisionnelle du congé/absence doit être antérieure à la date limite de départ à la retraite.</v>
      </c>
      <c r="BJ13" s="13" t="s">
        <v>147</v>
      </c>
      <c r="BK13" s="15" t="str">
        <f>VLOOKUP(BJ13,'Axe 2 Règles de gestion'!$D$2:$F$40,3, FALSE)</f>
        <v>La date de fin réelle ou la date de fin prévisionnelle du congé/absence doit être saisie.</v>
      </c>
      <c r="BL13" s="13" t="s">
        <v>153</v>
      </c>
      <c r="BM13" s="15" t="str">
        <f>VLOOKUP(BL13,'Axe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N13" s="13"/>
      <c r="BO13" s="15"/>
      <c r="BP13" s="13"/>
      <c r="BQ13" s="15"/>
      <c r="BR13" s="13"/>
      <c r="BS13" s="15"/>
      <c r="BT13" s="13"/>
      <c r="BU13" s="15"/>
      <c r="BV13" s="13"/>
      <c r="BW13" s="15"/>
    </row>
    <row r="14" spans="1:75" ht="130.5" x14ac:dyDescent="0.35">
      <c r="A14" s="13" t="s">
        <v>76</v>
      </c>
      <c r="B14" s="13" t="s">
        <v>77</v>
      </c>
      <c r="C14" s="14">
        <v>45414.666666666664</v>
      </c>
      <c r="D14" s="13" t="s">
        <v>78</v>
      </c>
      <c r="E14" s="15" t="s">
        <v>79</v>
      </c>
      <c r="F14" s="13" t="s">
        <v>80</v>
      </c>
      <c r="G14" s="15" t="s">
        <v>81</v>
      </c>
      <c r="H14" s="13" t="s">
        <v>82</v>
      </c>
      <c r="I14" s="15" t="s">
        <v>83</v>
      </c>
      <c r="J14" s="15" t="s">
        <v>84</v>
      </c>
      <c r="K14" s="15" t="s">
        <v>85</v>
      </c>
      <c r="L14" s="13" t="s">
        <v>86</v>
      </c>
      <c r="M14" s="15" t="s">
        <v>87</v>
      </c>
      <c r="N14" s="13" t="s">
        <v>88</v>
      </c>
      <c r="O14" s="15"/>
      <c r="P14" s="15"/>
      <c r="Q14" s="15" t="s">
        <v>158</v>
      </c>
      <c r="R14" s="13" t="s">
        <v>159</v>
      </c>
      <c r="S14" s="13" t="s">
        <v>106</v>
      </c>
      <c r="T14" s="13" t="s">
        <v>107</v>
      </c>
      <c r="U14" s="14">
        <v>44927</v>
      </c>
      <c r="V14" s="14"/>
      <c r="W14" s="15" t="s">
        <v>160</v>
      </c>
      <c r="X14" s="13" t="s">
        <v>161</v>
      </c>
      <c r="Y14" s="15" t="str">
        <f>VLOOKUP(X14,'Axe 2 Règles de gestion'!$D$2:$F$40,3, FALSE)</f>
        <v>Le militaire doit exercer une activité au titre d'un engagement à servir dans la réserve opérationnelle ou au titre de la disponibilité.</v>
      </c>
      <c r="Z14" s="13" t="s">
        <v>109</v>
      </c>
      <c r="AA14" s="15" t="str">
        <f>VLOOKUP(Z14,'Axe 2 Règles de gestion'!$D$2:$F$40,3, FALSE)</f>
        <v>En cas de participation à des opérations militaires, la permission est accordée par le commandant de la formation administrative ou l'autorité équivalente, dans les conditions fixées par le ministre de la défense.</v>
      </c>
      <c r="AB14" s="13" t="s">
        <v>111</v>
      </c>
      <c r="AC14" s="15" t="str">
        <f>VLOOKUP(AB14,'Axe 2 Règles de gestion'!$D$2:$F$40,3, FALSE)</f>
        <v>La permission est accordée à l'occasion du mariage du militaire ou de la conclusion d'un pacte civil de solidarité par ce dernier.</v>
      </c>
      <c r="AD14" s="13" t="s">
        <v>113</v>
      </c>
      <c r="AE14" s="15" t="str">
        <f>VLOOKUP(AD14,'Axe 2 Règles de gestion'!$D$2:$F$40,3, FALSE)</f>
        <v>La permission est accordée à l'occasion de la naissance d'un enfant du militaire ou de l'accueil d'un enfant par le militaire.</v>
      </c>
      <c r="AF14" s="13" t="s">
        <v>115</v>
      </c>
      <c r="AG14" s="15" t="str">
        <f>VLOOKUP(AF14,'Axe 2 Règles de gestion'!$D$2:$F$40,3, FALSE)</f>
        <v>La permission est accordée à l'occasion du mariage d'un enfant du militaire.</v>
      </c>
      <c r="AH14" s="13" t="s">
        <v>117</v>
      </c>
      <c r="AI14" s="15" t="str">
        <f>VLOOKUP(AH14,'Axe 2 Règles de gestion'!$D$2:$F$40,3, FALSE)</f>
        <v>La permission est accordée à l'occasion du décès d'un parent du militaire, lorsqu'il s'agit des grands-parents, parents, beaux-parents, frère ou sœur.</v>
      </c>
      <c r="AJ14" s="13" t="s">
        <v>119</v>
      </c>
      <c r="AK14" s="15" t="str">
        <f>VLOOKUP(AJ14,'Axe 2 Règles de gestion'!$D$2:$F$40,3, FALSE)</f>
        <v>La permission est accordée à l'occasion de l'arrivée dans le foyer du militaire d'un enfant placé en vue de son adoption.</v>
      </c>
      <c r="AL14" s="13" t="s">
        <v>121</v>
      </c>
      <c r="AM14" s="15" t="str">
        <f>VLOOKUP(AL14,'Axe 2 Règles de gestion'!$D$2:$F$40,3, FALSE)</f>
        <v>Lorsque la permission est prise à l'occasion de de l'arrivée d'un enfant placé en vue de son adoption, les jours sont pris de manière continue ou fractionnée.</v>
      </c>
      <c r="AN14" s="13" t="s">
        <v>123</v>
      </c>
      <c r="AO14" s="15" t="str">
        <f>VLOOKUP(AN14,'Axe 2 Règles de gestion'!$D$2:$F$40,3, FALSE)</f>
        <v>La permission peut être prise, au choix du militaire, à compter du jour de l'arrivée de l'enfant adopté au sein du foyer ou au cours de la période de 7 jours consécutifs précédant son arrivée.</v>
      </c>
      <c r="AP14" s="13" t="s">
        <v>125</v>
      </c>
      <c r="AQ14" s="15" t="str">
        <f>VLOOKUP(AP14,'Axe 2 Règles de gestion'!$D$2:$F$40,3, FALSE)</f>
        <v>La durée prévisionnelle de la permission est de 3 jours ouvrés.</v>
      </c>
      <c r="AR14" s="13" t="s">
        <v>127</v>
      </c>
      <c r="AS14" s="15" t="str">
        <f>VLOOKUP(AR14,'Axe 2 Règles de gestion'!$D$2:$F$40,3, FALSE)</f>
        <v>La durée réelle de la permission est de 3 jours ouvrés.</v>
      </c>
      <c r="AT14" s="13" t="s">
        <v>129</v>
      </c>
      <c r="AU14" s="15" t="str">
        <f>VLOOKUP(AT14,'Axe 2 Règles de gestion'!$D$2:$F$40,3, FALSE)</f>
        <v>La date de fin prévisionnelle de la permission doit être antérieure ou égale à la date limite de fin réelle ou prévisionnelle du lien juridique. Le militaire ne voit pas son contrat prorogé jusqu'à la date de fin de la permission.</v>
      </c>
      <c r="AV14" s="13" t="s">
        <v>131</v>
      </c>
      <c r="AW14" s="15" t="str">
        <f>VLOOKUP(AV14,'Axe 2 Règles de gestion'!$D$2:$F$40,3, FALSE)</f>
        <v>La date de fin réelle de la permission doit être antérieure ou égale à la date limite de fin réelle ou prévisionnelle du lien juridique. Le militaire ne voit pas son contrat prorogé jusqu'à la date de fin de la permission.</v>
      </c>
      <c r="AX14" s="13" t="s">
        <v>133</v>
      </c>
      <c r="AY14" s="15" t="str">
        <f>VLOOKUP(AX14,'Axe 2 Règles de gestion'!$D$2:$F$40,3, FALSE)</f>
        <v>Le militaire est en activité.</v>
      </c>
      <c r="AZ14" s="13"/>
      <c r="BA14" s="15"/>
      <c r="BB14" s="13" t="s">
        <v>135</v>
      </c>
      <c r="BC14" s="15" t="str">
        <f>VLOOKUP(BB14,'Axe 2 Règles de gestion'!$D$2:$F$40,3, FALSE)</f>
        <v>La date de début du congé/absence doit être postérieure ou égale à la date de recrutement dans la FPE ou dans la carrière militaire.</v>
      </c>
      <c r="BD14" s="13" t="s">
        <v>137</v>
      </c>
      <c r="BE14" s="15" t="str">
        <f>VLOOKUP(BD14,'Axe 2 Règles de gestion'!$D$2:$F$40,3, FALSE)</f>
        <v>Pour les militaires sous contrat à durée déterminée, la date de début du congé/absence doit être postérieure ou égale à la date de début du lien juridique.</v>
      </c>
      <c r="BF14" s="13" t="s">
        <v>139</v>
      </c>
      <c r="BG14" s="15" t="str">
        <f>VLOOKUP(BF14,'Axe 2 Règles de gestion'!$D$2:$F$40,3, FALSE)</f>
        <v>La date de début du congé/absence doit être antérieure ou égale à la date de fin réelle du congé/absence.</v>
      </c>
      <c r="BH14" s="13" t="s">
        <v>141</v>
      </c>
      <c r="BI14" s="15" t="str">
        <f>VLOOKUP(BH14,'Axe 2 Règles de gestion'!$D$2:$F$40,3, FALSE)</f>
        <v>La date de début du congé/absence doit être antérieure ou égale à la date de fin prévisionnelle du congé/absence.</v>
      </c>
      <c r="BJ14" s="13" t="s">
        <v>143</v>
      </c>
      <c r="BK14" s="15" t="str">
        <f>VLOOKUP(BJ14,'Axe 2 Règles de gestion'!$D$2:$F$40,3, FALSE)</f>
        <v>La date de fin réelle du congé/absence doit être antérieure à la date limite de départ à la retraite.</v>
      </c>
      <c r="BL14" s="13" t="s">
        <v>145</v>
      </c>
      <c r="BM14" s="15" t="str">
        <f>VLOOKUP(BL14,'Axe 2 Règles de gestion'!$D$2:$F$40,3, FALSE)</f>
        <v>La date de fin prévisionnelle du congé/absence doit être antérieure à la date limite de départ à la retraite.</v>
      </c>
      <c r="BN14" s="13" t="s">
        <v>147</v>
      </c>
      <c r="BO14" s="15" t="str">
        <f>VLOOKUP(BN14,'Axe 2 Règles de gestion'!$D$2:$F$40,3, FALSE)</f>
        <v>La date de fin réelle ou la date de fin prévisionnelle du congé/absence doit être saisie.</v>
      </c>
      <c r="BP14" s="13" t="s">
        <v>149</v>
      </c>
      <c r="BQ14" s="15" t="str">
        <f>VLOOKUP(BP14,'Axe 2 Règles de gestion'!$D$2:$F$40,3, FALSE)</f>
        <v>Si l'absence ne commence pas par une demi-journée et si l'absence précédente ne finit pas par une demi journée, la date de début de l'absence saisie est postérieure à la date de fin réelle de l'absence précédente.</v>
      </c>
      <c r="BR14" s="13" t="s">
        <v>151</v>
      </c>
      <c r="BS14" s="15" t="str">
        <f>VLOOKUP(BR14,'Axe 2 Règles de gestion'!$D$2:$F$40,3,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T14" s="13" t="s">
        <v>153</v>
      </c>
      <c r="BU14" s="15" t="str">
        <f>VLOOKUP(BT14,'Axe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V14" s="13"/>
      <c r="BW14" s="15"/>
    </row>
    <row r="15" spans="1:75" ht="130.5" x14ac:dyDescent="0.35">
      <c r="A15" s="13" t="s">
        <v>76</v>
      </c>
      <c r="B15" s="13" t="s">
        <v>77</v>
      </c>
      <c r="C15" s="14">
        <v>45414.667361111111</v>
      </c>
      <c r="D15" s="13" t="s">
        <v>78</v>
      </c>
      <c r="E15" s="15" t="s">
        <v>79</v>
      </c>
      <c r="F15" s="13" t="s">
        <v>80</v>
      </c>
      <c r="G15" s="15" t="s">
        <v>81</v>
      </c>
      <c r="H15" s="13" t="s">
        <v>82</v>
      </c>
      <c r="I15" s="15" t="s">
        <v>83</v>
      </c>
      <c r="J15" s="15" t="s">
        <v>84</v>
      </c>
      <c r="K15" s="15" t="s">
        <v>85</v>
      </c>
      <c r="L15" s="13" t="s">
        <v>93</v>
      </c>
      <c r="M15" s="15" t="s">
        <v>94</v>
      </c>
      <c r="N15" s="13" t="s">
        <v>95</v>
      </c>
      <c r="O15" s="15"/>
      <c r="P15" s="15"/>
      <c r="Q15" s="15" t="s">
        <v>158</v>
      </c>
      <c r="R15" s="13" t="s">
        <v>159</v>
      </c>
      <c r="S15" s="13" t="s">
        <v>106</v>
      </c>
      <c r="T15" s="13" t="s">
        <v>107</v>
      </c>
      <c r="U15" s="14">
        <v>44927</v>
      </c>
      <c r="V15" s="14"/>
      <c r="W15" s="15" t="s">
        <v>155</v>
      </c>
      <c r="X15" s="13" t="s">
        <v>156</v>
      </c>
      <c r="Y15" s="15" t="str">
        <f>VLOOKUP(X15,'Axe 2 Règles de gestion'!$D$2:$F$40,3, FALSE)</f>
        <v>Le militaire en permission peut être rappelé immédiatement lorsque les circonstances l'exigent.</v>
      </c>
      <c r="Z15" s="13"/>
      <c r="AA15" s="15"/>
      <c r="AB15" s="13"/>
      <c r="AC15" s="15"/>
      <c r="AD15" s="13"/>
      <c r="AE15" s="15"/>
      <c r="AF15" s="13"/>
      <c r="AG15" s="15"/>
      <c r="AH15" s="13"/>
      <c r="AI15" s="15"/>
      <c r="AJ15" s="13"/>
      <c r="AK15" s="15"/>
      <c r="AL15" s="13"/>
      <c r="AM15" s="15"/>
      <c r="AN15" s="13"/>
      <c r="AO15" s="15"/>
      <c r="AP15" s="13" t="s">
        <v>125</v>
      </c>
      <c r="AQ15" s="15" t="str">
        <f>VLOOKUP(AP15,'Axe 2 Règles de gestion'!$D$2:$F$40,3, FALSE)</f>
        <v>La durée prévisionnelle de la permission est de 3 jours ouvrés.</v>
      </c>
      <c r="AR15" s="13" t="s">
        <v>127</v>
      </c>
      <c r="AS15" s="15" t="str">
        <f>VLOOKUP(AR15,'Axe 2 Règles de gestion'!$D$2:$F$40,3, FALSE)</f>
        <v>La durée réelle de la permission est de 3 jours ouvrés.</v>
      </c>
      <c r="AT15" s="13" t="s">
        <v>129</v>
      </c>
      <c r="AU15" s="15" t="str">
        <f>VLOOKUP(AT15,'Axe 2 Règles de gestion'!$D$2:$F$40,3, FALSE)</f>
        <v>La date de fin prévisionnelle de la permission doit être antérieure ou égale à la date limite de fin réelle ou prévisionnelle du lien juridique. Le militaire ne voit pas son contrat prorogé jusqu'à la date de fin de la permission.</v>
      </c>
      <c r="AV15" s="13" t="s">
        <v>131</v>
      </c>
      <c r="AW15" s="15" t="str">
        <f>VLOOKUP(AV15,'Axe 2 Règles de gestion'!$D$2:$F$40,3, FALSE)</f>
        <v>La date de fin réelle de la permission doit être antérieure ou égale à la date limite de fin réelle ou prévisionnelle du lien juridique. Le militaire ne voit pas son contrat prorogé jusqu'à la date de fin de la permission.</v>
      </c>
      <c r="AX15" s="13" t="s">
        <v>133</v>
      </c>
      <c r="AY15" s="15" t="str">
        <f>VLOOKUP(AX15,'Axe 2 Règles de gestion'!$D$2:$F$40,3, FALSE)</f>
        <v>Le militaire est en activité.</v>
      </c>
      <c r="AZ15" s="13"/>
      <c r="BA15" s="15"/>
      <c r="BB15" s="13" t="s">
        <v>139</v>
      </c>
      <c r="BC15" s="15" t="str">
        <f>VLOOKUP(BB15,'Axe 2 Règles de gestion'!$D$2:$F$40,3, FALSE)</f>
        <v>La date de début du congé/absence doit être antérieure ou égale à la date de fin réelle du congé/absence.</v>
      </c>
      <c r="BD15" s="13" t="s">
        <v>141</v>
      </c>
      <c r="BE15" s="15" t="str">
        <f>VLOOKUP(BD15,'Axe 2 Règles de gestion'!$D$2:$F$40,3, FALSE)</f>
        <v>La date de début du congé/absence doit être antérieure ou égale à la date de fin prévisionnelle du congé/absence.</v>
      </c>
      <c r="BF15" s="13" t="s">
        <v>143</v>
      </c>
      <c r="BG15" s="15" t="str">
        <f>VLOOKUP(BF15,'Axe 2 Règles de gestion'!$D$2:$F$40,3, FALSE)</f>
        <v>La date de fin réelle du congé/absence doit être antérieure à la date limite de départ à la retraite.</v>
      </c>
      <c r="BH15" s="13" t="s">
        <v>145</v>
      </c>
      <c r="BI15" s="15" t="str">
        <f>VLOOKUP(BH15,'Axe 2 Règles de gestion'!$D$2:$F$40,3, FALSE)</f>
        <v>La date de fin prévisionnelle du congé/absence doit être antérieure à la date limite de départ à la retraite.</v>
      </c>
      <c r="BJ15" s="13" t="s">
        <v>147</v>
      </c>
      <c r="BK15" s="15" t="str">
        <f>VLOOKUP(BJ15,'Axe 2 Règles de gestion'!$D$2:$F$40,3, FALSE)</f>
        <v>La date de fin réelle ou la date de fin prévisionnelle du congé/absence doit être saisie.</v>
      </c>
      <c r="BL15" s="13" t="s">
        <v>153</v>
      </c>
      <c r="BM15" s="15" t="str">
        <f>VLOOKUP(BL15,'Axe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N15" s="13"/>
      <c r="BO15" s="15"/>
      <c r="BP15" s="13"/>
      <c r="BQ15" s="15"/>
      <c r="BR15" s="13"/>
      <c r="BS15" s="15"/>
      <c r="BT15" s="13"/>
      <c r="BU15" s="15"/>
      <c r="BV15" s="13"/>
      <c r="BW15" s="15"/>
    </row>
    <row r="16" spans="1:75" ht="130.5" x14ac:dyDescent="0.35">
      <c r="A16" s="13" t="s">
        <v>76</v>
      </c>
      <c r="B16" s="13" t="s">
        <v>77</v>
      </c>
      <c r="C16" s="14">
        <v>45414.666666666664</v>
      </c>
      <c r="D16" s="13" t="s">
        <v>78</v>
      </c>
      <c r="E16" s="15" t="s">
        <v>79</v>
      </c>
      <c r="F16" s="13" t="s">
        <v>80</v>
      </c>
      <c r="G16" s="15" t="s">
        <v>81</v>
      </c>
      <c r="H16" s="13" t="s">
        <v>82</v>
      </c>
      <c r="I16" s="15" t="s">
        <v>83</v>
      </c>
      <c r="J16" s="15" t="s">
        <v>84</v>
      </c>
      <c r="K16" s="15" t="s">
        <v>85</v>
      </c>
      <c r="L16" s="13" t="s">
        <v>86</v>
      </c>
      <c r="M16" s="15" t="s">
        <v>87</v>
      </c>
      <c r="N16" s="13" t="s">
        <v>88</v>
      </c>
      <c r="O16" s="15"/>
      <c r="P16" s="15"/>
      <c r="Q16" s="15" t="s">
        <v>163</v>
      </c>
      <c r="R16" s="13" t="s">
        <v>164</v>
      </c>
      <c r="S16" s="13" t="s">
        <v>106</v>
      </c>
      <c r="T16" s="13" t="s">
        <v>107</v>
      </c>
      <c r="U16" s="14">
        <v>44927</v>
      </c>
      <c r="V16" s="14"/>
      <c r="W16" s="15" t="s">
        <v>165</v>
      </c>
      <c r="X16" s="13" t="s">
        <v>109</v>
      </c>
      <c r="Y16" s="15" t="str">
        <f>VLOOKUP(X16,'Axe 2 Règles de gestion'!$D$2:$F$40,3, FALSE)</f>
        <v>En cas de participation à des opérations militaires, la permission est accordée par le commandant de la formation administrative ou l'autorité équivalente, dans les conditions fixées par le ministre de la défense.</v>
      </c>
      <c r="Z16" s="13" t="s">
        <v>111</v>
      </c>
      <c r="AA16" s="15" t="str">
        <f>VLOOKUP(Z16,'Axe 2 Règles de gestion'!$D$2:$F$40,3, FALSE)</f>
        <v>La permission est accordée à l'occasion du mariage du militaire ou de la conclusion d'un pacte civil de solidarité par ce dernier.</v>
      </c>
      <c r="AB16" s="13" t="s">
        <v>113</v>
      </c>
      <c r="AC16" s="15" t="str">
        <f>VLOOKUP(AB16,'Axe 2 Règles de gestion'!$D$2:$F$40,3, FALSE)</f>
        <v>La permission est accordée à l'occasion de la naissance d'un enfant du militaire ou de l'accueil d'un enfant par le militaire.</v>
      </c>
      <c r="AD16" s="13" t="s">
        <v>115</v>
      </c>
      <c r="AE16" s="15" t="str">
        <f>VLOOKUP(AD16,'Axe 2 Règles de gestion'!$D$2:$F$40,3, FALSE)</f>
        <v>La permission est accordée à l'occasion du mariage d'un enfant du militaire.</v>
      </c>
      <c r="AF16" s="13" t="s">
        <v>117</v>
      </c>
      <c r="AG16" s="15" t="str">
        <f>VLOOKUP(AF16,'Axe 2 Règles de gestion'!$D$2:$F$40,3, FALSE)</f>
        <v>La permission est accordée à l'occasion du décès d'un parent du militaire, lorsqu'il s'agit des grands-parents, parents, beaux-parents, frère ou sœur.</v>
      </c>
      <c r="AH16" s="13" t="s">
        <v>119</v>
      </c>
      <c r="AI16" s="15" t="str">
        <f>VLOOKUP(AH16,'Axe 2 Règles de gestion'!$D$2:$F$40,3, FALSE)</f>
        <v>La permission est accordée à l'occasion de l'arrivée dans le foyer du militaire d'un enfant placé en vue de son adoption.</v>
      </c>
      <c r="AJ16" s="13" t="s">
        <v>121</v>
      </c>
      <c r="AK16" s="15" t="str">
        <f>VLOOKUP(AJ16,'Axe 2 Règles de gestion'!$D$2:$F$40,3, FALSE)</f>
        <v>Lorsque la permission est prise à l'occasion de de l'arrivée d'un enfant placé en vue de son adoption, les jours sont pris de manière continue ou fractionnée.</v>
      </c>
      <c r="AL16" s="13" t="s">
        <v>123</v>
      </c>
      <c r="AM16" s="15" t="str">
        <f>VLOOKUP(AL16,'Axe 2 Règles de gestion'!$D$2:$F$40,3, FALSE)</f>
        <v>La permission peut être prise, au choix du militaire, à compter du jour de l'arrivée de l'enfant adopté au sein du foyer ou au cours de la période de 7 jours consécutifs précédant son arrivée.</v>
      </c>
      <c r="AN16" s="13"/>
      <c r="AO16" s="15"/>
      <c r="AP16" s="13" t="s">
        <v>125</v>
      </c>
      <c r="AQ16" s="15" t="str">
        <f>VLOOKUP(AP16,'Axe 2 Règles de gestion'!$D$2:$F$40,3, FALSE)</f>
        <v>La durée prévisionnelle de la permission est de 3 jours ouvrés.</v>
      </c>
      <c r="AR16" s="13" t="s">
        <v>127</v>
      </c>
      <c r="AS16" s="15" t="str">
        <f>VLOOKUP(AR16,'Axe 2 Règles de gestion'!$D$2:$F$40,3, FALSE)</f>
        <v>La durée réelle de la permission est de 3 jours ouvrés.</v>
      </c>
      <c r="AT16" s="13" t="s">
        <v>133</v>
      </c>
      <c r="AU16" s="15" t="str">
        <f>VLOOKUP(AT16,'Axe 2 Règles de gestion'!$D$2:$F$40,3, FALSE)</f>
        <v>Le militaire est en activité.</v>
      </c>
      <c r="AV16" s="13"/>
      <c r="AW16" s="15"/>
      <c r="AX16" s="13"/>
      <c r="AY16" s="15"/>
      <c r="AZ16" s="13"/>
      <c r="BA16" s="15"/>
      <c r="BB16" s="13" t="s">
        <v>135</v>
      </c>
      <c r="BC16" s="15" t="str">
        <f>VLOOKUP(BB16,'Axe 2 Règles de gestion'!$D$2:$F$40,3, FALSE)</f>
        <v>La date de début du congé/absence doit être postérieure ou égale à la date de recrutement dans la FPE ou dans la carrière militaire.</v>
      </c>
      <c r="BD16" s="13" t="s">
        <v>139</v>
      </c>
      <c r="BE16" s="15" t="str">
        <f>VLOOKUP(BD16,'Axe 2 Règles de gestion'!$D$2:$F$40,3, FALSE)</f>
        <v>La date de début du congé/absence doit être antérieure ou égale à la date de fin réelle du congé/absence.</v>
      </c>
      <c r="BF16" s="13" t="s">
        <v>141</v>
      </c>
      <c r="BG16" s="15" t="str">
        <f>VLOOKUP(BF16,'Axe 2 Règles de gestion'!$D$2:$F$40,3, FALSE)</f>
        <v>La date de début du congé/absence doit être antérieure ou égale à la date de fin prévisionnelle du congé/absence.</v>
      </c>
      <c r="BH16" s="13" t="s">
        <v>143</v>
      </c>
      <c r="BI16" s="15" t="str">
        <f>VLOOKUP(BH16,'Axe 2 Règles de gestion'!$D$2:$F$40,3, FALSE)</f>
        <v>La date de fin réelle du congé/absence doit être antérieure à la date limite de départ à la retraite.</v>
      </c>
      <c r="BJ16" s="13" t="s">
        <v>145</v>
      </c>
      <c r="BK16" s="15" t="str">
        <f>VLOOKUP(BJ16,'Axe 2 Règles de gestion'!$D$2:$F$40,3, FALSE)</f>
        <v>La date de fin prévisionnelle du congé/absence doit être antérieure à la date limite de départ à la retraite.</v>
      </c>
      <c r="BL16" s="13" t="s">
        <v>147</v>
      </c>
      <c r="BM16" s="15" t="str">
        <f>VLOOKUP(BL16,'Axe 2 Règles de gestion'!$D$2:$F$40,3, FALSE)</f>
        <v>La date de fin réelle ou la date de fin prévisionnelle du congé/absence doit être saisie.</v>
      </c>
      <c r="BN16" s="13" t="s">
        <v>149</v>
      </c>
      <c r="BO16" s="15" t="str">
        <f>VLOOKUP(BN16,'Axe 2 Règles de gestion'!$D$2:$F$40,3, FALSE)</f>
        <v>Si l'absence ne commence pas par une demi-journée et si l'absence précédente ne finit pas par une demi journée, la date de début de l'absence saisie est postérieure à la date de fin réelle de l'absence précédente.</v>
      </c>
      <c r="BP16" s="13" t="s">
        <v>151</v>
      </c>
      <c r="BQ16" s="15" t="str">
        <f>VLOOKUP(BP16,'Axe 2 Règles de gestion'!$D$2:$F$40,3,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R16" s="13" t="s">
        <v>153</v>
      </c>
      <c r="BS16" s="15" t="str">
        <f>VLOOKUP(BR16,'Axe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T16" s="13"/>
      <c r="BU16" s="15"/>
      <c r="BV16" s="13"/>
      <c r="BW16" s="15"/>
    </row>
    <row r="17" spans="1:75" ht="116" x14ac:dyDescent="0.35">
      <c r="A17" s="13" t="s">
        <v>76</v>
      </c>
      <c r="B17" s="13" t="s">
        <v>77</v>
      </c>
      <c r="C17" s="14">
        <v>45414.667361111111</v>
      </c>
      <c r="D17" s="13" t="s">
        <v>78</v>
      </c>
      <c r="E17" s="15" t="s">
        <v>79</v>
      </c>
      <c r="F17" s="13" t="s">
        <v>80</v>
      </c>
      <c r="G17" s="15" t="s">
        <v>81</v>
      </c>
      <c r="H17" s="13" t="s">
        <v>82</v>
      </c>
      <c r="I17" s="15" t="s">
        <v>83</v>
      </c>
      <c r="J17" s="15" t="s">
        <v>84</v>
      </c>
      <c r="K17" s="15" t="s">
        <v>85</v>
      </c>
      <c r="L17" s="13" t="s">
        <v>93</v>
      </c>
      <c r="M17" s="15" t="s">
        <v>94</v>
      </c>
      <c r="N17" s="13" t="s">
        <v>95</v>
      </c>
      <c r="O17" s="15"/>
      <c r="P17" s="15"/>
      <c r="Q17" s="15" t="s">
        <v>163</v>
      </c>
      <c r="R17" s="13" t="s">
        <v>164</v>
      </c>
      <c r="S17" s="13" t="s">
        <v>106</v>
      </c>
      <c r="T17" s="13" t="s">
        <v>107</v>
      </c>
      <c r="U17" s="14">
        <v>44927</v>
      </c>
      <c r="V17" s="14"/>
      <c r="W17" s="15" t="s">
        <v>166</v>
      </c>
      <c r="X17" s="13" t="s">
        <v>156</v>
      </c>
      <c r="Y17" s="15" t="str">
        <f>VLOOKUP(X17,'Axe 2 Règles de gestion'!$D$2:$F$40,3, FALSE)</f>
        <v>Le militaire en permission peut être rappelé immédiatement lorsque les circonstances l'exigent.</v>
      </c>
      <c r="Z17" s="13"/>
      <c r="AA17" s="15"/>
      <c r="AB17" s="13"/>
      <c r="AC17" s="15"/>
      <c r="AD17" s="13"/>
      <c r="AE17" s="15"/>
      <c r="AF17" s="13"/>
      <c r="AG17" s="15"/>
      <c r="AH17" s="13"/>
      <c r="AI17" s="15"/>
      <c r="AJ17" s="13"/>
      <c r="AK17" s="15"/>
      <c r="AL17" s="13"/>
      <c r="AM17" s="15"/>
      <c r="AN17" s="13"/>
      <c r="AO17" s="15"/>
      <c r="AP17" s="13" t="s">
        <v>125</v>
      </c>
      <c r="AQ17" s="15" t="str">
        <f>VLOOKUP(AP17,'Axe 2 Règles de gestion'!$D$2:$F$40,3, FALSE)</f>
        <v>La durée prévisionnelle de la permission est de 3 jours ouvrés.</v>
      </c>
      <c r="AR17" s="13" t="s">
        <v>127</v>
      </c>
      <c r="AS17" s="15" t="str">
        <f>VLOOKUP(AR17,'Axe 2 Règles de gestion'!$D$2:$F$40,3, FALSE)</f>
        <v>La durée réelle de la permission est de 3 jours ouvrés.</v>
      </c>
      <c r="AT17" s="13" t="s">
        <v>133</v>
      </c>
      <c r="AU17" s="15" t="str">
        <f>VLOOKUP(AT17,'Axe 2 Règles de gestion'!$D$2:$F$40,3, FALSE)</f>
        <v>Le militaire est en activité.</v>
      </c>
      <c r="AV17" s="13"/>
      <c r="AW17" s="15"/>
      <c r="AX17" s="13"/>
      <c r="AY17" s="15"/>
      <c r="AZ17" s="13"/>
      <c r="BA17" s="15"/>
      <c r="BB17" s="13" t="s">
        <v>139</v>
      </c>
      <c r="BC17" s="15" t="str">
        <f>VLOOKUP(BB17,'Axe 2 Règles de gestion'!$D$2:$F$40,3, FALSE)</f>
        <v>La date de début du congé/absence doit être antérieure ou égale à la date de fin réelle du congé/absence.</v>
      </c>
      <c r="BD17" s="13" t="s">
        <v>141</v>
      </c>
      <c r="BE17" s="15" t="str">
        <f>VLOOKUP(BD17,'Axe 2 Règles de gestion'!$D$2:$F$40,3, FALSE)</f>
        <v>La date de début du congé/absence doit être antérieure ou égale à la date de fin prévisionnelle du congé/absence.</v>
      </c>
      <c r="BF17" s="13" t="s">
        <v>143</v>
      </c>
      <c r="BG17" s="15" t="str">
        <f>VLOOKUP(BF17,'Axe 2 Règles de gestion'!$D$2:$F$40,3, FALSE)</f>
        <v>La date de fin réelle du congé/absence doit être antérieure à la date limite de départ à la retraite.</v>
      </c>
      <c r="BH17" s="13" t="s">
        <v>145</v>
      </c>
      <c r="BI17" s="15" t="str">
        <f>VLOOKUP(BH17,'Axe 2 Règles de gestion'!$D$2:$F$40,3, FALSE)</f>
        <v>La date de fin prévisionnelle du congé/absence doit être antérieure à la date limite de départ à la retraite.</v>
      </c>
      <c r="BJ17" s="13" t="s">
        <v>147</v>
      </c>
      <c r="BK17" s="15" t="str">
        <f>VLOOKUP(BJ17,'Axe 2 Règles de gestion'!$D$2:$F$40,3, FALSE)</f>
        <v>La date de fin réelle ou la date de fin prévisionnelle du congé/absence doit être saisie.</v>
      </c>
      <c r="BL17" s="13" t="s">
        <v>153</v>
      </c>
      <c r="BM17" s="15" t="str">
        <f>VLOOKUP(BL17,'Axe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N17" s="13"/>
      <c r="BO17" s="15"/>
      <c r="BP17" s="13"/>
      <c r="BQ17" s="15"/>
      <c r="BR17" s="13"/>
      <c r="BS17" s="15"/>
      <c r="BT17" s="13"/>
      <c r="BU17" s="15"/>
      <c r="BV17" s="13"/>
      <c r="BW17" s="15"/>
    </row>
    <row r="18" spans="1:75" ht="72.5" x14ac:dyDescent="0.35">
      <c r="A18" s="13" t="s">
        <v>76</v>
      </c>
      <c r="B18" s="13" t="s">
        <v>77</v>
      </c>
      <c r="C18" s="14">
        <v>45414.668055555558</v>
      </c>
      <c r="D18" s="13" t="s">
        <v>78</v>
      </c>
      <c r="E18" s="15" t="s">
        <v>79</v>
      </c>
      <c r="F18" s="13" t="s">
        <v>80</v>
      </c>
      <c r="G18" s="15" t="s">
        <v>81</v>
      </c>
      <c r="H18" s="13" t="s">
        <v>167</v>
      </c>
      <c r="I18" s="15" t="s">
        <v>168</v>
      </c>
      <c r="J18" s="15" t="s">
        <v>169</v>
      </c>
      <c r="K18" s="15" t="s">
        <v>170</v>
      </c>
      <c r="L18" s="13" t="s">
        <v>171</v>
      </c>
      <c r="M18" s="15" t="s">
        <v>172</v>
      </c>
      <c r="N18" s="13" t="s">
        <v>88</v>
      </c>
      <c r="O18" s="15"/>
      <c r="P18" s="15"/>
      <c r="Q18" s="15" t="s">
        <v>89</v>
      </c>
      <c r="R18" s="13" t="s">
        <v>90</v>
      </c>
      <c r="S18" s="13" t="s">
        <v>91</v>
      </c>
      <c r="T18" s="13" t="s">
        <v>92</v>
      </c>
      <c r="U18" s="14">
        <v>44927</v>
      </c>
      <c r="V18" s="14"/>
      <c r="W18" s="15"/>
      <c r="X18" s="13"/>
      <c r="Y18" s="15"/>
      <c r="Z18" s="13"/>
      <c r="AA18" s="15"/>
      <c r="AB18" s="13"/>
      <c r="AC18" s="15"/>
      <c r="AD18" s="13"/>
      <c r="AE18" s="15"/>
      <c r="AF18" s="13"/>
      <c r="AG18" s="15"/>
      <c r="AH18" s="13"/>
      <c r="AI18" s="15"/>
      <c r="AJ18" s="13"/>
      <c r="AK18" s="15"/>
      <c r="AL18" s="13"/>
      <c r="AM18" s="15"/>
      <c r="AN18" s="13"/>
      <c r="AO18" s="15"/>
      <c r="AP18" s="13"/>
      <c r="AQ18" s="15"/>
      <c r="AR18" s="13"/>
      <c r="AS18" s="15"/>
      <c r="AT18" s="13"/>
      <c r="AU18" s="15"/>
      <c r="AV18" s="13"/>
      <c r="AW18" s="15"/>
      <c r="AX18" s="13"/>
      <c r="AY18" s="15"/>
      <c r="AZ18" s="13"/>
      <c r="BA18" s="15"/>
      <c r="BB18" s="13"/>
      <c r="BC18" s="15"/>
      <c r="BD18" s="13"/>
      <c r="BE18" s="15"/>
      <c r="BF18" s="13"/>
      <c r="BG18" s="15"/>
      <c r="BH18" s="13"/>
      <c r="BI18" s="15"/>
      <c r="BJ18" s="13"/>
      <c r="BK18" s="15"/>
      <c r="BL18" s="13"/>
      <c r="BM18" s="15"/>
      <c r="BN18" s="13"/>
      <c r="BO18" s="15"/>
      <c r="BP18" s="13"/>
      <c r="BQ18" s="15"/>
      <c r="BR18" s="13"/>
      <c r="BS18" s="15"/>
      <c r="BT18" s="13"/>
      <c r="BU18" s="15"/>
      <c r="BV18" s="13"/>
      <c r="BW18" s="15"/>
    </row>
    <row r="19" spans="1:75" ht="72.5" x14ac:dyDescent="0.35">
      <c r="A19" s="13" t="s">
        <v>76</v>
      </c>
      <c r="B19" s="13" t="s">
        <v>77</v>
      </c>
      <c r="C19" s="14">
        <v>45414.669444444444</v>
      </c>
      <c r="D19" s="13" t="s">
        <v>78</v>
      </c>
      <c r="E19" s="15" t="s">
        <v>79</v>
      </c>
      <c r="F19" s="13" t="s">
        <v>80</v>
      </c>
      <c r="G19" s="15" t="s">
        <v>81</v>
      </c>
      <c r="H19" s="13" t="s">
        <v>167</v>
      </c>
      <c r="I19" s="15" t="s">
        <v>168</v>
      </c>
      <c r="J19" s="15" t="s">
        <v>169</v>
      </c>
      <c r="K19" s="15" t="s">
        <v>170</v>
      </c>
      <c r="L19" s="13" t="s">
        <v>173</v>
      </c>
      <c r="M19" s="15" t="s">
        <v>174</v>
      </c>
      <c r="N19" s="13" t="s">
        <v>95</v>
      </c>
      <c r="O19" s="15"/>
      <c r="P19" s="15"/>
      <c r="Q19" s="15" t="s">
        <v>89</v>
      </c>
      <c r="R19" s="13" t="s">
        <v>90</v>
      </c>
      <c r="S19" s="13" t="s">
        <v>91</v>
      </c>
      <c r="T19" s="13" t="s">
        <v>92</v>
      </c>
      <c r="U19" s="14">
        <v>44927</v>
      </c>
      <c r="V19" s="14"/>
      <c r="W19" s="15"/>
      <c r="X19" s="13"/>
      <c r="Y19" s="15"/>
      <c r="Z19" s="13"/>
      <c r="AA19" s="15"/>
      <c r="AB19" s="13"/>
      <c r="AC19" s="15"/>
      <c r="AD19" s="13"/>
      <c r="AE19" s="15"/>
      <c r="AF19" s="13"/>
      <c r="AG19" s="15"/>
      <c r="AH19" s="13"/>
      <c r="AI19" s="15"/>
      <c r="AJ19" s="13"/>
      <c r="AK19" s="15"/>
      <c r="AL19" s="13"/>
      <c r="AM19" s="15"/>
      <c r="AN19" s="13"/>
      <c r="AO19" s="15"/>
      <c r="AP19" s="13"/>
      <c r="AQ19" s="15"/>
      <c r="AR19" s="13"/>
      <c r="AS19" s="15"/>
      <c r="AT19" s="13"/>
      <c r="AU19" s="15"/>
      <c r="AV19" s="13"/>
      <c r="AW19" s="15"/>
      <c r="AX19" s="13"/>
      <c r="AY19" s="15"/>
      <c r="AZ19" s="13"/>
      <c r="BA19" s="15"/>
      <c r="BB19" s="13"/>
      <c r="BC19" s="15"/>
      <c r="BD19" s="13"/>
      <c r="BE19" s="15"/>
      <c r="BF19" s="13"/>
      <c r="BG19" s="15"/>
      <c r="BH19" s="13"/>
      <c r="BI19" s="15"/>
      <c r="BJ19" s="13"/>
      <c r="BK19" s="15"/>
      <c r="BL19" s="13"/>
      <c r="BM19" s="15"/>
      <c r="BN19" s="13"/>
      <c r="BO19" s="15"/>
      <c r="BP19" s="13"/>
      <c r="BQ19" s="15"/>
      <c r="BR19" s="13"/>
      <c r="BS19" s="15"/>
      <c r="BT19" s="13"/>
      <c r="BU19" s="15"/>
      <c r="BV19" s="13"/>
      <c r="BW19" s="15"/>
    </row>
    <row r="20" spans="1:75" ht="72.5" x14ac:dyDescent="0.35">
      <c r="A20" s="13" t="s">
        <v>76</v>
      </c>
      <c r="B20" s="13" t="s">
        <v>77</v>
      </c>
      <c r="C20" s="14">
        <v>45414.668749999997</v>
      </c>
      <c r="D20" s="13" t="s">
        <v>78</v>
      </c>
      <c r="E20" s="15" t="s">
        <v>79</v>
      </c>
      <c r="F20" s="13" t="s">
        <v>80</v>
      </c>
      <c r="G20" s="15" t="s">
        <v>81</v>
      </c>
      <c r="H20" s="13" t="s">
        <v>167</v>
      </c>
      <c r="I20" s="15" t="s">
        <v>168</v>
      </c>
      <c r="J20" s="15" t="s">
        <v>169</v>
      </c>
      <c r="K20" s="15" t="s">
        <v>170</v>
      </c>
      <c r="L20" s="13" t="s">
        <v>171</v>
      </c>
      <c r="M20" s="15" t="s">
        <v>172</v>
      </c>
      <c r="N20" s="13" t="s">
        <v>88</v>
      </c>
      <c r="O20" s="15"/>
      <c r="P20" s="15"/>
      <c r="Q20" s="15" t="s">
        <v>96</v>
      </c>
      <c r="R20" s="13" t="s">
        <v>97</v>
      </c>
      <c r="S20" s="13" t="s">
        <v>91</v>
      </c>
      <c r="T20" s="13" t="s">
        <v>92</v>
      </c>
      <c r="U20" s="14">
        <v>44927</v>
      </c>
      <c r="V20" s="14"/>
      <c r="W20" s="15"/>
      <c r="X20" s="13"/>
      <c r="Y20" s="15"/>
      <c r="Z20" s="13"/>
      <c r="AA20" s="15"/>
      <c r="AB20" s="13"/>
      <c r="AC20" s="15"/>
      <c r="AD20" s="13"/>
      <c r="AE20" s="15"/>
      <c r="AF20" s="13"/>
      <c r="AG20" s="15"/>
      <c r="AH20" s="13"/>
      <c r="AI20" s="15"/>
      <c r="AJ20" s="13"/>
      <c r="AK20" s="15"/>
      <c r="AL20" s="13"/>
      <c r="AM20" s="15"/>
      <c r="AN20" s="13"/>
      <c r="AO20" s="15"/>
      <c r="AP20" s="13"/>
      <c r="AQ20" s="15"/>
      <c r="AR20" s="13"/>
      <c r="AS20" s="15"/>
      <c r="AT20" s="13"/>
      <c r="AU20" s="15"/>
      <c r="AV20" s="13"/>
      <c r="AW20" s="15"/>
      <c r="AX20" s="13"/>
      <c r="AY20" s="15"/>
      <c r="AZ20" s="13"/>
      <c r="BA20" s="15"/>
      <c r="BB20" s="13"/>
      <c r="BC20" s="15"/>
      <c r="BD20" s="13"/>
      <c r="BE20" s="15"/>
      <c r="BF20" s="13"/>
      <c r="BG20" s="15"/>
      <c r="BH20" s="13"/>
      <c r="BI20" s="15"/>
      <c r="BJ20" s="13"/>
      <c r="BK20" s="15"/>
      <c r="BL20" s="13"/>
      <c r="BM20" s="15"/>
      <c r="BN20" s="13"/>
      <c r="BO20" s="15"/>
      <c r="BP20" s="13"/>
      <c r="BQ20" s="15"/>
      <c r="BR20" s="13"/>
      <c r="BS20" s="15"/>
      <c r="BT20" s="13"/>
      <c r="BU20" s="15"/>
      <c r="BV20" s="13"/>
      <c r="BW20" s="15"/>
    </row>
    <row r="21" spans="1:75" ht="72.5" x14ac:dyDescent="0.35">
      <c r="A21" s="13" t="s">
        <v>76</v>
      </c>
      <c r="B21" s="13" t="s">
        <v>77</v>
      </c>
      <c r="C21" s="14">
        <v>45414.670138888891</v>
      </c>
      <c r="D21" s="13" t="s">
        <v>78</v>
      </c>
      <c r="E21" s="15" t="s">
        <v>79</v>
      </c>
      <c r="F21" s="13" t="s">
        <v>80</v>
      </c>
      <c r="G21" s="15" t="s">
        <v>81</v>
      </c>
      <c r="H21" s="13" t="s">
        <v>167</v>
      </c>
      <c r="I21" s="15" t="s">
        <v>168</v>
      </c>
      <c r="J21" s="15" t="s">
        <v>169</v>
      </c>
      <c r="K21" s="15" t="s">
        <v>170</v>
      </c>
      <c r="L21" s="13" t="s">
        <v>173</v>
      </c>
      <c r="M21" s="15" t="s">
        <v>174</v>
      </c>
      <c r="N21" s="13" t="s">
        <v>95</v>
      </c>
      <c r="O21" s="15"/>
      <c r="P21" s="15"/>
      <c r="Q21" s="15" t="s">
        <v>96</v>
      </c>
      <c r="R21" s="13" t="s">
        <v>97</v>
      </c>
      <c r="S21" s="13" t="s">
        <v>91</v>
      </c>
      <c r="T21" s="13" t="s">
        <v>92</v>
      </c>
      <c r="U21" s="14">
        <v>44927</v>
      </c>
      <c r="V21" s="14"/>
      <c r="W21" s="15"/>
      <c r="X21" s="13"/>
      <c r="Y21" s="15"/>
      <c r="Z21" s="13"/>
      <c r="AA21" s="15"/>
      <c r="AB21" s="13"/>
      <c r="AC21" s="15"/>
      <c r="AD21" s="13"/>
      <c r="AE21" s="15"/>
      <c r="AF21" s="13"/>
      <c r="AG21" s="15"/>
      <c r="AH21" s="13"/>
      <c r="AI21" s="15"/>
      <c r="AJ21" s="13"/>
      <c r="AK21" s="15"/>
      <c r="AL21" s="13"/>
      <c r="AM21" s="15"/>
      <c r="AN21" s="13"/>
      <c r="AO21" s="15"/>
      <c r="AP21" s="13"/>
      <c r="AQ21" s="15"/>
      <c r="AR21" s="13"/>
      <c r="AS21" s="15"/>
      <c r="AT21" s="13"/>
      <c r="AU21" s="15"/>
      <c r="AV21" s="13"/>
      <c r="AW21" s="15"/>
      <c r="AX21" s="13"/>
      <c r="AY21" s="15"/>
      <c r="AZ21" s="13"/>
      <c r="BA21" s="15"/>
      <c r="BB21" s="13"/>
      <c r="BC21" s="15"/>
      <c r="BD21" s="13"/>
      <c r="BE21" s="15"/>
      <c r="BF21" s="13"/>
      <c r="BG21" s="15"/>
      <c r="BH21" s="13"/>
      <c r="BI21" s="15"/>
      <c r="BJ21" s="13"/>
      <c r="BK21" s="15"/>
      <c r="BL21" s="13"/>
      <c r="BM21" s="15"/>
      <c r="BN21" s="13"/>
      <c r="BO21" s="15"/>
      <c r="BP21" s="13"/>
      <c r="BQ21" s="15"/>
      <c r="BR21" s="13"/>
      <c r="BS21" s="15"/>
      <c r="BT21" s="13"/>
      <c r="BU21" s="15"/>
      <c r="BV21" s="13"/>
      <c r="BW21" s="15"/>
    </row>
    <row r="22" spans="1:75" ht="72.5" x14ac:dyDescent="0.35">
      <c r="A22" s="13" t="s">
        <v>76</v>
      </c>
      <c r="B22" s="13" t="s">
        <v>77</v>
      </c>
      <c r="C22" s="14">
        <v>45414.668749999997</v>
      </c>
      <c r="D22" s="13" t="s">
        <v>78</v>
      </c>
      <c r="E22" s="15" t="s">
        <v>79</v>
      </c>
      <c r="F22" s="13" t="s">
        <v>80</v>
      </c>
      <c r="G22" s="15" t="s">
        <v>81</v>
      </c>
      <c r="H22" s="13" t="s">
        <v>167</v>
      </c>
      <c r="I22" s="15" t="s">
        <v>168</v>
      </c>
      <c r="J22" s="15" t="s">
        <v>169</v>
      </c>
      <c r="K22" s="15" t="s">
        <v>170</v>
      </c>
      <c r="L22" s="13" t="s">
        <v>171</v>
      </c>
      <c r="M22" s="15" t="s">
        <v>172</v>
      </c>
      <c r="N22" s="13" t="s">
        <v>88</v>
      </c>
      <c r="O22" s="15"/>
      <c r="P22" s="15"/>
      <c r="Q22" s="15" t="s">
        <v>98</v>
      </c>
      <c r="R22" s="13" t="s">
        <v>99</v>
      </c>
      <c r="S22" s="13" t="s">
        <v>91</v>
      </c>
      <c r="T22" s="13" t="s">
        <v>92</v>
      </c>
      <c r="U22" s="14">
        <v>44927</v>
      </c>
      <c r="V22" s="14"/>
      <c r="W22" s="15"/>
      <c r="X22" s="13"/>
      <c r="Y22" s="15"/>
      <c r="Z22" s="13"/>
      <c r="AA22" s="15"/>
      <c r="AB22" s="13"/>
      <c r="AC22" s="15"/>
      <c r="AD22" s="13"/>
      <c r="AE22" s="15"/>
      <c r="AF22" s="13"/>
      <c r="AG22" s="15"/>
      <c r="AH22" s="13"/>
      <c r="AI22" s="15"/>
      <c r="AJ22" s="13"/>
      <c r="AK22" s="15"/>
      <c r="AL22" s="13"/>
      <c r="AM22" s="15"/>
      <c r="AN22" s="13"/>
      <c r="AO22" s="15"/>
      <c r="AP22" s="13"/>
      <c r="AQ22" s="15"/>
      <c r="AR22" s="13"/>
      <c r="AS22" s="15"/>
      <c r="AT22" s="13"/>
      <c r="AU22" s="15"/>
      <c r="AV22" s="13"/>
      <c r="AW22" s="15"/>
      <c r="AX22" s="13"/>
      <c r="AY22" s="15"/>
      <c r="AZ22" s="13"/>
      <c r="BA22" s="15"/>
      <c r="BB22" s="13"/>
      <c r="BC22" s="15"/>
      <c r="BD22" s="13"/>
      <c r="BE22" s="15"/>
      <c r="BF22" s="13"/>
      <c r="BG22" s="15"/>
      <c r="BH22" s="13"/>
      <c r="BI22" s="15"/>
      <c r="BJ22" s="13"/>
      <c r="BK22" s="15"/>
      <c r="BL22" s="13"/>
      <c r="BM22" s="15"/>
      <c r="BN22" s="13"/>
      <c r="BO22" s="15"/>
      <c r="BP22" s="13"/>
      <c r="BQ22" s="15"/>
      <c r="BR22" s="13"/>
      <c r="BS22" s="15"/>
      <c r="BT22" s="13"/>
      <c r="BU22" s="15"/>
      <c r="BV22" s="13"/>
      <c r="BW22" s="15"/>
    </row>
    <row r="23" spans="1:75" ht="72.5" x14ac:dyDescent="0.35">
      <c r="A23" s="13" t="s">
        <v>76</v>
      </c>
      <c r="B23" s="13" t="s">
        <v>77</v>
      </c>
      <c r="C23" s="14">
        <v>45414.669444444444</v>
      </c>
      <c r="D23" s="13" t="s">
        <v>78</v>
      </c>
      <c r="E23" s="15" t="s">
        <v>79</v>
      </c>
      <c r="F23" s="13" t="s">
        <v>80</v>
      </c>
      <c r="G23" s="15" t="s">
        <v>81</v>
      </c>
      <c r="H23" s="13" t="s">
        <v>167</v>
      </c>
      <c r="I23" s="15" t="s">
        <v>168</v>
      </c>
      <c r="J23" s="15" t="s">
        <v>169</v>
      </c>
      <c r="K23" s="15" t="s">
        <v>170</v>
      </c>
      <c r="L23" s="13" t="s">
        <v>173</v>
      </c>
      <c r="M23" s="15" t="s">
        <v>174</v>
      </c>
      <c r="N23" s="13" t="s">
        <v>95</v>
      </c>
      <c r="O23" s="15"/>
      <c r="P23" s="15"/>
      <c r="Q23" s="15" t="s">
        <v>98</v>
      </c>
      <c r="R23" s="13" t="s">
        <v>99</v>
      </c>
      <c r="S23" s="13" t="s">
        <v>91</v>
      </c>
      <c r="T23" s="13" t="s">
        <v>92</v>
      </c>
      <c r="U23" s="14">
        <v>44927</v>
      </c>
      <c r="V23" s="14"/>
      <c r="W23" s="15"/>
      <c r="X23" s="13"/>
      <c r="Y23" s="15"/>
      <c r="Z23" s="13"/>
      <c r="AA23" s="15"/>
      <c r="AB23" s="13"/>
      <c r="AC23" s="15"/>
      <c r="AD23" s="13"/>
      <c r="AE23" s="15"/>
      <c r="AF23" s="13"/>
      <c r="AG23" s="15"/>
      <c r="AH23" s="13"/>
      <c r="AI23" s="15"/>
      <c r="AJ23" s="13"/>
      <c r="AK23" s="15"/>
      <c r="AL23" s="13"/>
      <c r="AM23" s="15"/>
      <c r="AN23" s="13"/>
      <c r="AO23" s="15"/>
      <c r="AP23" s="13"/>
      <c r="AQ23" s="15"/>
      <c r="AR23" s="13"/>
      <c r="AS23" s="15"/>
      <c r="AT23" s="13"/>
      <c r="AU23" s="15"/>
      <c r="AV23" s="13"/>
      <c r="AW23" s="15"/>
      <c r="AX23" s="13"/>
      <c r="AY23" s="15"/>
      <c r="AZ23" s="13"/>
      <c r="BA23" s="15"/>
      <c r="BB23" s="13"/>
      <c r="BC23" s="15"/>
      <c r="BD23" s="13"/>
      <c r="BE23" s="15"/>
      <c r="BF23" s="13"/>
      <c r="BG23" s="15"/>
      <c r="BH23" s="13"/>
      <c r="BI23" s="15"/>
      <c r="BJ23" s="13"/>
      <c r="BK23" s="15"/>
      <c r="BL23" s="13"/>
      <c r="BM23" s="15"/>
      <c r="BN23" s="13"/>
      <c r="BO23" s="15"/>
      <c r="BP23" s="13"/>
      <c r="BQ23" s="15"/>
      <c r="BR23" s="13"/>
      <c r="BS23" s="15"/>
      <c r="BT23" s="13"/>
      <c r="BU23" s="15"/>
      <c r="BV23" s="13"/>
      <c r="BW23" s="15"/>
    </row>
    <row r="24" spans="1:75" ht="72.5" x14ac:dyDescent="0.35">
      <c r="A24" s="13" t="s">
        <v>76</v>
      </c>
      <c r="B24" s="13" t="s">
        <v>77</v>
      </c>
      <c r="C24" s="14">
        <v>45414.668749999997</v>
      </c>
      <c r="D24" s="13" t="s">
        <v>78</v>
      </c>
      <c r="E24" s="15" t="s">
        <v>79</v>
      </c>
      <c r="F24" s="13" t="s">
        <v>80</v>
      </c>
      <c r="G24" s="15" t="s">
        <v>81</v>
      </c>
      <c r="H24" s="13" t="s">
        <v>167</v>
      </c>
      <c r="I24" s="15" t="s">
        <v>168</v>
      </c>
      <c r="J24" s="15" t="s">
        <v>169</v>
      </c>
      <c r="K24" s="15" t="s">
        <v>170</v>
      </c>
      <c r="L24" s="13" t="s">
        <v>171</v>
      </c>
      <c r="M24" s="15" t="s">
        <v>172</v>
      </c>
      <c r="N24" s="13" t="s">
        <v>88</v>
      </c>
      <c r="O24" s="15"/>
      <c r="P24" s="15"/>
      <c r="Q24" s="15" t="s">
        <v>100</v>
      </c>
      <c r="R24" s="13" t="s">
        <v>101</v>
      </c>
      <c r="S24" s="13" t="s">
        <v>91</v>
      </c>
      <c r="T24" s="13" t="s">
        <v>92</v>
      </c>
      <c r="U24" s="14">
        <v>44927</v>
      </c>
      <c r="V24" s="14"/>
      <c r="W24" s="15"/>
      <c r="X24" s="13"/>
      <c r="Y24" s="15"/>
      <c r="Z24" s="13"/>
      <c r="AA24" s="15"/>
      <c r="AB24" s="13"/>
      <c r="AC24" s="15"/>
      <c r="AD24" s="13"/>
      <c r="AE24" s="15"/>
      <c r="AF24" s="13"/>
      <c r="AG24" s="15"/>
      <c r="AH24" s="13"/>
      <c r="AI24" s="15"/>
      <c r="AJ24" s="13"/>
      <c r="AK24" s="15"/>
      <c r="AL24" s="13"/>
      <c r="AM24" s="15"/>
      <c r="AN24" s="13"/>
      <c r="AO24" s="15"/>
      <c r="AP24" s="13"/>
      <c r="AQ24" s="15"/>
      <c r="AR24" s="13"/>
      <c r="AS24" s="15"/>
      <c r="AT24" s="13"/>
      <c r="AU24" s="15"/>
      <c r="AV24" s="13"/>
      <c r="AW24" s="15"/>
      <c r="AX24" s="13"/>
      <c r="AY24" s="15"/>
      <c r="AZ24" s="13"/>
      <c r="BA24" s="15"/>
      <c r="BB24" s="13"/>
      <c r="BC24" s="15"/>
      <c r="BD24" s="13"/>
      <c r="BE24" s="15"/>
      <c r="BF24" s="13"/>
      <c r="BG24" s="15"/>
      <c r="BH24" s="13"/>
      <c r="BI24" s="15"/>
      <c r="BJ24" s="13"/>
      <c r="BK24" s="15"/>
      <c r="BL24" s="13"/>
      <c r="BM24" s="15"/>
      <c r="BN24" s="13"/>
      <c r="BO24" s="15"/>
      <c r="BP24" s="13"/>
      <c r="BQ24" s="15"/>
      <c r="BR24" s="13"/>
      <c r="BS24" s="15"/>
      <c r="BT24" s="13"/>
      <c r="BU24" s="15"/>
      <c r="BV24" s="13"/>
      <c r="BW24" s="15"/>
    </row>
    <row r="25" spans="1:75" ht="72.5" x14ac:dyDescent="0.35">
      <c r="A25" s="13" t="s">
        <v>76</v>
      </c>
      <c r="B25" s="13" t="s">
        <v>77</v>
      </c>
      <c r="C25" s="14">
        <v>45414.669444444444</v>
      </c>
      <c r="D25" s="13" t="s">
        <v>78</v>
      </c>
      <c r="E25" s="15" t="s">
        <v>79</v>
      </c>
      <c r="F25" s="13" t="s">
        <v>80</v>
      </c>
      <c r="G25" s="15" t="s">
        <v>81</v>
      </c>
      <c r="H25" s="13" t="s">
        <v>167</v>
      </c>
      <c r="I25" s="15" t="s">
        <v>168</v>
      </c>
      <c r="J25" s="15" t="s">
        <v>169</v>
      </c>
      <c r="K25" s="15" t="s">
        <v>170</v>
      </c>
      <c r="L25" s="13" t="s">
        <v>173</v>
      </c>
      <c r="M25" s="15" t="s">
        <v>174</v>
      </c>
      <c r="N25" s="13" t="s">
        <v>95</v>
      </c>
      <c r="O25" s="15"/>
      <c r="P25" s="15"/>
      <c r="Q25" s="15" t="s">
        <v>100</v>
      </c>
      <c r="R25" s="13" t="s">
        <v>101</v>
      </c>
      <c r="S25" s="13" t="s">
        <v>91</v>
      </c>
      <c r="T25" s="13" t="s">
        <v>92</v>
      </c>
      <c r="U25" s="14">
        <v>44927</v>
      </c>
      <c r="V25" s="14"/>
      <c r="W25" s="15"/>
      <c r="X25" s="13"/>
      <c r="Y25" s="15"/>
      <c r="Z25" s="13"/>
      <c r="AA25" s="15"/>
      <c r="AB25" s="13"/>
      <c r="AC25" s="15"/>
      <c r="AD25" s="13"/>
      <c r="AE25" s="15"/>
      <c r="AF25" s="13"/>
      <c r="AG25" s="15"/>
      <c r="AH25" s="13"/>
      <c r="AI25" s="15"/>
      <c r="AJ25" s="13"/>
      <c r="AK25" s="15"/>
      <c r="AL25" s="13"/>
      <c r="AM25" s="15"/>
      <c r="AN25" s="13"/>
      <c r="AO25" s="15"/>
      <c r="AP25" s="13"/>
      <c r="AQ25" s="15"/>
      <c r="AR25" s="13"/>
      <c r="AS25" s="15"/>
      <c r="AT25" s="13"/>
      <c r="AU25" s="15"/>
      <c r="AV25" s="13"/>
      <c r="AW25" s="15"/>
      <c r="AX25" s="13"/>
      <c r="AY25" s="15"/>
      <c r="AZ25" s="13"/>
      <c r="BA25" s="15"/>
      <c r="BB25" s="13"/>
      <c r="BC25" s="15"/>
      <c r="BD25" s="13"/>
      <c r="BE25" s="15"/>
      <c r="BF25" s="13"/>
      <c r="BG25" s="15"/>
      <c r="BH25" s="13"/>
      <c r="BI25" s="15"/>
      <c r="BJ25" s="13"/>
      <c r="BK25" s="15"/>
      <c r="BL25" s="13"/>
      <c r="BM25" s="15"/>
      <c r="BN25" s="13"/>
      <c r="BO25" s="15"/>
      <c r="BP25" s="13"/>
      <c r="BQ25" s="15"/>
      <c r="BR25" s="13"/>
      <c r="BS25" s="15"/>
      <c r="BT25" s="13"/>
      <c r="BU25" s="15"/>
      <c r="BV25" s="13"/>
      <c r="BW25" s="15"/>
    </row>
    <row r="26" spans="1:75" ht="72.5" x14ac:dyDescent="0.35">
      <c r="A26" s="13" t="s">
        <v>76</v>
      </c>
      <c r="B26" s="13" t="s">
        <v>77</v>
      </c>
      <c r="C26" s="14">
        <v>45414.668749999997</v>
      </c>
      <c r="D26" s="13" t="s">
        <v>78</v>
      </c>
      <c r="E26" s="15" t="s">
        <v>79</v>
      </c>
      <c r="F26" s="13" t="s">
        <v>80</v>
      </c>
      <c r="G26" s="15" t="s">
        <v>81</v>
      </c>
      <c r="H26" s="13" t="s">
        <v>167</v>
      </c>
      <c r="I26" s="15" t="s">
        <v>168</v>
      </c>
      <c r="J26" s="15" t="s">
        <v>169</v>
      </c>
      <c r="K26" s="15" t="s">
        <v>170</v>
      </c>
      <c r="L26" s="13" t="s">
        <v>171</v>
      </c>
      <c r="M26" s="15" t="s">
        <v>172</v>
      </c>
      <c r="N26" s="13" t="s">
        <v>88</v>
      </c>
      <c r="O26" s="15"/>
      <c r="P26" s="15"/>
      <c r="Q26" s="15" t="s">
        <v>102</v>
      </c>
      <c r="R26" s="13" t="s">
        <v>103</v>
      </c>
      <c r="S26" s="13" t="s">
        <v>91</v>
      </c>
      <c r="T26" s="13" t="s">
        <v>92</v>
      </c>
      <c r="U26" s="14">
        <v>44927</v>
      </c>
      <c r="V26" s="14"/>
      <c r="W26" s="15"/>
      <c r="X26" s="13"/>
      <c r="Y26" s="15"/>
      <c r="Z26" s="13"/>
      <c r="AA26" s="15"/>
      <c r="AB26" s="13"/>
      <c r="AC26" s="15"/>
      <c r="AD26" s="13"/>
      <c r="AE26" s="15"/>
      <c r="AF26" s="13"/>
      <c r="AG26" s="15"/>
      <c r="AH26" s="13"/>
      <c r="AI26" s="15"/>
      <c r="AJ26" s="13"/>
      <c r="AK26" s="15"/>
      <c r="AL26" s="13"/>
      <c r="AM26" s="15"/>
      <c r="AN26" s="13"/>
      <c r="AO26" s="15"/>
      <c r="AP26" s="13"/>
      <c r="AQ26" s="15"/>
      <c r="AR26" s="13"/>
      <c r="AS26" s="15"/>
      <c r="AT26" s="13"/>
      <c r="AU26" s="15"/>
      <c r="AV26" s="13"/>
      <c r="AW26" s="15"/>
      <c r="AX26" s="13"/>
      <c r="AY26" s="15"/>
      <c r="AZ26" s="13"/>
      <c r="BA26" s="15"/>
      <c r="BB26" s="13"/>
      <c r="BC26" s="15"/>
      <c r="BD26" s="13"/>
      <c r="BE26" s="15"/>
      <c r="BF26" s="13"/>
      <c r="BG26" s="15"/>
      <c r="BH26" s="13"/>
      <c r="BI26" s="15"/>
      <c r="BJ26" s="13"/>
      <c r="BK26" s="15"/>
      <c r="BL26" s="13"/>
      <c r="BM26" s="15"/>
      <c r="BN26" s="13"/>
      <c r="BO26" s="15"/>
      <c r="BP26" s="13"/>
      <c r="BQ26" s="15"/>
      <c r="BR26" s="13"/>
      <c r="BS26" s="15"/>
      <c r="BT26" s="13"/>
      <c r="BU26" s="15"/>
      <c r="BV26" s="13"/>
      <c r="BW26" s="15"/>
    </row>
    <row r="27" spans="1:75" ht="72.5" x14ac:dyDescent="0.35">
      <c r="A27" s="13" t="s">
        <v>76</v>
      </c>
      <c r="B27" s="13" t="s">
        <v>77</v>
      </c>
      <c r="C27" s="14">
        <v>45414.669444444444</v>
      </c>
      <c r="D27" s="13" t="s">
        <v>78</v>
      </c>
      <c r="E27" s="15" t="s">
        <v>79</v>
      </c>
      <c r="F27" s="13" t="s">
        <v>80</v>
      </c>
      <c r="G27" s="15" t="s">
        <v>81</v>
      </c>
      <c r="H27" s="13" t="s">
        <v>167</v>
      </c>
      <c r="I27" s="15" t="s">
        <v>168</v>
      </c>
      <c r="J27" s="15" t="s">
        <v>169</v>
      </c>
      <c r="K27" s="15" t="s">
        <v>170</v>
      </c>
      <c r="L27" s="13" t="s">
        <v>173</v>
      </c>
      <c r="M27" s="15" t="s">
        <v>174</v>
      </c>
      <c r="N27" s="13" t="s">
        <v>95</v>
      </c>
      <c r="O27" s="15"/>
      <c r="P27" s="15"/>
      <c r="Q27" s="15" t="s">
        <v>102</v>
      </c>
      <c r="R27" s="13" t="s">
        <v>103</v>
      </c>
      <c r="S27" s="13" t="s">
        <v>91</v>
      </c>
      <c r="T27" s="13" t="s">
        <v>92</v>
      </c>
      <c r="U27" s="14">
        <v>44927</v>
      </c>
      <c r="V27" s="14"/>
      <c r="W27" s="15"/>
      <c r="X27" s="13"/>
      <c r="Y27" s="15"/>
      <c r="Z27" s="13"/>
      <c r="AA27" s="15"/>
      <c r="AB27" s="13"/>
      <c r="AC27" s="15"/>
      <c r="AD27" s="13"/>
      <c r="AE27" s="15"/>
      <c r="AF27" s="13"/>
      <c r="AG27" s="15"/>
      <c r="AH27" s="13"/>
      <c r="AI27" s="15"/>
      <c r="AJ27" s="13"/>
      <c r="AK27" s="15"/>
      <c r="AL27" s="13"/>
      <c r="AM27" s="15"/>
      <c r="AN27" s="13"/>
      <c r="AO27" s="15"/>
      <c r="AP27" s="13"/>
      <c r="AQ27" s="15"/>
      <c r="AR27" s="13"/>
      <c r="AS27" s="15"/>
      <c r="AT27" s="13"/>
      <c r="AU27" s="15"/>
      <c r="AV27" s="13"/>
      <c r="AW27" s="15"/>
      <c r="AX27" s="13"/>
      <c r="AY27" s="15"/>
      <c r="AZ27" s="13"/>
      <c r="BA27" s="15"/>
      <c r="BB27" s="13"/>
      <c r="BC27" s="15"/>
      <c r="BD27" s="13"/>
      <c r="BE27" s="15"/>
      <c r="BF27" s="13"/>
      <c r="BG27" s="15"/>
      <c r="BH27" s="13"/>
      <c r="BI27" s="15"/>
      <c r="BJ27" s="13"/>
      <c r="BK27" s="15"/>
      <c r="BL27" s="13"/>
      <c r="BM27" s="15"/>
      <c r="BN27" s="13"/>
      <c r="BO27" s="15"/>
      <c r="BP27" s="13"/>
      <c r="BQ27" s="15"/>
      <c r="BR27" s="13"/>
      <c r="BS27" s="15"/>
      <c r="BT27" s="13"/>
      <c r="BU27" s="15"/>
      <c r="BV27" s="13"/>
      <c r="BW27" s="15"/>
    </row>
    <row r="28" spans="1:75" ht="145" x14ac:dyDescent="0.35">
      <c r="A28" s="13" t="s">
        <v>76</v>
      </c>
      <c r="B28" s="13" t="s">
        <v>77</v>
      </c>
      <c r="C28" s="14">
        <v>45414.67083333333</v>
      </c>
      <c r="D28" s="13" t="s">
        <v>78</v>
      </c>
      <c r="E28" s="15" t="s">
        <v>79</v>
      </c>
      <c r="F28" s="13" t="s">
        <v>80</v>
      </c>
      <c r="G28" s="15" t="s">
        <v>81</v>
      </c>
      <c r="H28" s="13" t="s">
        <v>167</v>
      </c>
      <c r="I28" s="15" t="s">
        <v>168</v>
      </c>
      <c r="J28" s="15" t="s">
        <v>169</v>
      </c>
      <c r="K28" s="15" t="s">
        <v>170</v>
      </c>
      <c r="L28" s="13" t="s">
        <v>171</v>
      </c>
      <c r="M28" s="15" t="s">
        <v>172</v>
      </c>
      <c r="N28" s="13" t="s">
        <v>88</v>
      </c>
      <c r="O28" s="15"/>
      <c r="P28" s="15"/>
      <c r="Q28" s="15" t="s">
        <v>104</v>
      </c>
      <c r="R28" s="13" t="s">
        <v>105</v>
      </c>
      <c r="S28" s="13" t="s">
        <v>106</v>
      </c>
      <c r="T28" s="13" t="s">
        <v>107</v>
      </c>
      <c r="U28" s="14">
        <v>44927</v>
      </c>
      <c r="V28" s="14"/>
      <c r="W28" s="15" t="s">
        <v>175</v>
      </c>
      <c r="X28" s="13" t="s">
        <v>109</v>
      </c>
      <c r="Y28" s="15" t="str">
        <f>VLOOKUP(X28,'Axe 2 Règles de gestion'!$D$2:$F$40,3, FALSE)</f>
        <v>En cas de participation à des opérations militaires, la permission est accordée par le commandant de la formation administrative ou l'autorité équivalente, dans les conditions fixées par le ministre de la défense.</v>
      </c>
      <c r="Z28" s="13" t="s">
        <v>176</v>
      </c>
      <c r="AA28" s="15" t="str">
        <f>VLOOKUP(Z28,'Axe 2 Règles de gestion'!$D$2:$F$40,3, FALSE)</f>
        <v>Une permission de 5 jours est accordée pour le décès du conjoint du militaire, du partenaire auquel celui-ci est lié par un PACS ou du concubin.</v>
      </c>
      <c r="AB28" s="13" t="s">
        <v>178</v>
      </c>
      <c r="AC28" s="15" t="str">
        <f>VLOOKUP(AB28,'Axe 2 Règles de gestion'!$D$2:$F$40,3, FALSE)</f>
        <v>Une permission de 5 jours est accordée pour le décès de l'enfant du militaire.</v>
      </c>
      <c r="AD28" s="13" t="s">
        <v>180</v>
      </c>
      <c r="AE28" s="15" t="str">
        <f>VLOOKUP(AD28,'Axe 2 Règles de gestion'!$D$2:$F$40,3, FALSE)</f>
        <v>La durée de la permission est portée à 7 jours lorsque l'enfant qui décède est âgé de moins de 25 ans ou en cas de décès d'une personne âgée de moins de 25 ans dont le militaire a la charge effective et permanente.</v>
      </c>
      <c r="AF28" s="13" t="s">
        <v>182</v>
      </c>
      <c r="AG28" s="15" t="str">
        <f>VLOOKUP(AF28,'Axe 2 Règles de gestion'!$D$2:$F$40,3, FALSE)</f>
        <v>Le militaire bénéficie dans les mêmes conditions d'une seconde permission de 8 jours. Elle peut être fractionnée en 2 périodes. Chaque période est d'une durée au moins égale à 1 journée. Elle est prise dans un délai d'1 an à compter du décès.</v>
      </c>
      <c r="AH28" s="13"/>
      <c r="AI28" s="15"/>
      <c r="AJ28" s="13"/>
      <c r="AK28" s="15"/>
      <c r="AL28" s="13"/>
      <c r="AM28" s="15"/>
      <c r="AN28" s="13"/>
      <c r="AO28" s="15"/>
      <c r="AP28" s="13" t="s">
        <v>184</v>
      </c>
      <c r="AQ28" s="15" t="str">
        <f>VLOOKUP(AP28,'Axe 2 Règles de gestion'!$D$2:$F$40,3, FALSE)</f>
        <v>La durée prévisionnelle de la permission est de 5 jours ouvrés.</v>
      </c>
      <c r="AR28" s="13" t="s">
        <v>186</v>
      </c>
      <c r="AS28" s="15" t="str">
        <f>VLOOKUP(AR28,'Axe 2 Règles de gestion'!$D$2:$F$40,3, FALSE)</f>
        <v>La durée réelle de la permission est de 5 jours ouvrés.</v>
      </c>
      <c r="AT28" s="13" t="s">
        <v>188</v>
      </c>
      <c r="AU28" s="15" t="str">
        <f>VLOOKUP(AT28,'Axe 2 Règles de gestion'!$D$2:$F$40,3, FALSE)</f>
        <v>La durée cumulée des deux périodes de permission ne peut pas dépasser les 15 jours ouvrés.</v>
      </c>
      <c r="AV28" s="13" t="s">
        <v>129</v>
      </c>
      <c r="AW28" s="15" t="str">
        <f>VLOOKUP(AV28,'Axe 2 Règles de gestion'!$D$2:$F$40,3, FALSE)</f>
        <v>La date de fin prévisionnelle de la permission doit être antérieure ou égale à la date limite de fin réelle ou prévisionnelle du lien juridique. Le militaire ne voit pas son contrat prorogé jusqu'à la date de fin de la permission.</v>
      </c>
      <c r="AX28" s="13" t="s">
        <v>131</v>
      </c>
      <c r="AY28" s="15" t="str">
        <f>VLOOKUP(AX28,'Axe 2 Règles de gestion'!$D$2:$F$40,3, FALSE)</f>
        <v>La date de fin réelle de la permission doit être antérieure ou égale à la date limite de fin réelle ou prévisionnelle du lien juridique. Le militaire ne voit pas son contrat prorogé jusqu'à la date de fin de la permission.</v>
      </c>
      <c r="AZ28" s="13" t="s">
        <v>133</v>
      </c>
      <c r="BA28" s="15" t="str">
        <f>VLOOKUP(AZ28,'Axe 2 Règles de gestion'!$D$2:$F$40,3, FALSE)</f>
        <v>Le militaire est en activité.</v>
      </c>
      <c r="BB28" s="13" t="s">
        <v>135</v>
      </c>
      <c r="BC28" s="15" t="str">
        <f>VLOOKUP(BB28,'Axe 2 Règles de gestion'!$D$2:$F$40,3, FALSE)</f>
        <v>La date de début du congé/absence doit être postérieure ou égale à la date de recrutement dans la FPE ou dans la carrière militaire.</v>
      </c>
      <c r="BD28" s="13" t="s">
        <v>137</v>
      </c>
      <c r="BE28" s="15" t="str">
        <f>VLOOKUP(BD28,'Axe 2 Règles de gestion'!$D$2:$F$40,3, FALSE)</f>
        <v>Pour les militaires sous contrat à durée déterminée, la date de début du congé/absence doit être postérieure ou égale à la date de début du lien juridique.</v>
      </c>
      <c r="BF28" s="13" t="s">
        <v>139</v>
      </c>
      <c r="BG28" s="15" t="str">
        <f>VLOOKUP(BF28,'Axe 2 Règles de gestion'!$D$2:$F$40,3, FALSE)</f>
        <v>La date de début du congé/absence doit être antérieure ou égale à la date de fin réelle du congé/absence.</v>
      </c>
      <c r="BH28" s="13" t="s">
        <v>141</v>
      </c>
      <c r="BI28" s="15" t="str">
        <f>VLOOKUP(BH28,'Axe 2 Règles de gestion'!$D$2:$F$40,3, FALSE)</f>
        <v>La date de début du congé/absence doit être antérieure ou égale à la date de fin prévisionnelle du congé/absence.</v>
      </c>
      <c r="BJ28" s="13" t="s">
        <v>143</v>
      </c>
      <c r="BK28" s="15" t="str">
        <f>VLOOKUP(BJ28,'Axe 2 Règles de gestion'!$D$2:$F$40,3, FALSE)</f>
        <v>La date de fin réelle du congé/absence doit être antérieure à la date limite de départ à la retraite.</v>
      </c>
      <c r="BL28" s="13" t="s">
        <v>145</v>
      </c>
      <c r="BM28" s="15" t="str">
        <f>VLOOKUP(BL28,'Axe 2 Règles de gestion'!$D$2:$F$40,3, FALSE)</f>
        <v>La date de fin prévisionnelle du congé/absence doit être antérieure à la date limite de départ à la retraite.</v>
      </c>
      <c r="BN28" s="13" t="s">
        <v>147</v>
      </c>
      <c r="BO28" s="15" t="str">
        <f>VLOOKUP(BN28,'Axe 2 Règles de gestion'!$D$2:$F$40,3, FALSE)</f>
        <v>La date de fin réelle ou la date de fin prévisionnelle du congé/absence doit être saisie.</v>
      </c>
      <c r="BP28" s="13" t="s">
        <v>149</v>
      </c>
      <c r="BQ28" s="15" t="str">
        <f>VLOOKUP(BP28,'Axe 2 Règles de gestion'!$D$2:$F$40,3, FALSE)</f>
        <v>Si l'absence ne commence pas par une demi-journée et si l'absence précédente ne finit pas par une demi journée, la date de début de l'absence saisie est postérieure à la date de fin réelle de l'absence précédente.</v>
      </c>
      <c r="BR28" s="13" t="s">
        <v>151</v>
      </c>
      <c r="BS28" s="15" t="str">
        <f>VLOOKUP(BR28,'Axe 2 Règles de gestion'!$D$2:$F$40,3,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T28" s="13" t="s">
        <v>153</v>
      </c>
      <c r="BU28" s="15" t="str">
        <f>VLOOKUP(BT28,'Axe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V28" s="13"/>
      <c r="BW28" s="15"/>
    </row>
    <row r="29" spans="1:75" ht="130.5" x14ac:dyDescent="0.35">
      <c r="A29" s="13" t="s">
        <v>76</v>
      </c>
      <c r="B29" s="13" t="s">
        <v>77</v>
      </c>
      <c r="C29" s="14">
        <v>45414.671527777777</v>
      </c>
      <c r="D29" s="13" t="s">
        <v>78</v>
      </c>
      <c r="E29" s="15" t="s">
        <v>79</v>
      </c>
      <c r="F29" s="13" t="s">
        <v>80</v>
      </c>
      <c r="G29" s="15" t="s">
        <v>81</v>
      </c>
      <c r="H29" s="13" t="s">
        <v>167</v>
      </c>
      <c r="I29" s="15" t="s">
        <v>168</v>
      </c>
      <c r="J29" s="15" t="s">
        <v>169</v>
      </c>
      <c r="K29" s="15" t="s">
        <v>170</v>
      </c>
      <c r="L29" s="13" t="s">
        <v>173</v>
      </c>
      <c r="M29" s="15" t="s">
        <v>174</v>
      </c>
      <c r="N29" s="13" t="s">
        <v>95</v>
      </c>
      <c r="O29" s="15"/>
      <c r="P29" s="15"/>
      <c r="Q29" s="15" t="s">
        <v>104</v>
      </c>
      <c r="R29" s="13" t="s">
        <v>105</v>
      </c>
      <c r="S29" s="13" t="s">
        <v>106</v>
      </c>
      <c r="T29" s="13" t="s">
        <v>107</v>
      </c>
      <c r="U29" s="14">
        <v>44927</v>
      </c>
      <c r="V29" s="14"/>
      <c r="W29" s="15" t="s">
        <v>190</v>
      </c>
      <c r="X29" s="13" t="s">
        <v>156</v>
      </c>
      <c r="Y29" s="15" t="str">
        <f>VLOOKUP(X29,'Axe 2 Règles de gestion'!$D$2:$F$40,3, FALSE)</f>
        <v>Le militaire en permission peut être rappelé immédiatement lorsque les circonstances l'exigent.</v>
      </c>
      <c r="Z29" s="13"/>
      <c r="AA29" s="15"/>
      <c r="AB29" s="13"/>
      <c r="AC29" s="15"/>
      <c r="AD29" s="13"/>
      <c r="AE29" s="15"/>
      <c r="AF29" s="13"/>
      <c r="AG29" s="15"/>
      <c r="AH29" s="13"/>
      <c r="AI29" s="15"/>
      <c r="AJ29" s="13"/>
      <c r="AK29" s="15"/>
      <c r="AL29" s="13"/>
      <c r="AM29" s="15"/>
      <c r="AN29" s="13"/>
      <c r="AO29" s="15"/>
      <c r="AP29" s="13" t="s">
        <v>184</v>
      </c>
      <c r="AQ29" s="15" t="str">
        <f>VLOOKUP(AP29,'Axe 2 Règles de gestion'!$D$2:$F$40,3, FALSE)</f>
        <v>La durée prévisionnelle de la permission est de 5 jours ouvrés.</v>
      </c>
      <c r="AR29" s="13" t="s">
        <v>186</v>
      </c>
      <c r="AS29" s="15" t="str">
        <f>VLOOKUP(AR29,'Axe 2 Règles de gestion'!$D$2:$F$40,3, FALSE)</f>
        <v>La durée réelle de la permission est de 5 jours ouvrés.</v>
      </c>
      <c r="AT29" s="13" t="s">
        <v>188</v>
      </c>
      <c r="AU29" s="15" t="str">
        <f>VLOOKUP(AT29,'Axe 2 Règles de gestion'!$D$2:$F$40,3, FALSE)</f>
        <v>La durée cumulée des deux périodes de permission ne peut pas dépasser les 15 jours ouvrés.</v>
      </c>
      <c r="AV29" s="13" t="s">
        <v>129</v>
      </c>
      <c r="AW29" s="15" t="str">
        <f>VLOOKUP(AV29,'Axe 2 Règles de gestion'!$D$2:$F$40,3, FALSE)</f>
        <v>La date de fin prévisionnelle de la permission doit être antérieure ou égale à la date limite de fin réelle ou prévisionnelle du lien juridique. Le militaire ne voit pas son contrat prorogé jusqu'à la date de fin de la permission.</v>
      </c>
      <c r="AX29" s="13" t="s">
        <v>131</v>
      </c>
      <c r="AY29" s="15" t="str">
        <f>VLOOKUP(AX29,'Axe 2 Règles de gestion'!$D$2:$F$40,3, FALSE)</f>
        <v>La date de fin réelle de la permission doit être antérieure ou égale à la date limite de fin réelle ou prévisionnelle du lien juridique. Le militaire ne voit pas son contrat prorogé jusqu'à la date de fin de la permission.</v>
      </c>
      <c r="AZ29" s="13" t="s">
        <v>133</v>
      </c>
      <c r="BA29" s="15" t="str">
        <f>VLOOKUP(AZ29,'Axe 2 Règles de gestion'!$D$2:$F$40,3, FALSE)</f>
        <v>Le militaire est en activité.</v>
      </c>
      <c r="BB29" s="13" t="s">
        <v>139</v>
      </c>
      <c r="BC29" s="15" t="str">
        <f>VLOOKUP(BB29,'Axe 2 Règles de gestion'!$D$2:$F$40,3, FALSE)</f>
        <v>La date de début du congé/absence doit être antérieure ou égale à la date de fin réelle du congé/absence.</v>
      </c>
      <c r="BD29" s="13" t="s">
        <v>141</v>
      </c>
      <c r="BE29" s="15" t="str">
        <f>VLOOKUP(BD29,'Axe 2 Règles de gestion'!$D$2:$F$40,3, FALSE)</f>
        <v>La date de début du congé/absence doit être antérieure ou égale à la date de fin prévisionnelle du congé/absence.</v>
      </c>
      <c r="BF29" s="13" t="s">
        <v>143</v>
      </c>
      <c r="BG29" s="15" t="str">
        <f>VLOOKUP(BF29,'Axe 2 Règles de gestion'!$D$2:$F$40,3, FALSE)</f>
        <v>La date de fin réelle du congé/absence doit être antérieure à la date limite de départ à la retraite.</v>
      </c>
      <c r="BH29" s="13" t="s">
        <v>145</v>
      </c>
      <c r="BI29" s="15" t="str">
        <f>VLOOKUP(BH29,'Axe 2 Règles de gestion'!$D$2:$F$40,3, FALSE)</f>
        <v>La date de fin prévisionnelle du congé/absence doit être antérieure à la date limite de départ à la retraite.</v>
      </c>
      <c r="BJ29" s="13" t="s">
        <v>147</v>
      </c>
      <c r="BK29" s="15" t="str">
        <f>VLOOKUP(BJ29,'Axe 2 Règles de gestion'!$D$2:$F$40,3, FALSE)</f>
        <v>La date de fin réelle ou la date de fin prévisionnelle du congé/absence doit être saisie.</v>
      </c>
      <c r="BL29" s="13" t="s">
        <v>153</v>
      </c>
      <c r="BM29" s="15" t="str">
        <f>VLOOKUP(BL29,'Axe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N29" s="13"/>
      <c r="BO29" s="15"/>
      <c r="BP29" s="13"/>
      <c r="BQ29" s="15"/>
      <c r="BR29" s="13"/>
      <c r="BS29" s="15"/>
      <c r="BT29" s="13"/>
      <c r="BU29" s="15"/>
      <c r="BV29" s="13"/>
      <c r="BW29" s="15"/>
    </row>
    <row r="30" spans="1:75" ht="145" x14ac:dyDescent="0.35">
      <c r="A30" s="13" t="s">
        <v>76</v>
      </c>
      <c r="B30" s="13" t="s">
        <v>77</v>
      </c>
      <c r="C30" s="14">
        <v>45414.67083333333</v>
      </c>
      <c r="D30" s="13" t="s">
        <v>78</v>
      </c>
      <c r="E30" s="15" t="s">
        <v>79</v>
      </c>
      <c r="F30" s="13" t="s">
        <v>80</v>
      </c>
      <c r="G30" s="15" t="s">
        <v>81</v>
      </c>
      <c r="H30" s="13" t="s">
        <v>167</v>
      </c>
      <c r="I30" s="15" t="s">
        <v>168</v>
      </c>
      <c r="J30" s="15" t="s">
        <v>169</v>
      </c>
      <c r="K30" s="15" t="s">
        <v>170</v>
      </c>
      <c r="L30" s="13" t="s">
        <v>171</v>
      </c>
      <c r="M30" s="15" t="s">
        <v>172</v>
      </c>
      <c r="N30" s="13" t="s">
        <v>88</v>
      </c>
      <c r="O30" s="15"/>
      <c r="P30" s="15"/>
      <c r="Q30" s="15" t="s">
        <v>158</v>
      </c>
      <c r="R30" s="13" t="s">
        <v>159</v>
      </c>
      <c r="S30" s="13" t="s">
        <v>106</v>
      </c>
      <c r="T30" s="13" t="s">
        <v>107</v>
      </c>
      <c r="U30" s="14">
        <v>44927</v>
      </c>
      <c r="V30" s="14"/>
      <c r="W30" s="15" t="s">
        <v>191</v>
      </c>
      <c r="X30" s="13" t="s">
        <v>161</v>
      </c>
      <c r="Y30" s="15" t="str">
        <f>VLOOKUP(X30,'Axe 2 Règles de gestion'!$D$2:$F$40,3, FALSE)</f>
        <v>Le militaire doit exercer une activité au titre d'un engagement à servir dans la réserve opérationnelle ou au titre de la disponibilité.</v>
      </c>
      <c r="Z30" s="13" t="s">
        <v>109</v>
      </c>
      <c r="AA30" s="15" t="str">
        <f>VLOOKUP(Z30,'Axe 2 Règles de gestion'!$D$2:$F$40,3, FALSE)</f>
        <v>En cas de participation à des opérations militaires, la permission est accordée par le commandant de la formation administrative ou l'autorité équivalente, dans les conditions fixées par le ministre de la défense.</v>
      </c>
      <c r="AB30" s="13" t="s">
        <v>176</v>
      </c>
      <c r="AC30" s="15" t="str">
        <f>VLOOKUP(AB30,'Axe 2 Règles de gestion'!$D$2:$F$40,3, FALSE)</f>
        <v>Une permission de 5 jours est accordée pour le décès du conjoint du militaire, du partenaire auquel celui-ci est lié par un PACS ou du concubin.</v>
      </c>
      <c r="AD30" s="13" t="s">
        <v>178</v>
      </c>
      <c r="AE30" s="15" t="str">
        <f>VLOOKUP(AD30,'Axe 2 Règles de gestion'!$D$2:$F$40,3, FALSE)</f>
        <v>Une permission de 5 jours est accordée pour le décès de l'enfant du militaire.</v>
      </c>
      <c r="AF30" s="13" t="s">
        <v>180</v>
      </c>
      <c r="AG30" s="15" t="str">
        <f>VLOOKUP(AF30,'Axe 2 Règles de gestion'!$D$2:$F$40,3, FALSE)</f>
        <v>La durée de la permission est portée à 7 jours lorsque l'enfant qui décède est âgé de moins de 25 ans ou en cas de décès d'une personne âgée de moins de 25 ans dont le militaire a la charge effective et permanente.</v>
      </c>
      <c r="AH30" s="13" t="s">
        <v>182</v>
      </c>
      <c r="AI30" s="15" t="str">
        <f>VLOOKUP(AH30,'Axe 2 Règles de gestion'!$D$2:$F$40,3, FALSE)</f>
        <v>Le militaire bénéficie dans les mêmes conditions d'une seconde permission de 8 jours. Elle peut être fractionnée en 2 périodes. Chaque période est d'une durée au moins égale à 1 journée. Elle est prise dans un délai d'1 an à compter du décès.</v>
      </c>
      <c r="AJ30" s="13"/>
      <c r="AK30" s="15"/>
      <c r="AL30" s="13"/>
      <c r="AM30" s="15"/>
      <c r="AN30" s="13"/>
      <c r="AO30" s="15"/>
      <c r="AP30" s="13" t="s">
        <v>184</v>
      </c>
      <c r="AQ30" s="15" t="str">
        <f>VLOOKUP(AP30,'Axe 2 Règles de gestion'!$D$2:$F$40,3, FALSE)</f>
        <v>La durée prévisionnelle de la permission est de 5 jours ouvrés.</v>
      </c>
      <c r="AR30" s="13" t="s">
        <v>186</v>
      </c>
      <c r="AS30" s="15" t="str">
        <f>VLOOKUP(AR30,'Axe 2 Règles de gestion'!$D$2:$F$40,3, FALSE)</f>
        <v>La durée réelle de la permission est de 5 jours ouvrés.</v>
      </c>
      <c r="AT30" s="13" t="s">
        <v>188</v>
      </c>
      <c r="AU30" s="15" t="str">
        <f>VLOOKUP(AT30,'Axe 2 Règles de gestion'!$D$2:$F$40,3, FALSE)</f>
        <v>La durée cumulée des deux périodes de permission ne peut pas dépasser les 15 jours ouvrés.</v>
      </c>
      <c r="AV30" s="13" t="s">
        <v>129</v>
      </c>
      <c r="AW30" s="15" t="str">
        <f>VLOOKUP(AV30,'Axe 2 Règles de gestion'!$D$2:$F$40,3, FALSE)</f>
        <v>La date de fin prévisionnelle de la permission doit être antérieure ou égale à la date limite de fin réelle ou prévisionnelle du lien juridique. Le militaire ne voit pas son contrat prorogé jusqu'à la date de fin de la permission.</v>
      </c>
      <c r="AX30" s="13" t="s">
        <v>131</v>
      </c>
      <c r="AY30" s="15" t="str">
        <f>VLOOKUP(AX30,'Axe 2 Règles de gestion'!$D$2:$F$40,3, FALSE)</f>
        <v>La date de fin réelle de la permission doit être antérieure ou égale à la date limite de fin réelle ou prévisionnelle du lien juridique. Le militaire ne voit pas son contrat prorogé jusqu'à la date de fin de la permission.</v>
      </c>
      <c r="AZ30" s="13" t="s">
        <v>133</v>
      </c>
      <c r="BA30" s="15" t="str">
        <f>VLOOKUP(AZ30,'Axe 2 Règles de gestion'!$D$2:$F$40,3, FALSE)</f>
        <v>Le militaire est en activité.</v>
      </c>
      <c r="BB30" s="13" t="s">
        <v>135</v>
      </c>
      <c r="BC30" s="15" t="str">
        <f>VLOOKUP(BB30,'Axe 2 Règles de gestion'!$D$2:$F$40,3, FALSE)</f>
        <v>La date de début du congé/absence doit être postérieure ou égale à la date de recrutement dans la FPE ou dans la carrière militaire.</v>
      </c>
      <c r="BD30" s="13" t="s">
        <v>137</v>
      </c>
      <c r="BE30" s="15" t="str">
        <f>VLOOKUP(BD30,'Axe 2 Règles de gestion'!$D$2:$F$40,3, FALSE)</f>
        <v>Pour les militaires sous contrat à durée déterminée, la date de début du congé/absence doit être postérieure ou égale à la date de début du lien juridique.</v>
      </c>
      <c r="BF30" s="13" t="s">
        <v>139</v>
      </c>
      <c r="BG30" s="15" t="str">
        <f>VLOOKUP(BF30,'Axe 2 Règles de gestion'!$D$2:$F$40,3, FALSE)</f>
        <v>La date de début du congé/absence doit être antérieure ou égale à la date de fin réelle du congé/absence.</v>
      </c>
      <c r="BH30" s="13" t="s">
        <v>141</v>
      </c>
      <c r="BI30" s="15" t="str">
        <f>VLOOKUP(BH30,'Axe 2 Règles de gestion'!$D$2:$F$40,3, FALSE)</f>
        <v>La date de début du congé/absence doit être antérieure ou égale à la date de fin prévisionnelle du congé/absence.</v>
      </c>
      <c r="BJ30" s="13" t="s">
        <v>143</v>
      </c>
      <c r="BK30" s="15" t="str">
        <f>VLOOKUP(BJ30,'Axe 2 Règles de gestion'!$D$2:$F$40,3, FALSE)</f>
        <v>La date de fin réelle du congé/absence doit être antérieure à la date limite de départ à la retraite.</v>
      </c>
      <c r="BL30" s="13" t="s">
        <v>145</v>
      </c>
      <c r="BM30" s="15" t="str">
        <f>VLOOKUP(BL30,'Axe 2 Règles de gestion'!$D$2:$F$40,3, FALSE)</f>
        <v>La date de fin prévisionnelle du congé/absence doit être antérieure à la date limite de départ à la retraite.</v>
      </c>
      <c r="BN30" s="13" t="s">
        <v>147</v>
      </c>
      <c r="BO30" s="15" t="str">
        <f>VLOOKUP(BN30,'Axe 2 Règles de gestion'!$D$2:$F$40,3, FALSE)</f>
        <v>La date de fin réelle ou la date de fin prévisionnelle du congé/absence doit être saisie.</v>
      </c>
      <c r="BP30" s="13" t="s">
        <v>149</v>
      </c>
      <c r="BQ30" s="15" t="str">
        <f>VLOOKUP(BP30,'Axe 2 Règles de gestion'!$D$2:$F$40,3, FALSE)</f>
        <v>Si l'absence ne commence pas par une demi-journée et si l'absence précédente ne finit pas par une demi journée, la date de début de l'absence saisie est postérieure à la date de fin réelle de l'absence précédente.</v>
      </c>
      <c r="BR30" s="13" t="s">
        <v>151</v>
      </c>
      <c r="BS30" s="15" t="str">
        <f>VLOOKUP(BR30,'Axe 2 Règles de gestion'!$D$2:$F$40,3,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T30" s="13" t="s">
        <v>153</v>
      </c>
      <c r="BU30" s="15" t="str">
        <f>VLOOKUP(BT30,'Axe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V30" s="13"/>
      <c r="BW30" s="15"/>
    </row>
    <row r="31" spans="1:75" ht="130.5" x14ac:dyDescent="0.35">
      <c r="A31" s="13" t="s">
        <v>76</v>
      </c>
      <c r="B31" s="13" t="s">
        <v>77</v>
      </c>
      <c r="C31" s="14">
        <v>45414.672222222223</v>
      </c>
      <c r="D31" s="13" t="s">
        <v>78</v>
      </c>
      <c r="E31" s="15" t="s">
        <v>79</v>
      </c>
      <c r="F31" s="13" t="s">
        <v>80</v>
      </c>
      <c r="G31" s="15" t="s">
        <v>81</v>
      </c>
      <c r="H31" s="13" t="s">
        <v>167</v>
      </c>
      <c r="I31" s="15" t="s">
        <v>168</v>
      </c>
      <c r="J31" s="15" t="s">
        <v>169</v>
      </c>
      <c r="K31" s="15" t="s">
        <v>170</v>
      </c>
      <c r="L31" s="13" t="s">
        <v>173</v>
      </c>
      <c r="M31" s="15" t="s">
        <v>174</v>
      </c>
      <c r="N31" s="13" t="s">
        <v>95</v>
      </c>
      <c r="O31" s="15"/>
      <c r="P31" s="15"/>
      <c r="Q31" s="15" t="s">
        <v>158</v>
      </c>
      <c r="R31" s="13" t="s">
        <v>159</v>
      </c>
      <c r="S31" s="13" t="s">
        <v>106</v>
      </c>
      <c r="T31" s="13" t="s">
        <v>107</v>
      </c>
      <c r="U31" s="14">
        <v>44927</v>
      </c>
      <c r="V31" s="14"/>
      <c r="W31" s="15" t="s">
        <v>190</v>
      </c>
      <c r="X31" s="13" t="s">
        <v>156</v>
      </c>
      <c r="Y31" s="15" t="str">
        <f>VLOOKUP(X31,'Axe 2 Règles de gestion'!$D$2:$F$40,3, FALSE)</f>
        <v>Le militaire en permission peut être rappelé immédiatement lorsque les circonstances l'exigent.</v>
      </c>
      <c r="Z31" s="13"/>
      <c r="AA31" s="15"/>
      <c r="AB31" s="13"/>
      <c r="AC31" s="15"/>
      <c r="AD31" s="13"/>
      <c r="AE31" s="15"/>
      <c r="AF31" s="13"/>
      <c r="AG31" s="15"/>
      <c r="AH31" s="13"/>
      <c r="AI31" s="15"/>
      <c r="AJ31" s="13"/>
      <c r="AK31" s="15"/>
      <c r="AL31" s="13"/>
      <c r="AM31" s="15"/>
      <c r="AN31" s="13"/>
      <c r="AO31" s="15"/>
      <c r="AP31" s="13" t="s">
        <v>184</v>
      </c>
      <c r="AQ31" s="15" t="str">
        <f>VLOOKUP(AP31,'Axe 2 Règles de gestion'!$D$2:$F$40,3, FALSE)</f>
        <v>La durée prévisionnelle de la permission est de 5 jours ouvrés.</v>
      </c>
      <c r="AR31" s="13" t="s">
        <v>186</v>
      </c>
      <c r="AS31" s="15" t="str">
        <f>VLOOKUP(AR31,'Axe 2 Règles de gestion'!$D$2:$F$40,3, FALSE)</f>
        <v>La durée réelle de la permission est de 5 jours ouvrés.</v>
      </c>
      <c r="AT31" s="13" t="s">
        <v>188</v>
      </c>
      <c r="AU31" s="15" t="str">
        <f>VLOOKUP(AT31,'Axe 2 Règles de gestion'!$D$2:$F$40,3, FALSE)</f>
        <v>La durée cumulée des deux périodes de permission ne peut pas dépasser les 15 jours ouvrés.</v>
      </c>
      <c r="AV31" s="13" t="s">
        <v>129</v>
      </c>
      <c r="AW31" s="15" t="str">
        <f>VLOOKUP(AV31,'Axe 2 Règles de gestion'!$D$2:$F$40,3, FALSE)</f>
        <v>La date de fin prévisionnelle de la permission doit être antérieure ou égale à la date limite de fin réelle ou prévisionnelle du lien juridique. Le militaire ne voit pas son contrat prorogé jusqu'à la date de fin de la permission.</v>
      </c>
      <c r="AX31" s="13" t="s">
        <v>131</v>
      </c>
      <c r="AY31" s="15" t="str">
        <f>VLOOKUP(AX31,'Axe 2 Règles de gestion'!$D$2:$F$40,3, FALSE)</f>
        <v>La date de fin réelle de la permission doit être antérieure ou égale à la date limite de fin réelle ou prévisionnelle du lien juridique. Le militaire ne voit pas son contrat prorogé jusqu'à la date de fin de la permission.</v>
      </c>
      <c r="AZ31" s="13" t="s">
        <v>133</v>
      </c>
      <c r="BA31" s="15" t="str">
        <f>VLOOKUP(AZ31,'Axe 2 Règles de gestion'!$D$2:$F$40,3, FALSE)</f>
        <v>Le militaire est en activité.</v>
      </c>
      <c r="BB31" s="13" t="s">
        <v>139</v>
      </c>
      <c r="BC31" s="15" t="str">
        <f>VLOOKUP(BB31,'Axe 2 Règles de gestion'!$D$2:$F$40,3, FALSE)</f>
        <v>La date de début du congé/absence doit être antérieure ou égale à la date de fin réelle du congé/absence.</v>
      </c>
      <c r="BD31" s="13" t="s">
        <v>141</v>
      </c>
      <c r="BE31" s="15" t="str">
        <f>VLOOKUP(BD31,'Axe 2 Règles de gestion'!$D$2:$F$40,3, FALSE)</f>
        <v>La date de début du congé/absence doit être antérieure ou égale à la date de fin prévisionnelle du congé/absence.</v>
      </c>
      <c r="BF31" s="13" t="s">
        <v>143</v>
      </c>
      <c r="BG31" s="15" t="str">
        <f>VLOOKUP(BF31,'Axe 2 Règles de gestion'!$D$2:$F$40,3, FALSE)</f>
        <v>La date de fin réelle du congé/absence doit être antérieure à la date limite de départ à la retraite.</v>
      </c>
      <c r="BH31" s="13" t="s">
        <v>145</v>
      </c>
      <c r="BI31" s="15" t="str">
        <f>VLOOKUP(BH31,'Axe 2 Règles de gestion'!$D$2:$F$40,3, FALSE)</f>
        <v>La date de fin prévisionnelle du congé/absence doit être antérieure à la date limite de départ à la retraite.</v>
      </c>
      <c r="BJ31" s="13" t="s">
        <v>147</v>
      </c>
      <c r="BK31" s="15" t="str">
        <f>VLOOKUP(BJ31,'Axe 2 Règles de gestion'!$D$2:$F$40,3, FALSE)</f>
        <v>La date de fin réelle ou la date de fin prévisionnelle du congé/absence doit être saisie.</v>
      </c>
      <c r="BL31" s="13" t="s">
        <v>153</v>
      </c>
      <c r="BM31" s="15" t="str">
        <f>VLOOKUP(BL31,'Axe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N31" s="13"/>
      <c r="BO31" s="15"/>
      <c r="BP31" s="13"/>
      <c r="BQ31" s="15"/>
      <c r="BR31" s="13"/>
      <c r="BS31" s="15"/>
      <c r="BT31" s="13"/>
      <c r="BU31" s="15"/>
      <c r="BV31" s="13"/>
      <c r="BW31" s="15"/>
    </row>
    <row r="32" spans="1:75" ht="145" x14ac:dyDescent="0.35">
      <c r="A32" s="13" t="s">
        <v>76</v>
      </c>
      <c r="B32" s="13" t="s">
        <v>77</v>
      </c>
      <c r="C32" s="14">
        <v>45414.671527777777</v>
      </c>
      <c r="D32" s="13" t="s">
        <v>78</v>
      </c>
      <c r="E32" s="15" t="s">
        <v>79</v>
      </c>
      <c r="F32" s="13" t="s">
        <v>80</v>
      </c>
      <c r="G32" s="15" t="s">
        <v>81</v>
      </c>
      <c r="H32" s="13" t="s">
        <v>167</v>
      </c>
      <c r="I32" s="15" t="s">
        <v>168</v>
      </c>
      <c r="J32" s="15" t="s">
        <v>169</v>
      </c>
      <c r="K32" s="15" t="s">
        <v>170</v>
      </c>
      <c r="L32" s="13" t="s">
        <v>171</v>
      </c>
      <c r="M32" s="15" t="s">
        <v>172</v>
      </c>
      <c r="N32" s="13" t="s">
        <v>88</v>
      </c>
      <c r="O32" s="15"/>
      <c r="P32" s="15"/>
      <c r="Q32" s="15" t="s">
        <v>163</v>
      </c>
      <c r="R32" s="13" t="s">
        <v>164</v>
      </c>
      <c r="S32" s="13" t="s">
        <v>106</v>
      </c>
      <c r="T32" s="13" t="s">
        <v>107</v>
      </c>
      <c r="U32" s="14">
        <v>44927</v>
      </c>
      <c r="V32" s="14"/>
      <c r="W32" s="15" t="s">
        <v>192</v>
      </c>
      <c r="X32" s="13" t="s">
        <v>109</v>
      </c>
      <c r="Y32" s="15" t="str">
        <f>VLOOKUP(X32,'Axe 2 Règles de gestion'!$D$2:$F$40,3, FALSE)</f>
        <v>En cas de participation à des opérations militaires, la permission est accordée par le commandant de la formation administrative ou l'autorité équivalente, dans les conditions fixées par le ministre de la défense.</v>
      </c>
      <c r="Z32" s="13" t="s">
        <v>176</v>
      </c>
      <c r="AA32" s="15" t="str">
        <f>VLOOKUP(Z32,'Axe 2 Règles de gestion'!$D$2:$F$40,3, FALSE)</f>
        <v>Une permission de 5 jours est accordée pour le décès du conjoint du militaire, du partenaire auquel celui-ci est lié par un PACS ou du concubin.</v>
      </c>
      <c r="AB32" s="13" t="s">
        <v>178</v>
      </c>
      <c r="AC32" s="15" t="str">
        <f>VLOOKUP(AB32,'Axe 2 Règles de gestion'!$D$2:$F$40,3, FALSE)</f>
        <v>Une permission de 5 jours est accordée pour le décès de l'enfant du militaire.</v>
      </c>
      <c r="AD32" s="13" t="s">
        <v>180</v>
      </c>
      <c r="AE32" s="15" t="str">
        <f>VLOOKUP(AD32,'Axe 2 Règles de gestion'!$D$2:$F$40,3, FALSE)</f>
        <v>La durée de la permission est portée à 7 jours lorsque l'enfant qui décède est âgé de moins de 25 ans ou en cas de décès d'une personne âgée de moins de 25 ans dont le militaire a la charge effective et permanente.</v>
      </c>
      <c r="AF32" s="13" t="s">
        <v>182</v>
      </c>
      <c r="AG32" s="15" t="str">
        <f>VLOOKUP(AF32,'Axe 2 Règles de gestion'!$D$2:$F$40,3, FALSE)</f>
        <v>Le militaire bénéficie dans les mêmes conditions d'une seconde permission de 8 jours. Elle peut être fractionnée en 2 périodes. Chaque période est d'une durée au moins égale à 1 journée. Elle est prise dans un délai d'1 an à compter du décès.</v>
      </c>
      <c r="AH32" s="13"/>
      <c r="AI32" s="15"/>
      <c r="AJ32" s="13"/>
      <c r="AK32" s="15"/>
      <c r="AL32" s="13"/>
      <c r="AM32" s="15"/>
      <c r="AN32" s="13"/>
      <c r="AO32" s="15"/>
      <c r="AP32" s="13" t="s">
        <v>184</v>
      </c>
      <c r="AQ32" s="15" t="str">
        <f>VLOOKUP(AP32,'Axe 2 Règles de gestion'!$D$2:$F$40,3, FALSE)</f>
        <v>La durée prévisionnelle de la permission est de 5 jours ouvrés.</v>
      </c>
      <c r="AR32" s="13" t="s">
        <v>186</v>
      </c>
      <c r="AS32" s="15" t="str">
        <f>VLOOKUP(AR32,'Axe 2 Règles de gestion'!$D$2:$F$40,3, FALSE)</f>
        <v>La durée réelle de la permission est de 5 jours ouvrés.</v>
      </c>
      <c r="AT32" s="13" t="s">
        <v>188</v>
      </c>
      <c r="AU32" s="15" t="str">
        <f>VLOOKUP(AT32,'Axe 2 Règles de gestion'!$D$2:$F$40,3, FALSE)</f>
        <v>La durée cumulée des deux périodes de permission ne peut pas dépasser les 15 jours ouvrés.</v>
      </c>
      <c r="AV32" s="13" t="s">
        <v>133</v>
      </c>
      <c r="AW32" s="15" t="str">
        <f>VLOOKUP(AV32,'Axe 2 Règles de gestion'!$D$2:$F$40,3, FALSE)</f>
        <v>Le militaire est en activité.</v>
      </c>
      <c r="AX32" s="13"/>
      <c r="AY32" s="15"/>
      <c r="AZ32" s="13"/>
      <c r="BA32" s="15"/>
      <c r="BB32" s="13" t="s">
        <v>135</v>
      </c>
      <c r="BC32" s="15" t="str">
        <f>VLOOKUP(BB32,'Axe 2 Règles de gestion'!$D$2:$F$40,3, FALSE)</f>
        <v>La date de début du congé/absence doit être postérieure ou égale à la date de recrutement dans la FPE ou dans la carrière militaire.</v>
      </c>
      <c r="BD32" s="13" t="s">
        <v>139</v>
      </c>
      <c r="BE32" s="15" t="str">
        <f>VLOOKUP(BD32,'Axe 2 Règles de gestion'!$D$2:$F$40,3, FALSE)</f>
        <v>La date de début du congé/absence doit être antérieure ou égale à la date de fin réelle du congé/absence.</v>
      </c>
      <c r="BF32" s="13" t="s">
        <v>141</v>
      </c>
      <c r="BG32" s="15" t="str">
        <f>VLOOKUP(BF32,'Axe 2 Règles de gestion'!$D$2:$F$40,3, FALSE)</f>
        <v>La date de début du congé/absence doit être antérieure ou égale à la date de fin prévisionnelle du congé/absence.</v>
      </c>
      <c r="BH32" s="13" t="s">
        <v>143</v>
      </c>
      <c r="BI32" s="15" t="str">
        <f>VLOOKUP(BH32,'Axe 2 Règles de gestion'!$D$2:$F$40,3, FALSE)</f>
        <v>La date de fin réelle du congé/absence doit être antérieure à la date limite de départ à la retraite.</v>
      </c>
      <c r="BJ32" s="13" t="s">
        <v>145</v>
      </c>
      <c r="BK32" s="15" t="str">
        <f>VLOOKUP(BJ32,'Axe 2 Règles de gestion'!$D$2:$F$40,3, FALSE)</f>
        <v>La date de fin prévisionnelle du congé/absence doit être antérieure à la date limite de départ à la retraite.</v>
      </c>
      <c r="BL32" s="13" t="s">
        <v>147</v>
      </c>
      <c r="BM32" s="15" t="str">
        <f>VLOOKUP(BL32,'Axe 2 Règles de gestion'!$D$2:$F$40,3, FALSE)</f>
        <v>La date de fin réelle ou la date de fin prévisionnelle du congé/absence doit être saisie.</v>
      </c>
      <c r="BN32" s="13" t="s">
        <v>149</v>
      </c>
      <c r="BO32" s="15" t="str">
        <f>VLOOKUP(BN32,'Axe 2 Règles de gestion'!$D$2:$F$40,3, FALSE)</f>
        <v>Si l'absence ne commence pas par une demi-journée et si l'absence précédente ne finit pas par une demi journée, la date de début de l'absence saisie est postérieure à la date de fin réelle de l'absence précédente.</v>
      </c>
      <c r="BP32" s="13" t="s">
        <v>151</v>
      </c>
      <c r="BQ32" s="15" t="str">
        <f>VLOOKUP(BP32,'Axe 2 Règles de gestion'!$D$2:$F$40,3,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R32" s="13" t="s">
        <v>153</v>
      </c>
      <c r="BS32" s="15" t="str">
        <f>VLOOKUP(BR32,'Axe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T32" s="13"/>
      <c r="BU32" s="15"/>
      <c r="BV32" s="13"/>
      <c r="BW32" s="15"/>
    </row>
    <row r="33" spans="1:75" ht="116" x14ac:dyDescent="0.35">
      <c r="A33" s="13" t="s">
        <v>76</v>
      </c>
      <c r="B33" s="13" t="s">
        <v>77</v>
      </c>
      <c r="C33" s="14">
        <v>45414.672222222223</v>
      </c>
      <c r="D33" s="13" t="s">
        <v>78</v>
      </c>
      <c r="E33" s="15" t="s">
        <v>79</v>
      </c>
      <c r="F33" s="13" t="s">
        <v>80</v>
      </c>
      <c r="G33" s="15" t="s">
        <v>81</v>
      </c>
      <c r="H33" s="13" t="s">
        <v>167</v>
      </c>
      <c r="I33" s="15" t="s">
        <v>168</v>
      </c>
      <c r="J33" s="15" t="s">
        <v>169</v>
      </c>
      <c r="K33" s="15" t="s">
        <v>170</v>
      </c>
      <c r="L33" s="13" t="s">
        <v>173</v>
      </c>
      <c r="M33" s="15" t="s">
        <v>174</v>
      </c>
      <c r="N33" s="13" t="s">
        <v>95</v>
      </c>
      <c r="O33" s="15"/>
      <c r="P33" s="15"/>
      <c r="Q33" s="15" t="s">
        <v>163</v>
      </c>
      <c r="R33" s="13" t="s">
        <v>164</v>
      </c>
      <c r="S33" s="13" t="s">
        <v>106</v>
      </c>
      <c r="T33" s="13" t="s">
        <v>107</v>
      </c>
      <c r="U33" s="14">
        <v>44927</v>
      </c>
      <c r="V33" s="14"/>
      <c r="W33" s="15" t="s">
        <v>193</v>
      </c>
      <c r="X33" s="13" t="s">
        <v>156</v>
      </c>
      <c r="Y33" s="15" t="str">
        <f>VLOOKUP(X33,'Axe 2 Règles de gestion'!$D$2:$F$40,3, FALSE)</f>
        <v>Le militaire en permission peut être rappelé immédiatement lorsque les circonstances l'exigent.</v>
      </c>
      <c r="Z33" s="13"/>
      <c r="AA33" s="15"/>
      <c r="AB33" s="13"/>
      <c r="AC33" s="15"/>
      <c r="AD33" s="13"/>
      <c r="AE33" s="15"/>
      <c r="AF33" s="13"/>
      <c r="AG33" s="15"/>
      <c r="AH33" s="13"/>
      <c r="AI33" s="15"/>
      <c r="AJ33" s="13"/>
      <c r="AK33" s="15"/>
      <c r="AL33" s="13"/>
      <c r="AM33" s="15"/>
      <c r="AN33" s="13"/>
      <c r="AO33" s="15"/>
      <c r="AP33" s="13" t="s">
        <v>184</v>
      </c>
      <c r="AQ33" s="15" t="str">
        <f>VLOOKUP(AP33,'Axe 2 Règles de gestion'!$D$2:$F$40,3, FALSE)</f>
        <v>La durée prévisionnelle de la permission est de 5 jours ouvrés.</v>
      </c>
      <c r="AR33" s="13" t="s">
        <v>186</v>
      </c>
      <c r="AS33" s="15" t="str">
        <f>VLOOKUP(AR33,'Axe 2 Règles de gestion'!$D$2:$F$40,3, FALSE)</f>
        <v>La durée réelle de la permission est de 5 jours ouvrés.</v>
      </c>
      <c r="AT33" s="13" t="s">
        <v>188</v>
      </c>
      <c r="AU33" s="15" t="str">
        <f>VLOOKUP(AT33,'Axe 2 Règles de gestion'!$D$2:$F$40,3, FALSE)</f>
        <v>La durée cumulée des deux périodes de permission ne peut pas dépasser les 15 jours ouvrés.</v>
      </c>
      <c r="AV33" s="13" t="s">
        <v>133</v>
      </c>
      <c r="AW33" s="15" t="str">
        <f>VLOOKUP(AV33,'Axe 2 Règles de gestion'!$D$2:$F$40,3, FALSE)</f>
        <v>Le militaire est en activité.</v>
      </c>
      <c r="AX33" s="13"/>
      <c r="AY33" s="15"/>
      <c r="AZ33" s="13"/>
      <c r="BA33" s="15"/>
      <c r="BB33" s="13" t="s">
        <v>139</v>
      </c>
      <c r="BC33" s="15" t="str">
        <f>VLOOKUP(BB33,'Axe 2 Règles de gestion'!$D$2:$F$40,3, FALSE)</f>
        <v>La date de début du congé/absence doit être antérieure ou égale à la date de fin réelle du congé/absence.</v>
      </c>
      <c r="BD33" s="13" t="s">
        <v>141</v>
      </c>
      <c r="BE33" s="15" t="str">
        <f>VLOOKUP(BD33,'Axe 2 Règles de gestion'!$D$2:$F$40,3, FALSE)</f>
        <v>La date de début du congé/absence doit être antérieure ou égale à la date de fin prévisionnelle du congé/absence.</v>
      </c>
      <c r="BF33" s="13" t="s">
        <v>143</v>
      </c>
      <c r="BG33" s="15" t="str">
        <f>VLOOKUP(BF33,'Axe 2 Règles de gestion'!$D$2:$F$40,3, FALSE)</f>
        <v>La date de fin réelle du congé/absence doit être antérieure à la date limite de départ à la retraite.</v>
      </c>
      <c r="BH33" s="13" t="s">
        <v>145</v>
      </c>
      <c r="BI33" s="15" t="str">
        <f>VLOOKUP(BH33,'Axe 2 Règles de gestion'!$D$2:$F$40,3, FALSE)</f>
        <v>La date de fin prévisionnelle du congé/absence doit être antérieure à la date limite de départ à la retraite.</v>
      </c>
      <c r="BJ33" s="13" t="s">
        <v>147</v>
      </c>
      <c r="BK33" s="15" t="str">
        <f>VLOOKUP(BJ33,'Axe 2 Règles de gestion'!$D$2:$F$40,3, FALSE)</f>
        <v>La date de fin réelle ou la date de fin prévisionnelle du congé/absence doit être saisie.</v>
      </c>
      <c r="BL33" s="13" t="s">
        <v>153</v>
      </c>
      <c r="BM33" s="15" t="str">
        <f>VLOOKUP(BL33,'Axe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N33" s="13"/>
      <c r="BO33" s="15"/>
      <c r="BP33" s="13"/>
      <c r="BQ33" s="15"/>
      <c r="BR33" s="13"/>
      <c r="BS33" s="15"/>
      <c r="BT33" s="13"/>
      <c r="BU33" s="15"/>
      <c r="BV33" s="13"/>
      <c r="BW33" s="15"/>
    </row>
    <row r="34" spans="1:75" s="22" customFormat="1" ht="58" x14ac:dyDescent="0.35">
      <c r="A34" s="19" t="s">
        <v>194</v>
      </c>
      <c r="B34" s="19" t="s">
        <v>77</v>
      </c>
      <c r="C34" s="20">
        <v>45910.565972222219</v>
      </c>
      <c r="D34" s="19" t="s">
        <v>78</v>
      </c>
      <c r="E34" s="21" t="s">
        <v>79</v>
      </c>
      <c r="F34" s="19" t="s">
        <v>80</v>
      </c>
      <c r="G34" s="21" t="s">
        <v>81</v>
      </c>
      <c r="H34" s="19" t="s">
        <v>195</v>
      </c>
      <c r="I34" s="21" t="s">
        <v>196</v>
      </c>
      <c r="J34" s="21" t="s">
        <v>197</v>
      </c>
      <c r="K34" s="21" t="s">
        <v>198</v>
      </c>
      <c r="L34" s="19" t="s">
        <v>199</v>
      </c>
      <c r="M34" s="21" t="s">
        <v>200</v>
      </c>
      <c r="N34" s="19" t="s">
        <v>88</v>
      </c>
      <c r="O34" s="21"/>
      <c r="P34" s="21"/>
      <c r="Q34" s="21" t="s">
        <v>89</v>
      </c>
      <c r="R34" s="19" t="s">
        <v>90</v>
      </c>
      <c r="S34" s="19" t="s">
        <v>91</v>
      </c>
      <c r="T34" s="19" t="s">
        <v>92</v>
      </c>
      <c r="U34" s="20">
        <v>45807</v>
      </c>
      <c r="V34" s="20"/>
      <c r="W34" s="21"/>
      <c r="X34" s="19"/>
      <c r="Y34" s="21"/>
      <c r="Z34" s="19"/>
      <c r="AA34" s="21"/>
      <c r="AB34" s="19"/>
      <c r="AC34" s="21"/>
      <c r="AD34" s="19"/>
      <c r="AE34" s="21"/>
      <c r="AF34" s="19"/>
      <c r="AG34" s="21"/>
      <c r="AH34" s="19"/>
      <c r="AI34" s="21"/>
      <c r="AJ34" s="19"/>
      <c r="AK34" s="21"/>
      <c r="AL34" s="19"/>
      <c r="AM34" s="21"/>
      <c r="AN34" s="19"/>
      <c r="AO34" s="21"/>
      <c r="AP34" s="19"/>
      <c r="AQ34" s="21"/>
      <c r="AR34" s="19"/>
      <c r="AS34" s="21"/>
      <c r="AT34" s="19"/>
      <c r="AU34" s="21"/>
      <c r="AV34" s="19"/>
      <c r="AW34" s="21"/>
      <c r="AX34" s="19"/>
      <c r="AY34" s="21"/>
      <c r="AZ34" s="19"/>
      <c r="BA34" s="21"/>
      <c r="BB34" s="19"/>
      <c r="BC34" s="21"/>
      <c r="BD34" s="19"/>
      <c r="BE34" s="21"/>
      <c r="BF34" s="19"/>
      <c r="BG34" s="21"/>
      <c r="BH34" s="19"/>
      <c r="BI34" s="21"/>
      <c r="BJ34" s="19"/>
      <c r="BK34" s="21"/>
      <c r="BL34" s="19"/>
      <c r="BM34" s="21"/>
      <c r="BN34" s="19"/>
      <c r="BO34" s="21"/>
      <c r="BP34" s="19"/>
      <c r="BQ34" s="21"/>
      <c r="BR34" s="19"/>
      <c r="BS34" s="21"/>
      <c r="BT34" s="19"/>
      <c r="BU34" s="21"/>
      <c r="BV34" s="19" t="s">
        <v>201</v>
      </c>
      <c r="BW34" s="21"/>
    </row>
    <row r="35" spans="1:75" s="22" customFormat="1" ht="58" x14ac:dyDescent="0.35">
      <c r="A35" s="19" t="s">
        <v>194</v>
      </c>
      <c r="B35" s="19" t="s">
        <v>77</v>
      </c>
      <c r="C35" s="20">
        <v>45911.627083333333</v>
      </c>
      <c r="D35" s="19" t="s">
        <v>78</v>
      </c>
      <c r="E35" s="21" t="s">
        <v>79</v>
      </c>
      <c r="F35" s="19" t="s">
        <v>80</v>
      </c>
      <c r="G35" s="21" t="s">
        <v>81</v>
      </c>
      <c r="H35" s="19" t="s">
        <v>195</v>
      </c>
      <c r="I35" s="21" t="s">
        <v>196</v>
      </c>
      <c r="J35" s="21" t="s">
        <v>197</v>
      </c>
      <c r="K35" s="21" t="s">
        <v>198</v>
      </c>
      <c r="L35" s="19" t="s">
        <v>202</v>
      </c>
      <c r="M35" s="21" t="s">
        <v>203</v>
      </c>
      <c r="N35" s="19" t="s">
        <v>95</v>
      </c>
      <c r="O35" s="21"/>
      <c r="P35" s="21"/>
      <c r="Q35" s="21" t="s">
        <v>89</v>
      </c>
      <c r="R35" s="19" t="s">
        <v>90</v>
      </c>
      <c r="S35" s="19" t="s">
        <v>91</v>
      </c>
      <c r="T35" s="19" t="s">
        <v>92</v>
      </c>
      <c r="U35" s="20">
        <v>45807</v>
      </c>
      <c r="V35" s="20"/>
      <c r="W35" s="21"/>
      <c r="X35" s="19"/>
      <c r="Y35" s="21"/>
      <c r="Z35" s="19"/>
      <c r="AA35" s="21"/>
      <c r="AB35" s="19"/>
      <c r="AC35" s="21"/>
      <c r="AD35" s="19"/>
      <c r="AE35" s="21"/>
      <c r="AF35" s="19"/>
      <c r="AG35" s="21"/>
      <c r="AH35" s="19"/>
      <c r="AI35" s="21"/>
      <c r="AJ35" s="19"/>
      <c r="AK35" s="21"/>
      <c r="AL35" s="19"/>
      <c r="AM35" s="21"/>
      <c r="AN35" s="19"/>
      <c r="AO35" s="21"/>
      <c r="AP35" s="19"/>
      <c r="AQ35" s="21"/>
      <c r="AR35" s="19"/>
      <c r="AS35" s="21"/>
      <c r="AT35" s="19"/>
      <c r="AU35" s="21"/>
      <c r="AV35" s="19"/>
      <c r="AW35" s="21"/>
      <c r="AX35" s="19"/>
      <c r="AY35" s="21"/>
      <c r="AZ35" s="19"/>
      <c r="BA35" s="21"/>
      <c r="BB35" s="19"/>
      <c r="BC35" s="21"/>
      <c r="BD35" s="19"/>
      <c r="BE35" s="21"/>
      <c r="BF35" s="19"/>
      <c r="BG35" s="21"/>
      <c r="BH35" s="19"/>
      <c r="BI35" s="21"/>
      <c r="BJ35" s="19"/>
      <c r="BK35" s="21"/>
      <c r="BL35" s="19"/>
      <c r="BM35" s="21"/>
      <c r="BN35" s="19"/>
      <c r="BO35" s="21"/>
      <c r="BP35" s="19"/>
      <c r="BQ35" s="21"/>
      <c r="BR35" s="19"/>
      <c r="BS35" s="21"/>
      <c r="BT35" s="19"/>
      <c r="BU35" s="21"/>
      <c r="BV35" s="19" t="s">
        <v>201</v>
      </c>
      <c r="BW35" s="21"/>
    </row>
    <row r="36" spans="1:75" s="22" customFormat="1" ht="58" x14ac:dyDescent="0.35">
      <c r="A36" s="19" t="s">
        <v>194</v>
      </c>
      <c r="B36" s="19" t="s">
        <v>77</v>
      </c>
      <c r="C36" s="20">
        <v>45910.565972222219</v>
      </c>
      <c r="D36" s="19" t="s">
        <v>78</v>
      </c>
      <c r="E36" s="21" t="s">
        <v>79</v>
      </c>
      <c r="F36" s="19" t="s">
        <v>80</v>
      </c>
      <c r="G36" s="21" t="s">
        <v>81</v>
      </c>
      <c r="H36" s="19" t="s">
        <v>195</v>
      </c>
      <c r="I36" s="21" t="s">
        <v>196</v>
      </c>
      <c r="J36" s="21" t="s">
        <v>197</v>
      </c>
      <c r="K36" s="21" t="s">
        <v>198</v>
      </c>
      <c r="L36" s="19" t="s">
        <v>199</v>
      </c>
      <c r="M36" s="21" t="s">
        <v>200</v>
      </c>
      <c r="N36" s="19" t="s">
        <v>88</v>
      </c>
      <c r="O36" s="21"/>
      <c r="P36" s="21"/>
      <c r="Q36" s="21" t="s">
        <v>96</v>
      </c>
      <c r="R36" s="19" t="s">
        <v>97</v>
      </c>
      <c r="S36" s="19" t="s">
        <v>91</v>
      </c>
      <c r="T36" s="19" t="s">
        <v>92</v>
      </c>
      <c r="U36" s="20">
        <v>45807</v>
      </c>
      <c r="V36" s="20"/>
      <c r="W36" s="21"/>
      <c r="X36" s="19"/>
      <c r="Y36" s="21"/>
      <c r="Z36" s="19"/>
      <c r="AA36" s="21"/>
      <c r="AB36" s="19"/>
      <c r="AC36" s="21"/>
      <c r="AD36" s="19"/>
      <c r="AE36" s="21"/>
      <c r="AF36" s="19"/>
      <c r="AG36" s="21"/>
      <c r="AH36" s="19"/>
      <c r="AI36" s="21"/>
      <c r="AJ36" s="19"/>
      <c r="AK36" s="21"/>
      <c r="AL36" s="19"/>
      <c r="AM36" s="21"/>
      <c r="AN36" s="19"/>
      <c r="AO36" s="21"/>
      <c r="AP36" s="19"/>
      <c r="AQ36" s="21"/>
      <c r="AR36" s="19"/>
      <c r="AS36" s="21"/>
      <c r="AT36" s="19"/>
      <c r="AU36" s="21"/>
      <c r="AV36" s="19"/>
      <c r="AW36" s="21"/>
      <c r="AX36" s="19"/>
      <c r="AY36" s="21"/>
      <c r="AZ36" s="19"/>
      <c r="BA36" s="21"/>
      <c r="BB36" s="19"/>
      <c r="BC36" s="21"/>
      <c r="BD36" s="19"/>
      <c r="BE36" s="21"/>
      <c r="BF36" s="19"/>
      <c r="BG36" s="21"/>
      <c r="BH36" s="19"/>
      <c r="BI36" s="21"/>
      <c r="BJ36" s="19"/>
      <c r="BK36" s="21"/>
      <c r="BL36" s="19"/>
      <c r="BM36" s="21"/>
      <c r="BN36" s="19"/>
      <c r="BO36" s="21"/>
      <c r="BP36" s="19"/>
      <c r="BQ36" s="21"/>
      <c r="BR36" s="19"/>
      <c r="BS36" s="21"/>
      <c r="BT36" s="19"/>
      <c r="BU36" s="21"/>
      <c r="BV36" s="19" t="s">
        <v>201</v>
      </c>
      <c r="BW36" s="21"/>
    </row>
    <row r="37" spans="1:75" s="22" customFormat="1" ht="58" x14ac:dyDescent="0.35">
      <c r="A37" s="19" t="s">
        <v>194</v>
      </c>
      <c r="B37" s="19" t="s">
        <v>77</v>
      </c>
      <c r="C37" s="20">
        <v>45911.628472222219</v>
      </c>
      <c r="D37" s="19" t="s">
        <v>78</v>
      </c>
      <c r="E37" s="21" t="s">
        <v>79</v>
      </c>
      <c r="F37" s="19" t="s">
        <v>80</v>
      </c>
      <c r="G37" s="21" t="s">
        <v>81</v>
      </c>
      <c r="H37" s="19" t="s">
        <v>195</v>
      </c>
      <c r="I37" s="21" t="s">
        <v>196</v>
      </c>
      <c r="J37" s="21" t="s">
        <v>197</v>
      </c>
      <c r="K37" s="21" t="s">
        <v>198</v>
      </c>
      <c r="L37" s="19" t="s">
        <v>202</v>
      </c>
      <c r="M37" s="21" t="s">
        <v>203</v>
      </c>
      <c r="N37" s="19" t="s">
        <v>95</v>
      </c>
      <c r="O37" s="21"/>
      <c r="P37" s="21"/>
      <c r="Q37" s="21" t="s">
        <v>96</v>
      </c>
      <c r="R37" s="19" t="s">
        <v>97</v>
      </c>
      <c r="S37" s="19" t="s">
        <v>91</v>
      </c>
      <c r="T37" s="19" t="s">
        <v>92</v>
      </c>
      <c r="U37" s="20">
        <v>45807</v>
      </c>
      <c r="V37" s="20"/>
      <c r="W37" s="21"/>
      <c r="X37" s="19"/>
      <c r="Y37" s="21"/>
      <c r="Z37" s="19"/>
      <c r="AA37" s="21"/>
      <c r="AB37" s="19"/>
      <c r="AC37" s="21"/>
      <c r="AD37" s="19"/>
      <c r="AE37" s="21"/>
      <c r="AF37" s="19"/>
      <c r="AG37" s="21"/>
      <c r="AH37" s="19"/>
      <c r="AI37" s="21"/>
      <c r="AJ37" s="19"/>
      <c r="AK37" s="21"/>
      <c r="AL37" s="19"/>
      <c r="AM37" s="21"/>
      <c r="AN37" s="19"/>
      <c r="AO37" s="21"/>
      <c r="AP37" s="19"/>
      <c r="AQ37" s="21"/>
      <c r="AR37" s="19"/>
      <c r="AS37" s="21"/>
      <c r="AT37" s="19"/>
      <c r="AU37" s="21"/>
      <c r="AV37" s="19"/>
      <c r="AW37" s="21"/>
      <c r="AX37" s="19"/>
      <c r="AY37" s="21"/>
      <c r="AZ37" s="19"/>
      <c r="BA37" s="21"/>
      <c r="BB37" s="19"/>
      <c r="BC37" s="21"/>
      <c r="BD37" s="19"/>
      <c r="BE37" s="21"/>
      <c r="BF37" s="19"/>
      <c r="BG37" s="21"/>
      <c r="BH37" s="19"/>
      <c r="BI37" s="21"/>
      <c r="BJ37" s="19"/>
      <c r="BK37" s="21"/>
      <c r="BL37" s="19"/>
      <c r="BM37" s="21"/>
      <c r="BN37" s="19"/>
      <c r="BO37" s="21"/>
      <c r="BP37" s="19"/>
      <c r="BQ37" s="21"/>
      <c r="BR37" s="19"/>
      <c r="BS37" s="21"/>
      <c r="BT37" s="19"/>
      <c r="BU37" s="21"/>
      <c r="BV37" s="19" t="s">
        <v>201</v>
      </c>
      <c r="BW37" s="21"/>
    </row>
    <row r="38" spans="1:75" s="22" customFormat="1" ht="58" x14ac:dyDescent="0.35">
      <c r="A38" s="19" t="s">
        <v>194</v>
      </c>
      <c r="B38" s="19" t="s">
        <v>77</v>
      </c>
      <c r="C38" s="20">
        <v>45910.565972222219</v>
      </c>
      <c r="D38" s="19" t="s">
        <v>78</v>
      </c>
      <c r="E38" s="21" t="s">
        <v>79</v>
      </c>
      <c r="F38" s="19" t="s">
        <v>80</v>
      </c>
      <c r="G38" s="21" t="s">
        <v>81</v>
      </c>
      <c r="H38" s="19" t="s">
        <v>195</v>
      </c>
      <c r="I38" s="21" t="s">
        <v>196</v>
      </c>
      <c r="J38" s="21" t="s">
        <v>197</v>
      </c>
      <c r="K38" s="21" t="s">
        <v>198</v>
      </c>
      <c r="L38" s="19" t="s">
        <v>199</v>
      </c>
      <c r="M38" s="21" t="s">
        <v>200</v>
      </c>
      <c r="N38" s="19" t="s">
        <v>88</v>
      </c>
      <c r="O38" s="21"/>
      <c r="P38" s="21"/>
      <c r="Q38" s="21" t="s">
        <v>98</v>
      </c>
      <c r="R38" s="19" t="s">
        <v>99</v>
      </c>
      <c r="S38" s="19" t="s">
        <v>91</v>
      </c>
      <c r="T38" s="19" t="s">
        <v>92</v>
      </c>
      <c r="U38" s="20">
        <v>45807</v>
      </c>
      <c r="V38" s="20"/>
      <c r="W38" s="21"/>
      <c r="X38" s="19"/>
      <c r="Y38" s="21"/>
      <c r="Z38" s="19"/>
      <c r="AA38" s="21"/>
      <c r="AB38" s="19"/>
      <c r="AC38" s="21"/>
      <c r="AD38" s="19"/>
      <c r="AE38" s="21"/>
      <c r="AF38" s="19"/>
      <c r="AG38" s="21"/>
      <c r="AH38" s="19"/>
      <c r="AI38" s="21"/>
      <c r="AJ38" s="19"/>
      <c r="AK38" s="21"/>
      <c r="AL38" s="19"/>
      <c r="AM38" s="21"/>
      <c r="AN38" s="19"/>
      <c r="AO38" s="21"/>
      <c r="AP38" s="19"/>
      <c r="AQ38" s="21"/>
      <c r="AR38" s="19"/>
      <c r="AS38" s="21"/>
      <c r="AT38" s="19"/>
      <c r="AU38" s="21"/>
      <c r="AV38" s="19"/>
      <c r="AW38" s="21"/>
      <c r="AX38" s="19"/>
      <c r="AY38" s="21"/>
      <c r="AZ38" s="19"/>
      <c r="BA38" s="21"/>
      <c r="BB38" s="19"/>
      <c r="BC38" s="21"/>
      <c r="BD38" s="19"/>
      <c r="BE38" s="21"/>
      <c r="BF38" s="19"/>
      <c r="BG38" s="21"/>
      <c r="BH38" s="19"/>
      <c r="BI38" s="21"/>
      <c r="BJ38" s="19"/>
      <c r="BK38" s="21"/>
      <c r="BL38" s="19"/>
      <c r="BM38" s="21"/>
      <c r="BN38" s="19"/>
      <c r="BO38" s="21"/>
      <c r="BP38" s="19"/>
      <c r="BQ38" s="21"/>
      <c r="BR38" s="19"/>
      <c r="BS38" s="21"/>
      <c r="BT38" s="19"/>
      <c r="BU38" s="21"/>
      <c r="BV38" s="19" t="s">
        <v>201</v>
      </c>
      <c r="BW38" s="21"/>
    </row>
    <row r="39" spans="1:75" s="22" customFormat="1" ht="58" x14ac:dyDescent="0.35">
      <c r="A39" s="19" t="s">
        <v>194</v>
      </c>
      <c r="B39" s="19" t="s">
        <v>77</v>
      </c>
      <c r="C39" s="20">
        <v>45911.62777777778</v>
      </c>
      <c r="D39" s="19" t="s">
        <v>78</v>
      </c>
      <c r="E39" s="21" t="s">
        <v>79</v>
      </c>
      <c r="F39" s="19" t="s">
        <v>80</v>
      </c>
      <c r="G39" s="21" t="s">
        <v>81</v>
      </c>
      <c r="H39" s="19" t="s">
        <v>195</v>
      </c>
      <c r="I39" s="21" t="s">
        <v>196</v>
      </c>
      <c r="J39" s="21" t="s">
        <v>197</v>
      </c>
      <c r="K39" s="21" t="s">
        <v>198</v>
      </c>
      <c r="L39" s="19" t="s">
        <v>202</v>
      </c>
      <c r="M39" s="21" t="s">
        <v>203</v>
      </c>
      <c r="N39" s="19" t="s">
        <v>95</v>
      </c>
      <c r="O39" s="21"/>
      <c r="P39" s="21"/>
      <c r="Q39" s="21" t="s">
        <v>98</v>
      </c>
      <c r="R39" s="19" t="s">
        <v>99</v>
      </c>
      <c r="S39" s="19" t="s">
        <v>91</v>
      </c>
      <c r="T39" s="19" t="s">
        <v>92</v>
      </c>
      <c r="U39" s="20">
        <v>45807</v>
      </c>
      <c r="V39" s="20"/>
      <c r="W39" s="21"/>
      <c r="X39" s="19"/>
      <c r="Y39" s="21"/>
      <c r="Z39" s="19"/>
      <c r="AA39" s="21"/>
      <c r="AB39" s="19"/>
      <c r="AC39" s="21"/>
      <c r="AD39" s="19"/>
      <c r="AE39" s="21"/>
      <c r="AF39" s="19"/>
      <c r="AG39" s="21"/>
      <c r="AH39" s="19"/>
      <c r="AI39" s="21"/>
      <c r="AJ39" s="19"/>
      <c r="AK39" s="21"/>
      <c r="AL39" s="19"/>
      <c r="AM39" s="21"/>
      <c r="AN39" s="19"/>
      <c r="AO39" s="21"/>
      <c r="AP39" s="19"/>
      <c r="AQ39" s="21"/>
      <c r="AR39" s="19"/>
      <c r="AS39" s="21"/>
      <c r="AT39" s="19"/>
      <c r="AU39" s="21"/>
      <c r="AV39" s="19"/>
      <c r="AW39" s="21"/>
      <c r="AX39" s="19"/>
      <c r="AY39" s="21"/>
      <c r="AZ39" s="19"/>
      <c r="BA39" s="21"/>
      <c r="BB39" s="19"/>
      <c r="BC39" s="21"/>
      <c r="BD39" s="19"/>
      <c r="BE39" s="21"/>
      <c r="BF39" s="19"/>
      <c r="BG39" s="21"/>
      <c r="BH39" s="19"/>
      <c r="BI39" s="21"/>
      <c r="BJ39" s="19"/>
      <c r="BK39" s="21"/>
      <c r="BL39" s="19"/>
      <c r="BM39" s="21"/>
      <c r="BN39" s="19"/>
      <c r="BO39" s="21"/>
      <c r="BP39" s="19"/>
      <c r="BQ39" s="21"/>
      <c r="BR39" s="19"/>
      <c r="BS39" s="21"/>
      <c r="BT39" s="19"/>
      <c r="BU39" s="21"/>
      <c r="BV39" s="19" t="s">
        <v>201</v>
      </c>
      <c r="BW39" s="21"/>
    </row>
    <row r="40" spans="1:75" s="22" customFormat="1" ht="58" x14ac:dyDescent="0.35">
      <c r="A40" s="19" t="s">
        <v>194</v>
      </c>
      <c r="B40" s="19" t="s">
        <v>77</v>
      </c>
      <c r="C40" s="20">
        <v>45910.565972222219</v>
      </c>
      <c r="D40" s="19" t="s">
        <v>78</v>
      </c>
      <c r="E40" s="21" t="s">
        <v>79</v>
      </c>
      <c r="F40" s="19" t="s">
        <v>80</v>
      </c>
      <c r="G40" s="21" t="s">
        <v>81</v>
      </c>
      <c r="H40" s="19" t="s">
        <v>195</v>
      </c>
      <c r="I40" s="21" t="s">
        <v>196</v>
      </c>
      <c r="J40" s="21" t="s">
        <v>197</v>
      </c>
      <c r="K40" s="21" t="s">
        <v>198</v>
      </c>
      <c r="L40" s="19" t="s">
        <v>199</v>
      </c>
      <c r="M40" s="21" t="s">
        <v>200</v>
      </c>
      <c r="N40" s="19" t="s">
        <v>88</v>
      </c>
      <c r="O40" s="21"/>
      <c r="P40" s="21"/>
      <c r="Q40" s="21" t="s">
        <v>100</v>
      </c>
      <c r="R40" s="19" t="s">
        <v>101</v>
      </c>
      <c r="S40" s="19" t="s">
        <v>91</v>
      </c>
      <c r="T40" s="19" t="s">
        <v>92</v>
      </c>
      <c r="U40" s="20">
        <v>45807</v>
      </c>
      <c r="V40" s="20"/>
      <c r="W40" s="21"/>
      <c r="X40" s="19"/>
      <c r="Y40" s="21"/>
      <c r="Z40" s="19"/>
      <c r="AA40" s="21"/>
      <c r="AB40" s="19"/>
      <c r="AC40" s="21"/>
      <c r="AD40" s="19"/>
      <c r="AE40" s="21"/>
      <c r="AF40" s="19"/>
      <c r="AG40" s="21"/>
      <c r="AH40" s="19"/>
      <c r="AI40" s="21"/>
      <c r="AJ40" s="19"/>
      <c r="AK40" s="21"/>
      <c r="AL40" s="19"/>
      <c r="AM40" s="21"/>
      <c r="AN40" s="19"/>
      <c r="AO40" s="21"/>
      <c r="AP40" s="19"/>
      <c r="AQ40" s="21"/>
      <c r="AR40" s="19"/>
      <c r="AS40" s="21"/>
      <c r="AT40" s="19"/>
      <c r="AU40" s="21"/>
      <c r="AV40" s="19"/>
      <c r="AW40" s="21"/>
      <c r="AX40" s="19"/>
      <c r="AY40" s="21"/>
      <c r="AZ40" s="19"/>
      <c r="BA40" s="21"/>
      <c r="BB40" s="19"/>
      <c r="BC40" s="21"/>
      <c r="BD40" s="19"/>
      <c r="BE40" s="21"/>
      <c r="BF40" s="19"/>
      <c r="BG40" s="21"/>
      <c r="BH40" s="19"/>
      <c r="BI40" s="21"/>
      <c r="BJ40" s="19"/>
      <c r="BK40" s="21"/>
      <c r="BL40" s="19"/>
      <c r="BM40" s="21"/>
      <c r="BN40" s="19"/>
      <c r="BO40" s="21"/>
      <c r="BP40" s="19"/>
      <c r="BQ40" s="21"/>
      <c r="BR40" s="19"/>
      <c r="BS40" s="21"/>
      <c r="BT40" s="19"/>
      <c r="BU40" s="21"/>
      <c r="BV40" s="19" t="s">
        <v>201</v>
      </c>
      <c r="BW40" s="21"/>
    </row>
    <row r="41" spans="1:75" s="22" customFormat="1" ht="58" x14ac:dyDescent="0.35">
      <c r="A41" s="19" t="s">
        <v>194</v>
      </c>
      <c r="B41" s="19" t="s">
        <v>77</v>
      </c>
      <c r="C41" s="20">
        <v>45911.62777777778</v>
      </c>
      <c r="D41" s="19" t="s">
        <v>78</v>
      </c>
      <c r="E41" s="21" t="s">
        <v>79</v>
      </c>
      <c r="F41" s="19" t="s">
        <v>80</v>
      </c>
      <c r="G41" s="21" t="s">
        <v>81</v>
      </c>
      <c r="H41" s="19" t="s">
        <v>195</v>
      </c>
      <c r="I41" s="21" t="s">
        <v>196</v>
      </c>
      <c r="J41" s="21" t="s">
        <v>197</v>
      </c>
      <c r="K41" s="21" t="s">
        <v>198</v>
      </c>
      <c r="L41" s="19" t="s">
        <v>202</v>
      </c>
      <c r="M41" s="21" t="s">
        <v>203</v>
      </c>
      <c r="N41" s="19" t="s">
        <v>95</v>
      </c>
      <c r="O41" s="21"/>
      <c r="P41" s="21"/>
      <c r="Q41" s="21" t="s">
        <v>100</v>
      </c>
      <c r="R41" s="19" t="s">
        <v>101</v>
      </c>
      <c r="S41" s="19" t="s">
        <v>91</v>
      </c>
      <c r="T41" s="19" t="s">
        <v>92</v>
      </c>
      <c r="U41" s="20">
        <v>45807</v>
      </c>
      <c r="V41" s="20"/>
      <c r="W41" s="21"/>
      <c r="X41" s="19"/>
      <c r="Y41" s="21"/>
      <c r="Z41" s="19"/>
      <c r="AA41" s="21"/>
      <c r="AB41" s="19"/>
      <c r="AC41" s="21"/>
      <c r="AD41" s="19"/>
      <c r="AE41" s="21"/>
      <c r="AF41" s="19"/>
      <c r="AG41" s="21"/>
      <c r="AH41" s="19"/>
      <c r="AI41" s="21"/>
      <c r="AJ41" s="19"/>
      <c r="AK41" s="21"/>
      <c r="AL41" s="19"/>
      <c r="AM41" s="21"/>
      <c r="AN41" s="19"/>
      <c r="AO41" s="21"/>
      <c r="AP41" s="19"/>
      <c r="AQ41" s="21"/>
      <c r="AR41" s="19"/>
      <c r="AS41" s="21"/>
      <c r="AT41" s="19"/>
      <c r="AU41" s="21"/>
      <c r="AV41" s="19"/>
      <c r="AW41" s="21"/>
      <c r="AX41" s="19"/>
      <c r="AY41" s="21"/>
      <c r="AZ41" s="19"/>
      <c r="BA41" s="21"/>
      <c r="BB41" s="19"/>
      <c r="BC41" s="21"/>
      <c r="BD41" s="19"/>
      <c r="BE41" s="21"/>
      <c r="BF41" s="19"/>
      <c r="BG41" s="21"/>
      <c r="BH41" s="19"/>
      <c r="BI41" s="21"/>
      <c r="BJ41" s="19"/>
      <c r="BK41" s="21"/>
      <c r="BL41" s="19"/>
      <c r="BM41" s="21"/>
      <c r="BN41" s="19"/>
      <c r="BO41" s="21"/>
      <c r="BP41" s="19"/>
      <c r="BQ41" s="21"/>
      <c r="BR41" s="19"/>
      <c r="BS41" s="21"/>
      <c r="BT41" s="19"/>
      <c r="BU41" s="21"/>
      <c r="BV41" s="19" t="s">
        <v>201</v>
      </c>
      <c r="BW41" s="21"/>
    </row>
    <row r="42" spans="1:75" s="22" customFormat="1" ht="58" x14ac:dyDescent="0.35">
      <c r="A42" s="19" t="s">
        <v>194</v>
      </c>
      <c r="B42" s="19" t="s">
        <v>77</v>
      </c>
      <c r="C42" s="20">
        <v>45910.565972222219</v>
      </c>
      <c r="D42" s="19" t="s">
        <v>78</v>
      </c>
      <c r="E42" s="21" t="s">
        <v>79</v>
      </c>
      <c r="F42" s="19" t="s">
        <v>80</v>
      </c>
      <c r="G42" s="21" t="s">
        <v>81</v>
      </c>
      <c r="H42" s="19" t="s">
        <v>195</v>
      </c>
      <c r="I42" s="21" t="s">
        <v>196</v>
      </c>
      <c r="J42" s="21" t="s">
        <v>197</v>
      </c>
      <c r="K42" s="21" t="s">
        <v>198</v>
      </c>
      <c r="L42" s="19" t="s">
        <v>199</v>
      </c>
      <c r="M42" s="21" t="s">
        <v>200</v>
      </c>
      <c r="N42" s="19" t="s">
        <v>88</v>
      </c>
      <c r="O42" s="21"/>
      <c r="P42" s="21"/>
      <c r="Q42" s="21" t="s">
        <v>102</v>
      </c>
      <c r="R42" s="19" t="s">
        <v>103</v>
      </c>
      <c r="S42" s="19" t="s">
        <v>91</v>
      </c>
      <c r="T42" s="19" t="s">
        <v>92</v>
      </c>
      <c r="U42" s="20">
        <v>45807</v>
      </c>
      <c r="V42" s="20"/>
      <c r="W42" s="21"/>
      <c r="X42" s="19"/>
      <c r="Y42" s="21"/>
      <c r="Z42" s="19"/>
      <c r="AA42" s="21"/>
      <c r="AB42" s="19"/>
      <c r="AC42" s="21"/>
      <c r="AD42" s="19"/>
      <c r="AE42" s="21"/>
      <c r="AF42" s="19"/>
      <c r="AG42" s="21"/>
      <c r="AH42" s="19"/>
      <c r="AI42" s="21"/>
      <c r="AJ42" s="19"/>
      <c r="AK42" s="21"/>
      <c r="AL42" s="19"/>
      <c r="AM42" s="21"/>
      <c r="AN42" s="19"/>
      <c r="AO42" s="21"/>
      <c r="AP42" s="19"/>
      <c r="AQ42" s="21"/>
      <c r="AR42" s="19"/>
      <c r="AS42" s="21"/>
      <c r="AT42" s="19"/>
      <c r="AU42" s="21"/>
      <c r="AV42" s="19"/>
      <c r="AW42" s="21"/>
      <c r="AX42" s="19"/>
      <c r="AY42" s="21"/>
      <c r="AZ42" s="19"/>
      <c r="BA42" s="21"/>
      <c r="BB42" s="19"/>
      <c r="BC42" s="21"/>
      <c r="BD42" s="19"/>
      <c r="BE42" s="21"/>
      <c r="BF42" s="19"/>
      <c r="BG42" s="21"/>
      <c r="BH42" s="19"/>
      <c r="BI42" s="21"/>
      <c r="BJ42" s="19"/>
      <c r="BK42" s="21"/>
      <c r="BL42" s="19"/>
      <c r="BM42" s="21"/>
      <c r="BN42" s="19"/>
      <c r="BO42" s="21"/>
      <c r="BP42" s="19"/>
      <c r="BQ42" s="21"/>
      <c r="BR42" s="19"/>
      <c r="BS42" s="21"/>
      <c r="BT42" s="19"/>
      <c r="BU42" s="21"/>
      <c r="BV42" s="19" t="s">
        <v>201</v>
      </c>
      <c r="BW42" s="21"/>
    </row>
    <row r="43" spans="1:75" s="22" customFormat="1" ht="58" x14ac:dyDescent="0.35">
      <c r="A43" s="19" t="s">
        <v>194</v>
      </c>
      <c r="B43" s="19" t="s">
        <v>77</v>
      </c>
      <c r="C43" s="20">
        <v>45911.62777777778</v>
      </c>
      <c r="D43" s="19" t="s">
        <v>78</v>
      </c>
      <c r="E43" s="21" t="s">
        <v>79</v>
      </c>
      <c r="F43" s="19" t="s">
        <v>80</v>
      </c>
      <c r="G43" s="21" t="s">
        <v>81</v>
      </c>
      <c r="H43" s="19" t="s">
        <v>195</v>
      </c>
      <c r="I43" s="21" t="s">
        <v>196</v>
      </c>
      <c r="J43" s="21" t="s">
        <v>197</v>
      </c>
      <c r="K43" s="21" t="s">
        <v>198</v>
      </c>
      <c r="L43" s="19" t="s">
        <v>202</v>
      </c>
      <c r="M43" s="21" t="s">
        <v>203</v>
      </c>
      <c r="N43" s="19" t="s">
        <v>95</v>
      </c>
      <c r="O43" s="21"/>
      <c r="P43" s="21"/>
      <c r="Q43" s="21" t="s">
        <v>102</v>
      </c>
      <c r="R43" s="19" t="s">
        <v>103</v>
      </c>
      <c r="S43" s="19" t="s">
        <v>91</v>
      </c>
      <c r="T43" s="19" t="s">
        <v>92</v>
      </c>
      <c r="U43" s="20">
        <v>45807</v>
      </c>
      <c r="V43" s="20"/>
      <c r="W43" s="21"/>
      <c r="X43" s="19"/>
      <c r="Y43" s="21"/>
      <c r="Z43" s="19"/>
      <c r="AA43" s="21"/>
      <c r="AB43" s="19"/>
      <c r="AC43" s="21"/>
      <c r="AD43" s="19"/>
      <c r="AE43" s="21"/>
      <c r="AF43" s="19"/>
      <c r="AG43" s="21"/>
      <c r="AH43" s="19"/>
      <c r="AI43" s="21"/>
      <c r="AJ43" s="19"/>
      <c r="AK43" s="21"/>
      <c r="AL43" s="19"/>
      <c r="AM43" s="21"/>
      <c r="AN43" s="19"/>
      <c r="AO43" s="21"/>
      <c r="AP43" s="19"/>
      <c r="AQ43" s="21"/>
      <c r="AR43" s="19"/>
      <c r="AS43" s="21"/>
      <c r="AT43" s="19"/>
      <c r="AU43" s="21"/>
      <c r="AV43" s="19"/>
      <c r="AW43" s="21"/>
      <c r="AX43" s="19"/>
      <c r="AY43" s="21"/>
      <c r="AZ43" s="19"/>
      <c r="BA43" s="21"/>
      <c r="BB43" s="19"/>
      <c r="BC43" s="21"/>
      <c r="BD43" s="19"/>
      <c r="BE43" s="21"/>
      <c r="BF43" s="19"/>
      <c r="BG43" s="21"/>
      <c r="BH43" s="19"/>
      <c r="BI43" s="21"/>
      <c r="BJ43" s="19"/>
      <c r="BK43" s="21"/>
      <c r="BL43" s="19"/>
      <c r="BM43" s="21"/>
      <c r="BN43" s="19"/>
      <c r="BO43" s="21"/>
      <c r="BP43" s="19"/>
      <c r="BQ43" s="21"/>
      <c r="BR43" s="19"/>
      <c r="BS43" s="21"/>
      <c r="BT43" s="19"/>
      <c r="BU43" s="21"/>
      <c r="BV43" s="19" t="s">
        <v>201</v>
      </c>
      <c r="BW43" s="21"/>
    </row>
    <row r="44" spans="1:75" s="22" customFormat="1" ht="130.5" x14ac:dyDescent="0.35">
      <c r="A44" s="19" t="s">
        <v>194</v>
      </c>
      <c r="B44" s="19" t="s">
        <v>77</v>
      </c>
      <c r="C44" s="20">
        <v>45910.57916666667</v>
      </c>
      <c r="D44" s="19" t="s">
        <v>78</v>
      </c>
      <c r="E44" s="21" t="s">
        <v>79</v>
      </c>
      <c r="F44" s="19" t="s">
        <v>80</v>
      </c>
      <c r="G44" s="21" t="s">
        <v>81</v>
      </c>
      <c r="H44" s="19" t="s">
        <v>195</v>
      </c>
      <c r="I44" s="21" t="s">
        <v>196</v>
      </c>
      <c r="J44" s="21" t="s">
        <v>197</v>
      </c>
      <c r="K44" s="21" t="s">
        <v>198</v>
      </c>
      <c r="L44" s="19" t="s">
        <v>199</v>
      </c>
      <c r="M44" s="21" t="s">
        <v>200</v>
      </c>
      <c r="N44" s="19" t="s">
        <v>88</v>
      </c>
      <c r="O44" s="21"/>
      <c r="P44" s="21"/>
      <c r="Q44" s="21" t="s">
        <v>104</v>
      </c>
      <c r="R44" s="19" t="s">
        <v>105</v>
      </c>
      <c r="S44" s="19" t="s">
        <v>106</v>
      </c>
      <c r="T44" s="19" t="s">
        <v>107</v>
      </c>
      <c r="U44" s="20">
        <v>45807</v>
      </c>
      <c r="V44" s="20"/>
      <c r="W44" s="21" t="s">
        <v>204</v>
      </c>
      <c r="X44" s="19" t="s">
        <v>109</v>
      </c>
      <c r="Y44" s="21" t="str">
        <f>VLOOKUP(X44,'Axe 2 Règles de gestion'!$D$2:$F$40,3, FALSE)</f>
        <v>En cas de participation à des opérations militaires, la permission est accordée par le commandant de la formation administrative ou l'autorité équivalente, dans les conditions fixées par le ministre de la défense.</v>
      </c>
      <c r="Z44" s="19" t="s">
        <v>205</v>
      </c>
      <c r="AA44" s="21" t="str">
        <f>VLOOKUP(Z44,'Axe 2 Règles de gestion'!$D$2:$F$40,3, FALSE)</f>
        <v>La permission est accordée à l'occasion de l'annonce de la survenue d'un handicap, d'une pathologie chronique nécessitant un apprentissage thérapeutique ou d'une affection cancéreuse chez l'enfant du militaire.</v>
      </c>
      <c r="AB44" s="19" t="s">
        <v>207</v>
      </c>
      <c r="AC44" s="21" t="str">
        <f>VLOOKUP(AB44,'Axe 2 Règles de gestion'!$D$2:$F$40,3, FALSE)</f>
        <v>L'enfant doit être à la charge du militaire.</v>
      </c>
      <c r="AD44" s="19" t="s">
        <v>209</v>
      </c>
      <c r="AE44" s="21" t="str">
        <f>VLOOKUP(AD44,'Axe 2 Règles de gestion'!$D$2:$F$40,3, FALSE)</f>
        <v>L'enfant souffre d'une pathologie chronique.</v>
      </c>
      <c r="AF44" s="19"/>
      <c r="AG44" s="21"/>
      <c r="AH44" s="19"/>
      <c r="AI44" s="21"/>
      <c r="AJ44" s="19"/>
      <c r="AK44" s="21"/>
      <c r="AL44" s="19"/>
      <c r="AM44" s="21"/>
      <c r="AN44" s="19"/>
      <c r="AO44" s="21"/>
      <c r="AP44" s="19" t="s">
        <v>211</v>
      </c>
      <c r="AQ44" s="21" t="str">
        <f>VLOOKUP(AP44,'Axe 2 Règles de gestion'!$D$2:$F$40,3, FALSE)</f>
        <v>La durée prévisionnelle de la permission est de 5 jours ouvrés.</v>
      </c>
      <c r="AR44" s="19" t="s">
        <v>212</v>
      </c>
      <c r="AS44" s="21" t="str">
        <f>VLOOKUP(AR44,'Axe 2 Règles de gestion'!$D$2:$F$40,3, FALSE)</f>
        <v>La durée réelle de la permission est de 5 jours ouvrés.</v>
      </c>
      <c r="AT44" s="19" t="s">
        <v>129</v>
      </c>
      <c r="AU44" s="21" t="str">
        <f>VLOOKUP(AT44,'Axe 2 Règles de gestion'!$D$2:$F$40,3, FALSE)</f>
        <v>La date de fin prévisionnelle de la permission doit être antérieure ou égale à la date limite de fin réelle ou prévisionnelle du lien juridique. Le militaire ne voit pas son contrat prorogé jusqu'à la date de fin de la permission.</v>
      </c>
      <c r="AV44" s="19" t="s">
        <v>131</v>
      </c>
      <c r="AW44" s="21" t="str">
        <f>VLOOKUP(AV44,'Axe 2 Règles de gestion'!$D$2:$F$40,3, FALSE)</f>
        <v>La date de fin réelle de la permission doit être antérieure ou égale à la date limite de fin réelle ou prévisionnelle du lien juridique. Le militaire ne voit pas son contrat prorogé jusqu'à la date de fin de la permission.</v>
      </c>
      <c r="AX44" s="19" t="s">
        <v>133</v>
      </c>
      <c r="AY44" s="21" t="str">
        <f>VLOOKUP(AX44,'Axe 2 Règles de gestion'!$D$2:$F$40,3, FALSE)</f>
        <v>Le militaire est en activité.</v>
      </c>
      <c r="AZ44" s="19"/>
      <c r="BA44" s="21"/>
      <c r="BB44" s="19" t="s">
        <v>135</v>
      </c>
      <c r="BC44" s="21" t="str">
        <f>VLOOKUP(BB44,'Axe 2 Règles de gestion'!$D$2:$F$40,3, FALSE)</f>
        <v>La date de début du congé/absence doit être postérieure ou égale à la date de recrutement dans la FPE ou dans la carrière militaire.</v>
      </c>
      <c r="BD44" s="19" t="s">
        <v>137</v>
      </c>
      <c r="BE44" s="21" t="str">
        <f>VLOOKUP(BD44,'Axe 2 Règles de gestion'!$D$2:$F$40,3, FALSE)</f>
        <v>Pour les militaires sous contrat à durée déterminée, la date de début du congé/absence doit être postérieure ou égale à la date de début du lien juridique.</v>
      </c>
      <c r="BF44" s="19" t="s">
        <v>139</v>
      </c>
      <c r="BG44" s="21" t="str">
        <f>VLOOKUP(BF44,'Axe 2 Règles de gestion'!$D$2:$F$40,3, FALSE)</f>
        <v>La date de début du congé/absence doit être antérieure ou égale à la date de fin réelle du congé/absence.</v>
      </c>
      <c r="BH44" s="19" t="s">
        <v>141</v>
      </c>
      <c r="BI44" s="21" t="str">
        <f>VLOOKUP(BH44,'Axe 2 Règles de gestion'!$D$2:$F$40,3, FALSE)</f>
        <v>La date de début du congé/absence doit être antérieure ou égale à la date de fin prévisionnelle du congé/absence.</v>
      </c>
      <c r="BJ44" s="19" t="s">
        <v>143</v>
      </c>
      <c r="BK44" s="21" t="str">
        <f>VLOOKUP(BJ44,'Axe 2 Règles de gestion'!$D$2:$F$40,3, FALSE)</f>
        <v>La date de fin réelle du congé/absence doit être antérieure à la date limite de départ à la retraite.</v>
      </c>
      <c r="BL44" s="19" t="s">
        <v>145</v>
      </c>
      <c r="BM44" s="21" t="str">
        <f>VLOOKUP(BL44,'Axe 2 Règles de gestion'!$D$2:$F$40,3, FALSE)</f>
        <v>La date de fin prévisionnelle du congé/absence doit être antérieure à la date limite de départ à la retraite.</v>
      </c>
      <c r="BN44" s="19" t="s">
        <v>147</v>
      </c>
      <c r="BO44" s="21" t="str">
        <f>VLOOKUP(BN44,'Axe 2 Règles de gestion'!$D$2:$F$40,3, FALSE)</f>
        <v>La date de fin réelle ou la date de fin prévisionnelle du congé/absence doit être saisie.</v>
      </c>
      <c r="BP44" s="19" t="s">
        <v>149</v>
      </c>
      <c r="BQ44" s="21" t="str">
        <f>VLOOKUP(BP44,'Axe 2 Règles de gestion'!$D$2:$F$40,3, FALSE)</f>
        <v>Si l'absence ne commence pas par une demi-journée et si l'absence précédente ne finit pas par une demi journée, la date de début de l'absence saisie est postérieure à la date de fin réelle de l'absence précédente.</v>
      </c>
      <c r="BR44" s="19" t="s">
        <v>151</v>
      </c>
      <c r="BS44" s="21" t="str">
        <f>VLOOKUP(BR44,'Axe 2 Règles de gestion'!$D$2:$F$40,3,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T44" s="19" t="s">
        <v>153</v>
      </c>
      <c r="BU44" s="21" t="str">
        <f>VLOOKUP(BT44,'Axe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V44" s="19" t="s">
        <v>201</v>
      </c>
      <c r="BW44" s="21"/>
    </row>
    <row r="45" spans="1:75" s="22" customFormat="1" ht="130.5" x14ac:dyDescent="0.35">
      <c r="A45" s="19" t="s">
        <v>194</v>
      </c>
      <c r="B45" s="19" t="s">
        <v>77</v>
      </c>
      <c r="C45" s="20">
        <v>45910.586111111108</v>
      </c>
      <c r="D45" s="19" t="s">
        <v>78</v>
      </c>
      <c r="E45" s="21" t="s">
        <v>79</v>
      </c>
      <c r="F45" s="19" t="s">
        <v>80</v>
      </c>
      <c r="G45" s="21" t="s">
        <v>81</v>
      </c>
      <c r="H45" s="19" t="s">
        <v>195</v>
      </c>
      <c r="I45" s="21" t="s">
        <v>196</v>
      </c>
      <c r="J45" s="21" t="s">
        <v>197</v>
      </c>
      <c r="K45" s="21" t="s">
        <v>198</v>
      </c>
      <c r="L45" s="19" t="s">
        <v>202</v>
      </c>
      <c r="M45" s="21" t="s">
        <v>203</v>
      </c>
      <c r="N45" s="19" t="s">
        <v>95</v>
      </c>
      <c r="O45" s="21"/>
      <c r="P45" s="21"/>
      <c r="Q45" s="21" t="s">
        <v>104</v>
      </c>
      <c r="R45" s="19" t="s">
        <v>105</v>
      </c>
      <c r="S45" s="19" t="s">
        <v>106</v>
      </c>
      <c r="T45" s="19" t="s">
        <v>107</v>
      </c>
      <c r="U45" s="20">
        <v>45807</v>
      </c>
      <c r="V45" s="20"/>
      <c r="W45" s="21" t="s">
        <v>213</v>
      </c>
      <c r="X45" s="19" t="s">
        <v>156</v>
      </c>
      <c r="Y45" s="21" t="str">
        <f>VLOOKUP(X45,'Axe 2 Règles de gestion'!$D$2:$F$40,3, FALSE)</f>
        <v>Le militaire en permission peut être rappelé immédiatement lorsque les circonstances l'exigent.</v>
      </c>
      <c r="Z45" s="19"/>
      <c r="AA45" s="21"/>
      <c r="AB45" s="19"/>
      <c r="AC45" s="21"/>
      <c r="AD45" s="19"/>
      <c r="AE45" s="21"/>
      <c r="AF45" s="19"/>
      <c r="AG45" s="21"/>
      <c r="AH45" s="19"/>
      <c r="AI45" s="21"/>
      <c r="AJ45" s="19"/>
      <c r="AK45" s="21"/>
      <c r="AL45" s="19"/>
      <c r="AM45" s="21"/>
      <c r="AN45" s="19"/>
      <c r="AO45" s="21"/>
      <c r="AP45" s="19" t="s">
        <v>211</v>
      </c>
      <c r="AQ45" s="21" t="str">
        <f>VLOOKUP(AP45,'Axe 2 Règles de gestion'!$D$2:$F$40,3, FALSE)</f>
        <v>La durée prévisionnelle de la permission est de 5 jours ouvrés.</v>
      </c>
      <c r="AR45" s="19" t="s">
        <v>212</v>
      </c>
      <c r="AS45" s="21" t="str">
        <f>VLOOKUP(AR45,'Axe 2 Règles de gestion'!$D$2:$F$40,3, FALSE)</f>
        <v>La durée réelle de la permission est de 5 jours ouvrés.</v>
      </c>
      <c r="AT45" s="19" t="s">
        <v>129</v>
      </c>
      <c r="AU45" s="21" t="str">
        <f>VLOOKUP(AT45,'Axe 2 Règles de gestion'!$D$2:$F$40,3, FALSE)</f>
        <v>La date de fin prévisionnelle de la permission doit être antérieure ou égale à la date limite de fin réelle ou prévisionnelle du lien juridique. Le militaire ne voit pas son contrat prorogé jusqu'à la date de fin de la permission.</v>
      </c>
      <c r="AV45" s="19" t="s">
        <v>131</v>
      </c>
      <c r="AW45" s="21" t="str">
        <f>VLOOKUP(AV45,'Axe 2 Règles de gestion'!$D$2:$F$40,3, FALSE)</f>
        <v>La date de fin réelle de la permission doit être antérieure ou égale à la date limite de fin réelle ou prévisionnelle du lien juridique. Le militaire ne voit pas son contrat prorogé jusqu'à la date de fin de la permission.</v>
      </c>
      <c r="AX45" s="19" t="s">
        <v>133</v>
      </c>
      <c r="AY45" s="21" t="str">
        <f>VLOOKUP(AX45,'Axe 2 Règles de gestion'!$D$2:$F$40,3, FALSE)</f>
        <v>Le militaire est en activité.</v>
      </c>
      <c r="AZ45" s="19"/>
      <c r="BA45" s="21"/>
      <c r="BB45" s="19" t="s">
        <v>139</v>
      </c>
      <c r="BC45" s="21" t="str">
        <f>VLOOKUP(BB45,'Axe 2 Règles de gestion'!$D$2:$F$40,3, FALSE)</f>
        <v>La date de début du congé/absence doit être antérieure ou égale à la date de fin réelle du congé/absence.</v>
      </c>
      <c r="BD45" s="19" t="s">
        <v>141</v>
      </c>
      <c r="BE45" s="21" t="str">
        <f>VLOOKUP(BD45,'Axe 2 Règles de gestion'!$D$2:$F$40,3, FALSE)</f>
        <v>La date de début du congé/absence doit être antérieure ou égale à la date de fin prévisionnelle du congé/absence.</v>
      </c>
      <c r="BF45" s="19" t="s">
        <v>143</v>
      </c>
      <c r="BG45" s="21" t="str">
        <f>VLOOKUP(BF45,'Axe 2 Règles de gestion'!$D$2:$F$40,3, FALSE)</f>
        <v>La date de fin réelle du congé/absence doit être antérieure à la date limite de départ à la retraite.</v>
      </c>
      <c r="BH45" s="19" t="s">
        <v>145</v>
      </c>
      <c r="BI45" s="21" t="str">
        <f>VLOOKUP(BH45,'Axe 2 Règles de gestion'!$D$2:$F$40,3, FALSE)</f>
        <v>La date de fin prévisionnelle du congé/absence doit être antérieure à la date limite de départ à la retraite.</v>
      </c>
      <c r="BJ45" s="19" t="s">
        <v>147</v>
      </c>
      <c r="BK45" s="21" t="str">
        <f>VLOOKUP(BJ45,'Axe 2 Règles de gestion'!$D$2:$F$40,3, FALSE)</f>
        <v>La date de fin réelle ou la date de fin prévisionnelle du congé/absence doit être saisie.</v>
      </c>
      <c r="BL45" s="19" t="s">
        <v>153</v>
      </c>
      <c r="BM45" s="21" t="str">
        <f>VLOOKUP(BL45,'Axe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N45" s="19"/>
      <c r="BO45" s="21"/>
      <c r="BP45" s="19"/>
      <c r="BQ45" s="21"/>
      <c r="BR45" s="19"/>
      <c r="BS45" s="21"/>
      <c r="BT45" s="19"/>
      <c r="BU45" s="21"/>
      <c r="BV45" s="19" t="s">
        <v>201</v>
      </c>
      <c r="BW45" s="21"/>
    </row>
    <row r="46" spans="1:75" s="22" customFormat="1" ht="130.5" x14ac:dyDescent="0.35">
      <c r="A46" s="19" t="s">
        <v>194</v>
      </c>
      <c r="B46" s="19" t="s">
        <v>77</v>
      </c>
      <c r="C46" s="20">
        <v>45910.580555555556</v>
      </c>
      <c r="D46" s="19" t="s">
        <v>78</v>
      </c>
      <c r="E46" s="21" t="s">
        <v>79</v>
      </c>
      <c r="F46" s="19" t="s">
        <v>80</v>
      </c>
      <c r="G46" s="21" t="s">
        <v>81</v>
      </c>
      <c r="H46" s="19" t="s">
        <v>195</v>
      </c>
      <c r="I46" s="21" t="s">
        <v>196</v>
      </c>
      <c r="J46" s="21" t="s">
        <v>197</v>
      </c>
      <c r="K46" s="21" t="s">
        <v>198</v>
      </c>
      <c r="L46" s="19" t="s">
        <v>199</v>
      </c>
      <c r="M46" s="21" t="s">
        <v>200</v>
      </c>
      <c r="N46" s="19" t="s">
        <v>88</v>
      </c>
      <c r="O46" s="21"/>
      <c r="P46" s="21"/>
      <c r="Q46" s="21" t="s">
        <v>158</v>
      </c>
      <c r="R46" s="19" t="s">
        <v>159</v>
      </c>
      <c r="S46" s="19" t="s">
        <v>106</v>
      </c>
      <c r="T46" s="19" t="s">
        <v>107</v>
      </c>
      <c r="U46" s="20">
        <v>45807</v>
      </c>
      <c r="V46" s="20"/>
      <c r="W46" s="21" t="s">
        <v>214</v>
      </c>
      <c r="X46" s="19" t="s">
        <v>161</v>
      </c>
      <c r="Y46" s="21" t="str">
        <f>VLOOKUP(X46,'Axe 2 Règles de gestion'!$D$2:$F$40,3, FALSE)</f>
        <v>Le militaire doit exercer une activité au titre d'un engagement à servir dans la réserve opérationnelle ou au titre de la disponibilité.</v>
      </c>
      <c r="Z46" s="19" t="s">
        <v>109</v>
      </c>
      <c r="AA46" s="21" t="str">
        <f>VLOOKUP(Z46,'Axe 2 Règles de gestion'!$D$2:$F$40,3, FALSE)</f>
        <v>En cas de participation à des opérations militaires, la permission est accordée par le commandant de la formation administrative ou l'autorité équivalente, dans les conditions fixées par le ministre de la défense.</v>
      </c>
      <c r="AB46" s="19" t="s">
        <v>205</v>
      </c>
      <c r="AC46" s="21" t="str">
        <f>VLOOKUP(AB46,'Axe 2 Règles de gestion'!$D$2:$F$40,3, FALSE)</f>
        <v>La permission est accordée à l'occasion de l'annonce de la survenue d'un handicap, d'une pathologie chronique nécessitant un apprentissage thérapeutique ou d'une affection cancéreuse chez l'enfant du militaire.</v>
      </c>
      <c r="AD46" s="19" t="s">
        <v>207</v>
      </c>
      <c r="AE46" s="21" t="str">
        <f>VLOOKUP(AD46,'Axe 2 Règles de gestion'!$D$2:$F$40,3, FALSE)</f>
        <v>L'enfant doit être à la charge du militaire.</v>
      </c>
      <c r="AF46" s="19" t="s">
        <v>209</v>
      </c>
      <c r="AG46" s="21" t="str">
        <f>VLOOKUP(AF46,'Axe 2 Règles de gestion'!$D$2:$F$40,3, FALSE)</f>
        <v>L'enfant souffre d'une pathologie chronique.</v>
      </c>
      <c r="AH46" s="19"/>
      <c r="AI46" s="21"/>
      <c r="AJ46" s="19"/>
      <c r="AK46" s="21"/>
      <c r="AL46" s="19"/>
      <c r="AM46" s="21"/>
      <c r="AN46" s="19"/>
      <c r="AO46" s="21"/>
      <c r="AP46" s="19" t="s">
        <v>211</v>
      </c>
      <c r="AQ46" s="21" t="str">
        <f>VLOOKUP(AP46,'Axe 2 Règles de gestion'!$D$2:$F$40,3, FALSE)</f>
        <v>La durée prévisionnelle de la permission est de 5 jours ouvrés.</v>
      </c>
      <c r="AR46" s="19" t="s">
        <v>212</v>
      </c>
      <c r="AS46" s="21" t="str">
        <f>VLOOKUP(AR46,'Axe 2 Règles de gestion'!$D$2:$F$40,3, FALSE)</f>
        <v>La durée réelle de la permission est de 5 jours ouvrés.</v>
      </c>
      <c r="AT46" s="19" t="s">
        <v>129</v>
      </c>
      <c r="AU46" s="21" t="str">
        <f>VLOOKUP(AT46,'Axe 2 Règles de gestion'!$D$2:$F$40,3, FALSE)</f>
        <v>La date de fin prévisionnelle de la permission doit être antérieure ou égale à la date limite de fin réelle ou prévisionnelle du lien juridique. Le militaire ne voit pas son contrat prorogé jusqu'à la date de fin de la permission.</v>
      </c>
      <c r="AV46" s="19" t="s">
        <v>131</v>
      </c>
      <c r="AW46" s="21" t="str">
        <f>VLOOKUP(AV46,'Axe 2 Règles de gestion'!$D$2:$F$40,3, FALSE)</f>
        <v>La date de fin réelle de la permission doit être antérieure ou égale à la date limite de fin réelle ou prévisionnelle du lien juridique. Le militaire ne voit pas son contrat prorogé jusqu'à la date de fin de la permission.</v>
      </c>
      <c r="AX46" s="19" t="s">
        <v>133</v>
      </c>
      <c r="AY46" s="21" t="str">
        <f>VLOOKUP(AX46,'Axe 2 Règles de gestion'!$D$2:$F$40,3, FALSE)</f>
        <v>Le militaire est en activité.</v>
      </c>
      <c r="AZ46" s="19"/>
      <c r="BA46" s="21"/>
      <c r="BB46" s="19" t="s">
        <v>135</v>
      </c>
      <c r="BC46" s="21" t="str">
        <f>VLOOKUP(BB46,'Axe 2 Règles de gestion'!$D$2:$F$40,3, FALSE)</f>
        <v>La date de début du congé/absence doit être postérieure ou égale à la date de recrutement dans la FPE ou dans la carrière militaire.</v>
      </c>
      <c r="BD46" s="19" t="s">
        <v>137</v>
      </c>
      <c r="BE46" s="21" t="str">
        <f>VLOOKUP(BD46,'Axe 2 Règles de gestion'!$D$2:$F$40,3, FALSE)</f>
        <v>Pour les militaires sous contrat à durée déterminée, la date de début du congé/absence doit être postérieure ou égale à la date de début du lien juridique.</v>
      </c>
      <c r="BF46" s="19" t="s">
        <v>139</v>
      </c>
      <c r="BG46" s="21" t="str">
        <f>VLOOKUP(BF46,'Axe 2 Règles de gestion'!$D$2:$F$40,3, FALSE)</f>
        <v>La date de début du congé/absence doit être antérieure ou égale à la date de fin réelle du congé/absence.</v>
      </c>
      <c r="BH46" s="19" t="s">
        <v>141</v>
      </c>
      <c r="BI46" s="21" t="str">
        <f>VLOOKUP(BH46,'Axe 2 Règles de gestion'!$D$2:$F$40,3, FALSE)</f>
        <v>La date de début du congé/absence doit être antérieure ou égale à la date de fin prévisionnelle du congé/absence.</v>
      </c>
      <c r="BJ46" s="19" t="s">
        <v>143</v>
      </c>
      <c r="BK46" s="21" t="str">
        <f>VLOOKUP(BJ46,'Axe 2 Règles de gestion'!$D$2:$F$40,3, FALSE)</f>
        <v>La date de fin réelle du congé/absence doit être antérieure à la date limite de départ à la retraite.</v>
      </c>
      <c r="BL46" s="19" t="s">
        <v>145</v>
      </c>
      <c r="BM46" s="21" t="str">
        <f>VLOOKUP(BL46,'Axe 2 Règles de gestion'!$D$2:$F$40,3, FALSE)</f>
        <v>La date de fin prévisionnelle du congé/absence doit être antérieure à la date limite de départ à la retraite.</v>
      </c>
      <c r="BN46" s="19" t="s">
        <v>147</v>
      </c>
      <c r="BO46" s="21" t="str">
        <f>VLOOKUP(BN46,'Axe 2 Règles de gestion'!$D$2:$F$40,3, FALSE)</f>
        <v>La date de fin réelle ou la date de fin prévisionnelle du congé/absence doit être saisie.</v>
      </c>
      <c r="BP46" s="19" t="s">
        <v>149</v>
      </c>
      <c r="BQ46" s="21" t="str">
        <f>VLOOKUP(BP46,'Axe 2 Règles de gestion'!$D$2:$F$40,3, FALSE)</f>
        <v>Si l'absence ne commence pas par une demi-journée et si l'absence précédente ne finit pas par une demi journée, la date de début de l'absence saisie est postérieure à la date de fin réelle de l'absence précédente.</v>
      </c>
      <c r="BR46" s="19" t="s">
        <v>151</v>
      </c>
      <c r="BS46" s="21" t="str">
        <f>VLOOKUP(BR46,'Axe 2 Règles de gestion'!$D$2:$F$40,3,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T46" s="19" t="s">
        <v>153</v>
      </c>
      <c r="BU46" s="21" t="str">
        <f>VLOOKUP(BT46,'Axe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V46" s="19" t="s">
        <v>201</v>
      </c>
      <c r="BW46" s="21"/>
    </row>
    <row r="47" spans="1:75" s="22" customFormat="1" ht="130.5" x14ac:dyDescent="0.35">
      <c r="A47" s="19" t="s">
        <v>194</v>
      </c>
      <c r="B47" s="19" t="s">
        <v>77</v>
      </c>
      <c r="C47" s="20">
        <v>45910.586805555555</v>
      </c>
      <c r="D47" s="19" t="s">
        <v>78</v>
      </c>
      <c r="E47" s="21" t="s">
        <v>79</v>
      </c>
      <c r="F47" s="19" t="s">
        <v>80</v>
      </c>
      <c r="G47" s="21" t="s">
        <v>81</v>
      </c>
      <c r="H47" s="19" t="s">
        <v>195</v>
      </c>
      <c r="I47" s="21" t="s">
        <v>196</v>
      </c>
      <c r="J47" s="21" t="s">
        <v>197</v>
      </c>
      <c r="K47" s="21" t="s">
        <v>198</v>
      </c>
      <c r="L47" s="19" t="s">
        <v>202</v>
      </c>
      <c r="M47" s="21" t="s">
        <v>203</v>
      </c>
      <c r="N47" s="19" t="s">
        <v>95</v>
      </c>
      <c r="O47" s="21"/>
      <c r="P47" s="21"/>
      <c r="Q47" s="21" t="s">
        <v>158</v>
      </c>
      <c r="R47" s="19" t="s">
        <v>159</v>
      </c>
      <c r="S47" s="19" t="s">
        <v>106</v>
      </c>
      <c r="T47" s="19" t="s">
        <v>107</v>
      </c>
      <c r="U47" s="20">
        <v>45807</v>
      </c>
      <c r="V47" s="20"/>
      <c r="W47" s="21" t="s">
        <v>213</v>
      </c>
      <c r="X47" s="19" t="s">
        <v>156</v>
      </c>
      <c r="Y47" s="21" t="str">
        <f>VLOOKUP(X47,'Axe 2 Règles de gestion'!$D$2:$F$40,3, FALSE)</f>
        <v>Le militaire en permission peut être rappelé immédiatement lorsque les circonstances l'exigent.</v>
      </c>
      <c r="Z47" s="19"/>
      <c r="AA47" s="21"/>
      <c r="AB47" s="19"/>
      <c r="AC47" s="21"/>
      <c r="AD47" s="19"/>
      <c r="AE47" s="21"/>
      <c r="AF47" s="19"/>
      <c r="AG47" s="21"/>
      <c r="AH47" s="19"/>
      <c r="AI47" s="21"/>
      <c r="AJ47" s="19"/>
      <c r="AK47" s="21"/>
      <c r="AL47" s="19"/>
      <c r="AM47" s="21"/>
      <c r="AN47" s="19"/>
      <c r="AO47" s="21"/>
      <c r="AP47" s="19" t="s">
        <v>211</v>
      </c>
      <c r="AQ47" s="21" t="str">
        <f>VLOOKUP(AP47,'Axe 2 Règles de gestion'!$D$2:$F$40,3, FALSE)</f>
        <v>La durée prévisionnelle de la permission est de 5 jours ouvrés.</v>
      </c>
      <c r="AR47" s="19" t="s">
        <v>212</v>
      </c>
      <c r="AS47" s="21" t="str">
        <f>VLOOKUP(AR47,'Axe 2 Règles de gestion'!$D$2:$F$40,3, FALSE)</f>
        <v>La durée réelle de la permission est de 5 jours ouvrés.</v>
      </c>
      <c r="AT47" s="19" t="s">
        <v>129</v>
      </c>
      <c r="AU47" s="21" t="str">
        <f>VLOOKUP(AT47,'Axe 2 Règles de gestion'!$D$2:$F$40,3, FALSE)</f>
        <v>La date de fin prévisionnelle de la permission doit être antérieure ou égale à la date limite de fin réelle ou prévisionnelle du lien juridique. Le militaire ne voit pas son contrat prorogé jusqu'à la date de fin de la permission.</v>
      </c>
      <c r="AV47" s="19" t="s">
        <v>131</v>
      </c>
      <c r="AW47" s="21" t="str">
        <f>VLOOKUP(AV47,'Axe 2 Règles de gestion'!$D$2:$F$40,3, FALSE)</f>
        <v>La date de fin réelle de la permission doit être antérieure ou égale à la date limite de fin réelle ou prévisionnelle du lien juridique. Le militaire ne voit pas son contrat prorogé jusqu'à la date de fin de la permission.</v>
      </c>
      <c r="AX47" s="19" t="s">
        <v>133</v>
      </c>
      <c r="AY47" s="21" t="str">
        <f>VLOOKUP(AX47,'Axe 2 Règles de gestion'!$D$2:$F$40,3, FALSE)</f>
        <v>Le militaire est en activité.</v>
      </c>
      <c r="AZ47" s="19"/>
      <c r="BA47" s="21"/>
      <c r="BB47" s="19" t="s">
        <v>139</v>
      </c>
      <c r="BC47" s="21" t="str">
        <f>VLOOKUP(BB47,'Axe 2 Règles de gestion'!$D$2:$F$40,3, FALSE)</f>
        <v>La date de début du congé/absence doit être antérieure ou égale à la date de fin réelle du congé/absence.</v>
      </c>
      <c r="BD47" s="19" t="s">
        <v>141</v>
      </c>
      <c r="BE47" s="21" t="str">
        <f>VLOOKUP(BD47,'Axe 2 Règles de gestion'!$D$2:$F$40,3, FALSE)</f>
        <v>La date de début du congé/absence doit être antérieure ou égale à la date de fin prévisionnelle du congé/absence.</v>
      </c>
      <c r="BF47" s="19" t="s">
        <v>143</v>
      </c>
      <c r="BG47" s="21" t="str">
        <f>VLOOKUP(BF47,'Axe 2 Règles de gestion'!$D$2:$F$40,3, FALSE)</f>
        <v>La date de fin réelle du congé/absence doit être antérieure à la date limite de départ à la retraite.</v>
      </c>
      <c r="BH47" s="19" t="s">
        <v>145</v>
      </c>
      <c r="BI47" s="21" t="str">
        <f>VLOOKUP(BH47,'Axe 2 Règles de gestion'!$D$2:$F$40,3, FALSE)</f>
        <v>La date de fin prévisionnelle du congé/absence doit être antérieure à la date limite de départ à la retraite.</v>
      </c>
      <c r="BJ47" s="19" t="s">
        <v>147</v>
      </c>
      <c r="BK47" s="21" t="str">
        <f>VLOOKUP(BJ47,'Axe 2 Règles de gestion'!$D$2:$F$40,3, FALSE)</f>
        <v>La date de fin réelle ou la date de fin prévisionnelle du congé/absence doit être saisie.</v>
      </c>
      <c r="BL47" s="19" t="s">
        <v>153</v>
      </c>
      <c r="BM47" s="21" t="str">
        <f>VLOOKUP(BL47,'Axe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N47" s="19"/>
      <c r="BO47" s="21"/>
      <c r="BP47" s="19"/>
      <c r="BQ47" s="21"/>
      <c r="BR47" s="19"/>
      <c r="BS47" s="21"/>
      <c r="BT47" s="19"/>
      <c r="BU47" s="21"/>
      <c r="BV47" s="19" t="s">
        <v>201</v>
      </c>
      <c r="BW47" s="21"/>
    </row>
    <row r="48" spans="1:75" s="22" customFormat="1" ht="130.5" x14ac:dyDescent="0.35">
      <c r="A48" s="19" t="s">
        <v>194</v>
      </c>
      <c r="B48" s="19" t="s">
        <v>77</v>
      </c>
      <c r="C48" s="20">
        <v>45910.581250000003</v>
      </c>
      <c r="D48" s="19" t="s">
        <v>78</v>
      </c>
      <c r="E48" s="21" t="s">
        <v>79</v>
      </c>
      <c r="F48" s="19" t="s">
        <v>80</v>
      </c>
      <c r="G48" s="21" t="s">
        <v>81</v>
      </c>
      <c r="H48" s="19" t="s">
        <v>195</v>
      </c>
      <c r="I48" s="21" t="s">
        <v>196</v>
      </c>
      <c r="J48" s="21" t="s">
        <v>197</v>
      </c>
      <c r="K48" s="21" t="s">
        <v>198</v>
      </c>
      <c r="L48" s="19" t="s">
        <v>199</v>
      </c>
      <c r="M48" s="21" t="s">
        <v>200</v>
      </c>
      <c r="N48" s="19" t="s">
        <v>88</v>
      </c>
      <c r="O48" s="21"/>
      <c r="P48" s="21"/>
      <c r="Q48" s="21" t="s">
        <v>163</v>
      </c>
      <c r="R48" s="19" t="s">
        <v>164</v>
      </c>
      <c r="S48" s="19" t="s">
        <v>106</v>
      </c>
      <c r="T48" s="19" t="s">
        <v>107</v>
      </c>
      <c r="U48" s="20">
        <v>45807</v>
      </c>
      <c r="V48" s="20"/>
      <c r="W48" s="21" t="s">
        <v>215</v>
      </c>
      <c r="X48" s="19" t="s">
        <v>109</v>
      </c>
      <c r="Y48" s="21" t="str">
        <f>VLOOKUP(X48,'Axe 2 Règles de gestion'!$D$2:$F$40,3, FALSE)</f>
        <v>En cas de participation à des opérations militaires, la permission est accordée par le commandant de la formation administrative ou l'autorité équivalente, dans les conditions fixées par le ministre de la défense.</v>
      </c>
      <c r="Z48" s="19" t="s">
        <v>205</v>
      </c>
      <c r="AA48" s="21" t="str">
        <f>VLOOKUP(Z48,'Axe 2 Règles de gestion'!$D$2:$F$40,3, FALSE)</f>
        <v>La permission est accordée à l'occasion de l'annonce de la survenue d'un handicap, d'une pathologie chronique nécessitant un apprentissage thérapeutique ou d'une affection cancéreuse chez l'enfant du militaire.</v>
      </c>
      <c r="AB48" s="19" t="s">
        <v>207</v>
      </c>
      <c r="AC48" s="21" t="str">
        <f>VLOOKUP(AB48,'Axe 2 Règles de gestion'!$D$2:$F$40,3, FALSE)</f>
        <v>L'enfant doit être à la charge du militaire.</v>
      </c>
      <c r="AD48" s="19" t="s">
        <v>209</v>
      </c>
      <c r="AE48" s="21" t="str">
        <f>VLOOKUP(AD48,'Axe 2 Règles de gestion'!$D$2:$F$40,3, FALSE)</f>
        <v>L'enfant souffre d'une pathologie chronique.</v>
      </c>
      <c r="AF48" s="19"/>
      <c r="AG48" s="21"/>
      <c r="AH48" s="19"/>
      <c r="AI48" s="21"/>
      <c r="AJ48" s="19"/>
      <c r="AK48" s="21"/>
      <c r="AL48" s="19"/>
      <c r="AM48" s="21"/>
      <c r="AN48" s="19"/>
      <c r="AO48" s="21"/>
      <c r="AP48" s="19" t="s">
        <v>211</v>
      </c>
      <c r="AQ48" s="21" t="str">
        <f>VLOOKUP(AP48,'Axe 2 Règles de gestion'!$D$2:$F$40,3, FALSE)</f>
        <v>La durée prévisionnelle de la permission est de 5 jours ouvrés.</v>
      </c>
      <c r="AR48" s="19" t="s">
        <v>212</v>
      </c>
      <c r="AS48" s="21" t="str">
        <f>VLOOKUP(AR48,'Axe 2 Règles de gestion'!$D$2:$F$40,3, FALSE)</f>
        <v>La durée réelle de la permission est de 5 jours ouvrés.</v>
      </c>
      <c r="AT48" s="19" t="s">
        <v>133</v>
      </c>
      <c r="AU48" s="21" t="str">
        <f>VLOOKUP(AT48,'Axe 2 Règles de gestion'!$D$2:$F$40,3, FALSE)</f>
        <v>Le militaire est en activité.</v>
      </c>
      <c r="AV48" s="19"/>
      <c r="AW48" s="21"/>
      <c r="AX48" s="19"/>
      <c r="AY48" s="21"/>
      <c r="AZ48" s="19"/>
      <c r="BA48" s="21"/>
      <c r="BB48" s="19" t="s">
        <v>135</v>
      </c>
      <c r="BC48" s="21" t="str">
        <f>VLOOKUP(BB48,'Axe 2 Règles de gestion'!$D$2:$F$40,3, FALSE)</f>
        <v>La date de début du congé/absence doit être postérieure ou égale à la date de recrutement dans la FPE ou dans la carrière militaire.</v>
      </c>
      <c r="BD48" s="19" t="s">
        <v>139</v>
      </c>
      <c r="BE48" s="21" t="str">
        <f>VLOOKUP(BD48,'Axe 2 Règles de gestion'!$D$2:$F$40,3, FALSE)</f>
        <v>La date de début du congé/absence doit être antérieure ou égale à la date de fin réelle du congé/absence.</v>
      </c>
      <c r="BF48" s="19" t="s">
        <v>141</v>
      </c>
      <c r="BG48" s="21" t="str">
        <f>VLOOKUP(BF48,'Axe 2 Règles de gestion'!$D$2:$F$40,3, FALSE)</f>
        <v>La date de début du congé/absence doit être antérieure ou égale à la date de fin prévisionnelle du congé/absence.</v>
      </c>
      <c r="BH48" s="19" t="s">
        <v>143</v>
      </c>
      <c r="BI48" s="21" t="str">
        <f>VLOOKUP(BH48,'Axe 2 Règles de gestion'!$D$2:$F$40,3, FALSE)</f>
        <v>La date de fin réelle du congé/absence doit être antérieure à la date limite de départ à la retraite.</v>
      </c>
      <c r="BJ48" s="19" t="s">
        <v>145</v>
      </c>
      <c r="BK48" s="21" t="str">
        <f>VLOOKUP(BJ48,'Axe 2 Règles de gestion'!$D$2:$F$40,3, FALSE)</f>
        <v>La date de fin prévisionnelle du congé/absence doit être antérieure à la date limite de départ à la retraite.</v>
      </c>
      <c r="BL48" s="19" t="s">
        <v>147</v>
      </c>
      <c r="BM48" s="21" t="str">
        <f>VLOOKUP(BL48,'Axe 2 Règles de gestion'!$D$2:$F$40,3, FALSE)</f>
        <v>La date de fin réelle ou la date de fin prévisionnelle du congé/absence doit être saisie.</v>
      </c>
      <c r="BN48" s="19" t="s">
        <v>149</v>
      </c>
      <c r="BO48" s="21" t="str">
        <f>VLOOKUP(BN48,'Axe 2 Règles de gestion'!$D$2:$F$40,3, FALSE)</f>
        <v>Si l'absence ne commence pas par une demi-journée et si l'absence précédente ne finit pas par une demi journée, la date de début de l'absence saisie est postérieure à la date de fin réelle de l'absence précédente.</v>
      </c>
      <c r="BP48" s="19" t="s">
        <v>151</v>
      </c>
      <c r="BQ48" s="21" t="str">
        <f>VLOOKUP(BP48,'Axe 2 Règles de gestion'!$D$2:$F$40,3,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R48" s="19" t="s">
        <v>153</v>
      </c>
      <c r="BS48" s="21" t="str">
        <f>VLOOKUP(BR48,'Axe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T48" s="19"/>
      <c r="BU48" s="21"/>
      <c r="BV48" s="19" t="s">
        <v>201</v>
      </c>
      <c r="BW48" s="21"/>
    </row>
    <row r="49" spans="1:75" s="22" customFormat="1" ht="116" x14ac:dyDescent="0.35">
      <c r="A49" s="19" t="s">
        <v>194</v>
      </c>
      <c r="B49" s="19" t="s">
        <v>77</v>
      </c>
      <c r="C49" s="20">
        <v>45910.586805555555</v>
      </c>
      <c r="D49" s="19" t="s">
        <v>78</v>
      </c>
      <c r="E49" s="21" t="s">
        <v>79</v>
      </c>
      <c r="F49" s="19" t="s">
        <v>80</v>
      </c>
      <c r="G49" s="21" t="s">
        <v>81</v>
      </c>
      <c r="H49" s="19" t="s">
        <v>195</v>
      </c>
      <c r="I49" s="21" t="s">
        <v>196</v>
      </c>
      <c r="J49" s="21" t="s">
        <v>197</v>
      </c>
      <c r="K49" s="21" t="s">
        <v>198</v>
      </c>
      <c r="L49" s="19" t="s">
        <v>202</v>
      </c>
      <c r="M49" s="21" t="s">
        <v>203</v>
      </c>
      <c r="N49" s="19" t="s">
        <v>95</v>
      </c>
      <c r="O49" s="21"/>
      <c r="P49" s="21"/>
      <c r="Q49" s="21" t="s">
        <v>163</v>
      </c>
      <c r="R49" s="19" t="s">
        <v>164</v>
      </c>
      <c r="S49" s="19" t="s">
        <v>106</v>
      </c>
      <c r="T49" s="19" t="s">
        <v>107</v>
      </c>
      <c r="U49" s="20">
        <v>45807</v>
      </c>
      <c r="V49" s="20"/>
      <c r="W49" s="21" t="s">
        <v>216</v>
      </c>
      <c r="X49" s="19" t="s">
        <v>156</v>
      </c>
      <c r="Y49" s="21" t="str">
        <f>VLOOKUP(X49,'Axe 2 Règles de gestion'!$D$2:$F$40,3, FALSE)</f>
        <v>Le militaire en permission peut être rappelé immédiatement lorsque les circonstances l'exigent.</v>
      </c>
      <c r="Z49" s="19"/>
      <c r="AA49" s="21"/>
      <c r="AB49" s="19"/>
      <c r="AC49" s="21"/>
      <c r="AD49" s="19"/>
      <c r="AE49" s="21"/>
      <c r="AF49" s="19"/>
      <c r="AG49" s="21"/>
      <c r="AH49" s="19"/>
      <c r="AI49" s="21"/>
      <c r="AJ49" s="19"/>
      <c r="AK49" s="21"/>
      <c r="AL49" s="19"/>
      <c r="AM49" s="21"/>
      <c r="AN49" s="19"/>
      <c r="AO49" s="21"/>
      <c r="AP49" s="19" t="s">
        <v>211</v>
      </c>
      <c r="AQ49" s="21" t="str">
        <f>VLOOKUP(AP49,'Axe 2 Règles de gestion'!$D$2:$F$40,3, FALSE)</f>
        <v>La durée prévisionnelle de la permission est de 5 jours ouvrés.</v>
      </c>
      <c r="AR49" s="19" t="s">
        <v>212</v>
      </c>
      <c r="AS49" s="21" t="str">
        <f>VLOOKUP(AR49,'Axe 2 Règles de gestion'!$D$2:$F$40,3, FALSE)</f>
        <v>La durée réelle de la permission est de 5 jours ouvrés.</v>
      </c>
      <c r="AT49" s="19" t="s">
        <v>133</v>
      </c>
      <c r="AU49" s="21" t="str">
        <f>VLOOKUP(AT49,'Axe 2 Règles de gestion'!$D$2:$F$40,3, FALSE)</f>
        <v>Le militaire est en activité.</v>
      </c>
      <c r="AV49" s="19"/>
      <c r="AW49" s="21"/>
      <c r="AX49" s="19"/>
      <c r="AY49" s="21"/>
      <c r="AZ49" s="19"/>
      <c r="BA49" s="21"/>
      <c r="BB49" s="19" t="s">
        <v>139</v>
      </c>
      <c r="BC49" s="21" t="str">
        <f>VLOOKUP(BB49,'Axe 2 Règles de gestion'!$D$2:$F$40,3, FALSE)</f>
        <v>La date de début du congé/absence doit être antérieure ou égale à la date de fin réelle du congé/absence.</v>
      </c>
      <c r="BD49" s="19" t="s">
        <v>141</v>
      </c>
      <c r="BE49" s="21" t="str">
        <f>VLOOKUP(BD49,'Axe 2 Règles de gestion'!$D$2:$F$40,3, FALSE)</f>
        <v>La date de début du congé/absence doit être antérieure ou égale à la date de fin prévisionnelle du congé/absence.</v>
      </c>
      <c r="BF49" s="19" t="s">
        <v>143</v>
      </c>
      <c r="BG49" s="21" t="str">
        <f>VLOOKUP(BF49,'Axe 2 Règles de gestion'!$D$2:$F$40,3, FALSE)</f>
        <v>La date de fin réelle du congé/absence doit être antérieure à la date limite de départ à la retraite.</v>
      </c>
      <c r="BH49" s="19" t="s">
        <v>145</v>
      </c>
      <c r="BI49" s="21" t="str">
        <f>VLOOKUP(BH49,'Axe 2 Règles de gestion'!$D$2:$F$40,3, FALSE)</f>
        <v>La date de fin prévisionnelle du congé/absence doit être antérieure à la date limite de départ à la retraite.</v>
      </c>
      <c r="BJ49" s="19" t="s">
        <v>147</v>
      </c>
      <c r="BK49" s="21" t="str">
        <f>VLOOKUP(BJ49,'Axe 2 Règles de gestion'!$D$2:$F$40,3, FALSE)</f>
        <v>La date de fin réelle ou la date de fin prévisionnelle du congé/absence doit être saisie.</v>
      </c>
      <c r="BL49" s="19" t="s">
        <v>153</v>
      </c>
      <c r="BM49" s="21" t="str">
        <f>VLOOKUP(BL49,'Axe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N49" s="19"/>
      <c r="BO49" s="21"/>
      <c r="BP49" s="19"/>
      <c r="BQ49" s="21"/>
      <c r="BR49" s="19"/>
      <c r="BS49" s="21"/>
      <c r="BT49" s="19"/>
      <c r="BU49" s="21"/>
      <c r="BV49" s="19" t="s">
        <v>201</v>
      </c>
      <c r="BW49" s="21"/>
    </row>
    <row r="50" spans="1:75" x14ac:dyDescent="0.35">
      <c r="C50" s="16"/>
      <c r="U50" s="16"/>
      <c r="V50" s="16"/>
    </row>
    <row r="51" spans="1:75" x14ac:dyDescent="0.35">
      <c r="C51" s="16"/>
      <c r="U51" s="16"/>
      <c r="V51" s="16"/>
    </row>
    <row r="52" spans="1:75" x14ac:dyDescent="0.35">
      <c r="C52" s="16"/>
      <c r="U52" s="16"/>
      <c r="V52" s="16"/>
    </row>
    <row r="53" spans="1:75" x14ac:dyDescent="0.35">
      <c r="C53" s="16"/>
      <c r="U53" s="16"/>
      <c r="V53" s="16"/>
    </row>
    <row r="54" spans="1:75" x14ac:dyDescent="0.35">
      <c r="C54" s="16"/>
      <c r="U54" s="16"/>
      <c r="V54" s="16"/>
    </row>
    <row r="55" spans="1:75" x14ac:dyDescent="0.35">
      <c r="C55" s="16"/>
      <c r="U55" s="16"/>
      <c r="V55" s="16"/>
    </row>
    <row r="56" spans="1:75" x14ac:dyDescent="0.35">
      <c r="C56" s="16"/>
      <c r="U56" s="16"/>
      <c r="V56" s="16"/>
    </row>
    <row r="57" spans="1:75" x14ac:dyDescent="0.35">
      <c r="C57" s="16"/>
      <c r="U57" s="16"/>
      <c r="V57" s="16"/>
    </row>
    <row r="58" spans="1:75" x14ac:dyDescent="0.35">
      <c r="C58" s="16"/>
      <c r="U58" s="16"/>
      <c r="V58" s="16"/>
    </row>
    <row r="59" spans="1:75" x14ac:dyDescent="0.35">
      <c r="C59" s="16"/>
      <c r="U59" s="16"/>
      <c r="V59" s="16"/>
    </row>
    <row r="60" spans="1:75" x14ac:dyDescent="0.35">
      <c r="C60" s="16"/>
      <c r="U60" s="16"/>
      <c r="V60" s="16"/>
    </row>
    <row r="61" spans="1:75" x14ac:dyDescent="0.35">
      <c r="C61" s="16"/>
      <c r="U61" s="16"/>
      <c r="V61" s="16"/>
    </row>
    <row r="62" spans="1:75" x14ac:dyDescent="0.35">
      <c r="C62" s="16"/>
      <c r="U62" s="16"/>
      <c r="V62" s="16"/>
    </row>
    <row r="63" spans="1:75" x14ac:dyDescent="0.35">
      <c r="C63" s="16"/>
      <c r="U63" s="16"/>
      <c r="V63" s="16"/>
    </row>
    <row r="64" spans="1:75" x14ac:dyDescent="0.35">
      <c r="C64" s="16"/>
      <c r="U64" s="16"/>
      <c r="V64" s="16"/>
    </row>
    <row r="65" spans="3:22" x14ac:dyDescent="0.35">
      <c r="C65" s="16"/>
      <c r="U65" s="16"/>
      <c r="V65" s="16"/>
    </row>
    <row r="66" spans="3:22" x14ac:dyDescent="0.35">
      <c r="C66" s="16"/>
      <c r="U66" s="16"/>
      <c r="V66" s="16"/>
    </row>
    <row r="67" spans="3:22" x14ac:dyDescent="0.35">
      <c r="C67" s="16"/>
      <c r="U67" s="16"/>
      <c r="V67" s="16"/>
    </row>
    <row r="68" spans="3:22" x14ac:dyDescent="0.35">
      <c r="C68" s="16"/>
      <c r="U68" s="16"/>
      <c r="V68" s="16"/>
    </row>
    <row r="69" spans="3:22" x14ac:dyDescent="0.35">
      <c r="C69" s="16"/>
      <c r="U69" s="16"/>
      <c r="V69" s="16"/>
    </row>
    <row r="70" spans="3:22" x14ac:dyDescent="0.35">
      <c r="C70" s="16"/>
      <c r="U70" s="16"/>
      <c r="V70" s="16"/>
    </row>
    <row r="71" spans="3:22" x14ac:dyDescent="0.35">
      <c r="C71" s="16"/>
      <c r="U71" s="16"/>
      <c r="V71" s="16"/>
    </row>
    <row r="72" spans="3:22" x14ac:dyDescent="0.35">
      <c r="C72" s="16"/>
      <c r="U72" s="16"/>
      <c r="V72" s="16"/>
    </row>
    <row r="73" spans="3:22" x14ac:dyDescent="0.35">
      <c r="C73" s="16"/>
      <c r="U73" s="16"/>
      <c r="V73" s="16"/>
    </row>
    <row r="74" spans="3:22" x14ac:dyDescent="0.35">
      <c r="C74" s="16"/>
      <c r="U74" s="16"/>
      <c r="V74" s="16"/>
    </row>
    <row r="75" spans="3:22" x14ac:dyDescent="0.35">
      <c r="C75" s="16"/>
      <c r="U75" s="16"/>
      <c r="V75" s="16"/>
    </row>
    <row r="76" spans="3:22" x14ac:dyDescent="0.35">
      <c r="C76" s="16"/>
      <c r="U76" s="16"/>
      <c r="V76" s="16"/>
    </row>
    <row r="77" spans="3:22" x14ac:dyDescent="0.35">
      <c r="C77" s="16"/>
      <c r="U77" s="16"/>
      <c r="V77" s="16"/>
    </row>
    <row r="78" spans="3:22" x14ac:dyDescent="0.35">
      <c r="C78" s="16"/>
      <c r="U78" s="16"/>
      <c r="V78" s="16"/>
    </row>
    <row r="79" spans="3:22" x14ac:dyDescent="0.35">
      <c r="C79" s="16"/>
      <c r="U79" s="16"/>
      <c r="V79" s="16"/>
    </row>
    <row r="80" spans="3:22" x14ac:dyDescent="0.35">
      <c r="C80" s="16"/>
      <c r="U80" s="16"/>
      <c r="V80" s="16"/>
    </row>
    <row r="81" spans="3:22" x14ac:dyDescent="0.35">
      <c r="C81" s="16"/>
      <c r="U81" s="16"/>
      <c r="V81" s="16"/>
    </row>
    <row r="82" spans="3:22" x14ac:dyDescent="0.35">
      <c r="C82" s="16"/>
      <c r="U82" s="16"/>
      <c r="V82" s="16"/>
    </row>
    <row r="83" spans="3:22" x14ac:dyDescent="0.35">
      <c r="C83" s="16"/>
      <c r="U83" s="16"/>
      <c r="V83" s="16"/>
    </row>
    <row r="84" spans="3:22" x14ac:dyDescent="0.35">
      <c r="C84" s="16"/>
      <c r="U84" s="16"/>
      <c r="V84" s="16"/>
    </row>
    <row r="85" spans="3:22" x14ac:dyDescent="0.35">
      <c r="C85" s="16"/>
      <c r="U85" s="16"/>
      <c r="V85" s="16"/>
    </row>
    <row r="86" spans="3:22" x14ac:dyDescent="0.35">
      <c r="C86" s="16"/>
      <c r="U86" s="16"/>
      <c r="V86" s="16"/>
    </row>
    <row r="87" spans="3:22" x14ac:dyDescent="0.35">
      <c r="C87" s="16"/>
      <c r="U87" s="16"/>
      <c r="V87" s="16"/>
    </row>
    <row r="88" spans="3:22" x14ac:dyDescent="0.35">
      <c r="C88" s="16"/>
      <c r="U88" s="16"/>
      <c r="V88" s="16"/>
    </row>
    <row r="89" spans="3:22" x14ac:dyDescent="0.35">
      <c r="C89" s="16"/>
      <c r="U89" s="16"/>
      <c r="V89" s="16"/>
    </row>
    <row r="90" spans="3:22" x14ac:dyDescent="0.35">
      <c r="C90" s="16"/>
      <c r="U90" s="16"/>
      <c r="V90" s="16"/>
    </row>
    <row r="91" spans="3:22" x14ac:dyDescent="0.35">
      <c r="C91" s="16"/>
      <c r="U91" s="16"/>
      <c r="V91" s="16"/>
    </row>
    <row r="92" spans="3:22" x14ac:dyDescent="0.35">
      <c r="C92" s="16"/>
      <c r="U92" s="16"/>
      <c r="V92" s="16"/>
    </row>
    <row r="93" spans="3:22" x14ac:dyDescent="0.35">
      <c r="C93" s="16"/>
      <c r="U93" s="16"/>
      <c r="V93" s="16"/>
    </row>
    <row r="94" spans="3:22" x14ac:dyDescent="0.35">
      <c r="C94" s="16"/>
      <c r="U94" s="16"/>
      <c r="V94" s="16"/>
    </row>
    <row r="95" spans="3:22" x14ac:dyDescent="0.35">
      <c r="C95" s="16"/>
      <c r="U95" s="16"/>
      <c r="V95" s="16"/>
    </row>
    <row r="96" spans="3:22" x14ac:dyDescent="0.35">
      <c r="C96" s="16"/>
      <c r="U96" s="16"/>
      <c r="V96" s="16"/>
    </row>
    <row r="97" spans="3:22" x14ac:dyDescent="0.35">
      <c r="C97" s="16"/>
      <c r="U97" s="16"/>
      <c r="V97" s="16"/>
    </row>
    <row r="98" spans="3:22" x14ac:dyDescent="0.35">
      <c r="C98" s="16"/>
      <c r="U98" s="16"/>
      <c r="V98" s="16"/>
    </row>
    <row r="99" spans="3:22" x14ac:dyDescent="0.35">
      <c r="C99" s="16"/>
      <c r="U99" s="16"/>
      <c r="V99" s="16"/>
    </row>
    <row r="100" spans="3:22" x14ac:dyDescent="0.35">
      <c r="C100" s="16"/>
      <c r="U100" s="16"/>
      <c r="V100" s="16"/>
    </row>
    <row r="101" spans="3:22" x14ac:dyDescent="0.35">
      <c r="C101" s="16"/>
      <c r="U101" s="16"/>
      <c r="V101" s="16"/>
    </row>
    <row r="102" spans="3:22" x14ac:dyDescent="0.35">
      <c r="C102" s="16"/>
      <c r="U102" s="16"/>
      <c r="V102" s="16"/>
    </row>
    <row r="103" spans="3:22" x14ac:dyDescent="0.35">
      <c r="C103" s="16"/>
      <c r="U103" s="16"/>
      <c r="V103" s="16"/>
    </row>
    <row r="104" spans="3:22" x14ac:dyDescent="0.35">
      <c r="C104" s="16"/>
      <c r="U104" s="16"/>
      <c r="V104" s="16"/>
    </row>
    <row r="105" spans="3:22" x14ac:dyDescent="0.35">
      <c r="C105" s="16"/>
      <c r="U105" s="16"/>
      <c r="V105" s="16"/>
    </row>
    <row r="106" spans="3:22" x14ac:dyDescent="0.35">
      <c r="C106" s="16"/>
      <c r="U106" s="16"/>
      <c r="V106" s="16"/>
    </row>
    <row r="107" spans="3:22" x14ac:dyDescent="0.35">
      <c r="C107" s="16"/>
      <c r="U107" s="16"/>
      <c r="V107" s="16"/>
    </row>
    <row r="108" spans="3:22" x14ac:dyDescent="0.35">
      <c r="C108" s="16"/>
      <c r="U108" s="16"/>
      <c r="V108" s="16"/>
    </row>
    <row r="109" spans="3:22" x14ac:dyDescent="0.35">
      <c r="C109" s="16"/>
      <c r="U109" s="16"/>
      <c r="V109" s="16"/>
    </row>
    <row r="110" spans="3:22" x14ac:dyDescent="0.35">
      <c r="C110" s="16"/>
      <c r="U110" s="16"/>
      <c r="V110" s="16"/>
    </row>
    <row r="111" spans="3:22" x14ac:dyDescent="0.35">
      <c r="C111" s="16"/>
      <c r="U111" s="16"/>
      <c r="V111" s="16"/>
    </row>
    <row r="112" spans="3:22" x14ac:dyDescent="0.35">
      <c r="C112" s="16"/>
      <c r="U112" s="16"/>
      <c r="V112" s="16"/>
    </row>
    <row r="113" spans="3:22" x14ac:dyDescent="0.35">
      <c r="C113" s="16"/>
      <c r="U113" s="16"/>
      <c r="V113" s="16"/>
    </row>
    <row r="114" spans="3:22" x14ac:dyDescent="0.35">
      <c r="C114" s="16"/>
      <c r="U114" s="16"/>
      <c r="V114" s="16"/>
    </row>
    <row r="115" spans="3:22" x14ac:dyDescent="0.35">
      <c r="C115" s="16"/>
      <c r="U115" s="16"/>
      <c r="V115" s="16"/>
    </row>
    <row r="116" spans="3:22" x14ac:dyDescent="0.35">
      <c r="C116" s="16"/>
      <c r="U116" s="16"/>
      <c r="V116" s="16"/>
    </row>
    <row r="117" spans="3:22" x14ac:dyDescent="0.35">
      <c r="C117" s="16"/>
      <c r="U117" s="16"/>
      <c r="V117" s="16"/>
    </row>
    <row r="118" spans="3:22" x14ac:dyDescent="0.35">
      <c r="C118" s="16"/>
      <c r="U118" s="16"/>
      <c r="V118" s="16"/>
    </row>
    <row r="119" spans="3:22" x14ac:dyDescent="0.35">
      <c r="C119" s="16"/>
      <c r="U119" s="16"/>
      <c r="V119" s="16"/>
    </row>
    <row r="120" spans="3:22" x14ac:dyDescent="0.35">
      <c r="C120" s="16"/>
      <c r="U120" s="16"/>
      <c r="V120" s="16"/>
    </row>
    <row r="121" spans="3:22" x14ac:dyDescent="0.35">
      <c r="C121" s="16"/>
      <c r="U121" s="16"/>
      <c r="V121" s="16"/>
    </row>
    <row r="122" spans="3:22" x14ac:dyDescent="0.35">
      <c r="C122" s="16"/>
      <c r="U122" s="16"/>
      <c r="V122" s="16"/>
    </row>
    <row r="123" spans="3:22" x14ac:dyDescent="0.35">
      <c r="C123" s="16"/>
      <c r="U123" s="16"/>
      <c r="V123" s="16"/>
    </row>
    <row r="124" spans="3:22" x14ac:dyDescent="0.35">
      <c r="C124" s="16"/>
      <c r="U124" s="16"/>
      <c r="V124" s="16"/>
    </row>
    <row r="125" spans="3:22" x14ac:dyDescent="0.35">
      <c r="C125" s="16"/>
      <c r="U125" s="16"/>
      <c r="V125" s="16"/>
    </row>
    <row r="126" spans="3:22" x14ac:dyDescent="0.35">
      <c r="C126" s="16"/>
      <c r="U126" s="16"/>
      <c r="V126" s="16"/>
    </row>
    <row r="127" spans="3:22" x14ac:dyDescent="0.35">
      <c r="C127" s="16"/>
      <c r="U127" s="16"/>
      <c r="V127" s="16"/>
    </row>
    <row r="128" spans="3:22" x14ac:dyDescent="0.35">
      <c r="C128" s="16"/>
      <c r="U128" s="16"/>
      <c r="V128" s="16"/>
    </row>
    <row r="129" spans="3:22" x14ac:dyDescent="0.35">
      <c r="C129" s="16"/>
      <c r="U129" s="16"/>
      <c r="V129" s="16"/>
    </row>
    <row r="130" spans="3:22" x14ac:dyDescent="0.35">
      <c r="C130" s="16"/>
      <c r="U130" s="16"/>
      <c r="V130" s="16"/>
    </row>
    <row r="131" spans="3:22" x14ac:dyDescent="0.35">
      <c r="C131" s="16"/>
      <c r="U131" s="16"/>
      <c r="V131" s="16"/>
    </row>
    <row r="132" spans="3:22" x14ac:dyDescent="0.35">
      <c r="C132" s="16"/>
      <c r="U132" s="16"/>
      <c r="V132" s="16"/>
    </row>
    <row r="133" spans="3:22" x14ac:dyDescent="0.35">
      <c r="C133" s="16"/>
      <c r="U133" s="16"/>
      <c r="V133" s="16"/>
    </row>
    <row r="134" spans="3:22" x14ac:dyDescent="0.35">
      <c r="C134" s="16"/>
      <c r="U134" s="16"/>
      <c r="V134" s="16"/>
    </row>
    <row r="135" spans="3:22" x14ac:dyDescent="0.35">
      <c r="C135" s="16"/>
      <c r="U135" s="16"/>
      <c r="V135" s="16"/>
    </row>
    <row r="136" spans="3:22" x14ac:dyDescent="0.35">
      <c r="C136" s="16"/>
      <c r="U136" s="16"/>
      <c r="V136" s="16"/>
    </row>
    <row r="137" spans="3:22" x14ac:dyDescent="0.35">
      <c r="C137" s="16"/>
      <c r="U137" s="16"/>
      <c r="V137" s="16"/>
    </row>
    <row r="138" spans="3:22" x14ac:dyDescent="0.35">
      <c r="C138" s="16"/>
      <c r="U138" s="16"/>
      <c r="V138" s="16"/>
    </row>
    <row r="139" spans="3:22" x14ac:dyDescent="0.35">
      <c r="C139" s="16"/>
      <c r="U139" s="16"/>
      <c r="V139" s="16"/>
    </row>
    <row r="140" spans="3:22" x14ac:dyDescent="0.35">
      <c r="C140" s="16"/>
      <c r="U140" s="16"/>
      <c r="V140" s="16"/>
    </row>
    <row r="141" spans="3:22" x14ac:dyDescent="0.35">
      <c r="C141" s="16"/>
      <c r="U141" s="16"/>
      <c r="V141" s="16"/>
    </row>
    <row r="142" spans="3:22" x14ac:dyDescent="0.35">
      <c r="C142" s="16"/>
      <c r="U142" s="16"/>
      <c r="V142" s="16"/>
    </row>
    <row r="143" spans="3:22" x14ac:dyDescent="0.35">
      <c r="C143" s="16"/>
      <c r="U143" s="16"/>
      <c r="V143" s="16"/>
    </row>
    <row r="144" spans="3:22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  <row r="153" spans="3:22" x14ac:dyDescent="0.35">
      <c r="C153" s="16"/>
      <c r="U153" s="16"/>
      <c r="V153" s="16"/>
    </row>
    <row r="154" spans="3:22" x14ac:dyDescent="0.35">
      <c r="C154" s="16"/>
      <c r="U154" s="16"/>
      <c r="V154" s="16"/>
    </row>
    <row r="155" spans="3:22" x14ac:dyDescent="0.35">
      <c r="C155" s="16"/>
      <c r="U155" s="16"/>
      <c r="V155" s="16"/>
    </row>
    <row r="156" spans="3:22" x14ac:dyDescent="0.35">
      <c r="C156" s="16"/>
      <c r="U156" s="16"/>
      <c r="V156" s="16"/>
    </row>
    <row r="157" spans="3:22" x14ac:dyDescent="0.35">
      <c r="C157" s="16"/>
      <c r="U157" s="16"/>
      <c r="V157" s="16"/>
    </row>
    <row r="158" spans="3:22" x14ac:dyDescent="0.35">
      <c r="C158" s="16"/>
      <c r="U158" s="16"/>
      <c r="V158" s="16"/>
    </row>
    <row r="159" spans="3:22" x14ac:dyDescent="0.35">
      <c r="C159" s="16"/>
      <c r="U159" s="16"/>
      <c r="V159" s="16"/>
    </row>
    <row r="160" spans="3:22" x14ac:dyDescent="0.35">
      <c r="C160" s="16"/>
      <c r="U160" s="16"/>
      <c r="V160" s="16"/>
    </row>
    <row r="161" spans="3:22" x14ac:dyDescent="0.35">
      <c r="C161" s="16"/>
      <c r="U161" s="16"/>
      <c r="V161" s="16"/>
    </row>
    <row r="162" spans="3:22" x14ac:dyDescent="0.35">
      <c r="C162" s="16"/>
      <c r="U162" s="16"/>
      <c r="V162" s="16"/>
    </row>
    <row r="163" spans="3:22" x14ac:dyDescent="0.35">
      <c r="C163" s="16"/>
      <c r="U163" s="16"/>
      <c r="V163" s="16"/>
    </row>
    <row r="164" spans="3:22" x14ac:dyDescent="0.35">
      <c r="C164" s="16"/>
      <c r="U164" s="16"/>
      <c r="V164" s="16"/>
    </row>
    <row r="165" spans="3:22" x14ac:dyDescent="0.35">
      <c r="C165" s="16"/>
      <c r="U165" s="16"/>
      <c r="V165" s="16"/>
    </row>
    <row r="166" spans="3:22" x14ac:dyDescent="0.35">
      <c r="C166" s="16"/>
      <c r="U166" s="16"/>
      <c r="V166" s="16"/>
    </row>
    <row r="167" spans="3:22" x14ac:dyDescent="0.35">
      <c r="C167" s="16"/>
      <c r="U167" s="16"/>
      <c r="V167" s="16"/>
    </row>
    <row r="168" spans="3:22" x14ac:dyDescent="0.35">
      <c r="C168" s="16"/>
      <c r="U168" s="16"/>
      <c r="V168" s="16"/>
    </row>
    <row r="169" spans="3:22" x14ac:dyDescent="0.35">
      <c r="C169" s="16"/>
      <c r="U169" s="16"/>
      <c r="V169" s="16"/>
    </row>
    <row r="170" spans="3:22" x14ac:dyDescent="0.35">
      <c r="C170" s="16"/>
      <c r="U170" s="16"/>
      <c r="V170" s="16"/>
    </row>
    <row r="171" spans="3:22" x14ac:dyDescent="0.35">
      <c r="C171" s="16"/>
      <c r="U171" s="16"/>
      <c r="V171" s="16"/>
    </row>
    <row r="172" spans="3:22" x14ac:dyDescent="0.35">
      <c r="C172" s="16"/>
      <c r="U172" s="16"/>
      <c r="V172" s="16"/>
    </row>
    <row r="173" spans="3:22" x14ac:dyDescent="0.35">
      <c r="C173" s="16"/>
      <c r="U173" s="16"/>
      <c r="V173" s="16"/>
    </row>
    <row r="174" spans="3:22" x14ac:dyDescent="0.35">
      <c r="C174" s="16"/>
      <c r="U174" s="16"/>
      <c r="V174" s="16"/>
    </row>
    <row r="175" spans="3:22" x14ac:dyDescent="0.35">
      <c r="C175" s="16"/>
      <c r="U175" s="16"/>
      <c r="V175" s="16"/>
    </row>
    <row r="176" spans="3:22" x14ac:dyDescent="0.35">
      <c r="C176" s="16"/>
      <c r="U176" s="16"/>
      <c r="V176" s="16"/>
    </row>
    <row r="177" spans="3:22" x14ac:dyDescent="0.35">
      <c r="C177" s="16"/>
      <c r="U177" s="16"/>
      <c r="V177" s="16"/>
    </row>
    <row r="178" spans="3:22" x14ac:dyDescent="0.35">
      <c r="C178" s="16"/>
      <c r="U178" s="16"/>
      <c r="V178" s="16"/>
    </row>
    <row r="179" spans="3:22" x14ac:dyDescent="0.35">
      <c r="C179" s="16"/>
      <c r="U179" s="16"/>
      <c r="V179" s="16"/>
    </row>
    <row r="180" spans="3:22" x14ac:dyDescent="0.35">
      <c r="C180" s="16"/>
      <c r="U180" s="16"/>
      <c r="V180" s="16"/>
    </row>
    <row r="181" spans="3:22" x14ac:dyDescent="0.35">
      <c r="C181" s="16"/>
      <c r="U181" s="16"/>
      <c r="V181" s="16"/>
    </row>
    <row r="182" spans="3:22" x14ac:dyDescent="0.35">
      <c r="C182" s="16"/>
      <c r="U182" s="16"/>
      <c r="V182" s="16"/>
    </row>
    <row r="183" spans="3:22" x14ac:dyDescent="0.35">
      <c r="C183" s="16"/>
      <c r="U183" s="16"/>
      <c r="V183" s="16"/>
    </row>
    <row r="184" spans="3:22" x14ac:dyDescent="0.35">
      <c r="C184" s="16"/>
      <c r="U184" s="16"/>
      <c r="V184" s="16"/>
    </row>
    <row r="185" spans="3:22" x14ac:dyDescent="0.35">
      <c r="C185" s="16"/>
      <c r="U185" s="16"/>
      <c r="V185" s="16"/>
    </row>
    <row r="186" spans="3:22" x14ac:dyDescent="0.35">
      <c r="C186" s="16"/>
      <c r="U186" s="16"/>
      <c r="V186" s="16"/>
    </row>
    <row r="187" spans="3:22" x14ac:dyDescent="0.35">
      <c r="C187" s="16"/>
      <c r="U187" s="16"/>
      <c r="V187" s="16"/>
    </row>
    <row r="188" spans="3:22" x14ac:dyDescent="0.35">
      <c r="C188" s="16"/>
      <c r="U188" s="16"/>
      <c r="V188" s="16"/>
    </row>
    <row r="189" spans="3:22" x14ac:dyDescent="0.35">
      <c r="C189" s="16"/>
      <c r="U189" s="16"/>
      <c r="V189" s="16"/>
    </row>
    <row r="190" spans="3:22" x14ac:dyDescent="0.35">
      <c r="C190" s="16"/>
      <c r="U190" s="16"/>
      <c r="V190" s="16"/>
    </row>
    <row r="191" spans="3:22" x14ac:dyDescent="0.35">
      <c r="C191" s="16"/>
      <c r="U191" s="16"/>
      <c r="V191" s="16"/>
    </row>
    <row r="192" spans="3:22" x14ac:dyDescent="0.35">
      <c r="C192" s="16"/>
      <c r="U192" s="16"/>
      <c r="V192" s="16"/>
    </row>
    <row r="193" spans="3:22" x14ac:dyDescent="0.35">
      <c r="C193" s="16"/>
      <c r="U193" s="16"/>
      <c r="V193" s="16"/>
    </row>
    <row r="194" spans="3:22" x14ac:dyDescent="0.35">
      <c r="C194" s="16"/>
      <c r="U194" s="16"/>
      <c r="V194" s="16"/>
    </row>
    <row r="195" spans="3:22" x14ac:dyDescent="0.35">
      <c r="C195" s="16"/>
      <c r="U195" s="16"/>
      <c r="V195" s="16"/>
    </row>
    <row r="196" spans="3:22" x14ac:dyDescent="0.35">
      <c r="C196" s="16"/>
      <c r="U196" s="16"/>
      <c r="V196" s="16"/>
    </row>
    <row r="197" spans="3:22" x14ac:dyDescent="0.35">
      <c r="C197" s="16"/>
      <c r="U197" s="16"/>
      <c r="V197" s="16"/>
    </row>
    <row r="198" spans="3:22" x14ac:dyDescent="0.35">
      <c r="C198" s="16"/>
      <c r="U198" s="16"/>
      <c r="V198" s="16"/>
    </row>
    <row r="199" spans="3:22" x14ac:dyDescent="0.35">
      <c r="C199" s="16"/>
      <c r="U199" s="16"/>
      <c r="V199" s="16"/>
    </row>
    <row r="200" spans="3:22" x14ac:dyDescent="0.35">
      <c r="C200" s="16"/>
      <c r="U200" s="16"/>
      <c r="V200" s="16"/>
    </row>
    <row r="201" spans="3:22" x14ac:dyDescent="0.35">
      <c r="C201" s="16"/>
      <c r="U201" s="16"/>
      <c r="V201" s="16"/>
    </row>
    <row r="202" spans="3:22" x14ac:dyDescent="0.35">
      <c r="C202" s="16"/>
      <c r="U202" s="16"/>
      <c r="V202" s="16"/>
    </row>
    <row r="203" spans="3:22" x14ac:dyDescent="0.35">
      <c r="C203" s="16"/>
      <c r="U203" s="16"/>
      <c r="V203" s="16"/>
    </row>
    <row r="204" spans="3:22" x14ac:dyDescent="0.35">
      <c r="C204" s="16"/>
      <c r="U204" s="16"/>
      <c r="V204" s="16"/>
    </row>
    <row r="205" spans="3:22" x14ac:dyDescent="0.35">
      <c r="C205" s="16"/>
      <c r="U205" s="16"/>
      <c r="V205" s="16"/>
    </row>
    <row r="206" spans="3:22" x14ac:dyDescent="0.35">
      <c r="C206" s="16"/>
      <c r="U206" s="16"/>
      <c r="V206" s="16"/>
    </row>
    <row r="207" spans="3:22" x14ac:dyDescent="0.35">
      <c r="C207" s="16"/>
      <c r="U207" s="16"/>
      <c r="V207" s="16"/>
    </row>
    <row r="208" spans="3:22" x14ac:dyDescent="0.35">
      <c r="C208" s="16"/>
      <c r="U208" s="16"/>
      <c r="V208" s="16"/>
    </row>
    <row r="209" spans="3:22" x14ac:dyDescent="0.35">
      <c r="C209" s="16"/>
      <c r="U209" s="16"/>
      <c r="V209" s="16"/>
    </row>
    <row r="210" spans="3:22" x14ac:dyDescent="0.35">
      <c r="C210" s="16"/>
      <c r="U210" s="16"/>
      <c r="V210" s="16"/>
    </row>
    <row r="211" spans="3:22" x14ac:dyDescent="0.35">
      <c r="C211" s="16"/>
      <c r="U211" s="16"/>
      <c r="V211" s="16"/>
    </row>
    <row r="212" spans="3:22" x14ac:dyDescent="0.35">
      <c r="C212" s="16"/>
      <c r="U212" s="16"/>
      <c r="V212" s="16"/>
    </row>
    <row r="213" spans="3:22" x14ac:dyDescent="0.35">
      <c r="C213" s="16"/>
      <c r="U213" s="16"/>
      <c r="V213" s="16"/>
    </row>
    <row r="214" spans="3:22" x14ac:dyDescent="0.35">
      <c r="C214" s="16"/>
      <c r="U214" s="16"/>
      <c r="V214" s="16"/>
    </row>
    <row r="215" spans="3:22" x14ac:dyDescent="0.35">
      <c r="C215" s="16"/>
      <c r="U215" s="16"/>
      <c r="V215" s="16"/>
    </row>
    <row r="216" spans="3:22" x14ac:dyDescent="0.35">
      <c r="C216" s="16"/>
      <c r="U216" s="16"/>
      <c r="V216" s="16"/>
    </row>
    <row r="217" spans="3:22" x14ac:dyDescent="0.35">
      <c r="C217" s="16"/>
      <c r="U217" s="16"/>
      <c r="V217" s="16"/>
    </row>
    <row r="218" spans="3:22" x14ac:dyDescent="0.35">
      <c r="C218" s="16"/>
      <c r="U218" s="16"/>
      <c r="V218" s="16"/>
    </row>
    <row r="219" spans="3:22" x14ac:dyDescent="0.35">
      <c r="C219" s="16"/>
      <c r="U219" s="16"/>
      <c r="V219" s="16"/>
    </row>
    <row r="220" spans="3:22" x14ac:dyDescent="0.35">
      <c r="C220" s="16"/>
      <c r="U220" s="16"/>
      <c r="V220" s="16"/>
    </row>
    <row r="221" spans="3:22" x14ac:dyDescent="0.35">
      <c r="C221" s="16"/>
      <c r="U221" s="16"/>
      <c r="V221" s="16"/>
    </row>
    <row r="222" spans="3:22" x14ac:dyDescent="0.35">
      <c r="C222" s="16"/>
      <c r="U222" s="16"/>
      <c r="V222" s="16"/>
    </row>
    <row r="223" spans="3:22" x14ac:dyDescent="0.35">
      <c r="C223" s="16"/>
      <c r="U223" s="16"/>
      <c r="V223" s="16"/>
    </row>
    <row r="224" spans="3:22" x14ac:dyDescent="0.35">
      <c r="C224" s="16"/>
      <c r="U224" s="16"/>
      <c r="V224" s="16"/>
    </row>
    <row r="225" spans="3:22" x14ac:dyDescent="0.35">
      <c r="C225" s="16"/>
      <c r="U225" s="16"/>
      <c r="V225" s="16"/>
    </row>
    <row r="226" spans="3:22" x14ac:dyDescent="0.35">
      <c r="C226" s="16"/>
      <c r="U226" s="16"/>
      <c r="V226" s="16"/>
    </row>
    <row r="227" spans="3:22" x14ac:dyDescent="0.35">
      <c r="C227" s="16"/>
      <c r="U227" s="16"/>
      <c r="V227" s="16"/>
    </row>
    <row r="228" spans="3:22" x14ac:dyDescent="0.35">
      <c r="C228" s="16"/>
      <c r="U228" s="16"/>
      <c r="V228" s="16"/>
    </row>
    <row r="229" spans="3:22" x14ac:dyDescent="0.35">
      <c r="C229" s="16"/>
      <c r="U229" s="16"/>
      <c r="V229" s="16"/>
    </row>
    <row r="230" spans="3:22" x14ac:dyDescent="0.35">
      <c r="C230" s="16"/>
      <c r="U230" s="16"/>
      <c r="V230" s="16"/>
    </row>
    <row r="231" spans="3:22" x14ac:dyDescent="0.35">
      <c r="C231" s="16"/>
      <c r="U231" s="16"/>
      <c r="V231" s="16"/>
    </row>
    <row r="232" spans="3:22" x14ac:dyDescent="0.35">
      <c r="C232" s="16"/>
      <c r="U232" s="16"/>
      <c r="V232" s="16"/>
    </row>
    <row r="233" spans="3:22" x14ac:dyDescent="0.35">
      <c r="C233" s="16"/>
      <c r="U233" s="16"/>
      <c r="V233" s="16"/>
    </row>
    <row r="234" spans="3:22" x14ac:dyDescent="0.35">
      <c r="C234" s="16"/>
      <c r="U234" s="16"/>
      <c r="V234" s="16"/>
    </row>
    <row r="235" spans="3:22" x14ac:dyDescent="0.35">
      <c r="C235" s="16"/>
      <c r="U235" s="16"/>
      <c r="V235" s="16"/>
    </row>
    <row r="236" spans="3:22" x14ac:dyDescent="0.35">
      <c r="C236" s="16"/>
      <c r="U236" s="16"/>
      <c r="V236" s="16"/>
    </row>
    <row r="237" spans="3:22" x14ac:dyDescent="0.35">
      <c r="C237" s="16"/>
      <c r="U237" s="16"/>
      <c r="V237" s="16"/>
    </row>
    <row r="238" spans="3:22" x14ac:dyDescent="0.35">
      <c r="C238" s="16"/>
      <c r="U238" s="16"/>
      <c r="V238" s="16"/>
    </row>
    <row r="239" spans="3:22" x14ac:dyDescent="0.35">
      <c r="C239" s="16"/>
      <c r="U239" s="16"/>
      <c r="V239" s="16"/>
    </row>
  </sheetData>
  <autoFilter ref="A1:OJ49" xr:uid="{47201FCB-B704-4064-8EA8-0A480B18997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62F4-E065-42A1-A8DB-435E7DB2DAD5}">
  <dimension ref="A1:AC239"/>
  <sheetViews>
    <sheetView workbookViewId="0">
      <pane ySplit="1" topLeftCell="A2" activePane="bottomLeft" state="frozenSplit"/>
      <selection pane="bottomLeft" activeCell="H46" sqref="H46"/>
    </sheetView>
  </sheetViews>
  <sheetFormatPr baseColWidth="10" defaultColWidth="11.453125" defaultRowHeight="14.5" x14ac:dyDescent="0.35"/>
  <cols>
    <col min="1" max="1" width="8.7265625" style="12" customWidth="1"/>
    <col min="2" max="2" width="7.7265625" style="12" customWidth="1"/>
    <col min="3" max="3" width="12.7265625" style="12" customWidth="1"/>
    <col min="4" max="4" width="13.7265625" style="12" customWidth="1"/>
    <col min="5" max="5" width="25.7265625" style="17" customWidth="1"/>
    <col min="6" max="6" width="13.7265625" style="12" customWidth="1"/>
    <col min="7" max="7" width="25.7265625" style="17" customWidth="1"/>
    <col min="8" max="8" width="13.7265625" style="12" customWidth="1"/>
    <col min="9" max="11" width="25.7265625" style="17" customWidth="1"/>
    <col min="12" max="12" width="13.7265625" style="12" customWidth="1"/>
    <col min="13" max="13" width="25.7265625" style="17" customWidth="1"/>
    <col min="14" max="14" width="13.7265625" style="12" customWidth="1"/>
    <col min="15" max="16" width="30.7265625" style="17" customWidth="1"/>
    <col min="17" max="17" width="25.7265625" style="17" customWidth="1"/>
    <col min="18" max="20" width="13.7265625" style="12" customWidth="1"/>
    <col min="21" max="22" width="12.7265625" style="12" customWidth="1"/>
    <col min="23" max="23" width="40.7265625" style="17" customWidth="1"/>
    <col min="24" max="24" width="15.7265625" style="18" customWidth="1"/>
    <col min="25" max="25" width="25.7265625" style="17" customWidth="1"/>
    <col min="26" max="26" width="15.7265625" style="18" customWidth="1"/>
    <col min="27" max="27" width="25.7265625" style="17" customWidth="1"/>
    <col min="28" max="28" width="9.7265625" style="18" customWidth="1"/>
    <col min="29" max="29" width="15.7265625" style="12" customWidth="1"/>
    <col min="30" max="16384" width="11.453125" style="12"/>
  </cols>
  <sheetData>
    <row r="1" spans="1:29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217</v>
      </c>
      <c r="X1" s="10" t="s">
        <v>218</v>
      </c>
      <c r="Y1" s="10" t="s">
        <v>219</v>
      </c>
      <c r="Z1" s="10" t="s">
        <v>220</v>
      </c>
      <c r="AA1" s="10" t="s">
        <v>221</v>
      </c>
      <c r="AB1" s="10" t="s">
        <v>74</v>
      </c>
      <c r="AC1" s="10" t="s">
        <v>75</v>
      </c>
    </row>
    <row r="2" spans="1:29" ht="72.5" x14ac:dyDescent="0.35">
      <c r="A2" s="13" t="s">
        <v>76</v>
      </c>
      <c r="B2" s="13" t="s">
        <v>77</v>
      </c>
      <c r="C2" s="14">
        <v>45414.663888888892</v>
      </c>
      <c r="D2" s="13" t="s">
        <v>78</v>
      </c>
      <c r="E2" s="15" t="s">
        <v>79</v>
      </c>
      <c r="F2" s="13" t="s">
        <v>80</v>
      </c>
      <c r="G2" s="15" t="s">
        <v>81</v>
      </c>
      <c r="H2" s="13" t="s">
        <v>82</v>
      </c>
      <c r="I2" s="15" t="s">
        <v>83</v>
      </c>
      <c r="J2" s="15" t="s">
        <v>84</v>
      </c>
      <c r="K2" s="15" t="s">
        <v>85</v>
      </c>
      <c r="L2" s="13" t="s">
        <v>86</v>
      </c>
      <c r="M2" s="15" t="s">
        <v>87</v>
      </c>
      <c r="N2" s="13" t="s">
        <v>88</v>
      </c>
      <c r="O2" s="15"/>
      <c r="P2" s="15"/>
      <c r="Q2" s="15" t="s">
        <v>89</v>
      </c>
      <c r="R2" s="13" t="s">
        <v>90</v>
      </c>
      <c r="S2" s="13" t="s">
        <v>91</v>
      </c>
      <c r="T2" s="13" t="s">
        <v>92</v>
      </c>
      <c r="U2" s="14">
        <v>44927</v>
      </c>
      <c r="V2" s="14"/>
      <c r="W2" s="15"/>
      <c r="X2" s="13"/>
      <c r="Y2" s="15"/>
      <c r="Z2" s="13"/>
      <c r="AA2" s="15"/>
      <c r="AB2" s="13"/>
      <c r="AC2" s="13"/>
    </row>
    <row r="3" spans="1:29" ht="72.5" x14ac:dyDescent="0.35">
      <c r="A3" s="13" t="s">
        <v>76</v>
      </c>
      <c r="B3" s="13" t="s">
        <v>77</v>
      </c>
      <c r="C3" s="14">
        <v>45414.664583333331</v>
      </c>
      <c r="D3" s="13" t="s">
        <v>78</v>
      </c>
      <c r="E3" s="15" t="s">
        <v>79</v>
      </c>
      <c r="F3" s="13" t="s">
        <v>80</v>
      </c>
      <c r="G3" s="15" t="s">
        <v>81</v>
      </c>
      <c r="H3" s="13" t="s">
        <v>82</v>
      </c>
      <c r="I3" s="15" t="s">
        <v>83</v>
      </c>
      <c r="J3" s="15" t="s">
        <v>84</v>
      </c>
      <c r="K3" s="15" t="s">
        <v>85</v>
      </c>
      <c r="L3" s="13" t="s">
        <v>93</v>
      </c>
      <c r="M3" s="15" t="s">
        <v>94</v>
      </c>
      <c r="N3" s="13" t="s">
        <v>95</v>
      </c>
      <c r="O3" s="15"/>
      <c r="P3" s="15"/>
      <c r="Q3" s="15" t="s">
        <v>89</v>
      </c>
      <c r="R3" s="13" t="s">
        <v>90</v>
      </c>
      <c r="S3" s="13" t="s">
        <v>91</v>
      </c>
      <c r="T3" s="13" t="s">
        <v>92</v>
      </c>
      <c r="U3" s="14">
        <v>44927</v>
      </c>
      <c r="V3" s="14"/>
      <c r="W3" s="15"/>
      <c r="X3" s="13"/>
      <c r="Y3" s="15"/>
      <c r="Z3" s="13"/>
      <c r="AA3" s="15"/>
      <c r="AB3" s="13"/>
      <c r="AC3" s="13"/>
    </row>
    <row r="4" spans="1:29" ht="72.5" x14ac:dyDescent="0.35">
      <c r="A4" s="13" t="s">
        <v>76</v>
      </c>
      <c r="B4" s="13" t="s">
        <v>77</v>
      </c>
      <c r="C4" s="14">
        <v>45414.664583333331</v>
      </c>
      <c r="D4" s="13" t="s">
        <v>78</v>
      </c>
      <c r="E4" s="15" t="s">
        <v>79</v>
      </c>
      <c r="F4" s="13" t="s">
        <v>80</v>
      </c>
      <c r="G4" s="15" t="s">
        <v>81</v>
      </c>
      <c r="H4" s="13" t="s">
        <v>82</v>
      </c>
      <c r="I4" s="15" t="s">
        <v>83</v>
      </c>
      <c r="J4" s="15" t="s">
        <v>84</v>
      </c>
      <c r="K4" s="15" t="s">
        <v>85</v>
      </c>
      <c r="L4" s="13" t="s">
        <v>86</v>
      </c>
      <c r="M4" s="15" t="s">
        <v>87</v>
      </c>
      <c r="N4" s="13" t="s">
        <v>88</v>
      </c>
      <c r="O4" s="15"/>
      <c r="P4" s="15"/>
      <c r="Q4" s="15" t="s">
        <v>96</v>
      </c>
      <c r="R4" s="13" t="s">
        <v>97</v>
      </c>
      <c r="S4" s="13" t="s">
        <v>91</v>
      </c>
      <c r="T4" s="13" t="s">
        <v>92</v>
      </c>
      <c r="U4" s="14">
        <v>44927</v>
      </c>
      <c r="V4" s="14"/>
      <c r="W4" s="15"/>
      <c r="X4" s="13"/>
      <c r="Y4" s="15"/>
      <c r="Z4" s="13"/>
      <c r="AA4" s="15"/>
      <c r="AB4" s="13"/>
      <c r="AC4" s="13"/>
    </row>
    <row r="5" spans="1:29" ht="72.5" x14ac:dyDescent="0.35">
      <c r="A5" s="13" t="s">
        <v>76</v>
      </c>
      <c r="B5" s="13" t="s">
        <v>77</v>
      </c>
      <c r="C5" s="14">
        <v>45414.665277777778</v>
      </c>
      <c r="D5" s="13" t="s">
        <v>78</v>
      </c>
      <c r="E5" s="15" t="s">
        <v>79</v>
      </c>
      <c r="F5" s="13" t="s">
        <v>80</v>
      </c>
      <c r="G5" s="15" t="s">
        <v>81</v>
      </c>
      <c r="H5" s="13" t="s">
        <v>82</v>
      </c>
      <c r="I5" s="15" t="s">
        <v>83</v>
      </c>
      <c r="J5" s="15" t="s">
        <v>84</v>
      </c>
      <c r="K5" s="15" t="s">
        <v>85</v>
      </c>
      <c r="L5" s="13" t="s">
        <v>93</v>
      </c>
      <c r="M5" s="15" t="s">
        <v>94</v>
      </c>
      <c r="N5" s="13" t="s">
        <v>95</v>
      </c>
      <c r="O5" s="15"/>
      <c r="P5" s="15"/>
      <c r="Q5" s="15" t="s">
        <v>96</v>
      </c>
      <c r="R5" s="13" t="s">
        <v>97</v>
      </c>
      <c r="S5" s="13" t="s">
        <v>91</v>
      </c>
      <c r="T5" s="13" t="s">
        <v>92</v>
      </c>
      <c r="U5" s="14">
        <v>44927</v>
      </c>
      <c r="V5" s="14"/>
      <c r="W5" s="15"/>
      <c r="X5" s="13"/>
      <c r="Y5" s="15"/>
      <c r="Z5" s="13"/>
      <c r="AA5" s="15"/>
      <c r="AB5" s="13"/>
      <c r="AC5" s="13"/>
    </row>
    <row r="6" spans="1:29" ht="72.5" x14ac:dyDescent="0.35">
      <c r="A6" s="13" t="s">
        <v>76</v>
      </c>
      <c r="B6" s="13" t="s">
        <v>77</v>
      </c>
      <c r="C6" s="14">
        <v>45414.663888888892</v>
      </c>
      <c r="D6" s="13" t="s">
        <v>78</v>
      </c>
      <c r="E6" s="15" t="s">
        <v>79</v>
      </c>
      <c r="F6" s="13" t="s">
        <v>80</v>
      </c>
      <c r="G6" s="15" t="s">
        <v>81</v>
      </c>
      <c r="H6" s="13" t="s">
        <v>82</v>
      </c>
      <c r="I6" s="15" t="s">
        <v>83</v>
      </c>
      <c r="J6" s="15" t="s">
        <v>84</v>
      </c>
      <c r="K6" s="15" t="s">
        <v>85</v>
      </c>
      <c r="L6" s="13" t="s">
        <v>86</v>
      </c>
      <c r="M6" s="15" t="s">
        <v>87</v>
      </c>
      <c r="N6" s="13" t="s">
        <v>88</v>
      </c>
      <c r="O6" s="15"/>
      <c r="P6" s="15"/>
      <c r="Q6" s="15" t="s">
        <v>98</v>
      </c>
      <c r="R6" s="13" t="s">
        <v>99</v>
      </c>
      <c r="S6" s="13" t="s">
        <v>91</v>
      </c>
      <c r="T6" s="13" t="s">
        <v>92</v>
      </c>
      <c r="U6" s="14">
        <v>44927</v>
      </c>
      <c r="V6" s="14"/>
      <c r="W6" s="15"/>
      <c r="X6" s="13"/>
      <c r="Y6" s="15"/>
      <c r="Z6" s="13"/>
      <c r="AA6" s="15"/>
      <c r="AB6" s="13"/>
      <c r="AC6" s="13"/>
    </row>
    <row r="7" spans="1:29" ht="72.5" x14ac:dyDescent="0.35">
      <c r="A7" s="13" t="s">
        <v>76</v>
      </c>
      <c r="B7" s="13" t="s">
        <v>77</v>
      </c>
      <c r="C7" s="14">
        <v>45414.664583333331</v>
      </c>
      <c r="D7" s="13" t="s">
        <v>78</v>
      </c>
      <c r="E7" s="15" t="s">
        <v>79</v>
      </c>
      <c r="F7" s="13" t="s">
        <v>80</v>
      </c>
      <c r="G7" s="15" t="s">
        <v>81</v>
      </c>
      <c r="H7" s="13" t="s">
        <v>82</v>
      </c>
      <c r="I7" s="15" t="s">
        <v>83</v>
      </c>
      <c r="J7" s="15" t="s">
        <v>84</v>
      </c>
      <c r="K7" s="15" t="s">
        <v>85</v>
      </c>
      <c r="L7" s="13" t="s">
        <v>93</v>
      </c>
      <c r="M7" s="15" t="s">
        <v>94</v>
      </c>
      <c r="N7" s="13" t="s">
        <v>95</v>
      </c>
      <c r="O7" s="15"/>
      <c r="P7" s="15"/>
      <c r="Q7" s="15" t="s">
        <v>98</v>
      </c>
      <c r="R7" s="13" t="s">
        <v>99</v>
      </c>
      <c r="S7" s="13" t="s">
        <v>91</v>
      </c>
      <c r="T7" s="13" t="s">
        <v>92</v>
      </c>
      <c r="U7" s="14">
        <v>44927</v>
      </c>
      <c r="V7" s="14"/>
      <c r="W7" s="15"/>
      <c r="X7" s="13"/>
      <c r="Y7" s="15"/>
      <c r="Z7" s="13"/>
      <c r="AA7" s="15"/>
      <c r="AB7" s="13"/>
      <c r="AC7" s="13"/>
    </row>
    <row r="8" spans="1:29" ht="72.5" x14ac:dyDescent="0.35">
      <c r="A8" s="13" t="s">
        <v>76</v>
      </c>
      <c r="B8" s="13" t="s">
        <v>77</v>
      </c>
      <c r="C8" s="14">
        <v>45414.663888888892</v>
      </c>
      <c r="D8" s="13" t="s">
        <v>78</v>
      </c>
      <c r="E8" s="15" t="s">
        <v>79</v>
      </c>
      <c r="F8" s="13" t="s">
        <v>80</v>
      </c>
      <c r="G8" s="15" t="s">
        <v>81</v>
      </c>
      <c r="H8" s="13" t="s">
        <v>82</v>
      </c>
      <c r="I8" s="15" t="s">
        <v>83</v>
      </c>
      <c r="J8" s="15" t="s">
        <v>84</v>
      </c>
      <c r="K8" s="15" t="s">
        <v>85</v>
      </c>
      <c r="L8" s="13" t="s">
        <v>86</v>
      </c>
      <c r="M8" s="15" t="s">
        <v>87</v>
      </c>
      <c r="N8" s="13" t="s">
        <v>88</v>
      </c>
      <c r="O8" s="15"/>
      <c r="P8" s="15"/>
      <c r="Q8" s="15" t="s">
        <v>100</v>
      </c>
      <c r="R8" s="13" t="s">
        <v>101</v>
      </c>
      <c r="S8" s="13" t="s">
        <v>91</v>
      </c>
      <c r="T8" s="13" t="s">
        <v>92</v>
      </c>
      <c r="U8" s="14">
        <v>44927</v>
      </c>
      <c r="V8" s="14"/>
      <c r="W8" s="15"/>
      <c r="X8" s="13"/>
      <c r="Y8" s="15"/>
      <c r="Z8" s="13"/>
      <c r="AA8" s="15"/>
      <c r="AB8" s="13"/>
      <c r="AC8" s="13"/>
    </row>
    <row r="9" spans="1:29" ht="72.5" x14ac:dyDescent="0.35">
      <c r="A9" s="13" t="s">
        <v>76</v>
      </c>
      <c r="B9" s="13" t="s">
        <v>77</v>
      </c>
      <c r="C9" s="14">
        <v>45414.664583333331</v>
      </c>
      <c r="D9" s="13" t="s">
        <v>78</v>
      </c>
      <c r="E9" s="15" t="s">
        <v>79</v>
      </c>
      <c r="F9" s="13" t="s">
        <v>80</v>
      </c>
      <c r="G9" s="15" t="s">
        <v>81</v>
      </c>
      <c r="H9" s="13" t="s">
        <v>82</v>
      </c>
      <c r="I9" s="15" t="s">
        <v>83</v>
      </c>
      <c r="J9" s="15" t="s">
        <v>84</v>
      </c>
      <c r="K9" s="15" t="s">
        <v>85</v>
      </c>
      <c r="L9" s="13" t="s">
        <v>93</v>
      </c>
      <c r="M9" s="15" t="s">
        <v>94</v>
      </c>
      <c r="N9" s="13" t="s">
        <v>95</v>
      </c>
      <c r="O9" s="15"/>
      <c r="P9" s="15"/>
      <c r="Q9" s="15" t="s">
        <v>100</v>
      </c>
      <c r="R9" s="13" t="s">
        <v>101</v>
      </c>
      <c r="S9" s="13" t="s">
        <v>91</v>
      </c>
      <c r="T9" s="13" t="s">
        <v>92</v>
      </c>
      <c r="U9" s="14">
        <v>44927</v>
      </c>
      <c r="V9" s="14"/>
      <c r="W9" s="15"/>
      <c r="X9" s="13"/>
      <c r="Y9" s="15"/>
      <c r="Z9" s="13"/>
      <c r="AA9" s="15"/>
      <c r="AB9" s="13"/>
      <c r="AC9" s="13"/>
    </row>
    <row r="10" spans="1:29" ht="72.5" x14ac:dyDescent="0.35">
      <c r="A10" s="13" t="s">
        <v>76</v>
      </c>
      <c r="B10" s="13" t="s">
        <v>77</v>
      </c>
      <c r="C10" s="14">
        <v>45414.663888888892</v>
      </c>
      <c r="D10" s="13" t="s">
        <v>78</v>
      </c>
      <c r="E10" s="15" t="s">
        <v>79</v>
      </c>
      <c r="F10" s="13" t="s">
        <v>80</v>
      </c>
      <c r="G10" s="15" t="s">
        <v>81</v>
      </c>
      <c r="H10" s="13" t="s">
        <v>82</v>
      </c>
      <c r="I10" s="15" t="s">
        <v>83</v>
      </c>
      <c r="J10" s="15" t="s">
        <v>84</v>
      </c>
      <c r="K10" s="15" t="s">
        <v>85</v>
      </c>
      <c r="L10" s="13" t="s">
        <v>86</v>
      </c>
      <c r="M10" s="15" t="s">
        <v>87</v>
      </c>
      <c r="N10" s="13" t="s">
        <v>88</v>
      </c>
      <c r="O10" s="15"/>
      <c r="P10" s="15"/>
      <c r="Q10" s="15" t="s">
        <v>102</v>
      </c>
      <c r="R10" s="13" t="s">
        <v>103</v>
      </c>
      <c r="S10" s="13" t="s">
        <v>91</v>
      </c>
      <c r="T10" s="13" t="s">
        <v>92</v>
      </c>
      <c r="U10" s="14">
        <v>44927</v>
      </c>
      <c r="V10" s="14"/>
      <c r="W10" s="15"/>
      <c r="X10" s="13"/>
      <c r="Y10" s="15"/>
      <c r="Z10" s="13"/>
      <c r="AA10" s="15"/>
      <c r="AB10" s="13"/>
      <c r="AC10" s="13"/>
    </row>
    <row r="11" spans="1:29" ht="72.5" x14ac:dyDescent="0.35">
      <c r="A11" s="13" t="s">
        <v>76</v>
      </c>
      <c r="B11" s="13" t="s">
        <v>77</v>
      </c>
      <c r="C11" s="14">
        <v>45414.665277777778</v>
      </c>
      <c r="D11" s="13" t="s">
        <v>78</v>
      </c>
      <c r="E11" s="15" t="s">
        <v>79</v>
      </c>
      <c r="F11" s="13" t="s">
        <v>80</v>
      </c>
      <c r="G11" s="15" t="s">
        <v>81</v>
      </c>
      <c r="H11" s="13" t="s">
        <v>82</v>
      </c>
      <c r="I11" s="15" t="s">
        <v>83</v>
      </c>
      <c r="J11" s="15" t="s">
        <v>84</v>
      </c>
      <c r="K11" s="15" t="s">
        <v>85</v>
      </c>
      <c r="L11" s="13" t="s">
        <v>93</v>
      </c>
      <c r="M11" s="15" t="s">
        <v>94</v>
      </c>
      <c r="N11" s="13" t="s">
        <v>95</v>
      </c>
      <c r="O11" s="15"/>
      <c r="P11" s="15"/>
      <c r="Q11" s="15" t="s">
        <v>102</v>
      </c>
      <c r="R11" s="13" t="s">
        <v>103</v>
      </c>
      <c r="S11" s="13" t="s">
        <v>91</v>
      </c>
      <c r="T11" s="13" t="s">
        <v>92</v>
      </c>
      <c r="U11" s="14">
        <v>44927</v>
      </c>
      <c r="V11" s="14"/>
      <c r="W11" s="15"/>
      <c r="X11" s="13"/>
      <c r="Y11" s="15"/>
      <c r="Z11" s="13"/>
      <c r="AA11" s="15"/>
      <c r="AB11" s="13"/>
      <c r="AC11" s="13"/>
    </row>
    <row r="12" spans="1:29" ht="72.5" x14ac:dyDescent="0.35">
      <c r="A12" s="13" t="s">
        <v>76</v>
      </c>
      <c r="B12" s="13" t="s">
        <v>77</v>
      </c>
      <c r="C12" s="14">
        <v>45414.665972222225</v>
      </c>
      <c r="D12" s="13" t="s">
        <v>78</v>
      </c>
      <c r="E12" s="15" t="s">
        <v>79</v>
      </c>
      <c r="F12" s="13" t="s">
        <v>80</v>
      </c>
      <c r="G12" s="15" t="s">
        <v>81</v>
      </c>
      <c r="H12" s="13" t="s">
        <v>82</v>
      </c>
      <c r="I12" s="15" t="s">
        <v>83</v>
      </c>
      <c r="J12" s="15" t="s">
        <v>84</v>
      </c>
      <c r="K12" s="15" t="s">
        <v>85</v>
      </c>
      <c r="L12" s="13" t="s">
        <v>86</v>
      </c>
      <c r="M12" s="15" t="s">
        <v>87</v>
      </c>
      <c r="N12" s="13" t="s">
        <v>88</v>
      </c>
      <c r="O12" s="15"/>
      <c r="P12" s="15"/>
      <c r="Q12" s="15" t="s">
        <v>104</v>
      </c>
      <c r="R12" s="13" t="s">
        <v>105</v>
      </c>
      <c r="S12" s="13" t="s">
        <v>106</v>
      </c>
      <c r="T12" s="13" t="s">
        <v>107</v>
      </c>
      <c r="U12" s="14">
        <v>44927</v>
      </c>
      <c r="V12" s="14"/>
      <c r="W12" s="15" t="s">
        <v>222</v>
      </c>
      <c r="X12" s="13" t="s">
        <v>223</v>
      </c>
      <c r="Y12" s="15" t="str">
        <f>VLOOKUP(X12,'Axe 2 Règles de gestion'!$D$2:$F$40,3, FALSE)</f>
        <v>Rémunération : Le militaire perçoit l'intégralité de sa rémunération.</v>
      </c>
      <c r="Z12" s="13" t="s">
        <v>225</v>
      </c>
      <c r="AA12" s="15" t="str">
        <f>VLOOKUP(Z12,'Axe 2 Règles de gestion'!$D$2:$F$40,3, FALSE)</f>
        <v>Carrière : La durée de la permission est assimilée à une période de service effectif.</v>
      </c>
      <c r="AB12" s="13"/>
      <c r="AC12" s="13"/>
    </row>
    <row r="13" spans="1:29" ht="72.5" x14ac:dyDescent="0.35">
      <c r="A13" s="13" t="s">
        <v>76</v>
      </c>
      <c r="B13" s="13" t="s">
        <v>77</v>
      </c>
      <c r="C13" s="14">
        <v>45414.666666666664</v>
      </c>
      <c r="D13" s="13" t="s">
        <v>78</v>
      </c>
      <c r="E13" s="15" t="s">
        <v>79</v>
      </c>
      <c r="F13" s="13" t="s">
        <v>80</v>
      </c>
      <c r="G13" s="15" t="s">
        <v>81</v>
      </c>
      <c r="H13" s="13" t="s">
        <v>82</v>
      </c>
      <c r="I13" s="15" t="s">
        <v>83</v>
      </c>
      <c r="J13" s="15" t="s">
        <v>84</v>
      </c>
      <c r="K13" s="15" t="s">
        <v>85</v>
      </c>
      <c r="L13" s="13" t="s">
        <v>93</v>
      </c>
      <c r="M13" s="15" t="s">
        <v>94</v>
      </c>
      <c r="N13" s="13" t="s">
        <v>95</v>
      </c>
      <c r="O13" s="15"/>
      <c r="P13" s="15"/>
      <c r="Q13" s="15" t="s">
        <v>104</v>
      </c>
      <c r="R13" s="13" t="s">
        <v>105</v>
      </c>
      <c r="S13" s="13" t="s">
        <v>106</v>
      </c>
      <c r="T13" s="13" t="s">
        <v>107</v>
      </c>
      <c r="U13" s="14">
        <v>44927</v>
      </c>
      <c r="V13" s="14"/>
      <c r="W13" s="15"/>
      <c r="X13" s="13"/>
      <c r="Y13" s="15"/>
      <c r="Z13" s="13"/>
      <c r="AA13" s="15"/>
      <c r="AB13" s="13"/>
      <c r="AC13" s="13"/>
    </row>
    <row r="14" spans="1:29" ht="72.5" x14ac:dyDescent="0.35">
      <c r="A14" s="13" t="s">
        <v>76</v>
      </c>
      <c r="B14" s="13" t="s">
        <v>77</v>
      </c>
      <c r="C14" s="14">
        <v>45414.666666666664</v>
      </c>
      <c r="D14" s="13" t="s">
        <v>78</v>
      </c>
      <c r="E14" s="15" t="s">
        <v>79</v>
      </c>
      <c r="F14" s="13" t="s">
        <v>80</v>
      </c>
      <c r="G14" s="15" t="s">
        <v>81</v>
      </c>
      <c r="H14" s="13" t="s">
        <v>82</v>
      </c>
      <c r="I14" s="15" t="s">
        <v>83</v>
      </c>
      <c r="J14" s="15" t="s">
        <v>84</v>
      </c>
      <c r="K14" s="15" t="s">
        <v>85</v>
      </c>
      <c r="L14" s="13" t="s">
        <v>86</v>
      </c>
      <c r="M14" s="15" t="s">
        <v>87</v>
      </c>
      <c r="N14" s="13" t="s">
        <v>88</v>
      </c>
      <c r="O14" s="15"/>
      <c r="P14" s="15"/>
      <c r="Q14" s="15" t="s">
        <v>158</v>
      </c>
      <c r="R14" s="13" t="s">
        <v>159</v>
      </c>
      <c r="S14" s="13" t="s">
        <v>106</v>
      </c>
      <c r="T14" s="13" t="s">
        <v>107</v>
      </c>
      <c r="U14" s="14">
        <v>44927</v>
      </c>
      <c r="V14" s="14"/>
      <c r="W14" s="15" t="s">
        <v>222</v>
      </c>
      <c r="X14" s="13" t="s">
        <v>223</v>
      </c>
      <c r="Y14" s="15" t="str">
        <f>VLOOKUP(X14,'Axe 2 Règles de gestion'!$D$2:$F$40,3, FALSE)</f>
        <v>Rémunération : Le militaire perçoit l'intégralité de sa rémunération.</v>
      </c>
      <c r="Z14" s="13" t="s">
        <v>225</v>
      </c>
      <c r="AA14" s="15" t="str">
        <f>VLOOKUP(Z14,'Axe 2 Règles de gestion'!$D$2:$F$40,3, FALSE)</f>
        <v>Carrière : La durée de la permission est assimilée à une période de service effectif.</v>
      </c>
      <c r="AB14" s="13"/>
      <c r="AC14" s="13"/>
    </row>
    <row r="15" spans="1:29" ht="72.5" x14ac:dyDescent="0.35">
      <c r="A15" s="13" t="s">
        <v>76</v>
      </c>
      <c r="B15" s="13" t="s">
        <v>77</v>
      </c>
      <c r="C15" s="14">
        <v>45414.667361111111</v>
      </c>
      <c r="D15" s="13" t="s">
        <v>78</v>
      </c>
      <c r="E15" s="15" t="s">
        <v>79</v>
      </c>
      <c r="F15" s="13" t="s">
        <v>80</v>
      </c>
      <c r="G15" s="15" t="s">
        <v>81</v>
      </c>
      <c r="H15" s="13" t="s">
        <v>82</v>
      </c>
      <c r="I15" s="15" t="s">
        <v>83</v>
      </c>
      <c r="J15" s="15" t="s">
        <v>84</v>
      </c>
      <c r="K15" s="15" t="s">
        <v>85</v>
      </c>
      <c r="L15" s="13" t="s">
        <v>93</v>
      </c>
      <c r="M15" s="15" t="s">
        <v>94</v>
      </c>
      <c r="N15" s="13" t="s">
        <v>95</v>
      </c>
      <c r="O15" s="15"/>
      <c r="P15" s="15"/>
      <c r="Q15" s="15" t="s">
        <v>158</v>
      </c>
      <c r="R15" s="13" t="s">
        <v>159</v>
      </c>
      <c r="S15" s="13" t="s">
        <v>106</v>
      </c>
      <c r="T15" s="13" t="s">
        <v>107</v>
      </c>
      <c r="U15" s="14">
        <v>44927</v>
      </c>
      <c r="V15" s="14"/>
      <c r="W15" s="15"/>
      <c r="X15" s="13"/>
      <c r="Y15" s="15"/>
      <c r="Z15" s="13"/>
      <c r="AA15" s="15"/>
      <c r="AB15" s="13"/>
      <c r="AC15" s="13"/>
    </row>
    <row r="16" spans="1:29" ht="72.5" x14ac:dyDescent="0.35">
      <c r="A16" s="13" t="s">
        <v>76</v>
      </c>
      <c r="B16" s="13" t="s">
        <v>77</v>
      </c>
      <c r="C16" s="14">
        <v>45414.666666666664</v>
      </c>
      <c r="D16" s="13" t="s">
        <v>78</v>
      </c>
      <c r="E16" s="15" t="s">
        <v>79</v>
      </c>
      <c r="F16" s="13" t="s">
        <v>80</v>
      </c>
      <c r="G16" s="15" t="s">
        <v>81</v>
      </c>
      <c r="H16" s="13" t="s">
        <v>82</v>
      </c>
      <c r="I16" s="15" t="s">
        <v>83</v>
      </c>
      <c r="J16" s="15" t="s">
        <v>84</v>
      </c>
      <c r="K16" s="15" t="s">
        <v>85</v>
      </c>
      <c r="L16" s="13" t="s">
        <v>86</v>
      </c>
      <c r="M16" s="15" t="s">
        <v>87</v>
      </c>
      <c r="N16" s="13" t="s">
        <v>88</v>
      </c>
      <c r="O16" s="15"/>
      <c r="P16" s="15"/>
      <c r="Q16" s="15" t="s">
        <v>163</v>
      </c>
      <c r="R16" s="13" t="s">
        <v>164</v>
      </c>
      <c r="S16" s="13" t="s">
        <v>106</v>
      </c>
      <c r="T16" s="13" t="s">
        <v>107</v>
      </c>
      <c r="U16" s="14">
        <v>44927</v>
      </c>
      <c r="V16" s="14"/>
      <c r="W16" s="15" t="s">
        <v>222</v>
      </c>
      <c r="X16" s="13" t="s">
        <v>223</v>
      </c>
      <c r="Y16" s="15" t="str">
        <f>VLOOKUP(X16,'Axe 2 Règles de gestion'!$D$2:$F$40,3, FALSE)</f>
        <v>Rémunération : Le militaire perçoit l'intégralité de sa rémunération.</v>
      </c>
      <c r="Z16" s="13" t="s">
        <v>225</v>
      </c>
      <c r="AA16" s="15" t="str">
        <f>VLOOKUP(Z16,'Axe 2 Règles de gestion'!$D$2:$F$40,3, FALSE)</f>
        <v>Carrière : La durée de la permission est assimilée à une période de service effectif.</v>
      </c>
      <c r="AB16" s="13"/>
      <c r="AC16" s="13"/>
    </row>
    <row r="17" spans="1:29" ht="72.5" x14ac:dyDescent="0.35">
      <c r="A17" s="13" t="s">
        <v>76</v>
      </c>
      <c r="B17" s="13" t="s">
        <v>77</v>
      </c>
      <c r="C17" s="14">
        <v>45414.667361111111</v>
      </c>
      <c r="D17" s="13" t="s">
        <v>78</v>
      </c>
      <c r="E17" s="15" t="s">
        <v>79</v>
      </c>
      <c r="F17" s="13" t="s">
        <v>80</v>
      </c>
      <c r="G17" s="15" t="s">
        <v>81</v>
      </c>
      <c r="H17" s="13" t="s">
        <v>82</v>
      </c>
      <c r="I17" s="15" t="s">
        <v>83</v>
      </c>
      <c r="J17" s="15" t="s">
        <v>84</v>
      </c>
      <c r="K17" s="15" t="s">
        <v>85</v>
      </c>
      <c r="L17" s="13" t="s">
        <v>93</v>
      </c>
      <c r="M17" s="15" t="s">
        <v>94</v>
      </c>
      <c r="N17" s="13" t="s">
        <v>95</v>
      </c>
      <c r="O17" s="15"/>
      <c r="P17" s="15"/>
      <c r="Q17" s="15" t="s">
        <v>163</v>
      </c>
      <c r="R17" s="13" t="s">
        <v>164</v>
      </c>
      <c r="S17" s="13" t="s">
        <v>106</v>
      </c>
      <c r="T17" s="13" t="s">
        <v>107</v>
      </c>
      <c r="U17" s="14">
        <v>44927</v>
      </c>
      <c r="V17" s="14"/>
      <c r="W17" s="15"/>
      <c r="X17" s="13"/>
      <c r="Y17" s="15"/>
      <c r="Z17" s="13"/>
      <c r="AA17" s="15"/>
      <c r="AB17" s="13"/>
      <c r="AC17" s="13"/>
    </row>
    <row r="18" spans="1:29" ht="72.5" x14ac:dyDescent="0.35">
      <c r="A18" s="13" t="s">
        <v>76</v>
      </c>
      <c r="B18" s="13" t="s">
        <v>77</v>
      </c>
      <c r="C18" s="14">
        <v>45414.668055555558</v>
      </c>
      <c r="D18" s="13" t="s">
        <v>78</v>
      </c>
      <c r="E18" s="15" t="s">
        <v>79</v>
      </c>
      <c r="F18" s="13" t="s">
        <v>80</v>
      </c>
      <c r="G18" s="15" t="s">
        <v>81</v>
      </c>
      <c r="H18" s="13" t="s">
        <v>167</v>
      </c>
      <c r="I18" s="15" t="s">
        <v>168</v>
      </c>
      <c r="J18" s="15" t="s">
        <v>169</v>
      </c>
      <c r="K18" s="15" t="s">
        <v>170</v>
      </c>
      <c r="L18" s="13" t="s">
        <v>171</v>
      </c>
      <c r="M18" s="15" t="s">
        <v>172</v>
      </c>
      <c r="N18" s="13" t="s">
        <v>88</v>
      </c>
      <c r="O18" s="15"/>
      <c r="P18" s="15"/>
      <c r="Q18" s="15" t="s">
        <v>89</v>
      </c>
      <c r="R18" s="13" t="s">
        <v>90</v>
      </c>
      <c r="S18" s="13" t="s">
        <v>91</v>
      </c>
      <c r="T18" s="13" t="s">
        <v>92</v>
      </c>
      <c r="U18" s="14">
        <v>44927</v>
      </c>
      <c r="V18" s="14"/>
      <c r="W18" s="15"/>
      <c r="X18" s="13"/>
      <c r="Y18" s="15"/>
      <c r="Z18" s="13"/>
      <c r="AA18" s="15"/>
      <c r="AB18" s="13"/>
      <c r="AC18" s="13"/>
    </row>
    <row r="19" spans="1:29" ht="72.5" x14ac:dyDescent="0.35">
      <c r="A19" s="13" t="s">
        <v>76</v>
      </c>
      <c r="B19" s="13" t="s">
        <v>77</v>
      </c>
      <c r="C19" s="14">
        <v>45414.669444444444</v>
      </c>
      <c r="D19" s="13" t="s">
        <v>78</v>
      </c>
      <c r="E19" s="15" t="s">
        <v>79</v>
      </c>
      <c r="F19" s="13" t="s">
        <v>80</v>
      </c>
      <c r="G19" s="15" t="s">
        <v>81</v>
      </c>
      <c r="H19" s="13" t="s">
        <v>167</v>
      </c>
      <c r="I19" s="15" t="s">
        <v>168</v>
      </c>
      <c r="J19" s="15" t="s">
        <v>169</v>
      </c>
      <c r="K19" s="15" t="s">
        <v>170</v>
      </c>
      <c r="L19" s="13" t="s">
        <v>173</v>
      </c>
      <c r="M19" s="15" t="s">
        <v>174</v>
      </c>
      <c r="N19" s="13" t="s">
        <v>95</v>
      </c>
      <c r="O19" s="15"/>
      <c r="P19" s="15"/>
      <c r="Q19" s="15" t="s">
        <v>89</v>
      </c>
      <c r="R19" s="13" t="s">
        <v>90</v>
      </c>
      <c r="S19" s="13" t="s">
        <v>91</v>
      </c>
      <c r="T19" s="13" t="s">
        <v>92</v>
      </c>
      <c r="U19" s="14">
        <v>44927</v>
      </c>
      <c r="V19" s="14"/>
      <c r="W19" s="15"/>
      <c r="X19" s="13"/>
      <c r="Y19" s="15"/>
      <c r="Z19" s="13"/>
      <c r="AA19" s="15"/>
      <c r="AB19" s="13"/>
      <c r="AC19" s="13"/>
    </row>
    <row r="20" spans="1:29" ht="72.5" x14ac:dyDescent="0.35">
      <c r="A20" s="13" t="s">
        <v>76</v>
      </c>
      <c r="B20" s="13" t="s">
        <v>77</v>
      </c>
      <c r="C20" s="14">
        <v>45414.668749999997</v>
      </c>
      <c r="D20" s="13" t="s">
        <v>78</v>
      </c>
      <c r="E20" s="15" t="s">
        <v>79</v>
      </c>
      <c r="F20" s="13" t="s">
        <v>80</v>
      </c>
      <c r="G20" s="15" t="s">
        <v>81</v>
      </c>
      <c r="H20" s="13" t="s">
        <v>167</v>
      </c>
      <c r="I20" s="15" t="s">
        <v>168</v>
      </c>
      <c r="J20" s="15" t="s">
        <v>169</v>
      </c>
      <c r="K20" s="15" t="s">
        <v>170</v>
      </c>
      <c r="L20" s="13" t="s">
        <v>171</v>
      </c>
      <c r="M20" s="15" t="s">
        <v>172</v>
      </c>
      <c r="N20" s="13" t="s">
        <v>88</v>
      </c>
      <c r="O20" s="15"/>
      <c r="P20" s="15"/>
      <c r="Q20" s="15" t="s">
        <v>96</v>
      </c>
      <c r="R20" s="13" t="s">
        <v>97</v>
      </c>
      <c r="S20" s="13" t="s">
        <v>91</v>
      </c>
      <c r="T20" s="13" t="s">
        <v>92</v>
      </c>
      <c r="U20" s="14">
        <v>44927</v>
      </c>
      <c r="V20" s="14"/>
      <c r="W20" s="15"/>
      <c r="X20" s="13"/>
      <c r="Y20" s="15"/>
      <c r="Z20" s="13"/>
      <c r="AA20" s="15"/>
      <c r="AB20" s="13"/>
      <c r="AC20" s="13"/>
    </row>
    <row r="21" spans="1:29" ht="72.5" x14ac:dyDescent="0.35">
      <c r="A21" s="13" t="s">
        <v>76</v>
      </c>
      <c r="B21" s="13" t="s">
        <v>77</v>
      </c>
      <c r="C21" s="14">
        <v>45414.670138888891</v>
      </c>
      <c r="D21" s="13" t="s">
        <v>78</v>
      </c>
      <c r="E21" s="15" t="s">
        <v>79</v>
      </c>
      <c r="F21" s="13" t="s">
        <v>80</v>
      </c>
      <c r="G21" s="15" t="s">
        <v>81</v>
      </c>
      <c r="H21" s="13" t="s">
        <v>167</v>
      </c>
      <c r="I21" s="15" t="s">
        <v>168</v>
      </c>
      <c r="J21" s="15" t="s">
        <v>169</v>
      </c>
      <c r="K21" s="15" t="s">
        <v>170</v>
      </c>
      <c r="L21" s="13" t="s">
        <v>173</v>
      </c>
      <c r="M21" s="15" t="s">
        <v>174</v>
      </c>
      <c r="N21" s="13" t="s">
        <v>95</v>
      </c>
      <c r="O21" s="15"/>
      <c r="P21" s="15"/>
      <c r="Q21" s="15" t="s">
        <v>96</v>
      </c>
      <c r="R21" s="13" t="s">
        <v>97</v>
      </c>
      <c r="S21" s="13" t="s">
        <v>91</v>
      </c>
      <c r="T21" s="13" t="s">
        <v>92</v>
      </c>
      <c r="U21" s="14">
        <v>44927</v>
      </c>
      <c r="V21" s="14"/>
      <c r="W21" s="15"/>
      <c r="X21" s="13"/>
      <c r="Y21" s="15"/>
      <c r="Z21" s="13"/>
      <c r="AA21" s="15"/>
      <c r="AB21" s="13"/>
      <c r="AC21" s="13"/>
    </row>
    <row r="22" spans="1:29" ht="72.5" x14ac:dyDescent="0.35">
      <c r="A22" s="13" t="s">
        <v>76</v>
      </c>
      <c r="B22" s="13" t="s">
        <v>77</v>
      </c>
      <c r="C22" s="14">
        <v>45414.668749999997</v>
      </c>
      <c r="D22" s="13" t="s">
        <v>78</v>
      </c>
      <c r="E22" s="15" t="s">
        <v>79</v>
      </c>
      <c r="F22" s="13" t="s">
        <v>80</v>
      </c>
      <c r="G22" s="15" t="s">
        <v>81</v>
      </c>
      <c r="H22" s="13" t="s">
        <v>167</v>
      </c>
      <c r="I22" s="15" t="s">
        <v>168</v>
      </c>
      <c r="J22" s="15" t="s">
        <v>169</v>
      </c>
      <c r="K22" s="15" t="s">
        <v>170</v>
      </c>
      <c r="L22" s="13" t="s">
        <v>171</v>
      </c>
      <c r="M22" s="15" t="s">
        <v>172</v>
      </c>
      <c r="N22" s="13" t="s">
        <v>88</v>
      </c>
      <c r="O22" s="15"/>
      <c r="P22" s="15"/>
      <c r="Q22" s="15" t="s">
        <v>98</v>
      </c>
      <c r="R22" s="13" t="s">
        <v>99</v>
      </c>
      <c r="S22" s="13" t="s">
        <v>91</v>
      </c>
      <c r="T22" s="13" t="s">
        <v>92</v>
      </c>
      <c r="U22" s="14">
        <v>44927</v>
      </c>
      <c r="V22" s="14"/>
      <c r="W22" s="15"/>
      <c r="X22" s="13"/>
      <c r="Y22" s="15"/>
      <c r="Z22" s="13"/>
      <c r="AA22" s="15"/>
      <c r="AB22" s="13"/>
      <c r="AC22" s="13"/>
    </row>
    <row r="23" spans="1:29" ht="72.5" x14ac:dyDescent="0.35">
      <c r="A23" s="13" t="s">
        <v>76</v>
      </c>
      <c r="B23" s="13" t="s">
        <v>77</v>
      </c>
      <c r="C23" s="14">
        <v>45414.669444444444</v>
      </c>
      <c r="D23" s="13" t="s">
        <v>78</v>
      </c>
      <c r="E23" s="15" t="s">
        <v>79</v>
      </c>
      <c r="F23" s="13" t="s">
        <v>80</v>
      </c>
      <c r="G23" s="15" t="s">
        <v>81</v>
      </c>
      <c r="H23" s="13" t="s">
        <v>167</v>
      </c>
      <c r="I23" s="15" t="s">
        <v>168</v>
      </c>
      <c r="J23" s="15" t="s">
        <v>169</v>
      </c>
      <c r="K23" s="15" t="s">
        <v>170</v>
      </c>
      <c r="L23" s="13" t="s">
        <v>173</v>
      </c>
      <c r="M23" s="15" t="s">
        <v>174</v>
      </c>
      <c r="N23" s="13" t="s">
        <v>95</v>
      </c>
      <c r="O23" s="15"/>
      <c r="P23" s="15"/>
      <c r="Q23" s="15" t="s">
        <v>98</v>
      </c>
      <c r="R23" s="13" t="s">
        <v>99</v>
      </c>
      <c r="S23" s="13" t="s">
        <v>91</v>
      </c>
      <c r="T23" s="13" t="s">
        <v>92</v>
      </c>
      <c r="U23" s="14">
        <v>44927</v>
      </c>
      <c r="V23" s="14"/>
      <c r="W23" s="15"/>
      <c r="X23" s="13"/>
      <c r="Y23" s="15"/>
      <c r="Z23" s="13"/>
      <c r="AA23" s="15"/>
      <c r="AB23" s="13"/>
      <c r="AC23" s="13"/>
    </row>
    <row r="24" spans="1:29" ht="72.5" x14ac:dyDescent="0.35">
      <c r="A24" s="13" t="s">
        <v>76</v>
      </c>
      <c r="B24" s="13" t="s">
        <v>77</v>
      </c>
      <c r="C24" s="14">
        <v>45414.668749999997</v>
      </c>
      <c r="D24" s="13" t="s">
        <v>78</v>
      </c>
      <c r="E24" s="15" t="s">
        <v>79</v>
      </c>
      <c r="F24" s="13" t="s">
        <v>80</v>
      </c>
      <c r="G24" s="15" t="s">
        <v>81</v>
      </c>
      <c r="H24" s="13" t="s">
        <v>167</v>
      </c>
      <c r="I24" s="15" t="s">
        <v>168</v>
      </c>
      <c r="J24" s="15" t="s">
        <v>169</v>
      </c>
      <c r="K24" s="15" t="s">
        <v>170</v>
      </c>
      <c r="L24" s="13" t="s">
        <v>171</v>
      </c>
      <c r="M24" s="15" t="s">
        <v>172</v>
      </c>
      <c r="N24" s="13" t="s">
        <v>88</v>
      </c>
      <c r="O24" s="15"/>
      <c r="P24" s="15"/>
      <c r="Q24" s="15" t="s">
        <v>100</v>
      </c>
      <c r="R24" s="13" t="s">
        <v>101</v>
      </c>
      <c r="S24" s="13" t="s">
        <v>91</v>
      </c>
      <c r="T24" s="13" t="s">
        <v>92</v>
      </c>
      <c r="U24" s="14">
        <v>44927</v>
      </c>
      <c r="V24" s="14"/>
      <c r="W24" s="15"/>
      <c r="X24" s="13"/>
      <c r="Y24" s="15"/>
      <c r="Z24" s="13"/>
      <c r="AA24" s="15"/>
      <c r="AB24" s="13"/>
      <c r="AC24" s="13"/>
    </row>
    <row r="25" spans="1:29" ht="72.5" x14ac:dyDescent="0.35">
      <c r="A25" s="13" t="s">
        <v>76</v>
      </c>
      <c r="B25" s="13" t="s">
        <v>77</v>
      </c>
      <c r="C25" s="14">
        <v>45414.669444444444</v>
      </c>
      <c r="D25" s="13" t="s">
        <v>78</v>
      </c>
      <c r="E25" s="15" t="s">
        <v>79</v>
      </c>
      <c r="F25" s="13" t="s">
        <v>80</v>
      </c>
      <c r="G25" s="15" t="s">
        <v>81</v>
      </c>
      <c r="H25" s="13" t="s">
        <v>167</v>
      </c>
      <c r="I25" s="15" t="s">
        <v>168</v>
      </c>
      <c r="J25" s="15" t="s">
        <v>169</v>
      </c>
      <c r="K25" s="15" t="s">
        <v>170</v>
      </c>
      <c r="L25" s="13" t="s">
        <v>173</v>
      </c>
      <c r="M25" s="15" t="s">
        <v>174</v>
      </c>
      <c r="N25" s="13" t="s">
        <v>95</v>
      </c>
      <c r="O25" s="15"/>
      <c r="P25" s="15"/>
      <c r="Q25" s="15" t="s">
        <v>100</v>
      </c>
      <c r="R25" s="13" t="s">
        <v>101</v>
      </c>
      <c r="S25" s="13" t="s">
        <v>91</v>
      </c>
      <c r="T25" s="13" t="s">
        <v>92</v>
      </c>
      <c r="U25" s="14">
        <v>44927</v>
      </c>
      <c r="V25" s="14"/>
      <c r="W25" s="15"/>
      <c r="X25" s="13"/>
      <c r="Y25" s="15"/>
      <c r="Z25" s="13"/>
      <c r="AA25" s="15"/>
      <c r="AB25" s="13"/>
      <c r="AC25" s="13"/>
    </row>
    <row r="26" spans="1:29" ht="72.5" x14ac:dyDescent="0.35">
      <c r="A26" s="13" t="s">
        <v>76</v>
      </c>
      <c r="B26" s="13" t="s">
        <v>77</v>
      </c>
      <c r="C26" s="14">
        <v>45414.668749999997</v>
      </c>
      <c r="D26" s="13" t="s">
        <v>78</v>
      </c>
      <c r="E26" s="15" t="s">
        <v>79</v>
      </c>
      <c r="F26" s="13" t="s">
        <v>80</v>
      </c>
      <c r="G26" s="15" t="s">
        <v>81</v>
      </c>
      <c r="H26" s="13" t="s">
        <v>167</v>
      </c>
      <c r="I26" s="15" t="s">
        <v>168</v>
      </c>
      <c r="J26" s="15" t="s">
        <v>169</v>
      </c>
      <c r="K26" s="15" t="s">
        <v>170</v>
      </c>
      <c r="L26" s="13" t="s">
        <v>171</v>
      </c>
      <c r="M26" s="15" t="s">
        <v>172</v>
      </c>
      <c r="N26" s="13" t="s">
        <v>88</v>
      </c>
      <c r="O26" s="15"/>
      <c r="P26" s="15"/>
      <c r="Q26" s="15" t="s">
        <v>102</v>
      </c>
      <c r="R26" s="13" t="s">
        <v>103</v>
      </c>
      <c r="S26" s="13" t="s">
        <v>91</v>
      </c>
      <c r="T26" s="13" t="s">
        <v>92</v>
      </c>
      <c r="U26" s="14">
        <v>44927</v>
      </c>
      <c r="V26" s="14"/>
      <c r="W26" s="15"/>
      <c r="X26" s="13"/>
      <c r="Y26" s="15"/>
      <c r="Z26" s="13"/>
      <c r="AA26" s="15"/>
      <c r="AB26" s="13"/>
      <c r="AC26" s="13"/>
    </row>
    <row r="27" spans="1:29" ht="72.5" x14ac:dyDescent="0.35">
      <c r="A27" s="13" t="s">
        <v>76</v>
      </c>
      <c r="B27" s="13" t="s">
        <v>77</v>
      </c>
      <c r="C27" s="14">
        <v>45414.669444444444</v>
      </c>
      <c r="D27" s="13" t="s">
        <v>78</v>
      </c>
      <c r="E27" s="15" t="s">
        <v>79</v>
      </c>
      <c r="F27" s="13" t="s">
        <v>80</v>
      </c>
      <c r="G27" s="15" t="s">
        <v>81</v>
      </c>
      <c r="H27" s="13" t="s">
        <v>167</v>
      </c>
      <c r="I27" s="15" t="s">
        <v>168</v>
      </c>
      <c r="J27" s="15" t="s">
        <v>169</v>
      </c>
      <c r="K27" s="15" t="s">
        <v>170</v>
      </c>
      <c r="L27" s="13" t="s">
        <v>173</v>
      </c>
      <c r="M27" s="15" t="s">
        <v>174</v>
      </c>
      <c r="N27" s="13" t="s">
        <v>95</v>
      </c>
      <c r="O27" s="15"/>
      <c r="P27" s="15"/>
      <c r="Q27" s="15" t="s">
        <v>102</v>
      </c>
      <c r="R27" s="13" t="s">
        <v>103</v>
      </c>
      <c r="S27" s="13" t="s">
        <v>91</v>
      </c>
      <c r="T27" s="13" t="s">
        <v>92</v>
      </c>
      <c r="U27" s="14">
        <v>44927</v>
      </c>
      <c r="V27" s="14"/>
      <c r="W27" s="15"/>
      <c r="X27" s="13"/>
      <c r="Y27" s="15"/>
      <c r="Z27" s="13"/>
      <c r="AA27" s="15"/>
      <c r="AB27" s="13"/>
      <c r="AC27" s="13"/>
    </row>
    <row r="28" spans="1:29" ht="72.5" x14ac:dyDescent="0.35">
      <c r="A28" s="13" t="s">
        <v>76</v>
      </c>
      <c r="B28" s="13" t="s">
        <v>77</v>
      </c>
      <c r="C28" s="14">
        <v>45414.67083333333</v>
      </c>
      <c r="D28" s="13" t="s">
        <v>78</v>
      </c>
      <c r="E28" s="15" t="s">
        <v>79</v>
      </c>
      <c r="F28" s="13" t="s">
        <v>80</v>
      </c>
      <c r="G28" s="15" t="s">
        <v>81</v>
      </c>
      <c r="H28" s="13" t="s">
        <v>167</v>
      </c>
      <c r="I28" s="15" t="s">
        <v>168</v>
      </c>
      <c r="J28" s="15" t="s">
        <v>169</v>
      </c>
      <c r="K28" s="15" t="s">
        <v>170</v>
      </c>
      <c r="L28" s="13" t="s">
        <v>171</v>
      </c>
      <c r="M28" s="15" t="s">
        <v>172</v>
      </c>
      <c r="N28" s="13" t="s">
        <v>88</v>
      </c>
      <c r="O28" s="15"/>
      <c r="P28" s="15"/>
      <c r="Q28" s="15" t="s">
        <v>104</v>
      </c>
      <c r="R28" s="13" t="s">
        <v>105</v>
      </c>
      <c r="S28" s="13" t="s">
        <v>106</v>
      </c>
      <c r="T28" s="13" t="s">
        <v>107</v>
      </c>
      <c r="U28" s="14">
        <v>44927</v>
      </c>
      <c r="V28" s="14"/>
      <c r="W28" s="15" t="s">
        <v>222</v>
      </c>
      <c r="X28" s="13" t="s">
        <v>223</v>
      </c>
      <c r="Y28" s="15" t="str">
        <f>VLOOKUP(X28,'Axe 2 Règles de gestion'!$D$2:$F$40,3, FALSE)</f>
        <v>Rémunération : Le militaire perçoit l'intégralité de sa rémunération.</v>
      </c>
      <c r="Z28" s="13" t="s">
        <v>225</v>
      </c>
      <c r="AA28" s="15" t="str">
        <f>VLOOKUP(Z28,'Axe 2 Règles de gestion'!$D$2:$F$40,3, FALSE)</f>
        <v>Carrière : La durée de la permission est assimilée à une période de service effectif.</v>
      </c>
      <c r="AB28" s="13"/>
      <c r="AC28" s="13"/>
    </row>
    <row r="29" spans="1:29" ht="72.5" x14ac:dyDescent="0.35">
      <c r="A29" s="13" t="s">
        <v>76</v>
      </c>
      <c r="B29" s="13" t="s">
        <v>77</v>
      </c>
      <c r="C29" s="14">
        <v>45414.671527777777</v>
      </c>
      <c r="D29" s="13" t="s">
        <v>78</v>
      </c>
      <c r="E29" s="15" t="s">
        <v>79</v>
      </c>
      <c r="F29" s="13" t="s">
        <v>80</v>
      </c>
      <c r="G29" s="15" t="s">
        <v>81</v>
      </c>
      <c r="H29" s="13" t="s">
        <v>167</v>
      </c>
      <c r="I29" s="15" t="s">
        <v>168</v>
      </c>
      <c r="J29" s="15" t="s">
        <v>169</v>
      </c>
      <c r="K29" s="15" t="s">
        <v>170</v>
      </c>
      <c r="L29" s="13" t="s">
        <v>173</v>
      </c>
      <c r="M29" s="15" t="s">
        <v>174</v>
      </c>
      <c r="N29" s="13" t="s">
        <v>95</v>
      </c>
      <c r="O29" s="15"/>
      <c r="P29" s="15"/>
      <c r="Q29" s="15" t="s">
        <v>104</v>
      </c>
      <c r="R29" s="13" t="s">
        <v>105</v>
      </c>
      <c r="S29" s="13" t="s">
        <v>106</v>
      </c>
      <c r="T29" s="13" t="s">
        <v>107</v>
      </c>
      <c r="U29" s="14">
        <v>44927</v>
      </c>
      <c r="V29" s="14"/>
      <c r="W29" s="15"/>
      <c r="X29" s="13"/>
      <c r="Y29" s="15"/>
      <c r="Z29" s="13"/>
      <c r="AA29" s="15"/>
      <c r="AB29" s="13"/>
      <c r="AC29" s="13"/>
    </row>
    <row r="30" spans="1:29" ht="72.5" x14ac:dyDescent="0.35">
      <c r="A30" s="13" t="s">
        <v>76</v>
      </c>
      <c r="B30" s="13" t="s">
        <v>77</v>
      </c>
      <c r="C30" s="14">
        <v>45414.67083333333</v>
      </c>
      <c r="D30" s="13" t="s">
        <v>78</v>
      </c>
      <c r="E30" s="15" t="s">
        <v>79</v>
      </c>
      <c r="F30" s="13" t="s">
        <v>80</v>
      </c>
      <c r="G30" s="15" t="s">
        <v>81</v>
      </c>
      <c r="H30" s="13" t="s">
        <v>167</v>
      </c>
      <c r="I30" s="15" t="s">
        <v>168</v>
      </c>
      <c r="J30" s="15" t="s">
        <v>169</v>
      </c>
      <c r="K30" s="15" t="s">
        <v>170</v>
      </c>
      <c r="L30" s="13" t="s">
        <v>171</v>
      </c>
      <c r="M30" s="15" t="s">
        <v>172</v>
      </c>
      <c r="N30" s="13" t="s">
        <v>88</v>
      </c>
      <c r="O30" s="15"/>
      <c r="P30" s="15"/>
      <c r="Q30" s="15" t="s">
        <v>158</v>
      </c>
      <c r="R30" s="13" t="s">
        <v>159</v>
      </c>
      <c r="S30" s="13" t="s">
        <v>106</v>
      </c>
      <c r="T30" s="13" t="s">
        <v>107</v>
      </c>
      <c r="U30" s="14">
        <v>44927</v>
      </c>
      <c r="V30" s="14"/>
      <c r="W30" s="15" t="s">
        <v>222</v>
      </c>
      <c r="X30" s="13" t="s">
        <v>223</v>
      </c>
      <c r="Y30" s="15" t="str">
        <f>VLOOKUP(X30,'Axe 2 Règles de gestion'!$D$2:$F$40,3, FALSE)</f>
        <v>Rémunération : Le militaire perçoit l'intégralité de sa rémunération.</v>
      </c>
      <c r="Z30" s="13" t="s">
        <v>225</v>
      </c>
      <c r="AA30" s="15" t="str">
        <f>VLOOKUP(Z30,'Axe 2 Règles de gestion'!$D$2:$F$40,3, FALSE)</f>
        <v>Carrière : La durée de la permission est assimilée à une période de service effectif.</v>
      </c>
      <c r="AB30" s="13"/>
      <c r="AC30" s="13"/>
    </row>
    <row r="31" spans="1:29" ht="72.5" x14ac:dyDescent="0.35">
      <c r="A31" s="13" t="s">
        <v>76</v>
      </c>
      <c r="B31" s="13" t="s">
        <v>77</v>
      </c>
      <c r="C31" s="14">
        <v>45414.672222222223</v>
      </c>
      <c r="D31" s="13" t="s">
        <v>78</v>
      </c>
      <c r="E31" s="15" t="s">
        <v>79</v>
      </c>
      <c r="F31" s="13" t="s">
        <v>80</v>
      </c>
      <c r="G31" s="15" t="s">
        <v>81</v>
      </c>
      <c r="H31" s="13" t="s">
        <v>167</v>
      </c>
      <c r="I31" s="15" t="s">
        <v>168</v>
      </c>
      <c r="J31" s="15" t="s">
        <v>169</v>
      </c>
      <c r="K31" s="15" t="s">
        <v>170</v>
      </c>
      <c r="L31" s="13" t="s">
        <v>173</v>
      </c>
      <c r="M31" s="15" t="s">
        <v>174</v>
      </c>
      <c r="N31" s="13" t="s">
        <v>95</v>
      </c>
      <c r="O31" s="15"/>
      <c r="P31" s="15"/>
      <c r="Q31" s="15" t="s">
        <v>158</v>
      </c>
      <c r="R31" s="13" t="s">
        <v>159</v>
      </c>
      <c r="S31" s="13" t="s">
        <v>106</v>
      </c>
      <c r="T31" s="13" t="s">
        <v>107</v>
      </c>
      <c r="U31" s="14">
        <v>44927</v>
      </c>
      <c r="V31" s="14"/>
      <c r="W31" s="15"/>
      <c r="X31" s="13"/>
      <c r="Y31" s="15"/>
      <c r="Z31" s="13"/>
      <c r="AA31" s="15"/>
      <c r="AB31" s="13"/>
      <c r="AC31" s="13"/>
    </row>
    <row r="32" spans="1:29" ht="72.5" x14ac:dyDescent="0.35">
      <c r="A32" s="13" t="s">
        <v>76</v>
      </c>
      <c r="B32" s="13" t="s">
        <v>77</v>
      </c>
      <c r="C32" s="14">
        <v>45414.671527777777</v>
      </c>
      <c r="D32" s="13" t="s">
        <v>78</v>
      </c>
      <c r="E32" s="15" t="s">
        <v>79</v>
      </c>
      <c r="F32" s="13" t="s">
        <v>80</v>
      </c>
      <c r="G32" s="15" t="s">
        <v>81</v>
      </c>
      <c r="H32" s="13" t="s">
        <v>167</v>
      </c>
      <c r="I32" s="15" t="s">
        <v>168</v>
      </c>
      <c r="J32" s="15" t="s">
        <v>169</v>
      </c>
      <c r="K32" s="15" t="s">
        <v>170</v>
      </c>
      <c r="L32" s="13" t="s">
        <v>171</v>
      </c>
      <c r="M32" s="15" t="s">
        <v>172</v>
      </c>
      <c r="N32" s="13" t="s">
        <v>88</v>
      </c>
      <c r="O32" s="15"/>
      <c r="P32" s="15"/>
      <c r="Q32" s="15" t="s">
        <v>163</v>
      </c>
      <c r="R32" s="13" t="s">
        <v>164</v>
      </c>
      <c r="S32" s="13" t="s">
        <v>106</v>
      </c>
      <c r="T32" s="13" t="s">
        <v>107</v>
      </c>
      <c r="U32" s="14">
        <v>44927</v>
      </c>
      <c r="V32" s="14"/>
      <c r="W32" s="15" t="s">
        <v>222</v>
      </c>
      <c r="X32" s="13" t="s">
        <v>223</v>
      </c>
      <c r="Y32" s="15" t="str">
        <f>VLOOKUP(X32,'Axe 2 Règles de gestion'!$D$2:$F$40,3, FALSE)</f>
        <v>Rémunération : Le militaire perçoit l'intégralité de sa rémunération.</v>
      </c>
      <c r="Z32" s="13" t="s">
        <v>225</v>
      </c>
      <c r="AA32" s="15" t="str">
        <f>VLOOKUP(Z32,'Axe 2 Règles de gestion'!$D$2:$F$40,3, FALSE)</f>
        <v>Carrière : La durée de la permission est assimilée à une période de service effectif.</v>
      </c>
      <c r="AB32" s="13"/>
      <c r="AC32" s="13"/>
    </row>
    <row r="33" spans="1:29" ht="72.5" x14ac:dyDescent="0.35">
      <c r="A33" s="13" t="s">
        <v>76</v>
      </c>
      <c r="B33" s="13" t="s">
        <v>77</v>
      </c>
      <c r="C33" s="14">
        <v>45414.672222222223</v>
      </c>
      <c r="D33" s="13" t="s">
        <v>78</v>
      </c>
      <c r="E33" s="15" t="s">
        <v>79</v>
      </c>
      <c r="F33" s="13" t="s">
        <v>80</v>
      </c>
      <c r="G33" s="15" t="s">
        <v>81</v>
      </c>
      <c r="H33" s="13" t="s">
        <v>167</v>
      </c>
      <c r="I33" s="15" t="s">
        <v>168</v>
      </c>
      <c r="J33" s="15" t="s">
        <v>169</v>
      </c>
      <c r="K33" s="15" t="s">
        <v>170</v>
      </c>
      <c r="L33" s="13" t="s">
        <v>173</v>
      </c>
      <c r="M33" s="15" t="s">
        <v>174</v>
      </c>
      <c r="N33" s="13" t="s">
        <v>95</v>
      </c>
      <c r="O33" s="15"/>
      <c r="P33" s="15"/>
      <c r="Q33" s="15" t="s">
        <v>163</v>
      </c>
      <c r="R33" s="13" t="s">
        <v>164</v>
      </c>
      <c r="S33" s="13" t="s">
        <v>106</v>
      </c>
      <c r="T33" s="13" t="s">
        <v>107</v>
      </c>
      <c r="U33" s="14">
        <v>44927</v>
      </c>
      <c r="V33" s="14"/>
      <c r="W33" s="15"/>
      <c r="X33" s="13"/>
      <c r="Y33" s="15"/>
      <c r="Z33" s="13"/>
      <c r="AA33" s="15"/>
      <c r="AB33" s="13"/>
      <c r="AC33" s="13"/>
    </row>
    <row r="34" spans="1:29" s="22" customFormat="1" ht="58" x14ac:dyDescent="0.35">
      <c r="A34" s="19" t="s">
        <v>194</v>
      </c>
      <c r="B34" s="19" t="s">
        <v>77</v>
      </c>
      <c r="C34" s="20">
        <v>45910.565972222219</v>
      </c>
      <c r="D34" s="19" t="s">
        <v>78</v>
      </c>
      <c r="E34" s="21" t="s">
        <v>79</v>
      </c>
      <c r="F34" s="19" t="s">
        <v>80</v>
      </c>
      <c r="G34" s="21" t="s">
        <v>81</v>
      </c>
      <c r="H34" s="19" t="s">
        <v>195</v>
      </c>
      <c r="I34" s="21" t="s">
        <v>196</v>
      </c>
      <c r="J34" s="21" t="s">
        <v>197</v>
      </c>
      <c r="K34" s="21" t="s">
        <v>198</v>
      </c>
      <c r="L34" s="19" t="s">
        <v>199</v>
      </c>
      <c r="M34" s="21" t="s">
        <v>200</v>
      </c>
      <c r="N34" s="19" t="s">
        <v>88</v>
      </c>
      <c r="O34" s="21"/>
      <c r="P34" s="21"/>
      <c r="Q34" s="21" t="s">
        <v>89</v>
      </c>
      <c r="R34" s="19" t="s">
        <v>90</v>
      </c>
      <c r="S34" s="19" t="s">
        <v>91</v>
      </c>
      <c r="T34" s="19" t="s">
        <v>92</v>
      </c>
      <c r="U34" s="20">
        <v>45807</v>
      </c>
      <c r="V34" s="20"/>
      <c r="W34" s="21"/>
      <c r="X34" s="19"/>
      <c r="Y34" s="21"/>
      <c r="Z34" s="19"/>
      <c r="AA34" s="21"/>
      <c r="AB34" s="19" t="s">
        <v>201</v>
      </c>
      <c r="AC34" s="19"/>
    </row>
    <row r="35" spans="1:29" s="22" customFormat="1" ht="58" x14ac:dyDescent="0.35">
      <c r="A35" s="19" t="s">
        <v>194</v>
      </c>
      <c r="B35" s="19" t="s">
        <v>77</v>
      </c>
      <c r="C35" s="20">
        <v>45911.627083333333</v>
      </c>
      <c r="D35" s="19" t="s">
        <v>78</v>
      </c>
      <c r="E35" s="21" t="s">
        <v>79</v>
      </c>
      <c r="F35" s="19" t="s">
        <v>80</v>
      </c>
      <c r="G35" s="21" t="s">
        <v>81</v>
      </c>
      <c r="H35" s="19" t="s">
        <v>195</v>
      </c>
      <c r="I35" s="21" t="s">
        <v>196</v>
      </c>
      <c r="J35" s="21" t="s">
        <v>197</v>
      </c>
      <c r="K35" s="21" t="s">
        <v>198</v>
      </c>
      <c r="L35" s="19" t="s">
        <v>202</v>
      </c>
      <c r="M35" s="21" t="s">
        <v>203</v>
      </c>
      <c r="N35" s="19" t="s">
        <v>95</v>
      </c>
      <c r="O35" s="21"/>
      <c r="P35" s="21"/>
      <c r="Q35" s="21" t="s">
        <v>89</v>
      </c>
      <c r="R35" s="19" t="s">
        <v>90</v>
      </c>
      <c r="S35" s="19" t="s">
        <v>91</v>
      </c>
      <c r="T35" s="19" t="s">
        <v>92</v>
      </c>
      <c r="U35" s="20">
        <v>45807</v>
      </c>
      <c r="V35" s="20"/>
      <c r="W35" s="21"/>
      <c r="X35" s="19"/>
      <c r="Y35" s="21"/>
      <c r="Z35" s="19"/>
      <c r="AA35" s="21"/>
      <c r="AB35" s="19" t="s">
        <v>201</v>
      </c>
      <c r="AC35" s="19"/>
    </row>
    <row r="36" spans="1:29" s="22" customFormat="1" ht="58" x14ac:dyDescent="0.35">
      <c r="A36" s="19" t="s">
        <v>194</v>
      </c>
      <c r="B36" s="19" t="s">
        <v>77</v>
      </c>
      <c r="C36" s="20">
        <v>45910.565972222219</v>
      </c>
      <c r="D36" s="19" t="s">
        <v>78</v>
      </c>
      <c r="E36" s="21" t="s">
        <v>79</v>
      </c>
      <c r="F36" s="19" t="s">
        <v>80</v>
      </c>
      <c r="G36" s="21" t="s">
        <v>81</v>
      </c>
      <c r="H36" s="19" t="s">
        <v>195</v>
      </c>
      <c r="I36" s="21" t="s">
        <v>196</v>
      </c>
      <c r="J36" s="21" t="s">
        <v>197</v>
      </c>
      <c r="K36" s="21" t="s">
        <v>198</v>
      </c>
      <c r="L36" s="19" t="s">
        <v>199</v>
      </c>
      <c r="M36" s="21" t="s">
        <v>200</v>
      </c>
      <c r="N36" s="19" t="s">
        <v>88</v>
      </c>
      <c r="O36" s="21"/>
      <c r="P36" s="21"/>
      <c r="Q36" s="21" t="s">
        <v>96</v>
      </c>
      <c r="R36" s="19" t="s">
        <v>97</v>
      </c>
      <c r="S36" s="19" t="s">
        <v>91</v>
      </c>
      <c r="T36" s="19" t="s">
        <v>92</v>
      </c>
      <c r="U36" s="20">
        <v>45807</v>
      </c>
      <c r="V36" s="20"/>
      <c r="W36" s="21"/>
      <c r="X36" s="19"/>
      <c r="Y36" s="21"/>
      <c r="Z36" s="19"/>
      <c r="AA36" s="21"/>
      <c r="AB36" s="19" t="s">
        <v>201</v>
      </c>
      <c r="AC36" s="19"/>
    </row>
    <row r="37" spans="1:29" s="22" customFormat="1" ht="58" x14ac:dyDescent="0.35">
      <c r="A37" s="19" t="s">
        <v>194</v>
      </c>
      <c r="B37" s="19" t="s">
        <v>77</v>
      </c>
      <c r="C37" s="20">
        <v>45911.628472222219</v>
      </c>
      <c r="D37" s="19" t="s">
        <v>78</v>
      </c>
      <c r="E37" s="21" t="s">
        <v>79</v>
      </c>
      <c r="F37" s="19" t="s">
        <v>80</v>
      </c>
      <c r="G37" s="21" t="s">
        <v>81</v>
      </c>
      <c r="H37" s="19" t="s">
        <v>195</v>
      </c>
      <c r="I37" s="21" t="s">
        <v>196</v>
      </c>
      <c r="J37" s="21" t="s">
        <v>197</v>
      </c>
      <c r="K37" s="21" t="s">
        <v>198</v>
      </c>
      <c r="L37" s="19" t="s">
        <v>202</v>
      </c>
      <c r="M37" s="21" t="s">
        <v>203</v>
      </c>
      <c r="N37" s="19" t="s">
        <v>95</v>
      </c>
      <c r="O37" s="21"/>
      <c r="P37" s="21"/>
      <c r="Q37" s="21" t="s">
        <v>96</v>
      </c>
      <c r="R37" s="19" t="s">
        <v>97</v>
      </c>
      <c r="S37" s="19" t="s">
        <v>91</v>
      </c>
      <c r="T37" s="19" t="s">
        <v>92</v>
      </c>
      <c r="U37" s="20">
        <v>45807</v>
      </c>
      <c r="V37" s="20"/>
      <c r="W37" s="21"/>
      <c r="X37" s="19"/>
      <c r="Y37" s="21"/>
      <c r="Z37" s="19"/>
      <c r="AA37" s="21"/>
      <c r="AB37" s="19" t="s">
        <v>201</v>
      </c>
      <c r="AC37" s="19"/>
    </row>
    <row r="38" spans="1:29" s="22" customFormat="1" ht="58" x14ac:dyDescent="0.35">
      <c r="A38" s="19" t="s">
        <v>194</v>
      </c>
      <c r="B38" s="19" t="s">
        <v>77</v>
      </c>
      <c r="C38" s="20">
        <v>45910.565972222219</v>
      </c>
      <c r="D38" s="19" t="s">
        <v>78</v>
      </c>
      <c r="E38" s="21" t="s">
        <v>79</v>
      </c>
      <c r="F38" s="19" t="s">
        <v>80</v>
      </c>
      <c r="G38" s="21" t="s">
        <v>81</v>
      </c>
      <c r="H38" s="19" t="s">
        <v>195</v>
      </c>
      <c r="I38" s="21" t="s">
        <v>196</v>
      </c>
      <c r="J38" s="21" t="s">
        <v>197</v>
      </c>
      <c r="K38" s="21" t="s">
        <v>198</v>
      </c>
      <c r="L38" s="19" t="s">
        <v>199</v>
      </c>
      <c r="M38" s="21" t="s">
        <v>200</v>
      </c>
      <c r="N38" s="19" t="s">
        <v>88</v>
      </c>
      <c r="O38" s="21"/>
      <c r="P38" s="21"/>
      <c r="Q38" s="21" t="s">
        <v>98</v>
      </c>
      <c r="R38" s="19" t="s">
        <v>99</v>
      </c>
      <c r="S38" s="19" t="s">
        <v>91</v>
      </c>
      <c r="T38" s="19" t="s">
        <v>92</v>
      </c>
      <c r="U38" s="20">
        <v>45807</v>
      </c>
      <c r="V38" s="20"/>
      <c r="W38" s="21"/>
      <c r="X38" s="19"/>
      <c r="Y38" s="21"/>
      <c r="Z38" s="19"/>
      <c r="AA38" s="21"/>
      <c r="AB38" s="19" t="s">
        <v>201</v>
      </c>
      <c r="AC38" s="19"/>
    </row>
    <row r="39" spans="1:29" s="22" customFormat="1" ht="58" x14ac:dyDescent="0.35">
      <c r="A39" s="19" t="s">
        <v>194</v>
      </c>
      <c r="B39" s="19" t="s">
        <v>77</v>
      </c>
      <c r="C39" s="20">
        <v>45911.62777777778</v>
      </c>
      <c r="D39" s="19" t="s">
        <v>78</v>
      </c>
      <c r="E39" s="21" t="s">
        <v>79</v>
      </c>
      <c r="F39" s="19" t="s">
        <v>80</v>
      </c>
      <c r="G39" s="21" t="s">
        <v>81</v>
      </c>
      <c r="H39" s="19" t="s">
        <v>195</v>
      </c>
      <c r="I39" s="21" t="s">
        <v>196</v>
      </c>
      <c r="J39" s="21" t="s">
        <v>197</v>
      </c>
      <c r="K39" s="21" t="s">
        <v>198</v>
      </c>
      <c r="L39" s="19" t="s">
        <v>202</v>
      </c>
      <c r="M39" s="21" t="s">
        <v>203</v>
      </c>
      <c r="N39" s="19" t="s">
        <v>95</v>
      </c>
      <c r="O39" s="21"/>
      <c r="P39" s="21"/>
      <c r="Q39" s="21" t="s">
        <v>98</v>
      </c>
      <c r="R39" s="19" t="s">
        <v>99</v>
      </c>
      <c r="S39" s="19" t="s">
        <v>91</v>
      </c>
      <c r="T39" s="19" t="s">
        <v>92</v>
      </c>
      <c r="U39" s="20">
        <v>45807</v>
      </c>
      <c r="V39" s="20"/>
      <c r="W39" s="21"/>
      <c r="X39" s="19"/>
      <c r="Y39" s="21"/>
      <c r="Z39" s="19"/>
      <c r="AA39" s="21"/>
      <c r="AB39" s="19" t="s">
        <v>201</v>
      </c>
      <c r="AC39" s="19"/>
    </row>
    <row r="40" spans="1:29" s="22" customFormat="1" ht="58" x14ac:dyDescent="0.35">
      <c r="A40" s="19" t="s">
        <v>194</v>
      </c>
      <c r="B40" s="19" t="s">
        <v>77</v>
      </c>
      <c r="C40" s="20">
        <v>45910.565972222219</v>
      </c>
      <c r="D40" s="19" t="s">
        <v>78</v>
      </c>
      <c r="E40" s="21" t="s">
        <v>79</v>
      </c>
      <c r="F40" s="19" t="s">
        <v>80</v>
      </c>
      <c r="G40" s="21" t="s">
        <v>81</v>
      </c>
      <c r="H40" s="19" t="s">
        <v>195</v>
      </c>
      <c r="I40" s="21" t="s">
        <v>196</v>
      </c>
      <c r="J40" s="21" t="s">
        <v>197</v>
      </c>
      <c r="K40" s="21" t="s">
        <v>198</v>
      </c>
      <c r="L40" s="19" t="s">
        <v>199</v>
      </c>
      <c r="M40" s="21" t="s">
        <v>200</v>
      </c>
      <c r="N40" s="19" t="s">
        <v>88</v>
      </c>
      <c r="O40" s="21"/>
      <c r="P40" s="21"/>
      <c r="Q40" s="21" t="s">
        <v>100</v>
      </c>
      <c r="R40" s="19" t="s">
        <v>101</v>
      </c>
      <c r="S40" s="19" t="s">
        <v>91</v>
      </c>
      <c r="T40" s="19" t="s">
        <v>92</v>
      </c>
      <c r="U40" s="20">
        <v>45807</v>
      </c>
      <c r="V40" s="20"/>
      <c r="W40" s="21"/>
      <c r="X40" s="19"/>
      <c r="Y40" s="21"/>
      <c r="Z40" s="19"/>
      <c r="AA40" s="21"/>
      <c r="AB40" s="19" t="s">
        <v>201</v>
      </c>
      <c r="AC40" s="19"/>
    </row>
    <row r="41" spans="1:29" s="22" customFormat="1" ht="58" x14ac:dyDescent="0.35">
      <c r="A41" s="19" t="s">
        <v>194</v>
      </c>
      <c r="B41" s="19" t="s">
        <v>77</v>
      </c>
      <c r="C41" s="20">
        <v>45911.62777777778</v>
      </c>
      <c r="D41" s="19" t="s">
        <v>78</v>
      </c>
      <c r="E41" s="21" t="s">
        <v>79</v>
      </c>
      <c r="F41" s="19" t="s">
        <v>80</v>
      </c>
      <c r="G41" s="21" t="s">
        <v>81</v>
      </c>
      <c r="H41" s="19" t="s">
        <v>195</v>
      </c>
      <c r="I41" s="21" t="s">
        <v>196</v>
      </c>
      <c r="J41" s="21" t="s">
        <v>197</v>
      </c>
      <c r="K41" s="21" t="s">
        <v>198</v>
      </c>
      <c r="L41" s="19" t="s">
        <v>202</v>
      </c>
      <c r="M41" s="21" t="s">
        <v>203</v>
      </c>
      <c r="N41" s="19" t="s">
        <v>95</v>
      </c>
      <c r="O41" s="21"/>
      <c r="P41" s="21"/>
      <c r="Q41" s="21" t="s">
        <v>100</v>
      </c>
      <c r="R41" s="19" t="s">
        <v>101</v>
      </c>
      <c r="S41" s="19" t="s">
        <v>91</v>
      </c>
      <c r="T41" s="19" t="s">
        <v>92</v>
      </c>
      <c r="U41" s="20">
        <v>45807</v>
      </c>
      <c r="V41" s="20"/>
      <c r="W41" s="21"/>
      <c r="X41" s="19"/>
      <c r="Y41" s="21"/>
      <c r="Z41" s="19"/>
      <c r="AA41" s="21"/>
      <c r="AB41" s="19" t="s">
        <v>201</v>
      </c>
      <c r="AC41" s="19"/>
    </row>
    <row r="42" spans="1:29" s="22" customFormat="1" ht="58" x14ac:dyDescent="0.35">
      <c r="A42" s="19" t="s">
        <v>194</v>
      </c>
      <c r="B42" s="19" t="s">
        <v>77</v>
      </c>
      <c r="C42" s="20">
        <v>45910.565972222219</v>
      </c>
      <c r="D42" s="19" t="s">
        <v>78</v>
      </c>
      <c r="E42" s="21" t="s">
        <v>79</v>
      </c>
      <c r="F42" s="19" t="s">
        <v>80</v>
      </c>
      <c r="G42" s="21" t="s">
        <v>81</v>
      </c>
      <c r="H42" s="19" t="s">
        <v>195</v>
      </c>
      <c r="I42" s="21" t="s">
        <v>196</v>
      </c>
      <c r="J42" s="21" t="s">
        <v>197</v>
      </c>
      <c r="K42" s="21" t="s">
        <v>198</v>
      </c>
      <c r="L42" s="19" t="s">
        <v>199</v>
      </c>
      <c r="M42" s="21" t="s">
        <v>200</v>
      </c>
      <c r="N42" s="19" t="s">
        <v>88</v>
      </c>
      <c r="O42" s="21"/>
      <c r="P42" s="21"/>
      <c r="Q42" s="21" t="s">
        <v>102</v>
      </c>
      <c r="R42" s="19" t="s">
        <v>103</v>
      </c>
      <c r="S42" s="19" t="s">
        <v>91</v>
      </c>
      <c r="T42" s="19" t="s">
        <v>92</v>
      </c>
      <c r="U42" s="20">
        <v>45807</v>
      </c>
      <c r="V42" s="20"/>
      <c r="W42" s="21"/>
      <c r="X42" s="19"/>
      <c r="Y42" s="21"/>
      <c r="Z42" s="19"/>
      <c r="AA42" s="21"/>
      <c r="AB42" s="19" t="s">
        <v>201</v>
      </c>
      <c r="AC42" s="19"/>
    </row>
    <row r="43" spans="1:29" s="22" customFormat="1" ht="58" x14ac:dyDescent="0.35">
      <c r="A43" s="19" t="s">
        <v>194</v>
      </c>
      <c r="B43" s="19" t="s">
        <v>77</v>
      </c>
      <c r="C43" s="20">
        <v>45911.62777777778</v>
      </c>
      <c r="D43" s="19" t="s">
        <v>78</v>
      </c>
      <c r="E43" s="21" t="s">
        <v>79</v>
      </c>
      <c r="F43" s="19" t="s">
        <v>80</v>
      </c>
      <c r="G43" s="21" t="s">
        <v>81</v>
      </c>
      <c r="H43" s="19" t="s">
        <v>195</v>
      </c>
      <c r="I43" s="21" t="s">
        <v>196</v>
      </c>
      <c r="J43" s="21" t="s">
        <v>197</v>
      </c>
      <c r="K43" s="21" t="s">
        <v>198</v>
      </c>
      <c r="L43" s="19" t="s">
        <v>202</v>
      </c>
      <c r="M43" s="21" t="s">
        <v>203</v>
      </c>
      <c r="N43" s="19" t="s">
        <v>95</v>
      </c>
      <c r="O43" s="21"/>
      <c r="P43" s="21"/>
      <c r="Q43" s="21" t="s">
        <v>102</v>
      </c>
      <c r="R43" s="19" t="s">
        <v>103</v>
      </c>
      <c r="S43" s="19" t="s">
        <v>91</v>
      </c>
      <c r="T43" s="19" t="s">
        <v>92</v>
      </c>
      <c r="U43" s="20">
        <v>45807</v>
      </c>
      <c r="V43" s="20"/>
      <c r="W43" s="21"/>
      <c r="X43" s="19"/>
      <c r="Y43" s="21"/>
      <c r="Z43" s="19"/>
      <c r="AA43" s="21"/>
      <c r="AB43" s="19" t="s">
        <v>201</v>
      </c>
      <c r="AC43" s="19"/>
    </row>
    <row r="44" spans="1:29" s="22" customFormat="1" ht="58" x14ac:dyDescent="0.35">
      <c r="A44" s="19" t="s">
        <v>194</v>
      </c>
      <c r="B44" s="19" t="s">
        <v>77</v>
      </c>
      <c r="C44" s="20">
        <v>45910.57916666667</v>
      </c>
      <c r="D44" s="19" t="s">
        <v>78</v>
      </c>
      <c r="E44" s="21" t="s">
        <v>79</v>
      </c>
      <c r="F44" s="19" t="s">
        <v>80</v>
      </c>
      <c r="G44" s="21" t="s">
        <v>81</v>
      </c>
      <c r="H44" s="19" t="s">
        <v>195</v>
      </c>
      <c r="I44" s="21" t="s">
        <v>196</v>
      </c>
      <c r="J44" s="21" t="s">
        <v>197</v>
      </c>
      <c r="K44" s="21" t="s">
        <v>198</v>
      </c>
      <c r="L44" s="19" t="s">
        <v>199</v>
      </c>
      <c r="M44" s="21" t="s">
        <v>200</v>
      </c>
      <c r="N44" s="19" t="s">
        <v>88</v>
      </c>
      <c r="O44" s="21"/>
      <c r="P44" s="21"/>
      <c r="Q44" s="21" t="s">
        <v>104</v>
      </c>
      <c r="R44" s="19" t="s">
        <v>105</v>
      </c>
      <c r="S44" s="19" t="s">
        <v>106</v>
      </c>
      <c r="T44" s="19" t="s">
        <v>107</v>
      </c>
      <c r="U44" s="20">
        <v>45807</v>
      </c>
      <c r="V44" s="20"/>
      <c r="W44" s="21" t="s">
        <v>222</v>
      </c>
      <c r="X44" s="19" t="s">
        <v>223</v>
      </c>
      <c r="Y44" s="21" t="str">
        <f>VLOOKUP(X44,'Axe 2 Règles de gestion'!$D$2:$F$40,3, FALSE)</f>
        <v>Rémunération : Le militaire perçoit l'intégralité de sa rémunération.</v>
      </c>
      <c r="Z44" s="19" t="s">
        <v>225</v>
      </c>
      <c r="AA44" s="21" t="str">
        <f>VLOOKUP(Z44,'Axe 2 Règles de gestion'!$D$2:$F$40,3, FALSE)</f>
        <v>Carrière : La durée de la permission est assimilée à une période de service effectif.</v>
      </c>
      <c r="AB44" s="19" t="s">
        <v>201</v>
      </c>
      <c r="AC44" s="19"/>
    </row>
    <row r="45" spans="1:29" s="22" customFormat="1" ht="58" x14ac:dyDescent="0.35">
      <c r="A45" s="19" t="s">
        <v>194</v>
      </c>
      <c r="B45" s="19" t="s">
        <v>77</v>
      </c>
      <c r="C45" s="20">
        <v>45910.586111111108</v>
      </c>
      <c r="D45" s="19" t="s">
        <v>78</v>
      </c>
      <c r="E45" s="21" t="s">
        <v>79</v>
      </c>
      <c r="F45" s="19" t="s">
        <v>80</v>
      </c>
      <c r="G45" s="21" t="s">
        <v>81</v>
      </c>
      <c r="H45" s="19" t="s">
        <v>195</v>
      </c>
      <c r="I45" s="21" t="s">
        <v>196</v>
      </c>
      <c r="J45" s="21" t="s">
        <v>197</v>
      </c>
      <c r="K45" s="21" t="s">
        <v>198</v>
      </c>
      <c r="L45" s="19" t="s">
        <v>202</v>
      </c>
      <c r="M45" s="21" t="s">
        <v>203</v>
      </c>
      <c r="N45" s="19" t="s">
        <v>95</v>
      </c>
      <c r="O45" s="21"/>
      <c r="P45" s="21"/>
      <c r="Q45" s="21" t="s">
        <v>104</v>
      </c>
      <c r="R45" s="19" t="s">
        <v>105</v>
      </c>
      <c r="S45" s="19" t="s">
        <v>106</v>
      </c>
      <c r="T45" s="19" t="s">
        <v>107</v>
      </c>
      <c r="U45" s="20">
        <v>45807</v>
      </c>
      <c r="V45" s="20"/>
      <c r="W45" s="21"/>
      <c r="X45" s="19"/>
      <c r="Y45" s="21"/>
      <c r="Z45" s="19"/>
      <c r="AA45" s="21"/>
      <c r="AB45" s="19" t="s">
        <v>201</v>
      </c>
      <c r="AC45" s="19"/>
    </row>
    <row r="46" spans="1:29" s="22" customFormat="1" ht="58" x14ac:dyDescent="0.35">
      <c r="A46" s="19" t="s">
        <v>194</v>
      </c>
      <c r="B46" s="19" t="s">
        <v>77</v>
      </c>
      <c r="C46" s="20">
        <v>45910.580555555556</v>
      </c>
      <c r="D46" s="19" t="s">
        <v>78</v>
      </c>
      <c r="E46" s="21" t="s">
        <v>79</v>
      </c>
      <c r="F46" s="19" t="s">
        <v>80</v>
      </c>
      <c r="G46" s="21" t="s">
        <v>81</v>
      </c>
      <c r="H46" s="19" t="s">
        <v>195</v>
      </c>
      <c r="I46" s="21" t="s">
        <v>196</v>
      </c>
      <c r="J46" s="21" t="s">
        <v>197</v>
      </c>
      <c r="K46" s="21" t="s">
        <v>198</v>
      </c>
      <c r="L46" s="19" t="s">
        <v>199</v>
      </c>
      <c r="M46" s="21" t="s">
        <v>200</v>
      </c>
      <c r="N46" s="19" t="s">
        <v>88</v>
      </c>
      <c r="O46" s="21"/>
      <c r="P46" s="21"/>
      <c r="Q46" s="21" t="s">
        <v>158</v>
      </c>
      <c r="R46" s="19" t="s">
        <v>159</v>
      </c>
      <c r="S46" s="19" t="s">
        <v>106</v>
      </c>
      <c r="T46" s="19" t="s">
        <v>107</v>
      </c>
      <c r="U46" s="20">
        <v>45807</v>
      </c>
      <c r="V46" s="20"/>
      <c r="W46" s="21" t="s">
        <v>222</v>
      </c>
      <c r="X46" s="19" t="s">
        <v>223</v>
      </c>
      <c r="Y46" s="21" t="str">
        <f>VLOOKUP(X46,'Axe 2 Règles de gestion'!$D$2:$F$40,3, FALSE)</f>
        <v>Rémunération : Le militaire perçoit l'intégralité de sa rémunération.</v>
      </c>
      <c r="Z46" s="19" t="s">
        <v>225</v>
      </c>
      <c r="AA46" s="21" t="str">
        <f>VLOOKUP(Z46,'Axe 2 Règles de gestion'!$D$2:$F$40,3, FALSE)</f>
        <v>Carrière : La durée de la permission est assimilée à une période de service effectif.</v>
      </c>
      <c r="AB46" s="19" t="s">
        <v>201</v>
      </c>
      <c r="AC46" s="19"/>
    </row>
    <row r="47" spans="1:29" s="22" customFormat="1" ht="58" x14ac:dyDescent="0.35">
      <c r="A47" s="19" t="s">
        <v>194</v>
      </c>
      <c r="B47" s="19" t="s">
        <v>77</v>
      </c>
      <c r="C47" s="20">
        <v>45910.586805555555</v>
      </c>
      <c r="D47" s="19" t="s">
        <v>78</v>
      </c>
      <c r="E47" s="21" t="s">
        <v>79</v>
      </c>
      <c r="F47" s="19" t="s">
        <v>80</v>
      </c>
      <c r="G47" s="21" t="s">
        <v>81</v>
      </c>
      <c r="H47" s="19" t="s">
        <v>195</v>
      </c>
      <c r="I47" s="21" t="s">
        <v>196</v>
      </c>
      <c r="J47" s="21" t="s">
        <v>197</v>
      </c>
      <c r="K47" s="21" t="s">
        <v>198</v>
      </c>
      <c r="L47" s="19" t="s">
        <v>202</v>
      </c>
      <c r="M47" s="21" t="s">
        <v>203</v>
      </c>
      <c r="N47" s="19" t="s">
        <v>95</v>
      </c>
      <c r="O47" s="21"/>
      <c r="P47" s="21"/>
      <c r="Q47" s="21" t="s">
        <v>158</v>
      </c>
      <c r="R47" s="19" t="s">
        <v>159</v>
      </c>
      <c r="S47" s="19" t="s">
        <v>106</v>
      </c>
      <c r="T47" s="19" t="s">
        <v>107</v>
      </c>
      <c r="U47" s="20">
        <v>45807</v>
      </c>
      <c r="V47" s="20"/>
      <c r="W47" s="21"/>
      <c r="X47" s="19"/>
      <c r="Y47" s="21"/>
      <c r="Z47" s="19"/>
      <c r="AA47" s="21"/>
      <c r="AB47" s="19" t="s">
        <v>201</v>
      </c>
      <c r="AC47" s="19"/>
    </row>
    <row r="48" spans="1:29" s="22" customFormat="1" ht="58" x14ac:dyDescent="0.35">
      <c r="A48" s="19" t="s">
        <v>194</v>
      </c>
      <c r="B48" s="19" t="s">
        <v>77</v>
      </c>
      <c r="C48" s="20">
        <v>45910.581250000003</v>
      </c>
      <c r="D48" s="19" t="s">
        <v>78</v>
      </c>
      <c r="E48" s="21" t="s">
        <v>79</v>
      </c>
      <c r="F48" s="19" t="s">
        <v>80</v>
      </c>
      <c r="G48" s="21" t="s">
        <v>81</v>
      </c>
      <c r="H48" s="19" t="s">
        <v>195</v>
      </c>
      <c r="I48" s="21" t="s">
        <v>196</v>
      </c>
      <c r="J48" s="21" t="s">
        <v>197</v>
      </c>
      <c r="K48" s="21" t="s">
        <v>198</v>
      </c>
      <c r="L48" s="19" t="s">
        <v>199</v>
      </c>
      <c r="M48" s="21" t="s">
        <v>200</v>
      </c>
      <c r="N48" s="19" t="s">
        <v>88</v>
      </c>
      <c r="O48" s="21"/>
      <c r="P48" s="21"/>
      <c r="Q48" s="21" t="s">
        <v>163</v>
      </c>
      <c r="R48" s="19" t="s">
        <v>164</v>
      </c>
      <c r="S48" s="19" t="s">
        <v>106</v>
      </c>
      <c r="T48" s="19" t="s">
        <v>107</v>
      </c>
      <c r="U48" s="20">
        <v>45807</v>
      </c>
      <c r="V48" s="20"/>
      <c r="W48" s="21" t="s">
        <v>222</v>
      </c>
      <c r="X48" s="19" t="s">
        <v>223</v>
      </c>
      <c r="Y48" s="21" t="str">
        <f>VLOOKUP(X48,'Axe 2 Règles de gestion'!$D$2:$F$40,3, FALSE)</f>
        <v>Rémunération : Le militaire perçoit l'intégralité de sa rémunération.</v>
      </c>
      <c r="Z48" s="19" t="s">
        <v>225</v>
      </c>
      <c r="AA48" s="21" t="str">
        <f>VLOOKUP(Z48,'Axe 2 Règles de gestion'!$D$2:$F$40,3, FALSE)</f>
        <v>Carrière : La durée de la permission est assimilée à une période de service effectif.</v>
      </c>
      <c r="AB48" s="19" t="s">
        <v>201</v>
      </c>
      <c r="AC48" s="19"/>
    </row>
    <row r="49" spans="1:29" s="22" customFormat="1" ht="58" x14ac:dyDescent="0.35">
      <c r="A49" s="19" t="s">
        <v>194</v>
      </c>
      <c r="B49" s="19" t="s">
        <v>77</v>
      </c>
      <c r="C49" s="20">
        <v>45910.586805555555</v>
      </c>
      <c r="D49" s="19" t="s">
        <v>78</v>
      </c>
      <c r="E49" s="21" t="s">
        <v>79</v>
      </c>
      <c r="F49" s="19" t="s">
        <v>80</v>
      </c>
      <c r="G49" s="21" t="s">
        <v>81</v>
      </c>
      <c r="H49" s="19" t="s">
        <v>195</v>
      </c>
      <c r="I49" s="21" t="s">
        <v>196</v>
      </c>
      <c r="J49" s="21" t="s">
        <v>197</v>
      </c>
      <c r="K49" s="21" t="s">
        <v>198</v>
      </c>
      <c r="L49" s="19" t="s">
        <v>202</v>
      </c>
      <c r="M49" s="21" t="s">
        <v>203</v>
      </c>
      <c r="N49" s="19" t="s">
        <v>95</v>
      </c>
      <c r="O49" s="21"/>
      <c r="P49" s="21"/>
      <c r="Q49" s="21" t="s">
        <v>163</v>
      </c>
      <c r="R49" s="19" t="s">
        <v>164</v>
      </c>
      <c r="S49" s="19" t="s">
        <v>106</v>
      </c>
      <c r="T49" s="19" t="s">
        <v>107</v>
      </c>
      <c r="U49" s="20">
        <v>45807</v>
      </c>
      <c r="V49" s="20"/>
      <c r="W49" s="21"/>
      <c r="X49" s="19"/>
      <c r="Y49" s="21"/>
      <c r="Z49" s="19"/>
      <c r="AA49" s="21"/>
      <c r="AB49" s="19" t="s">
        <v>201</v>
      </c>
      <c r="AC49" s="19"/>
    </row>
    <row r="50" spans="1:29" x14ac:dyDescent="0.35">
      <c r="C50" s="16"/>
      <c r="U50" s="16"/>
      <c r="V50" s="16"/>
    </row>
    <row r="51" spans="1:29" x14ac:dyDescent="0.35">
      <c r="C51" s="16"/>
      <c r="U51" s="16"/>
      <c r="V51" s="16"/>
    </row>
    <row r="52" spans="1:29" x14ac:dyDescent="0.35">
      <c r="C52" s="16"/>
      <c r="U52" s="16"/>
      <c r="V52" s="16"/>
    </row>
    <row r="53" spans="1:29" x14ac:dyDescent="0.35">
      <c r="C53" s="16"/>
      <c r="U53" s="16"/>
      <c r="V53" s="16"/>
    </row>
    <row r="54" spans="1:29" x14ac:dyDescent="0.35">
      <c r="C54" s="16"/>
      <c r="U54" s="16"/>
      <c r="V54" s="16"/>
    </row>
    <row r="55" spans="1:29" x14ac:dyDescent="0.35">
      <c r="C55" s="16"/>
      <c r="U55" s="16"/>
      <c r="V55" s="16"/>
    </row>
    <row r="56" spans="1:29" x14ac:dyDescent="0.35">
      <c r="C56" s="16"/>
      <c r="U56" s="16"/>
      <c r="V56" s="16"/>
    </row>
    <row r="57" spans="1:29" x14ac:dyDescent="0.35">
      <c r="C57" s="16"/>
      <c r="U57" s="16"/>
      <c r="V57" s="16"/>
    </row>
    <row r="58" spans="1:29" x14ac:dyDescent="0.35">
      <c r="C58" s="16"/>
      <c r="U58" s="16"/>
      <c r="V58" s="16"/>
    </row>
    <row r="59" spans="1:29" x14ac:dyDescent="0.35">
      <c r="C59" s="16"/>
      <c r="U59" s="16"/>
      <c r="V59" s="16"/>
    </row>
    <row r="60" spans="1:29" x14ac:dyDescent="0.35">
      <c r="C60" s="16"/>
      <c r="U60" s="16"/>
      <c r="V60" s="16"/>
    </row>
    <row r="61" spans="1:29" x14ac:dyDescent="0.35">
      <c r="C61" s="16"/>
      <c r="U61" s="16"/>
      <c r="V61" s="16"/>
    </row>
    <row r="62" spans="1:29" x14ac:dyDescent="0.35">
      <c r="C62" s="16"/>
      <c r="U62" s="16"/>
      <c r="V62" s="16"/>
    </row>
    <row r="63" spans="1:29" x14ac:dyDescent="0.35">
      <c r="C63" s="16"/>
      <c r="U63" s="16"/>
      <c r="V63" s="16"/>
    </row>
    <row r="64" spans="1:29" x14ac:dyDescent="0.35">
      <c r="C64" s="16"/>
      <c r="U64" s="16"/>
      <c r="V64" s="16"/>
    </row>
    <row r="65" spans="3:22" x14ac:dyDescent="0.35">
      <c r="C65" s="16"/>
      <c r="U65" s="16"/>
      <c r="V65" s="16"/>
    </row>
    <row r="66" spans="3:22" x14ac:dyDescent="0.35">
      <c r="C66" s="16"/>
      <c r="U66" s="16"/>
      <c r="V66" s="16"/>
    </row>
    <row r="67" spans="3:22" x14ac:dyDescent="0.35">
      <c r="C67" s="16"/>
      <c r="U67" s="16"/>
      <c r="V67" s="16"/>
    </row>
    <row r="68" spans="3:22" x14ac:dyDescent="0.35">
      <c r="C68" s="16"/>
      <c r="U68" s="16"/>
      <c r="V68" s="16"/>
    </row>
    <row r="69" spans="3:22" x14ac:dyDescent="0.35">
      <c r="C69" s="16"/>
      <c r="U69" s="16"/>
      <c r="V69" s="16"/>
    </row>
    <row r="70" spans="3:22" x14ac:dyDescent="0.35">
      <c r="C70" s="16"/>
      <c r="U70" s="16"/>
      <c r="V70" s="16"/>
    </row>
    <row r="71" spans="3:22" x14ac:dyDescent="0.35">
      <c r="C71" s="16"/>
      <c r="U71" s="16"/>
      <c r="V71" s="16"/>
    </row>
    <row r="72" spans="3:22" x14ac:dyDescent="0.35">
      <c r="C72" s="16"/>
      <c r="U72" s="16"/>
      <c r="V72" s="16"/>
    </row>
    <row r="73" spans="3:22" x14ac:dyDescent="0.35">
      <c r="C73" s="16"/>
      <c r="U73" s="16"/>
      <c r="V73" s="16"/>
    </row>
    <row r="74" spans="3:22" x14ac:dyDescent="0.35">
      <c r="C74" s="16"/>
      <c r="U74" s="16"/>
      <c r="V74" s="16"/>
    </row>
    <row r="75" spans="3:22" x14ac:dyDescent="0.35">
      <c r="C75" s="16"/>
      <c r="U75" s="16"/>
      <c r="V75" s="16"/>
    </row>
    <row r="76" spans="3:22" x14ac:dyDescent="0.35">
      <c r="C76" s="16"/>
      <c r="U76" s="16"/>
      <c r="V76" s="16"/>
    </row>
    <row r="77" spans="3:22" x14ac:dyDescent="0.35">
      <c r="C77" s="16"/>
      <c r="U77" s="16"/>
      <c r="V77" s="16"/>
    </row>
    <row r="78" spans="3:22" x14ac:dyDescent="0.35">
      <c r="C78" s="16"/>
      <c r="U78" s="16"/>
      <c r="V78" s="16"/>
    </row>
    <row r="79" spans="3:22" x14ac:dyDescent="0.35">
      <c r="C79" s="16"/>
      <c r="U79" s="16"/>
      <c r="V79" s="16"/>
    </row>
    <row r="80" spans="3:22" x14ac:dyDescent="0.35">
      <c r="C80" s="16"/>
      <c r="U80" s="16"/>
      <c r="V80" s="16"/>
    </row>
    <row r="81" spans="3:22" x14ac:dyDescent="0.35">
      <c r="C81" s="16"/>
      <c r="U81" s="16"/>
      <c r="V81" s="16"/>
    </row>
    <row r="82" spans="3:22" x14ac:dyDescent="0.35">
      <c r="C82" s="16"/>
      <c r="U82" s="16"/>
      <c r="V82" s="16"/>
    </row>
    <row r="83" spans="3:22" x14ac:dyDescent="0.35">
      <c r="C83" s="16"/>
      <c r="U83" s="16"/>
      <c r="V83" s="16"/>
    </row>
    <row r="84" spans="3:22" x14ac:dyDescent="0.35">
      <c r="C84" s="16"/>
      <c r="U84" s="16"/>
      <c r="V84" s="16"/>
    </row>
    <row r="85" spans="3:22" x14ac:dyDescent="0.35">
      <c r="C85" s="16"/>
      <c r="U85" s="16"/>
      <c r="V85" s="16"/>
    </row>
    <row r="86" spans="3:22" x14ac:dyDescent="0.35">
      <c r="C86" s="16"/>
      <c r="U86" s="16"/>
      <c r="V86" s="16"/>
    </row>
    <row r="87" spans="3:22" x14ac:dyDescent="0.35">
      <c r="C87" s="16"/>
      <c r="U87" s="16"/>
      <c r="V87" s="16"/>
    </row>
    <row r="88" spans="3:22" x14ac:dyDescent="0.35">
      <c r="C88" s="16"/>
      <c r="U88" s="16"/>
      <c r="V88" s="16"/>
    </row>
    <row r="89" spans="3:22" x14ac:dyDescent="0.35">
      <c r="C89" s="16"/>
      <c r="U89" s="16"/>
      <c r="V89" s="16"/>
    </row>
    <row r="90" spans="3:22" x14ac:dyDescent="0.35">
      <c r="C90" s="16"/>
      <c r="U90" s="16"/>
      <c r="V90" s="16"/>
    </row>
    <row r="91" spans="3:22" x14ac:dyDescent="0.35">
      <c r="C91" s="16"/>
      <c r="U91" s="16"/>
      <c r="V91" s="16"/>
    </row>
    <row r="92" spans="3:22" x14ac:dyDescent="0.35">
      <c r="C92" s="16"/>
      <c r="U92" s="16"/>
      <c r="V92" s="16"/>
    </row>
    <row r="93" spans="3:22" x14ac:dyDescent="0.35">
      <c r="C93" s="16"/>
      <c r="U93" s="16"/>
      <c r="V93" s="16"/>
    </row>
    <row r="94" spans="3:22" x14ac:dyDescent="0.35">
      <c r="C94" s="16"/>
      <c r="U94" s="16"/>
      <c r="V94" s="16"/>
    </row>
    <row r="95" spans="3:22" x14ac:dyDescent="0.35">
      <c r="C95" s="16"/>
      <c r="U95" s="16"/>
      <c r="V95" s="16"/>
    </row>
    <row r="96" spans="3:22" x14ac:dyDescent="0.35">
      <c r="C96" s="16"/>
      <c r="U96" s="16"/>
      <c r="V96" s="16"/>
    </row>
    <row r="97" spans="3:22" x14ac:dyDescent="0.35">
      <c r="C97" s="16"/>
      <c r="U97" s="16"/>
      <c r="V97" s="16"/>
    </row>
    <row r="98" spans="3:22" x14ac:dyDescent="0.35">
      <c r="C98" s="16"/>
      <c r="U98" s="16"/>
      <c r="V98" s="16"/>
    </row>
    <row r="99" spans="3:22" x14ac:dyDescent="0.35">
      <c r="C99" s="16"/>
      <c r="U99" s="16"/>
      <c r="V99" s="16"/>
    </row>
    <row r="100" spans="3:22" x14ac:dyDescent="0.35">
      <c r="C100" s="16"/>
      <c r="U100" s="16"/>
      <c r="V100" s="16"/>
    </row>
    <row r="101" spans="3:22" x14ac:dyDescent="0.35">
      <c r="C101" s="16"/>
      <c r="U101" s="16"/>
      <c r="V101" s="16"/>
    </row>
    <row r="102" spans="3:22" x14ac:dyDescent="0.35">
      <c r="C102" s="16"/>
      <c r="U102" s="16"/>
      <c r="V102" s="16"/>
    </row>
    <row r="103" spans="3:22" x14ac:dyDescent="0.35">
      <c r="C103" s="16"/>
      <c r="U103" s="16"/>
      <c r="V103" s="16"/>
    </row>
    <row r="104" spans="3:22" x14ac:dyDescent="0.35">
      <c r="C104" s="16"/>
      <c r="U104" s="16"/>
      <c r="V104" s="16"/>
    </row>
    <row r="105" spans="3:22" x14ac:dyDescent="0.35">
      <c r="C105" s="16"/>
      <c r="U105" s="16"/>
      <c r="V105" s="16"/>
    </row>
    <row r="106" spans="3:22" x14ac:dyDescent="0.35">
      <c r="C106" s="16"/>
      <c r="U106" s="16"/>
      <c r="V106" s="16"/>
    </row>
    <row r="107" spans="3:22" x14ac:dyDescent="0.35">
      <c r="C107" s="16"/>
      <c r="U107" s="16"/>
      <c r="V107" s="16"/>
    </row>
    <row r="108" spans="3:22" x14ac:dyDescent="0.35">
      <c r="C108" s="16"/>
      <c r="U108" s="16"/>
      <c r="V108" s="16"/>
    </row>
    <row r="109" spans="3:22" x14ac:dyDescent="0.35">
      <c r="C109" s="16"/>
      <c r="U109" s="16"/>
      <c r="V109" s="16"/>
    </row>
    <row r="110" spans="3:22" x14ac:dyDescent="0.35">
      <c r="C110" s="16"/>
      <c r="U110" s="16"/>
      <c r="V110" s="16"/>
    </row>
    <row r="111" spans="3:22" x14ac:dyDescent="0.35">
      <c r="C111" s="16"/>
      <c r="U111" s="16"/>
      <c r="V111" s="16"/>
    </row>
    <row r="112" spans="3:22" x14ac:dyDescent="0.35">
      <c r="C112" s="16"/>
      <c r="U112" s="16"/>
      <c r="V112" s="16"/>
    </row>
    <row r="113" spans="3:22" x14ac:dyDescent="0.35">
      <c r="C113" s="16"/>
      <c r="U113" s="16"/>
      <c r="V113" s="16"/>
    </row>
    <row r="114" spans="3:22" x14ac:dyDescent="0.35">
      <c r="C114" s="16"/>
      <c r="U114" s="16"/>
      <c r="V114" s="16"/>
    </row>
    <row r="115" spans="3:22" x14ac:dyDescent="0.35">
      <c r="C115" s="16"/>
      <c r="U115" s="16"/>
      <c r="V115" s="16"/>
    </row>
    <row r="116" spans="3:22" x14ac:dyDescent="0.35">
      <c r="C116" s="16"/>
      <c r="U116" s="16"/>
      <c r="V116" s="16"/>
    </row>
    <row r="117" spans="3:22" x14ac:dyDescent="0.35">
      <c r="C117" s="16"/>
      <c r="U117" s="16"/>
      <c r="V117" s="16"/>
    </row>
    <row r="118" spans="3:22" x14ac:dyDescent="0.35">
      <c r="C118" s="16"/>
      <c r="U118" s="16"/>
      <c r="V118" s="16"/>
    </row>
    <row r="119" spans="3:22" x14ac:dyDescent="0.35">
      <c r="C119" s="16"/>
      <c r="U119" s="16"/>
      <c r="V119" s="16"/>
    </row>
    <row r="120" spans="3:22" x14ac:dyDescent="0.35">
      <c r="C120" s="16"/>
      <c r="U120" s="16"/>
      <c r="V120" s="16"/>
    </row>
    <row r="121" spans="3:22" x14ac:dyDescent="0.35">
      <c r="C121" s="16"/>
      <c r="U121" s="16"/>
      <c r="V121" s="16"/>
    </row>
    <row r="122" spans="3:22" x14ac:dyDescent="0.35">
      <c r="C122" s="16"/>
      <c r="U122" s="16"/>
      <c r="V122" s="16"/>
    </row>
    <row r="123" spans="3:22" x14ac:dyDescent="0.35">
      <c r="C123" s="16"/>
      <c r="U123" s="16"/>
      <c r="V123" s="16"/>
    </row>
    <row r="124" spans="3:22" x14ac:dyDescent="0.35">
      <c r="C124" s="16"/>
      <c r="U124" s="16"/>
      <c r="V124" s="16"/>
    </row>
    <row r="125" spans="3:22" x14ac:dyDescent="0.35">
      <c r="C125" s="16"/>
      <c r="U125" s="16"/>
      <c r="V125" s="16"/>
    </row>
    <row r="126" spans="3:22" x14ac:dyDescent="0.35">
      <c r="C126" s="16"/>
      <c r="U126" s="16"/>
      <c r="V126" s="16"/>
    </row>
    <row r="127" spans="3:22" x14ac:dyDescent="0.35">
      <c r="C127" s="16"/>
      <c r="U127" s="16"/>
      <c r="V127" s="16"/>
    </row>
    <row r="128" spans="3:22" x14ac:dyDescent="0.35">
      <c r="C128" s="16"/>
      <c r="U128" s="16"/>
      <c r="V128" s="16"/>
    </row>
    <row r="129" spans="3:22" x14ac:dyDescent="0.35">
      <c r="C129" s="16"/>
      <c r="U129" s="16"/>
      <c r="V129" s="16"/>
    </row>
    <row r="130" spans="3:22" x14ac:dyDescent="0.35">
      <c r="C130" s="16"/>
      <c r="U130" s="16"/>
      <c r="V130" s="16"/>
    </row>
    <row r="131" spans="3:22" x14ac:dyDescent="0.35">
      <c r="C131" s="16"/>
      <c r="U131" s="16"/>
      <c r="V131" s="16"/>
    </row>
    <row r="132" spans="3:22" x14ac:dyDescent="0.35">
      <c r="C132" s="16"/>
      <c r="U132" s="16"/>
      <c r="V132" s="16"/>
    </row>
    <row r="133" spans="3:22" x14ac:dyDescent="0.35">
      <c r="C133" s="16"/>
      <c r="U133" s="16"/>
      <c r="V133" s="16"/>
    </row>
    <row r="134" spans="3:22" x14ac:dyDescent="0.35">
      <c r="C134" s="16"/>
      <c r="U134" s="16"/>
      <c r="V134" s="16"/>
    </row>
    <row r="135" spans="3:22" x14ac:dyDescent="0.35">
      <c r="C135" s="16"/>
      <c r="U135" s="16"/>
      <c r="V135" s="16"/>
    </row>
    <row r="136" spans="3:22" x14ac:dyDescent="0.35">
      <c r="C136" s="16"/>
      <c r="U136" s="16"/>
      <c r="V136" s="16"/>
    </row>
    <row r="137" spans="3:22" x14ac:dyDescent="0.35">
      <c r="C137" s="16"/>
      <c r="U137" s="16"/>
      <c r="V137" s="16"/>
    </row>
    <row r="138" spans="3:22" x14ac:dyDescent="0.35">
      <c r="C138" s="16"/>
      <c r="U138" s="16"/>
      <c r="V138" s="16"/>
    </row>
    <row r="139" spans="3:22" x14ac:dyDescent="0.35">
      <c r="C139" s="16"/>
      <c r="U139" s="16"/>
      <c r="V139" s="16"/>
    </row>
    <row r="140" spans="3:22" x14ac:dyDescent="0.35">
      <c r="C140" s="16"/>
      <c r="U140" s="16"/>
      <c r="V140" s="16"/>
    </row>
    <row r="141" spans="3:22" x14ac:dyDescent="0.35">
      <c r="C141" s="16"/>
      <c r="U141" s="16"/>
      <c r="V141" s="16"/>
    </row>
    <row r="142" spans="3:22" x14ac:dyDescent="0.35">
      <c r="C142" s="16"/>
      <c r="U142" s="16"/>
      <c r="V142" s="16"/>
    </row>
    <row r="143" spans="3:22" x14ac:dyDescent="0.35">
      <c r="C143" s="16"/>
      <c r="U143" s="16"/>
      <c r="V143" s="16"/>
    </row>
    <row r="144" spans="3:22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  <row r="153" spans="3:22" x14ac:dyDescent="0.35">
      <c r="C153" s="16"/>
      <c r="U153" s="16"/>
      <c r="V153" s="16"/>
    </row>
    <row r="154" spans="3:22" x14ac:dyDescent="0.35">
      <c r="C154" s="16"/>
      <c r="U154" s="16"/>
      <c r="V154" s="16"/>
    </row>
    <row r="155" spans="3:22" x14ac:dyDescent="0.35">
      <c r="C155" s="16"/>
      <c r="U155" s="16"/>
      <c r="V155" s="16"/>
    </row>
    <row r="156" spans="3:22" x14ac:dyDescent="0.35">
      <c r="C156" s="16"/>
      <c r="U156" s="16"/>
      <c r="V156" s="16"/>
    </row>
    <row r="157" spans="3:22" x14ac:dyDescent="0.35">
      <c r="C157" s="16"/>
      <c r="U157" s="16"/>
      <c r="V157" s="16"/>
    </row>
    <row r="158" spans="3:22" x14ac:dyDescent="0.35">
      <c r="C158" s="16"/>
      <c r="U158" s="16"/>
      <c r="V158" s="16"/>
    </row>
    <row r="159" spans="3:22" x14ac:dyDescent="0.35">
      <c r="C159" s="16"/>
      <c r="U159" s="16"/>
      <c r="V159" s="16"/>
    </row>
    <row r="160" spans="3:22" x14ac:dyDescent="0.35">
      <c r="C160" s="16"/>
      <c r="U160" s="16"/>
      <c r="V160" s="16"/>
    </row>
    <row r="161" spans="3:22" x14ac:dyDescent="0.35">
      <c r="C161" s="16"/>
      <c r="U161" s="16"/>
      <c r="V161" s="16"/>
    </row>
    <row r="162" spans="3:22" x14ac:dyDescent="0.35">
      <c r="C162" s="16"/>
      <c r="U162" s="16"/>
      <c r="V162" s="16"/>
    </row>
    <row r="163" spans="3:22" x14ac:dyDescent="0.35">
      <c r="C163" s="16"/>
      <c r="U163" s="16"/>
      <c r="V163" s="16"/>
    </row>
    <row r="164" spans="3:22" x14ac:dyDescent="0.35">
      <c r="C164" s="16"/>
      <c r="U164" s="16"/>
      <c r="V164" s="16"/>
    </row>
    <row r="165" spans="3:22" x14ac:dyDescent="0.35">
      <c r="C165" s="16"/>
      <c r="U165" s="16"/>
      <c r="V165" s="16"/>
    </row>
    <row r="166" spans="3:22" x14ac:dyDescent="0.35">
      <c r="C166" s="16"/>
      <c r="U166" s="16"/>
      <c r="V166" s="16"/>
    </row>
    <row r="167" spans="3:22" x14ac:dyDescent="0.35">
      <c r="C167" s="16"/>
      <c r="U167" s="16"/>
      <c r="V167" s="16"/>
    </row>
    <row r="168" spans="3:22" x14ac:dyDescent="0.35">
      <c r="C168" s="16"/>
      <c r="U168" s="16"/>
      <c r="V168" s="16"/>
    </row>
    <row r="169" spans="3:22" x14ac:dyDescent="0.35">
      <c r="C169" s="16"/>
      <c r="U169" s="16"/>
      <c r="V169" s="16"/>
    </row>
    <row r="170" spans="3:22" x14ac:dyDescent="0.35">
      <c r="C170" s="16"/>
      <c r="U170" s="16"/>
      <c r="V170" s="16"/>
    </row>
    <row r="171" spans="3:22" x14ac:dyDescent="0.35">
      <c r="C171" s="16"/>
      <c r="U171" s="16"/>
      <c r="V171" s="16"/>
    </row>
    <row r="172" spans="3:22" x14ac:dyDescent="0.35">
      <c r="C172" s="16"/>
      <c r="U172" s="16"/>
      <c r="V172" s="16"/>
    </row>
    <row r="173" spans="3:22" x14ac:dyDescent="0.35">
      <c r="C173" s="16"/>
      <c r="U173" s="16"/>
      <c r="V173" s="16"/>
    </row>
    <row r="174" spans="3:22" x14ac:dyDescent="0.35">
      <c r="C174" s="16"/>
      <c r="U174" s="16"/>
      <c r="V174" s="16"/>
    </row>
    <row r="175" spans="3:22" x14ac:dyDescent="0.35">
      <c r="C175" s="16"/>
      <c r="U175" s="16"/>
      <c r="V175" s="16"/>
    </row>
    <row r="176" spans="3:22" x14ac:dyDescent="0.35">
      <c r="C176" s="16"/>
      <c r="U176" s="16"/>
      <c r="V176" s="16"/>
    </row>
    <row r="177" spans="3:22" x14ac:dyDescent="0.35">
      <c r="C177" s="16"/>
      <c r="U177" s="16"/>
      <c r="V177" s="16"/>
    </row>
    <row r="178" spans="3:22" x14ac:dyDescent="0.35">
      <c r="C178" s="16"/>
      <c r="U178" s="16"/>
      <c r="V178" s="16"/>
    </row>
    <row r="179" spans="3:22" x14ac:dyDescent="0.35">
      <c r="C179" s="16"/>
      <c r="U179" s="16"/>
      <c r="V179" s="16"/>
    </row>
    <row r="180" spans="3:22" x14ac:dyDescent="0.35">
      <c r="C180" s="16"/>
      <c r="U180" s="16"/>
      <c r="V180" s="16"/>
    </row>
    <row r="181" spans="3:22" x14ac:dyDescent="0.35">
      <c r="C181" s="16"/>
      <c r="U181" s="16"/>
      <c r="V181" s="16"/>
    </row>
    <row r="182" spans="3:22" x14ac:dyDescent="0.35">
      <c r="C182" s="16"/>
      <c r="U182" s="16"/>
      <c r="V182" s="16"/>
    </row>
    <row r="183" spans="3:22" x14ac:dyDescent="0.35">
      <c r="C183" s="16"/>
      <c r="U183" s="16"/>
      <c r="V183" s="16"/>
    </row>
    <row r="184" spans="3:22" x14ac:dyDescent="0.35">
      <c r="C184" s="16"/>
      <c r="U184" s="16"/>
      <c r="V184" s="16"/>
    </row>
    <row r="185" spans="3:22" x14ac:dyDescent="0.35">
      <c r="C185" s="16"/>
      <c r="U185" s="16"/>
      <c r="V185" s="16"/>
    </row>
    <row r="186" spans="3:22" x14ac:dyDescent="0.35">
      <c r="C186" s="16"/>
      <c r="U186" s="16"/>
      <c r="V186" s="16"/>
    </row>
    <row r="187" spans="3:22" x14ac:dyDescent="0.35">
      <c r="C187" s="16"/>
      <c r="U187" s="16"/>
      <c r="V187" s="16"/>
    </row>
    <row r="188" spans="3:22" x14ac:dyDescent="0.35">
      <c r="C188" s="16"/>
      <c r="U188" s="16"/>
      <c r="V188" s="16"/>
    </row>
    <row r="189" spans="3:22" x14ac:dyDescent="0.35">
      <c r="C189" s="16"/>
      <c r="U189" s="16"/>
      <c r="V189" s="16"/>
    </row>
    <row r="190" spans="3:22" x14ac:dyDescent="0.35">
      <c r="C190" s="16"/>
      <c r="U190" s="16"/>
      <c r="V190" s="16"/>
    </row>
    <row r="191" spans="3:22" x14ac:dyDescent="0.35">
      <c r="C191" s="16"/>
      <c r="U191" s="16"/>
      <c r="V191" s="16"/>
    </row>
    <row r="192" spans="3:22" x14ac:dyDescent="0.35">
      <c r="C192" s="16"/>
      <c r="U192" s="16"/>
      <c r="V192" s="16"/>
    </row>
    <row r="193" spans="3:22" x14ac:dyDescent="0.35">
      <c r="C193" s="16"/>
      <c r="U193" s="16"/>
      <c r="V193" s="16"/>
    </row>
    <row r="194" spans="3:22" x14ac:dyDescent="0.35">
      <c r="C194" s="16"/>
      <c r="U194" s="16"/>
      <c r="V194" s="16"/>
    </row>
    <row r="195" spans="3:22" x14ac:dyDescent="0.35">
      <c r="C195" s="16"/>
      <c r="U195" s="16"/>
      <c r="V195" s="16"/>
    </row>
    <row r="196" spans="3:22" x14ac:dyDescent="0.35">
      <c r="C196" s="16"/>
      <c r="U196" s="16"/>
      <c r="V196" s="16"/>
    </row>
    <row r="197" spans="3:22" x14ac:dyDescent="0.35">
      <c r="C197" s="16"/>
      <c r="U197" s="16"/>
      <c r="V197" s="16"/>
    </row>
    <row r="198" spans="3:22" x14ac:dyDescent="0.35">
      <c r="C198" s="16"/>
      <c r="U198" s="16"/>
      <c r="V198" s="16"/>
    </row>
    <row r="199" spans="3:22" x14ac:dyDescent="0.35">
      <c r="C199" s="16"/>
      <c r="U199" s="16"/>
      <c r="V199" s="16"/>
    </row>
    <row r="200" spans="3:22" x14ac:dyDescent="0.35">
      <c r="C200" s="16"/>
      <c r="U200" s="16"/>
      <c r="V200" s="16"/>
    </row>
    <row r="201" spans="3:22" x14ac:dyDescent="0.35">
      <c r="C201" s="16"/>
      <c r="U201" s="16"/>
      <c r="V201" s="16"/>
    </row>
    <row r="202" spans="3:22" x14ac:dyDescent="0.35">
      <c r="C202" s="16"/>
      <c r="U202" s="16"/>
      <c r="V202" s="16"/>
    </row>
    <row r="203" spans="3:22" x14ac:dyDescent="0.35">
      <c r="C203" s="16"/>
      <c r="U203" s="16"/>
      <c r="V203" s="16"/>
    </row>
    <row r="204" spans="3:22" x14ac:dyDescent="0.35">
      <c r="C204" s="16"/>
      <c r="U204" s="16"/>
      <c r="V204" s="16"/>
    </row>
    <row r="205" spans="3:22" x14ac:dyDescent="0.35">
      <c r="C205" s="16"/>
      <c r="U205" s="16"/>
      <c r="V205" s="16"/>
    </row>
    <row r="206" spans="3:22" x14ac:dyDescent="0.35">
      <c r="C206" s="16"/>
      <c r="U206" s="16"/>
      <c r="V206" s="16"/>
    </row>
    <row r="207" spans="3:22" x14ac:dyDescent="0.35">
      <c r="C207" s="16"/>
      <c r="U207" s="16"/>
      <c r="V207" s="16"/>
    </row>
    <row r="208" spans="3:22" x14ac:dyDescent="0.35">
      <c r="C208" s="16"/>
      <c r="U208" s="16"/>
      <c r="V208" s="16"/>
    </row>
    <row r="209" spans="3:22" x14ac:dyDescent="0.35">
      <c r="C209" s="16"/>
      <c r="U209" s="16"/>
      <c r="V209" s="16"/>
    </row>
    <row r="210" spans="3:22" x14ac:dyDescent="0.35">
      <c r="C210" s="16"/>
      <c r="U210" s="16"/>
      <c r="V210" s="16"/>
    </row>
    <row r="211" spans="3:22" x14ac:dyDescent="0.35">
      <c r="C211" s="16"/>
      <c r="U211" s="16"/>
      <c r="V211" s="16"/>
    </row>
    <row r="212" spans="3:22" x14ac:dyDescent="0.35">
      <c r="C212" s="16"/>
      <c r="U212" s="16"/>
      <c r="V212" s="16"/>
    </row>
    <row r="213" spans="3:22" x14ac:dyDescent="0.35">
      <c r="C213" s="16"/>
      <c r="U213" s="16"/>
      <c r="V213" s="16"/>
    </row>
    <row r="214" spans="3:22" x14ac:dyDescent="0.35">
      <c r="C214" s="16"/>
      <c r="U214" s="16"/>
      <c r="V214" s="16"/>
    </row>
    <row r="215" spans="3:22" x14ac:dyDescent="0.35">
      <c r="C215" s="16"/>
      <c r="U215" s="16"/>
      <c r="V215" s="16"/>
    </row>
    <row r="216" spans="3:22" x14ac:dyDescent="0.35">
      <c r="C216" s="16"/>
      <c r="U216" s="16"/>
      <c r="V216" s="16"/>
    </row>
    <row r="217" spans="3:22" x14ac:dyDescent="0.35">
      <c r="C217" s="16"/>
      <c r="U217" s="16"/>
      <c r="V217" s="16"/>
    </row>
    <row r="218" spans="3:22" x14ac:dyDescent="0.35">
      <c r="C218" s="16"/>
      <c r="U218" s="16"/>
      <c r="V218" s="16"/>
    </row>
    <row r="219" spans="3:22" x14ac:dyDescent="0.35">
      <c r="C219" s="16"/>
      <c r="U219" s="16"/>
      <c r="V219" s="16"/>
    </row>
    <row r="220" spans="3:22" x14ac:dyDescent="0.35">
      <c r="C220" s="16"/>
      <c r="U220" s="16"/>
      <c r="V220" s="16"/>
    </row>
    <row r="221" spans="3:22" x14ac:dyDescent="0.35">
      <c r="C221" s="16"/>
      <c r="U221" s="16"/>
      <c r="V221" s="16"/>
    </row>
    <row r="222" spans="3:22" x14ac:dyDescent="0.35">
      <c r="C222" s="16"/>
      <c r="U222" s="16"/>
      <c r="V222" s="16"/>
    </row>
    <row r="223" spans="3:22" x14ac:dyDescent="0.35">
      <c r="C223" s="16"/>
      <c r="U223" s="16"/>
      <c r="V223" s="16"/>
    </row>
    <row r="224" spans="3:22" x14ac:dyDescent="0.35">
      <c r="C224" s="16"/>
      <c r="U224" s="16"/>
      <c r="V224" s="16"/>
    </row>
    <row r="225" spans="3:22" x14ac:dyDescent="0.35">
      <c r="C225" s="16"/>
      <c r="U225" s="16"/>
      <c r="V225" s="16"/>
    </row>
    <row r="226" spans="3:22" x14ac:dyDescent="0.35">
      <c r="C226" s="16"/>
      <c r="U226" s="16"/>
      <c r="V226" s="16"/>
    </row>
    <row r="227" spans="3:22" x14ac:dyDescent="0.35">
      <c r="C227" s="16"/>
      <c r="U227" s="16"/>
      <c r="V227" s="16"/>
    </row>
    <row r="228" spans="3:22" x14ac:dyDescent="0.35">
      <c r="C228" s="16"/>
      <c r="U228" s="16"/>
      <c r="V228" s="16"/>
    </row>
    <row r="229" spans="3:22" x14ac:dyDescent="0.35">
      <c r="C229" s="16"/>
      <c r="U229" s="16"/>
      <c r="V229" s="16"/>
    </row>
    <row r="230" spans="3:22" x14ac:dyDescent="0.35">
      <c r="C230" s="16"/>
      <c r="U230" s="16"/>
      <c r="V230" s="16"/>
    </row>
    <row r="231" spans="3:22" x14ac:dyDescent="0.35">
      <c r="C231" s="16"/>
      <c r="U231" s="16"/>
      <c r="V231" s="16"/>
    </row>
    <row r="232" spans="3:22" x14ac:dyDescent="0.35">
      <c r="C232" s="16"/>
      <c r="U232" s="16"/>
      <c r="V232" s="16"/>
    </row>
    <row r="233" spans="3:22" x14ac:dyDescent="0.35">
      <c r="C233" s="16"/>
      <c r="U233" s="16"/>
      <c r="V233" s="16"/>
    </row>
    <row r="234" spans="3:22" x14ac:dyDescent="0.35">
      <c r="C234" s="16"/>
      <c r="U234" s="16"/>
      <c r="V234" s="16"/>
    </row>
    <row r="235" spans="3:22" x14ac:dyDescent="0.35">
      <c r="C235" s="16"/>
      <c r="U235" s="16"/>
      <c r="V235" s="16"/>
    </row>
    <row r="236" spans="3:22" x14ac:dyDescent="0.35">
      <c r="C236" s="16"/>
      <c r="U236" s="16"/>
      <c r="V236" s="16"/>
    </row>
    <row r="237" spans="3:22" x14ac:dyDescent="0.35">
      <c r="C237" s="16"/>
      <c r="U237" s="16"/>
      <c r="V237" s="16"/>
    </row>
    <row r="238" spans="3:22" x14ac:dyDescent="0.35">
      <c r="C238" s="16"/>
      <c r="U238" s="16"/>
      <c r="V238" s="16"/>
    </row>
    <row r="239" spans="3:22" x14ac:dyDescent="0.35">
      <c r="C239" s="16"/>
      <c r="U239" s="16"/>
      <c r="V239" s="16"/>
    </row>
  </sheetData>
  <autoFilter ref="A1:OJ49" xr:uid="{88BD62F4-E065-42A1-A8DB-435E7DB2DAD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4DE28-F3A9-4203-AAA4-8D03F18FDEB5}">
  <dimension ref="A1:AO49"/>
  <sheetViews>
    <sheetView workbookViewId="0">
      <pane ySplit="1" topLeftCell="A2" activePane="bottomLeft" state="frozenSplit"/>
      <selection pane="bottomLeft" activeCell="F3" sqref="F3"/>
    </sheetView>
  </sheetViews>
  <sheetFormatPr baseColWidth="10" defaultColWidth="11.453125" defaultRowHeight="14.5" x14ac:dyDescent="0.35"/>
  <cols>
    <col min="1" max="1" width="8.7265625" style="12" customWidth="1"/>
    <col min="2" max="2" width="7.7265625" style="12" customWidth="1"/>
    <col min="3" max="3" width="12.7265625" style="12" customWidth="1"/>
    <col min="4" max="4" width="13.7265625" style="12" customWidth="1"/>
    <col min="5" max="5" width="25.7265625" style="17" customWidth="1"/>
    <col min="6" max="6" width="13.7265625" style="12" customWidth="1"/>
    <col min="7" max="7" width="25.7265625" style="17" customWidth="1"/>
    <col min="8" max="8" width="13.7265625" style="12" customWidth="1"/>
    <col min="9" max="11" width="25.7265625" style="17" customWidth="1"/>
    <col min="12" max="12" width="8.7265625" style="12" customWidth="1"/>
    <col min="13" max="13" width="25.7265625" style="17" customWidth="1"/>
    <col min="14" max="14" width="13.7265625" style="12" customWidth="1"/>
    <col min="15" max="16" width="30.7265625" style="17" customWidth="1"/>
    <col min="17" max="17" width="25.7265625" style="17" customWidth="1"/>
    <col min="18" max="20" width="13.7265625" style="12" customWidth="1"/>
    <col min="21" max="22" width="12.7265625" style="12" customWidth="1"/>
    <col min="23" max="24" width="25.7265625" style="17" customWidth="1"/>
    <col min="25" max="25" width="15.7265625" style="12" customWidth="1"/>
    <col min="26" max="28" width="25.7265625" style="17" customWidth="1"/>
    <col min="29" max="29" width="15.7265625" style="12" customWidth="1"/>
    <col min="30" max="32" width="25.7265625" style="17" customWidth="1"/>
    <col min="33" max="33" width="15.7265625" style="12" customWidth="1"/>
    <col min="34" max="36" width="25.7265625" style="17" customWidth="1"/>
    <col min="37" max="37" width="15.7265625" style="12" customWidth="1"/>
    <col min="38" max="38" width="25.7265625" style="17" customWidth="1"/>
    <col min="39" max="39" width="40.7265625" style="17" customWidth="1"/>
    <col min="40" max="40" width="9.7265625" style="12" customWidth="1"/>
    <col min="41" max="41" width="15.7265625" style="12" customWidth="1"/>
    <col min="42" max="16384" width="11.453125" style="12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227</v>
      </c>
      <c r="X1" s="10" t="s">
        <v>228</v>
      </c>
      <c r="Y1" s="10" t="s">
        <v>229</v>
      </c>
      <c r="Z1" s="10" t="s">
        <v>230</v>
      </c>
      <c r="AA1" s="10" t="s">
        <v>231</v>
      </c>
      <c r="AB1" s="10" t="s">
        <v>232</v>
      </c>
      <c r="AC1" s="10" t="s">
        <v>233</v>
      </c>
      <c r="AD1" s="10" t="s">
        <v>234</v>
      </c>
      <c r="AE1" s="10" t="s">
        <v>235</v>
      </c>
      <c r="AF1" s="10" t="s">
        <v>236</v>
      </c>
      <c r="AG1" s="10" t="s">
        <v>237</v>
      </c>
      <c r="AH1" s="10" t="s">
        <v>238</v>
      </c>
      <c r="AI1" s="10" t="s">
        <v>239</v>
      </c>
      <c r="AJ1" s="10" t="s">
        <v>240</v>
      </c>
      <c r="AK1" s="10" t="s">
        <v>241</v>
      </c>
      <c r="AL1" s="10" t="s">
        <v>242</v>
      </c>
      <c r="AM1" s="10" t="s">
        <v>243</v>
      </c>
      <c r="AN1" s="10" t="s">
        <v>74</v>
      </c>
      <c r="AO1" s="10" t="s">
        <v>75</v>
      </c>
    </row>
    <row r="2" spans="1:41" ht="72.5" x14ac:dyDescent="0.35">
      <c r="A2" s="13" t="s">
        <v>76</v>
      </c>
      <c r="B2" s="13" t="s">
        <v>77</v>
      </c>
      <c r="C2" s="14">
        <v>45414.663888888892</v>
      </c>
      <c r="D2" s="13" t="s">
        <v>78</v>
      </c>
      <c r="E2" s="15" t="s">
        <v>79</v>
      </c>
      <c r="F2" s="13" t="s">
        <v>80</v>
      </c>
      <c r="G2" s="15" t="s">
        <v>81</v>
      </c>
      <c r="H2" s="13" t="s">
        <v>82</v>
      </c>
      <c r="I2" s="15" t="s">
        <v>83</v>
      </c>
      <c r="J2" s="15" t="s">
        <v>84</v>
      </c>
      <c r="K2" s="15" t="s">
        <v>85</v>
      </c>
      <c r="L2" s="13" t="s">
        <v>86</v>
      </c>
      <c r="M2" s="15" t="s">
        <v>87</v>
      </c>
      <c r="N2" s="13" t="s">
        <v>88</v>
      </c>
      <c r="O2" s="15"/>
      <c r="P2" s="15"/>
      <c r="Q2" s="15" t="s">
        <v>89</v>
      </c>
      <c r="R2" s="13" t="s">
        <v>90</v>
      </c>
      <c r="S2" s="13" t="s">
        <v>91</v>
      </c>
      <c r="T2" s="13" t="s">
        <v>92</v>
      </c>
      <c r="U2" s="14">
        <v>44927</v>
      </c>
      <c r="V2" s="14"/>
      <c r="W2" s="15"/>
      <c r="X2" s="15"/>
      <c r="Y2" s="13"/>
      <c r="Z2" s="15"/>
      <c r="AA2" s="15"/>
      <c r="AB2" s="15"/>
      <c r="AC2" s="13"/>
      <c r="AD2" s="15"/>
      <c r="AE2" s="15"/>
      <c r="AF2" s="15"/>
      <c r="AG2" s="13"/>
      <c r="AH2" s="15"/>
      <c r="AI2" s="15"/>
      <c r="AJ2" s="15"/>
      <c r="AK2" s="13"/>
      <c r="AL2" s="15"/>
      <c r="AM2" s="15"/>
      <c r="AN2" s="13"/>
      <c r="AO2" s="13"/>
    </row>
    <row r="3" spans="1:41" ht="72.5" x14ac:dyDescent="0.35">
      <c r="A3" s="13" t="s">
        <v>76</v>
      </c>
      <c r="B3" s="13" t="s">
        <v>77</v>
      </c>
      <c r="C3" s="14">
        <v>45414.664583333331</v>
      </c>
      <c r="D3" s="13" t="s">
        <v>78</v>
      </c>
      <c r="E3" s="15" t="s">
        <v>79</v>
      </c>
      <c r="F3" s="13" t="s">
        <v>80</v>
      </c>
      <c r="G3" s="15" t="s">
        <v>81</v>
      </c>
      <c r="H3" s="13" t="s">
        <v>82</v>
      </c>
      <c r="I3" s="15" t="s">
        <v>83</v>
      </c>
      <c r="J3" s="15" t="s">
        <v>84</v>
      </c>
      <c r="K3" s="15" t="s">
        <v>85</v>
      </c>
      <c r="L3" s="13" t="s">
        <v>93</v>
      </c>
      <c r="M3" s="15" t="s">
        <v>94</v>
      </c>
      <c r="N3" s="13" t="s">
        <v>95</v>
      </c>
      <c r="O3" s="15"/>
      <c r="P3" s="15"/>
      <c r="Q3" s="15" t="s">
        <v>89</v>
      </c>
      <c r="R3" s="13" t="s">
        <v>90</v>
      </c>
      <c r="S3" s="13" t="s">
        <v>91</v>
      </c>
      <c r="T3" s="13" t="s">
        <v>92</v>
      </c>
      <c r="U3" s="14">
        <v>44927</v>
      </c>
      <c r="V3" s="14"/>
      <c r="W3" s="15"/>
      <c r="X3" s="15"/>
      <c r="Y3" s="13"/>
      <c r="Z3" s="15"/>
      <c r="AA3" s="15"/>
      <c r="AB3" s="15"/>
      <c r="AC3" s="13"/>
      <c r="AD3" s="15"/>
      <c r="AE3" s="15"/>
      <c r="AF3" s="15"/>
      <c r="AG3" s="13"/>
      <c r="AH3" s="15"/>
      <c r="AI3" s="15"/>
      <c r="AJ3" s="15"/>
      <c r="AK3" s="13"/>
      <c r="AL3" s="15"/>
      <c r="AM3" s="15"/>
      <c r="AN3" s="13"/>
      <c r="AO3" s="13"/>
    </row>
    <row r="4" spans="1:41" ht="72.5" x14ac:dyDescent="0.35">
      <c r="A4" s="13" t="s">
        <v>76</v>
      </c>
      <c r="B4" s="13" t="s">
        <v>77</v>
      </c>
      <c r="C4" s="14">
        <v>45414.664583333331</v>
      </c>
      <c r="D4" s="13" t="s">
        <v>78</v>
      </c>
      <c r="E4" s="15" t="s">
        <v>79</v>
      </c>
      <c r="F4" s="13" t="s">
        <v>80</v>
      </c>
      <c r="G4" s="15" t="s">
        <v>81</v>
      </c>
      <c r="H4" s="13" t="s">
        <v>82</v>
      </c>
      <c r="I4" s="15" t="s">
        <v>83</v>
      </c>
      <c r="J4" s="15" t="s">
        <v>84</v>
      </c>
      <c r="K4" s="15" t="s">
        <v>85</v>
      </c>
      <c r="L4" s="13" t="s">
        <v>86</v>
      </c>
      <c r="M4" s="15" t="s">
        <v>87</v>
      </c>
      <c r="N4" s="13" t="s">
        <v>88</v>
      </c>
      <c r="O4" s="15"/>
      <c r="P4" s="15"/>
      <c r="Q4" s="15" t="s">
        <v>96</v>
      </c>
      <c r="R4" s="13" t="s">
        <v>97</v>
      </c>
      <c r="S4" s="13" t="s">
        <v>91</v>
      </c>
      <c r="T4" s="13" t="s">
        <v>92</v>
      </c>
      <c r="U4" s="14">
        <v>44927</v>
      </c>
      <c r="V4" s="14"/>
      <c r="W4" s="15"/>
      <c r="X4" s="15"/>
      <c r="Y4" s="13"/>
      <c r="Z4" s="15"/>
      <c r="AA4" s="15"/>
      <c r="AB4" s="15"/>
      <c r="AC4" s="13"/>
      <c r="AD4" s="15"/>
      <c r="AE4" s="15"/>
      <c r="AF4" s="15"/>
      <c r="AG4" s="13"/>
      <c r="AH4" s="15"/>
      <c r="AI4" s="15"/>
      <c r="AJ4" s="15"/>
      <c r="AK4" s="13"/>
      <c r="AL4" s="15"/>
      <c r="AM4" s="15"/>
      <c r="AN4" s="13"/>
      <c r="AO4" s="13"/>
    </row>
    <row r="5" spans="1:41" ht="72.5" x14ac:dyDescent="0.35">
      <c r="A5" s="13" t="s">
        <v>76</v>
      </c>
      <c r="B5" s="13" t="s">
        <v>77</v>
      </c>
      <c r="C5" s="14">
        <v>45414.665277777778</v>
      </c>
      <c r="D5" s="13" t="s">
        <v>78</v>
      </c>
      <c r="E5" s="15" t="s">
        <v>79</v>
      </c>
      <c r="F5" s="13" t="s">
        <v>80</v>
      </c>
      <c r="G5" s="15" t="s">
        <v>81</v>
      </c>
      <c r="H5" s="13" t="s">
        <v>82</v>
      </c>
      <c r="I5" s="15" t="s">
        <v>83</v>
      </c>
      <c r="J5" s="15" t="s">
        <v>84</v>
      </c>
      <c r="K5" s="15" t="s">
        <v>85</v>
      </c>
      <c r="L5" s="13" t="s">
        <v>93</v>
      </c>
      <c r="M5" s="15" t="s">
        <v>94</v>
      </c>
      <c r="N5" s="13" t="s">
        <v>95</v>
      </c>
      <c r="O5" s="15"/>
      <c r="P5" s="15"/>
      <c r="Q5" s="15" t="s">
        <v>96</v>
      </c>
      <c r="R5" s="13" t="s">
        <v>97</v>
      </c>
      <c r="S5" s="13" t="s">
        <v>91</v>
      </c>
      <c r="T5" s="13" t="s">
        <v>92</v>
      </c>
      <c r="U5" s="14">
        <v>44927</v>
      </c>
      <c r="V5" s="14"/>
      <c r="W5" s="15"/>
      <c r="X5" s="15"/>
      <c r="Y5" s="13"/>
      <c r="Z5" s="15"/>
      <c r="AA5" s="15"/>
      <c r="AB5" s="15"/>
      <c r="AC5" s="13"/>
      <c r="AD5" s="15"/>
      <c r="AE5" s="15"/>
      <c r="AF5" s="15"/>
      <c r="AG5" s="13"/>
      <c r="AH5" s="15"/>
      <c r="AI5" s="15"/>
      <c r="AJ5" s="15"/>
      <c r="AK5" s="13"/>
      <c r="AL5" s="15"/>
      <c r="AM5" s="15"/>
      <c r="AN5" s="13"/>
      <c r="AO5" s="13"/>
    </row>
    <row r="6" spans="1:41" ht="72.5" x14ac:dyDescent="0.35">
      <c r="A6" s="13" t="s">
        <v>76</v>
      </c>
      <c r="B6" s="13" t="s">
        <v>77</v>
      </c>
      <c r="C6" s="14">
        <v>45414.663888888892</v>
      </c>
      <c r="D6" s="13" t="s">
        <v>78</v>
      </c>
      <c r="E6" s="15" t="s">
        <v>79</v>
      </c>
      <c r="F6" s="13" t="s">
        <v>80</v>
      </c>
      <c r="G6" s="15" t="s">
        <v>81</v>
      </c>
      <c r="H6" s="13" t="s">
        <v>82</v>
      </c>
      <c r="I6" s="15" t="s">
        <v>83</v>
      </c>
      <c r="J6" s="15" t="s">
        <v>84</v>
      </c>
      <c r="K6" s="15" t="s">
        <v>85</v>
      </c>
      <c r="L6" s="13" t="s">
        <v>86</v>
      </c>
      <c r="M6" s="15" t="s">
        <v>87</v>
      </c>
      <c r="N6" s="13" t="s">
        <v>88</v>
      </c>
      <c r="O6" s="15"/>
      <c r="P6" s="15"/>
      <c r="Q6" s="15" t="s">
        <v>98</v>
      </c>
      <c r="R6" s="13" t="s">
        <v>99</v>
      </c>
      <c r="S6" s="13" t="s">
        <v>91</v>
      </c>
      <c r="T6" s="13" t="s">
        <v>92</v>
      </c>
      <c r="U6" s="14">
        <v>44927</v>
      </c>
      <c r="V6" s="14"/>
      <c r="W6" s="15"/>
      <c r="X6" s="15"/>
      <c r="Y6" s="13"/>
      <c r="Z6" s="15"/>
      <c r="AA6" s="15"/>
      <c r="AB6" s="15"/>
      <c r="AC6" s="13"/>
      <c r="AD6" s="15"/>
      <c r="AE6" s="15"/>
      <c r="AF6" s="15"/>
      <c r="AG6" s="13"/>
      <c r="AH6" s="15"/>
      <c r="AI6" s="15"/>
      <c r="AJ6" s="15"/>
      <c r="AK6" s="13"/>
      <c r="AL6" s="15"/>
      <c r="AM6" s="15"/>
      <c r="AN6" s="13"/>
      <c r="AO6" s="13"/>
    </row>
    <row r="7" spans="1:41" ht="72.5" x14ac:dyDescent="0.35">
      <c r="A7" s="13" t="s">
        <v>76</v>
      </c>
      <c r="B7" s="13" t="s">
        <v>77</v>
      </c>
      <c r="C7" s="14">
        <v>45414.664583333331</v>
      </c>
      <c r="D7" s="13" t="s">
        <v>78</v>
      </c>
      <c r="E7" s="15" t="s">
        <v>79</v>
      </c>
      <c r="F7" s="13" t="s">
        <v>80</v>
      </c>
      <c r="G7" s="15" t="s">
        <v>81</v>
      </c>
      <c r="H7" s="13" t="s">
        <v>82</v>
      </c>
      <c r="I7" s="15" t="s">
        <v>83</v>
      </c>
      <c r="J7" s="15" t="s">
        <v>84</v>
      </c>
      <c r="K7" s="15" t="s">
        <v>85</v>
      </c>
      <c r="L7" s="13" t="s">
        <v>93</v>
      </c>
      <c r="M7" s="15" t="s">
        <v>94</v>
      </c>
      <c r="N7" s="13" t="s">
        <v>95</v>
      </c>
      <c r="O7" s="15"/>
      <c r="P7" s="15"/>
      <c r="Q7" s="15" t="s">
        <v>98</v>
      </c>
      <c r="R7" s="13" t="s">
        <v>99</v>
      </c>
      <c r="S7" s="13" t="s">
        <v>91</v>
      </c>
      <c r="T7" s="13" t="s">
        <v>92</v>
      </c>
      <c r="U7" s="14">
        <v>44927</v>
      </c>
      <c r="V7" s="14"/>
      <c r="W7" s="15"/>
      <c r="X7" s="15"/>
      <c r="Y7" s="13"/>
      <c r="Z7" s="15"/>
      <c r="AA7" s="15"/>
      <c r="AB7" s="15"/>
      <c r="AC7" s="13"/>
      <c r="AD7" s="15"/>
      <c r="AE7" s="15"/>
      <c r="AF7" s="15"/>
      <c r="AG7" s="13"/>
      <c r="AH7" s="15"/>
      <c r="AI7" s="15"/>
      <c r="AJ7" s="15"/>
      <c r="AK7" s="13"/>
      <c r="AL7" s="15"/>
      <c r="AM7" s="15"/>
      <c r="AN7" s="13"/>
      <c r="AO7" s="13"/>
    </row>
    <row r="8" spans="1:41" ht="72.5" x14ac:dyDescent="0.35">
      <c r="A8" s="13" t="s">
        <v>76</v>
      </c>
      <c r="B8" s="13" t="s">
        <v>77</v>
      </c>
      <c r="C8" s="14">
        <v>45414.663888888892</v>
      </c>
      <c r="D8" s="13" t="s">
        <v>78</v>
      </c>
      <c r="E8" s="15" t="s">
        <v>79</v>
      </c>
      <c r="F8" s="13" t="s">
        <v>80</v>
      </c>
      <c r="G8" s="15" t="s">
        <v>81</v>
      </c>
      <c r="H8" s="13" t="s">
        <v>82</v>
      </c>
      <c r="I8" s="15" t="s">
        <v>83</v>
      </c>
      <c r="J8" s="15" t="s">
        <v>84</v>
      </c>
      <c r="K8" s="15" t="s">
        <v>85</v>
      </c>
      <c r="L8" s="13" t="s">
        <v>86</v>
      </c>
      <c r="M8" s="15" t="s">
        <v>87</v>
      </c>
      <c r="N8" s="13" t="s">
        <v>88</v>
      </c>
      <c r="O8" s="15"/>
      <c r="P8" s="15"/>
      <c r="Q8" s="15" t="s">
        <v>100</v>
      </c>
      <c r="R8" s="13" t="s">
        <v>101</v>
      </c>
      <c r="S8" s="13" t="s">
        <v>91</v>
      </c>
      <c r="T8" s="13" t="s">
        <v>92</v>
      </c>
      <c r="U8" s="14">
        <v>44927</v>
      </c>
      <c r="V8" s="14"/>
      <c r="W8" s="15"/>
      <c r="X8" s="15"/>
      <c r="Y8" s="13"/>
      <c r="Z8" s="15"/>
      <c r="AA8" s="15"/>
      <c r="AB8" s="15"/>
      <c r="AC8" s="13"/>
      <c r="AD8" s="15"/>
      <c r="AE8" s="15"/>
      <c r="AF8" s="15"/>
      <c r="AG8" s="13"/>
      <c r="AH8" s="15"/>
      <c r="AI8" s="15"/>
      <c r="AJ8" s="15"/>
      <c r="AK8" s="13"/>
      <c r="AL8" s="15"/>
      <c r="AM8" s="15"/>
      <c r="AN8" s="13"/>
      <c r="AO8" s="13"/>
    </row>
    <row r="9" spans="1:41" ht="72.5" x14ac:dyDescent="0.35">
      <c r="A9" s="13" t="s">
        <v>76</v>
      </c>
      <c r="B9" s="13" t="s">
        <v>77</v>
      </c>
      <c r="C9" s="14">
        <v>45414.664583333331</v>
      </c>
      <c r="D9" s="13" t="s">
        <v>78</v>
      </c>
      <c r="E9" s="15" t="s">
        <v>79</v>
      </c>
      <c r="F9" s="13" t="s">
        <v>80</v>
      </c>
      <c r="G9" s="15" t="s">
        <v>81</v>
      </c>
      <c r="H9" s="13" t="s">
        <v>82</v>
      </c>
      <c r="I9" s="15" t="s">
        <v>83</v>
      </c>
      <c r="J9" s="15" t="s">
        <v>84</v>
      </c>
      <c r="K9" s="15" t="s">
        <v>85</v>
      </c>
      <c r="L9" s="13" t="s">
        <v>93</v>
      </c>
      <c r="M9" s="15" t="s">
        <v>94</v>
      </c>
      <c r="N9" s="13" t="s">
        <v>95</v>
      </c>
      <c r="O9" s="15"/>
      <c r="P9" s="15"/>
      <c r="Q9" s="15" t="s">
        <v>100</v>
      </c>
      <c r="R9" s="13" t="s">
        <v>101</v>
      </c>
      <c r="S9" s="13" t="s">
        <v>91</v>
      </c>
      <c r="T9" s="13" t="s">
        <v>92</v>
      </c>
      <c r="U9" s="14">
        <v>44927</v>
      </c>
      <c r="V9" s="14"/>
      <c r="W9" s="15"/>
      <c r="X9" s="15"/>
      <c r="Y9" s="13"/>
      <c r="Z9" s="15"/>
      <c r="AA9" s="15"/>
      <c r="AB9" s="15"/>
      <c r="AC9" s="13"/>
      <c r="AD9" s="15"/>
      <c r="AE9" s="15"/>
      <c r="AF9" s="15"/>
      <c r="AG9" s="13"/>
      <c r="AH9" s="15"/>
      <c r="AI9" s="15"/>
      <c r="AJ9" s="15"/>
      <c r="AK9" s="13"/>
      <c r="AL9" s="15"/>
      <c r="AM9" s="15"/>
      <c r="AN9" s="13"/>
      <c r="AO9" s="13"/>
    </row>
    <row r="10" spans="1:41" ht="72.5" x14ac:dyDescent="0.35">
      <c r="A10" s="13" t="s">
        <v>76</v>
      </c>
      <c r="B10" s="13" t="s">
        <v>77</v>
      </c>
      <c r="C10" s="14">
        <v>45414.663888888892</v>
      </c>
      <c r="D10" s="13" t="s">
        <v>78</v>
      </c>
      <c r="E10" s="15" t="s">
        <v>79</v>
      </c>
      <c r="F10" s="13" t="s">
        <v>80</v>
      </c>
      <c r="G10" s="15" t="s">
        <v>81</v>
      </c>
      <c r="H10" s="13" t="s">
        <v>82</v>
      </c>
      <c r="I10" s="15" t="s">
        <v>83</v>
      </c>
      <c r="J10" s="15" t="s">
        <v>84</v>
      </c>
      <c r="K10" s="15" t="s">
        <v>85</v>
      </c>
      <c r="L10" s="13" t="s">
        <v>86</v>
      </c>
      <c r="M10" s="15" t="s">
        <v>87</v>
      </c>
      <c r="N10" s="13" t="s">
        <v>88</v>
      </c>
      <c r="O10" s="15"/>
      <c r="P10" s="15"/>
      <c r="Q10" s="15" t="s">
        <v>102</v>
      </c>
      <c r="R10" s="13" t="s">
        <v>103</v>
      </c>
      <c r="S10" s="13" t="s">
        <v>91</v>
      </c>
      <c r="T10" s="13" t="s">
        <v>92</v>
      </c>
      <c r="U10" s="14">
        <v>44927</v>
      </c>
      <c r="V10" s="14"/>
      <c r="W10" s="15"/>
      <c r="X10" s="15"/>
      <c r="Y10" s="13"/>
      <c r="Z10" s="15"/>
      <c r="AA10" s="15"/>
      <c r="AB10" s="15"/>
      <c r="AC10" s="13"/>
      <c r="AD10" s="15"/>
      <c r="AE10" s="15"/>
      <c r="AF10" s="15"/>
      <c r="AG10" s="13"/>
      <c r="AH10" s="15"/>
      <c r="AI10" s="15"/>
      <c r="AJ10" s="15"/>
      <c r="AK10" s="13"/>
      <c r="AL10" s="15"/>
      <c r="AM10" s="15"/>
      <c r="AN10" s="13"/>
      <c r="AO10" s="13"/>
    </row>
    <row r="11" spans="1:41" ht="72.5" x14ac:dyDescent="0.35">
      <c r="A11" s="13" t="s">
        <v>76</v>
      </c>
      <c r="B11" s="13" t="s">
        <v>77</v>
      </c>
      <c r="C11" s="14">
        <v>45414.665277777778</v>
      </c>
      <c r="D11" s="13" t="s">
        <v>78</v>
      </c>
      <c r="E11" s="15" t="s">
        <v>79</v>
      </c>
      <c r="F11" s="13" t="s">
        <v>80</v>
      </c>
      <c r="G11" s="15" t="s">
        <v>81</v>
      </c>
      <c r="H11" s="13" t="s">
        <v>82</v>
      </c>
      <c r="I11" s="15" t="s">
        <v>83</v>
      </c>
      <c r="J11" s="15" t="s">
        <v>84</v>
      </c>
      <c r="K11" s="15" t="s">
        <v>85</v>
      </c>
      <c r="L11" s="13" t="s">
        <v>93</v>
      </c>
      <c r="M11" s="15" t="s">
        <v>94</v>
      </c>
      <c r="N11" s="13" t="s">
        <v>95</v>
      </c>
      <c r="O11" s="15"/>
      <c r="P11" s="15"/>
      <c r="Q11" s="15" t="s">
        <v>102</v>
      </c>
      <c r="R11" s="13" t="s">
        <v>103</v>
      </c>
      <c r="S11" s="13" t="s">
        <v>91</v>
      </c>
      <c r="T11" s="13" t="s">
        <v>92</v>
      </c>
      <c r="U11" s="14">
        <v>44927</v>
      </c>
      <c r="V11" s="14"/>
      <c r="W11" s="15"/>
      <c r="X11" s="15"/>
      <c r="Y11" s="13"/>
      <c r="Z11" s="15"/>
      <c r="AA11" s="15"/>
      <c r="AB11" s="15"/>
      <c r="AC11" s="13"/>
      <c r="AD11" s="15"/>
      <c r="AE11" s="15"/>
      <c r="AF11" s="15"/>
      <c r="AG11" s="13"/>
      <c r="AH11" s="15"/>
      <c r="AI11" s="15"/>
      <c r="AJ11" s="15"/>
      <c r="AK11" s="13"/>
      <c r="AL11" s="15"/>
      <c r="AM11" s="15"/>
      <c r="AN11" s="13"/>
      <c r="AO11" s="13"/>
    </row>
    <row r="12" spans="1:41" ht="72.5" x14ac:dyDescent="0.35">
      <c r="A12" s="13" t="s">
        <v>76</v>
      </c>
      <c r="B12" s="13" t="s">
        <v>77</v>
      </c>
      <c r="C12" s="14">
        <v>45414.665972222225</v>
      </c>
      <c r="D12" s="13" t="s">
        <v>78</v>
      </c>
      <c r="E12" s="15" t="s">
        <v>79</v>
      </c>
      <c r="F12" s="13" t="s">
        <v>80</v>
      </c>
      <c r="G12" s="15" t="s">
        <v>81</v>
      </c>
      <c r="H12" s="13" t="s">
        <v>82</v>
      </c>
      <c r="I12" s="15" t="s">
        <v>83</v>
      </c>
      <c r="J12" s="15" t="s">
        <v>84</v>
      </c>
      <c r="K12" s="15" t="s">
        <v>85</v>
      </c>
      <c r="L12" s="13" t="s">
        <v>86</v>
      </c>
      <c r="M12" s="15" t="s">
        <v>87</v>
      </c>
      <c r="N12" s="13" t="s">
        <v>88</v>
      </c>
      <c r="O12" s="15"/>
      <c r="P12" s="15"/>
      <c r="Q12" s="15" t="s">
        <v>104</v>
      </c>
      <c r="R12" s="13" t="s">
        <v>105</v>
      </c>
      <c r="S12" s="13" t="s">
        <v>106</v>
      </c>
      <c r="T12" s="13" t="s">
        <v>107</v>
      </c>
      <c r="U12" s="14">
        <v>44927</v>
      </c>
      <c r="V12" s="14"/>
      <c r="W12" s="15"/>
      <c r="X12" s="15"/>
      <c r="Y12" s="13"/>
      <c r="Z12" s="15"/>
      <c r="AA12" s="15"/>
      <c r="AB12" s="15"/>
      <c r="AC12" s="13"/>
      <c r="AD12" s="15"/>
      <c r="AE12" s="15"/>
      <c r="AF12" s="15"/>
      <c r="AG12" s="13"/>
      <c r="AH12" s="15"/>
      <c r="AI12" s="15"/>
      <c r="AJ12" s="15"/>
      <c r="AK12" s="13"/>
      <c r="AL12" s="15"/>
      <c r="AM12" s="15"/>
      <c r="AN12" s="13"/>
      <c r="AO12" s="13"/>
    </row>
    <row r="13" spans="1:41" ht="72.5" x14ac:dyDescent="0.35">
      <c r="A13" s="13" t="s">
        <v>76</v>
      </c>
      <c r="B13" s="13" t="s">
        <v>77</v>
      </c>
      <c r="C13" s="14">
        <v>45414.666666666664</v>
      </c>
      <c r="D13" s="13" t="s">
        <v>78</v>
      </c>
      <c r="E13" s="15" t="s">
        <v>79</v>
      </c>
      <c r="F13" s="13" t="s">
        <v>80</v>
      </c>
      <c r="G13" s="15" t="s">
        <v>81</v>
      </c>
      <c r="H13" s="13" t="s">
        <v>82</v>
      </c>
      <c r="I13" s="15" t="s">
        <v>83</v>
      </c>
      <c r="J13" s="15" t="s">
        <v>84</v>
      </c>
      <c r="K13" s="15" t="s">
        <v>85</v>
      </c>
      <c r="L13" s="13" t="s">
        <v>93</v>
      </c>
      <c r="M13" s="15" t="s">
        <v>94</v>
      </c>
      <c r="N13" s="13" t="s">
        <v>95</v>
      </c>
      <c r="O13" s="15"/>
      <c r="P13" s="15"/>
      <c r="Q13" s="15" t="s">
        <v>104</v>
      </c>
      <c r="R13" s="13" t="s">
        <v>105</v>
      </c>
      <c r="S13" s="13" t="s">
        <v>106</v>
      </c>
      <c r="T13" s="13" t="s">
        <v>107</v>
      </c>
      <c r="U13" s="14">
        <v>44927</v>
      </c>
      <c r="V13" s="14"/>
      <c r="W13" s="15"/>
      <c r="X13" s="15"/>
      <c r="Y13" s="13"/>
      <c r="Z13" s="15"/>
      <c r="AA13" s="15"/>
      <c r="AB13" s="15"/>
      <c r="AC13" s="13"/>
      <c r="AD13" s="15"/>
      <c r="AE13" s="15"/>
      <c r="AF13" s="15"/>
      <c r="AG13" s="13"/>
      <c r="AH13" s="15"/>
      <c r="AI13" s="15"/>
      <c r="AJ13" s="15"/>
      <c r="AK13" s="13"/>
      <c r="AL13" s="15"/>
      <c r="AM13" s="15"/>
      <c r="AN13" s="13"/>
      <c r="AO13" s="13"/>
    </row>
    <row r="14" spans="1:41" ht="72.5" x14ac:dyDescent="0.35">
      <c r="A14" s="13" t="s">
        <v>76</v>
      </c>
      <c r="B14" s="13" t="s">
        <v>77</v>
      </c>
      <c r="C14" s="14">
        <v>45414.666666666664</v>
      </c>
      <c r="D14" s="13" t="s">
        <v>78</v>
      </c>
      <c r="E14" s="15" t="s">
        <v>79</v>
      </c>
      <c r="F14" s="13" t="s">
        <v>80</v>
      </c>
      <c r="G14" s="15" t="s">
        <v>81</v>
      </c>
      <c r="H14" s="13" t="s">
        <v>82</v>
      </c>
      <c r="I14" s="15" t="s">
        <v>83</v>
      </c>
      <c r="J14" s="15" t="s">
        <v>84</v>
      </c>
      <c r="K14" s="15" t="s">
        <v>85</v>
      </c>
      <c r="L14" s="13" t="s">
        <v>86</v>
      </c>
      <c r="M14" s="15" t="s">
        <v>87</v>
      </c>
      <c r="N14" s="13" t="s">
        <v>88</v>
      </c>
      <c r="O14" s="15"/>
      <c r="P14" s="15"/>
      <c r="Q14" s="15" t="s">
        <v>158</v>
      </c>
      <c r="R14" s="13" t="s">
        <v>159</v>
      </c>
      <c r="S14" s="13" t="s">
        <v>106</v>
      </c>
      <c r="T14" s="13" t="s">
        <v>107</v>
      </c>
      <c r="U14" s="14">
        <v>44927</v>
      </c>
      <c r="V14" s="14"/>
      <c r="W14" s="15"/>
      <c r="X14" s="15"/>
      <c r="Y14" s="13"/>
      <c r="Z14" s="15"/>
      <c r="AA14" s="15"/>
      <c r="AB14" s="15"/>
      <c r="AC14" s="13"/>
      <c r="AD14" s="15"/>
      <c r="AE14" s="15"/>
      <c r="AF14" s="15"/>
      <c r="AG14" s="13"/>
      <c r="AH14" s="15"/>
      <c r="AI14" s="15"/>
      <c r="AJ14" s="15"/>
      <c r="AK14" s="13"/>
      <c r="AL14" s="15"/>
      <c r="AM14" s="15"/>
      <c r="AN14" s="13"/>
      <c r="AO14" s="13"/>
    </row>
    <row r="15" spans="1:41" ht="72.5" x14ac:dyDescent="0.35">
      <c r="A15" s="13" t="s">
        <v>76</v>
      </c>
      <c r="B15" s="13" t="s">
        <v>77</v>
      </c>
      <c r="C15" s="14">
        <v>45414.667361111111</v>
      </c>
      <c r="D15" s="13" t="s">
        <v>78</v>
      </c>
      <c r="E15" s="15" t="s">
        <v>79</v>
      </c>
      <c r="F15" s="13" t="s">
        <v>80</v>
      </c>
      <c r="G15" s="15" t="s">
        <v>81</v>
      </c>
      <c r="H15" s="13" t="s">
        <v>82</v>
      </c>
      <c r="I15" s="15" t="s">
        <v>83</v>
      </c>
      <c r="J15" s="15" t="s">
        <v>84</v>
      </c>
      <c r="K15" s="15" t="s">
        <v>85</v>
      </c>
      <c r="L15" s="13" t="s">
        <v>93</v>
      </c>
      <c r="M15" s="15" t="s">
        <v>94</v>
      </c>
      <c r="N15" s="13" t="s">
        <v>95</v>
      </c>
      <c r="O15" s="15"/>
      <c r="P15" s="15"/>
      <c r="Q15" s="15" t="s">
        <v>158</v>
      </c>
      <c r="R15" s="13" t="s">
        <v>159</v>
      </c>
      <c r="S15" s="13" t="s">
        <v>106</v>
      </c>
      <c r="T15" s="13" t="s">
        <v>107</v>
      </c>
      <c r="U15" s="14">
        <v>44927</v>
      </c>
      <c r="V15" s="14"/>
      <c r="W15" s="15"/>
      <c r="X15" s="15"/>
      <c r="Y15" s="13"/>
      <c r="Z15" s="15"/>
      <c r="AA15" s="15"/>
      <c r="AB15" s="15"/>
      <c r="AC15" s="13"/>
      <c r="AD15" s="15"/>
      <c r="AE15" s="15"/>
      <c r="AF15" s="15"/>
      <c r="AG15" s="13"/>
      <c r="AH15" s="15"/>
      <c r="AI15" s="15"/>
      <c r="AJ15" s="15"/>
      <c r="AK15" s="13"/>
      <c r="AL15" s="15"/>
      <c r="AM15" s="15"/>
      <c r="AN15" s="13"/>
      <c r="AO15" s="13"/>
    </row>
    <row r="16" spans="1:41" ht="72.5" x14ac:dyDescent="0.35">
      <c r="A16" s="13" t="s">
        <v>76</v>
      </c>
      <c r="B16" s="13" t="s">
        <v>77</v>
      </c>
      <c r="C16" s="14">
        <v>45414.666666666664</v>
      </c>
      <c r="D16" s="13" t="s">
        <v>78</v>
      </c>
      <c r="E16" s="15" t="s">
        <v>79</v>
      </c>
      <c r="F16" s="13" t="s">
        <v>80</v>
      </c>
      <c r="G16" s="15" t="s">
        <v>81</v>
      </c>
      <c r="H16" s="13" t="s">
        <v>82</v>
      </c>
      <c r="I16" s="15" t="s">
        <v>83</v>
      </c>
      <c r="J16" s="15" t="s">
        <v>84</v>
      </c>
      <c r="K16" s="15" t="s">
        <v>85</v>
      </c>
      <c r="L16" s="13" t="s">
        <v>86</v>
      </c>
      <c r="M16" s="15" t="s">
        <v>87</v>
      </c>
      <c r="N16" s="13" t="s">
        <v>88</v>
      </c>
      <c r="O16" s="15"/>
      <c r="P16" s="15"/>
      <c r="Q16" s="15" t="s">
        <v>163</v>
      </c>
      <c r="R16" s="13" t="s">
        <v>164</v>
      </c>
      <c r="S16" s="13" t="s">
        <v>106</v>
      </c>
      <c r="T16" s="13" t="s">
        <v>107</v>
      </c>
      <c r="U16" s="14">
        <v>44927</v>
      </c>
      <c r="V16" s="14"/>
      <c r="W16" s="15"/>
      <c r="X16" s="15"/>
      <c r="Y16" s="13"/>
      <c r="Z16" s="15"/>
      <c r="AA16" s="15"/>
      <c r="AB16" s="15"/>
      <c r="AC16" s="13"/>
      <c r="AD16" s="15"/>
      <c r="AE16" s="15"/>
      <c r="AF16" s="15"/>
      <c r="AG16" s="13"/>
      <c r="AH16" s="15"/>
      <c r="AI16" s="15"/>
      <c r="AJ16" s="15"/>
      <c r="AK16" s="13"/>
      <c r="AL16" s="15"/>
      <c r="AM16" s="15"/>
      <c r="AN16" s="13"/>
      <c r="AO16" s="13"/>
    </row>
    <row r="17" spans="1:41" ht="72.5" x14ac:dyDescent="0.35">
      <c r="A17" s="13" t="s">
        <v>76</v>
      </c>
      <c r="B17" s="13" t="s">
        <v>77</v>
      </c>
      <c r="C17" s="14">
        <v>45414.667361111111</v>
      </c>
      <c r="D17" s="13" t="s">
        <v>78</v>
      </c>
      <c r="E17" s="15" t="s">
        <v>79</v>
      </c>
      <c r="F17" s="13" t="s">
        <v>80</v>
      </c>
      <c r="G17" s="15" t="s">
        <v>81</v>
      </c>
      <c r="H17" s="13" t="s">
        <v>82</v>
      </c>
      <c r="I17" s="15" t="s">
        <v>83</v>
      </c>
      <c r="J17" s="15" t="s">
        <v>84</v>
      </c>
      <c r="K17" s="15" t="s">
        <v>85</v>
      </c>
      <c r="L17" s="13" t="s">
        <v>93</v>
      </c>
      <c r="M17" s="15" t="s">
        <v>94</v>
      </c>
      <c r="N17" s="13" t="s">
        <v>95</v>
      </c>
      <c r="O17" s="15"/>
      <c r="P17" s="15"/>
      <c r="Q17" s="15" t="s">
        <v>163</v>
      </c>
      <c r="R17" s="13" t="s">
        <v>164</v>
      </c>
      <c r="S17" s="13" t="s">
        <v>106</v>
      </c>
      <c r="T17" s="13" t="s">
        <v>107</v>
      </c>
      <c r="U17" s="14">
        <v>44927</v>
      </c>
      <c r="V17" s="14"/>
      <c r="W17" s="15"/>
      <c r="X17" s="15"/>
      <c r="Y17" s="13"/>
      <c r="Z17" s="15"/>
      <c r="AA17" s="15"/>
      <c r="AB17" s="15"/>
      <c r="AC17" s="13"/>
      <c r="AD17" s="15"/>
      <c r="AE17" s="15"/>
      <c r="AF17" s="15"/>
      <c r="AG17" s="13"/>
      <c r="AH17" s="15"/>
      <c r="AI17" s="15"/>
      <c r="AJ17" s="15"/>
      <c r="AK17" s="13"/>
      <c r="AL17" s="15"/>
      <c r="AM17" s="15"/>
      <c r="AN17" s="13"/>
      <c r="AO17" s="13"/>
    </row>
    <row r="18" spans="1:41" ht="72.5" x14ac:dyDescent="0.35">
      <c r="A18" s="13" t="s">
        <v>76</v>
      </c>
      <c r="B18" s="13" t="s">
        <v>77</v>
      </c>
      <c r="C18" s="14">
        <v>45414.668055555558</v>
      </c>
      <c r="D18" s="13" t="s">
        <v>78</v>
      </c>
      <c r="E18" s="15" t="s">
        <v>79</v>
      </c>
      <c r="F18" s="13" t="s">
        <v>80</v>
      </c>
      <c r="G18" s="15" t="s">
        <v>81</v>
      </c>
      <c r="H18" s="13" t="s">
        <v>167</v>
      </c>
      <c r="I18" s="15" t="s">
        <v>168</v>
      </c>
      <c r="J18" s="15" t="s">
        <v>169</v>
      </c>
      <c r="K18" s="15" t="s">
        <v>170</v>
      </c>
      <c r="L18" s="13" t="s">
        <v>171</v>
      </c>
      <c r="M18" s="15" t="s">
        <v>172</v>
      </c>
      <c r="N18" s="13" t="s">
        <v>88</v>
      </c>
      <c r="O18" s="15"/>
      <c r="P18" s="15"/>
      <c r="Q18" s="15" t="s">
        <v>89</v>
      </c>
      <c r="R18" s="13" t="s">
        <v>90</v>
      </c>
      <c r="S18" s="13" t="s">
        <v>91</v>
      </c>
      <c r="T18" s="13" t="s">
        <v>92</v>
      </c>
      <c r="U18" s="14">
        <v>44927</v>
      </c>
      <c r="V18" s="14"/>
      <c r="W18" s="15"/>
      <c r="X18" s="15"/>
      <c r="Y18" s="13"/>
      <c r="Z18" s="15"/>
      <c r="AA18" s="15"/>
      <c r="AB18" s="15"/>
      <c r="AC18" s="13"/>
      <c r="AD18" s="15"/>
      <c r="AE18" s="15"/>
      <c r="AF18" s="15"/>
      <c r="AG18" s="13"/>
      <c r="AH18" s="15"/>
      <c r="AI18" s="15"/>
      <c r="AJ18" s="15"/>
      <c r="AK18" s="13"/>
      <c r="AL18" s="15"/>
      <c r="AM18" s="15"/>
      <c r="AN18" s="13"/>
      <c r="AO18" s="13"/>
    </row>
    <row r="19" spans="1:41" ht="72.5" x14ac:dyDescent="0.35">
      <c r="A19" s="13" t="s">
        <v>76</v>
      </c>
      <c r="B19" s="13" t="s">
        <v>77</v>
      </c>
      <c r="C19" s="14">
        <v>45414.669444444444</v>
      </c>
      <c r="D19" s="13" t="s">
        <v>78</v>
      </c>
      <c r="E19" s="15" t="s">
        <v>79</v>
      </c>
      <c r="F19" s="13" t="s">
        <v>80</v>
      </c>
      <c r="G19" s="15" t="s">
        <v>81</v>
      </c>
      <c r="H19" s="13" t="s">
        <v>167</v>
      </c>
      <c r="I19" s="15" t="s">
        <v>168</v>
      </c>
      <c r="J19" s="15" t="s">
        <v>169</v>
      </c>
      <c r="K19" s="15" t="s">
        <v>170</v>
      </c>
      <c r="L19" s="13" t="s">
        <v>173</v>
      </c>
      <c r="M19" s="15" t="s">
        <v>174</v>
      </c>
      <c r="N19" s="13" t="s">
        <v>95</v>
      </c>
      <c r="O19" s="15"/>
      <c r="P19" s="15"/>
      <c r="Q19" s="15" t="s">
        <v>89</v>
      </c>
      <c r="R19" s="13" t="s">
        <v>90</v>
      </c>
      <c r="S19" s="13" t="s">
        <v>91</v>
      </c>
      <c r="T19" s="13" t="s">
        <v>92</v>
      </c>
      <c r="U19" s="14">
        <v>44927</v>
      </c>
      <c r="V19" s="14"/>
      <c r="W19" s="15"/>
      <c r="X19" s="15"/>
      <c r="Y19" s="13"/>
      <c r="Z19" s="15"/>
      <c r="AA19" s="15"/>
      <c r="AB19" s="15"/>
      <c r="AC19" s="13"/>
      <c r="AD19" s="15"/>
      <c r="AE19" s="15"/>
      <c r="AF19" s="15"/>
      <c r="AG19" s="13"/>
      <c r="AH19" s="15"/>
      <c r="AI19" s="15"/>
      <c r="AJ19" s="15"/>
      <c r="AK19" s="13"/>
      <c r="AL19" s="15"/>
      <c r="AM19" s="15"/>
      <c r="AN19" s="13"/>
      <c r="AO19" s="13"/>
    </row>
    <row r="20" spans="1:41" ht="72.5" x14ac:dyDescent="0.35">
      <c r="A20" s="13" t="s">
        <v>76</v>
      </c>
      <c r="B20" s="13" t="s">
        <v>77</v>
      </c>
      <c r="C20" s="14">
        <v>45414.668749999997</v>
      </c>
      <c r="D20" s="13" t="s">
        <v>78</v>
      </c>
      <c r="E20" s="15" t="s">
        <v>79</v>
      </c>
      <c r="F20" s="13" t="s">
        <v>80</v>
      </c>
      <c r="G20" s="15" t="s">
        <v>81</v>
      </c>
      <c r="H20" s="13" t="s">
        <v>167</v>
      </c>
      <c r="I20" s="15" t="s">
        <v>168</v>
      </c>
      <c r="J20" s="15" t="s">
        <v>169</v>
      </c>
      <c r="K20" s="15" t="s">
        <v>170</v>
      </c>
      <c r="L20" s="13" t="s">
        <v>171</v>
      </c>
      <c r="M20" s="15" t="s">
        <v>172</v>
      </c>
      <c r="N20" s="13" t="s">
        <v>88</v>
      </c>
      <c r="O20" s="15"/>
      <c r="P20" s="15"/>
      <c r="Q20" s="15" t="s">
        <v>96</v>
      </c>
      <c r="R20" s="13" t="s">
        <v>97</v>
      </c>
      <c r="S20" s="13" t="s">
        <v>91</v>
      </c>
      <c r="T20" s="13" t="s">
        <v>92</v>
      </c>
      <c r="U20" s="14">
        <v>44927</v>
      </c>
      <c r="V20" s="14"/>
      <c r="W20" s="15"/>
      <c r="X20" s="15"/>
      <c r="Y20" s="13"/>
      <c r="Z20" s="15"/>
      <c r="AA20" s="15"/>
      <c r="AB20" s="15"/>
      <c r="AC20" s="13"/>
      <c r="AD20" s="15"/>
      <c r="AE20" s="15"/>
      <c r="AF20" s="15"/>
      <c r="AG20" s="13"/>
      <c r="AH20" s="15"/>
      <c r="AI20" s="15"/>
      <c r="AJ20" s="15"/>
      <c r="AK20" s="13"/>
      <c r="AL20" s="15"/>
      <c r="AM20" s="15"/>
      <c r="AN20" s="13"/>
      <c r="AO20" s="13"/>
    </row>
    <row r="21" spans="1:41" ht="72.5" x14ac:dyDescent="0.35">
      <c r="A21" s="13" t="s">
        <v>76</v>
      </c>
      <c r="B21" s="13" t="s">
        <v>77</v>
      </c>
      <c r="C21" s="14">
        <v>45414.670138888891</v>
      </c>
      <c r="D21" s="13" t="s">
        <v>78</v>
      </c>
      <c r="E21" s="15" t="s">
        <v>79</v>
      </c>
      <c r="F21" s="13" t="s">
        <v>80</v>
      </c>
      <c r="G21" s="15" t="s">
        <v>81</v>
      </c>
      <c r="H21" s="13" t="s">
        <v>167</v>
      </c>
      <c r="I21" s="15" t="s">
        <v>168</v>
      </c>
      <c r="J21" s="15" t="s">
        <v>169</v>
      </c>
      <c r="K21" s="15" t="s">
        <v>170</v>
      </c>
      <c r="L21" s="13" t="s">
        <v>173</v>
      </c>
      <c r="M21" s="15" t="s">
        <v>174</v>
      </c>
      <c r="N21" s="13" t="s">
        <v>95</v>
      </c>
      <c r="O21" s="15"/>
      <c r="P21" s="15"/>
      <c r="Q21" s="15" t="s">
        <v>96</v>
      </c>
      <c r="R21" s="13" t="s">
        <v>97</v>
      </c>
      <c r="S21" s="13" t="s">
        <v>91</v>
      </c>
      <c r="T21" s="13" t="s">
        <v>92</v>
      </c>
      <c r="U21" s="14">
        <v>44927</v>
      </c>
      <c r="V21" s="14"/>
      <c r="W21" s="15"/>
      <c r="X21" s="15"/>
      <c r="Y21" s="13"/>
      <c r="Z21" s="15"/>
      <c r="AA21" s="15"/>
      <c r="AB21" s="15"/>
      <c r="AC21" s="13"/>
      <c r="AD21" s="15"/>
      <c r="AE21" s="15"/>
      <c r="AF21" s="15"/>
      <c r="AG21" s="13"/>
      <c r="AH21" s="15"/>
      <c r="AI21" s="15"/>
      <c r="AJ21" s="15"/>
      <c r="AK21" s="13"/>
      <c r="AL21" s="15"/>
      <c r="AM21" s="15"/>
      <c r="AN21" s="13"/>
      <c r="AO21" s="13"/>
    </row>
    <row r="22" spans="1:41" ht="72.5" x14ac:dyDescent="0.35">
      <c r="A22" s="13" t="s">
        <v>76</v>
      </c>
      <c r="B22" s="13" t="s">
        <v>77</v>
      </c>
      <c r="C22" s="14">
        <v>45414.668749999997</v>
      </c>
      <c r="D22" s="13" t="s">
        <v>78</v>
      </c>
      <c r="E22" s="15" t="s">
        <v>79</v>
      </c>
      <c r="F22" s="13" t="s">
        <v>80</v>
      </c>
      <c r="G22" s="15" t="s">
        <v>81</v>
      </c>
      <c r="H22" s="13" t="s">
        <v>167</v>
      </c>
      <c r="I22" s="15" t="s">
        <v>168</v>
      </c>
      <c r="J22" s="15" t="s">
        <v>169</v>
      </c>
      <c r="K22" s="15" t="s">
        <v>170</v>
      </c>
      <c r="L22" s="13" t="s">
        <v>171</v>
      </c>
      <c r="M22" s="15" t="s">
        <v>172</v>
      </c>
      <c r="N22" s="13" t="s">
        <v>88</v>
      </c>
      <c r="O22" s="15"/>
      <c r="P22" s="15"/>
      <c r="Q22" s="15" t="s">
        <v>98</v>
      </c>
      <c r="R22" s="13" t="s">
        <v>99</v>
      </c>
      <c r="S22" s="13" t="s">
        <v>91</v>
      </c>
      <c r="T22" s="13" t="s">
        <v>92</v>
      </c>
      <c r="U22" s="14">
        <v>44927</v>
      </c>
      <c r="V22" s="14"/>
      <c r="W22" s="15"/>
      <c r="X22" s="15"/>
      <c r="Y22" s="13"/>
      <c r="Z22" s="15"/>
      <c r="AA22" s="15"/>
      <c r="AB22" s="15"/>
      <c r="AC22" s="13"/>
      <c r="AD22" s="15"/>
      <c r="AE22" s="15"/>
      <c r="AF22" s="15"/>
      <c r="AG22" s="13"/>
      <c r="AH22" s="15"/>
      <c r="AI22" s="15"/>
      <c r="AJ22" s="15"/>
      <c r="AK22" s="13"/>
      <c r="AL22" s="15"/>
      <c r="AM22" s="15"/>
      <c r="AN22" s="13"/>
      <c r="AO22" s="13"/>
    </row>
    <row r="23" spans="1:41" ht="72.5" x14ac:dyDescent="0.35">
      <c r="A23" s="13" t="s">
        <v>76</v>
      </c>
      <c r="B23" s="13" t="s">
        <v>77</v>
      </c>
      <c r="C23" s="14">
        <v>45414.669444444444</v>
      </c>
      <c r="D23" s="13" t="s">
        <v>78</v>
      </c>
      <c r="E23" s="15" t="s">
        <v>79</v>
      </c>
      <c r="F23" s="13" t="s">
        <v>80</v>
      </c>
      <c r="G23" s="15" t="s">
        <v>81</v>
      </c>
      <c r="H23" s="13" t="s">
        <v>167</v>
      </c>
      <c r="I23" s="15" t="s">
        <v>168</v>
      </c>
      <c r="J23" s="15" t="s">
        <v>169</v>
      </c>
      <c r="K23" s="15" t="s">
        <v>170</v>
      </c>
      <c r="L23" s="13" t="s">
        <v>173</v>
      </c>
      <c r="M23" s="15" t="s">
        <v>174</v>
      </c>
      <c r="N23" s="13" t="s">
        <v>95</v>
      </c>
      <c r="O23" s="15"/>
      <c r="P23" s="15"/>
      <c r="Q23" s="15" t="s">
        <v>98</v>
      </c>
      <c r="R23" s="13" t="s">
        <v>99</v>
      </c>
      <c r="S23" s="13" t="s">
        <v>91</v>
      </c>
      <c r="T23" s="13" t="s">
        <v>92</v>
      </c>
      <c r="U23" s="14">
        <v>44927</v>
      </c>
      <c r="V23" s="14"/>
      <c r="W23" s="15"/>
      <c r="X23" s="15"/>
      <c r="Y23" s="13"/>
      <c r="Z23" s="15"/>
      <c r="AA23" s="15"/>
      <c r="AB23" s="15"/>
      <c r="AC23" s="13"/>
      <c r="AD23" s="15"/>
      <c r="AE23" s="15"/>
      <c r="AF23" s="15"/>
      <c r="AG23" s="13"/>
      <c r="AH23" s="15"/>
      <c r="AI23" s="15"/>
      <c r="AJ23" s="15"/>
      <c r="AK23" s="13"/>
      <c r="AL23" s="15"/>
      <c r="AM23" s="15"/>
      <c r="AN23" s="13"/>
      <c r="AO23" s="13"/>
    </row>
    <row r="24" spans="1:41" ht="72.5" x14ac:dyDescent="0.35">
      <c r="A24" s="13" t="s">
        <v>76</v>
      </c>
      <c r="B24" s="13" t="s">
        <v>77</v>
      </c>
      <c r="C24" s="14">
        <v>45414.668749999997</v>
      </c>
      <c r="D24" s="13" t="s">
        <v>78</v>
      </c>
      <c r="E24" s="15" t="s">
        <v>79</v>
      </c>
      <c r="F24" s="13" t="s">
        <v>80</v>
      </c>
      <c r="G24" s="15" t="s">
        <v>81</v>
      </c>
      <c r="H24" s="13" t="s">
        <v>167</v>
      </c>
      <c r="I24" s="15" t="s">
        <v>168</v>
      </c>
      <c r="J24" s="15" t="s">
        <v>169</v>
      </c>
      <c r="K24" s="15" t="s">
        <v>170</v>
      </c>
      <c r="L24" s="13" t="s">
        <v>171</v>
      </c>
      <c r="M24" s="15" t="s">
        <v>172</v>
      </c>
      <c r="N24" s="13" t="s">
        <v>88</v>
      </c>
      <c r="O24" s="15"/>
      <c r="P24" s="15"/>
      <c r="Q24" s="15" t="s">
        <v>100</v>
      </c>
      <c r="R24" s="13" t="s">
        <v>101</v>
      </c>
      <c r="S24" s="13" t="s">
        <v>91</v>
      </c>
      <c r="T24" s="13" t="s">
        <v>92</v>
      </c>
      <c r="U24" s="14">
        <v>44927</v>
      </c>
      <c r="V24" s="14"/>
      <c r="W24" s="15"/>
      <c r="X24" s="15"/>
      <c r="Y24" s="13"/>
      <c r="Z24" s="15"/>
      <c r="AA24" s="15"/>
      <c r="AB24" s="15"/>
      <c r="AC24" s="13"/>
      <c r="AD24" s="15"/>
      <c r="AE24" s="15"/>
      <c r="AF24" s="15"/>
      <c r="AG24" s="13"/>
      <c r="AH24" s="15"/>
      <c r="AI24" s="15"/>
      <c r="AJ24" s="15"/>
      <c r="AK24" s="13"/>
      <c r="AL24" s="15"/>
      <c r="AM24" s="15"/>
      <c r="AN24" s="13"/>
      <c r="AO24" s="13"/>
    </row>
    <row r="25" spans="1:41" ht="72.5" x14ac:dyDescent="0.35">
      <c r="A25" s="13" t="s">
        <v>76</v>
      </c>
      <c r="B25" s="13" t="s">
        <v>77</v>
      </c>
      <c r="C25" s="14">
        <v>45414.669444444444</v>
      </c>
      <c r="D25" s="13" t="s">
        <v>78</v>
      </c>
      <c r="E25" s="15" t="s">
        <v>79</v>
      </c>
      <c r="F25" s="13" t="s">
        <v>80</v>
      </c>
      <c r="G25" s="15" t="s">
        <v>81</v>
      </c>
      <c r="H25" s="13" t="s">
        <v>167</v>
      </c>
      <c r="I25" s="15" t="s">
        <v>168</v>
      </c>
      <c r="J25" s="15" t="s">
        <v>169</v>
      </c>
      <c r="K25" s="15" t="s">
        <v>170</v>
      </c>
      <c r="L25" s="13" t="s">
        <v>173</v>
      </c>
      <c r="M25" s="15" t="s">
        <v>174</v>
      </c>
      <c r="N25" s="13" t="s">
        <v>95</v>
      </c>
      <c r="O25" s="15"/>
      <c r="P25" s="15"/>
      <c r="Q25" s="15" t="s">
        <v>100</v>
      </c>
      <c r="R25" s="13" t="s">
        <v>101</v>
      </c>
      <c r="S25" s="13" t="s">
        <v>91</v>
      </c>
      <c r="T25" s="13" t="s">
        <v>92</v>
      </c>
      <c r="U25" s="14">
        <v>44927</v>
      </c>
      <c r="V25" s="14"/>
      <c r="W25" s="15"/>
      <c r="X25" s="15"/>
      <c r="Y25" s="13"/>
      <c r="Z25" s="15"/>
      <c r="AA25" s="15"/>
      <c r="AB25" s="15"/>
      <c r="AC25" s="13"/>
      <c r="AD25" s="15"/>
      <c r="AE25" s="15"/>
      <c r="AF25" s="15"/>
      <c r="AG25" s="13"/>
      <c r="AH25" s="15"/>
      <c r="AI25" s="15"/>
      <c r="AJ25" s="15"/>
      <c r="AK25" s="13"/>
      <c r="AL25" s="15"/>
      <c r="AM25" s="15"/>
      <c r="AN25" s="13"/>
      <c r="AO25" s="13"/>
    </row>
    <row r="26" spans="1:41" ht="72.5" x14ac:dyDescent="0.35">
      <c r="A26" s="13" t="s">
        <v>76</v>
      </c>
      <c r="B26" s="13" t="s">
        <v>77</v>
      </c>
      <c r="C26" s="14">
        <v>45414.668749999997</v>
      </c>
      <c r="D26" s="13" t="s">
        <v>78</v>
      </c>
      <c r="E26" s="15" t="s">
        <v>79</v>
      </c>
      <c r="F26" s="13" t="s">
        <v>80</v>
      </c>
      <c r="G26" s="15" t="s">
        <v>81</v>
      </c>
      <c r="H26" s="13" t="s">
        <v>167</v>
      </c>
      <c r="I26" s="15" t="s">
        <v>168</v>
      </c>
      <c r="J26" s="15" t="s">
        <v>169</v>
      </c>
      <c r="K26" s="15" t="s">
        <v>170</v>
      </c>
      <c r="L26" s="13" t="s">
        <v>171</v>
      </c>
      <c r="M26" s="15" t="s">
        <v>172</v>
      </c>
      <c r="N26" s="13" t="s">
        <v>88</v>
      </c>
      <c r="O26" s="15"/>
      <c r="P26" s="15"/>
      <c r="Q26" s="15" t="s">
        <v>102</v>
      </c>
      <c r="R26" s="13" t="s">
        <v>103</v>
      </c>
      <c r="S26" s="13" t="s">
        <v>91</v>
      </c>
      <c r="T26" s="13" t="s">
        <v>92</v>
      </c>
      <c r="U26" s="14">
        <v>44927</v>
      </c>
      <c r="V26" s="14"/>
      <c r="W26" s="15"/>
      <c r="X26" s="15"/>
      <c r="Y26" s="13"/>
      <c r="Z26" s="15"/>
      <c r="AA26" s="15"/>
      <c r="AB26" s="15"/>
      <c r="AC26" s="13"/>
      <c r="AD26" s="15"/>
      <c r="AE26" s="15"/>
      <c r="AF26" s="15"/>
      <c r="AG26" s="13"/>
      <c r="AH26" s="15"/>
      <c r="AI26" s="15"/>
      <c r="AJ26" s="15"/>
      <c r="AK26" s="13"/>
      <c r="AL26" s="15"/>
      <c r="AM26" s="15"/>
      <c r="AN26" s="13"/>
      <c r="AO26" s="13"/>
    </row>
    <row r="27" spans="1:41" ht="72.5" x14ac:dyDescent="0.35">
      <c r="A27" s="13" t="s">
        <v>76</v>
      </c>
      <c r="B27" s="13" t="s">
        <v>77</v>
      </c>
      <c r="C27" s="14">
        <v>45414.669444444444</v>
      </c>
      <c r="D27" s="13" t="s">
        <v>78</v>
      </c>
      <c r="E27" s="15" t="s">
        <v>79</v>
      </c>
      <c r="F27" s="13" t="s">
        <v>80</v>
      </c>
      <c r="G27" s="15" t="s">
        <v>81</v>
      </c>
      <c r="H27" s="13" t="s">
        <v>167</v>
      </c>
      <c r="I27" s="15" t="s">
        <v>168</v>
      </c>
      <c r="J27" s="15" t="s">
        <v>169</v>
      </c>
      <c r="K27" s="15" t="s">
        <v>170</v>
      </c>
      <c r="L27" s="13" t="s">
        <v>173</v>
      </c>
      <c r="M27" s="15" t="s">
        <v>174</v>
      </c>
      <c r="N27" s="13" t="s">
        <v>95</v>
      </c>
      <c r="O27" s="15"/>
      <c r="P27" s="15"/>
      <c r="Q27" s="15" t="s">
        <v>102</v>
      </c>
      <c r="R27" s="13" t="s">
        <v>103</v>
      </c>
      <c r="S27" s="13" t="s">
        <v>91</v>
      </c>
      <c r="T27" s="13" t="s">
        <v>92</v>
      </c>
      <c r="U27" s="14">
        <v>44927</v>
      </c>
      <c r="V27" s="14"/>
      <c r="W27" s="15"/>
      <c r="X27" s="15"/>
      <c r="Y27" s="13"/>
      <c r="Z27" s="15"/>
      <c r="AA27" s="15"/>
      <c r="AB27" s="15"/>
      <c r="AC27" s="13"/>
      <c r="AD27" s="15"/>
      <c r="AE27" s="15"/>
      <c r="AF27" s="15"/>
      <c r="AG27" s="13"/>
      <c r="AH27" s="15"/>
      <c r="AI27" s="15"/>
      <c r="AJ27" s="15"/>
      <c r="AK27" s="13"/>
      <c r="AL27" s="15"/>
      <c r="AM27" s="15"/>
      <c r="AN27" s="13"/>
      <c r="AO27" s="13"/>
    </row>
    <row r="28" spans="1:41" ht="72.5" x14ac:dyDescent="0.35">
      <c r="A28" s="13" t="s">
        <v>76</v>
      </c>
      <c r="B28" s="13" t="s">
        <v>77</v>
      </c>
      <c r="C28" s="14">
        <v>45414.67083333333</v>
      </c>
      <c r="D28" s="13" t="s">
        <v>78</v>
      </c>
      <c r="E28" s="15" t="s">
        <v>79</v>
      </c>
      <c r="F28" s="13" t="s">
        <v>80</v>
      </c>
      <c r="G28" s="15" t="s">
        <v>81</v>
      </c>
      <c r="H28" s="13" t="s">
        <v>167</v>
      </c>
      <c r="I28" s="15" t="s">
        <v>168</v>
      </c>
      <c r="J28" s="15" t="s">
        <v>169</v>
      </c>
      <c r="K28" s="15" t="s">
        <v>170</v>
      </c>
      <c r="L28" s="13" t="s">
        <v>171</v>
      </c>
      <c r="M28" s="15" t="s">
        <v>172</v>
      </c>
      <c r="N28" s="13" t="s">
        <v>88</v>
      </c>
      <c r="O28" s="15"/>
      <c r="P28" s="15"/>
      <c r="Q28" s="15" t="s">
        <v>104</v>
      </c>
      <c r="R28" s="13" t="s">
        <v>105</v>
      </c>
      <c r="S28" s="13" t="s">
        <v>106</v>
      </c>
      <c r="T28" s="13" t="s">
        <v>107</v>
      </c>
      <c r="U28" s="14">
        <v>44927</v>
      </c>
      <c r="V28" s="14"/>
      <c r="W28" s="15"/>
      <c r="X28" s="15"/>
      <c r="Y28" s="13"/>
      <c r="Z28" s="15"/>
      <c r="AA28" s="15"/>
      <c r="AB28" s="15"/>
      <c r="AC28" s="13"/>
      <c r="AD28" s="15"/>
      <c r="AE28" s="15"/>
      <c r="AF28" s="15"/>
      <c r="AG28" s="13"/>
      <c r="AH28" s="15"/>
      <c r="AI28" s="15"/>
      <c r="AJ28" s="15"/>
      <c r="AK28" s="13"/>
      <c r="AL28" s="15"/>
      <c r="AM28" s="15"/>
      <c r="AN28" s="13"/>
      <c r="AO28" s="13"/>
    </row>
    <row r="29" spans="1:41" ht="72.5" x14ac:dyDescent="0.35">
      <c r="A29" s="13" t="s">
        <v>76</v>
      </c>
      <c r="B29" s="13" t="s">
        <v>77</v>
      </c>
      <c r="C29" s="14">
        <v>45414.671527777777</v>
      </c>
      <c r="D29" s="13" t="s">
        <v>78</v>
      </c>
      <c r="E29" s="15" t="s">
        <v>79</v>
      </c>
      <c r="F29" s="13" t="s">
        <v>80</v>
      </c>
      <c r="G29" s="15" t="s">
        <v>81</v>
      </c>
      <c r="H29" s="13" t="s">
        <v>167</v>
      </c>
      <c r="I29" s="15" t="s">
        <v>168</v>
      </c>
      <c r="J29" s="15" t="s">
        <v>169</v>
      </c>
      <c r="K29" s="15" t="s">
        <v>170</v>
      </c>
      <c r="L29" s="13" t="s">
        <v>173</v>
      </c>
      <c r="M29" s="15" t="s">
        <v>174</v>
      </c>
      <c r="N29" s="13" t="s">
        <v>95</v>
      </c>
      <c r="O29" s="15"/>
      <c r="P29" s="15"/>
      <c r="Q29" s="15" t="s">
        <v>104</v>
      </c>
      <c r="R29" s="13" t="s">
        <v>105</v>
      </c>
      <c r="S29" s="13" t="s">
        <v>106</v>
      </c>
      <c r="T29" s="13" t="s">
        <v>107</v>
      </c>
      <c r="U29" s="14">
        <v>44927</v>
      </c>
      <c r="V29" s="14"/>
      <c r="W29" s="15"/>
      <c r="X29" s="15"/>
      <c r="Y29" s="13"/>
      <c r="Z29" s="15"/>
      <c r="AA29" s="15"/>
      <c r="AB29" s="15"/>
      <c r="AC29" s="13"/>
      <c r="AD29" s="15"/>
      <c r="AE29" s="15"/>
      <c r="AF29" s="15"/>
      <c r="AG29" s="13"/>
      <c r="AH29" s="15"/>
      <c r="AI29" s="15"/>
      <c r="AJ29" s="15"/>
      <c r="AK29" s="13"/>
      <c r="AL29" s="15"/>
      <c r="AM29" s="15"/>
      <c r="AN29" s="13"/>
      <c r="AO29" s="13"/>
    </row>
    <row r="30" spans="1:41" ht="72.5" x14ac:dyDescent="0.35">
      <c r="A30" s="13" t="s">
        <v>76</v>
      </c>
      <c r="B30" s="13" t="s">
        <v>77</v>
      </c>
      <c r="C30" s="14">
        <v>45414.67083333333</v>
      </c>
      <c r="D30" s="13" t="s">
        <v>78</v>
      </c>
      <c r="E30" s="15" t="s">
        <v>79</v>
      </c>
      <c r="F30" s="13" t="s">
        <v>80</v>
      </c>
      <c r="G30" s="15" t="s">
        <v>81</v>
      </c>
      <c r="H30" s="13" t="s">
        <v>167</v>
      </c>
      <c r="I30" s="15" t="s">
        <v>168</v>
      </c>
      <c r="J30" s="15" t="s">
        <v>169</v>
      </c>
      <c r="K30" s="15" t="s">
        <v>170</v>
      </c>
      <c r="L30" s="13" t="s">
        <v>171</v>
      </c>
      <c r="M30" s="15" t="s">
        <v>172</v>
      </c>
      <c r="N30" s="13" t="s">
        <v>88</v>
      </c>
      <c r="O30" s="15"/>
      <c r="P30" s="15"/>
      <c r="Q30" s="15" t="s">
        <v>158</v>
      </c>
      <c r="R30" s="13" t="s">
        <v>159</v>
      </c>
      <c r="S30" s="13" t="s">
        <v>106</v>
      </c>
      <c r="T30" s="13" t="s">
        <v>107</v>
      </c>
      <c r="U30" s="14">
        <v>44927</v>
      </c>
      <c r="V30" s="14"/>
      <c r="W30" s="15"/>
      <c r="X30" s="15"/>
      <c r="Y30" s="13"/>
      <c r="Z30" s="15"/>
      <c r="AA30" s="15"/>
      <c r="AB30" s="15"/>
      <c r="AC30" s="13"/>
      <c r="AD30" s="15"/>
      <c r="AE30" s="15"/>
      <c r="AF30" s="15"/>
      <c r="AG30" s="13"/>
      <c r="AH30" s="15"/>
      <c r="AI30" s="15"/>
      <c r="AJ30" s="15"/>
      <c r="AK30" s="13"/>
      <c r="AL30" s="15"/>
      <c r="AM30" s="15"/>
      <c r="AN30" s="13"/>
      <c r="AO30" s="13"/>
    </row>
    <row r="31" spans="1:41" ht="72.5" x14ac:dyDescent="0.35">
      <c r="A31" s="13" t="s">
        <v>76</v>
      </c>
      <c r="B31" s="13" t="s">
        <v>77</v>
      </c>
      <c r="C31" s="14">
        <v>45414.672222222223</v>
      </c>
      <c r="D31" s="13" t="s">
        <v>78</v>
      </c>
      <c r="E31" s="15" t="s">
        <v>79</v>
      </c>
      <c r="F31" s="13" t="s">
        <v>80</v>
      </c>
      <c r="G31" s="15" t="s">
        <v>81</v>
      </c>
      <c r="H31" s="13" t="s">
        <v>167</v>
      </c>
      <c r="I31" s="15" t="s">
        <v>168</v>
      </c>
      <c r="J31" s="15" t="s">
        <v>169</v>
      </c>
      <c r="K31" s="15" t="s">
        <v>170</v>
      </c>
      <c r="L31" s="13" t="s">
        <v>173</v>
      </c>
      <c r="M31" s="15" t="s">
        <v>174</v>
      </c>
      <c r="N31" s="13" t="s">
        <v>95</v>
      </c>
      <c r="O31" s="15"/>
      <c r="P31" s="15"/>
      <c r="Q31" s="15" t="s">
        <v>158</v>
      </c>
      <c r="R31" s="13" t="s">
        <v>159</v>
      </c>
      <c r="S31" s="13" t="s">
        <v>106</v>
      </c>
      <c r="T31" s="13" t="s">
        <v>107</v>
      </c>
      <c r="U31" s="14">
        <v>44927</v>
      </c>
      <c r="V31" s="14"/>
      <c r="W31" s="15"/>
      <c r="X31" s="15"/>
      <c r="Y31" s="13"/>
      <c r="Z31" s="15"/>
      <c r="AA31" s="15"/>
      <c r="AB31" s="15"/>
      <c r="AC31" s="13"/>
      <c r="AD31" s="15"/>
      <c r="AE31" s="15"/>
      <c r="AF31" s="15"/>
      <c r="AG31" s="13"/>
      <c r="AH31" s="15"/>
      <c r="AI31" s="15"/>
      <c r="AJ31" s="15"/>
      <c r="AK31" s="13"/>
      <c r="AL31" s="15"/>
      <c r="AM31" s="15"/>
      <c r="AN31" s="13"/>
      <c r="AO31" s="13"/>
    </row>
    <row r="32" spans="1:41" ht="72.5" x14ac:dyDescent="0.35">
      <c r="A32" s="13" t="s">
        <v>76</v>
      </c>
      <c r="B32" s="13" t="s">
        <v>77</v>
      </c>
      <c r="C32" s="14">
        <v>45414.671527777777</v>
      </c>
      <c r="D32" s="13" t="s">
        <v>78</v>
      </c>
      <c r="E32" s="15" t="s">
        <v>79</v>
      </c>
      <c r="F32" s="13" t="s">
        <v>80</v>
      </c>
      <c r="G32" s="15" t="s">
        <v>81</v>
      </c>
      <c r="H32" s="13" t="s">
        <v>167</v>
      </c>
      <c r="I32" s="15" t="s">
        <v>168</v>
      </c>
      <c r="J32" s="15" t="s">
        <v>169</v>
      </c>
      <c r="K32" s="15" t="s">
        <v>170</v>
      </c>
      <c r="L32" s="13" t="s">
        <v>171</v>
      </c>
      <c r="M32" s="15" t="s">
        <v>172</v>
      </c>
      <c r="N32" s="13" t="s">
        <v>88</v>
      </c>
      <c r="O32" s="15"/>
      <c r="P32" s="15"/>
      <c r="Q32" s="15" t="s">
        <v>163</v>
      </c>
      <c r="R32" s="13" t="s">
        <v>164</v>
      </c>
      <c r="S32" s="13" t="s">
        <v>106</v>
      </c>
      <c r="T32" s="13" t="s">
        <v>107</v>
      </c>
      <c r="U32" s="14">
        <v>44927</v>
      </c>
      <c r="V32" s="14"/>
      <c r="W32" s="15"/>
      <c r="X32" s="15"/>
      <c r="Y32" s="13"/>
      <c r="Z32" s="15"/>
      <c r="AA32" s="15"/>
      <c r="AB32" s="15"/>
      <c r="AC32" s="13"/>
      <c r="AD32" s="15"/>
      <c r="AE32" s="15"/>
      <c r="AF32" s="15"/>
      <c r="AG32" s="13"/>
      <c r="AH32" s="15"/>
      <c r="AI32" s="15"/>
      <c r="AJ32" s="15"/>
      <c r="AK32" s="13"/>
      <c r="AL32" s="15"/>
      <c r="AM32" s="15"/>
      <c r="AN32" s="13"/>
      <c r="AO32" s="13"/>
    </row>
    <row r="33" spans="1:41" ht="72.5" x14ac:dyDescent="0.35">
      <c r="A33" s="13" t="s">
        <v>76</v>
      </c>
      <c r="B33" s="13" t="s">
        <v>77</v>
      </c>
      <c r="C33" s="14">
        <v>45414.672222222223</v>
      </c>
      <c r="D33" s="13" t="s">
        <v>78</v>
      </c>
      <c r="E33" s="15" t="s">
        <v>79</v>
      </c>
      <c r="F33" s="13" t="s">
        <v>80</v>
      </c>
      <c r="G33" s="15" t="s">
        <v>81</v>
      </c>
      <c r="H33" s="13" t="s">
        <v>167</v>
      </c>
      <c r="I33" s="15" t="s">
        <v>168</v>
      </c>
      <c r="J33" s="15" t="s">
        <v>169</v>
      </c>
      <c r="K33" s="15" t="s">
        <v>170</v>
      </c>
      <c r="L33" s="13" t="s">
        <v>173</v>
      </c>
      <c r="M33" s="15" t="s">
        <v>174</v>
      </c>
      <c r="N33" s="13" t="s">
        <v>95</v>
      </c>
      <c r="O33" s="15"/>
      <c r="P33" s="15"/>
      <c r="Q33" s="15" t="s">
        <v>163</v>
      </c>
      <c r="R33" s="13" t="s">
        <v>164</v>
      </c>
      <c r="S33" s="13" t="s">
        <v>106</v>
      </c>
      <c r="T33" s="13" t="s">
        <v>107</v>
      </c>
      <c r="U33" s="14">
        <v>44927</v>
      </c>
      <c r="V33" s="14"/>
      <c r="W33" s="15"/>
      <c r="X33" s="15"/>
      <c r="Y33" s="13"/>
      <c r="Z33" s="15"/>
      <c r="AA33" s="15"/>
      <c r="AB33" s="15"/>
      <c r="AC33" s="13"/>
      <c r="AD33" s="15"/>
      <c r="AE33" s="15"/>
      <c r="AF33" s="15"/>
      <c r="AG33" s="13"/>
      <c r="AH33" s="15"/>
      <c r="AI33" s="15"/>
      <c r="AJ33" s="15"/>
      <c r="AK33" s="13"/>
      <c r="AL33" s="15"/>
      <c r="AM33" s="15"/>
      <c r="AN33" s="13"/>
      <c r="AO33" s="13"/>
    </row>
    <row r="34" spans="1:41" s="22" customFormat="1" ht="58" x14ac:dyDescent="0.35">
      <c r="A34" s="19" t="s">
        <v>194</v>
      </c>
      <c r="B34" s="19" t="s">
        <v>77</v>
      </c>
      <c r="C34" s="20">
        <v>45910.565972222219</v>
      </c>
      <c r="D34" s="19" t="s">
        <v>78</v>
      </c>
      <c r="E34" s="21" t="s">
        <v>79</v>
      </c>
      <c r="F34" s="19" t="s">
        <v>80</v>
      </c>
      <c r="G34" s="21" t="s">
        <v>81</v>
      </c>
      <c r="H34" s="19" t="s">
        <v>195</v>
      </c>
      <c r="I34" s="21" t="s">
        <v>196</v>
      </c>
      <c r="J34" s="21" t="s">
        <v>197</v>
      </c>
      <c r="K34" s="21" t="s">
        <v>198</v>
      </c>
      <c r="L34" s="19" t="s">
        <v>199</v>
      </c>
      <c r="M34" s="21" t="s">
        <v>200</v>
      </c>
      <c r="N34" s="19" t="s">
        <v>88</v>
      </c>
      <c r="O34" s="21"/>
      <c r="P34" s="21"/>
      <c r="Q34" s="21" t="s">
        <v>89</v>
      </c>
      <c r="R34" s="19" t="s">
        <v>90</v>
      </c>
      <c r="S34" s="19" t="s">
        <v>91</v>
      </c>
      <c r="T34" s="19" t="s">
        <v>92</v>
      </c>
      <c r="U34" s="20">
        <v>45807</v>
      </c>
      <c r="V34" s="20"/>
      <c r="W34" s="21"/>
      <c r="X34" s="21"/>
      <c r="Y34" s="19"/>
      <c r="Z34" s="21"/>
      <c r="AA34" s="21"/>
      <c r="AB34" s="21"/>
      <c r="AC34" s="19"/>
      <c r="AD34" s="21"/>
      <c r="AE34" s="21">
        <v>0</v>
      </c>
      <c r="AF34" s="21"/>
      <c r="AG34" s="19"/>
      <c r="AH34" s="21"/>
      <c r="AI34" s="21"/>
      <c r="AJ34" s="21"/>
      <c r="AK34" s="19"/>
      <c r="AL34" s="21"/>
      <c r="AM34" s="21"/>
      <c r="AN34" s="19"/>
      <c r="AO34" s="19"/>
    </row>
    <row r="35" spans="1:41" s="22" customFormat="1" ht="58" x14ac:dyDescent="0.35">
      <c r="A35" s="19" t="s">
        <v>194</v>
      </c>
      <c r="B35" s="19" t="s">
        <v>77</v>
      </c>
      <c r="C35" s="20">
        <v>45911.627083333333</v>
      </c>
      <c r="D35" s="19" t="s">
        <v>78</v>
      </c>
      <c r="E35" s="21" t="s">
        <v>79</v>
      </c>
      <c r="F35" s="19" t="s">
        <v>80</v>
      </c>
      <c r="G35" s="21" t="s">
        <v>81</v>
      </c>
      <c r="H35" s="19" t="s">
        <v>195</v>
      </c>
      <c r="I35" s="21" t="s">
        <v>196</v>
      </c>
      <c r="J35" s="21" t="s">
        <v>197</v>
      </c>
      <c r="K35" s="21" t="s">
        <v>198</v>
      </c>
      <c r="L35" s="19" t="s">
        <v>202</v>
      </c>
      <c r="M35" s="21" t="s">
        <v>203</v>
      </c>
      <c r="N35" s="19" t="s">
        <v>95</v>
      </c>
      <c r="O35" s="21"/>
      <c r="P35" s="21"/>
      <c r="Q35" s="21" t="s">
        <v>89</v>
      </c>
      <c r="R35" s="19" t="s">
        <v>90</v>
      </c>
      <c r="S35" s="19" t="s">
        <v>91</v>
      </c>
      <c r="T35" s="19" t="s">
        <v>92</v>
      </c>
      <c r="U35" s="20">
        <v>45807</v>
      </c>
      <c r="V35" s="20"/>
      <c r="W35" s="21"/>
      <c r="X35" s="21"/>
      <c r="Y35" s="19"/>
      <c r="Z35" s="21"/>
      <c r="AA35" s="21"/>
      <c r="AB35" s="21"/>
      <c r="AC35" s="19"/>
      <c r="AD35" s="21"/>
      <c r="AE35" s="21"/>
      <c r="AF35" s="21"/>
      <c r="AG35" s="19"/>
      <c r="AH35" s="21"/>
      <c r="AI35" s="21"/>
      <c r="AJ35" s="21"/>
      <c r="AK35" s="19"/>
      <c r="AL35" s="21"/>
      <c r="AM35" s="21"/>
      <c r="AN35" s="19"/>
      <c r="AO35" s="19"/>
    </row>
    <row r="36" spans="1:41" s="22" customFormat="1" ht="58" x14ac:dyDescent="0.35">
      <c r="A36" s="19" t="s">
        <v>194</v>
      </c>
      <c r="B36" s="19" t="s">
        <v>77</v>
      </c>
      <c r="C36" s="20">
        <v>45910.565972222219</v>
      </c>
      <c r="D36" s="19" t="s">
        <v>78</v>
      </c>
      <c r="E36" s="21" t="s">
        <v>79</v>
      </c>
      <c r="F36" s="19" t="s">
        <v>80</v>
      </c>
      <c r="G36" s="21" t="s">
        <v>81</v>
      </c>
      <c r="H36" s="19" t="s">
        <v>195</v>
      </c>
      <c r="I36" s="21" t="s">
        <v>196</v>
      </c>
      <c r="J36" s="21" t="s">
        <v>197</v>
      </c>
      <c r="K36" s="21" t="s">
        <v>198</v>
      </c>
      <c r="L36" s="19" t="s">
        <v>199</v>
      </c>
      <c r="M36" s="21" t="s">
        <v>200</v>
      </c>
      <c r="N36" s="19" t="s">
        <v>88</v>
      </c>
      <c r="O36" s="21"/>
      <c r="P36" s="21"/>
      <c r="Q36" s="21" t="s">
        <v>96</v>
      </c>
      <c r="R36" s="19" t="s">
        <v>97</v>
      </c>
      <c r="S36" s="19" t="s">
        <v>91</v>
      </c>
      <c r="T36" s="19" t="s">
        <v>92</v>
      </c>
      <c r="U36" s="20">
        <v>45807</v>
      </c>
      <c r="V36" s="20"/>
      <c r="W36" s="21"/>
      <c r="X36" s="21"/>
      <c r="Y36" s="19"/>
      <c r="Z36" s="21"/>
      <c r="AA36" s="21"/>
      <c r="AB36" s="21"/>
      <c r="AC36" s="19"/>
      <c r="AD36" s="21"/>
      <c r="AE36" s="21"/>
      <c r="AF36" s="21"/>
      <c r="AG36" s="19"/>
      <c r="AH36" s="21"/>
      <c r="AI36" s="21"/>
      <c r="AJ36" s="21"/>
      <c r="AK36" s="19"/>
      <c r="AL36" s="21"/>
      <c r="AM36" s="21"/>
      <c r="AN36" s="19"/>
      <c r="AO36" s="19"/>
    </row>
    <row r="37" spans="1:41" s="22" customFormat="1" ht="58" x14ac:dyDescent="0.35">
      <c r="A37" s="19" t="s">
        <v>194</v>
      </c>
      <c r="B37" s="19" t="s">
        <v>77</v>
      </c>
      <c r="C37" s="20">
        <v>45911.628472222219</v>
      </c>
      <c r="D37" s="19" t="s">
        <v>78</v>
      </c>
      <c r="E37" s="21" t="s">
        <v>79</v>
      </c>
      <c r="F37" s="19" t="s">
        <v>80</v>
      </c>
      <c r="G37" s="21" t="s">
        <v>81</v>
      </c>
      <c r="H37" s="19" t="s">
        <v>195</v>
      </c>
      <c r="I37" s="21" t="s">
        <v>196</v>
      </c>
      <c r="J37" s="21" t="s">
        <v>197</v>
      </c>
      <c r="K37" s="21" t="s">
        <v>198</v>
      </c>
      <c r="L37" s="19" t="s">
        <v>202</v>
      </c>
      <c r="M37" s="21" t="s">
        <v>203</v>
      </c>
      <c r="N37" s="19" t="s">
        <v>95</v>
      </c>
      <c r="O37" s="21"/>
      <c r="P37" s="21"/>
      <c r="Q37" s="21" t="s">
        <v>96</v>
      </c>
      <c r="R37" s="19" t="s">
        <v>97</v>
      </c>
      <c r="S37" s="19" t="s">
        <v>91</v>
      </c>
      <c r="T37" s="19" t="s">
        <v>92</v>
      </c>
      <c r="U37" s="20">
        <v>45807</v>
      </c>
      <c r="V37" s="20"/>
      <c r="W37" s="21"/>
      <c r="X37" s="21"/>
      <c r="Y37" s="19"/>
      <c r="Z37" s="21"/>
      <c r="AA37" s="21"/>
      <c r="AB37" s="21"/>
      <c r="AC37" s="19"/>
      <c r="AD37" s="21"/>
      <c r="AE37" s="21"/>
      <c r="AF37" s="21"/>
      <c r="AG37" s="19"/>
      <c r="AH37" s="21"/>
      <c r="AI37" s="21"/>
      <c r="AJ37" s="21"/>
      <c r="AK37" s="19"/>
      <c r="AL37" s="21"/>
      <c r="AM37" s="21"/>
      <c r="AN37" s="19"/>
      <c r="AO37" s="19"/>
    </row>
    <row r="38" spans="1:41" s="22" customFormat="1" ht="58" x14ac:dyDescent="0.35">
      <c r="A38" s="19" t="s">
        <v>194</v>
      </c>
      <c r="B38" s="19" t="s">
        <v>77</v>
      </c>
      <c r="C38" s="20">
        <v>45910.565972222219</v>
      </c>
      <c r="D38" s="19" t="s">
        <v>78</v>
      </c>
      <c r="E38" s="21" t="s">
        <v>79</v>
      </c>
      <c r="F38" s="19" t="s">
        <v>80</v>
      </c>
      <c r="G38" s="21" t="s">
        <v>81</v>
      </c>
      <c r="H38" s="19" t="s">
        <v>195</v>
      </c>
      <c r="I38" s="21" t="s">
        <v>196</v>
      </c>
      <c r="J38" s="21" t="s">
        <v>197</v>
      </c>
      <c r="K38" s="21" t="s">
        <v>198</v>
      </c>
      <c r="L38" s="19" t="s">
        <v>199</v>
      </c>
      <c r="M38" s="21" t="s">
        <v>200</v>
      </c>
      <c r="N38" s="19" t="s">
        <v>88</v>
      </c>
      <c r="O38" s="21"/>
      <c r="P38" s="21"/>
      <c r="Q38" s="21" t="s">
        <v>98</v>
      </c>
      <c r="R38" s="19" t="s">
        <v>99</v>
      </c>
      <c r="S38" s="19" t="s">
        <v>91</v>
      </c>
      <c r="T38" s="19" t="s">
        <v>92</v>
      </c>
      <c r="U38" s="20">
        <v>45807</v>
      </c>
      <c r="V38" s="20"/>
      <c r="W38" s="21"/>
      <c r="X38" s="21"/>
      <c r="Y38" s="19"/>
      <c r="Z38" s="21"/>
      <c r="AA38" s="21"/>
      <c r="AB38" s="21"/>
      <c r="AC38" s="19"/>
      <c r="AD38" s="21"/>
      <c r="AE38" s="21"/>
      <c r="AF38" s="21"/>
      <c r="AG38" s="19"/>
      <c r="AH38" s="21"/>
      <c r="AI38" s="21"/>
      <c r="AJ38" s="21"/>
      <c r="AK38" s="19"/>
      <c r="AL38" s="21"/>
      <c r="AM38" s="21"/>
      <c r="AN38" s="19"/>
      <c r="AO38" s="19"/>
    </row>
    <row r="39" spans="1:41" s="22" customFormat="1" ht="58" x14ac:dyDescent="0.35">
      <c r="A39" s="19" t="s">
        <v>194</v>
      </c>
      <c r="B39" s="19" t="s">
        <v>77</v>
      </c>
      <c r="C39" s="20">
        <v>45911.62777777778</v>
      </c>
      <c r="D39" s="19" t="s">
        <v>78</v>
      </c>
      <c r="E39" s="21" t="s">
        <v>79</v>
      </c>
      <c r="F39" s="19" t="s">
        <v>80</v>
      </c>
      <c r="G39" s="21" t="s">
        <v>81</v>
      </c>
      <c r="H39" s="19" t="s">
        <v>195</v>
      </c>
      <c r="I39" s="21" t="s">
        <v>196</v>
      </c>
      <c r="J39" s="21" t="s">
        <v>197</v>
      </c>
      <c r="K39" s="21" t="s">
        <v>198</v>
      </c>
      <c r="L39" s="19" t="s">
        <v>202</v>
      </c>
      <c r="M39" s="21" t="s">
        <v>203</v>
      </c>
      <c r="N39" s="19" t="s">
        <v>95</v>
      </c>
      <c r="O39" s="21"/>
      <c r="P39" s="21"/>
      <c r="Q39" s="21" t="s">
        <v>98</v>
      </c>
      <c r="R39" s="19" t="s">
        <v>99</v>
      </c>
      <c r="S39" s="19" t="s">
        <v>91</v>
      </c>
      <c r="T39" s="19" t="s">
        <v>92</v>
      </c>
      <c r="U39" s="20">
        <v>45807</v>
      </c>
      <c r="V39" s="20"/>
      <c r="W39" s="21"/>
      <c r="X39" s="21"/>
      <c r="Y39" s="19"/>
      <c r="Z39" s="21"/>
      <c r="AA39" s="21"/>
      <c r="AB39" s="21"/>
      <c r="AC39" s="19"/>
      <c r="AD39" s="21"/>
      <c r="AE39" s="21"/>
      <c r="AF39" s="21"/>
      <c r="AG39" s="19"/>
      <c r="AH39" s="21"/>
      <c r="AI39" s="21"/>
      <c r="AJ39" s="21"/>
      <c r="AK39" s="19"/>
      <c r="AL39" s="21"/>
      <c r="AM39" s="21"/>
      <c r="AN39" s="19"/>
      <c r="AO39" s="19"/>
    </row>
    <row r="40" spans="1:41" s="22" customFormat="1" ht="58" x14ac:dyDescent="0.35">
      <c r="A40" s="19" t="s">
        <v>194</v>
      </c>
      <c r="B40" s="19" t="s">
        <v>77</v>
      </c>
      <c r="C40" s="20">
        <v>45910.565972222219</v>
      </c>
      <c r="D40" s="19" t="s">
        <v>78</v>
      </c>
      <c r="E40" s="21" t="s">
        <v>79</v>
      </c>
      <c r="F40" s="19" t="s">
        <v>80</v>
      </c>
      <c r="G40" s="21" t="s">
        <v>81</v>
      </c>
      <c r="H40" s="19" t="s">
        <v>195</v>
      </c>
      <c r="I40" s="21" t="s">
        <v>196</v>
      </c>
      <c r="J40" s="21" t="s">
        <v>197</v>
      </c>
      <c r="K40" s="21" t="s">
        <v>198</v>
      </c>
      <c r="L40" s="19" t="s">
        <v>199</v>
      </c>
      <c r="M40" s="21" t="s">
        <v>200</v>
      </c>
      <c r="N40" s="19" t="s">
        <v>88</v>
      </c>
      <c r="O40" s="21"/>
      <c r="P40" s="21"/>
      <c r="Q40" s="21" t="s">
        <v>100</v>
      </c>
      <c r="R40" s="19" t="s">
        <v>101</v>
      </c>
      <c r="S40" s="19" t="s">
        <v>91</v>
      </c>
      <c r="T40" s="19" t="s">
        <v>92</v>
      </c>
      <c r="U40" s="20">
        <v>45807</v>
      </c>
      <c r="V40" s="20"/>
      <c r="W40" s="21"/>
      <c r="X40" s="21"/>
      <c r="Y40" s="19"/>
      <c r="Z40" s="21"/>
      <c r="AA40" s="21"/>
      <c r="AB40" s="21"/>
      <c r="AC40" s="19"/>
      <c r="AD40" s="21"/>
      <c r="AE40" s="21"/>
      <c r="AF40" s="21"/>
      <c r="AG40" s="19"/>
      <c r="AH40" s="21"/>
      <c r="AI40" s="21"/>
      <c r="AJ40" s="21"/>
      <c r="AK40" s="19"/>
      <c r="AL40" s="21"/>
      <c r="AM40" s="21"/>
      <c r="AN40" s="19"/>
      <c r="AO40" s="19"/>
    </row>
    <row r="41" spans="1:41" s="22" customFormat="1" ht="58" x14ac:dyDescent="0.35">
      <c r="A41" s="19" t="s">
        <v>194</v>
      </c>
      <c r="B41" s="19" t="s">
        <v>77</v>
      </c>
      <c r="C41" s="20">
        <v>45911.62777777778</v>
      </c>
      <c r="D41" s="19" t="s">
        <v>78</v>
      </c>
      <c r="E41" s="21" t="s">
        <v>79</v>
      </c>
      <c r="F41" s="19" t="s">
        <v>80</v>
      </c>
      <c r="G41" s="21" t="s">
        <v>81</v>
      </c>
      <c r="H41" s="19" t="s">
        <v>195</v>
      </c>
      <c r="I41" s="21" t="s">
        <v>196</v>
      </c>
      <c r="J41" s="21" t="s">
        <v>197</v>
      </c>
      <c r="K41" s="21" t="s">
        <v>198</v>
      </c>
      <c r="L41" s="19" t="s">
        <v>202</v>
      </c>
      <c r="M41" s="21" t="s">
        <v>203</v>
      </c>
      <c r="N41" s="19" t="s">
        <v>95</v>
      </c>
      <c r="O41" s="21"/>
      <c r="P41" s="21"/>
      <c r="Q41" s="21" t="s">
        <v>100</v>
      </c>
      <c r="R41" s="19" t="s">
        <v>101</v>
      </c>
      <c r="S41" s="19" t="s">
        <v>91</v>
      </c>
      <c r="T41" s="19" t="s">
        <v>92</v>
      </c>
      <c r="U41" s="20">
        <v>45807</v>
      </c>
      <c r="V41" s="20"/>
      <c r="W41" s="21"/>
      <c r="X41" s="21"/>
      <c r="Y41" s="19"/>
      <c r="Z41" s="21"/>
      <c r="AA41" s="21"/>
      <c r="AB41" s="21"/>
      <c r="AC41" s="19"/>
      <c r="AD41" s="21"/>
      <c r="AE41" s="21"/>
      <c r="AF41" s="21"/>
      <c r="AG41" s="19"/>
      <c r="AH41" s="21"/>
      <c r="AI41" s="21"/>
      <c r="AJ41" s="21"/>
      <c r="AK41" s="19"/>
      <c r="AL41" s="21"/>
      <c r="AM41" s="21"/>
      <c r="AN41" s="19"/>
      <c r="AO41" s="19"/>
    </row>
    <row r="42" spans="1:41" s="22" customFormat="1" ht="58" x14ac:dyDescent="0.35">
      <c r="A42" s="19" t="s">
        <v>194</v>
      </c>
      <c r="B42" s="19" t="s">
        <v>77</v>
      </c>
      <c r="C42" s="20">
        <v>45910.565972222219</v>
      </c>
      <c r="D42" s="19" t="s">
        <v>78</v>
      </c>
      <c r="E42" s="21" t="s">
        <v>79</v>
      </c>
      <c r="F42" s="19" t="s">
        <v>80</v>
      </c>
      <c r="G42" s="21" t="s">
        <v>81</v>
      </c>
      <c r="H42" s="19" t="s">
        <v>195</v>
      </c>
      <c r="I42" s="21" t="s">
        <v>196</v>
      </c>
      <c r="J42" s="21" t="s">
        <v>197</v>
      </c>
      <c r="K42" s="21" t="s">
        <v>198</v>
      </c>
      <c r="L42" s="19" t="s">
        <v>199</v>
      </c>
      <c r="M42" s="21" t="s">
        <v>200</v>
      </c>
      <c r="N42" s="19" t="s">
        <v>88</v>
      </c>
      <c r="O42" s="21"/>
      <c r="P42" s="21"/>
      <c r="Q42" s="21" t="s">
        <v>102</v>
      </c>
      <c r="R42" s="19" t="s">
        <v>103</v>
      </c>
      <c r="S42" s="19" t="s">
        <v>91</v>
      </c>
      <c r="T42" s="19" t="s">
        <v>92</v>
      </c>
      <c r="U42" s="20">
        <v>45807</v>
      </c>
      <c r="V42" s="20"/>
      <c r="W42" s="21"/>
      <c r="X42" s="21"/>
      <c r="Y42" s="19"/>
      <c r="Z42" s="21"/>
      <c r="AA42" s="21"/>
      <c r="AB42" s="21"/>
      <c r="AC42" s="19"/>
      <c r="AD42" s="21"/>
      <c r="AE42" s="21"/>
      <c r="AF42" s="21"/>
      <c r="AG42" s="19"/>
      <c r="AH42" s="21"/>
      <c r="AI42" s="21"/>
      <c r="AJ42" s="21"/>
      <c r="AK42" s="19"/>
      <c r="AL42" s="21"/>
      <c r="AM42" s="21"/>
      <c r="AN42" s="19"/>
      <c r="AO42" s="19"/>
    </row>
    <row r="43" spans="1:41" s="22" customFormat="1" ht="58" x14ac:dyDescent="0.35">
      <c r="A43" s="19" t="s">
        <v>194</v>
      </c>
      <c r="B43" s="19" t="s">
        <v>77</v>
      </c>
      <c r="C43" s="20">
        <v>45911.62777777778</v>
      </c>
      <c r="D43" s="19" t="s">
        <v>78</v>
      </c>
      <c r="E43" s="21" t="s">
        <v>79</v>
      </c>
      <c r="F43" s="19" t="s">
        <v>80</v>
      </c>
      <c r="G43" s="21" t="s">
        <v>81</v>
      </c>
      <c r="H43" s="19" t="s">
        <v>195</v>
      </c>
      <c r="I43" s="21" t="s">
        <v>196</v>
      </c>
      <c r="J43" s="21" t="s">
        <v>197</v>
      </c>
      <c r="K43" s="21" t="s">
        <v>198</v>
      </c>
      <c r="L43" s="19" t="s">
        <v>202</v>
      </c>
      <c r="M43" s="21" t="s">
        <v>203</v>
      </c>
      <c r="N43" s="19" t="s">
        <v>95</v>
      </c>
      <c r="O43" s="21"/>
      <c r="P43" s="21"/>
      <c r="Q43" s="21" t="s">
        <v>102</v>
      </c>
      <c r="R43" s="19" t="s">
        <v>103</v>
      </c>
      <c r="S43" s="19" t="s">
        <v>91</v>
      </c>
      <c r="T43" s="19" t="s">
        <v>92</v>
      </c>
      <c r="U43" s="20">
        <v>45807</v>
      </c>
      <c r="V43" s="20"/>
      <c r="W43" s="21"/>
      <c r="X43" s="21"/>
      <c r="Y43" s="19"/>
      <c r="Z43" s="21"/>
      <c r="AA43" s="21"/>
      <c r="AB43" s="21"/>
      <c r="AC43" s="19"/>
      <c r="AD43" s="21"/>
      <c r="AE43" s="21"/>
      <c r="AF43" s="21"/>
      <c r="AG43" s="19"/>
      <c r="AH43" s="21"/>
      <c r="AI43" s="21"/>
      <c r="AJ43" s="21"/>
      <c r="AK43" s="19"/>
      <c r="AL43" s="21"/>
      <c r="AM43" s="21"/>
      <c r="AN43" s="19"/>
      <c r="AO43" s="19"/>
    </row>
    <row r="44" spans="1:41" s="22" customFormat="1" ht="58" x14ac:dyDescent="0.35">
      <c r="A44" s="19" t="s">
        <v>194</v>
      </c>
      <c r="B44" s="19" t="s">
        <v>77</v>
      </c>
      <c r="C44" s="20">
        <v>45910.57916666667</v>
      </c>
      <c r="D44" s="19" t="s">
        <v>78</v>
      </c>
      <c r="E44" s="21" t="s">
        <v>79</v>
      </c>
      <c r="F44" s="19" t="s">
        <v>80</v>
      </c>
      <c r="G44" s="21" t="s">
        <v>81</v>
      </c>
      <c r="H44" s="19" t="s">
        <v>195</v>
      </c>
      <c r="I44" s="21" t="s">
        <v>196</v>
      </c>
      <c r="J44" s="21" t="s">
        <v>197</v>
      </c>
      <c r="K44" s="21" t="s">
        <v>198</v>
      </c>
      <c r="L44" s="19" t="s">
        <v>199</v>
      </c>
      <c r="M44" s="21" t="s">
        <v>200</v>
      </c>
      <c r="N44" s="19" t="s">
        <v>88</v>
      </c>
      <c r="O44" s="21"/>
      <c r="P44" s="21"/>
      <c r="Q44" s="21" t="s">
        <v>104</v>
      </c>
      <c r="R44" s="19" t="s">
        <v>105</v>
      </c>
      <c r="S44" s="19" t="s">
        <v>106</v>
      </c>
      <c r="T44" s="19" t="s">
        <v>107</v>
      </c>
      <c r="U44" s="20">
        <v>45807</v>
      </c>
      <c r="V44" s="20"/>
      <c r="W44" s="21"/>
      <c r="X44" s="21"/>
      <c r="Y44" s="19"/>
      <c r="Z44" s="21"/>
      <c r="AA44" s="21"/>
      <c r="AB44" s="21"/>
      <c r="AC44" s="19"/>
      <c r="AD44" s="21"/>
      <c r="AE44" s="21"/>
      <c r="AF44" s="21"/>
      <c r="AG44" s="19"/>
      <c r="AH44" s="21"/>
      <c r="AI44" s="21"/>
      <c r="AJ44" s="21"/>
      <c r="AK44" s="19"/>
      <c r="AL44" s="21"/>
      <c r="AM44" s="21"/>
      <c r="AN44" s="19"/>
      <c r="AO44" s="19"/>
    </row>
    <row r="45" spans="1:41" s="22" customFormat="1" ht="58" x14ac:dyDescent="0.35">
      <c r="A45" s="19" t="s">
        <v>194</v>
      </c>
      <c r="B45" s="19" t="s">
        <v>77</v>
      </c>
      <c r="C45" s="20">
        <v>45910.586111111108</v>
      </c>
      <c r="D45" s="19" t="s">
        <v>78</v>
      </c>
      <c r="E45" s="21" t="s">
        <v>79</v>
      </c>
      <c r="F45" s="19" t="s">
        <v>80</v>
      </c>
      <c r="G45" s="21" t="s">
        <v>81</v>
      </c>
      <c r="H45" s="19" t="s">
        <v>195</v>
      </c>
      <c r="I45" s="21" t="s">
        <v>196</v>
      </c>
      <c r="J45" s="21" t="s">
        <v>197</v>
      </c>
      <c r="K45" s="21" t="s">
        <v>198</v>
      </c>
      <c r="L45" s="19" t="s">
        <v>202</v>
      </c>
      <c r="M45" s="21" t="s">
        <v>203</v>
      </c>
      <c r="N45" s="19" t="s">
        <v>95</v>
      </c>
      <c r="O45" s="21"/>
      <c r="P45" s="21"/>
      <c r="Q45" s="21" t="s">
        <v>104</v>
      </c>
      <c r="R45" s="19" t="s">
        <v>105</v>
      </c>
      <c r="S45" s="19" t="s">
        <v>106</v>
      </c>
      <c r="T45" s="19" t="s">
        <v>107</v>
      </c>
      <c r="U45" s="20">
        <v>45807</v>
      </c>
      <c r="V45" s="20"/>
      <c r="W45" s="21"/>
      <c r="X45" s="21"/>
      <c r="Y45" s="19"/>
      <c r="Z45" s="21"/>
      <c r="AA45" s="21"/>
      <c r="AB45" s="21"/>
      <c r="AC45" s="19"/>
      <c r="AD45" s="21"/>
      <c r="AE45" s="21"/>
      <c r="AF45" s="21"/>
      <c r="AG45" s="19"/>
      <c r="AH45" s="21"/>
      <c r="AI45" s="21"/>
      <c r="AJ45" s="21"/>
      <c r="AK45" s="19"/>
      <c r="AL45" s="21"/>
      <c r="AM45" s="21"/>
      <c r="AN45" s="19"/>
      <c r="AO45" s="19"/>
    </row>
    <row r="46" spans="1:41" s="22" customFormat="1" ht="58" x14ac:dyDescent="0.35">
      <c r="A46" s="19" t="s">
        <v>194</v>
      </c>
      <c r="B46" s="19" t="s">
        <v>77</v>
      </c>
      <c r="C46" s="20">
        <v>45910.580555555556</v>
      </c>
      <c r="D46" s="19" t="s">
        <v>78</v>
      </c>
      <c r="E46" s="21" t="s">
        <v>79</v>
      </c>
      <c r="F46" s="19" t="s">
        <v>80</v>
      </c>
      <c r="G46" s="21" t="s">
        <v>81</v>
      </c>
      <c r="H46" s="19" t="s">
        <v>195</v>
      </c>
      <c r="I46" s="21" t="s">
        <v>196</v>
      </c>
      <c r="J46" s="21" t="s">
        <v>197</v>
      </c>
      <c r="K46" s="21" t="s">
        <v>198</v>
      </c>
      <c r="L46" s="19" t="s">
        <v>199</v>
      </c>
      <c r="M46" s="21" t="s">
        <v>200</v>
      </c>
      <c r="N46" s="19" t="s">
        <v>88</v>
      </c>
      <c r="O46" s="21"/>
      <c r="P46" s="21"/>
      <c r="Q46" s="21" t="s">
        <v>158</v>
      </c>
      <c r="R46" s="19" t="s">
        <v>159</v>
      </c>
      <c r="S46" s="19" t="s">
        <v>106</v>
      </c>
      <c r="T46" s="19" t="s">
        <v>107</v>
      </c>
      <c r="U46" s="20">
        <v>45807</v>
      </c>
      <c r="V46" s="20"/>
      <c r="W46" s="21"/>
      <c r="X46" s="21"/>
      <c r="Y46" s="19"/>
      <c r="Z46" s="21"/>
      <c r="AA46" s="21"/>
      <c r="AB46" s="21"/>
      <c r="AC46" s="19"/>
      <c r="AD46" s="21"/>
      <c r="AE46" s="21"/>
      <c r="AF46" s="21"/>
      <c r="AG46" s="19"/>
      <c r="AH46" s="21"/>
      <c r="AI46" s="21"/>
      <c r="AJ46" s="21"/>
      <c r="AK46" s="19"/>
      <c r="AL46" s="21"/>
      <c r="AM46" s="21"/>
      <c r="AN46" s="19"/>
      <c r="AO46" s="19"/>
    </row>
    <row r="47" spans="1:41" s="22" customFormat="1" ht="58" x14ac:dyDescent="0.35">
      <c r="A47" s="19" t="s">
        <v>194</v>
      </c>
      <c r="B47" s="19" t="s">
        <v>77</v>
      </c>
      <c r="C47" s="20">
        <v>45910.586805555555</v>
      </c>
      <c r="D47" s="19" t="s">
        <v>78</v>
      </c>
      <c r="E47" s="21" t="s">
        <v>79</v>
      </c>
      <c r="F47" s="19" t="s">
        <v>80</v>
      </c>
      <c r="G47" s="21" t="s">
        <v>81</v>
      </c>
      <c r="H47" s="19" t="s">
        <v>195</v>
      </c>
      <c r="I47" s="21" t="s">
        <v>196</v>
      </c>
      <c r="J47" s="21" t="s">
        <v>197</v>
      </c>
      <c r="K47" s="21" t="s">
        <v>198</v>
      </c>
      <c r="L47" s="19" t="s">
        <v>202</v>
      </c>
      <c r="M47" s="21" t="s">
        <v>203</v>
      </c>
      <c r="N47" s="19" t="s">
        <v>95</v>
      </c>
      <c r="O47" s="21"/>
      <c r="P47" s="21"/>
      <c r="Q47" s="21" t="s">
        <v>158</v>
      </c>
      <c r="R47" s="19" t="s">
        <v>159</v>
      </c>
      <c r="S47" s="19" t="s">
        <v>106</v>
      </c>
      <c r="T47" s="19" t="s">
        <v>107</v>
      </c>
      <c r="U47" s="20">
        <v>45807</v>
      </c>
      <c r="V47" s="20"/>
      <c r="W47" s="21"/>
      <c r="X47" s="21"/>
      <c r="Y47" s="19"/>
      <c r="Z47" s="21"/>
      <c r="AA47" s="21"/>
      <c r="AB47" s="21"/>
      <c r="AC47" s="19"/>
      <c r="AD47" s="21"/>
      <c r="AE47" s="21"/>
      <c r="AF47" s="21"/>
      <c r="AG47" s="19"/>
      <c r="AH47" s="21"/>
      <c r="AI47" s="21"/>
      <c r="AJ47" s="21"/>
      <c r="AK47" s="19"/>
      <c r="AL47" s="21"/>
      <c r="AM47" s="21"/>
      <c r="AN47" s="19"/>
      <c r="AO47" s="19"/>
    </row>
    <row r="48" spans="1:41" s="22" customFormat="1" ht="58" x14ac:dyDescent="0.35">
      <c r="A48" s="19" t="s">
        <v>194</v>
      </c>
      <c r="B48" s="19" t="s">
        <v>77</v>
      </c>
      <c r="C48" s="20">
        <v>45910.581250000003</v>
      </c>
      <c r="D48" s="19" t="s">
        <v>78</v>
      </c>
      <c r="E48" s="21" t="s">
        <v>79</v>
      </c>
      <c r="F48" s="19" t="s">
        <v>80</v>
      </c>
      <c r="G48" s="21" t="s">
        <v>81</v>
      </c>
      <c r="H48" s="19" t="s">
        <v>195</v>
      </c>
      <c r="I48" s="21" t="s">
        <v>196</v>
      </c>
      <c r="J48" s="21" t="s">
        <v>197</v>
      </c>
      <c r="K48" s="21" t="s">
        <v>198</v>
      </c>
      <c r="L48" s="19" t="s">
        <v>199</v>
      </c>
      <c r="M48" s="21" t="s">
        <v>200</v>
      </c>
      <c r="N48" s="19" t="s">
        <v>88</v>
      </c>
      <c r="O48" s="21"/>
      <c r="P48" s="21"/>
      <c r="Q48" s="21" t="s">
        <v>163</v>
      </c>
      <c r="R48" s="19" t="s">
        <v>164</v>
      </c>
      <c r="S48" s="19" t="s">
        <v>106</v>
      </c>
      <c r="T48" s="19" t="s">
        <v>107</v>
      </c>
      <c r="U48" s="20">
        <v>45807</v>
      </c>
      <c r="V48" s="20"/>
      <c r="W48" s="21"/>
      <c r="X48" s="21"/>
      <c r="Y48" s="19"/>
      <c r="Z48" s="21"/>
      <c r="AA48" s="21"/>
      <c r="AB48" s="21"/>
      <c r="AC48" s="19"/>
      <c r="AD48" s="21"/>
      <c r="AE48" s="21"/>
      <c r="AF48" s="21"/>
      <c r="AG48" s="19"/>
      <c r="AH48" s="21"/>
      <c r="AI48" s="21"/>
      <c r="AJ48" s="21"/>
      <c r="AK48" s="19"/>
      <c r="AL48" s="21"/>
      <c r="AM48" s="21"/>
      <c r="AN48" s="19"/>
      <c r="AO48" s="19"/>
    </row>
    <row r="49" spans="1:41" s="22" customFormat="1" ht="58" x14ac:dyDescent="0.35">
      <c r="A49" s="19" t="s">
        <v>194</v>
      </c>
      <c r="B49" s="19" t="s">
        <v>77</v>
      </c>
      <c r="C49" s="20">
        <v>45910.586805555555</v>
      </c>
      <c r="D49" s="19" t="s">
        <v>78</v>
      </c>
      <c r="E49" s="21" t="s">
        <v>79</v>
      </c>
      <c r="F49" s="19" t="s">
        <v>80</v>
      </c>
      <c r="G49" s="21" t="s">
        <v>81</v>
      </c>
      <c r="H49" s="19" t="s">
        <v>195</v>
      </c>
      <c r="I49" s="21" t="s">
        <v>196</v>
      </c>
      <c r="J49" s="21" t="s">
        <v>197</v>
      </c>
      <c r="K49" s="21" t="s">
        <v>198</v>
      </c>
      <c r="L49" s="19" t="s">
        <v>202</v>
      </c>
      <c r="M49" s="21" t="s">
        <v>203</v>
      </c>
      <c r="N49" s="19" t="s">
        <v>95</v>
      </c>
      <c r="O49" s="21"/>
      <c r="P49" s="21"/>
      <c r="Q49" s="21" t="s">
        <v>163</v>
      </c>
      <c r="R49" s="19" t="s">
        <v>164</v>
      </c>
      <c r="S49" s="19" t="s">
        <v>106</v>
      </c>
      <c r="T49" s="19" t="s">
        <v>107</v>
      </c>
      <c r="U49" s="20">
        <v>45807</v>
      </c>
      <c r="V49" s="20"/>
      <c r="W49" s="21"/>
      <c r="X49" s="21"/>
      <c r="Y49" s="19"/>
      <c r="Z49" s="21"/>
      <c r="AA49" s="21"/>
      <c r="AB49" s="21"/>
      <c r="AC49" s="19"/>
      <c r="AD49" s="21"/>
      <c r="AE49" s="21"/>
      <c r="AF49" s="21"/>
      <c r="AG49" s="19"/>
      <c r="AH49" s="21"/>
      <c r="AI49" s="21"/>
      <c r="AJ49" s="21"/>
      <c r="AK49" s="19"/>
      <c r="AL49" s="21"/>
      <c r="AM49" s="21"/>
      <c r="AN49" s="19"/>
      <c r="AO49" s="19"/>
    </row>
  </sheetData>
  <autoFilter ref="A1:AS49" xr:uid="{CCA4DE28-F3A9-4203-AAA4-8D03F18FDEB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4C0EB-8598-4F23-9252-64A059790957}">
  <dimension ref="A1:U40"/>
  <sheetViews>
    <sheetView workbookViewId="0">
      <pane ySplit="1" topLeftCell="A4" activePane="bottomLeft" state="frozenSplit"/>
      <selection pane="bottomLeft" activeCell="C7" sqref="C7"/>
    </sheetView>
  </sheetViews>
  <sheetFormatPr baseColWidth="10" defaultColWidth="11.453125" defaultRowHeight="14.5" x14ac:dyDescent="0.35"/>
  <cols>
    <col min="1" max="1" width="8.7265625" style="12" customWidth="1"/>
    <col min="2" max="2" width="7.7265625" style="12" customWidth="1"/>
    <col min="3" max="4" width="12.7265625" style="12" customWidth="1"/>
    <col min="5" max="5" width="14.7265625" style="12" customWidth="1"/>
    <col min="6" max="6" width="40.7265625" style="17" customWidth="1"/>
    <col min="7" max="7" width="25.7265625" style="12" customWidth="1"/>
    <col min="8" max="9" width="12.7265625" style="12" customWidth="1"/>
    <col min="10" max="11" width="40.7265625" style="17" customWidth="1"/>
    <col min="12" max="12" width="14.7265625" style="12" customWidth="1"/>
    <col min="13" max="13" width="25.7265625" style="17" customWidth="1"/>
    <col min="14" max="17" width="25.7265625" style="12" customWidth="1"/>
    <col min="18" max="18" width="9.7265625" style="12" customWidth="1"/>
    <col min="19" max="20" width="15.7265625" style="12" customWidth="1"/>
    <col min="21" max="21" width="40.7265625" style="17" customWidth="1"/>
    <col min="22" max="16384" width="11.453125" style="12"/>
  </cols>
  <sheetData>
    <row r="1" spans="1:21" ht="43.5" x14ac:dyDescent="0.35">
      <c r="A1" s="10" t="s">
        <v>2</v>
      </c>
      <c r="B1" s="10" t="s">
        <v>3</v>
      </c>
      <c r="C1" s="11" t="s">
        <v>4</v>
      </c>
      <c r="D1" s="10" t="s">
        <v>244</v>
      </c>
      <c r="E1" s="10" t="s">
        <v>245</v>
      </c>
      <c r="F1" s="10" t="s">
        <v>246</v>
      </c>
      <c r="G1" s="10" t="s">
        <v>247</v>
      </c>
      <c r="H1" s="11" t="s">
        <v>21</v>
      </c>
      <c r="I1" s="11" t="s">
        <v>22</v>
      </c>
      <c r="J1" s="10" t="s">
        <v>248</v>
      </c>
      <c r="K1" s="10" t="s">
        <v>249</v>
      </c>
      <c r="L1" s="10" t="s">
        <v>250</v>
      </c>
      <c r="M1" s="10" t="s">
        <v>243</v>
      </c>
      <c r="N1" s="10" t="s">
        <v>251</v>
      </c>
      <c r="O1" s="10" t="s">
        <v>252</v>
      </c>
      <c r="P1" s="10" t="s">
        <v>253</v>
      </c>
      <c r="Q1" s="10" t="s">
        <v>254</v>
      </c>
      <c r="R1" s="10" t="s">
        <v>74</v>
      </c>
      <c r="S1" s="10" t="s">
        <v>75</v>
      </c>
      <c r="T1" s="10" t="s">
        <v>255</v>
      </c>
      <c r="U1" s="10" t="s">
        <v>256</v>
      </c>
    </row>
    <row r="2" spans="1:21" ht="87" x14ac:dyDescent="0.35">
      <c r="A2" s="13" t="s">
        <v>76</v>
      </c>
      <c r="B2" s="13" t="s">
        <v>77</v>
      </c>
      <c r="C2" s="14">
        <v>45414.636805555558</v>
      </c>
      <c r="D2" s="13" t="s">
        <v>133</v>
      </c>
      <c r="E2" s="13" t="s">
        <v>248</v>
      </c>
      <c r="F2" s="15" t="s">
        <v>134</v>
      </c>
      <c r="G2" s="13" t="s">
        <v>257</v>
      </c>
      <c r="H2" s="14">
        <v>44927</v>
      </c>
      <c r="I2" s="14"/>
      <c r="J2" s="15"/>
      <c r="K2" s="15" t="s">
        <v>258</v>
      </c>
      <c r="L2" s="13" t="s">
        <v>259</v>
      </c>
      <c r="M2" s="15"/>
      <c r="N2" s="13" t="s">
        <v>260</v>
      </c>
      <c r="O2" s="13"/>
      <c r="P2" s="13"/>
      <c r="Q2" s="13"/>
      <c r="R2" s="13"/>
      <c r="S2" s="13"/>
      <c r="T2" s="13" t="s">
        <v>261</v>
      </c>
      <c r="U2" s="15" t="s">
        <v>134</v>
      </c>
    </row>
    <row r="3" spans="1:21" ht="43.5" x14ac:dyDescent="0.35">
      <c r="A3" s="13" t="s">
        <v>76</v>
      </c>
      <c r="B3" s="13" t="s">
        <v>77</v>
      </c>
      <c r="C3" s="14">
        <v>45414.638888888891</v>
      </c>
      <c r="D3" s="13" t="s">
        <v>125</v>
      </c>
      <c r="E3" s="13" t="s">
        <v>248</v>
      </c>
      <c r="F3" s="15" t="s">
        <v>126</v>
      </c>
      <c r="G3" s="13" t="s">
        <v>262</v>
      </c>
      <c r="H3" s="14">
        <v>44927</v>
      </c>
      <c r="I3" s="14"/>
      <c r="J3" s="15" t="s">
        <v>263</v>
      </c>
      <c r="K3" s="15" t="s">
        <v>264</v>
      </c>
      <c r="L3" s="13" t="s">
        <v>259</v>
      </c>
      <c r="M3" s="15" t="s">
        <v>265</v>
      </c>
      <c r="N3" s="13" t="s">
        <v>266</v>
      </c>
      <c r="O3" s="13"/>
      <c r="P3" s="13"/>
      <c r="Q3" s="13"/>
      <c r="R3" s="13"/>
      <c r="S3" s="13"/>
      <c r="T3" s="13" t="s">
        <v>261</v>
      </c>
      <c r="U3" s="15" t="s">
        <v>267</v>
      </c>
    </row>
    <row r="4" spans="1:21" ht="43.5" x14ac:dyDescent="0.35">
      <c r="A4" s="13" t="s">
        <v>76</v>
      </c>
      <c r="B4" s="13" t="s">
        <v>77</v>
      </c>
      <c r="C4" s="14">
        <v>45414.638888888891</v>
      </c>
      <c r="D4" s="13" t="s">
        <v>127</v>
      </c>
      <c r="E4" s="13" t="s">
        <v>248</v>
      </c>
      <c r="F4" s="15" t="s">
        <v>128</v>
      </c>
      <c r="G4" s="13" t="s">
        <v>262</v>
      </c>
      <c r="H4" s="14">
        <v>44927</v>
      </c>
      <c r="I4" s="14"/>
      <c r="J4" s="15" t="s">
        <v>268</v>
      </c>
      <c r="K4" s="15" t="s">
        <v>269</v>
      </c>
      <c r="L4" s="13" t="s">
        <v>259</v>
      </c>
      <c r="M4" s="15" t="s">
        <v>265</v>
      </c>
      <c r="N4" s="13" t="s">
        <v>266</v>
      </c>
      <c r="O4" s="13"/>
      <c r="P4" s="13"/>
      <c r="Q4" s="13"/>
      <c r="R4" s="13"/>
      <c r="S4" s="13"/>
      <c r="T4" s="13"/>
      <c r="U4" s="15"/>
    </row>
    <row r="5" spans="1:21" ht="101.5" x14ac:dyDescent="0.35">
      <c r="A5" s="13" t="s">
        <v>76</v>
      </c>
      <c r="B5" s="13" t="s">
        <v>77</v>
      </c>
      <c r="C5" s="14">
        <v>45414.640972222223</v>
      </c>
      <c r="D5" s="13" t="s">
        <v>184</v>
      </c>
      <c r="E5" s="13" t="s">
        <v>248</v>
      </c>
      <c r="F5" s="15" t="s">
        <v>185</v>
      </c>
      <c r="G5" s="13" t="s">
        <v>270</v>
      </c>
      <c r="H5" s="14">
        <v>44927</v>
      </c>
      <c r="I5" s="14"/>
      <c r="J5" s="15" t="s">
        <v>263</v>
      </c>
      <c r="K5" s="15" t="s">
        <v>271</v>
      </c>
      <c r="L5" s="13" t="s">
        <v>272</v>
      </c>
      <c r="M5" s="15" t="s">
        <v>273</v>
      </c>
      <c r="N5" s="13" t="s">
        <v>274</v>
      </c>
      <c r="O5" s="13"/>
      <c r="P5" s="13"/>
      <c r="Q5" s="13"/>
      <c r="R5" s="13"/>
      <c r="S5" s="13"/>
      <c r="T5" s="13"/>
      <c r="U5" s="15"/>
    </row>
    <row r="6" spans="1:21" ht="101.5" x14ac:dyDescent="0.35">
      <c r="A6" s="13" t="s">
        <v>76</v>
      </c>
      <c r="B6" s="13" t="s">
        <v>77</v>
      </c>
      <c r="C6" s="14">
        <v>45414.642361111109</v>
      </c>
      <c r="D6" s="13" t="s">
        <v>186</v>
      </c>
      <c r="E6" s="13" t="s">
        <v>248</v>
      </c>
      <c r="F6" s="15" t="s">
        <v>187</v>
      </c>
      <c r="G6" s="13" t="s">
        <v>270</v>
      </c>
      <c r="H6" s="14">
        <v>44927</v>
      </c>
      <c r="I6" s="14"/>
      <c r="J6" s="15" t="s">
        <v>268</v>
      </c>
      <c r="K6" s="15" t="s">
        <v>275</v>
      </c>
      <c r="L6" s="13" t="s">
        <v>272</v>
      </c>
      <c r="M6" s="15" t="s">
        <v>273</v>
      </c>
      <c r="N6" s="13" t="s">
        <v>276</v>
      </c>
      <c r="O6" s="13"/>
      <c r="P6" s="13"/>
      <c r="Q6" s="13"/>
      <c r="R6" s="13"/>
      <c r="S6" s="13"/>
      <c r="T6" s="13"/>
      <c r="U6" s="15"/>
    </row>
    <row r="7" spans="1:21" ht="72.5" x14ac:dyDescent="0.35">
      <c r="A7" s="13" t="s">
        <v>76</v>
      </c>
      <c r="B7" s="13" t="s">
        <v>77</v>
      </c>
      <c r="C7" s="14">
        <v>45414.643750000003</v>
      </c>
      <c r="D7" s="13" t="s">
        <v>131</v>
      </c>
      <c r="E7" s="13" t="s">
        <v>248</v>
      </c>
      <c r="F7" s="15" t="s">
        <v>132</v>
      </c>
      <c r="G7" s="13" t="s">
        <v>277</v>
      </c>
      <c r="H7" s="14">
        <v>44927</v>
      </c>
      <c r="I7" s="14"/>
      <c r="J7" s="15" t="s">
        <v>278</v>
      </c>
      <c r="K7" s="15" t="s">
        <v>279</v>
      </c>
      <c r="L7" s="13" t="s">
        <v>259</v>
      </c>
      <c r="M7" s="15"/>
      <c r="N7" s="13" t="s">
        <v>280</v>
      </c>
      <c r="O7" s="13"/>
      <c r="P7" s="13"/>
      <c r="Q7" s="13"/>
      <c r="R7" s="13"/>
      <c r="S7" s="13"/>
      <c r="T7" s="13" t="s">
        <v>261</v>
      </c>
      <c r="U7" s="15" t="s">
        <v>281</v>
      </c>
    </row>
    <row r="8" spans="1:21" ht="72.5" x14ac:dyDescent="0.35">
      <c r="A8" s="13" t="s">
        <v>76</v>
      </c>
      <c r="B8" s="13" t="s">
        <v>77</v>
      </c>
      <c r="C8" s="14">
        <v>45414.644444444442</v>
      </c>
      <c r="D8" s="13" t="s">
        <v>129</v>
      </c>
      <c r="E8" s="13" t="s">
        <v>248</v>
      </c>
      <c r="F8" s="15" t="s">
        <v>130</v>
      </c>
      <c r="G8" s="13" t="s">
        <v>277</v>
      </c>
      <c r="H8" s="14">
        <v>44927</v>
      </c>
      <c r="I8" s="14"/>
      <c r="J8" s="15" t="s">
        <v>282</v>
      </c>
      <c r="K8" s="15" t="s">
        <v>283</v>
      </c>
      <c r="L8" s="13" t="s">
        <v>259</v>
      </c>
      <c r="M8" s="15"/>
      <c r="N8" s="13" t="s">
        <v>284</v>
      </c>
      <c r="O8" s="13"/>
      <c r="P8" s="13"/>
      <c r="Q8" s="13"/>
      <c r="R8" s="13"/>
      <c r="S8" s="13"/>
      <c r="T8" s="13"/>
      <c r="U8" s="15"/>
    </row>
    <row r="9" spans="1:21" ht="43.5" x14ac:dyDescent="0.35">
      <c r="A9" s="13" t="s">
        <v>76</v>
      </c>
      <c r="B9" s="13" t="s">
        <v>77</v>
      </c>
      <c r="C9" s="14">
        <v>45414.645833333336</v>
      </c>
      <c r="D9" s="13" t="s">
        <v>188</v>
      </c>
      <c r="E9" s="13" t="s">
        <v>248</v>
      </c>
      <c r="F9" s="15" t="s">
        <v>189</v>
      </c>
      <c r="G9" s="13" t="s">
        <v>270</v>
      </c>
      <c r="H9" s="14">
        <v>44927</v>
      </c>
      <c r="I9" s="14"/>
      <c r="J9" s="15"/>
      <c r="K9" s="15" t="s">
        <v>285</v>
      </c>
      <c r="L9" s="13" t="s">
        <v>259</v>
      </c>
      <c r="M9" s="15"/>
      <c r="N9" s="13" t="s">
        <v>274</v>
      </c>
      <c r="O9" s="13"/>
      <c r="P9" s="13"/>
      <c r="Q9" s="13"/>
      <c r="R9" s="13"/>
      <c r="S9" s="13"/>
      <c r="T9" s="13"/>
      <c r="U9" s="15"/>
    </row>
    <row r="10" spans="1:21" s="22" customFormat="1" ht="29" x14ac:dyDescent="0.35">
      <c r="A10" s="19" t="s">
        <v>194</v>
      </c>
      <c r="B10" s="19" t="s">
        <v>77</v>
      </c>
      <c r="C10" s="20">
        <v>45910.576388888891</v>
      </c>
      <c r="D10" s="19" t="s">
        <v>211</v>
      </c>
      <c r="E10" s="19" t="s">
        <v>248</v>
      </c>
      <c r="F10" s="21" t="s">
        <v>185</v>
      </c>
      <c r="G10" s="19" t="s">
        <v>286</v>
      </c>
      <c r="H10" s="20">
        <v>45807</v>
      </c>
      <c r="I10" s="20"/>
      <c r="J10" s="21" t="s">
        <v>263</v>
      </c>
      <c r="K10" s="21" t="s">
        <v>271</v>
      </c>
      <c r="L10" s="19" t="s">
        <v>259</v>
      </c>
      <c r="M10" s="21"/>
      <c r="N10" s="19" t="s">
        <v>287</v>
      </c>
      <c r="O10" s="19"/>
      <c r="P10" s="19"/>
      <c r="Q10" s="19"/>
      <c r="R10" s="19" t="s">
        <v>201</v>
      </c>
      <c r="S10" s="19"/>
      <c r="T10" s="19" t="s">
        <v>261</v>
      </c>
      <c r="U10" s="21" t="s">
        <v>288</v>
      </c>
    </row>
    <row r="11" spans="1:21" s="22" customFormat="1" ht="29" x14ac:dyDescent="0.35">
      <c r="A11" s="19" t="s">
        <v>194</v>
      </c>
      <c r="B11" s="19" t="s">
        <v>77</v>
      </c>
      <c r="C11" s="20">
        <v>45911.615277777775</v>
      </c>
      <c r="D11" s="19" t="s">
        <v>212</v>
      </c>
      <c r="E11" s="19" t="s">
        <v>248</v>
      </c>
      <c r="F11" s="21" t="s">
        <v>187</v>
      </c>
      <c r="G11" s="19" t="s">
        <v>286</v>
      </c>
      <c r="H11" s="20">
        <v>45807</v>
      </c>
      <c r="I11" s="20"/>
      <c r="J11" s="21" t="s">
        <v>268</v>
      </c>
      <c r="K11" s="21" t="s">
        <v>275</v>
      </c>
      <c r="L11" s="19" t="s">
        <v>259</v>
      </c>
      <c r="M11" s="21"/>
      <c r="N11" s="19" t="s">
        <v>287</v>
      </c>
      <c r="O11" s="19"/>
      <c r="P11" s="19"/>
      <c r="Q11" s="19"/>
      <c r="R11" s="19" t="s">
        <v>201</v>
      </c>
      <c r="S11" s="19"/>
      <c r="T11" s="19"/>
      <c r="U11" s="21"/>
    </row>
    <row r="12" spans="1:21" ht="43.5" x14ac:dyDescent="0.35">
      <c r="A12" s="13" t="s">
        <v>289</v>
      </c>
      <c r="B12" s="13" t="s">
        <v>77</v>
      </c>
      <c r="C12" s="14">
        <v>43152.5</v>
      </c>
      <c r="D12" s="13" t="s">
        <v>135</v>
      </c>
      <c r="E12" s="13" t="s">
        <v>290</v>
      </c>
      <c r="F12" s="15" t="s">
        <v>136</v>
      </c>
      <c r="G12" s="13"/>
      <c r="H12" s="14">
        <v>40725</v>
      </c>
      <c r="I12" s="14"/>
      <c r="J12" s="15"/>
      <c r="K12" s="15" t="s">
        <v>291</v>
      </c>
      <c r="L12" s="13" t="s">
        <v>259</v>
      </c>
      <c r="M12" s="15"/>
      <c r="N12" s="13"/>
      <c r="O12" s="13"/>
      <c r="P12" s="13"/>
      <c r="Q12" s="13"/>
      <c r="R12" s="13"/>
      <c r="S12" s="13"/>
      <c r="T12" s="13"/>
      <c r="U12" s="15"/>
    </row>
    <row r="13" spans="1:21" ht="43.5" x14ac:dyDescent="0.35">
      <c r="A13" s="13" t="s">
        <v>289</v>
      </c>
      <c r="B13" s="13" t="s">
        <v>77</v>
      </c>
      <c r="C13" s="14">
        <v>43152.5</v>
      </c>
      <c r="D13" s="13" t="s">
        <v>139</v>
      </c>
      <c r="E13" s="13" t="s">
        <v>290</v>
      </c>
      <c r="F13" s="15" t="s">
        <v>140</v>
      </c>
      <c r="G13" s="13"/>
      <c r="H13" s="14">
        <v>40725</v>
      </c>
      <c r="I13" s="14"/>
      <c r="J13" s="15" t="s">
        <v>268</v>
      </c>
      <c r="K13" s="15" t="s">
        <v>292</v>
      </c>
      <c r="L13" s="13" t="s">
        <v>259</v>
      </c>
      <c r="M13" s="15"/>
      <c r="N13" s="13"/>
      <c r="O13" s="13"/>
      <c r="P13" s="13"/>
      <c r="Q13" s="13"/>
      <c r="R13" s="13"/>
      <c r="S13" s="13"/>
      <c r="T13" s="13"/>
      <c r="U13" s="15"/>
    </row>
    <row r="14" spans="1:21" ht="43.5" x14ac:dyDescent="0.35">
      <c r="A14" s="13" t="s">
        <v>289</v>
      </c>
      <c r="B14" s="13" t="s">
        <v>77</v>
      </c>
      <c r="C14" s="14">
        <v>43152.5</v>
      </c>
      <c r="D14" s="13" t="s">
        <v>141</v>
      </c>
      <c r="E14" s="13" t="s">
        <v>290</v>
      </c>
      <c r="F14" s="15" t="s">
        <v>142</v>
      </c>
      <c r="G14" s="13"/>
      <c r="H14" s="14">
        <v>40725</v>
      </c>
      <c r="I14" s="14"/>
      <c r="J14" s="15" t="s">
        <v>263</v>
      </c>
      <c r="K14" s="15" t="s">
        <v>293</v>
      </c>
      <c r="L14" s="13" t="s">
        <v>259</v>
      </c>
      <c r="M14" s="15"/>
      <c r="N14" s="13"/>
      <c r="O14" s="13"/>
      <c r="P14" s="13"/>
      <c r="Q14" s="13"/>
      <c r="R14" s="13"/>
      <c r="S14" s="13"/>
      <c r="T14" s="13"/>
      <c r="U14" s="15"/>
    </row>
    <row r="15" spans="1:21" ht="43.5" x14ac:dyDescent="0.35">
      <c r="A15" s="13" t="s">
        <v>289</v>
      </c>
      <c r="B15" s="13" t="s">
        <v>77</v>
      </c>
      <c r="C15" s="14">
        <v>43152.5</v>
      </c>
      <c r="D15" s="13" t="s">
        <v>143</v>
      </c>
      <c r="E15" s="13" t="s">
        <v>290</v>
      </c>
      <c r="F15" s="15" t="s">
        <v>144</v>
      </c>
      <c r="G15" s="13"/>
      <c r="H15" s="14">
        <v>40725</v>
      </c>
      <c r="I15" s="14"/>
      <c r="J15" s="15" t="s">
        <v>268</v>
      </c>
      <c r="K15" s="15" t="s">
        <v>294</v>
      </c>
      <c r="L15" s="13" t="s">
        <v>272</v>
      </c>
      <c r="M15" s="15"/>
      <c r="N15" s="13"/>
      <c r="O15" s="13"/>
      <c r="P15" s="13"/>
      <c r="Q15" s="13"/>
      <c r="R15" s="13"/>
      <c r="S15" s="13"/>
      <c r="T15" s="13"/>
      <c r="U15" s="15"/>
    </row>
    <row r="16" spans="1:21" ht="43.5" x14ac:dyDescent="0.35">
      <c r="A16" s="13" t="s">
        <v>289</v>
      </c>
      <c r="B16" s="13" t="s">
        <v>77</v>
      </c>
      <c r="C16" s="14">
        <v>43152.5</v>
      </c>
      <c r="D16" s="13" t="s">
        <v>145</v>
      </c>
      <c r="E16" s="13" t="s">
        <v>290</v>
      </c>
      <c r="F16" s="15" t="s">
        <v>146</v>
      </c>
      <c r="G16" s="13"/>
      <c r="H16" s="14">
        <v>40725</v>
      </c>
      <c r="I16" s="14"/>
      <c r="J16" s="15" t="s">
        <v>263</v>
      </c>
      <c r="K16" s="15" t="s">
        <v>295</v>
      </c>
      <c r="L16" s="13" t="s">
        <v>272</v>
      </c>
      <c r="M16" s="15"/>
      <c r="N16" s="13"/>
      <c r="O16" s="13"/>
      <c r="P16" s="13"/>
      <c r="Q16" s="13"/>
      <c r="R16" s="13"/>
      <c r="S16" s="13"/>
      <c r="T16" s="13"/>
      <c r="U16" s="15"/>
    </row>
    <row r="17" spans="1:21" ht="43.5" x14ac:dyDescent="0.35">
      <c r="A17" s="13" t="s">
        <v>289</v>
      </c>
      <c r="B17" s="13" t="s">
        <v>77</v>
      </c>
      <c r="C17" s="14">
        <v>43152.5</v>
      </c>
      <c r="D17" s="13" t="s">
        <v>147</v>
      </c>
      <c r="E17" s="13" t="s">
        <v>290</v>
      </c>
      <c r="F17" s="15" t="s">
        <v>148</v>
      </c>
      <c r="G17" s="13"/>
      <c r="H17" s="14">
        <v>40725</v>
      </c>
      <c r="I17" s="14"/>
      <c r="J17" s="15"/>
      <c r="K17" s="15" t="s">
        <v>296</v>
      </c>
      <c r="L17" s="13" t="s">
        <v>259</v>
      </c>
      <c r="M17" s="15"/>
      <c r="N17" s="13"/>
      <c r="O17" s="13"/>
      <c r="P17" s="13"/>
      <c r="Q17" s="13"/>
      <c r="R17" s="13"/>
      <c r="S17" s="13"/>
      <c r="T17" s="13"/>
      <c r="U17" s="15"/>
    </row>
    <row r="18" spans="1:21" ht="72.5" x14ac:dyDescent="0.35">
      <c r="A18" s="13" t="s">
        <v>289</v>
      </c>
      <c r="B18" s="13" t="s">
        <v>77</v>
      </c>
      <c r="C18" s="14">
        <v>44932.46875</v>
      </c>
      <c r="D18" s="13" t="s">
        <v>149</v>
      </c>
      <c r="E18" s="13" t="s">
        <v>290</v>
      </c>
      <c r="F18" s="15" t="s">
        <v>150</v>
      </c>
      <c r="G18" s="13"/>
      <c r="H18" s="14">
        <v>40725</v>
      </c>
      <c r="I18" s="14"/>
      <c r="J18" s="15" t="s">
        <v>297</v>
      </c>
      <c r="K18" s="15" t="s">
        <v>298</v>
      </c>
      <c r="L18" s="13" t="s">
        <v>259</v>
      </c>
      <c r="M18" s="15" t="s">
        <v>299</v>
      </c>
      <c r="N18" s="13"/>
      <c r="O18" s="13"/>
      <c r="P18" s="13"/>
      <c r="Q18" s="13"/>
      <c r="R18" s="13"/>
      <c r="S18" s="13"/>
      <c r="T18" s="13"/>
      <c r="U18" s="15"/>
    </row>
    <row r="19" spans="1:21" ht="72.5" x14ac:dyDescent="0.35">
      <c r="A19" s="13" t="s">
        <v>289</v>
      </c>
      <c r="B19" s="13" t="s">
        <v>77</v>
      </c>
      <c r="C19" s="14">
        <v>44932.470833333333</v>
      </c>
      <c r="D19" s="13" t="s">
        <v>151</v>
      </c>
      <c r="E19" s="13" t="s">
        <v>290</v>
      </c>
      <c r="F19" s="15" t="s">
        <v>152</v>
      </c>
      <c r="G19" s="13"/>
      <c r="H19" s="14">
        <v>40725</v>
      </c>
      <c r="I19" s="14"/>
      <c r="J19" s="15" t="s">
        <v>300</v>
      </c>
      <c r="K19" s="15" t="s">
        <v>301</v>
      </c>
      <c r="L19" s="13" t="s">
        <v>259</v>
      </c>
      <c r="M19" s="15" t="s">
        <v>299</v>
      </c>
      <c r="N19" s="13"/>
      <c r="O19" s="13"/>
      <c r="P19" s="13"/>
      <c r="Q19" s="13"/>
      <c r="R19" s="13"/>
      <c r="S19" s="13"/>
      <c r="T19" s="13"/>
      <c r="U19" s="15"/>
    </row>
    <row r="20" spans="1:21" ht="72.5" x14ac:dyDescent="0.35">
      <c r="A20" s="13" t="s">
        <v>302</v>
      </c>
      <c r="B20" s="13" t="s">
        <v>303</v>
      </c>
      <c r="C20" s="14">
        <v>43669.656944444447</v>
      </c>
      <c r="D20" s="13" t="s">
        <v>153</v>
      </c>
      <c r="E20" s="13" t="s">
        <v>290</v>
      </c>
      <c r="F20" s="15" t="s">
        <v>154</v>
      </c>
      <c r="G20" s="13"/>
      <c r="H20" s="14">
        <v>40725</v>
      </c>
      <c r="I20" s="14"/>
      <c r="J20" s="15"/>
      <c r="K20" s="15" t="s">
        <v>304</v>
      </c>
      <c r="L20" s="13" t="s">
        <v>259</v>
      </c>
      <c r="M20" s="15"/>
      <c r="N20" s="13"/>
      <c r="O20" s="13"/>
      <c r="P20" s="13"/>
      <c r="Q20" s="13"/>
      <c r="R20" s="13"/>
      <c r="S20" s="13"/>
      <c r="T20" s="13"/>
      <c r="U20" s="15"/>
    </row>
    <row r="21" spans="1:21" ht="58" x14ac:dyDescent="0.35">
      <c r="A21" s="13" t="s">
        <v>305</v>
      </c>
      <c r="B21" s="13" t="s">
        <v>77</v>
      </c>
      <c r="C21" s="14">
        <v>44369.655555555553</v>
      </c>
      <c r="D21" s="13" t="s">
        <v>137</v>
      </c>
      <c r="E21" s="13" t="s">
        <v>290</v>
      </c>
      <c r="F21" s="15" t="s">
        <v>138</v>
      </c>
      <c r="G21" s="13"/>
      <c r="H21" s="14">
        <v>40725</v>
      </c>
      <c r="I21" s="14"/>
      <c r="J21" s="15" t="s">
        <v>306</v>
      </c>
      <c r="K21" s="15" t="s">
        <v>307</v>
      </c>
      <c r="L21" s="13" t="s">
        <v>259</v>
      </c>
      <c r="M21" s="15"/>
      <c r="N21" s="13"/>
      <c r="O21" s="13"/>
      <c r="P21" s="13"/>
      <c r="Q21" s="13"/>
      <c r="R21" s="13"/>
      <c r="S21" s="13"/>
      <c r="T21" s="13"/>
      <c r="U21" s="15"/>
    </row>
    <row r="22" spans="1:21" ht="43.5" x14ac:dyDescent="0.35">
      <c r="A22" s="13" t="s">
        <v>76</v>
      </c>
      <c r="B22" s="13" t="s">
        <v>77</v>
      </c>
      <c r="C22" s="14">
        <v>45414.650694444441</v>
      </c>
      <c r="D22" s="13" t="s">
        <v>111</v>
      </c>
      <c r="E22" s="13" t="s">
        <v>308</v>
      </c>
      <c r="F22" s="15" t="s">
        <v>112</v>
      </c>
      <c r="G22" s="13" t="s">
        <v>262</v>
      </c>
      <c r="H22" s="14">
        <v>44927</v>
      </c>
      <c r="I22" s="14"/>
      <c r="J22" s="15"/>
      <c r="K22" s="15"/>
      <c r="L22" s="13" t="s">
        <v>272</v>
      </c>
      <c r="M22" s="15"/>
      <c r="N22" s="13"/>
      <c r="O22" s="13"/>
      <c r="P22" s="13" t="s">
        <v>309</v>
      </c>
      <c r="Q22" s="13"/>
      <c r="R22" s="13"/>
      <c r="S22" s="13"/>
      <c r="T22" s="13" t="s">
        <v>261</v>
      </c>
      <c r="U22" s="15" t="s">
        <v>112</v>
      </c>
    </row>
    <row r="23" spans="1:21" ht="58" x14ac:dyDescent="0.35">
      <c r="A23" s="13" t="s">
        <v>76</v>
      </c>
      <c r="B23" s="13" t="s">
        <v>77</v>
      </c>
      <c r="C23" s="14">
        <v>45414.650694444441</v>
      </c>
      <c r="D23" s="13" t="s">
        <v>121</v>
      </c>
      <c r="E23" s="13" t="s">
        <v>308</v>
      </c>
      <c r="F23" s="15" t="s">
        <v>122</v>
      </c>
      <c r="G23" s="13" t="s">
        <v>262</v>
      </c>
      <c r="H23" s="14">
        <v>44927</v>
      </c>
      <c r="I23" s="14"/>
      <c r="J23" s="15"/>
      <c r="K23" s="15"/>
      <c r="L23" s="13" t="s">
        <v>272</v>
      </c>
      <c r="M23" s="15"/>
      <c r="N23" s="13"/>
      <c r="O23" s="13"/>
      <c r="P23" s="13" t="s">
        <v>309</v>
      </c>
      <c r="Q23" s="13"/>
      <c r="R23" s="13"/>
      <c r="S23" s="13"/>
      <c r="T23" s="13" t="s">
        <v>261</v>
      </c>
      <c r="U23" s="15" t="s">
        <v>122</v>
      </c>
    </row>
    <row r="24" spans="1:21" ht="43.5" x14ac:dyDescent="0.35">
      <c r="A24" s="13" t="s">
        <v>76</v>
      </c>
      <c r="B24" s="13" t="s">
        <v>77</v>
      </c>
      <c r="C24" s="14">
        <v>45414.651388888888</v>
      </c>
      <c r="D24" s="13" t="s">
        <v>119</v>
      </c>
      <c r="E24" s="13" t="s">
        <v>308</v>
      </c>
      <c r="F24" s="15" t="s">
        <v>120</v>
      </c>
      <c r="G24" s="13" t="s">
        <v>262</v>
      </c>
      <c r="H24" s="14">
        <v>44927</v>
      </c>
      <c r="I24" s="14"/>
      <c r="J24" s="15"/>
      <c r="K24" s="15"/>
      <c r="L24" s="13" t="s">
        <v>272</v>
      </c>
      <c r="M24" s="15"/>
      <c r="N24" s="13"/>
      <c r="O24" s="13"/>
      <c r="P24" s="13" t="s">
        <v>309</v>
      </c>
      <c r="Q24" s="13"/>
      <c r="R24" s="13"/>
      <c r="S24" s="13"/>
      <c r="T24" s="13" t="s">
        <v>261</v>
      </c>
      <c r="U24" s="15" t="s">
        <v>120</v>
      </c>
    </row>
    <row r="25" spans="1:21" ht="29" x14ac:dyDescent="0.35">
      <c r="A25" s="13" t="s">
        <v>76</v>
      </c>
      <c r="B25" s="13" t="s">
        <v>77</v>
      </c>
      <c r="C25" s="14">
        <v>45414.652083333334</v>
      </c>
      <c r="D25" s="13" t="s">
        <v>115</v>
      </c>
      <c r="E25" s="13" t="s">
        <v>308</v>
      </c>
      <c r="F25" s="15" t="s">
        <v>116</v>
      </c>
      <c r="G25" s="13" t="s">
        <v>262</v>
      </c>
      <c r="H25" s="14">
        <v>44927</v>
      </c>
      <c r="I25" s="14"/>
      <c r="J25" s="15"/>
      <c r="K25" s="15"/>
      <c r="L25" s="13" t="s">
        <v>272</v>
      </c>
      <c r="M25" s="15"/>
      <c r="N25" s="13"/>
      <c r="O25" s="13"/>
      <c r="P25" s="13" t="s">
        <v>309</v>
      </c>
      <c r="Q25" s="13"/>
      <c r="R25" s="13"/>
      <c r="S25" s="13"/>
      <c r="T25" s="13" t="s">
        <v>261</v>
      </c>
      <c r="U25" s="15" t="s">
        <v>116</v>
      </c>
    </row>
    <row r="26" spans="1:21" ht="58" x14ac:dyDescent="0.35">
      <c r="A26" s="13" t="s">
        <v>76</v>
      </c>
      <c r="B26" s="13" t="s">
        <v>77</v>
      </c>
      <c r="C26" s="14">
        <v>45414.652777777781</v>
      </c>
      <c r="D26" s="13" t="s">
        <v>117</v>
      </c>
      <c r="E26" s="13" t="s">
        <v>308</v>
      </c>
      <c r="F26" s="15" t="s">
        <v>118</v>
      </c>
      <c r="G26" s="13" t="s">
        <v>262</v>
      </c>
      <c r="H26" s="14">
        <v>44927</v>
      </c>
      <c r="I26" s="14"/>
      <c r="J26" s="15"/>
      <c r="K26" s="15"/>
      <c r="L26" s="13" t="s">
        <v>272</v>
      </c>
      <c r="M26" s="15"/>
      <c r="N26" s="13"/>
      <c r="O26" s="13"/>
      <c r="P26" s="13" t="s">
        <v>309</v>
      </c>
      <c r="Q26" s="13"/>
      <c r="R26" s="13"/>
      <c r="S26" s="13"/>
      <c r="T26" s="13" t="s">
        <v>261</v>
      </c>
      <c r="U26" s="15" t="s">
        <v>118</v>
      </c>
    </row>
    <row r="27" spans="1:21" ht="43.5" x14ac:dyDescent="0.35">
      <c r="A27" s="13" t="s">
        <v>76</v>
      </c>
      <c r="B27" s="13" t="s">
        <v>77</v>
      </c>
      <c r="C27" s="14">
        <v>45414.65347222222</v>
      </c>
      <c r="D27" s="13" t="s">
        <v>113</v>
      </c>
      <c r="E27" s="13" t="s">
        <v>308</v>
      </c>
      <c r="F27" s="15" t="s">
        <v>114</v>
      </c>
      <c r="G27" s="13" t="s">
        <v>262</v>
      </c>
      <c r="H27" s="14">
        <v>44927</v>
      </c>
      <c r="I27" s="14"/>
      <c r="J27" s="15"/>
      <c r="K27" s="15"/>
      <c r="L27" s="13" t="s">
        <v>272</v>
      </c>
      <c r="M27" s="15"/>
      <c r="N27" s="13"/>
      <c r="O27" s="13"/>
      <c r="P27" s="13" t="s">
        <v>309</v>
      </c>
      <c r="Q27" s="13"/>
      <c r="R27" s="13"/>
      <c r="S27" s="13"/>
      <c r="T27" s="13" t="s">
        <v>261</v>
      </c>
      <c r="U27" s="15" t="s">
        <v>114</v>
      </c>
    </row>
    <row r="28" spans="1:21" ht="72.5" x14ac:dyDescent="0.35">
      <c r="A28" s="13" t="s">
        <v>76</v>
      </c>
      <c r="B28" s="13" t="s">
        <v>77</v>
      </c>
      <c r="C28" s="14">
        <v>45414.654166666667</v>
      </c>
      <c r="D28" s="13" t="s">
        <v>123</v>
      </c>
      <c r="E28" s="13" t="s">
        <v>308</v>
      </c>
      <c r="F28" s="15" t="s">
        <v>124</v>
      </c>
      <c r="G28" s="13" t="s">
        <v>262</v>
      </c>
      <c r="H28" s="14">
        <v>44927</v>
      </c>
      <c r="I28" s="14"/>
      <c r="J28" s="15"/>
      <c r="K28" s="15"/>
      <c r="L28" s="13" t="s">
        <v>272</v>
      </c>
      <c r="M28" s="15"/>
      <c r="N28" s="13"/>
      <c r="O28" s="13"/>
      <c r="P28" s="13" t="s">
        <v>310</v>
      </c>
      <c r="Q28" s="13"/>
      <c r="R28" s="13"/>
      <c r="S28" s="13"/>
      <c r="T28" s="13" t="s">
        <v>261</v>
      </c>
      <c r="U28" s="15" t="s">
        <v>124</v>
      </c>
    </row>
    <row r="29" spans="1:21" ht="43.5" x14ac:dyDescent="0.35">
      <c r="A29" s="13" t="s">
        <v>76</v>
      </c>
      <c r="B29" s="13" t="s">
        <v>77</v>
      </c>
      <c r="C29" s="14">
        <v>45414.655555555553</v>
      </c>
      <c r="D29" s="13" t="s">
        <v>161</v>
      </c>
      <c r="E29" s="13" t="s">
        <v>308</v>
      </c>
      <c r="F29" s="15" t="s">
        <v>162</v>
      </c>
      <c r="G29" s="13" t="s">
        <v>311</v>
      </c>
      <c r="H29" s="14">
        <v>44927</v>
      </c>
      <c r="I29" s="14"/>
      <c r="J29" s="15"/>
      <c r="K29" s="15"/>
      <c r="L29" s="13" t="s">
        <v>272</v>
      </c>
      <c r="M29" s="15"/>
      <c r="N29" s="13"/>
      <c r="O29" s="13"/>
      <c r="P29" s="13" t="s">
        <v>312</v>
      </c>
      <c r="Q29" s="13"/>
      <c r="R29" s="13"/>
      <c r="S29" s="13"/>
      <c r="T29" s="13" t="s">
        <v>261</v>
      </c>
      <c r="U29" s="15" t="s">
        <v>162</v>
      </c>
    </row>
    <row r="30" spans="1:21" ht="58" x14ac:dyDescent="0.35">
      <c r="A30" s="13" t="s">
        <v>76</v>
      </c>
      <c r="B30" s="13" t="s">
        <v>77</v>
      </c>
      <c r="C30" s="14">
        <v>45414.65625</v>
      </c>
      <c r="D30" s="13" t="s">
        <v>176</v>
      </c>
      <c r="E30" s="13" t="s">
        <v>308</v>
      </c>
      <c r="F30" s="15" t="s">
        <v>177</v>
      </c>
      <c r="G30" s="13" t="s">
        <v>270</v>
      </c>
      <c r="H30" s="14">
        <v>44927</v>
      </c>
      <c r="I30" s="14"/>
      <c r="J30" s="15"/>
      <c r="K30" s="15"/>
      <c r="L30" s="13" t="s">
        <v>272</v>
      </c>
      <c r="M30" s="15"/>
      <c r="N30" s="13"/>
      <c r="O30" s="13"/>
      <c r="P30" s="13" t="s">
        <v>313</v>
      </c>
      <c r="Q30" s="13"/>
      <c r="R30" s="13"/>
      <c r="S30" s="13"/>
      <c r="T30" s="13" t="s">
        <v>261</v>
      </c>
      <c r="U30" s="15" t="s">
        <v>177</v>
      </c>
    </row>
    <row r="31" spans="1:21" ht="29" x14ac:dyDescent="0.35">
      <c r="A31" s="13" t="s">
        <v>76</v>
      </c>
      <c r="B31" s="13" t="s">
        <v>77</v>
      </c>
      <c r="C31" s="14">
        <v>45414.656944444447</v>
      </c>
      <c r="D31" s="13" t="s">
        <v>178</v>
      </c>
      <c r="E31" s="13" t="s">
        <v>308</v>
      </c>
      <c r="F31" s="15" t="s">
        <v>179</v>
      </c>
      <c r="G31" s="13" t="s">
        <v>270</v>
      </c>
      <c r="H31" s="14">
        <v>44927</v>
      </c>
      <c r="I31" s="14"/>
      <c r="J31" s="15"/>
      <c r="K31" s="15"/>
      <c r="L31" s="13" t="s">
        <v>272</v>
      </c>
      <c r="M31" s="15"/>
      <c r="N31" s="13"/>
      <c r="O31" s="13"/>
      <c r="P31" s="13" t="s">
        <v>313</v>
      </c>
      <c r="Q31" s="13"/>
      <c r="R31" s="13"/>
      <c r="S31" s="13"/>
      <c r="T31" s="13" t="s">
        <v>261</v>
      </c>
      <c r="U31" s="15" t="s">
        <v>179</v>
      </c>
    </row>
    <row r="32" spans="1:21" ht="72.5" x14ac:dyDescent="0.35">
      <c r="A32" s="13" t="s">
        <v>76</v>
      </c>
      <c r="B32" s="13" t="s">
        <v>77</v>
      </c>
      <c r="C32" s="14">
        <v>45414.65902777778</v>
      </c>
      <c r="D32" s="13" t="s">
        <v>109</v>
      </c>
      <c r="E32" s="13" t="s">
        <v>308</v>
      </c>
      <c r="F32" s="15" t="s">
        <v>110</v>
      </c>
      <c r="G32" s="13" t="s">
        <v>314</v>
      </c>
      <c r="H32" s="14">
        <v>44927</v>
      </c>
      <c r="I32" s="14"/>
      <c r="J32" s="15"/>
      <c r="K32" s="15"/>
      <c r="L32" s="13" t="s">
        <v>272</v>
      </c>
      <c r="M32" s="15"/>
      <c r="N32" s="13"/>
      <c r="O32" s="13"/>
      <c r="P32" s="13" t="s">
        <v>315</v>
      </c>
      <c r="Q32" s="13"/>
      <c r="R32" s="13"/>
      <c r="S32" s="13"/>
      <c r="T32" s="13" t="s">
        <v>261</v>
      </c>
      <c r="U32" s="15" t="s">
        <v>110</v>
      </c>
    </row>
    <row r="33" spans="1:21" ht="43.5" x14ac:dyDescent="0.35">
      <c r="A33" s="13" t="s">
        <v>76</v>
      </c>
      <c r="B33" s="13" t="s">
        <v>77</v>
      </c>
      <c r="C33" s="14">
        <v>45414.65902777778</v>
      </c>
      <c r="D33" s="13" t="s">
        <v>156</v>
      </c>
      <c r="E33" s="13" t="s">
        <v>308</v>
      </c>
      <c r="F33" s="15" t="s">
        <v>157</v>
      </c>
      <c r="G33" s="13" t="s">
        <v>316</v>
      </c>
      <c r="H33" s="14">
        <v>44927</v>
      </c>
      <c r="I33" s="14"/>
      <c r="J33" s="15"/>
      <c r="K33" s="15"/>
      <c r="L33" s="13" t="s">
        <v>272</v>
      </c>
      <c r="M33" s="15"/>
      <c r="N33" s="13"/>
      <c r="O33" s="13"/>
      <c r="P33" s="13" t="s">
        <v>317</v>
      </c>
      <c r="Q33" s="13"/>
      <c r="R33" s="13"/>
      <c r="S33" s="13"/>
      <c r="T33" s="13" t="s">
        <v>261</v>
      </c>
      <c r="U33" s="15" t="s">
        <v>157</v>
      </c>
    </row>
    <row r="34" spans="1:21" ht="87" x14ac:dyDescent="0.35">
      <c r="A34" s="13" t="s">
        <v>76</v>
      </c>
      <c r="B34" s="13" t="s">
        <v>77</v>
      </c>
      <c r="C34" s="14">
        <v>45419.479166666664</v>
      </c>
      <c r="D34" s="13" t="s">
        <v>182</v>
      </c>
      <c r="E34" s="13" t="s">
        <v>308</v>
      </c>
      <c r="F34" s="15" t="s">
        <v>183</v>
      </c>
      <c r="G34" s="13" t="s">
        <v>270</v>
      </c>
      <c r="H34" s="14">
        <v>44927</v>
      </c>
      <c r="I34" s="14"/>
      <c r="J34" s="15"/>
      <c r="K34" s="15"/>
      <c r="L34" s="13" t="s">
        <v>272</v>
      </c>
      <c r="M34" s="15" t="s">
        <v>318</v>
      </c>
      <c r="N34" s="13"/>
      <c r="O34" s="13"/>
      <c r="P34" s="13" t="s">
        <v>313</v>
      </c>
      <c r="Q34" s="13"/>
      <c r="R34" s="13"/>
      <c r="S34" s="13"/>
      <c r="T34" s="13" t="s">
        <v>261</v>
      </c>
      <c r="U34" s="15" t="s">
        <v>183</v>
      </c>
    </row>
    <row r="35" spans="1:21" ht="72.5" x14ac:dyDescent="0.35">
      <c r="A35" s="13" t="s">
        <v>76</v>
      </c>
      <c r="B35" s="13" t="s">
        <v>77</v>
      </c>
      <c r="C35" s="14">
        <v>45414.661111111112</v>
      </c>
      <c r="D35" s="13" t="s">
        <v>180</v>
      </c>
      <c r="E35" s="13" t="s">
        <v>308</v>
      </c>
      <c r="F35" s="15" t="s">
        <v>181</v>
      </c>
      <c r="G35" s="13" t="s">
        <v>270</v>
      </c>
      <c r="H35" s="14">
        <v>44927</v>
      </c>
      <c r="I35" s="14"/>
      <c r="J35" s="15"/>
      <c r="K35" s="15"/>
      <c r="L35" s="13" t="s">
        <v>272</v>
      </c>
      <c r="M35" s="15"/>
      <c r="N35" s="13"/>
      <c r="O35" s="13"/>
      <c r="P35" s="13" t="s">
        <v>313</v>
      </c>
      <c r="Q35" s="13"/>
      <c r="R35" s="13"/>
      <c r="S35" s="13"/>
      <c r="T35" s="13" t="s">
        <v>261</v>
      </c>
      <c r="U35" s="15" t="s">
        <v>181</v>
      </c>
    </row>
    <row r="36" spans="1:21" s="22" customFormat="1" ht="72.5" x14ac:dyDescent="0.35">
      <c r="A36" s="19" t="s">
        <v>194</v>
      </c>
      <c r="B36" s="19" t="s">
        <v>77</v>
      </c>
      <c r="C36" s="20">
        <v>45910.572222222225</v>
      </c>
      <c r="D36" s="19" t="s">
        <v>205</v>
      </c>
      <c r="E36" s="19" t="s">
        <v>308</v>
      </c>
      <c r="F36" s="21" t="s">
        <v>206</v>
      </c>
      <c r="G36" s="19" t="s">
        <v>286</v>
      </c>
      <c r="H36" s="20">
        <v>45807</v>
      </c>
      <c r="I36" s="20"/>
      <c r="J36" s="21"/>
      <c r="K36" s="21"/>
      <c r="L36" s="19" t="s">
        <v>272</v>
      </c>
      <c r="M36" s="21"/>
      <c r="N36" s="19"/>
      <c r="O36" s="19"/>
      <c r="P36" s="19" t="s">
        <v>319</v>
      </c>
      <c r="Q36" s="19"/>
      <c r="R36" s="19" t="s">
        <v>201</v>
      </c>
      <c r="S36" s="19"/>
      <c r="T36" s="19" t="s">
        <v>261</v>
      </c>
      <c r="U36" s="21" t="s">
        <v>206</v>
      </c>
    </row>
    <row r="37" spans="1:21" s="22" customFormat="1" ht="43.5" x14ac:dyDescent="0.35">
      <c r="A37" s="19" t="s">
        <v>194</v>
      </c>
      <c r="B37" s="19" t="s">
        <v>77</v>
      </c>
      <c r="C37" s="20">
        <v>45910.573611111111</v>
      </c>
      <c r="D37" s="19" t="s">
        <v>207</v>
      </c>
      <c r="E37" s="19" t="s">
        <v>308</v>
      </c>
      <c r="F37" s="21" t="s">
        <v>208</v>
      </c>
      <c r="G37" s="19" t="s">
        <v>320</v>
      </c>
      <c r="H37" s="20">
        <v>45807</v>
      </c>
      <c r="I37" s="20"/>
      <c r="J37" s="21"/>
      <c r="K37" s="21"/>
      <c r="L37" s="19" t="s">
        <v>272</v>
      </c>
      <c r="M37" s="21"/>
      <c r="N37" s="19"/>
      <c r="O37" s="19"/>
      <c r="P37" s="19" t="s">
        <v>319</v>
      </c>
      <c r="Q37" s="19"/>
      <c r="R37" s="19" t="s">
        <v>201</v>
      </c>
      <c r="S37" s="19"/>
      <c r="T37" s="19" t="s">
        <v>261</v>
      </c>
      <c r="U37" s="21" t="s">
        <v>208</v>
      </c>
    </row>
    <row r="38" spans="1:21" s="22" customFormat="1" ht="29" x14ac:dyDescent="0.35">
      <c r="A38" s="19" t="s">
        <v>194</v>
      </c>
      <c r="B38" s="19" t="s">
        <v>77</v>
      </c>
      <c r="C38" s="20">
        <v>45910.574999999997</v>
      </c>
      <c r="D38" s="19" t="s">
        <v>209</v>
      </c>
      <c r="E38" s="19" t="s">
        <v>308</v>
      </c>
      <c r="F38" s="21" t="s">
        <v>210</v>
      </c>
      <c r="G38" s="19" t="s">
        <v>321</v>
      </c>
      <c r="H38" s="20">
        <v>45807</v>
      </c>
      <c r="I38" s="20"/>
      <c r="J38" s="21"/>
      <c r="K38" s="21"/>
      <c r="L38" s="19" t="s">
        <v>272</v>
      </c>
      <c r="M38" s="21"/>
      <c r="N38" s="19"/>
      <c r="O38" s="19"/>
      <c r="P38" s="19" t="s">
        <v>319</v>
      </c>
      <c r="Q38" s="19"/>
      <c r="R38" s="19" t="s">
        <v>201</v>
      </c>
      <c r="S38" s="19"/>
      <c r="T38" s="19" t="s">
        <v>261</v>
      </c>
      <c r="U38" s="21" t="s">
        <v>210</v>
      </c>
    </row>
    <row r="39" spans="1:21" ht="43.5" x14ac:dyDescent="0.35">
      <c r="A39" s="13" t="s">
        <v>76</v>
      </c>
      <c r="B39" s="13" t="s">
        <v>77</v>
      </c>
      <c r="C39" s="14">
        <v>45414.647916666669</v>
      </c>
      <c r="D39" s="13" t="s">
        <v>223</v>
      </c>
      <c r="E39" s="13" t="s">
        <v>322</v>
      </c>
      <c r="F39" s="15" t="s">
        <v>224</v>
      </c>
      <c r="G39" s="13" t="s">
        <v>277</v>
      </c>
      <c r="H39" s="14">
        <v>44927</v>
      </c>
      <c r="I39" s="14"/>
      <c r="J39" s="15"/>
      <c r="K39" s="15"/>
      <c r="L39" s="13" t="s">
        <v>272</v>
      </c>
      <c r="M39" s="15"/>
      <c r="N39" s="13"/>
      <c r="O39" s="13"/>
      <c r="P39" s="13"/>
      <c r="Q39" s="13" t="s">
        <v>323</v>
      </c>
      <c r="R39" s="13"/>
      <c r="S39" s="13"/>
      <c r="T39" s="13" t="s">
        <v>261</v>
      </c>
      <c r="U39" s="15" t="s">
        <v>224</v>
      </c>
    </row>
    <row r="40" spans="1:21" ht="43.5" x14ac:dyDescent="0.35">
      <c r="A40" s="13" t="s">
        <v>76</v>
      </c>
      <c r="B40" s="13" t="s">
        <v>77</v>
      </c>
      <c r="C40" s="14">
        <v>45414.648611111108</v>
      </c>
      <c r="D40" s="13" t="s">
        <v>225</v>
      </c>
      <c r="E40" s="13" t="s">
        <v>322</v>
      </c>
      <c r="F40" s="15" t="s">
        <v>226</v>
      </c>
      <c r="G40" s="13" t="s">
        <v>277</v>
      </c>
      <c r="H40" s="14">
        <v>44927</v>
      </c>
      <c r="I40" s="14"/>
      <c r="J40" s="15"/>
      <c r="K40" s="15"/>
      <c r="L40" s="13" t="s">
        <v>272</v>
      </c>
      <c r="M40" s="15"/>
      <c r="N40" s="13"/>
      <c r="O40" s="13"/>
      <c r="P40" s="13"/>
      <c r="Q40" s="13" t="s">
        <v>324</v>
      </c>
      <c r="R40" s="13"/>
      <c r="S40" s="13"/>
      <c r="T40" s="13" t="s">
        <v>261</v>
      </c>
      <c r="U40" s="15" t="s">
        <v>226</v>
      </c>
    </row>
  </sheetData>
  <autoFilter ref="A1:Z40" xr:uid="{E404C0EB-8598-4F23-9252-64A05979095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2025-12-08T09:40:21Z</dcterms:created>
  <dcterms:modified xsi:type="dcterms:W3CDTF">2025-12-10T15:34:32Z</dcterms:modified>
</cp:coreProperties>
</file>