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armantier-adc\Mes Documents\"/>
    </mc:Choice>
  </mc:AlternateContent>
  <xr:revisionPtr revIDLastSave="0" documentId="13_ncr:1_{DE49B68F-3700-4EC4-82E2-1296E2D370C6}" xr6:coauthVersionLast="47" xr6:coauthVersionMax="47" xr10:uidLastSave="{00000000-0000-0000-0000-000000000000}"/>
  <bookViews>
    <workbookView xWindow="-110" yWindow="-110" windowWidth="19420" windowHeight="11500" xr2:uid="{B89EE26F-D0AC-4CF5-957A-AF8ACB45ABEB}"/>
  </bookViews>
  <sheets>
    <sheet name="Mode opératoire" sheetId="1" r:id="rId1"/>
    <sheet name="Axe 1 Enchainement des RG" sheetId="5" r:id="rId2"/>
    <sheet name="Axe 1 Enchaînement RG Impact" sheetId="4" r:id="rId3"/>
    <sheet name="Axe 1 Rattachement des actes" sheetId="3" r:id="rId4"/>
    <sheet name="Axe 2 Règles de gestion" sheetId="2" r:id="rId5"/>
  </sheets>
  <definedNames>
    <definedName name="_xlnm._FilterDatabase" localSheetId="1" hidden="1">'Axe 1 Enchainement des RG'!$A$1:$OJ$1</definedName>
    <definedName name="_xlnm._FilterDatabase" localSheetId="2" hidden="1">'Axe 1 Enchaînement RG Impact'!$A$1:$OJ$1</definedName>
    <definedName name="_xlnm._FilterDatabase" localSheetId="3" hidden="1">'Axe 1 Rattachement des actes'!$A$1:$AS$1</definedName>
    <definedName name="_xlnm._FilterDatabase" localSheetId="4" hidden="1">'Axe 2 Règles de gestion'!$A$1:$Z$1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A12" i="5" l="1"/>
  <c r="AY13" i="5"/>
  <c r="AY12" i="5"/>
  <c r="AW13" i="5"/>
  <c r="AW12" i="5"/>
  <c r="AU13" i="5"/>
  <c r="AU12" i="5"/>
  <c r="AS13" i="5"/>
  <c r="AS12" i="5"/>
  <c r="AQ13" i="5"/>
  <c r="AQ12" i="5"/>
  <c r="AO13" i="5"/>
  <c r="AO12" i="5"/>
  <c r="AM13" i="5"/>
  <c r="AM12" i="5"/>
  <c r="AK13" i="5"/>
  <c r="AK12" i="5"/>
  <c r="AI12" i="5"/>
  <c r="AG12" i="5"/>
  <c r="AE13" i="5"/>
  <c r="AE12" i="5"/>
  <c r="AC13" i="5"/>
  <c r="AC12" i="5"/>
  <c r="AA13" i="5"/>
  <c r="AA12" i="5"/>
  <c r="Y13" i="5"/>
  <c r="Y12" i="5"/>
</calcChain>
</file>

<file path=xl/sharedStrings.xml><?xml version="1.0" encoding="utf-8"?>
<sst xmlns="http://schemas.openxmlformats.org/spreadsheetml/2006/main" count="908" uniqueCount="178">
  <si>
    <t>MODE OPERATOIRE</t>
  </si>
  <si>
    <t>La transaction s'effectue au niveau de la rubrique "Congés/absences", elle inclut l'ensemble des sous-rubriques listées ci-dessous :
- Congés/absences
- Complément pour congé / absence : impact rémunération</t>
  </si>
  <si>
    <t>Version</t>
  </si>
  <si>
    <t>Type de mise à jour</t>
  </si>
  <si>
    <t>Date de mise à jour</t>
  </si>
  <si>
    <t>Identifiant Domaine</t>
  </si>
  <si>
    <t>Libellé du Domaine</t>
  </si>
  <si>
    <t>Identifiant Sous-domaine</t>
  </si>
  <si>
    <t>Libellé du Sous-domaine</t>
  </si>
  <si>
    <t>Identifiant Evénement</t>
  </si>
  <si>
    <t>Libellé de l'évènement</t>
  </si>
  <si>
    <t>Libellé condition déclenchement Evènement</t>
  </si>
  <si>
    <t>Condition déclenchement Evènement</t>
  </si>
  <si>
    <t>Identifiant type d'évènement</t>
  </si>
  <si>
    <t>Libellé type d'évènement</t>
  </si>
  <si>
    <t>Libellé condition déclenchement Type Evènement</t>
  </si>
  <si>
    <t>Condition déclenchement Type Evènement</t>
  </si>
  <si>
    <t>Libellé Population</t>
  </si>
  <si>
    <t>Codification Population</t>
  </si>
  <si>
    <t>Général / Particulier</t>
  </si>
  <si>
    <t>Passant / Exclu</t>
  </si>
  <si>
    <t>Date de début</t>
  </si>
  <si>
    <t>Date de fin</t>
  </si>
  <si>
    <t>Règles mobilisées</t>
  </si>
  <si>
    <t>Identifiant Règle de condition  1</t>
  </si>
  <si>
    <t>Libellé Règle de condition  1</t>
  </si>
  <si>
    <t>Identifiant Règle de condition 2</t>
  </si>
  <si>
    <t>Libellé Règle de condition 2</t>
  </si>
  <si>
    <t>Identifiant Règle de condition 3</t>
  </si>
  <si>
    <t>Libellé Règle de condition 3</t>
  </si>
  <si>
    <t>Identifiant Règle de condition 4</t>
  </si>
  <si>
    <t>Libellé Règle de condition 4</t>
  </si>
  <si>
    <t>Identifiant Règle de condition 5</t>
  </si>
  <si>
    <t>Libellé Règle de condition 5</t>
  </si>
  <si>
    <t>Identifiant Règle de condition 6</t>
  </si>
  <si>
    <t>Libellé Règle de condition 6</t>
  </si>
  <si>
    <t>Identifiant Règle de contrôle  1</t>
  </si>
  <si>
    <t>Libellé Règle de contrôle  1</t>
  </si>
  <si>
    <t>Identifiant Règle de contrôle 2</t>
  </si>
  <si>
    <t>Libellé Règle de contrôle 2</t>
  </si>
  <si>
    <t>Identifiant Règle de contrôle 3</t>
  </si>
  <si>
    <t>Libellé Règle de contrôle 3</t>
  </si>
  <si>
    <t>Identifiant Règle de contrôle 4</t>
  </si>
  <si>
    <t>Libellé Règle de contrôle 4</t>
  </si>
  <si>
    <t>Identifiant Règle de contrôle 5</t>
  </si>
  <si>
    <t>Libellé Règle de contrôle 5</t>
  </si>
  <si>
    <t>Identifiant Règle de contrôle 6</t>
  </si>
  <si>
    <t>Libellé Règle de contrôle 6</t>
  </si>
  <si>
    <t>Identifiant Règle de contrôle 7</t>
  </si>
  <si>
    <t>Libellé Règle de contrôle 7</t>
  </si>
  <si>
    <t>Identifiant Règle de contrôle 8</t>
  </si>
  <si>
    <t>Libellé Règle de contrôle 8</t>
  </si>
  <si>
    <t>Identifiant Règle de contrôle 9</t>
  </si>
  <si>
    <t>Libellé Règle de contrôle 9</t>
  </si>
  <si>
    <t>FIME</t>
  </si>
  <si>
    <t>Statut de travail</t>
  </si>
  <si>
    <t>17.10.00</t>
  </si>
  <si>
    <t>A</t>
  </si>
  <si>
    <t>D0007</t>
  </si>
  <si>
    <t>Congés/Absence</t>
  </si>
  <si>
    <t>S0066</t>
  </si>
  <si>
    <t>Dispositif fin activité</t>
  </si>
  <si>
    <t>E0493</t>
  </si>
  <si>
    <t>Dispositif de fin d'activité</t>
  </si>
  <si>
    <t>Type de congé/absence saisi = 'Dispositif de fin d'activité'</t>
  </si>
  <si>
    <t>A_COA_TYCOAB [Saisi] = 'CC005'</t>
  </si>
  <si>
    <t>T1192</t>
  </si>
  <si>
    <t>Dispositif de fin d'activité - Demande</t>
  </si>
  <si>
    <t>Création</t>
  </si>
  <si>
    <t>Titulaire ou magistrat</t>
  </si>
  <si>
    <t>P0001</t>
  </si>
  <si>
    <t>Général</t>
  </si>
  <si>
    <t>Exclu</t>
  </si>
  <si>
    <t>T1193</t>
  </si>
  <si>
    <t>Dispositif de fin d'activité - Fin</t>
  </si>
  <si>
    <t>Modification</t>
  </si>
  <si>
    <t>Militaire</t>
  </si>
  <si>
    <t>P0002</t>
  </si>
  <si>
    <t>Contractuel</t>
  </si>
  <si>
    <t>P0003</t>
  </si>
  <si>
    <t>Stagiaire ou auditeur ou élève</t>
  </si>
  <si>
    <t>P0004</t>
  </si>
  <si>
    <t>Ouvrier d'état</t>
  </si>
  <si>
    <t>P0005</t>
  </si>
  <si>
    <t>Ministre plénipotentiaire ou conseiller des affaires étrangères titulaire</t>
  </si>
  <si>
    <t>P0098</t>
  </si>
  <si>
    <t>Particulier</t>
  </si>
  <si>
    <t>Passant</t>
  </si>
  <si>
    <t>DFA_D_003 ET DFA_D_004 ET DFA_D_410 ET DFA_D_510 ET DFA_D_610 ET DFA_D_710 ET ABS_C_001 ET ABS_C_003 ET ABS_C_004 ET ABS_C_007 ET ABS_C_008 ET ABS_C_019 ET ABS_C_020 ET ABS_C_009 ET ABS_C_026</t>
  </si>
  <si>
    <t>DFA_D_003</t>
  </si>
  <si>
    <t>Le bénéfice du dispositif de fin d'activité n'est pas ouvert aux agents en position de disponibilité, en position hors cadres et en position de détachement au titre de l'article 14 (2° à 13° inclus) du décret du 16 septembre 1985.</t>
  </si>
  <si>
    <t>DFA_D_004</t>
  </si>
  <si>
    <t>L'agent doit être âgé de 58 ans au moins et de 62 ans au plus à la date de présentation de la demande.</t>
  </si>
  <si>
    <t>DFA_D_410</t>
  </si>
  <si>
    <t>La durée du dispositif de fin d'activité est de six mois minimum (date de fin réelle de l'absence).</t>
  </si>
  <si>
    <t>DFA_D_510</t>
  </si>
  <si>
    <t>La durée du dispositif de fin d'activité est de six mois minimum (date de fin prévisionnelle de l'absence).</t>
  </si>
  <si>
    <t>DFA_D_610</t>
  </si>
  <si>
    <t>La durée du dispositif de fin d'activité est de 3 ans maximum (date de fin réelle de l'absence).</t>
  </si>
  <si>
    <t>DFA_D_710</t>
  </si>
  <si>
    <t>La durée du dispositif de fin d'activité est de 3 ans maximum (date de fin prévisionnelle de l'absence).</t>
  </si>
  <si>
    <t>ABS_C_001</t>
  </si>
  <si>
    <t>La date de début du congé/absence doit être postérieure ou égale à la date de recrutement dans la FPE ou dans la carrière militaire.</t>
  </si>
  <si>
    <t>ABS_C_003</t>
  </si>
  <si>
    <t>La date de début du congé/absence doit être antérieure ou égale à la date de fin réelle du congé/absence.</t>
  </si>
  <si>
    <t>ABS_C_004</t>
  </si>
  <si>
    <t>La date de début du congé/absence doit être antérieure ou égale à la date de fin prévisionnelle du congé/absence.</t>
  </si>
  <si>
    <t>ABS_C_007</t>
  </si>
  <si>
    <t>La date de fin réelle du congé/absence doit être antérieure à la date limite de départ à la retraite.</t>
  </si>
  <si>
    <t>ABS_C_008</t>
  </si>
  <si>
    <t>La date de fin prévisionnelle du congé/absence doit être antérieure à la date limite de départ à la retraite.</t>
  </si>
  <si>
    <t>ABS_C_019</t>
  </si>
  <si>
    <t>Si l'absence ne commence pas par une demi-journée et si l'absence précédente ne finit pas par une demi journée, la date de début de l'absence saisie est postérieure à la date de fin réelle de l'absence précédente.</t>
  </si>
  <si>
    <t>ABS_C_020</t>
  </si>
  <si>
    <t>Si l'absence ne commence pas par une demi-journée et si l'absence précédente ne finit pas par une demi journée, la date de début de l'absence saisie est postérieure à la date de fin prévisionnelle de l'absence précédente.</t>
  </si>
  <si>
    <t>ABS_C_009</t>
  </si>
  <si>
    <t>La date de fin réelle ou la date de fin prévisionnelle du congé/absence doit être saisie.</t>
  </si>
  <si>
    <t>ABS_C_026</t>
  </si>
  <si>
    <t>Dans le cas d'un congé autre que CLM, CLD, CGM et CITIS, l'indicateur de requalification doit être à non et les impacts spécifiques à la requalification ne doivent pas être mobilisés ou l'impact rémunération est vide.</t>
  </si>
  <si>
    <t>DFA_D_410 ET DFA_D_510 ET DFA_D_610 ET DFA_D_710 ET ABS_C_003 ET ABS_C_004 ET ABS_C_007 ET ABS_C_008 ET ABS_C_019 ET ABS_C_020 ET ABS_C_009 ET ABS_C_026</t>
  </si>
  <si>
    <t>Impacts</t>
  </si>
  <si>
    <t>Libellé condition de déclenchement 1</t>
  </si>
  <si>
    <t>Condition de déclenchement 1</t>
  </si>
  <si>
    <t>Code nature 1</t>
  </si>
  <si>
    <t>Libellé nature 1</t>
  </si>
  <si>
    <t>Libellé condition de déclenchement 2</t>
  </si>
  <si>
    <t>Condition de déclenchement 2</t>
  </si>
  <si>
    <t>Code nature 2</t>
  </si>
  <si>
    <t>Libellé nature 2</t>
  </si>
  <si>
    <t>Libellé condition de déclenchement 3</t>
  </si>
  <si>
    <t>Condition de déclenchement 3</t>
  </si>
  <si>
    <t>Code nature 3</t>
  </si>
  <si>
    <t>Libellé nature 3</t>
  </si>
  <si>
    <t>Libellé condition de déclenchement 4</t>
  </si>
  <si>
    <t>Condition de déclenchement 4</t>
  </si>
  <si>
    <t>Code nature 4</t>
  </si>
  <si>
    <t>Libellé nature 4</t>
  </si>
  <si>
    <t>Commentaire</t>
  </si>
  <si>
    <t>Code de la règle</t>
  </si>
  <si>
    <t>Type de règle</t>
  </si>
  <si>
    <t>Règle littérale</t>
  </si>
  <si>
    <t>Références juridiques</t>
  </si>
  <si>
    <t>Condition</t>
  </si>
  <si>
    <t>Articulation</t>
  </si>
  <si>
    <t>Type de contrôle</t>
  </si>
  <si>
    <t>Typage RG condition</t>
  </si>
  <si>
    <t>Typage RG contrôle</t>
  </si>
  <si>
    <t>Typage RG intellectuel</t>
  </si>
  <si>
    <t>Typage RG impact</t>
  </si>
  <si>
    <t>Règle retenue</t>
  </si>
  <si>
    <t>Expression littérale</t>
  </si>
  <si>
    <t>Décret 2011-634 A1</t>
  </si>
  <si>
    <t>A_POS_POSIAD [Dossier] = (POSITION_SITUATION.R_FOR_IDEN05 ET POSITION_SITUATION.R_REL_PSSAG2 DANS ('ACI','HCA','MAD','DEL','MDE','MLD')) OU (POSITION_SITUATION.R_FOR_IDEN05 DANS ('DEE01', 'DES01'))</t>
  </si>
  <si>
    <t>Bloquant</t>
  </si>
  <si>
    <t>A_COA_DADECA [Saisi] - P_CIV_DATNAI [Dossier] &gt;= 58 AN_3D) ET A_COA_DADECA [Saisi] - P_CIV_DATNAI [Dossier] &lt;= 62 AN_3D)</t>
  </si>
  <si>
    <t>Décret 2011-634 A9</t>
  </si>
  <si>
    <t>SI A_COA_DFRECA [Saisi] &lt;&gt; Vide</t>
  </si>
  <si>
    <t>A_COA_DFRECA [Saisi] - A_COA_DADBCA [Saisi] &gt;= 6 MOIS</t>
  </si>
  <si>
    <t>SI A_COA_DAFIPR [Saisi] &lt;&gt; Vide ET A_COA_DFRECA [Saisi] = Vide</t>
  </si>
  <si>
    <t>A_COA_DAFIPR [Saisi] - A_COA_DADBCA [Saisi] &gt;= 6 MOIS</t>
  </si>
  <si>
    <t>A_COA_DFRECA [Saisi] - A_COA_DADBCA [Saisi] &lt;= 3 AN</t>
  </si>
  <si>
    <t>A_COA_DAFIPR [Saisi] - A_COA_DADBCA [Saisi] &lt;= 3 AN</t>
  </si>
  <si>
    <t>Contrôle</t>
  </si>
  <si>
    <t>A_COA_DADBCA [Saisi] &gt;= A_SAP_DENFPE [Dossier]</t>
  </si>
  <si>
    <t>A_COA_DADBCA [Saisi] &lt;= A_COA_DFRECA [Saisi]</t>
  </si>
  <si>
    <t>A_COA_DADBCA [Saisi] &lt;= A_COA_DAFIPR [Saisi]</t>
  </si>
  <si>
    <t>A_COA_DFRECA [Saisi] &lt; A_SAP_DLDPRE [Dossier]</t>
  </si>
  <si>
    <t>Non Bloquant</t>
  </si>
  <si>
    <t>A_COA_DAFIPR [Saisi] &lt; A_SAP_DLDPRE [Dossier]</t>
  </si>
  <si>
    <t>A_COA_DAFIPR [Saisi] &lt;&gt; Vide OU A_COA_DFRECA [Saisi] &lt;&gt; Vide</t>
  </si>
  <si>
    <t>SI A_COA_TDAMPM [Saisi] = Vide ET A_COA_TFAMPM [Occurrence précédente] = Vide ET A_COA_DFRECA [Occurrence précédente] &lt;&gt; Vide</t>
  </si>
  <si>
    <t>A_COA_DADBCA [Saisi] &gt; A_COA_DFRECA [Occurrence précédente]</t>
  </si>
  <si>
    <t>On peut avoir deux absences le même jour une le matin et l'autre l'après-midi</t>
  </si>
  <si>
    <t>SI A_COA_TDAMPM [Saisi] = Vide ET A_COA_TFAMPM [Occurrence précédente] = Vide ET A_COA_DAFIPR [Occurrence précédente] &lt;&gt; Vide ET A_COA_DFRECA [Occurrence précédente] = Vide</t>
  </si>
  <si>
    <t>A_COA_DADBCA [Saisi] &gt; A_COA_DAFIPR [Occurrence précédente]</t>
  </si>
  <si>
    <t>19.00.00</t>
  </si>
  <si>
    <t>M</t>
  </si>
  <si>
    <t>A_COA_CMOREQ [Saisi]  = 0  ET ((A_COA_IMPPAY [Saisi] = IMPACT_REMU.R_FOR_IDEN04 ET IMPACT_REMU.R_FOR_REQUAL = '0') OU A_COA_IMPPAY [Saisi] = Vide)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</si>
</sst>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Protection="1"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/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4" fontId="0" fillId="0" borderId="0" xfId="0" applyNumberFormat="1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80F06-F988-4857-A84C-883D231F66D9}">
  <sheetPr codeName="Feuil2"/>
  <dimension ref="A1:AG425"/>
  <sheetViews>
    <sheetView tabSelected="1" zoomScaleNormal="100" workbookViewId="0"/>
  </sheetViews>
  <sheetFormatPr baseColWidth="10" defaultRowHeight="14.5" x14ac:dyDescent="0.35"/>
  <cols>
    <col min="2" max="2" width="144.26953125" style="9" customWidth="1"/>
    <col min="3" max="3" width="64.81640625" style="2" bestFit="1" customWidth="1"/>
    <col min="18" max="19" width="10.90625" style="2"/>
  </cols>
  <sheetData>
    <row r="1" spans="1:33" x14ac:dyDescent="0.35">
      <c r="B1" s="1" t="s">
        <v>0</v>
      </c>
    </row>
    <row r="2" spans="1:33" ht="43.5" x14ac:dyDescent="0.35">
      <c r="B2" s="3" t="s">
        <v>1</v>
      </c>
    </row>
    <row r="3" spans="1:33" x14ac:dyDescent="0.35">
      <c r="B3" s="4"/>
    </row>
    <row r="4" spans="1:33" x14ac:dyDescent="0.35">
      <c r="B4" s="4"/>
    </row>
    <row r="5" spans="1:33" x14ac:dyDescent="0.35">
      <c r="B5" s="4"/>
    </row>
    <row r="6" spans="1:33" x14ac:dyDescent="0.35">
      <c r="B6" s="4"/>
    </row>
    <row r="7" spans="1:33" x14ac:dyDescent="0.35">
      <c r="B7" s="4"/>
    </row>
    <row r="8" spans="1:33" x14ac:dyDescent="0.35">
      <c r="B8" s="4"/>
    </row>
    <row r="9" spans="1:33" x14ac:dyDescent="0.35">
      <c r="B9" s="4"/>
    </row>
    <row r="10" spans="1:33" x14ac:dyDescent="0.35">
      <c r="B10" s="4"/>
    </row>
    <row r="11" spans="1:33" x14ac:dyDescent="0.35">
      <c r="A11" s="5"/>
      <c r="B11" s="6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 spans="1:33" x14ac:dyDescent="0.35">
      <c r="A12" s="5"/>
      <c r="B12" s="7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 spans="1:33" x14ac:dyDescent="0.35">
      <c r="A13" s="5"/>
      <c r="B13" s="7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spans="1:33" x14ac:dyDescent="0.35">
      <c r="A14" s="5"/>
      <c r="B14" s="7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 spans="1:33" x14ac:dyDescent="0.35">
      <c r="B15" s="4"/>
      <c r="C15"/>
      <c r="R15"/>
      <c r="S15"/>
    </row>
    <row r="16" spans="1:33" x14ac:dyDescent="0.3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 spans="1:33" x14ac:dyDescent="0.3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 spans="1:33" x14ac:dyDescent="0.3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 spans="1:33" x14ac:dyDescent="0.3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 spans="1:33" x14ac:dyDescent="0.3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 spans="1:33" x14ac:dyDescent="0.3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 spans="1:33" x14ac:dyDescent="0.3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 spans="1:33" x14ac:dyDescent="0.3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 spans="1:33" x14ac:dyDescent="0.3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 spans="1:33" x14ac:dyDescent="0.3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 spans="1:33" x14ac:dyDescent="0.3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 spans="1:33" x14ac:dyDescent="0.3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 spans="1:33" x14ac:dyDescent="0.3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 spans="1:33" x14ac:dyDescent="0.3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 spans="1:33" x14ac:dyDescent="0.3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 spans="1:33" x14ac:dyDescent="0.3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 spans="1:33" x14ac:dyDescent="0.3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 spans="1:33" x14ac:dyDescent="0.3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 spans="1:33" x14ac:dyDescent="0.3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 spans="1:33" x14ac:dyDescent="0.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 spans="1:33" x14ac:dyDescent="0.3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 spans="1:33" x14ac:dyDescent="0.3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 spans="1:33" x14ac:dyDescent="0.3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 spans="1:33" x14ac:dyDescent="0.3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 spans="1:33" x14ac:dyDescent="0.3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 spans="1:33" x14ac:dyDescent="0.3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 spans="1:33" x14ac:dyDescent="0.3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 spans="1:33" x14ac:dyDescent="0.3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 spans="1:33" x14ac:dyDescent="0.3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 spans="1:33" x14ac:dyDescent="0.3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 spans="1:33" x14ac:dyDescent="0.3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 spans="1:33" x14ac:dyDescent="0.3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 spans="1:33" x14ac:dyDescent="0.3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 spans="1:33" x14ac:dyDescent="0.3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 spans="1:33" x14ac:dyDescent="0.3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 spans="1:33" x14ac:dyDescent="0.3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 spans="1:33" x14ac:dyDescent="0.3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 spans="1:33" x14ac:dyDescent="0.3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 spans="1:33" x14ac:dyDescent="0.3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 spans="1:33" x14ac:dyDescent="0.3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 spans="1:33" x14ac:dyDescent="0.3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 spans="1:33" x14ac:dyDescent="0.3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 spans="1:33" x14ac:dyDescent="0.3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 spans="1:33" x14ac:dyDescent="0.3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 spans="1:33" x14ac:dyDescent="0.3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 spans="1:33" x14ac:dyDescent="0.3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 spans="1:33" x14ac:dyDescent="0.3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 spans="1:33" x14ac:dyDescent="0.3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 spans="1:33" x14ac:dyDescent="0.3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 spans="1:33" x14ac:dyDescent="0.3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 spans="1:33" x14ac:dyDescent="0.3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 spans="1:33" x14ac:dyDescent="0.3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 spans="1:33" x14ac:dyDescent="0.3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 spans="1:33" x14ac:dyDescent="0.3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 spans="1:33" x14ac:dyDescent="0.3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 spans="1:33" x14ac:dyDescent="0.3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 spans="1:33" x14ac:dyDescent="0.3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 spans="1:33" x14ac:dyDescent="0.3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 spans="1:33" x14ac:dyDescent="0.3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 spans="1:33" x14ac:dyDescent="0.3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 spans="1:33" x14ac:dyDescent="0.3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 spans="1:33" x14ac:dyDescent="0.3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 spans="1:33" x14ac:dyDescent="0.3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 spans="1:33" x14ac:dyDescent="0.3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 spans="1:33" x14ac:dyDescent="0.3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 spans="1:33" x14ac:dyDescent="0.3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 spans="1:33" x14ac:dyDescent="0.3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8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 spans="1:33" x14ac:dyDescent="0.3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 spans="1:33" x14ac:dyDescent="0.3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 spans="1:33" x14ac:dyDescent="0.3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 spans="1:33" x14ac:dyDescent="0.3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 spans="1:33" x14ac:dyDescent="0.3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 spans="1:33" x14ac:dyDescent="0.3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 spans="1:33" x14ac:dyDescent="0.3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 spans="1:33" x14ac:dyDescent="0.3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 spans="1:33" x14ac:dyDescent="0.3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 spans="1:33" x14ac:dyDescent="0.3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 spans="1:33" x14ac:dyDescent="0.3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 spans="1:33" x14ac:dyDescent="0.3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8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 spans="1:33" x14ac:dyDescent="0.3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 spans="1:33" x14ac:dyDescent="0.3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8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 spans="1:33" x14ac:dyDescent="0.3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 spans="1:33" x14ac:dyDescent="0.3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 spans="1:33" x14ac:dyDescent="0.3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 spans="1:33" x14ac:dyDescent="0.3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 spans="1:33" x14ac:dyDescent="0.3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 spans="1:33" x14ac:dyDescent="0.3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 spans="1:33" x14ac:dyDescent="0.3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 spans="1:33" x14ac:dyDescent="0.3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 spans="1:33" x14ac:dyDescent="0.3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 spans="1:33" x14ac:dyDescent="0.3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 spans="1:33" x14ac:dyDescent="0.3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 spans="1:33" x14ac:dyDescent="0.3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 spans="1:33" x14ac:dyDescent="0.3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 spans="1:33" x14ac:dyDescent="0.3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 spans="1:33" x14ac:dyDescent="0.3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 spans="1:33" x14ac:dyDescent="0.3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 spans="1:33" x14ac:dyDescent="0.3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 spans="1:33" x14ac:dyDescent="0.3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 spans="1:33" x14ac:dyDescent="0.3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 spans="1:33" x14ac:dyDescent="0.3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 spans="1:33" x14ac:dyDescent="0.3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 spans="1:33" x14ac:dyDescent="0.3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 spans="1:33" x14ac:dyDescent="0.3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 spans="1:33" x14ac:dyDescent="0.3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 spans="1:33" x14ac:dyDescent="0.3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 spans="1:33" x14ac:dyDescent="0.3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 spans="1:33" x14ac:dyDescent="0.3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 spans="1:33" x14ac:dyDescent="0.3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 spans="1:33" x14ac:dyDescent="0.3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 spans="1:33" x14ac:dyDescent="0.3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 spans="1:33" x14ac:dyDescent="0.3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 spans="1:33" x14ac:dyDescent="0.3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8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 spans="1:33" x14ac:dyDescent="0.3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 spans="1:33" x14ac:dyDescent="0.3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 spans="1:33" x14ac:dyDescent="0.3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8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 spans="1:33" x14ac:dyDescent="0.3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 spans="1:33" x14ac:dyDescent="0.3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 spans="1:33" x14ac:dyDescent="0.3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 spans="1:33" x14ac:dyDescent="0.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8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 spans="1:33" x14ac:dyDescent="0.3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 spans="1:33" x14ac:dyDescent="0.3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 spans="1:33" x14ac:dyDescent="0.3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 spans="1:33" x14ac:dyDescent="0.3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 spans="1:33" x14ac:dyDescent="0.3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 spans="1:33" x14ac:dyDescent="0.3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 spans="1:33" x14ac:dyDescent="0.3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8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 spans="1:33" x14ac:dyDescent="0.3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 spans="1:33" x14ac:dyDescent="0.3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 spans="1:33" x14ac:dyDescent="0.3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 spans="1:33" x14ac:dyDescent="0.3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8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 spans="1:33" x14ac:dyDescent="0.3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8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 spans="1:33" x14ac:dyDescent="0.3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8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 spans="1:33" x14ac:dyDescent="0.3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 spans="1:33" x14ac:dyDescent="0.3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 spans="1:33" x14ac:dyDescent="0.3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 spans="1:33" x14ac:dyDescent="0.3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 spans="1:33" x14ac:dyDescent="0.3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 spans="1:33" x14ac:dyDescent="0.3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8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 spans="1:33" x14ac:dyDescent="0.3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8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 spans="1:33" x14ac:dyDescent="0.3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8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 spans="1:33" x14ac:dyDescent="0.3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 spans="1:33" x14ac:dyDescent="0.3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 spans="1:33" x14ac:dyDescent="0.3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 spans="1:33" x14ac:dyDescent="0.3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 spans="1:33" x14ac:dyDescent="0.3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 spans="1:33" x14ac:dyDescent="0.3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 spans="1:33" x14ac:dyDescent="0.3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 spans="1:33" x14ac:dyDescent="0.3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8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 spans="1:33" x14ac:dyDescent="0.3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8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 spans="1:33" x14ac:dyDescent="0.3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 spans="1:33" x14ac:dyDescent="0.3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 spans="1:33" x14ac:dyDescent="0.3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8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 spans="1:33" x14ac:dyDescent="0.3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 spans="1:33" x14ac:dyDescent="0.3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 spans="1:33" x14ac:dyDescent="0.3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 spans="1:33" x14ac:dyDescent="0.3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 spans="1:33" x14ac:dyDescent="0.3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8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 spans="1:33" x14ac:dyDescent="0.3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 spans="1:33" x14ac:dyDescent="0.3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8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 spans="1:33" x14ac:dyDescent="0.3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 spans="1:33" x14ac:dyDescent="0.3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 spans="1:33" x14ac:dyDescent="0.3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 spans="1:33" x14ac:dyDescent="0.3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 spans="1:33" x14ac:dyDescent="0.3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 spans="1:33" x14ac:dyDescent="0.3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8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 spans="1:33" x14ac:dyDescent="0.3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 spans="1:33" x14ac:dyDescent="0.3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 spans="1:33" x14ac:dyDescent="0.3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 spans="1:33" x14ac:dyDescent="0.3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 spans="1:33" x14ac:dyDescent="0.3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 spans="1:33" x14ac:dyDescent="0.3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 spans="1:33" x14ac:dyDescent="0.3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8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 spans="1:33" x14ac:dyDescent="0.3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 spans="1:33" x14ac:dyDescent="0.3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 spans="1:33" x14ac:dyDescent="0.3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 spans="1:33" x14ac:dyDescent="0.3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 spans="1:33" x14ac:dyDescent="0.3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 spans="1:33" x14ac:dyDescent="0.3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 spans="1:33" x14ac:dyDescent="0.3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 spans="1:33" x14ac:dyDescent="0.3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 spans="1:33" x14ac:dyDescent="0.3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8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 spans="1:33" x14ac:dyDescent="0.3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8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 spans="1:33" x14ac:dyDescent="0.3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 spans="1:33" x14ac:dyDescent="0.3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 spans="1:33" x14ac:dyDescent="0.3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 spans="1:33" x14ac:dyDescent="0.3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 spans="1:33" x14ac:dyDescent="0.3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8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 spans="1:33" x14ac:dyDescent="0.3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 spans="1:33" x14ac:dyDescent="0.3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 spans="1:33" x14ac:dyDescent="0.3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 spans="1:33" x14ac:dyDescent="0.3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 spans="1:33" x14ac:dyDescent="0.3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8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 spans="1:33" x14ac:dyDescent="0.3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 spans="1:33" x14ac:dyDescent="0.3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 spans="1:33" x14ac:dyDescent="0.3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 spans="1:33" x14ac:dyDescent="0.3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 spans="1:33" x14ac:dyDescent="0.3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 spans="1:33" x14ac:dyDescent="0.3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 spans="1:33" x14ac:dyDescent="0.3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 spans="1:33" x14ac:dyDescent="0.3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 spans="1:33" x14ac:dyDescent="0.3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 spans="1:33" x14ac:dyDescent="0.3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 spans="1:33" x14ac:dyDescent="0.3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 spans="1:33" x14ac:dyDescent="0.3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 spans="1:33" x14ac:dyDescent="0.3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 spans="1:33" x14ac:dyDescent="0.3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 spans="1:33" x14ac:dyDescent="0.3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 spans="1:33" x14ac:dyDescent="0.3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 spans="1:33" x14ac:dyDescent="0.3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 spans="1:33" x14ac:dyDescent="0.3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 spans="1:33" x14ac:dyDescent="0.3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 spans="1:33" x14ac:dyDescent="0.3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 spans="1:33" x14ac:dyDescent="0.3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 spans="1:33" x14ac:dyDescent="0.3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 spans="1:33" x14ac:dyDescent="0.3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 spans="1:33" x14ac:dyDescent="0.3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 spans="1:33" x14ac:dyDescent="0.3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 spans="1:33" x14ac:dyDescent="0.3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 spans="1:33" x14ac:dyDescent="0.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 spans="1:33" x14ac:dyDescent="0.3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 spans="1:33" x14ac:dyDescent="0.3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 spans="1:33" x14ac:dyDescent="0.3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 spans="1:33" x14ac:dyDescent="0.3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 spans="1:33" x14ac:dyDescent="0.3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 spans="1:33" x14ac:dyDescent="0.3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 spans="1:33" x14ac:dyDescent="0.3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 spans="1:33" x14ac:dyDescent="0.3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 spans="1:33" x14ac:dyDescent="0.3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 spans="1:33" x14ac:dyDescent="0.3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 spans="1:33" x14ac:dyDescent="0.3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 spans="1:33" x14ac:dyDescent="0.3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 spans="1:33" x14ac:dyDescent="0.3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 spans="1:33" x14ac:dyDescent="0.3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 spans="1:33" x14ac:dyDescent="0.3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 spans="1:33" x14ac:dyDescent="0.3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 spans="1:33" x14ac:dyDescent="0.3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 spans="1:33" x14ac:dyDescent="0.3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 spans="1:33" x14ac:dyDescent="0.3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 spans="1:33" x14ac:dyDescent="0.3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 spans="1:33" x14ac:dyDescent="0.3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 spans="1:33" x14ac:dyDescent="0.3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 spans="1:33" x14ac:dyDescent="0.3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 spans="1:33" x14ac:dyDescent="0.3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 spans="1:33" x14ac:dyDescent="0.3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 spans="1:33" x14ac:dyDescent="0.3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 spans="1:33" x14ac:dyDescent="0.3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 spans="1:33" x14ac:dyDescent="0.3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 spans="1:33" x14ac:dyDescent="0.3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 spans="1:33" x14ac:dyDescent="0.3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 spans="1:33" x14ac:dyDescent="0.3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 spans="1:33" x14ac:dyDescent="0.3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 spans="1:33" x14ac:dyDescent="0.3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 spans="1:33" x14ac:dyDescent="0.3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 spans="1:33" x14ac:dyDescent="0.3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 spans="1:33" x14ac:dyDescent="0.3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 spans="1:33" x14ac:dyDescent="0.3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 spans="1:33" x14ac:dyDescent="0.3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 spans="1:33" x14ac:dyDescent="0.3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 spans="1:33" x14ac:dyDescent="0.3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 spans="1:33" x14ac:dyDescent="0.3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 spans="1:33" x14ac:dyDescent="0.3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 spans="1:33" x14ac:dyDescent="0.3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 spans="1:33" x14ac:dyDescent="0.3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 spans="1:33" x14ac:dyDescent="0.3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 spans="1:33" x14ac:dyDescent="0.3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 spans="1:33" x14ac:dyDescent="0.3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 spans="1:33" x14ac:dyDescent="0.3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 spans="1:33" x14ac:dyDescent="0.3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 spans="1:33" x14ac:dyDescent="0.3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 spans="1:33" x14ac:dyDescent="0.3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 spans="1:33" x14ac:dyDescent="0.3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 spans="1:33" x14ac:dyDescent="0.3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 spans="1:33" x14ac:dyDescent="0.3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 spans="1:33" x14ac:dyDescent="0.3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 spans="1:33" x14ac:dyDescent="0.3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 spans="1:33" x14ac:dyDescent="0.3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 spans="1:33" x14ac:dyDescent="0.3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 spans="1:33" x14ac:dyDescent="0.3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 spans="1:33" x14ac:dyDescent="0.3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 spans="1:33" x14ac:dyDescent="0.3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 spans="1:33" x14ac:dyDescent="0.3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 spans="1:33" x14ac:dyDescent="0.3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 spans="1:33" x14ac:dyDescent="0.3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 spans="1:33" x14ac:dyDescent="0.3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8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 spans="1:33" x14ac:dyDescent="0.3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 spans="1:33" x14ac:dyDescent="0.3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 spans="1:33" x14ac:dyDescent="0.3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8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 spans="1:33" x14ac:dyDescent="0.3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 spans="1:33" x14ac:dyDescent="0.3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 spans="1:33" x14ac:dyDescent="0.3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 spans="1:33" x14ac:dyDescent="0.3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 spans="1:33" x14ac:dyDescent="0.3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 spans="1:33" x14ac:dyDescent="0.3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 spans="1:33" x14ac:dyDescent="0.3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 spans="1:33" x14ac:dyDescent="0.3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8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 spans="1:33" x14ac:dyDescent="0.3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8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 spans="1:33" x14ac:dyDescent="0.3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 spans="1:33" x14ac:dyDescent="0.3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 spans="1:33" x14ac:dyDescent="0.3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 spans="1:33" x14ac:dyDescent="0.3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 spans="1:33" x14ac:dyDescent="0.3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 spans="1:33" x14ac:dyDescent="0.3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 spans="1:33" x14ac:dyDescent="0.3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 spans="1:33" x14ac:dyDescent="0.3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 spans="1:33" x14ac:dyDescent="0.3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 spans="1:33" x14ac:dyDescent="0.3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 spans="1:33" x14ac:dyDescent="0.3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 spans="1:33" x14ac:dyDescent="0.3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 spans="1:33" x14ac:dyDescent="0.3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 spans="1:33" x14ac:dyDescent="0.3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8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 spans="1:33" x14ac:dyDescent="0.3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 spans="1:33" x14ac:dyDescent="0.3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 spans="1:33" x14ac:dyDescent="0.3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 spans="1:33" x14ac:dyDescent="0.3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 spans="1:33" x14ac:dyDescent="0.3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 spans="1:33" x14ac:dyDescent="0.3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 spans="1:33" x14ac:dyDescent="0.3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8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 spans="1:33" x14ac:dyDescent="0.3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 spans="1:33" x14ac:dyDescent="0.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 spans="1:33" x14ac:dyDescent="0.3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 spans="1:33" x14ac:dyDescent="0.3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 spans="1:33" x14ac:dyDescent="0.3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 spans="1:33" x14ac:dyDescent="0.3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 spans="1:33" x14ac:dyDescent="0.3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 spans="1:33" x14ac:dyDescent="0.3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 spans="1:33" x14ac:dyDescent="0.3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 spans="1:33" x14ac:dyDescent="0.3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 spans="1:33" x14ac:dyDescent="0.3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 spans="1:33" x14ac:dyDescent="0.3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 spans="1:33" x14ac:dyDescent="0.3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 spans="1:33" x14ac:dyDescent="0.3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 spans="1:33" x14ac:dyDescent="0.3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 spans="1:33" x14ac:dyDescent="0.3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 spans="1:33" x14ac:dyDescent="0.3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 spans="1:33" x14ac:dyDescent="0.3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 spans="1:33" x14ac:dyDescent="0.3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 spans="1:33" x14ac:dyDescent="0.3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 spans="1:33" x14ac:dyDescent="0.3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 spans="1:33" x14ac:dyDescent="0.3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 spans="1:33" x14ac:dyDescent="0.3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 spans="1:33" x14ac:dyDescent="0.3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 spans="1:33" x14ac:dyDescent="0.3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 spans="1:33" x14ac:dyDescent="0.3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 spans="1:33" x14ac:dyDescent="0.3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 spans="1:33" x14ac:dyDescent="0.3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 spans="1:33" x14ac:dyDescent="0.3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 spans="1:33" x14ac:dyDescent="0.3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 spans="1:33" x14ac:dyDescent="0.3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 spans="1:33" x14ac:dyDescent="0.3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 spans="1:33" x14ac:dyDescent="0.3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 spans="1:33" x14ac:dyDescent="0.3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 spans="1:33" x14ac:dyDescent="0.3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 spans="1:33" x14ac:dyDescent="0.3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 spans="1:33" x14ac:dyDescent="0.3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 spans="1:33" x14ac:dyDescent="0.3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 spans="1:33" x14ac:dyDescent="0.3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 spans="1:33" x14ac:dyDescent="0.3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 spans="1:33" x14ac:dyDescent="0.3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 spans="1:33" x14ac:dyDescent="0.3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 spans="1:33" x14ac:dyDescent="0.3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 spans="1:33" x14ac:dyDescent="0.3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 spans="1:33" x14ac:dyDescent="0.3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 spans="1:33" x14ac:dyDescent="0.3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 spans="1:33" x14ac:dyDescent="0.3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 spans="1:33" x14ac:dyDescent="0.3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 spans="1:33" x14ac:dyDescent="0.3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 spans="1:33" x14ac:dyDescent="0.3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 spans="1:33" x14ac:dyDescent="0.3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 spans="1:33" x14ac:dyDescent="0.3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 spans="1:33" x14ac:dyDescent="0.3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 spans="1:33" x14ac:dyDescent="0.3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 spans="1:33" x14ac:dyDescent="0.3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 spans="1:33" x14ac:dyDescent="0.3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 spans="1:33" x14ac:dyDescent="0.3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 spans="1:33" x14ac:dyDescent="0.3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 spans="1:33" x14ac:dyDescent="0.3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 spans="1:33" x14ac:dyDescent="0.3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 spans="1:33" x14ac:dyDescent="0.3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 spans="1:33" x14ac:dyDescent="0.3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 spans="1:33" x14ac:dyDescent="0.3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 spans="1:33" x14ac:dyDescent="0.3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 spans="1:33" x14ac:dyDescent="0.3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 spans="1:33" x14ac:dyDescent="0.3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 spans="1:33" x14ac:dyDescent="0.3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 spans="1:33" x14ac:dyDescent="0.3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 spans="1:33" x14ac:dyDescent="0.3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 spans="1:33" x14ac:dyDescent="0.3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 spans="1:33" x14ac:dyDescent="0.3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 spans="1:33" x14ac:dyDescent="0.3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 spans="1:33" x14ac:dyDescent="0.3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 spans="1:33" x14ac:dyDescent="0.3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 spans="1:33" x14ac:dyDescent="0.3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 spans="1:33" x14ac:dyDescent="0.3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 spans="1:33" x14ac:dyDescent="0.3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 spans="1:33" x14ac:dyDescent="0.3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 spans="1:33" x14ac:dyDescent="0.3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 spans="1:33" x14ac:dyDescent="0.3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 spans="1:33" x14ac:dyDescent="0.3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 spans="1:33" x14ac:dyDescent="0.3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 spans="1:33" x14ac:dyDescent="0.3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 spans="1:33" x14ac:dyDescent="0.3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 spans="1:33" x14ac:dyDescent="0.3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 spans="1:33" x14ac:dyDescent="0.3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 spans="1:33" x14ac:dyDescent="0.3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 spans="1:33" x14ac:dyDescent="0.3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 spans="1:33" x14ac:dyDescent="0.3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 spans="1:33" x14ac:dyDescent="0.3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 spans="1:33" x14ac:dyDescent="0.3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 spans="1:33" x14ac:dyDescent="0.3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DEABA-2E95-4A5C-8FB4-342D3054EA5F}">
  <dimension ref="A1:BC122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2" customWidth="1"/>
    <col min="2" max="2" width="7.6328125" style="12" customWidth="1"/>
    <col min="3" max="3" width="12.6328125" style="12" customWidth="1"/>
    <col min="4" max="4" width="13.6328125" style="12" customWidth="1"/>
    <col min="5" max="5" width="25.6328125" style="17" customWidth="1"/>
    <col min="6" max="6" width="13.6328125" style="12" customWidth="1"/>
    <col min="7" max="7" width="25.6328125" style="17" customWidth="1"/>
    <col min="8" max="8" width="13.6328125" style="12" customWidth="1"/>
    <col min="9" max="11" width="25.6328125" style="17" customWidth="1"/>
    <col min="12" max="12" width="13.6328125" style="12" customWidth="1"/>
    <col min="13" max="13" width="25.6328125" style="17" customWidth="1"/>
    <col min="14" max="14" width="13.6328125" style="12" customWidth="1"/>
    <col min="15" max="16" width="30.6328125" style="17" customWidth="1"/>
    <col min="17" max="17" width="25.6328125" style="17" customWidth="1"/>
    <col min="18" max="20" width="13.6328125" style="12" customWidth="1"/>
    <col min="21" max="22" width="12.6328125" style="12" customWidth="1"/>
    <col min="23" max="23" width="40.6328125" style="17" customWidth="1"/>
    <col min="24" max="24" width="15.6328125" style="18" customWidth="1"/>
    <col min="25" max="25" width="25.6328125" style="17" customWidth="1"/>
    <col min="26" max="26" width="15.6328125" style="18" customWidth="1"/>
    <col min="27" max="27" width="25.6328125" style="17" customWidth="1"/>
    <col min="28" max="28" width="15.6328125" style="18" customWidth="1"/>
    <col min="29" max="29" width="25.6328125" style="17" customWidth="1"/>
    <col min="30" max="30" width="15.6328125" style="18" customWidth="1"/>
    <col min="31" max="31" width="25.6328125" style="17" customWidth="1"/>
    <col min="32" max="32" width="15.6328125" style="18" customWidth="1"/>
    <col min="33" max="33" width="25.6328125" style="17" customWidth="1"/>
    <col min="34" max="34" width="15.6328125" style="18" customWidth="1"/>
    <col min="35" max="35" width="25.6328125" style="17" customWidth="1"/>
    <col min="36" max="36" width="15.6328125" style="18" customWidth="1"/>
    <col min="37" max="37" width="25.6328125" style="17" customWidth="1"/>
    <col min="38" max="38" width="15.6328125" style="18" customWidth="1"/>
    <col min="39" max="39" width="25.6328125" style="17" customWidth="1"/>
    <col min="40" max="40" width="15.6328125" style="18" customWidth="1"/>
    <col min="41" max="41" width="25.6328125" style="17" customWidth="1"/>
    <col min="42" max="42" width="15.6328125" style="18" customWidth="1"/>
    <col min="43" max="43" width="25.6328125" style="17" customWidth="1"/>
    <col min="44" max="44" width="15.6328125" style="18" customWidth="1"/>
    <col min="45" max="45" width="25.6328125" style="17" customWidth="1"/>
    <col min="46" max="46" width="15.6328125" style="18" customWidth="1"/>
    <col min="47" max="47" width="25.6328125" style="17" customWidth="1"/>
    <col min="48" max="48" width="15.6328125" style="18" customWidth="1"/>
    <col min="49" max="49" width="25.6328125" style="17" customWidth="1"/>
    <col min="50" max="50" width="15.6328125" style="18" customWidth="1"/>
    <col min="51" max="51" width="25.6328125" style="17" customWidth="1"/>
    <col min="52" max="52" width="15.6328125" style="18" customWidth="1"/>
    <col min="53" max="53" width="25.6328125" style="17" customWidth="1"/>
    <col min="54" max="54" width="9.6328125" style="18" customWidth="1"/>
    <col min="55" max="55" width="15.6328125" style="17" customWidth="1"/>
    <col min="56" max="16384" width="10.90625" style="12"/>
  </cols>
  <sheetData>
    <row r="1" spans="1:55" ht="43.5" x14ac:dyDescent="0.3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1" t="s">
        <v>21</v>
      </c>
      <c r="V1" s="11" t="s">
        <v>22</v>
      </c>
      <c r="W1" s="10" t="s">
        <v>23</v>
      </c>
      <c r="X1" s="10" t="s">
        <v>24</v>
      </c>
      <c r="Y1" s="10" t="s">
        <v>25</v>
      </c>
      <c r="Z1" s="10" t="s">
        <v>26</v>
      </c>
      <c r="AA1" s="10" t="s">
        <v>27</v>
      </c>
      <c r="AB1" s="10" t="s">
        <v>28</v>
      </c>
      <c r="AC1" s="10" t="s">
        <v>29</v>
      </c>
      <c r="AD1" s="10" t="s">
        <v>30</v>
      </c>
      <c r="AE1" s="10" t="s">
        <v>31</v>
      </c>
      <c r="AF1" s="10" t="s">
        <v>32</v>
      </c>
      <c r="AG1" s="10" t="s">
        <v>33</v>
      </c>
      <c r="AH1" s="10" t="s">
        <v>34</v>
      </c>
      <c r="AI1" s="10" t="s">
        <v>35</v>
      </c>
      <c r="AJ1" s="10" t="s">
        <v>36</v>
      </c>
      <c r="AK1" s="10" t="s">
        <v>37</v>
      </c>
      <c r="AL1" s="10" t="s">
        <v>38</v>
      </c>
      <c r="AM1" s="10" t="s">
        <v>39</v>
      </c>
      <c r="AN1" s="10" t="s">
        <v>40</v>
      </c>
      <c r="AO1" s="10" t="s">
        <v>41</v>
      </c>
      <c r="AP1" s="10" t="s">
        <v>42</v>
      </c>
      <c r="AQ1" s="10" t="s">
        <v>43</v>
      </c>
      <c r="AR1" s="10" t="s">
        <v>44</v>
      </c>
      <c r="AS1" s="10" t="s">
        <v>45</v>
      </c>
      <c r="AT1" s="10" t="s">
        <v>46</v>
      </c>
      <c r="AU1" s="10" t="s">
        <v>47</v>
      </c>
      <c r="AV1" s="10" t="s">
        <v>48</v>
      </c>
      <c r="AW1" s="10" t="s">
        <v>49</v>
      </c>
      <c r="AX1" s="10" t="s">
        <v>50</v>
      </c>
      <c r="AY1" s="10" t="s">
        <v>51</v>
      </c>
      <c r="AZ1" s="10" t="s">
        <v>52</v>
      </c>
      <c r="BA1" s="10" t="s">
        <v>53</v>
      </c>
      <c r="BB1" s="10" t="s">
        <v>54</v>
      </c>
      <c r="BC1" s="10" t="s">
        <v>55</v>
      </c>
    </row>
    <row r="2" spans="1:55" ht="29" x14ac:dyDescent="0.35">
      <c r="A2" s="13" t="s">
        <v>56</v>
      </c>
      <c r="B2" s="13" t="s">
        <v>57</v>
      </c>
      <c r="C2" s="14">
        <v>43152.5</v>
      </c>
      <c r="D2" s="13" t="s">
        <v>58</v>
      </c>
      <c r="E2" s="15" t="s">
        <v>59</v>
      </c>
      <c r="F2" s="13" t="s">
        <v>60</v>
      </c>
      <c r="G2" s="15" t="s">
        <v>61</v>
      </c>
      <c r="H2" s="13" t="s">
        <v>62</v>
      </c>
      <c r="I2" s="15" t="s">
        <v>63</v>
      </c>
      <c r="J2" s="15" t="s">
        <v>64</v>
      </c>
      <c r="K2" s="15" t="s">
        <v>65</v>
      </c>
      <c r="L2" s="13" t="s">
        <v>66</v>
      </c>
      <c r="M2" s="15" t="s">
        <v>67</v>
      </c>
      <c r="N2" s="13" t="s">
        <v>68</v>
      </c>
      <c r="O2" s="15"/>
      <c r="P2" s="15"/>
      <c r="Q2" s="15" t="s">
        <v>69</v>
      </c>
      <c r="R2" s="13" t="s">
        <v>70</v>
      </c>
      <c r="S2" s="13" t="s">
        <v>71</v>
      </c>
      <c r="T2" s="13" t="s">
        <v>72</v>
      </c>
      <c r="U2" s="14">
        <v>40725</v>
      </c>
      <c r="V2" s="14"/>
      <c r="W2" s="15"/>
      <c r="X2" s="13"/>
      <c r="Y2" s="15"/>
      <c r="Z2" s="13"/>
      <c r="AA2" s="15"/>
      <c r="AB2" s="13"/>
      <c r="AC2" s="15"/>
      <c r="AD2" s="13"/>
      <c r="AE2" s="15"/>
      <c r="AF2" s="13"/>
      <c r="AG2" s="15"/>
      <c r="AH2" s="13"/>
      <c r="AI2" s="15"/>
      <c r="AJ2" s="13"/>
      <c r="AK2" s="15"/>
      <c r="AL2" s="13"/>
      <c r="AM2" s="15"/>
      <c r="AN2" s="13"/>
      <c r="AO2" s="15"/>
      <c r="AP2" s="13"/>
      <c r="AQ2" s="15"/>
      <c r="AR2" s="13"/>
      <c r="AS2" s="15"/>
      <c r="AT2" s="13"/>
      <c r="AU2" s="15"/>
      <c r="AV2" s="13"/>
      <c r="AW2" s="15"/>
      <c r="AX2" s="13"/>
      <c r="AY2" s="15"/>
      <c r="AZ2" s="13"/>
      <c r="BA2" s="15"/>
      <c r="BB2" s="13"/>
      <c r="BC2" s="15"/>
    </row>
    <row r="3" spans="1:55" ht="29" x14ac:dyDescent="0.35">
      <c r="A3" s="13" t="s">
        <v>56</v>
      </c>
      <c r="B3" s="13" t="s">
        <v>57</v>
      </c>
      <c r="C3" s="14">
        <v>43152.5</v>
      </c>
      <c r="D3" s="13" t="s">
        <v>58</v>
      </c>
      <c r="E3" s="15" t="s">
        <v>59</v>
      </c>
      <c r="F3" s="13" t="s">
        <v>60</v>
      </c>
      <c r="G3" s="15" t="s">
        <v>61</v>
      </c>
      <c r="H3" s="13" t="s">
        <v>62</v>
      </c>
      <c r="I3" s="15" t="s">
        <v>63</v>
      </c>
      <c r="J3" s="15" t="s">
        <v>64</v>
      </c>
      <c r="K3" s="15" t="s">
        <v>65</v>
      </c>
      <c r="L3" s="13" t="s">
        <v>73</v>
      </c>
      <c r="M3" s="15" t="s">
        <v>74</v>
      </c>
      <c r="N3" s="13" t="s">
        <v>75</v>
      </c>
      <c r="O3" s="15"/>
      <c r="P3" s="15"/>
      <c r="Q3" s="15" t="s">
        <v>69</v>
      </c>
      <c r="R3" s="13" t="s">
        <v>70</v>
      </c>
      <c r="S3" s="13" t="s">
        <v>71</v>
      </c>
      <c r="T3" s="13" t="s">
        <v>72</v>
      </c>
      <c r="U3" s="14">
        <v>40725</v>
      </c>
      <c r="V3" s="14"/>
      <c r="W3" s="15"/>
      <c r="X3" s="13"/>
      <c r="Y3" s="15"/>
      <c r="Z3" s="13"/>
      <c r="AA3" s="15"/>
      <c r="AB3" s="13"/>
      <c r="AC3" s="15"/>
      <c r="AD3" s="13"/>
      <c r="AE3" s="15"/>
      <c r="AF3" s="13"/>
      <c r="AG3" s="15"/>
      <c r="AH3" s="13"/>
      <c r="AI3" s="15"/>
      <c r="AJ3" s="13"/>
      <c r="AK3" s="15"/>
      <c r="AL3" s="13"/>
      <c r="AM3" s="15"/>
      <c r="AN3" s="13"/>
      <c r="AO3" s="15"/>
      <c r="AP3" s="13"/>
      <c r="AQ3" s="15"/>
      <c r="AR3" s="13"/>
      <c r="AS3" s="15"/>
      <c r="AT3" s="13"/>
      <c r="AU3" s="15"/>
      <c r="AV3" s="13"/>
      <c r="AW3" s="15"/>
      <c r="AX3" s="13"/>
      <c r="AY3" s="15"/>
      <c r="AZ3" s="13"/>
      <c r="BA3" s="15"/>
      <c r="BB3" s="13"/>
      <c r="BC3" s="15"/>
    </row>
    <row r="4" spans="1:55" ht="29" x14ac:dyDescent="0.35">
      <c r="A4" s="13" t="s">
        <v>56</v>
      </c>
      <c r="B4" s="13" t="s">
        <v>57</v>
      </c>
      <c r="C4" s="14">
        <v>43152.5</v>
      </c>
      <c r="D4" s="13" t="s">
        <v>58</v>
      </c>
      <c r="E4" s="15" t="s">
        <v>59</v>
      </c>
      <c r="F4" s="13" t="s">
        <v>60</v>
      </c>
      <c r="G4" s="15" t="s">
        <v>61</v>
      </c>
      <c r="H4" s="13" t="s">
        <v>62</v>
      </c>
      <c r="I4" s="15" t="s">
        <v>63</v>
      </c>
      <c r="J4" s="15" t="s">
        <v>64</v>
      </c>
      <c r="K4" s="15" t="s">
        <v>65</v>
      </c>
      <c r="L4" s="13" t="s">
        <v>66</v>
      </c>
      <c r="M4" s="15" t="s">
        <v>67</v>
      </c>
      <c r="N4" s="13" t="s">
        <v>68</v>
      </c>
      <c r="O4" s="15"/>
      <c r="P4" s="15"/>
      <c r="Q4" s="15" t="s">
        <v>76</v>
      </c>
      <c r="R4" s="13" t="s">
        <v>77</v>
      </c>
      <c r="S4" s="13" t="s">
        <v>71</v>
      </c>
      <c r="T4" s="13" t="s">
        <v>72</v>
      </c>
      <c r="U4" s="14">
        <v>40725</v>
      </c>
      <c r="V4" s="14"/>
      <c r="W4" s="15"/>
      <c r="X4" s="13"/>
      <c r="Y4" s="15"/>
      <c r="Z4" s="13"/>
      <c r="AA4" s="15"/>
      <c r="AB4" s="13"/>
      <c r="AC4" s="15"/>
      <c r="AD4" s="13"/>
      <c r="AE4" s="15"/>
      <c r="AF4" s="13"/>
      <c r="AG4" s="15"/>
      <c r="AH4" s="13"/>
      <c r="AI4" s="15"/>
      <c r="AJ4" s="13"/>
      <c r="AK4" s="15"/>
      <c r="AL4" s="13"/>
      <c r="AM4" s="15"/>
      <c r="AN4" s="13"/>
      <c r="AO4" s="15"/>
      <c r="AP4" s="13"/>
      <c r="AQ4" s="15"/>
      <c r="AR4" s="13"/>
      <c r="AS4" s="15"/>
      <c r="AT4" s="13"/>
      <c r="AU4" s="15"/>
      <c r="AV4" s="13"/>
      <c r="AW4" s="15"/>
      <c r="AX4" s="13"/>
      <c r="AY4" s="15"/>
      <c r="AZ4" s="13"/>
      <c r="BA4" s="15"/>
      <c r="BB4" s="13"/>
      <c r="BC4" s="15"/>
    </row>
    <row r="5" spans="1:55" ht="29" x14ac:dyDescent="0.35">
      <c r="A5" s="13" t="s">
        <v>56</v>
      </c>
      <c r="B5" s="13" t="s">
        <v>57</v>
      </c>
      <c r="C5" s="14">
        <v>43152.5</v>
      </c>
      <c r="D5" s="13" t="s">
        <v>58</v>
      </c>
      <c r="E5" s="15" t="s">
        <v>59</v>
      </c>
      <c r="F5" s="13" t="s">
        <v>60</v>
      </c>
      <c r="G5" s="15" t="s">
        <v>61</v>
      </c>
      <c r="H5" s="13" t="s">
        <v>62</v>
      </c>
      <c r="I5" s="15" t="s">
        <v>63</v>
      </c>
      <c r="J5" s="15" t="s">
        <v>64</v>
      </c>
      <c r="K5" s="15" t="s">
        <v>65</v>
      </c>
      <c r="L5" s="13" t="s">
        <v>73</v>
      </c>
      <c r="M5" s="15" t="s">
        <v>74</v>
      </c>
      <c r="N5" s="13" t="s">
        <v>75</v>
      </c>
      <c r="O5" s="15"/>
      <c r="P5" s="15"/>
      <c r="Q5" s="15" t="s">
        <v>76</v>
      </c>
      <c r="R5" s="13" t="s">
        <v>77</v>
      </c>
      <c r="S5" s="13" t="s">
        <v>71</v>
      </c>
      <c r="T5" s="13" t="s">
        <v>72</v>
      </c>
      <c r="U5" s="14">
        <v>40725</v>
      </c>
      <c r="V5" s="14"/>
      <c r="W5" s="15"/>
      <c r="X5" s="13"/>
      <c r="Y5" s="15"/>
      <c r="Z5" s="13"/>
      <c r="AA5" s="15"/>
      <c r="AB5" s="13"/>
      <c r="AC5" s="15"/>
      <c r="AD5" s="13"/>
      <c r="AE5" s="15"/>
      <c r="AF5" s="13"/>
      <c r="AG5" s="15"/>
      <c r="AH5" s="13"/>
      <c r="AI5" s="15"/>
      <c r="AJ5" s="13"/>
      <c r="AK5" s="15"/>
      <c r="AL5" s="13"/>
      <c r="AM5" s="15"/>
      <c r="AN5" s="13"/>
      <c r="AO5" s="15"/>
      <c r="AP5" s="13"/>
      <c r="AQ5" s="15"/>
      <c r="AR5" s="13"/>
      <c r="AS5" s="15"/>
      <c r="AT5" s="13"/>
      <c r="AU5" s="15"/>
      <c r="AV5" s="13"/>
      <c r="AW5" s="15"/>
      <c r="AX5" s="13"/>
      <c r="AY5" s="15"/>
      <c r="AZ5" s="13"/>
      <c r="BA5" s="15"/>
      <c r="BB5" s="13"/>
      <c r="BC5" s="15"/>
    </row>
    <row r="6" spans="1:55" ht="29" x14ac:dyDescent="0.35">
      <c r="A6" s="13" t="s">
        <v>56</v>
      </c>
      <c r="B6" s="13" t="s">
        <v>57</v>
      </c>
      <c r="C6" s="14">
        <v>43152.5</v>
      </c>
      <c r="D6" s="13" t="s">
        <v>58</v>
      </c>
      <c r="E6" s="15" t="s">
        <v>59</v>
      </c>
      <c r="F6" s="13" t="s">
        <v>60</v>
      </c>
      <c r="G6" s="15" t="s">
        <v>61</v>
      </c>
      <c r="H6" s="13" t="s">
        <v>62</v>
      </c>
      <c r="I6" s="15" t="s">
        <v>63</v>
      </c>
      <c r="J6" s="15" t="s">
        <v>64</v>
      </c>
      <c r="K6" s="15" t="s">
        <v>65</v>
      </c>
      <c r="L6" s="13" t="s">
        <v>66</v>
      </c>
      <c r="M6" s="15" t="s">
        <v>67</v>
      </c>
      <c r="N6" s="13" t="s">
        <v>68</v>
      </c>
      <c r="O6" s="15"/>
      <c r="P6" s="15"/>
      <c r="Q6" s="15" t="s">
        <v>78</v>
      </c>
      <c r="R6" s="13" t="s">
        <v>79</v>
      </c>
      <c r="S6" s="13" t="s">
        <v>71</v>
      </c>
      <c r="T6" s="13" t="s">
        <v>72</v>
      </c>
      <c r="U6" s="14">
        <v>40725</v>
      </c>
      <c r="V6" s="14"/>
      <c r="W6" s="15"/>
      <c r="X6" s="13"/>
      <c r="Y6" s="15"/>
      <c r="Z6" s="13"/>
      <c r="AA6" s="15"/>
      <c r="AB6" s="13"/>
      <c r="AC6" s="15"/>
      <c r="AD6" s="13"/>
      <c r="AE6" s="15"/>
      <c r="AF6" s="13"/>
      <c r="AG6" s="15"/>
      <c r="AH6" s="13"/>
      <c r="AI6" s="15"/>
      <c r="AJ6" s="13"/>
      <c r="AK6" s="15"/>
      <c r="AL6" s="13"/>
      <c r="AM6" s="15"/>
      <c r="AN6" s="13"/>
      <c r="AO6" s="15"/>
      <c r="AP6" s="13"/>
      <c r="AQ6" s="15"/>
      <c r="AR6" s="13"/>
      <c r="AS6" s="15"/>
      <c r="AT6" s="13"/>
      <c r="AU6" s="15"/>
      <c r="AV6" s="13"/>
      <c r="AW6" s="15"/>
      <c r="AX6" s="13"/>
      <c r="AY6" s="15"/>
      <c r="AZ6" s="13"/>
      <c r="BA6" s="15"/>
      <c r="BB6" s="13"/>
      <c r="BC6" s="15"/>
    </row>
    <row r="7" spans="1:55" ht="29" x14ac:dyDescent="0.35">
      <c r="A7" s="13" t="s">
        <v>56</v>
      </c>
      <c r="B7" s="13" t="s">
        <v>57</v>
      </c>
      <c r="C7" s="14">
        <v>43152.5</v>
      </c>
      <c r="D7" s="13" t="s">
        <v>58</v>
      </c>
      <c r="E7" s="15" t="s">
        <v>59</v>
      </c>
      <c r="F7" s="13" t="s">
        <v>60</v>
      </c>
      <c r="G7" s="15" t="s">
        <v>61</v>
      </c>
      <c r="H7" s="13" t="s">
        <v>62</v>
      </c>
      <c r="I7" s="15" t="s">
        <v>63</v>
      </c>
      <c r="J7" s="15" t="s">
        <v>64</v>
      </c>
      <c r="K7" s="15" t="s">
        <v>65</v>
      </c>
      <c r="L7" s="13" t="s">
        <v>73</v>
      </c>
      <c r="M7" s="15" t="s">
        <v>74</v>
      </c>
      <c r="N7" s="13" t="s">
        <v>75</v>
      </c>
      <c r="O7" s="15"/>
      <c r="P7" s="15"/>
      <c r="Q7" s="15" t="s">
        <v>78</v>
      </c>
      <c r="R7" s="13" t="s">
        <v>79</v>
      </c>
      <c r="S7" s="13" t="s">
        <v>71</v>
      </c>
      <c r="T7" s="13" t="s">
        <v>72</v>
      </c>
      <c r="U7" s="14">
        <v>40725</v>
      </c>
      <c r="V7" s="14"/>
      <c r="W7" s="15"/>
      <c r="X7" s="13"/>
      <c r="Y7" s="15"/>
      <c r="Z7" s="13"/>
      <c r="AA7" s="15"/>
      <c r="AB7" s="13"/>
      <c r="AC7" s="15"/>
      <c r="AD7" s="13"/>
      <c r="AE7" s="15"/>
      <c r="AF7" s="13"/>
      <c r="AG7" s="15"/>
      <c r="AH7" s="13"/>
      <c r="AI7" s="15"/>
      <c r="AJ7" s="13"/>
      <c r="AK7" s="15"/>
      <c r="AL7" s="13"/>
      <c r="AM7" s="15"/>
      <c r="AN7" s="13"/>
      <c r="AO7" s="15"/>
      <c r="AP7" s="13"/>
      <c r="AQ7" s="15"/>
      <c r="AR7" s="13"/>
      <c r="AS7" s="15"/>
      <c r="AT7" s="13"/>
      <c r="AU7" s="15"/>
      <c r="AV7" s="13"/>
      <c r="AW7" s="15"/>
      <c r="AX7" s="13"/>
      <c r="AY7" s="15"/>
      <c r="AZ7" s="13"/>
      <c r="BA7" s="15"/>
      <c r="BB7" s="13"/>
      <c r="BC7" s="15"/>
    </row>
    <row r="8" spans="1:55" ht="29" x14ac:dyDescent="0.35">
      <c r="A8" s="13" t="s">
        <v>56</v>
      </c>
      <c r="B8" s="13" t="s">
        <v>57</v>
      </c>
      <c r="C8" s="14">
        <v>43152.5</v>
      </c>
      <c r="D8" s="13" t="s">
        <v>58</v>
      </c>
      <c r="E8" s="15" t="s">
        <v>59</v>
      </c>
      <c r="F8" s="13" t="s">
        <v>60</v>
      </c>
      <c r="G8" s="15" t="s">
        <v>61</v>
      </c>
      <c r="H8" s="13" t="s">
        <v>62</v>
      </c>
      <c r="I8" s="15" t="s">
        <v>63</v>
      </c>
      <c r="J8" s="15" t="s">
        <v>64</v>
      </c>
      <c r="K8" s="15" t="s">
        <v>65</v>
      </c>
      <c r="L8" s="13" t="s">
        <v>66</v>
      </c>
      <c r="M8" s="15" t="s">
        <v>67</v>
      </c>
      <c r="N8" s="13" t="s">
        <v>68</v>
      </c>
      <c r="O8" s="15"/>
      <c r="P8" s="15"/>
      <c r="Q8" s="15" t="s">
        <v>80</v>
      </c>
      <c r="R8" s="13" t="s">
        <v>81</v>
      </c>
      <c r="S8" s="13" t="s">
        <v>71</v>
      </c>
      <c r="T8" s="13" t="s">
        <v>72</v>
      </c>
      <c r="U8" s="14">
        <v>40725</v>
      </c>
      <c r="V8" s="14"/>
      <c r="W8" s="15"/>
      <c r="X8" s="13"/>
      <c r="Y8" s="15"/>
      <c r="Z8" s="13"/>
      <c r="AA8" s="15"/>
      <c r="AB8" s="13"/>
      <c r="AC8" s="15"/>
      <c r="AD8" s="13"/>
      <c r="AE8" s="15"/>
      <c r="AF8" s="13"/>
      <c r="AG8" s="15"/>
      <c r="AH8" s="13"/>
      <c r="AI8" s="15"/>
      <c r="AJ8" s="13"/>
      <c r="AK8" s="15"/>
      <c r="AL8" s="13"/>
      <c r="AM8" s="15"/>
      <c r="AN8" s="13"/>
      <c r="AO8" s="15"/>
      <c r="AP8" s="13"/>
      <c r="AQ8" s="15"/>
      <c r="AR8" s="13"/>
      <c r="AS8" s="15"/>
      <c r="AT8" s="13"/>
      <c r="AU8" s="15"/>
      <c r="AV8" s="13"/>
      <c r="AW8" s="15"/>
      <c r="AX8" s="13"/>
      <c r="AY8" s="15"/>
      <c r="AZ8" s="13"/>
      <c r="BA8" s="15"/>
      <c r="BB8" s="13"/>
      <c r="BC8" s="15"/>
    </row>
    <row r="9" spans="1:55" ht="29" x14ac:dyDescent="0.35">
      <c r="A9" s="13" t="s">
        <v>56</v>
      </c>
      <c r="B9" s="13" t="s">
        <v>57</v>
      </c>
      <c r="C9" s="14">
        <v>43152.5</v>
      </c>
      <c r="D9" s="13" t="s">
        <v>58</v>
      </c>
      <c r="E9" s="15" t="s">
        <v>59</v>
      </c>
      <c r="F9" s="13" t="s">
        <v>60</v>
      </c>
      <c r="G9" s="15" t="s">
        <v>61</v>
      </c>
      <c r="H9" s="13" t="s">
        <v>62</v>
      </c>
      <c r="I9" s="15" t="s">
        <v>63</v>
      </c>
      <c r="J9" s="15" t="s">
        <v>64</v>
      </c>
      <c r="K9" s="15" t="s">
        <v>65</v>
      </c>
      <c r="L9" s="13" t="s">
        <v>73</v>
      </c>
      <c r="M9" s="15" t="s">
        <v>74</v>
      </c>
      <c r="N9" s="13" t="s">
        <v>75</v>
      </c>
      <c r="O9" s="15"/>
      <c r="P9" s="15"/>
      <c r="Q9" s="15" t="s">
        <v>80</v>
      </c>
      <c r="R9" s="13" t="s">
        <v>81</v>
      </c>
      <c r="S9" s="13" t="s">
        <v>71</v>
      </c>
      <c r="T9" s="13" t="s">
        <v>72</v>
      </c>
      <c r="U9" s="14">
        <v>40725</v>
      </c>
      <c r="V9" s="14"/>
      <c r="W9" s="15"/>
      <c r="X9" s="13"/>
      <c r="Y9" s="15"/>
      <c r="Z9" s="13"/>
      <c r="AA9" s="15"/>
      <c r="AB9" s="13"/>
      <c r="AC9" s="15"/>
      <c r="AD9" s="13"/>
      <c r="AE9" s="15"/>
      <c r="AF9" s="13"/>
      <c r="AG9" s="15"/>
      <c r="AH9" s="13"/>
      <c r="AI9" s="15"/>
      <c r="AJ9" s="13"/>
      <c r="AK9" s="15"/>
      <c r="AL9" s="13"/>
      <c r="AM9" s="15"/>
      <c r="AN9" s="13"/>
      <c r="AO9" s="15"/>
      <c r="AP9" s="13"/>
      <c r="AQ9" s="15"/>
      <c r="AR9" s="13"/>
      <c r="AS9" s="15"/>
      <c r="AT9" s="13"/>
      <c r="AU9" s="15"/>
      <c r="AV9" s="13"/>
      <c r="AW9" s="15"/>
      <c r="AX9" s="13"/>
      <c r="AY9" s="15"/>
      <c r="AZ9" s="13"/>
      <c r="BA9" s="15"/>
      <c r="BB9" s="13"/>
      <c r="BC9" s="15"/>
    </row>
    <row r="10" spans="1:55" ht="29" x14ac:dyDescent="0.35">
      <c r="A10" s="13" t="s">
        <v>56</v>
      </c>
      <c r="B10" s="13" t="s">
        <v>57</v>
      </c>
      <c r="C10" s="14">
        <v>43152.5</v>
      </c>
      <c r="D10" s="13" t="s">
        <v>58</v>
      </c>
      <c r="E10" s="15" t="s">
        <v>59</v>
      </c>
      <c r="F10" s="13" t="s">
        <v>60</v>
      </c>
      <c r="G10" s="15" t="s">
        <v>61</v>
      </c>
      <c r="H10" s="13" t="s">
        <v>62</v>
      </c>
      <c r="I10" s="15" t="s">
        <v>63</v>
      </c>
      <c r="J10" s="15" t="s">
        <v>64</v>
      </c>
      <c r="K10" s="15" t="s">
        <v>65</v>
      </c>
      <c r="L10" s="13" t="s">
        <v>66</v>
      </c>
      <c r="M10" s="15" t="s">
        <v>67</v>
      </c>
      <c r="N10" s="13" t="s">
        <v>68</v>
      </c>
      <c r="O10" s="15"/>
      <c r="P10" s="15"/>
      <c r="Q10" s="15" t="s">
        <v>82</v>
      </c>
      <c r="R10" s="13" t="s">
        <v>83</v>
      </c>
      <c r="S10" s="13" t="s">
        <v>71</v>
      </c>
      <c r="T10" s="13" t="s">
        <v>72</v>
      </c>
      <c r="U10" s="14">
        <v>40725</v>
      </c>
      <c r="V10" s="14"/>
      <c r="W10" s="15"/>
      <c r="X10" s="13"/>
      <c r="Y10" s="15"/>
      <c r="Z10" s="13"/>
      <c r="AA10" s="15"/>
      <c r="AB10" s="13"/>
      <c r="AC10" s="15"/>
      <c r="AD10" s="13"/>
      <c r="AE10" s="15"/>
      <c r="AF10" s="13"/>
      <c r="AG10" s="15"/>
      <c r="AH10" s="13"/>
      <c r="AI10" s="15"/>
      <c r="AJ10" s="13"/>
      <c r="AK10" s="15"/>
      <c r="AL10" s="13"/>
      <c r="AM10" s="15"/>
      <c r="AN10" s="13"/>
      <c r="AO10" s="15"/>
      <c r="AP10" s="13"/>
      <c r="AQ10" s="15"/>
      <c r="AR10" s="13"/>
      <c r="AS10" s="15"/>
      <c r="AT10" s="13"/>
      <c r="AU10" s="15"/>
      <c r="AV10" s="13"/>
      <c r="AW10" s="15"/>
      <c r="AX10" s="13"/>
      <c r="AY10" s="15"/>
      <c r="AZ10" s="13"/>
      <c r="BA10" s="15"/>
      <c r="BB10" s="13"/>
      <c r="BC10" s="15"/>
    </row>
    <row r="11" spans="1:55" ht="29" x14ac:dyDescent="0.35">
      <c r="A11" s="13" t="s">
        <v>56</v>
      </c>
      <c r="B11" s="13" t="s">
        <v>57</v>
      </c>
      <c r="C11" s="14">
        <v>43152.5</v>
      </c>
      <c r="D11" s="13" t="s">
        <v>58</v>
      </c>
      <c r="E11" s="15" t="s">
        <v>59</v>
      </c>
      <c r="F11" s="13" t="s">
        <v>60</v>
      </c>
      <c r="G11" s="15" t="s">
        <v>61</v>
      </c>
      <c r="H11" s="13" t="s">
        <v>62</v>
      </c>
      <c r="I11" s="15" t="s">
        <v>63</v>
      </c>
      <c r="J11" s="15" t="s">
        <v>64</v>
      </c>
      <c r="K11" s="15" t="s">
        <v>65</v>
      </c>
      <c r="L11" s="13" t="s">
        <v>73</v>
      </c>
      <c r="M11" s="15" t="s">
        <v>74</v>
      </c>
      <c r="N11" s="13" t="s">
        <v>75</v>
      </c>
      <c r="O11" s="15"/>
      <c r="P11" s="15"/>
      <c r="Q11" s="15" t="s">
        <v>82</v>
      </c>
      <c r="R11" s="13" t="s">
        <v>83</v>
      </c>
      <c r="S11" s="13" t="s">
        <v>71</v>
      </c>
      <c r="T11" s="13" t="s">
        <v>72</v>
      </c>
      <c r="U11" s="14">
        <v>40725</v>
      </c>
      <c r="V11" s="14"/>
      <c r="W11" s="15"/>
      <c r="X11" s="13"/>
      <c r="Y11" s="15"/>
      <c r="Z11" s="13"/>
      <c r="AA11" s="15"/>
      <c r="AB11" s="13"/>
      <c r="AC11" s="15"/>
      <c r="AD11" s="13"/>
      <c r="AE11" s="15"/>
      <c r="AF11" s="13"/>
      <c r="AG11" s="15"/>
      <c r="AH11" s="13"/>
      <c r="AI11" s="15"/>
      <c r="AJ11" s="13"/>
      <c r="AK11" s="15"/>
      <c r="AL11" s="13"/>
      <c r="AM11" s="15"/>
      <c r="AN11" s="13"/>
      <c r="AO11" s="15"/>
      <c r="AP11" s="13"/>
      <c r="AQ11" s="15"/>
      <c r="AR11" s="13"/>
      <c r="AS11" s="15"/>
      <c r="AT11" s="13"/>
      <c r="AU11" s="15"/>
      <c r="AV11" s="13"/>
      <c r="AW11" s="15"/>
      <c r="AX11" s="13"/>
      <c r="AY11" s="15"/>
      <c r="AZ11" s="13"/>
      <c r="BA11" s="15"/>
      <c r="BB11" s="13"/>
      <c r="BC11" s="15"/>
    </row>
    <row r="12" spans="1:55" ht="130.5" x14ac:dyDescent="0.35">
      <c r="A12" s="13" t="s">
        <v>56</v>
      </c>
      <c r="B12" s="13" t="s">
        <v>57</v>
      </c>
      <c r="C12" s="14">
        <v>43152.5</v>
      </c>
      <c r="D12" s="13" t="s">
        <v>58</v>
      </c>
      <c r="E12" s="15" t="s">
        <v>59</v>
      </c>
      <c r="F12" s="13" t="s">
        <v>60</v>
      </c>
      <c r="G12" s="15" t="s">
        <v>61</v>
      </c>
      <c r="H12" s="13" t="s">
        <v>62</v>
      </c>
      <c r="I12" s="15" t="s">
        <v>63</v>
      </c>
      <c r="J12" s="15" t="s">
        <v>64</v>
      </c>
      <c r="K12" s="15" t="s">
        <v>65</v>
      </c>
      <c r="L12" s="13" t="s">
        <v>66</v>
      </c>
      <c r="M12" s="15" t="s">
        <v>67</v>
      </c>
      <c r="N12" s="13" t="s">
        <v>68</v>
      </c>
      <c r="O12" s="15"/>
      <c r="P12" s="15"/>
      <c r="Q12" s="15" t="s">
        <v>84</v>
      </c>
      <c r="R12" s="13" t="s">
        <v>85</v>
      </c>
      <c r="S12" s="13" t="s">
        <v>86</v>
      </c>
      <c r="T12" s="13" t="s">
        <v>87</v>
      </c>
      <c r="U12" s="14">
        <v>40725</v>
      </c>
      <c r="V12" s="14">
        <v>41639</v>
      </c>
      <c r="W12" s="15" t="s">
        <v>88</v>
      </c>
      <c r="X12" s="13" t="s">
        <v>89</v>
      </c>
      <c r="Y12" s="15" t="str">
        <f>VLOOKUP(X12,'Axe 2 Règles de gestion'!$D$2:$F$16,3, FALSE)</f>
        <v>Le bénéfice du dispositif de fin d'activité n'est pas ouvert aux agents en position de disponibilité, en position hors cadres et en position de détachement au titre de l'article 14 (2° à 13° inclus) du décret du 16 septembre 1985.</v>
      </c>
      <c r="Z12" s="13" t="s">
        <v>91</v>
      </c>
      <c r="AA12" s="15" t="str">
        <f>VLOOKUP(Z12,'Axe 2 Règles de gestion'!$D$2:$F$16,3, FALSE)</f>
        <v>L'agent doit être âgé de 58 ans au moins et de 62 ans au plus à la date de présentation de la demande.</v>
      </c>
      <c r="AB12" s="13" t="s">
        <v>93</v>
      </c>
      <c r="AC12" s="15" t="str">
        <f>VLOOKUP(AB12,'Axe 2 Règles de gestion'!$D$2:$F$16,3, FALSE)</f>
        <v>La durée du dispositif de fin d'activité est de six mois minimum (date de fin réelle de l'absence).</v>
      </c>
      <c r="AD12" s="13" t="s">
        <v>95</v>
      </c>
      <c r="AE12" s="15" t="str">
        <f>VLOOKUP(AD12,'Axe 2 Règles de gestion'!$D$2:$F$16,3, FALSE)</f>
        <v>La durée du dispositif de fin d'activité est de six mois minimum (date de fin prévisionnelle de l'absence).</v>
      </c>
      <c r="AF12" s="13" t="s">
        <v>97</v>
      </c>
      <c r="AG12" s="15" t="str">
        <f>VLOOKUP(AF12,'Axe 2 Règles de gestion'!$D$2:$F$16,3, FALSE)</f>
        <v>La durée du dispositif de fin d'activité est de 3 ans maximum (date de fin réelle de l'absence).</v>
      </c>
      <c r="AH12" s="13" t="s">
        <v>99</v>
      </c>
      <c r="AI12" s="15" t="str">
        <f>VLOOKUP(AH12,'Axe 2 Règles de gestion'!$D$2:$F$16,3, FALSE)</f>
        <v>La durée du dispositif de fin d'activité est de 3 ans maximum (date de fin prévisionnelle de l'absence).</v>
      </c>
      <c r="AJ12" s="13" t="s">
        <v>101</v>
      </c>
      <c r="AK12" s="15" t="str">
        <f>VLOOKUP(AJ12,'Axe 2 Règles de gestion'!$D$2:$F$16,3, FALSE)</f>
        <v>La date de début du congé/absence doit être postérieure ou égale à la date de recrutement dans la FPE ou dans la carrière militaire.</v>
      </c>
      <c r="AL12" s="13" t="s">
        <v>103</v>
      </c>
      <c r="AM12" s="15" t="str">
        <f>VLOOKUP(AL12,'Axe 2 Règles de gestion'!$D$2:$F$16,3, FALSE)</f>
        <v>La date de début du congé/absence doit être antérieure ou égale à la date de fin réelle du congé/absence.</v>
      </c>
      <c r="AN12" s="13" t="s">
        <v>105</v>
      </c>
      <c r="AO12" s="15" t="str">
        <f>VLOOKUP(AN12,'Axe 2 Règles de gestion'!$D$2:$F$16,3, FALSE)</f>
        <v>La date de début du congé/absence doit être antérieure ou égale à la date de fin prévisionnelle du congé/absence.</v>
      </c>
      <c r="AP12" s="13" t="s">
        <v>107</v>
      </c>
      <c r="AQ12" s="15" t="str">
        <f>VLOOKUP(AP12,'Axe 2 Règles de gestion'!$D$2:$F$16,3, FALSE)</f>
        <v>La date de fin réelle du congé/absence doit être antérieure à la date limite de départ à la retraite.</v>
      </c>
      <c r="AR12" s="13" t="s">
        <v>109</v>
      </c>
      <c r="AS12" s="15" t="str">
        <f>VLOOKUP(AR12,'Axe 2 Règles de gestion'!$D$2:$F$16,3, FALSE)</f>
        <v>La date de fin prévisionnelle du congé/absence doit être antérieure à la date limite de départ à la retraite.</v>
      </c>
      <c r="AT12" s="13" t="s">
        <v>111</v>
      </c>
      <c r="AU12" s="15" t="str">
        <f>VLOOKUP(AT12,'Axe 2 Règles de gestion'!$D$2:$F$16,3, FALSE)</f>
        <v>Si l'absence ne commence pas par une demi-journée et si l'absence précédente ne finit pas par une demi journée, la date de début de l'absence saisie est postérieure à la date de fin réelle de l'absence précédente.</v>
      </c>
      <c r="AV12" s="13" t="s">
        <v>113</v>
      </c>
      <c r="AW12" s="15" t="str">
        <f>VLOOKUP(AV12,'Axe 2 Règles de gestion'!$D$2:$F$16,3,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AX12" s="13" t="s">
        <v>115</v>
      </c>
      <c r="AY12" s="15" t="str">
        <f>VLOOKUP(AX12,'Axe 2 Règles de gestion'!$D$2:$F$16,3, FALSE)</f>
        <v>La date de fin réelle ou la date de fin prévisionnelle du congé/absence doit être saisie.</v>
      </c>
      <c r="AZ12" s="13" t="s">
        <v>117</v>
      </c>
      <c r="BA12" s="15" t="str">
        <f>VLOOKUP(AZ12,'Axe 2 Règles de gestion'!$D$2:$F$16,3,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B12" s="13"/>
      <c r="BC12" s="15"/>
    </row>
    <row r="13" spans="1:55" ht="130.5" x14ac:dyDescent="0.35">
      <c r="A13" s="13" t="s">
        <v>56</v>
      </c>
      <c r="B13" s="13" t="s">
        <v>57</v>
      </c>
      <c r="C13" s="14">
        <v>43650.651388888888</v>
      </c>
      <c r="D13" s="13" t="s">
        <v>58</v>
      </c>
      <c r="E13" s="15" t="s">
        <v>59</v>
      </c>
      <c r="F13" s="13" t="s">
        <v>60</v>
      </c>
      <c r="G13" s="15" t="s">
        <v>61</v>
      </c>
      <c r="H13" s="13" t="s">
        <v>62</v>
      </c>
      <c r="I13" s="15" t="s">
        <v>63</v>
      </c>
      <c r="J13" s="15" t="s">
        <v>64</v>
      </c>
      <c r="K13" s="15" t="s">
        <v>65</v>
      </c>
      <c r="L13" s="13" t="s">
        <v>73</v>
      </c>
      <c r="M13" s="15" t="s">
        <v>74</v>
      </c>
      <c r="N13" s="13" t="s">
        <v>75</v>
      </c>
      <c r="O13" s="15"/>
      <c r="P13" s="15"/>
      <c r="Q13" s="15" t="s">
        <v>84</v>
      </c>
      <c r="R13" s="13" t="s">
        <v>85</v>
      </c>
      <c r="S13" s="13" t="s">
        <v>86</v>
      </c>
      <c r="T13" s="13" t="s">
        <v>87</v>
      </c>
      <c r="U13" s="14">
        <v>40725</v>
      </c>
      <c r="V13" s="14">
        <v>42735</v>
      </c>
      <c r="W13" s="15" t="s">
        <v>119</v>
      </c>
      <c r="X13" s="13" t="s">
        <v>93</v>
      </c>
      <c r="Y13" s="15" t="str">
        <f>VLOOKUP(X13,'Axe 2 Règles de gestion'!$D$2:$F$16,3, FALSE)</f>
        <v>La durée du dispositif de fin d'activité est de six mois minimum (date de fin réelle de l'absence).</v>
      </c>
      <c r="Z13" s="13" t="s">
        <v>95</v>
      </c>
      <c r="AA13" s="15" t="str">
        <f>VLOOKUP(Z13,'Axe 2 Règles de gestion'!$D$2:$F$16,3, FALSE)</f>
        <v>La durée du dispositif de fin d'activité est de six mois minimum (date de fin prévisionnelle de l'absence).</v>
      </c>
      <c r="AB13" s="13" t="s">
        <v>97</v>
      </c>
      <c r="AC13" s="15" t="str">
        <f>VLOOKUP(AB13,'Axe 2 Règles de gestion'!$D$2:$F$16,3, FALSE)</f>
        <v>La durée du dispositif de fin d'activité est de 3 ans maximum (date de fin réelle de l'absence).</v>
      </c>
      <c r="AD13" s="13" t="s">
        <v>99</v>
      </c>
      <c r="AE13" s="15" t="str">
        <f>VLOOKUP(AD13,'Axe 2 Règles de gestion'!$D$2:$F$16,3, FALSE)</f>
        <v>La durée du dispositif de fin d'activité est de 3 ans maximum (date de fin prévisionnelle de l'absence).</v>
      </c>
      <c r="AF13" s="13"/>
      <c r="AG13" s="15"/>
      <c r="AH13" s="13"/>
      <c r="AI13" s="15"/>
      <c r="AJ13" s="13" t="s">
        <v>103</v>
      </c>
      <c r="AK13" s="15" t="str">
        <f>VLOOKUP(AJ13,'Axe 2 Règles de gestion'!$D$2:$F$16,3, FALSE)</f>
        <v>La date de début du congé/absence doit être antérieure ou égale à la date de fin réelle du congé/absence.</v>
      </c>
      <c r="AL13" s="13" t="s">
        <v>105</v>
      </c>
      <c r="AM13" s="15" t="str">
        <f>VLOOKUP(AL13,'Axe 2 Règles de gestion'!$D$2:$F$16,3, FALSE)</f>
        <v>La date de début du congé/absence doit être antérieure ou égale à la date de fin prévisionnelle du congé/absence.</v>
      </c>
      <c r="AN13" s="13" t="s">
        <v>107</v>
      </c>
      <c r="AO13" s="15" t="str">
        <f>VLOOKUP(AN13,'Axe 2 Règles de gestion'!$D$2:$F$16,3, FALSE)</f>
        <v>La date de fin réelle du congé/absence doit être antérieure à la date limite de départ à la retraite.</v>
      </c>
      <c r="AP13" s="13" t="s">
        <v>109</v>
      </c>
      <c r="AQ13" s="15" t="str">
        <f>VLOOKUP(AP13,'Axe 2 Règles de gestion'!$D$2:$F$16,3, FALSE)</f>
        <v>La date de fin prévisionnelle du congé/absence doit être antérieure à la date limite de départ à la retraite.</v>
      </c>
      <c r="AR13" s="13" t="s">
        <v>111</v>
      </c>
      <c r="AS13" s="15" t="str">
        <f>VLOOKUP(AR13,'Axe 2 Règles de gestion'!$D$2:$F$16,3, FALSE)</f>
        <v>Si l'absence ne commence pas par une demi-journée et si l'absence précédente ne finit pas par une demi journée, la date de début de l'absence saisie est postérieure à la date de fin réelle de l'absence précédente.</v>
      </c>
      <c r="AT13" s="13" t="s">
        <v>113</v>
      </c>
      <c r="AU13" s="15" t="str">
        <f>VLOOKUP(AT13,'Axe 2 Règles de gestion'!$D$2:$F$16,3,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AV13" s="13" t="s">
        <v>115</v>
      </c>
      <c r="AW13" s="15" t="str">
        <f>VLOOKUP(AV13,'Axe 2 Règles de gestion'!$D$2:$F$16,3, FALSE)</f>
        <v>La date de fin réelle ou la date de fin prévisionnelle du congé/absence doit être saisie.</v>
      </c>
      <c r="AX13" s="13" t="s">
        <v>117</v>
      </c>
      <c r="AY13" s="15" t="str">
        <f>VLOOKUP(AX13,'Axe 2 Règles de gestion'!$D$2:$F$16,3,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AZ13" s="13"/>
      <c r="BA13" s="15"/>
      <c r="BB13" s="13"/>
      <c r="BC13" s="15"/>
    </row>
    <row r="14" spans="1:55" x14ac:dyDescent="0.35">
      <c r="C14" s="16"/>
      <c r="U14" s="16"/>
      <c r="V14" s="16"/>
    </row>
    <row r="15" spans="1:55" x14ac:dyDescent="0.35">
      <c r="C15" s="16"/>
      <c r="U15" s="16"/>
      <c r="V15" s="16"/>
    </row>
    <row r="16" spans="1:55" x14ac:dyDescent="0.35">
      <c r="C16" s="16"/>
      <c r="U16" s="16"/>
      <c r="V16" s="16"/>
    </row>
    <row r="17" spans="3:22" x14ac:dyDescent="0.35">
      <c r="C17" s="16"/>
      <c r="U17" s="16"/>
      <c r="V17" s="16"/>
    </row>
    <row r="18" spans="3:22" x14ac:dyDescent="0.35">
      <c r="C18" s="16"/>
      <c r="U18" s="16"/>
      <c r="V18" s="16"/>
    </row>
    <row r="19" spans="3:22" x14ac:dyDescent="0.35">
      <c r="C19" s="16"/>
      <c r="U19" s="16"/>
      <c r="V19" s="16"/>
    </row>
    <row r="20" spans="3:22" x14ac:dyDescent="0.35">
      <c r="C20" s="16"/>
      <c r="U20" s="16"/>
      <c r="V20" s="16"/>
    </row>
    <row r="21" spans="3:22" x14ac:dyDescent="0.35">
      <c r="C21" s="16"/>
      <c r="U21" s="16"/>
      <c r="V21" s="16"/>
    </row>
    <row r="22" spans="3:22" x14ac:dyDescent="0.35">
      <c r="C22" s="16"/>
      <c r="U22" s="16"/>
      <c r="V22" s="16"/>
    </row>
    <row r="23" spans="3:22" x14ac:dyDescent="0.35">
      <c r="C23" s="16"/>
      <c r="U23" s="16"/>
      <c r="V23" s="16"/>
    </row>
    <row r="24" spans="3:22" x14ac:dyDescent="0.35">
      <c r="C24" s="16"/>
      <c r="U24" s="16"/>
      <c r="V24" s="16"/>
    </row>
    <row r="25" spans="3:22" x14ac:dyDescent="0.35">
      <c r="C25" s="16"/>
      <c r="U25" s="16"/>
      <c r="V25" s="16"/>
    </row>
    <row r="26" spans="3:22" x14ac:dyDescent="0.35">
      <c r="C26" s="16"/>
      <c r="U26" s="16"/>
      <c r="V26" s="16"/>
    </row>
    <row r="27" spans="3:22" x14ac:dyDescent="0.35">
      <c r="C27" s="16"/>
      <c r="U27" s="16"/>
      <c r="V27" s="16"/>
    </row>
    <row r="28" spans="3:22" x14ac:dyDescent="0.35">
      <c r="C28" s="16"/>
      <c r="U28" s="16"/>
      <c r="V28" s="16"/>
    </row>
    <row r="29" spans="3:22" x14ac:dyDescent="0.35">
      <c r="C29" s="16"/>
      <c r="U29" s="16"/>
      <c r="V29" s="16"/>
    </row>
    <row r="30" spans="3:22" x14ac:dyDescent="0.35">
      <c r="C30" s="16"/>
      <c r="U30" s="16"/>
      <c r="V30" s="16"/>
    </row>
    <row r="31" spans="3:22" x14ac:dyDescent="0.35">
      <c r="C31" s="16"/>
      <c r="U31" s="16"/>
      <c r="V31" s="16"/>
    </row>
    <row r="32" spans="3:22" x14ac:dyDescent="0.35">
      <c r="C32" s="16"/>
      <c r="U32" s="16"/>
      <c r="V32" s="16"/>
    </row>
    <row r="33" spans="3:22" x14ac:dyDescent="0.35">
      <c r="C33" s="16"/>
      <c r="U33" s="16"/>
      <c r="V33" s="16"/>
    </row>
    <row r="34" spans="3:22" x14ac:dyDescent="0.35">
      <c r="C34" s="16"/>
      <c r="U34" s="16"/>
      <c r="V34" s="16"/>
    </row>
    <row r="35" spans="3:22" x14ac:dyDescent="0.35">
      <c r="C35" s="16"/>
      <c r="U35" s="16"/>
      <c r="V35" s="16"/>
    </row>
    <row r="36" spans="3:22" x14ac:dyDescent="0.35">
      <c r="C36" s="16"/>
      <c r="U36" s="16"/>
      <c r="V36" s="16"/>
    </row>
    <row r="37" spans="3:22" x14ac:dyDescent="0.35">
      <c r="C37" s="16"/>
      <c r="U37" s="16"/>
      <c r="V37" s="16"/>
    </row>
    <row r="38" spans="3:22" x14ac:dyDescent="0.35">
      <c r="C38" s="16"/>
      <c r="U38" s="16"/>
      <c r="V38" s="16"/>
    </row>
    <row r="39" spans="3:22" x14ac:dyDescent="0.35">
      <c r="C39" s="16"/>
      <c r="U39" s="16"/>
      <c r="V39" s="16"/>
    </row>
    <row r="40" spans="3:22" x14ac:dyDescent="0.35">
      <c r="C40" s="16"/>
      <c r="U40" s="16"/>
      <c r="V40" s="16"/>
    </row>
    <row r="41" spans="3:22" x14ac:dyDescent="0.35">
      <c r="C41" s="16"/>
      <c r="U41" s="16"/>
      <c r="V41" s="16"/>
    </row>
    <row r="42" spans="3:22" x14ac:dyDescent="0.35">
      <c r="C42" s="16"/>
      <c r="U42" s="16"/>
      <c r="V42" s="16"/>
    </row>
    <row r="43" spans="3:22" x14ac:dyDescent="0.35">
      <c r="C43" s="16"/>
      <c r="U43" s="16"/>
      <c r="V43" s="16"/>
    </row>
    <row r="44" spans="3:22" x14ac:dyDescent="0.35">
      <c r="C44" s="16"/>
      <c r="U44" s="16"/>
      <c r="V44" s="16"/>
    </row>
    <row r="45" spans="3:22" x14ac:dyDescent="0.35">
      <c r="C45" s="16"/>
      <c r="U45" s="16"/>
      <c r="V45" s="16"/>
    </row>
    <row r="46" spans="3:22" x14ac:dyDescent="0.35">
      <c r="C46" s="16"/>
      <c r="U46" s="16"/>
      <c r="V46" s="16"/>
    </row>
    <row r="47" spans="3:22" x14ac:dyDescent="0.35">
      <c r="C47" s="16"/>
      <c r="U47" s="16"/>
      <c r="V47" s="16"/>
    </row>
    <row r="48" spans="3:22" x14ac:dyDescent="0.35">
      <c r="C48" s="16"/>
      <c r="U48" s="16"/>
      <c r="V48" s="16"/>
    </row>
    <row r="49" spans="3:22" x14ac:dyDescent="0.35">
      <c r="C49" s="16"/>
      <c r="U49" s="16"/>
      <c r="V49" s="16"/>
    </row>
    <row r="50" spans="3:22" x14ac:dyDescent="0.35">
      <c r="C50" s="16"/>
      <c r="U50" s="16"/>
      <c r="V50" s="16"/>
    </row>
    <row r="51" spans="3:22" x14ac:dyDescent="0.35">
      <c r="C51" s="16"/>
      <c r="U51" s="16"/>
      <c r="V51" s="16"/>
    </row>
    <row r="52" spans="3:22" x14ac:dyDescent="0.35">
      <c r="C52" s="16"/>
      <c r="U52" s="16"/>
      <c r="V52" s="16"/>
    </row>
    <row r="53" spans="3:22" x14ac:dyDescent="0.35">
      <c r="C53" s="16"/>
      <c r="U53" s="16"/>
      <c r="V53" s="16"/>
    </row>
    <row r="54" spans="3:22" x14ac:dyDescent="0.35">
      <c r="C54" s="16"/>
      <c r="U54" s="16"/>
      <c r="V54" s="16"/>
    </row>
    <row r="55" spans="3:22" x14ac:dyDescent="0.35">
      <c r="C55" s="16"/>
      <c r="U55" s="16"/>
      <c r="V55" s="16"/>
    </row>
    <row r="56" spans="3:22" x14ac:dyDescent="0.35">
      <c r="C56" s="16"/>
      <c r="U56" s="16"/>
      <c r="V56" s="16"/>
    </row>
    <row r="57" spans="3:22" x14ac:dyDescent="0.35">
      <c r="C57" s="16"/>
      <c r="U57" s="16"/>
      <c r="V57" s="16"/>
    </row>
    <row r="58" spans="3:22" x14ac:dyDescent="0.35">
      <c r="C58" s="16"/>
      <c r="U58" s="16"/>
      <c r="V58" s="16"/>
    </row>
    <row r="59" spans="3:22" x14ac:dyDescent="0.35">
      <c r="C59" s="16"/>
      <c r="U59" s="16"/>
      <c r="V59" s="16"/>
    </row>
    <row r="60" spans="3:22" x14ac:dyDescent="0.35">
      <c r="C60" s="16"/>
      <c r="U60" s="16"/>
      <c r="V60" s="16"/>
    </row>
    <row r="61" spans="3:22" x14ac:dyDescent="0.35">
      <c r="C61" s="16"/>
      <c r="U61" s="16"/>
      <c r="V61" s="16"/>
    </row>
    <row r="62" spans="3:22" x14ac:dyDescent="0.35">
      <c r="C62" s="16"/>
      <c r="U62" s="16"/>
      <c r="V62" s="16"/>
    </row>
    <row r="63" spans="3:22" x14ac:dyDescent="0.35">
      <c r="C63" s="16"/>
      <c r="U63" s="16"/>
      <c r="V63" s="16"/>
    </row>
    <row r="64" spans="3:22" x14ac:dyDescent="0.35">
      <c r="C64" s="16"/>
      <c r="U64" s="16"/>
      <c r="V64" s="16"/>
    </row>
    <row r="65" spans="3:22" x14ac:dyDescent="0.35">
      <c r="C65" s="16"/>
      <c r="U65" s="16"/>
      <c r="V65" s="16"/>
    </row>
    <row r="66" spans="3:22" x14ac:dyDescent="0.35">
      <c r="C66" s="16"/>
      <c r="U66" s="16"/>
      <c r="V66" s="16"/>
    </row>
    <row r="67" spans="3:22" x14ac:dyDescent="0.35">
      <c r="C67" s="16"/>
      <c r="U67" s="16"/>
      <c r="V67" s="16"/>
    </row>
    <row r="68" spans="3:22" x14ac:dyDescent="0.35">
      <c r="C68" s="16"/>
      <c r="U68" s="16"/>
      <c r="V68" s="16"/>
    </row>
    <row r="69" spans="3:22" x14ac:dyDescent="0.35">
      <c r="C69" s="16"/>
      <c r="U69" s="16"/>
      <c r="V69" s="16"/>
    </row>
    <row r="70" spans="3:22" x14ac:dyDescent="0.35">
      <c r="C70" s="16"/>
      <c r="U70" s="16"/>
      <c r="V70" s="16"/>
    </row>
    <row r="71" spans="3:22" x14ac:dyDescent="0.35">
      <c r="C71" s="16"/>
      <c r="U71" s="16"/>
      <c r="V71" s="16"/>
    </row>
    <row r="72" spans="3:22" x14ac:dyDescent="0.35">
      <c r="C72" s="16"/>
      <c r="U72" s="16"/>
      <c r="V72" s="16"/>
    </row>
    <row r="73" spans="3:22" x14ac:dyDescent="0.35">
      <c r="C73" s="16"/>
      <c r="U73" s="16"/>
      <c r="V73" s="16"/>
    </row>
    <row r="74" spans="3:22" x14ac:dyDescent="0.35">
      <c r="C74" s="16"/>
      <c r="U74" s="16"/>
      <c r="V74" s="16"/>
    </row>
    <row r="75" spans="3:22" x14ac:dyDescent="0.35">
      <c r="C75" s="16"/>
      <c r="U75" s="16"/>
      <c r="V75" s="16"/>
    </row>
    <row r="76" spans="3:22" x14ac:dyDescent="0.35">
      <c r="C76" s="16"/>
      <c r="U76" s="16"/>
      <c r="V76" s="16"/>
    </row>
    <row r="77" spans="3:22" x14ac:dyDescent="0.35">
      <c r="C77" s="16"/>
      <c r="U77" s="16"/>
      <c r="V77" s="16"/>
    </row>
    <row r="78" spans="3:22" x14ac:dyDescent="0.35">
      <c r="C78" s="16"/>
      <c r="U78" s="16"/>
      <c r="V78" s="16"/>
    </row>
    <row r="79" spans="3:22" x14ac:dyDescent="0.35">
      <c r="C79" s="16"/>
      <c r="U79" s="16"/>
      <c r="V79" s="16"/>
    </row>
    <row r="80" spans="3:22" x14ac:dyDescent="0.35">
      <c r="C80" s="16"/>
      <c r="U80" s="16"/>
      <c r="V80" s="16"/>
    </row>
    <row r="81" spans="3:22" x14ac:dyDescent="0.35">
      <c r="C81" s="16"/>
      <c r="U81" s="16"/>
      <c r="V81" s="16"/>
    </row>
    <row r="82" spans="3:22" x14ac:dyDescent="0.35">
      <c r="C82" s="16"/>
      <c r="U82" s="16"/>
      <c r="V82" s="16"/>
    </row>
    <row r="83" spans="3:22" x14ac:dyDescent="0.35">
      <c r="C83" s="16"/>
      <c r="U83" s="16"/>
      <c r="V83" s="16"/>
    </row>
    <row r="84" spans="3:22" x14ac:dyDescent="0.35">
      <c r="C84" s="16"/>
      <c r="U84" s="16"/>
      <c r="V84" s="16"/>
    </row>
    <row r="85" spans="3:22" x14ac:dyDescent="0.35">
      <c r="C85" s="16"/>
      <c r="U85" s="16"/>
      <c r="V85" s="16"/>
    </row>
    <row r="86" spans="3:22" x14ac:dyDescent="0.35">
      <c r="C86" s="16"/>
      <c r="U86" s="16"/>
      <c r="V86" s="16"/>
    </row>
    <row r="87" spans="3:22" x14ac:dyDescent="0.35">
      <c r="C87" s="16"/>
      <c r="U87" s="16"/>
      <c r="V87" s="16"/>
    </row>
    <row r="88" spans="3:22" x14ac:dyDescent="0.35">
      <c r="C88" s="16"/>
      <c r="U88" s="16"/>
      <c r="V88" s="16"/>
    </row>
    <row r="89" spans="3:22" x14ac:dyDescent="0.35">
      <c r="C89" s="16"/>
      <c r="U89" s="16"/>
      <c r="V89" s="16"/>
    </row>
    <row r="90" spans="3:22" x14ac:dyDescent="0.35">
      <c r="C90" s="16"/>
      <c r="U90" s="16"/>
      <c r="V90" s="16"/>
    </row>
    <row r="91" spans="3:22" x14ac:dyDescent="0.35">
      <c r="C91" s="16"/>
      <c r="U91" s="16"/>
      <c r="V91" s="16"/>
    </row>
    <row r="92" spans="3:22" x14ac:dyDescent="0.35">
      <c r="C92" s="16"/>
      <c r="U92" s="16"/>
      <c r="V92" s="16"/>
    </row>
    <row r="93" spans="3:22" x14ac:dyDescent="0.35">
      <c r="C93" s="16"/>
      <c r="U93" s="16"/>
      <c r="V93" s="16"/>
    </row>
    <row r="94" spans="3:22" x14ac:dyDescent="0.35">
      <c r="C94" s="16"/>
      <c r="U94" s="16"/>
      <c r="V94" s="16"/>
    </row>
    <row r="95" spans="3:22" x14ac:dyDescent="0.35">
      <c r="C95" s="16"/>
      <c r="U95" s="16"/>
      <c r="V95" s="16"/>
    </row>
    <row r="96" spans="3:22" x14ac:dyDescent="0.35">
      <c r="C96" s="16"/>
      <c r="U96" s="16"/>
      <c r="V96" s="16"/>
    </row>
    <row r="97" spans="3:22" x14ac:dyDescent="0.35">
      <c r="C97" s="16"/>
      <c r="U97" s="16"/>
      <c r="V97" s="16"/>
    </row>
    <row r="98" spans="3:22" x14ac:dyDescent="0.35">
      <c r="C98" s="16"/>
      <c r="U98" s="16"/>
      <c r="V98" s="16"/>
    </row>
    <row r="99" spans="3:22" x14ac:dyDescent="0.35">
      <c r="C99" s="16"/>
      <c r="U99" s="16"/>
      <c r="V99" s="16"/>
    </row>
    <row r="100" spans="3:22" x14ac:dyDescent="0.35">
      <c r="C100" s="16"/>
      <c r="U100" s="16"/>
      <c r="V100" s="16"/>
    </row>
    <row r="101" spans="3:22" x14ac:dyDescent="0.35">
      <c r="C101" s="16"/>
      <c r="U101" s="16"/>
      <c r="V101" s="16"/>
    </row>
    <row r="102" spans="3:22" x14ac:dyDescent="0.35">
      <c r="C102" s="16"/>
      <c r="U102" s="16"/>
      <c r="V102" s="16"/>
    </row>
    <row r="103" spans="3:22" x14ac:dyDescent="0.35">
      <c r="C103" s="16"/>
      <c r="U103" s="16"/>
      <c r="V103" s="16"/>
    </row>
    <row r="104" spans="3:22" x14ac:dyDescent="0.35">
      <c r="C104" s="16"/>
      <c r="U104" s="16"/>
      <c r="V104" s="16"/>
    </row>
    <row r="105" spans="3:22" x14ac:dyDescent="0.35">
      <c r="C105" s="16"/>
      <c r="U105" s="16"/>
      <c r="V105" s="16"/>
    </row>
    <row r="106" spans="3:22" x14ac:dyDescent="0.35">
      <c r="C106" s="16"/>
      <c r="U106" s="16"/>
      <c r="V106" s="16"/>
    </row>
    <row r="107" spans="3:22" x14ac:dyDescent="0.35">
      <c r="C107" s="16"/>
      <c r="U107" s="16"/>
      <c r="V107" s="16"/>
    </row>
    <row r="108" spans="3:22" x14ac:dyDescent="0.35">
      <c r="C108" s="16"/>
      <c r="U108" s="16"/>
      <c r="V108" s="16"/>
    </row>
    <row r="109" spans="3:22" x14ac:dyDescent="0.35">
      <c r="C109" s="16"/>
      <c r="U109" s="16"/>
      <c r="V109" s="16"/>
    </row>
    <row r="110" spans="3:22" x14ac:dyDescent="0.35">
      <c r="C110" s="16"/>
      <c r="U110" s="16"/>
      <c r="V110" s="16"/>
    </row>
    <row r="111" spans="3:22" x14ac:dyDescent="0.35">
      <c r="C111" s="16"/>
      <c r="U111" s="16"/>
      <c r="V111" s="16"/>
    </row>
    <row r="112" spans="3:22" x14ac:dyDescent="0.35">
      <c r="C112" s="16"/>
      <c r="U112" s="16"/>
      <c r="V112" s="16"/>
    </row>
    <row r="113" spans="3:22" x14ac:dyDescent="0.35">
      <c r="C113" s="16"/>
      <c r="U113" s="16"/>
      <c r="V113" s="16"/>
    </row>
    <row r="114" spans="3:22" x14ac:dyDescent="0.35">
      <c r="C114" s="16"/>
      <c r="U114" s="16"/>
      <c r="V114" s="16"/>
    </row>
    <row r="115" spans="3:22" x14ac:dyDescent="0.35">
      <c r="C115" s="16"/>
      <c r="U115" s="16"/>
      <c r="V115" s="16"/>
    </row>
    <row r="116" spans="3:22" x14ac:dyDescent="0.35">
      <c r="C116" s="16"/>
      <c r="U116" s="16"/>
      <c r="V116" s="16"/>
    </row>
    <row r="117" spans="3:22" x14ac:dyDescent="0.35">
      <c r="C117" s="16"/>
      <c r="U117" s="16"/>
      <c r="V117" s="16"/>
    </row>
    <row r="118" spans="3:22" x14ac:dyDescent="0.35">
      <c r="C118" s="16"/>
      <c r="U118" s="16"/>
      <c r="V118" s="16"/>
    </row>
    <row r="119" spans="3:22" x14ac:dyDescent="0.35">
      <c r="C119" s="16"/>
      <c r="U119" s="16"/>
      <c r="V119" s="16"/>
    </row>
    <row r="120" spans="3:22" x14ac:dyDescent="0.35">
      <c r="C120" s="16"/>
      <c r="U120" s="16"/>
      <c r="V120" s="16"/>
    </row>
    <row r="121" spans="3:22" x14ac:dyDescent="0.35">
      <c r="C121" s="16"/>
      <c r="U121" s="16"/>
      <c r="V121" s="16"/>
    </row>
    <row r="122" spans="3:22" x14ac:dyDescent="0.35">
      <c r="C122" s="16"/>
      <c r="U122" s="16"/>
      <c r="V122" s="16"/>
    </row>
  </sheetData>
  <autoFilter ref="A1:OJ1" xr:uid="{F68DEABA-2E95-4A5C-8FB4-342D3054EA5F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9F35B-4867-41A3-BC70-EE7EC6EA3F7D}">
  <dimension ref="A1:Y122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2" customWidth="1"/>
    <col min="2" max="2" width="7.6328125" style="12" customWidth="1"/>
    <col min="3" max="3" width="12.6328125" style="12" customWidth="1"/>
    <col min="4" max="4" width="13.6328125" style="12" customWidth="1"/>
    <col min="5" max="5" width="25.6328125" style="17" customWidth="1"/>
    <col min="6" max="6" width="13.6328125" style="12" customWidth="1"/>
    <col min="7" max="7" width="25.6328125" style="17" customWidth="1"/>
    <col min="8" max="8" width="13.6328125" style="12" customWidth="1"/>
    <col min="9" max="11" width="25.6328125" style="17" customWidth="1"/>
    <col min="12" max="12" width="13.6328125" style="12" customWidth="1"/>
    <col min="13" max="13" width="25.6328125" style="17" customWidth="1"/>
    <col min="14" max="14" width="13.6328125" style="12" customWidth="1"/>
    <col min="15" max="16" width="30.6328125" style="17" customWidth="1"/>
    <col min="17" max="17" width="25.6328125" style="17" customWidth="1"/>
    <col min="18" max="20" width="13.6328125" style="12" customWidth="1"/>
    <col min="21" max="22" width="12.6328125" style="12" customWidth="1"/>
    <col min="23" max="23" width="40.6328125" style="17" customWidth="1"/>
    <col min="24" max="24" width="9.6328125" style="18" customWidth="1"/>
    <col min="25" max="25" width="15.6328125" style="12" customWidth="1"/>
    <col min="26" max="16384" width="10.90625" style="12"/>
  </cols>
  <sheetData>
    <row r="1" spans="1:25" ht="43.5" x14ac:dyDescent="0.3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1" t="s">
        <v>21</v>
      </c>
      <c r="V1" s="11" t="s">
        <v>22</v>
      </c>
      <c r="W1" s="10" t="s">
        <v>120</v>
      </c>
      <c r="X1" s="10" t="s">
        <v>54</v>
      </c>
      <c r="Y1" s="10" t="s">
        <v>55</v>
      </c>
    </row>
    <row r="2" spans="1:25" ht="29" x14ac:dyDescent="0.35">
      <c r="A2" s="13" t="s">
        <v>56</v>
      </c>
      <c r="B2" s="13" t="s">
        <v>57</v>
      </c>
      <c r="C2" s="14">
        <v>43152.5</v>
      </c>
      <c r="D2" s="13" t="s">
        <v>58</v>
      </c>
      <c r="E2" s="15" t="s">
        <v>59</v>
      </c>
      <c r="F2" s="13" t="s">
        <v>60</v>
      </c>
      <c r="G2" s="15" t="s">
        <v>61</v>
      </c>
      <c r="H2" s="13" t="s">
        <v>62</v>
      </c>
      <c r="I2" s="15" t="s">
        <v>63</v>
      </c>
      <c r="J2" s="15" t="s">
        <v>64</v>
      </c>
      <c r="K2" s="15" t="s">
        <v>65</v>
      </c>
      <c r="L2" s="13" t="s">
        <v>66</v>
      </c>
      <c r="M2" s="15" t="s">
        <v>67</v>
      </c>
      <c r="N2" s="13" t="s">
        <v>68</v>
      </c>
      <c r="O2" s="15"/>
      <c r="P2" s="15"/>
      <c r="Q2" s="15" t="s">
        <v>69</v>
      </c>
      <c r="R2" s="13" t="s">
        <v>70</v>
      </c>
      <c r="S2" s="13" t="s">
        <v>71</v>
      </c>
      <c r="T2" s="13" t="s">
        <v>72</v>
      </c>
      <c r="U2" s="14">
        <v>40725</v>
      </c>
      <c r="V2" s="14"/>
      <c r="W2" s="15"/>
      <c r="X2" s="13"/>
      <c r="Y2" s="13"/>
    </row>
    <row r="3" spans="1:25" ht="29" x14ac:dyDescent="0.35">
      <c r="A3" s="13" t="s">
        <v>56</v>
      </c>
      <c r="B3" s="13" t="s">
        <v>57</v>
      </c>
      <c r="C3" s="14">
        <v>43152.5</v>
      </c>
      <c r="D3" s="13" t="s">
        <v>58</v>
      </c>
      <c r="E3" s="15" t="s">
        <v>59</v>
      </c>
      <c r="F3" s="13" t="s">
        <v>60</v>
      </c>
      <c r="G3" s="15" t="s">
        <v>61</v>
      </c>
      <c r="H3" s="13" t="s">
        <v>62</v>
      </c>
      <c r="I3" s="15" t="s">
        <v>63</v>
      </c>
      <c r="J3" s="15" t="s">
        <v>64</v>
      </c>
      <c r="K3" s="15" t="s">
        <v>65</v>
      </c>
      <c r="L3" s="13" t="s">
        <v>73</v>
      </c>
      <c r="M3" s="15" t="s">
        <v>74</v>
      </c>
      <c r="N3" s="13" t="s">
        <v>75</v>
      </c>
      <c r="O3" s="15"/>
      <c r="P3" s="15"/>
      <c r="Q3" s="15" t="s">
        <v>69</v>
      </c>
      <c r="R3" s="13" t="s">
        <v>70</v>
      </c>
      <c r="S3" s="13" t="s">
        <v>71</v>
      </c>
      <c r="T3" s="13" t="s">
        <v>72</v>
      </c>
      <c r="U3" s="14">
        <v>40725</v>
      </c>
      <c r="V3" s="14"/>
      <c r="W3" s="15"/>
      <c r="X3" s="13"/>
      <c r="Y3" s="13"/>
    </row>
    <row r="4" spans="1:25" ht="29" x14ac:dyDescent="0.35">
      <c r="A4" s="13" t="s">
        <v>56</v>
      </c>
      <c r="B4" s="13" t="s">
        <v>57</v>
      </c>
      <c r="C4" s="14">
        <v>43152.5</v>
      </c>
      <c r="D4" s="13" t="s">
        <v>58</v>
      </c>
      <c r="E4" s="15" t="s">
        <v>59</v>
      </c>
      <c r="F4" s="13" t="s">
        <v>60</v>
      </c>
      <c r="G4" s="15" t="s">
        <v>61</v>
      </c>
      <c r="H4" s="13" t="s">
        <v>62</v>
      </c>
      <c r="I4" s="15" t="s">
        <v>63</v>
      </c>
      <c r="J4" s="15" t="s">
        <v>64</v>
      </c>
      <c r="K4" s="15" t="s">
        <v>65</v>
      </c>
      <c r="L4" s="13" t="s">
        <v>66</v>
      </c>
      <c r="M4" s="15" t="s">
        <v>67</v>
      </c>
      <c r="N4" s="13" t="s">
        <v>68</v>
      </c>
      <c r="O4" s="15"/>
      <c r="P4" s="15"/>
      <c r="Q4" s="15" t="s">
        <v>76</v>
      </c>
      <c r="R4" s="13" t="s">
        <v>77</v>
      </c>
      <c r="S4" s="13" t="s">
        <v>71</v>
      </c>
      <c r="T4" s="13" t="s">
        <v>72</v>
      </c>
      <c r="U4" s="14">
        <v>40725</v>
      </c>
      <c r="V4" s="14"/>
      <c r="W4" s="15"/>
      <c r="X4" s="13"/>
      <c r="Y4" s="13"/>
    </row>
    <row r="5" spans="1:25" ht="29" x14ac:dyDescent="0.35">
      <c r="A5" s="13" t="s">
        <v>56</v>
      </c>
      <c r="B5" s="13" t="s">
        <v>57</v>
      </c>
      <c r="C5" s="14">
        <v>43152.5</v>
      </c>
      <c r="D5" s="13" t="s">
        <v>58</v>
      </c>
      <c r="E5" s="15" t="s">
        <v>59</v>
      </c>
      <c r="F5" s="13" t="s">
        <v>60</v>
      </c>
      <c r="G5" s="15" t="s">
        <v>61</v>
      </c>
      <c r="H5" s="13" t="s">
        <v>62</v>
      </c>
      <c r="I5" s="15" t="s">
        <v>63</v>
      </c>
      <c r="J5" s="15" t="s">
        <v>64</v>
      </c>
      <c r="K5" s="15" t="s">
        <v>65</v>
      </c>
      <c r="L5" s="13" t="s">
        <v>73</v>
      </c>
      <c r="M5" s="15" t="s">
        <v>74</v>
      </c>
      <c r="N5" s="13" t="s">
        <v>75</v>
      </c>
      <c r="O5" s="15"/>
      <c r="P5" s="15"/>
      <c r="Q5" s="15" t="s">
        <v>76</v>
      </c>
      <c r="R5" s="13" t="s">
        <v>77</v>
      </c>
      <c r="S5" s="13" t="s">
        <v>71</v>
      </c>
      <c r="T5" s="13" t="s">
        <v>72</v>
      </c>
      <c r="U5" s="14">
        <v>40725</v>
      </c>
      <c r="V5" s="14"/>
      <c r="W5" s="15"/>
      <c r="X5" s="13"/>
      <c r="Y5" s="13"/>
    </row>
    <row r="6" spans="1:25" ht="29" x14ac:dyDescent="0.35">
      <c r="A6" s="13" t="s">
        <v>56</v>
      </c>
      <c r="B6" s="13" t="s">
        <v>57</v>
      </c>
      <c r="C6" s="14">
        <v>43152.5</v>
      </c>
      <c r="D6" s="13" t="s">
        <v>58</v>
      </c>
      <c r="E6" s="15" t="s">
        <v>59</v>
      </c>
      <c r="F6" s="13" t="s">
        <v>60</v>
      </c>
      <c r="G6" s="15" t="s">
        <v>61</v>
      </c>
      <c r="H6" s="13" t="s">
        <v>62</v>
      </c>
      <c r="I6" s="15" t="s">
        <v>63</v>
      </c>
      <c r="J6" s="15" t="s">
        <v>64</v>
      </c>
      <c r="K6" s="15" t="s">
        <v>65</v>
      </c>
      <c r="L6" s="13" t="s">
        <v>66</v>
      </c>
      <c r="M6" s="15" t="s">
        <v>67</v>
      </c>
      <c r="N6" s="13" t="s">
        <v>68</v>
      </c>
      <c r="O6" s="15"/>
      <c r="P6" s="15"/>
      <c r="Q6" s="15" t="s">
        <v>78</v>
      </c>
      <c r="R6" s="13" t="s">
        <v>79</v>
      </c>
      <c r="S6" s="13" t="s">
        <v>71</v>
      </c>
      <c r="T6" s="13" t="s">
        <v>72</v>
      </c>
      <c r="U6" s="14">
        <v>40725</v>
      </c>
      <c r="V6" s="14"/>
      <c r="W6" s="15"/>
      <c r="X6" s="13"/>
      <c r="Y6" s="13"/>
    </row>
    <row r="7" spans="1:25" ht="29" x14ac:dyDescent="0.35">
      <c r="A7" s="13" t="s">
        <v>56</v>
      </c>
      <c r="B7" s="13" t="s">
        <v>57</v>
      </c>
      <c r="C7" s="14">
        <v>43152.5</v>
      </c>
      <c r="D7" s="13" t="s">
        <v>58</v>
      </c>
      <c r="E7" s="15" t="s">
        <v>59</v>
      </c>
      <c r="F7" s="13" t="s">
        <v>60</v>
      </c>
      <c r="G7" s="15" t="s">
        <v>61</v>
      </c>
      <c r="H7" s="13" t="s">
        <v>62</v>
      </c>
      <c r="I7" s="15" t="s">
        <v>63</v>
      </c>
      <c r="J7" s="15" t="s">
        <v>64</v>
      </c>
      <c r="K7" s="15" t="s">
        <v>65</v>
      </c>
      <c r="L7" s="13" t="s">
        <v>73</v>
      </c>
      <c r="M7" s="15" t="s">
        <v>74</v>
      </c>
      <c r="N7" s="13" t="s">
        <v>75</v>
      </c>
      <c r="O7" s="15"/>
      <c r="P7" s="15"/>
      <c r="Q7" s="15" t="s">
        <v>78</v>
      </c>
      <c r="R7" s="13" t="s">
        <v>79</v>
      </c>
      <c r="S7" s="13" t="s">
        <v>71</v>
      </c>
      <c r="T7" s="13" t="s">
        <v>72</v>
      </c>
      <c r="U7" s="14">
        <v>40725</v>
      </c>
      <c r="V7" s="14"/>
      <c r="W7" s="15"/>
      <c r="X7" s="13"/>
      <c r="Y7" s="13"/>
    </row>
    <row r="8" spans="1:25" ht="29" x14ac:dyDescent="0.35">
      <c r="A8" s="13" t="s">
        <v>56</v>
      </c>
      <c r="B8" s="13" t="s">
        <v>57</v>
      </c>
      <c r="C8" s="14">
        <v>43152.5</v>
      </c>
      <c r="D8" s="13" t="s">
        <v>58</v>
      </c>
      <c r="E8" s="15" t="s">
        <v>59</v>
      </c>
      <c r="F8" s="13" t="s">
        <v>60</v>
      </c>
      <c r="G8" s="15" t="s">
        <v>61</v>
      </c>
      <c r="H8" s="13" t="s">
        <v>62</v>
      </c>
      <c r="I8" s="15" t="s">
        <v>63</v>
      </c>
      <c r="J8" s="15" t="s">
        <v>64</v>
      </c>
      <c r="K8" s="15" t="s">
        <v>65</v>
      </c>
      <c r="L8" s="13" t="s">
        <v>66</v>
      </c>
      <c r="M8" s="15" t="s">
        <v>67</v>
      </c>
      <c r="N8" s="13" t="s">
        <v>68</v>
      </c>
      <c r="O8" s="15"/>
      <c r="P8" s="15"/>
      <c r="Q8" s="15" t="s">
        <v>80</v>
      </c>
      <c r="R8" s="13" t="s">
        <v>81</v>
      </c>
      <c r="S8" s="13" t="s">
        <v>71</v>
      </c>
      <c r="T8" s="13" t="s">
        <v>72</v>
      </c>
      <c r="U8" s="14">
        <v>40725</v>
      </c>
      <c r="V8" s="14"/>
      <c r="W8" s="15"/>
      <c r="X8" s="13"/>
      <c r="Y8" s="13"/>
    </row>
    <row r="9" spans="1:25" ht="29" x14ac:dyDescent="0.35">
      <c r="A9" s="13" t="s">
        <v>56</v>
      </c>
      <c r="B9" s="13" t="s">
        <v>57</v>
      </c>
      <c r="C9" s="14">
        <v>43152.5</v>
      </c>
      <c r="D9" s="13" t="s">
        <v>58</v>
      </c>
      <c r="E9" s="15" t="s">
        <v>59</v>
      </c>
      <c r="F9" s="13" t="s">
        <v>60</v>
      </c>
      <c r="G9" s="15" t="s">
        <v>61</v>
      </c>
      <c r="H9" s="13" t="s">
        <v>62</v>
      </c>
      <c r="I9" s="15" t="s">
        <v>63</v>
      </c>
      <c r="J9" s="15" t="s">
        <v>64</v>
      </c>
      <c r="K9" s="15" t="s">
        <v>65</v>
      </c>
      <c r="L9" s="13" t="s">
        <v>73</v>
      </c>
      <c r="M9" s="15" t="s">
        <v>74</v>
      </c>
      <c r="N9" s="13" t="s">
        <v>75</v>
      </c>
      <c r="O9" s="15"/>
      <c r="P9" s="15"/>
      <c r="Q9" s="15" t="s">
        <v>80</v>
      </c>
      <c r="R9" s="13" t="s">
        <v>81</v>
      </c>
      <c r="S9" s="13" t="s">
        <v>71</v>
      </c>
      <c r="T9" s="13" t="s">
        <v>72</v>
      </c>
      <c r="U9" s="14">
        <v>40725</v>
      </c>
      <c r="V9" s="14"/>
      <c r="W9" s="15"/>
      <c r="X9" s="13"/>
      <c r="Y9" s="13"/>
    </row>
    <row r="10" spans="1:25" ht="29" x14ac:dyDescent="0.35">
      <c r="A10" s="13" t="s">
        <v>56</v>
      </c>
      <c r="B10" s="13" t="s">
        <v>57</v>
      </c>
      <c r="C10" s="14">
        <v>43152.5</v>
      </c>
      <c r="D10" s="13" t="s">
        <v>58</v>
      </c>
      <c r="E10" s="15" t="s">
        <v>59</v>
      </c>
      <c r="F10" s="13" t="s">
        <v>60</v>
      </c>
      <c r="G10" s="15" t="s">
        <v>61</v>
      </c>
      <c r="H10" s="13" t="s">
        <v>62</v>
      </c>
      <c r="I10" s="15" t="s">
        <v>63</v>
      </c>
      <c r="J10" s="15" t="s">
        <v>64</v>
      </c>
      <c r="K10" s="15" t="s">
        <v>65</v>
      </c>
      <c r="L10" s="13" t="s">
        <v>66</v>
      </c>
      <c r="M10" s="15" t="s">
        <v>67</v>
      </c>
      <c r="N10" s="13" t="s">
        <v>68</v>
      </c>
      <c r="O10" s="15"/>
      <c r="P10" s="15"/>
      <c r="Q10" s="15" t="s">
        <v>82</v>
      </c>
      <c r="R10" s="13" t="s">
        <v>83</v>
      </c>
      <c r="S10" s="13" t="s">
        <v>71</v>
      </c>
      <c r="T10" s="13" t="s">
        <v>72</v>
      </c>
      <c r="U10" s="14">
        <v>40725</v>
      </c>
      <c r="V10" s="14"/>
      <c r="W10" s="15"/>
      <c r="X10" s="13"/>
      <c r="Y10" s="13"/>
    </row>
    <row r="11" spans="1:25" ht="29" x14ac:dyDescent="0.35">
      <c r="A11" s="13" t="s">
        <v>56</v>
      </c>
      <c r="B11" s="13" t="s">
        <v>57</v>
      </c>
      <c r="C11" s="14">
        <v>43152.5</v>
      </c>
      <c r="D11" s="13" t="s">
        <v>58</v>
      </c>
      <c r="E11" s="15" t="s">
        <v>59</v>
      </c>
      <c r="F11" s="13" t="s">
        <v>60</v>
      </c>
      <c r="G11" s="15" t="s">
        <v>61</v>
      </c>
      <c r="H11" s="13" t="s">
        <v>62</v>
      </c>
      <c r="I11" s="15" t="s">
        <v>63</v>
      </c>
      <c r="J11" s="15" t="s">
        <v>64</v>
      </c>
      <c r="K11" s="15" t="s">
        <v>65</v>
      </c>
      <c r="L11" s="13" t="s">
        <v>73</v>
      </c>
      <c r="M11" s="15" t="s">
        <v>74</v>
      </c>
      <c r="N11" s="13" t="s">
        <v>75</v>
      </c>
      <c r="O11" s="15"/>
      <c r="P11" s="15"/>
      <c r="Q11" s="15" t="s">
        <v>82</v>
      </c>
      <c r="R11" s="13" t="s">
        <v>83</v>
      </c>
      <c r="S11" s="13" t="s">
        <v>71</v>
      </c>
      <c r="T11" s="13" t="s">
        <v>72</v>
      </c>
      <c r="U11" s="14">
        <v>40725</v>
      </c>
      <c r="V11" s="14"/>
      <c r="W11" s="15"/>
      <c r="X11" s="13"/>
      <c r="Y11" s="13"/>
    </row>
    <row r="12" spans="1:25" ht="43.5" x14ac:dyDescent="0.35">
      <c r="A12" s="13" t="s">
        <v>56</v>
      </c>
      <c r="B12" s="13" t="s">
        <v>57</v>
      </c>
      <c r="C12" s="14">
        <v>43152.5</v>
      </c>
      <c r="D12" s="13" t="s">
        <v>58</v>
      </c>
      <c r="E12" s="15" t="s">
        <v>59</v>
      </c>
      <c r="F12" s="13" t="s">
        <v>60</v>
      </c>
      <c r="G12" s="15" t="s">
        <v>61</v>
      </c>
      <c r="H12" s="13" t="s">
        <v>62</v>
      </c>
      <c r="I12" s="15" t="s">
        <v>63</v>
      </c>
      <c r="J12" s="15" t="s">
        <v>64</v>
      </c>
      <c r="K12" s="15" t="s">
        <v>65</v>
      </c>
      <c r="L12" s="13" t="s">
        <v>66</v>
      </c>
      <c r="M12" s="15" t="s">
        <v>67</v>
      </c>
      <c r="N12" s="13" t="s">
        <v>68</v>
      </c>
      <c r="O12" s="15"/>
      <c r="P12" s="15"/>
      <c r="Q12" s="15" t="s">
        <v>84</v>
      </c>
      <c r="R12" s="13" t="s">
        <v>85</v>
      </c>
      <c r="S12" s="13" t="s">
        <v>86</v>
      </c>
      <c r="T12" s="13" t="s">
        <v>87</v>
      </c>
      <c r="U12" s="14">
        <v>40725</v>
      </c>
      <c r="V12" s="14">
        <v>41639</v>
      </c>
      <c r="W12" s="15"/>
      <c r="X12" s="13"/>
      <c r="Y12" s="13"/>
    </row>
    <row r="13" spans="1:25" ht="43.5" x14ac:dyDescent="0.35">
      <c r="A13" s="13" t="s">
        <v>56</v>
      </c>
      <c r="B13" s="13" t="s">
        <v>57</v>
      </c>
      <c r="C13" s="14">
        <v>43650.651388888888</v>
      </c>
      <c r="D13" s="13" t="s">
        <v>58</v>
      </c>
      <c r="E13" s="15" t="s">
        <v>59</v>
      </c>
      <c r="F13" s="13" t="s">
        <v>60</v>
      </c>
      <c r="G13" s="15" t="s">
        <v>61</v>
      </c>
      <c r="H13" s="13" t="s">
        <v>62</v>
      </c>
      <c r="I13" s="15" t="s">
        <v>63</v>
      </c>
      <c r="J13" s="15" t="s">
        <v>64</v>
      </c>
      <c r="K13" s="15" t="s">
        <v>65</v>
      </c>
      <c r="L13" s="13" t="s">
        <v>73</v>
      </c>
      <c r="M13" s="15" t="s">
        <v>74</v>
      </c>
      <c r="N13" s="13" t="s">
        <v>75</v>
      </c>
      <c r="O13" s="15"/>
      <c r="P13" s="15"/>
      <c r="Q13" s="15" t="s">
        <v>84</v>
      </c>
      <c r="R13" s="13" t="s">
        <v>85</v>
      </c>
      <c r="S13" s="13" t="s">
        <v>86</v>
      </c>
      <c r="T13" s="13" t="s">
        <v>87</v>
      </c>
      <c r="U13" s="14">
        <v>40725</v>
      </c>
      <c r="V13" s="14">
        <v>42735</v>
      </c>
      <c r="W13" s="15"/>
      <c r="X13" s="13"/>
      <c r="Y13" s="13"/>
    </row>
    <row r="14" spans="1:25" x14ac:dyDescent="0.35">
      <c r="C14" s="16"/>
      <c r="U14" s="16"/>
      <c r="V14" s="16"/>
    </row>
    <row r="15" spans="1:25" x14ac:dyDescent="0.35">
      <c r="C15" s="16"/>
      <c r="U15" s="16"/>
      <c r="V15" s="16"/>
    </row>
    <row r="16" spans="1:25" x14ac:dyDescent="0.35">
      <c r="C16" s="16"/>
      <c r="U16" s="16"/>
      <c r="V16" s="16"/>
    </row>
    <row r="17" spans="3:22" x14ac:dyDescent="0.35">
      <c r="C17" s="16"/>
      <c r="U17" s="16"/>
      <c r="V17" s="16"/>
    </row>
    <row r="18" spans="3:22" x14ac:dyDescent="0.35">
      <c r="C18" s="16"/>
      <c r="U18" s="16"/>
      <c r="V18" s="16"/>
    </row>
    <row r="19" spans="3:22" x14ac:dyDescent="0.35">
      <c r="C19" s="16"/>
      <c r="U19" s="16"/>
      <c r="V19" s="16"/>
    </row>
    <row r="20" spans="3:22" x14ac:dyDescent="0.35">
      <c r="C20" s="16"/>
      <c r="U20" s="16"/>
      <c r="V20" s="16"/>
    </row>
    <row r="21" spans="3:22" x14ac:dyDescent="0.35">
      <c r="C21" s="16"/>
      <c r="U21" s="16"/>
      <c r="V21" s="16"/>
    </row>
    <row r="22" spans="3:22" x14ac:dyDescent="0.35">
      <c r="C22" s="16"/>
      <c r="U22" s="16"/>
      <c r="V22" s="16"/>
    </row>
    <row r="23" spans="3:22" x14ac:dyDescent="0.35">
      <c r="C23" s="16"/>
      <c r="U23" s="16"/>
      <c r="V23" s="16"/>
    </row>
    <row r="24" spans="3:22" x14ac:dyDescent="0.35">
      <c r="C24" s="16"/>
      <c r="U24" s="16"/>
      <c r="V24" s="16"/>
    </row>
    <row r="25" spans="3:22" x14ac:dyDescent="0.35">
      <c r="C25" s="16"/>
      <c r="U25" s="16"/>
      <c r="V25" s="16"/>
    </row>
    <row r="26" spans="3:22" x14ac:dyDescent="0.35">
      <c r="C26" s="16"/>
      <c r="U26" s="16"/>
      <c r="V26" s="16"/>
    </row>
    <row r="27" spans="3:22" x14ac:dyDescent="0.35">
      <c r="C27" s="16"/>
      <c r="U27" s="16"/>
      <c r="V27" s="16"/>
    </row>
    <row r="28" spans="3:22" x14ac:dyDescent="0.35">
      <c r="C28" s="16"/>
      <c r="U28" s="16"/>
      <c r="V28" s="16"/>
    </row>
    <row r="29" spans="3:22" x14ac:dyDescent="0.35">
      <c r="C29" s="16"/>
      <c r="U29" s="16"/>
      <c r="V29" s="16"/>
    </row>
    <row r="30" spans="3:22" x14ac:dyDescent="0.35">
      <c r="C30" s="16"/>
      <c r="U30" s="16"/>
      <c r="V30" s="16"/>
    </row>
    <row r="31" spans="3:22" x14ac:dyDescent="0.35">
      <c r="C31" s="16"/>
      <c r="U31" s="16"/>
      <c r="V31" s="16"/>
    </row>
    <row r="32" spans="3:22" x14ac:dyDescent="0.35">
      <c r="C32" s="16"/>
      <c r="U32" s="16"/>
      <c r="V32" s="16"/>
    </row>
    <row r="33" spans="3:22" x14ac:dyDescent="0.35">
      <c r="C33" s="16"/>
      <c r="U33" s="16"/>
      <c r="V33" s="16"/>
    </row>
    <row r="34" spans="3:22" x14ac:dyDescent="0.35">
      <c r="C34" s="16"/>
      <c r="U34" s="16"/>
      <c r="V34" s="16"/>
    </row>
    <row r="35" spans="3:22" x14ac:dyDescent="0.35">
      <c r="C35" s="16"/>
      <c r="U35" s="16"/>
      <c r="V35" s="16"/>
    </row>
    <row r="36" spans="3:22" x14ac:dyDescent="0.35">
      <c r="C36" s="16"/>
      <c r="U36" s="16"/>
      <c r="V36" s="16"/>
    </row>
    <row r="37" spans="3:22" x14ac:dyDescent="0.35">
      <c r="C37" s="16"/>
      <c r="U37" s="16"/>
      <c r="V37" s="16"/>
    </row>
    <row r="38" spans="3:22" x14ac:dyDescent="0.35">
      <c r="C38" s="16"/>
      <c r="U38" s="16"/>
      <c r="V38" s="16"/>
    </row>
    <row r="39" spans="3:22" x14ac:dyDescent="0.35">
      <c r="C39" s="16"/>
      <c r="U39" s="16"/>
      <c r="V39" s="16"/>
    </row>
    <row r="40" spans="3:22" x14ac:dyDescent="0.35">
      <c r="C40" s="16"/>
      <c r="U40" s="16"/>
      <c r="V40" s="16"/>
    </row>
    <row r="41" spans="3:22" x14ac:dyDescent="0.35">
      <c r="C41" s="16"/>
      <c r="U41" s="16"/>
      <c r="V41" s="16"/>
    </row>
    <row r="42" spans="3:22" x14ac:dyDescent="0.35">
      <c r="C42" s="16"/>
      <c r="U42" s="16"/>
      <c r="V42" s="16"/>
    </row>
    <row r="43" spans="3:22" x14ac:dyDescent="0.35">
      <c r="C43" s="16"/>
      <c r="U43" s="16"/>
      <c r="V43" s="16"/>
    </row>
    <row r="44" spans="3:22" x14ac:dyDescent="0.35">
      <c r="C44" s="16"/>
      <c r="U44" s="16"/>
      <c r="V44" s="16"/>
    </row>
    <row r="45" spans="3:22" x14ac:dyDescent="0.35">
      <c r="C45" s="16"/>
      <c r="U45" s="16"/>
      <c r="V45" s="16"/>
    </row>
    <row r="46" spans="3:22" x14ac:dyDescent="0.35">
      <c r="C46" s="16"/>
      <c r="U46" s="16"/>
      <c r="V46" s="16"/>
    </row>
    <row r="47" spans="3:22" x14ac:dyDescent="0.35">
      <c r="C47" s="16"/>
      <c r="U47" s="16"/>
      <c r="V47" s="16"/>
    </row>
    <row r="48" spans="3:22" x14ac:dyDescent="0.35">
      <c r="C48" s="16"/>
      <c r="U48" s="16"/>
      <c r="V48" s="16"/>
    </row>
    <row r="49" spans="3:22" x14ac:dyDescent="0.35">
      <c r="C49" s="16"/>
      <c r="U49" s="16"/>
      <c r="V49" s="16"/>
    </row>
    <row r="50" spans="3:22" x14ac:dyDescent="0.35">
      <c r="C50" s="16"/>
      <c r="U50" s="16"/>
      <c r="V50" s="16"/>
    </row>
    <row r="51" spans="3:22" x14ac:dyDescent="0.35">
      <c r="C51" s="16"/>
      <c r="U51" s="16"/>
      <c r="V51" s="16"/>
    </row>
    <row r="52" spans="3:22" x14ac:dyDescent="0.35">
      <c r="C52" s="16"/>
      <c r="U52" s="16"/>
      <c r="V52" s="16"/>
    </row>
    <row r="53" spans="3:22" x14ac:dyDescent="0.35">
      <c r="C53" s="16"/>
      <c r="U53" s="16"/>
      <c r="V53" s="16"/>
    </row>
    <row r="54" spans="3:22" x14ac:dyDescent="0.35">
      <c r="C54" s="16"/>
      <c r="U54" s="16"/>
      <c r="V54" s="16"/>
    </row>
    <row r="55" spans="3:22" x14ac:dyDescent="0.35">
      <c r="C55" s="16"/>
      <c r="U55" s="16"/>
      <c r="V55" s="16"/>
    </row>
    <row r="56" spans="3:22" x14ac:dyDescent="0.35">
      <c r="C56" s="16"/>
      <c r="U56" s="16"/>
      <c r="V56" s="16"/>
    </row>
    <row r="57" spans="3:22" x14ac:dyDescent="0.35">
      <c r="C57" s="16"/>
      <c r="U57" s="16"/>
      <c r="V57" s="16"/>
    </row>
    <row r="58" spans="3:22" x14ac:dyDescent="0.35">
      <c r="C58" s="16"/>
      <c r="U58" s="16"/>
      <c r="V58" s="16"/>
    </row>
    <row r="59" spans="3:22" x14ac:dyDescent="0.35">
      <c r="C59" s="16"/>
      <c r="U59" s="16"/>
      <c r="V59" s="16"/>
    </row>
    <row r="60" spans="3:22" x14ac:dyDescent="0.35">
      <c r="C60" s="16"/>
      <c r="U60" s="16"/>
      <c r="V60" s="16"/>
    </row>
    <row r="61" spans="3:22" x14ac:dyDescent="0.35">
      <c r="C61" s="16"/>
      <c r="U61" s="16"/>
      <c r="V61" s="16"/>
    </row>
    <row r="62" spans="3:22" x14ac:dyDescent="0.35">
      <c r="C62" s="16"/>
      <c r="U62" s="16"/>
      <c r="V62" s="16"/>
    </row>
    <row r="63" spans="3:22" x14ac:dyDescent="0.35">
      <c r="C63" s="16"/>
      <c r="U63" s="16"/>
      <c r="V63" s="16"/>
    </row>
    <row r="64" spans="3:22" x14ac:dyDescent="0.35">
      <c r="C64" s="16"/>
      <c r="U64" s="16"/>
      <c r="V64" s="16"/>
    </row>
    <row r="65" spans="3:22" x14ac:dyDescent="0.35">
      <c r="C65" s="16"/>
      <c r="U65" s="16"/>
      <c r="V65" s="16"/>
    </row>
    <row r="66" spans="3:22" x14ac:dyDescent="0.35">
      <c r="C66" s="16"/>
      <c r="U66" s="16"/>
      <c r="V66" s="16"/>
    </row>
    <row r="67" spans="3:22" x14ac:dyDescent="0.35">
      <c r="C67" s="16"/>
      <c r="U67" s="16"/>
      <c r="V67" s="16"/>
    </row>
    <row r="68" spans="3:22" x14ac:dyDescent="0.35">
      <c r="C68" s="16"/>
      <c r="U68" s="16"/>
      <c r="V68" s="16"/>
    </row>
    <row r="69" spans="3:22" x14ac:dyDescent="0.35">
      <c r="C69" s="16"/>
      <c r="U69" s="16"/>
      <c r="V69" s="16"/>
    </row>
    <row r="70" spans="3:22" x14ac:dyDescent="0.35">
      <c r="C70" s="16"/>
      <c r="U70" s="16"/>
      <c r="V70" s="16"/>
    </row>
    <row r="71" spans="3:22" x14ac:dyDescent="0.35">
      <c r="C71" s="16"/>
      <c r="U71" s="16"/>
      <c r="V71" s="16"/>
    </row>
    <row r="72" spans="3:22" x14ac:dyDescent="0.35">
      <c r="C72" s="16"/>
      <c r="U72" s="16"/>
      <c r="V72" s="16"/>
    </row>
    <row r="73" spans="3:22" x14ac:dyDescent="0.35">
      <c r="C73" s="16"/>
      <c r="U73" s="16"/>
      <c r="V73" s="16"/>
    </row>
    <row r="74" spans="3:22" x14ac:dyDescent="0.35">
      <c r="C74" s="16"/>
      <c r="U74" s="16"/>
      <c r="V74" s="16"/>
    </row>
    <row r="75" spans="3:22" x14ac:dyDescent="0.35">
      <c r="C75" s="16"/>
      <c r="U75" s="16"/>
      <c r="V75" s="16"/>
    </row>
    <row r="76" spans="3:22" x14ac:dyDescent="0.35">
      <c r="C76" s="16"/>
      <c r="U76" s="16"/>
      <c r="V76" s="16"/>
    </row>
    <row r="77" spans="3:22" x14ac:dyDescent="0.35">
      <c r="C77" s="16"/>
      <c r="U77" s="16"/>
      <c r="V77" s="16"/>
    </row>
    <row r="78" spans="3:22" x14ac:dyDescent="0.35">
      <c r="C78" s="16"/>
      <c r="U78" s="16"/>
      <c r="V78" s="16"/>
    </row>
    <row r="79" spans="3:22" x14ac:dyDescent="0.35">
      <c r="C79" s="16"/>
      <c r="U79" s="16"/>
      <c r="V79" s="16"/>
    </row>
    <row r="80" spans="3:22" x14ac:dyDescent="0.35">
      <c r="C80" s="16"/>
      <c r="U80" s="16"/>
      <c r="V80" s="16"/>
    </row>
    <row r="81" spans="3:22" x14ac:dyDescent="0.35">
      <c r="C81" s="16"/>
      <c r="U81" s="16"/>
      <c r="V81" s="16"/>
    </row>
    <row r="82" spans="3:22" x14ac:dyDescent="0.35">
      <c r="C82" s="16"/>
      <c r="U82" s="16"/>
      <c r="V82" s="16"/>
    </row>
    <row r="83" spans="3:22" x14ac:dyDescent="0.35">
      <c r="C83" s="16"/>
      <c r="U83" s="16"/>
      <c r="V83" s="16"/>
    </row>
    <row r="84" spans="3:22" x14ac:dyDescent="0.35">
      <c r="C84" s="16"/>
      <c r="U84" s="16"/>
      <c r="V84" s="16"/>
    </row>
    <row r="85" spans="3:22" x14ac:dyDescent="0.35">
      <c r="C85" s="16"/>
      <c r="U85" s="16"/>
      <c r="V85" s="16"/>
    </row>
    <row r="86" spans="3:22" x14ac:dyDescent="0.35">
      <c r="C86" s="16"/>
      <c r="U86" s="16"/>
      <c r="V86" s="16"/>
    </row>
    <row r="87" spans="3:22" x14ac:dyDescent="0.35">
      <c r="C87" s="16"/>
      <c r="U87" s="16"/>
      <c r="V87" s="16"/>
    </row>
    <row r="88" spans="3:22" x14ac:dyDescent="0.35">
      <c r="C88" s="16"/>
      <c r="U88" s="16"/>
      <c r="V88" s="16"/>
    </row>
    <row r="89" spans="3:22" x14ac:dyDescent="0.35">
      <c r="C89" s="16"/>
      <c r="U89" s="16"/>
      <c r="V89" s="16"/>
    </row>
    <row r="90" spans="3:22" x14ac:dyDescent="0.35">
      <c r="C90" s="16"/>
      <c r="U90" s="16"/>
      <c r="V90" s="16"/>
    </row>
    <row r="91" spans="3:22" x14ac:dyDescent="0.35">
      <c r="C91" s="16"/>
      <c r="U91" s="16"/>
      <c r="V91" s="16"/>
    </row>
    <row r="92" spans="3:22" x14ac:dyDescent="0.35">
      <c r="C92" s="16"/>
      <c r="U92" s="16"/>
      <c r="V92" s="16"/>
    </row>
    <row r="93" spans="3:22" x14ac:dyDescent="0.35">
      <c r="C93" s="16"/>
      <c r="U93" s="16"/>
      <c r="V93" s="16"/>
    </row>
    <row r="94" spans="3:22" x14ac:dyDescent="0.35">
      <c r="C94" s="16"/>
      <c r="U94" s="16"/>
      <c r="V94" s="16"/>
    </row>
    <row r="95" spans="3:22" x14ac:dyDescent="0.35">
      <c r="C95" s="16"/>
      <c r="U95" s="16"/>
      <c r="V95" s="16"/>
    </row>
    <row r="96" spans="3:22" x14ac:dyDescent="0.35">
      <c r="C96" s="16"/>
      <c r="U96" s="16"/>
      <c r="V96" s="16"/>
    </row>
    <row r="97" spans="3:22" x14ac:dyDescent="0.35">
      <c r="C97" s="16"/>
      <c r="U97" s="16"/>
      <c r="V97" s="16"/>
    </row>
    <row r="98" spans="3:22" x14ac:dyDescent="0.35">
      <c r="C98" s="16"/>
      <c r="U98" s="16"/>
      <c r="V98" s="16"/>
    </row>
    <row r="99" spans="3:22" x14ac:dyDescent="0.35">
      <c r="C99" s="16"/>
      <c r="U99" s="16"/>
      <c r="V99" s="16"/>
    </row>
    <row r="100" spans="3:22" x14ac:dyDescent="0.35">
      <c r="C100" s="16"/>
      <c r="U100" s="16"/>
      <c r="V100" s="16"/>
    </row>
    <row r="101" spans="3:22" x14ac:dyDescent="0.35">
      <c r="C101" s="16"/>
      <c r="U101" s="16"/>
      <c r="V101" s="16"/>
    </row>
    <row r="102" spans="3:22" x14ac:dyDescent="0.35">
      <c r="C102" s="16"/>
      <c r="U102" s="16"/>
      <c r="V102" s="16"/>
    </row>
    <row r="103" spans="3:22" x14ac:dyDescent="0.35">
      <c r="C103" s="16"/>
      <c r="U103" s="16"/>
      <c r="V103" s="16"/>
    </row>
    <row r="104" spans="3:22" x14ac:dyDescent="0.35">
      <c r="C104" s="16"/>
      <c r="U104" s="16"/>
      <c r="V104" s="16"/>
    </row>
    <row r="105" spans="3:22" x14ac:dyDescent="0.35">
      <c r="C105" s="16"/>
      <c r="U105" s="16"/>
      <c r="V105" s="16"/>
    </row>
    <row r="106" spans="3:22" x14ac:dyDescent="0.35">
      <c r="C106" s="16"/>
      <c r="U106" s="16"/>
      <c r="V106" s="16"/>
    </row>
    <row r="107" spans="3:22" x14ac:dyDescent="0.35">
      <c r="C107" s="16"/>
      <c r="U107" s="16"/>
      <c r="V107" s="16"/>
    </row>
    <row r="108" spans="3:22" x14ac:dyDescent="0.35">
      <c r="C108" s="16"/>
      <c r="U108" s="16"/>
      <c r="V108" s="16"/>
    </row>
    <row r="109" spans="3:22" x14ac:dyDescent="0.35">
      <c r="C109" s="16"/>
      <c r="U109" s="16"/>
      <c r="V109" s="16"/>
    </row>
    <row r="110" spans="3:22" x14ac:dyDescent="0.35">
      <c r="C110" s="16"/>
      <c r="U110" s="16"/>
      <c r="V110" s="16"/>
    </row>
    <row r="111" spans="3:22" x14ac:dyDescent="0.35">
      <c r="C111" s="16"/>
      <c r="U111" s="16"/>
      <c r="V111" s="16"/>
    </row>
    <row r="112" spans="3:22" x14ac:dyDescent="0.35">
      <c r="C112" s="16"/>
      <c r="U112" s="16"/>
      <c r="V112" s="16"/>
    </row>
    <row r="113" spans="3:22" x14ac:dyDescent="0.35">
      <c r="C113" s="16"/>
      <c r="U113" s="16"/>
      <c r="V113" s="16"/>
    </row>
    <row r="114" spans="3:22" x14ac:dyDescent="0.35">
      <c r="C114" s="16"/>
      <c r="U114" s="16"/>
      <c r="V114" s="16"/>
    </row>
    <row r="115" spans="3:22" x14ac:dyDescent="0.35">
      <c r="C115" s="16"/>
      <c r="U115" s="16"/>
      <c r="V115" s="16"/>
    </row>
    <row r="116" spans="3:22" x14ac:dyDescent="0.35">
      <c r="C116" s="16"/>
      <c r="U116" s="16"/>
      <c r="V116" s="16"/>
    </row>
    <row r="117" spans="3:22" x14ac:dyDescent="0.35">
      <c r="C117" s="16"/>
      <c r="U117" s="16"/>
      <c r="V117" s="16"/>
    </row>
    <row r="118" spans="3:22" x14ac:dyDescent="0.35">
      <c r="C118" s="16"/>
      <c r="U118" s="16"/>
      <c r="V118" s="16"/>
    </row>
    <row r="119" spans="3:22" x14ac:dyDescent="0.35">
      <c r="C119" s="16"/>
      <c r="U119" s="16"/>
      <c r="V119" s="16"/>
    </row>
    <row r="120" spans="3:22" x14ac:dyDescent="0.35">
      <c r="C120" s="16"/>
      <c r="U120" s="16"/>
      <c r="V120" s="16"/>
    </row>
    <row r="121" spans="3:22" x14ac:dyDescent="0.35">
      <c r="C121" s="16"/>
      <c r="U121" s="16"/>
      <c r="V121" s="16"/>
    </row>
    <row r="122" spans="3:22" x14ac:dyDescent="0.35">
      <c r="C122" s="16"/>
      <c r="U122" s="16"/>
      <c r="V122" s="16"/>
    </row>
  </sheetData>
  <autoFilter ref="A1:OJ1" xr:uid="{9AD9F35B-4867-41A3-BC70-EE7EC6EA3F7D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BE254-32D5-45D6-AA60-72E5AE025E66}">
  <dimension ref="A1:AO13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2" customWidth="1"/>
    <col min="2" max="2" width="7.6328125" style="12" customWidth="1"/>
    <col min="3" max="3" width="12.6328125" style="12" customWidth="1"/>
    <col min="4" max="4" width="13.6328125" style="12" customWidth="1"/>
    <col min="5" max="5" width="25.6328125" style="17" customWidth="1"/>
    <col min="6" max="6" width="13.6328125" style="12" customWidth="1"/>
    <col min="7" max="7" width="25.6328125" style="17" customWidth="1"/>
    <col min="8" max="8" width="13.6328125" style="12" customWidth="1"/>
    <col min="9" max="11" width="25.6328125" style="17" customWidth="1"/>
    <col min="12" max="12" width="8.6328125" style="12" customWidth="1"/>
    <col min="13" max="13" width="25.6328125" style="17" customWidth="1"/>
    <col min="14" max="14" width="13.6328125" style="12" customWidth="1"/>
    <col min="15" max="16" width="30.6328125" style="17" customWidth="1"/>
    <col min="17" max="17" width="25.6328125" style="17" customWidth="1"/>
    <col min="18" max="20" width="13.6328125" style="12" customWidth="1"/>
    <col min="21" max="22" width="12.6328125" style="12" customWidth="1"/>
    <col min="23" max="24" width="25.6328125" style="17" customWidth="1"/>
    <col min="25" max="25" width="15.6328125" style="12" customWidth="1"/>
    <col min="26" max="28" width="25.6328125" style="17" customWidth="1"/>
    <col min="29" max="29" width="15.6328125" style="12" customWidth="1"/>
    <col min="30" max="32" width="25.6328125" style="17" customWidth="1"/>
    <col min="33" max="33" width="15.6328125" style="12" customWidth="1"/>
    <col min="34" max="36" width="25.6328125" style="17" customWidth="1"/>
    <col min="37" max="37" width="15.6328125" style="12" customWidth="1"/>
    <col min="38" max="38" width="25.6328125" style="17" customWidth="1"/>
    <col min="39" max="39" width="40.6328125" style="17" customWidth="1"/>
    <col min="40" max="40" width="9.6328125" style="12" customWidth="1"/>
    <col min="41" max="41" width="15.6328125" style="12" customWidth="1"/>
    <col min="42" max="16384" width="10.90625" style="12"/>
  </cols>
  <sheetData>
    <row r="1" spans="1:41" ht="58" x14ac:dyDescent="0.3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1" t="s">
        <v>21</v>
      </c>
      <c r="V1" s="11" t="s">
        <v>22</v>
      </c>
      <c r="W1" s="10" t="s">
        <v>121</v>
      </c>
      <c r="X1" s="10" t="s">
        <v>122</v>
      </c>
      <c r="Y1" s="10" t="s">
        <v>123</v>
      </c>
      <c r="Z1" s="10" t="s">
        <v>124</v>
      </c>
      <c r="AA1" s="10" t="s">
        <v>125</v>
      </c>
      <c r="AB1" s="10" t="s">
        <v>126</v>
      </c>
      <c r="AC1" s="10" t="s">
        <v>127</v>
      </c>
      <c r="AD1" s="10" t="s">
        <v>128</v>
      </c>
      <c r="AE1" s="10" t="s">
        <v>129</v>
      </c>
      <c r="AF1" s="10" t="s">
        <v>130</v>
      </c>
      <c r="AG1" s="10" t="s">
        <v>131</v>
      </c>
      <c r="AH1" s="10" t="s">
        <v>132</v>
      </c>
      <c r="AI1" s="10" t="s">
        <v>133</v>
      </c>
      <c r="AJ1" s="10" t="s">
        <v>134</v>
      </c>
      <c r="AK1" s="10" t="s">
        <v>135</v>
      </c>
      <c r="AL1" s="10" t="s">
        <v>136</v>
      </c>
      <c r="AM1" s="10" t="s">
        <v>137</v>
      </c>
      <c r="AN1" s="10" t="s">
        <v>54</v>
      </c>
      <c r="AO1" s="10" t="s">
        <v>55</v>
      </c>
    </row>
    <row r="2" spans="1:41" ht="29" x14ac:dyDescent="0.35">
      <c r="A2" s="13" t="s">
        <v>56</v>
      </c>
      <c r="B2" s="13" t="s">
        <v>57</v>
      </c>
      <c r="C2" s="14">
        <v>43152.5</v>
      </c>
      <c r="D2" s="13" t="s">
        <v>58</v>
      </c>
      <c r="E2" s="15" t="s">
        <v>59</v>
      </c>
      <c r="F2" s="13" t="s">
        <v>60</v>
      </c>
      <c r="G2" s="15" t="s">
        <v>61</v>
      </c>
      <c r="H2" s="13" t="s">
        <v>62</v>
      </c>
      <c r="I2" s="15" t="s">
        <v>63</v>
      </c>
      <c r="J2" s="15" t="s">
        <v>64</v>
      </c>
      <c r="K2" s="15" t="s">
        <v>65</v>
      </c>
      <c r="L2" s="13" t="s">
        <v>66</v>
      </c>
      <c r="M2" s="15" t="s">
        <v>67</v>
      </c>
      <c r="N2" s="13" t="s">
        <v>68</v>
      </c>
      <c r="O2" s="15"/>
      <c r="P2" s="15"/>
      <c r="Q2" s="15" t="s">
        <v>69</v>
      </c>
      <c r="R2" s="13" t="s">
        <v>70</v>
      </c>
      <c r="S2" s="13" t="s">
        <v>71</v>
      </c>
      <c r="T2" s="13" t="s">
        <v>72</v>
      </c>
      <c r="U2" s="14">
        <v>40725</v>
      </c>
      <c r="V2" s="14"/>
      <c r="W2" s="15"/>
      <c r="X2" s="15"/>
      <c r="Y2" s="13"/>
      <c r="Z2" s="15"/>
      <c r="AA2" s="15"/>
      <c r="AB2" s="15"/>
      <c r="AC2" s="13"/>
      <c r="AD2" s="15"/>
      <c r="AE2" s="15"/>
      <c r="AF2" s="15"/>
      <c r="AG2" s="13"/>
      <c r="AH2" s="15"/>
      <c r="AI2" s="15"/>
      <c r="AJ2" s="15"/>
      <c r="AK2" s="13"/>
      <c r="AL2" s="15"/>
      <c r="AM2" s="15"/>
      <c r="AN2" s="13"/>
      <c r="AO2" s="13"/>
    </row>
    <row r="3" spans="1:41" ht="29" x14ac:dyDescent="0.35">
      <c r="A3" s="13" t="s">
        <v>56</v>
      </c>
      <c r="B3" s="13" t="s">
        <v>57</v>
      </c>
      <c r="C3" s="14">
        <v>43152.5</v>
      </c>
      <c r="D3" s="13" t="s">
        <v>58</v>
      </c>
      <c r="E3" s="15" t="s">
        <v>59</v>
      </c>
      <c r="F3" s="13" t="s">
        <v>60</v>
      </c>
      <c r="G3" s="15" t="s">
        <v>61</v>
      </c>
      <c r="H3" s="13" t="s">
        <v>62</v>
      </c>
      <c r="I3" s="15" t="s">
        <v>63</v>
      </c>
      <c r="J3" s="15" t="s">
        <v>64</v>
      </c>
      <c r="K3" s="15" t="s">
        <v>65</v>
      </c>
      <c r="L3" s="13" t="s">
        <v>73</v>
      </c>
      <c r="M3" s="15" t="s">
        <v>74</v>
      </c>
      <c r="N3" s="13" t="s">
        <v>75</v>
      </c>
      <c r="O3" s="15"/>
      <c r="P3" s="15"/>
      <c r="Q3" s="15" t="s">
        <v>69</v>
      </c>
      <c r="R3" s="13" t="s">
        <v>70</v>
      </c>
      <c r="S3" s="13" t="s">
        <v>71</v>
      </c>
      <c r="T3" s="13" t="s">
        <v>72</v>
      </c>
      <c r="U3" s="14">
        <v>40725</v>
      </c>
      <c r="V3" s="14"/>
      <c r="W3" s="15"/>
      <c r="X3" s="15"/>
      <c r="Y3" s="13"/>
      <c r="Z3" s="15"/>
      <c r="AA3" s="15"/>
      <c r="AB3" s="15"/>
      <c r="AC3" s="13"/>
      <c r="AD3" s="15"/>
      <c r="AE3" s="15"/>
      <c r="AF3" s="15"/>
      <c r="AG3" s="13"/>
      <c r="AH3" s="15"/>
      <c r="AI3" s="15"/>
      <c r="AJ3" s="15"/>
      <c r="AK3" s="13"/>
      <c r="AL3" s="15"/>
      <c r="AM3" s="15"/>
      <c r="AN3" s="13"/>
      <c r="AO3" s="13"/>
    </row>
    <row r="4" spans="1:41" ht="29" x14ac:dyDescent="0.35">
      <c r="A4" s="13" t="s">
        <v>56</v>
      </c>
      <c r="B4" s="13" t="s">
        <v>57</v>
      </c>
      <c r="C4" s="14">
        <v>43152.5</v>
      </c>
      <c r="D4" s="13" t="s">
        <v>58</v>
      </c>
      <c r="E4" s="15" t="s">
        <v>59</v>
      </c>
      <c r="F4" s="13" t="s">
        <v>60</v>
      </c>
      <c r="G4" s="15" t="s">
        <v>61</v>
      </c>
      <c r="H4" s="13" t="s">
        <v>62</v>
      </c>
      <c r="I4" s="15" t="s">
        <v>63</v>
      </c>
      <c r="J4" s="15" t="s">
        <v>64</v>
      </c>
      <c r="K4" s="15" t="s">
        <v>65</v>
      </c>
      <c r="L4" s="13" t="s">
        <v>66</v>
      </c>
      <c r="M4" s="15" t="s">
        <v>67</v>
      </c>
      <c r="N4" s="13" t="s">
        <v>68</v>
      </c>
      <c r="O4" s="15"/>
      <c r="P4" s="15"/>
      <c r="Q4" s="15" t="s">
        <v>76</v>
      </c>
      <c r="R4" s="13" t="s">
        <v>77</v>
      </c>
      <c r="S4" s="13" t="s">
        <v>71</v>
      </c>
      <c r="T4" s="13" t="s">
        <v>72</v>
      </c>
      <c r="U4" s="14">
        <v>40725</v>
      </c>
      <c r="V4" s="14"/>
      <c r="W4" s="15"/>
      <c r="X4" s="15"/>
      <c r="Y4" s="13"/>
      <c r="Z4" s="15"/>
      <c r="AA4" s="15"/>
      <c r="AB4" s="15"/>
      <c r="AC4" s="13"/>
      <c r="AD4" s="15"/>
      <c r="AE4" s="15"/>
      <c r="AF4" s="15"/>
      <c r="AG4" s="13"/>
      <c r="AH4" s="15"/>
      <c r="AI4" s="15"/>
      <c r="AJ4" s="15"/>
      <c r="AK4" s="13"/>
      <c r="AL4" s="15"/>
      <c r="AM4" s="15"/>
      <c r="AN4" s="13"/>
      <c r="AO4" s="13"/>
    </row>
    <row r="5" spans="1:41" ht="29" x14ac:dyDescent="0.35">
      <c r="A5" s="13" t="s">
        <v>56</v>
      </c>
      <c r="B5" s="13" t="s">
        <v>57</v>
      </c>
      <c r="C5" s="14">
        <v>43152.5</v>
      </c>
      <c r="D5" s="13" t="s">
        <v>58</v>
      </c>
      <c r="E5" s="15" t="s">
        <v>59</v>
      </c>
      <c r="F5" s="13" t="s">
        <v>60</v>
      </c>
      <c r="G5" s="15" t="s">
        <v>61</v>
      </c>
      <c r="H5" s="13" t="s">
        <v>62</v>
      </c>
      <c r="I5" s="15" t="s">
        <v>63</v>
      </c>
      <c r="J5" s="15" t="s">
        <v>64</v>
      </c>
      <c r="K5" s="15" t="s">
        <v>65</v>
      </c>
      <c r="L5" s="13" t="s">
        <v>73</v>
      </c>
      <c r="M5" s="15" t="s">
        <v>74</v>
      </c>
      <c r="N5" s="13" t="s">
        <v>75</v>
      </c>
      <c r="O5" s="15"/>
      <c r="P5" s="15"/>
      <c r="Q5" s="15" t="s">
        <v>76</v>
      </c>
      <c r="R5" s="13" t="s">
        <v>77</v>
      </c>
      <c r="S5" s="13" t="s">
        <v>71</v>
      </c>
      <c r="T5" s="13" t="s">
        <v>72</v>
      </c>
      <c r="U5" s="14">
        <v>40725</v>
      </c>
      <c r="V5" s="14"/>
      <c r="W5" s="15"/>
      <c r="X5" s="15"/>
      <c r="Y5" s="13"/>
      <c r="Z5" s="15"/>
      <c r="AA5" s="15"/>
      <c r="AB5" s="15"/>
      <c r="AC5" s="13"/>
      <c r="AD5" s="15"/>
      <c r="AE5" s="15"/>
      <c r="AF5" s="15"/>
      <c r="AG5" s="13"/>
      <c r="AH5" s="15"/>
      <c r="AI5" s="15"/>
      <c r="AJ5" s="15"/>
      <c r="AK5" s="13"/>
      <c r="AL5" s="15"/>
      <c r="AM5" s="15"/>
      <c r="AN5" s="13"/>
      <c r="AO5" s="13"/>
    </row>
    <row r="6" spans="1:41" ht="29" x14ac:dyDescent="0.35">
      <c r="A6" s="13" t="s">
        <v>56</v>
      </c>
      <c r="B6" s="13" t="s">
        <v>57</v>
      </c>
      <c r="C6" s="14">
        <v>43152.5</v>
      </c>
      <c r="D6" s="13" t="s">
        <v>58</v>
      </c>
      <c r="E6" s="15" t="s">
        <v>59</v>
      </c>
      <c r="F6" s="13" t="s">
        <v>60</v>
      </c>
      <c r="G6" s="15" t="s">
        <v>61</v>
      </c>
      <c r="H6" s="13" t="s">
        <v>62</v>
      </c>
      <c r="I6" s="15" t="s">
        <v>63</v>
      </c>
      <c r="J6" s="15" t="s">
        <v>64</v>
      </c>
      <c r="K6" s="15" t="s">
        <v>65</v>
      </c>
      <c r="L6" s="13" t="s">
        <v>66</v>
      </c>
      <c r="M6" s="15" t="s">
        <v>67</v>
      </c>
      <c r="N6" s="13" t="s">
        <v>68</v>
      </c>
      <c r="O6" s="15"/>
      <c r="P6" s="15"/>
      <c r="Q6" s="15" t="s">
        <v>78</v>
      </c>
      <c r="R6" s="13" t="s">
        <v>79</v>
      </c>
      <c r="S6" s="13" t="s">
        <v>71</v>
      </c>
      <c r="T6" s="13" t="s">
        <v>72</v>
      </c>
      <c r="U6" s="14">
        <v>40725</v>
      </c>
      <c r="V6" s="14"/>
      <c r="W6" s="15"/>
      <c r="X6" s="15"/>
      <c r="Y6" s="13"/>
      <c r="Z6" s="15"/>
      <c r="AA6" s="15"/>
      <c r="AB6" s="15"/>
      <c r="AC6" s="13"/>
      <c r="AD6" s="15"/>
      <c r="AE6" s="15"/>
      <c r="AF6" s="15"/>
      <c r="AG6" s="13"/>
      <c r="AH6" s="15"/>
      <c r="AI6" s="15"/>
      <c r="AJ6" s="15"/>
      <c r="AK6" s="13"/>
      <c r="AL6" s="15"/>
      <c r="AM6" s="15"/>
      <c r="AN6" s="13"/>
      <c r="AO6" s="13"/>
    </row>
    <row r="7" spans="1:41" ht="29" x14ac:dyDescent="0.35">
      <c r="A7" s="13" t="s">
        <v>56</v>
      </c>
      <c r="B7" s="13" t="s">
        <v>57</v>
      </c>
      <c r="C7" s="14">
        <v>43152.5</v>
      </c>
      <c r="D7" s="13" t="s">
        <v>58</v>
      </c>
      <c r="E7" s="15" t="s">
        <v>59</v>
      </c>
      <c r="F7" s="13" t="s">
        <v>60</v>
      </c>
      <c r="G7" s="15" t="s">
        <v>61</v>
      </c>
      <c r="H7" s="13" t="s">
        <v>62</v>
      </c>
      <c r="I7" s="15" t="s">
        <v>63</v>
      </c>
      <c r="J7" s="15" t="s">
        <v>64</v>
      </c>
      <c r="K7" s="15" t="s">
        <v>65</v>
      </c>
      <c r="L7" s="13" t="s">
        <v>73</v>
      </c>
      <c r="M7" s="15" t="s">
        <v>74</v>
      </c>
      <c r="N7" s="13" t="s">
        <v>75</v>
      </c>
      <c r="O7" s="15"/>
      <c r="P7" s="15"/>
      <c r="Q7" s="15" t="s">
        <v>78</v>
      </c>
      <c r="R7" s="13" t="s">
        <v>79</v>
      </c>
      <c r="S7" s="13" t="s">
        <v>71</v>
      </c>
      <c r="T7" s="13" t="s">
        <v>72</v>
      </c>
      <c r="U7" s="14">
        <v>40725</v>
      </c>
      <c r="V7" s="14"/>
      <c r="W7" s="15"/>
      <c r="X7" s="15"/>
      <c r="Y7" s="13"/>
      <c r="Z7" s="15"/>
      <c r="AA7" s="15"/>
      <c r="AB7" s="15"/>
      <c r="AC7" s="13"/>
      <c r="AD7" s="15"/>
      <c r="AE7" s="15"/>
      <c r="AF7" s="15"/>
      <c r="AG7" s="13"/>
      <c r="AH7" s="15"/>
      <c r="AI7" s="15"/>
      <c r="AJ7" s="15"/>
      <c r="AK7" s="13"/>
      <c r="AL7" s="15"/>
      <c r="AM7" s="15"/>
      <c r="AN7" s="13"/>
      <c r="AO7" s="13"/>
    </row>
    <row r="8" spans="1:41" ht="29" x14ac:dyDescent="0.35">
      <c r="A8" s="13" t="s">
        <v>56</v>
      </c>
      <c r="B8" s="13" t="s">
        <v>57</v>
      </c>
      <c r="C8" s="14">
        <v>43152.5</v>
      </c>
      <c r="D8" s="13" t="s">
        <v>58</v>
      </c>
      <c r="E8" s="15" t="s">
        <v>59</v>
      </c>
      <c r="F8" s="13" t="s">
        <v>60</v>
      </c>
      <c r="G8" s="15" t="s">
        <v>61</v>
      </c>
      <c r="H8" s="13" t="s">
        <v>62</v>
      </c>
      <c r="I8" s="15" t="s">
        <v>63</v>
      </c>
      <c r="J8" s="15" t="s">
        <v>64</v>
      </c>
      <c r="K8" s="15" t="s">
        <v>65</v>
      </c>
      <c r="L8" s="13" t="s">
        <v>66</v>
      </c>
      <c r="M8" s="15" t="s">
        <v>67</v>
      </c>
      <c r="N8" s="13" t="s">
        <v>68</v>
      </c>
      <c r="O8" s="15"/>
      <c r="P8" s="15"/>
      <c r="Q8" s="15" t="s">
        <v>80</v>
      </c>
      <c r="R8" s="13" t="s">
        <v>81</v>
      </c>
      <c r="S8" s="13" t="s">
        <v>71</v>
      </c>
      <c r="T8" s="13" t="s">
        <v>72</v>
      </c>
      <c r="U8" s="14">
        <v>40725</v>
      </c>
      <c r="V8" s="14"/>
      <c r="W8" s="15"/>
      <c r="X8" s="15"/>
      <c r="Y8" s="13"/>
      <c r="Z8" s="15"/>
      <c r="AA8" s="15"/>
      <c r="AB8" s="15"/>
      <c r="AC8" s="13"/>
      <c r="AD8" s="15"/>
      <c r="AE8" s="15"/>
      <c r="AF8" s="15"/>
      <c r="AG8" s="13"/>
      <c r="AH8" s="15"/>
      <c r="AI8" s="15"/>
      <c r="AJ8" s="15"/>
      <c r="AK8" s="13"/>
      <c r="AL8" s="15"/>
      <c r="AM8" s="15"/>
      <c r="AN8" s="13"/>
      <c r="AO8" s="13"/>
    </row>
    <row r="9" spans="1:41" ht="29" x14ac:dyDescent="0.35">
      <c r="A9" s="13" t="s">
        <v>56</v>
      </c>
      <c r="B9" s="13" t="s">
        <v>57</v>
      </c>
      <c r="C9" s="14">
        <v>43152.5</v>
      </c>
      <c r="D9" s="13" t="s">
        <v>58</v>
      </c>
      <c r="E9" s="15" t="s">
        <v>59</v>
      </c>
      <c r="F9" s="13" t="s">
        <v>60</v>
      </c>
      <c r="G9" s="15" t="s">
        <v>61</v>
      </c>
      <c r="H9" s="13" t="s">
        <v>62</v>
      </c>
      <c r="I9" s="15" t="s">
        <v>63</v>
      </c>
      <c r="J9" s="15" t="s">
        <v>64</v>
      </c>
      <c r="K9" s="15" t="s">
        <v>65</v>
      </c>
      <c r="L9" s="13" t="s">
        <v>73</v>
      </c>
      <c r="M9" s="15" t="s">
        <v>74</v>
      </c>
      <c r="N9" s="13" t="s">
        <v>75</v>
      </c>
      <c r="O9" s="15"/>
      <c r="P9" s="15"/>
      <c r="Q9" s="15" t="s">
        <v>80</v>
      </c>
      <c r="R9" s="13" t="s">
        <v>81</v>
      </c>
      <c r="S9" s="13" t="s">
        <v>71</v>
      </c>
      <c r="T9" s="13" t="s">
        <v>72</v>
      </c>
      <c r="U9" s="14">
        <v>40725</v>
      </c>
      <c r="V9" s="14"/>
      <c r="W9" s="15"/>
      <c r="X9" s="15"/>
      <c r="Y9" s="13"/>
      <c r="Z9" s="15"/>
      <c r="AA9" s="15"/>
      <c r="AB9" s="15"/>
      <c r="AC9" s="13"/>
      <c r="AD9" s="15"/>
      <c r="AE9" s="15"/>
      <c r="AF9" s="15"/>
      <c r="AG9" s="13"/>
      <c r="AH9" s="15"/>
      <c r="AI9" s="15"/>
      <c r="AJ9" s="15"/>
      <c r="AK9" s="13"/>
      <c r="AL9" s="15"/>
      <c r="AM9" s="15"/>
      <c r="AN9" s="13"/>
      <c r="AO9" s="13"/>
    </row>
    <row r="10" spans="1:41" ht="29" x14ac:dyDescent="0.35">
      <c r="A10" s="13" t="s">
        <v>56</v>
      </c>
      <c r="B10" s="13" t="s">
        <v>57</v>
      </c>
      <c r="C10" s="14">
        <v>43152.5</v>
      </c>
      <c r="D10" s="13" t="s">
        <v>58</v>
      </c>
      <c r="E10" s="15" t="s">
        <v>59</v>
      </c>
      <c r="F10" s="13" t="s">
        <v>60</v>
      </c>
      <c r="G10" s="15" t="s">
        <v>61</v>
      </c>
      <c r="H10" s="13" t="s">
        <v>62</v>
      </c>
      <c r="I10" s="15" t="s">
        <v>63</v>
      </c>
      <c r="J10" s="15" t="s">
        <v>64</v>
      </c>
      <c r="K10" s="15" t="s">
        <v>65</v>
      </c>
      <c r="L10" s="13" t="s">
        <v>66</v>
      </c>
      <c r="M10" s="15" t="s">
        <v>67</v>
      </c>
      <c r="N10" s="13" t="s">
        <v>68</v>
      </c>
      <c r="O10" s="15"/>
      <c r="P10" s="15"/>
      <c r="Q10" s="15" t="s">
        <v>82</v>
      </c>
      <c r="R10" s="13" t="s">
        <v>83</v>
      </c>
      <c r="S10" s="13" t="s">
        <v>71</v>
      </c>
      <c r="T10" s="13" t="s">
        <v>72</v>
      </c>
      <c r="U10" s="14">
        <v>40725</v>
      </c>
      <c r="V10" s="14"/>
      <c r="W10" s="15"/>
      <c r="X10" s="15"/>
      <c r="Y10" s="13"/>
      <c r="Z10" s="15"/>
      <c r="AA10" s="15"/>
      <c r="AB10" s="15"/>
      <c r="AC10" s="13"/>
      <c r="AD10" s="15"/>
      <c r="AE10" s="15"/>
      <c r="AF10" s="15"/>
      <c r="AG10" s="13"/>
      <c r="AH10" s="15"/>
      <c r="AI10" s="15"/>
      <c r="AJ10" s="15"/>
      <c r="AK10" s="13"/>
      <c r="AL10" s="15"/>
      <c r="AM10" s="15"/>
      <c r="AN10" s="13"/>
      <c r="AO10" s="13"/>
    </row>
    <row r="11" spans="1:41" ht="29" x14ac:dyDescent="0.35">
      <c r="A11" s="13" t="s">
        <v>56</v>
      </c>
      <c r="B11" s="13" t="s">
        <v>57</v>
      </c>
      <c r="C11" s="14">
        <v>43152.5</v>
      </c>
      <c r="D11" s="13" t="s">
        <v>58</v>
      </c>
      <c r="E11" s="15" t="s">
        <v>59</v>
      </c>
      <c r="F11" s="13" t="s">
        <v>60</v>
      </c>
      <c r="G11" s="15" t="s">
        <v>61</v>
      </c>
      <c r="H11" s="13" t="s">
        <v>62</v>
      </c>
      <c r="I11" s="15" t="s">
        <v>63</v>
      </c>
      <c r="J11" s="15" t="s">
        <v>64</v>
      </c>
      <c r="K11" s="15" t="s">
        <v>65</v>
      </c>
      <c r="L11" s="13" t="s">
        <v>73</v>
      </c>
      <c r="M11" s="15" t="s">
        <v>74</v>
      </c>
      <c r="N11" s="13" t="s">
        <v>75</v>
      </c>
      <c r="O11" s="15"/>
      <c r="P11" s="15"/>
      <c r="Q11" s="15" t="s">
        <v>82</v>
      </c>
      <c r="R11" s="13" t="s">
        <v>83</v>
      </c>
      <c r="S11" s="13" t="s">
        <v>71</v>
      </c>
      <c r="T11" s="13" t="s">
        <v>72</v>
      </c>
      <c r="U11" s="14">
        <v>40725</v>
      </c>
      <c r="V11" s="14"/>
      <c r="W11" s="15"/>
      <c r="X11" s="15"/>
      <c r="Y11" s="13"/>
      <c r="Z11" s="15"/>
      <c r="AA11" s="15"/>
      <c r="AB11" s="15"/>
      <c r="AC11" s="13"/>
      <c r="AD11" s="15"/>
      <c r="AE11" s="15"/>
      <c r="AF11" s="15"/>
      <c r="AG11" s="13"/>
      <c r="AH11" s="15"/>
      <c r="AI11" s="15"/>
      <c r="AJ11" s="15"/>
      <c r="AK11" s="13"/>
      <c r="AL11" s="15"/>
      <c r="AM11" s="15"/>
      <c r="AN11" s="13"/>
      <c r="AO11" s="13"/>
    </row>
    <row r="12" spans="1:41" ht="43.5" x14ac:dyDescent="0.35">
      <c r="A12" s="13" t="s">
        <v>56</v>
      </c>
      <c r="B12" s="13" t="s">
        <v>57</v>
      </c>
      <c r="C12" s="14">
        <v>43152.5</v>
      </c>
      <c r="D12" s="13" t="s">
        <v>58</v>
      </c>
      <c r="E12" s="15" t="s">
        <v>59</v>
      </c>
      <c r="F12" s="13" t="s">
        <v>60</v>
      </c>
      <c r="G12" s="15" t="s">
        <v>61</v>
      </c>
      <c r="H12" s="13" t="s">
        <v>62</v>
      </c>
      <c r="I12" s="15" t="s">
        <v>63</v>
      </c>
      <c r="J12" s="15" t="s">
        <v>64</v>
      </c>
      <c r="K12" s="15" t="s">
        <v>65</v>
      </c>
      <c r="L12" s="13" t="s">
        <v>66</v>
      </c>
      <c r="M12" s="15" t="s">
        <v>67</v>
      </c>
      <c r="N12" s="13" t="s">
        <v>68</v>
      </c>
      <c r="O12" s="15"/>
      <c r="P12" s="15"/>
      <c r="Q12" s="15" t="s">
        <v>84</v>
      </c>
      <c r="R12" s="13" t="s">
        <v>85</v>
      </c>
      <c r="S12" s="13" t="s">
        <v>86</v>
      </c>
      <c r="T12" s="13" t="s">
        <v>87</v>
      </c>
      <c r="U12" s="14">
        <v>40725</v>
      </c>
      <c r="V12" s="14">
        <v>41639</v>
      </c>
      <c r="W12" s="15"/>
      <c r="X12" s="15"/>
      <c r="Y12" s="13"/>
      <c r="Z12" s="15"/>
      <c r="AA12" s="15"/>
      <c r="AB12" s="15"/>
      <c r="AC12" s="13"/>
      <c r="AD12" s="15"/>
      <c r="AE12" s="15"/>
      <c r="AF12" s="15"/>
      <c r="AG12" s="13"/>
      <c r="AH12" s="15"/>
      <c r="AI12" s="15"/>
      <c r="AJ12" s="15"/>
      <c r="AK12" s="13"/>
      <c r="AL12" s="15"/>
      <c r="AM12" s="15"/>
      <c r="AN12" s="13"/>
      <c r="AO12" s="13"/>
    </row>
    <row r="13" spans="1:41" ht="43.5" x14ac:dyDescent="0.35">
      <c r="A13" s="13" t="s">
        <v>56</v>
      </c>
      <c r="B13" s="13" t="s">
        <v>57</v>
      </c>
      <c r="C13" s="14">
        <v>43650.651388888888</v>
      </c>
      <c r="D13" s="13" t="s">
        <v>58</v>
      </c>
      <c r="E13" s="15" t="s">
        <v>59</v>
      </c>
      <c r="F13" s="13" t="s">
        <v>60</v>
      </c>
      <c r="G13" s="15" t="s">
        <v>61</v>
      </c>
      <c r="H13" s="13" t="s">
        <v>62</v>
      </c>
      <c r="I13" s="15" t="s">
        <v>63</v>
      </c>
      <c r="J13" s="15" t="s">
        <v>64</v>
      </c>
      <c r="K13" s="15" t="s">
        <v>65</v>
      </c>
      <c r="L13" s="13" t="s">
        <v>73</v>
      </c>
      <c r="M13" s="15" t="s">
        <v>74</v>
      </c>
      <c r="N13" s="13" t="s">
        <v>75</v>
      </c>
      <c r="O13" s="15"/>
      <c r="P13" s="15"/>
      <c r="Q13" s="15" t="s">
        <v>84</v>
      </c>
      <c r="R13" s="13" t="s">
        <v>85</v>
      </c>
      <c r="S13" s="13" t="s">
        <v>86</v>
      </c>
      <c r="T13" s="13" t="s">
        <v>87</v>
      </c>
      <c r="U13" s="14">
        <v>40725</v>
      </c>
      <c r="V13" s="14">
        <v>42735</v>
      </c>
      <c r="W13" s="15"/>
      <c r="X13" s="15"/>
      <c r="Y13" s="13"/>
      <c r="Z13" s="15"/>
      <c r="AA13" s="15"/>
      <c r="AB13" s="15"/>
      <c r="AC13" s="13"/>
      <c r="AD13" s="15"/>
      <c r="AE13" s="15"/>
      <c r="AF13" s="15"/>
      <c r="AG13" s="13"/>
      <c r="AH13" s="15"/>
      <c r="AI13" s="15"/>
      <c r="AJ13" s="15"/>
      <c r="AK13" s="13"/>
      <c r="AL13" s="15"/>
      <c r="AM13" s="15"/>
      <c r="AN13" s="13"/>
      <c r="AO13" s="13"/>
    </row>
  </sheetData>
  <autoFilter ref="A1:AS1" xr:uid="{62DBE254-32D5-45D6-AA60-72E5AE025E66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AC200-242F-4E6A-B58F-6E5B38F359F4}">
  <dimension ref="A1:U17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2" customWidth="1"/>
    <col min="2" max="2" width="7.6328125" style="12" customWidth="1"/>
    <col min="3" max="4" width="12.6328125" style="12" customWidth="1"/>
    <col min="5" max="5" width="14.6328125" style="12" customWidth="1"/>
    <col min="6" max="6" width="40.6328125" style="17" customWidth="1"/>
    <col min="7" max="7" width="25.6328125" style="12" customWidth="1"/>
    <col min="8" max="9" width="12.6328125" style="12" customWidth="1"/>
    <col min="10" max="11" width="40.6328125" style="17" customWidth="1"/>
    <col min="12" max="12" width="14.6328125" style="12" customWidth="1"/>
    <col min="13" max="13" width="25.6328125" style="17" customWidth="1"/>
    <col min="14" max="17" width="25.6328125" style="12" customWidth="1"/>
    <col min="18" max="18" width="9.6328125" style="12" customWidth="1"/>
    <col min="19" max="20" width="15.6328125" style="12" customWidth="1"/>
    <col min="21" max="21" width="40.6328125" style="17" customWidth="1"/>
    <col min="22" max="16384" width="10.90625" style="12"/>
  </cols>
  <sheetData>
    <row r="1" spans="1:21" ht="43.5" x14ac:dyDescent="0.35">
      <c r="A1" s="10" t="s">
        <v>2</v>
      </c>
      <c r="B1" s="10" t="s">
        <v>3</v>
      </c>
      <c r="C1" s="11" t="s">
        <v>4</v>
      </c>
      <c r="D1" s="10" t="s">
        <v>138</v>
      </c>
      <c r="E1" s="10" t="s">
        <v>139</v>
      </c>
      <c r="F1" s="10" t="s">
        <v>140</v>
      </c>
      <c r="G1" s="10" t="s">
        <v>141</v>
      </c>
      <c r="H1" s="11" t="s">
        <v>21</v>
      </c>
      <c r="I1" s="11" t="s">
        <v>22</v>
      </c>
      <c r="J1" s="10" t="s">
        <v>142</v>
      </c>
      <c r="K1" s="10" t="s">
        <v>143</v>
      </c>
      <c r="L1" s="10" t="s">
        <v>144</v>
      </c>
      <c r="M1" s="10" t="s">
        <v>137</v>
      </c>
      <c r="N1" s="10" t="s">
        <v>145</v>
      </c>
      <c r="O1" s="10" t="s">
        <v>146</v>
      </c>
      <c r="P1" s="10" t="s">
        <v>147</v>
      </c>
      <c r="Q1" s="10" t="s">
        <v>148</v>
      </c>
      <c r="R1" s="10" t="s">
        <v>54</v>
      </c>
      <c r="S1" s="10" t="s">
        <v>55</v>
      </c>
      <c r="T1" s="10" t="s">
        <v>149</v>
      </c>
      <c r="U1" s="10" t="s">
        <v>150</v>
      </c>
    </row>
    <row r="2" spans="1:21" ht="87" x14ac:dyDescent="0.35">
      <c r="A2" s="13" t="s">
        <v>56</v>
      </c>
      <c r="B2" s="13" t="s">
        <v>57</v>
      </c>
      <c r="C2" s="14">
        <v>43650.65</v>
      </c>
      <c r="D2" s="13" t="s">
        <v>89</v>
      </c>
      <c r="E2" s="13" t="s">
        <v>142</v>
      </c>
      <c r="F2" s="15" t="s">
        <v>90</v>
      </c>
      <c r="G2" s="13" t="s">
        <v>151</v>
      </c>
      <c r="H2" s="14">
        <v>40725</v>
      </c>
      <c r="I2" s="14">
        <v>41639</v>
      </c>
      <c r="J2" s="15"/>
      <c r="K2" s="15" t="s">
        <v>152</v>
      </c>
      <c r="L2" s="13" t="s">
        <v>153</v>
      </c>
      <c r="M2" s="15"/>
      <c r="N2" s="13"/>
      <c r="O2" s="13"/>
      <c r="P2" s="13"/>
      <c r="Q2" s="13"/>
      <c r="R2" s="13"/>
      <c r="S2" s="13"/>
      <c r="T2" s="13"/>
      <c r="U2" s="15"/>
    </row>
    <row r="3" spans="1:21" ht="43.5" x14ac:dyDescent="0.35">
      <c r="A3" s="13" t="s">
        <v>56</v>
      </c>
      <c r="B3" s="13" t="s">
        <v>57</v>
      </c>
      <c r="C3" s="14">
        <v>43168.493750000001</v>
      </c>
      <c r="D3" s="13" t="s">
        <v>91</v>
      </c>
      <c r="E3" s="13" t="s">
        <v>142</v>
      </c>
      <c r="F3" s="15" t="s">
        <v>92</v>
      </c>
      <c r="G3" s="13" t="s">
        <v>151</v>
      </c>
      <c r="H3" s="14">
        <v>40725</v>
      </c>
      <c r="I3" s="14">
        <v>41639</v>
      </c>
      <c r="J3" s="15"/>
      <c r="K3" s="15" t="s">
        <v>154</v>
      </c>
      <c r="L3" s="13" t="s">
        <v>153</v>
      </c>
      <c r="M3" s="15"/>
      <c r="N3" s="13"/>
      <c r="O3" s="13"/>
      <c r="P3" s="13"/>
      <c r="Q3" s="13"/>
      <c r="R3" s="13"/>
      <c r="S3" s="13"/>
      <c r="T3" s="13"/>
      <c r="U3" s="15"/>
    </row>
    <row r="4" spans="1:21" ht="43.5" x14ac:dyDescent="0.35">
      <c r="A4" s="13" t="s">
        <v>56</v>
      </c>
      <c r="B4" s="13" t="s">
        <v>57</v>
      </c>
      <c r="C4" s="14">
        <v>43168.493750000001</v>
      </c>
      <c r="D4" s="13" t="s">
        <v>93</v>
      </c>
      <c r="E4" s="13" t="s">
        <v>142</v>
      </c>
      <c r="F4" s="15" t="s">
        <v>94</v>
      </c>
      <c r="G4" s="13" t="s">
        <v>155</v>
      </c>
      <c r="H4" s="14">
        <v>40725</v>
      </c>
      <c r="I4" s="14">
        <v>42735</v>
      </c>
      <c r="J4" s="15" t="s">
        <v>156</v>
      </c>
      <c r="K4" s="15" t="s">
        <v>157</v>
      </c>
      <c r="L4" s="13" t="s">
        <v>153</v>
      </c>
      <c r="M4" s="15"/>
      <c r="N4" s="13"/>
      <c r="O4" s="13"/>
      <c r="P4" s="13"/>
      <c r="Q4" s="13"/>
      <c r="R4" s="13"/>
      <c r="S4" s="13"/>
      <c r="T4" s="13"/>
      <c r="U4" s="15"/>
    </row>
    <row r="5" spans="1:21" ht="43.5" x14ac:dyDescent="0.35">
      <c r="A5" s="13" t="s">
        <v>56</v>
      </c>
      <c r="B5" s="13" t="s">
        <v>57</v>
      </c>
      <c r="C5" s="14">
        <v>43168.494444444441</v>
      </c>
      <c r="D5" s="13" t="s">
        <v>95</v>
      </c>
      <c r="E5" s="13" t="s">
        <v>142</v>
      </c>
      <c r="F5" s="15" t="s">
        <v>96</v>
      </c>
      <c r="G5" s="13" t="s">
        <v>155</v>
      </c>
      <c r="H5" s="14">
        <v>40725</v>
      </c>
      <c r="I5" s="14">
        <v>42735</v>
      </c>
      <c r="J5" s="15" t="s">
        <v>158</v>
      </c>
      <c r="K5" s="15" t="s">
        <v>159</v>
      </c>
      <c r="L5" s="13" t="s">
        <v>153</v>
      </c>
      <c r="M5" s="15"/>
      <c r="N5" s="13"/>
      <c r="O5" s="13"/>
      <c r="P5" s="13"/>
      <c r="Q5" s="13"/>
      <c r="R5" s="13"/>
      <c r="S5" s="13"/>
      <c r="T5" s="13"/>
      <c r="U5" s="15"/>
    </row>
    <row r="6" spans="1:21" ht="29" x14ac:dyDescent="0.35">
      <c r="A6" s="13" t="s">
        <v>56</v>
      </c>
      <c r="B6" s="13" t="s">
        <v>57</v>
      </c>
      <c r="C6" s="14">
        <v>43168.494444444441</v>
      </c>
      <c r="D6" s="13" t="s">
        <v>97</v>
      </c>
      <c r="E6" s="13" t="s">
        <v>142</v>
      </c>
      <c r="F6" s="15" t="s">
        <v>98</v>
      </c>
      <c r="G6" s="13" t="s">
        <v>155</v>
      </c>
      <c r="H6" s="14">
        <v>40725</v>
      </c>
      <c r="I6" s="14">
        <v>42735</v>
      </c>
      <c r="J6" s="15" t="s">
        <v>156</v>
      </c>
      <c r="K6" s="15" t="s">
        <v>160</v>
      </c>
      <c r="L6" s="13" t="s">
        <v>153</v>
      </c>
      <c r="M6" s="15"/>
      <c r="N6" s="13"/>
      <c r="O6" s="13"/>
      <c r="P6" s="13"/>
      <c r="Q6" s="13"/>
      <c r="R6" s="13"/>
      <c r="S6" s="13"/>
      <c r="T6" s="13"/>
      <c r="U6" s="15"/>
    </row>
    <row r="7" spans="1:21" ht="43.5" x14ac:dyDescent="0.35">
      <c r="A7" s="13" t="s">
        <v>56</v>
      </c>
      <c r="B7" s="13" t="s">
        <v>57</v>
      </c>
      <c r="C7" s="14">
        <v>43168.495138888888</v>
      </c>
      <c r="D7" s="13" t="s">
        <v>99</v>
      </c>
      <c r="E7" s="13" t="s">
        <v>142</v>
      </c>
      <c r="F7" s="15" t="s">
        <v>100</v>
      </c>
      <c r="G7" s="13" t="s">
        <v>155</v>
      </c>
      <c r="H7" s="14">
        <v>40725</v>
      </c>
      <c r="I7" s="14">
        <v>42735</v>
      </c>
      <c r="J7" s="15" t="s">
        <v>158</v>
      </c>
      <c r="K7" s="15" t="s">
        <v>161</v>
      </c>
      <c r="L7" s="13" t="s">
        <v>153</v>
      </c>
      <c r="M7" s="15"/>
      <c r="N7" s="13"/>
      <c r="O7" s="13"/>
      <c r="P7" s="13"/>
      <c r="Q7" s="13"/>
      <c r="R7" s="13"/>
      <c r="S7" s="13"/>
      <c r="T7" s="13"/>
      <c r="U7" s="15"/>
    </row>
    <row r="8" spans="1:21" ht="43.5" x14ac:dyDescent="0.35">
      <c r="A8" s="13" t="s">
        <v>56</v>
      </c>
      <c r="B8" s="13" t="s">
        <v>57</v>
      </c>
      <c r="C8" s="14">
        <v>43152.5</v>
      </c>
      <c r="D8" s="13" t="s">
        <v>101</v>
      </c>
      <c r="E8" s="13" t="s">
        <v>162</v>
      </c>
      <c r="F8" s="15" t="s">
        <v>102</v>
      </c>
      <c r="G8" s="13"/>
      <c r="H8" s="14">
        <v>40725</v>
      </c>
      <c r="I8" s="14"/>
      <c r="J8" s="15"/>
      <c r="K8" s="15" t="s">
        <v>163</v>
      </c>
      <c r="L8" s="13" t="s">
        <v>153</v>
      </c>
      <c r="M8" s="15"/>
      <c r="N8" s="13"/>
      <c r="O8" s="13"/>
      <c r="P8" s="13"/>
      <c r="Q8" s="13"/>
      <c r="R8" s="13"/>
      <c r="S8" s="13"/>
      <c r="T8" s="13"/>
      <c r="U8" s="15"/>
    </row>
    <row r="9" spans="1:21" ht="43.5" x14ac:dyDescent="0.35">
      <c r="A9" s="13" t="s">
        <v>56</v>
      </c>
      <c r="B9" s="13" t="s">
        <v>57</v>
      </c>
      <c r="C9" s="14">
        <v>43152.5</v>
      </c>
      <c r="D9" s="13" t="s">
        <v>103</v>
      </c>
      <c r="E9" s="13" t="s">
        <v>162</v>
      </c>
      <c r="F9" s="15" t="s">
        <v>104</v>
      </c>
      <c r="G9" s="13"/>
      <c r="H9" s="14">
        <v>40725</v>
      </c>
      <c r="I9" s="14"/>
      <c r="J9" s="15" t="s">
        <v>156</v>
      </c>
      <c r="K9" s="15" t="s">
        <v>164</v>
      </c>
      <c r="L9" s="13" t="s">
        <v>153</v>
      </c>
      <c r="M9" s="15"/>
      <c r="N9" s="13"/>
      <c r="O9" s="13"/>
      <c r="P9" s="13"/>
      <c r="Q9" s="13"/>
      <c r="R9" s="13"/>
      <c r="S9" s="13"/>
      <c r="T9" s="13"/>
      <c r="U9" s="15"/>
    </row>
    <row r="10" spans="1:21" ht="43.5" x14ac:dyDescent="0.35">
      <c r="A10" s="13" t="s">
        <v>56</v>
      </c>
      <c r="B10" s="13" t="s">
        <v>57</v>
      </c>
      <c r="C10" s="14">
        <v>43152.5</v>
      </c>
      <c r="D10" s="13" t="s">
        <v>105</v>
      </c>
      <c r="E10" s="13" t="s">
        <v>162</v>
      </c>
      <c r="F10" s="15" t="s">
        <v>106</v>
      </c>
      <c r="G10" s="13"/>
      <c r="H10" s="14">
        <v>40725</v>
      </c>
      <c r="I10" s="14"/>
      <c r="J10" s="15" t="s">
        <v>158</v>
      </c>
      <c r="K10" s="15" t="s">
        <v>165</v>
      </c>
      <c r="L10" s="13" t="s">
        <v>153</v>
      </c>
      <c r="M10" s="15"/>
      <c r="N10" s="13"/>
      <c r="O10" s="13"/>
      <c r="P10" s="13"/>
      <c r="Q10" s="13"/>
      <c r="R10" s="13"/>
      <c r="S10" s="13"/>
      <c r="T10" s="13"/>
      <c r="U10" s="15"/>
    </row>
    <row r="11" spans="1:21" ht="43.5" x14ac:dyDescent="0.35">
      <c r="A11" s="13" t="s">
        <v>56</v>
      </c>
      <c r="B11" s="13" t="s">
        <v>57</v>
      </c>
      <c r="C11" s="14">
        <v>43152.5</v>
      </c>
      <c r="D11" s="13" t="s">
        <v>107</v>
      </c>
      <c r="E11" s="13" t="s">
        <v>162</v>
      </c>
      <c r="F11" s="15" t="s">
        <v>108</v>
      </c>
      <c r="G11" s="13"/>
      <c r="H11" s="14">
        <v>40725</v>
      </c>
      <c r="I11" s="14"/>
      <c r="J11" s="15" t="s">
        <v>156</v>
      </c>
      <c r="K11" s="15" t="s">
        <v>166</v>
      </c>
      <c r="L11" s="13" t="s">
        <v>167</v>
      </c>
      <c r="M11" s="15"/>
      <c r="N11" s="13"/>
      <c r="O11" s="13"/>
      <c r="P11" s="13"/>
      <c r="Q11" s="13"/>
      <c r="R11" s="13"/>
      <c r="S11" s="13"/>
      <c r="T11" s="13"/>
      <c r="U11" s="15"/>
    </row>
    <row r="12" spans="1:21" ht="43.5" x14ac:dyDescent="0.35">
      <c r="A12" s="13" t="s">
        <v>56</v>
      </c>
      <c r="B12" s="13" t="s">
        <v>57</v>
      </c>
      <c r="C12" s="14">
        <v>43152.5</v>
      </c>
      <c r="D12" s="13" t="s">
        <v>109</v>
      </c>
      <c r="E12" s="13" t="s">
        <v>162</v>
      </c>
      <c r="F12" s="15" t="s">
        <v>110</v>
      </c>
      <c r="G12" s="13"/>
      <c r="H12" s="14">
        <v>40725</v>
      </c>
      <c r="I12" s="14"/>
      <c r="J12" s="15" t="s">
        <v>158</v>
      </c>
      <c r="K12" s="15" t="s">
        <v>168</v>
      </c>
      <c r="L12" s="13" t="s">
        <v>167</v>
      </c>
      <c r="M12" s="15"/>
      <c r="N12" s="13"/>
      <c r="O12" s="13"/>
      <c r="P12" s="13"/>
      <c r="Q12" s="13"/>
      <c r="R12" s="13"/>
      <c r="S12" s="13"/>
      <c r="T12" s="13"/>
      <c r="U12" s="15"/>
    </row>
    <row r="13" spans="1:21" ht="43.5" x14ac:dyDescent="0.35">
      <c r="A13" s="13" t="s">
        <v>56</v>
      </c>
      <c r="B13" s="13" t="s">
        <v>57</v>
      </c>
      <c r="C13" s="14">
        <v>43152.5</v>
      </c>
      <c r="D13" s="13" t="s">
        <v>115</v>
      </c>
      <c r="E13" s="13" t="s">
        <v>162</v>
      </c>
      <c r="F13" s="15" t="s">
        <v>116</v>
      </c>
      <c r="G13" s="13"/>
      <c r="H13" s="14">
        <v>40725</v>
      </c>
      <c r="I13" s="14"/>
      <c r="J13" s="15"/>
      <c r="K13" s="15" t="s">
        <v>169</v>
      </c>
      <c r="L13" s="13" t="s">
        <v>153</v>
      </c>
      <c r="M13" s="15"/>
      <c r="N13" s="13"/>
      <c r="O13" s="13"/>
      <c r="P13" s="13"/>
      <c r="Q13" s="13"/>
      <c r="R13" s="13"/>
      <c r="S13" s="13"/>
      <c r="T13" s="13"/>
      <c r="U13" s="15"/>
    </row>
    <row r="14" spans="1:21" ht="72.5" x14ac:dyDescent="0.35">
      <c r="A14" s="13" t="s">
        <v>56</v>
      </c>
      <c r="B14" s="13" t="s">
        <v>57</v>
      </c>
      <c r="C14" s="14">
        <v>44932.46875</v>
      </c>
      <c r="D14" s="13" t="s">
        <v>111</v>
      </c>
      <c r="E14" s="13" t="s">
        <v>162</v>
      </c>
      <c r="F14" s="15" t="s">
        <v>112</v>
      </c>
      <c r="G14" s="13"/>
      <c r="H14" s="14">
        <v>40725</v>
      </c>
      <c r="I14" s="14"/>
      <c r="J14" s="15" t="s">
        <v>170</v>
      </c>
      <c r="K14" s="15" t="s">
        <v>171</v>
      </c>
      <c r="L14" s="13" t="s">
        <v>153</v>
      </c>
      <c r="M14" s="15" t="s">
        <v>172</v>
      </c>
      <c r="N14" s="13"/>
      <c r="O14" s="13"/>
      <c r="P14" s="13"/>
      <c r="Q14" s="13"/>
      <c r="R14" s="13"/>
      <c r="S14" s="13"/>
      <c r="T14" s="13"/>
      <c r="U14" s="15"/>
    </row>
    <row r="15" spans="1:21" ht="72.5" x14ac:dyDescent="0.35">
      <c r="A15" s="13" t="s">
        <v>56</v>
      </c>
      <c r="B15" s="13" t="s">
        <v>57</v>
      </c>
      <c r="C15" s="14">
        <v>44932.470833333333</v>
      </c>
      <c r="D15" s="13" t="s">
        <v>113</v>
      </c>
      <c r="E15" s="13" t="s">
        <v>162</v>
      </c>
      <c r="F15" s="15" t="s">
        <v>114</v>
      </c>
      <c r="G15" s="13"/>
      <c r="H15" s="14">
        <v>40725</v>
      </c>
      <c r="I15" s="14"/>
      <c r="J15" s="15" t="s">
        <v>173</v>
      </c>
      <c r="K15" s="15" t="s">
        <v>174</v>
      </c>
      <c r="L15" s="13" t="s">
        <v>153</v>
      </c>
      <c r="M15" s="15" t="s">
        <v>172</v>
      </c>
      <c r="N15" s="13"/>
      <c r="O15" s="13"/>
      <c r="P15" s="13"/>
      <c r="Q15" s="13"/>
      <c r="R15" s="13"/>
      <c r="S15" s="13"/>
      <c r="T15" s="13"/>
      <c r="U15" s="15"/>
    </row>
    <row r="16" spans="1:21" ht="72.5" x14ac:dyDescent="0.35">
      <c r="A16" s="13" t="s">
        <v>175</v>
      </c>
      <c r="B16" s="13" t="s">
        <v>176</v>
      </c>
      <c r="C16" s="14">
        <v>43669.656944444447</v>
      </c>
      <c r="D16" s="13" t="s">
        <v>117</v>
      </c>
      <c r="E16" s="13" t="s">
        <v>162</v>
      </c>
      <c r="F16" s="15" t="s">
        <v>118</v>
      </c>
      <c r="G16" s="13"/>
      <c r="H16" s="14">
        <v>40725</v>
      </c>
      <c r="I16" s="14"/>
      <c r="J16" s="15"/>
      <c r="K16" s="15" t="s">
        <v>177</v>
      </c>
      <c r="L16" s="13" t="s">
        <v>153</v>
      </c>
      <c r="M16" s="15"/>
      <c r="N16" s="13"/>
      <c r="O16" s="13"/>
      <c r="P16" s="13"/>
      <c r="Q16" s="13"/>
      <c r="R16" s="13"/>
      <c r="S16" s="13"/>
      <c r="T16" s="13"/>
      <c r="U16" s="15"/>
    </row>
    <row r="17" spans="3:9" x14ac:dyDescent="0.35">
      <c r="C17" s="16"/>
      <c r="H17" s="16"/>
      <c r="I17" s="16"/>
    </row>
  </sheetData>
  <autoFilter ref="A1:Z1" xr:uid="{8C4AC200-242F-4E6A-B58F-6E5B38F359F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Mode opératoire</vt:lpstr>
      <vt:lpstr>Axe 1 Enchainement des RG</vt:lpstr>
      <vt:lpstr>Axe 1 Enchaînement RG Impact</vt:lpstr>
      <vt:lpstr>Axe 1 Rattachement des actes</vt:lpstr>
      <vt:lpstr>Axe 2 Règles de gestion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SCHLOKSARCZYK Sophie</dc:creator>
  <cp:lastModifiedBy>SCHLOKSARCZYK Sophie</cp:lastModifiedBy>
  <dcterms:created xsi:type="dcterms:W3CDTF">2025-12-10T08:51:53Z</dcterms:created>
  <dcterms:modified xsi:type="dcterms:W3CDTF">2025-12-10T08:51:54Z</dcterms:modified>
</cp:coreProperties>
</file>