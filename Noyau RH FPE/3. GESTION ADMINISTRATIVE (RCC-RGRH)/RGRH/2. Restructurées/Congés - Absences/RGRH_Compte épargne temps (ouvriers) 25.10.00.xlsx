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5-Gestion des évolutions\Fiches évolution\2025\25.10.00\2025-114 OPA CET, congés annuels jours ARTT\MACROS\"/>
    </mc:Choice>
  </mc:AlternateContent>
  <xr:revisionPtr revIDLastSave="0" documentId="13_ncr:1_{84C7FED1-C968-40BB-8385-764D12AAC42E}" xr6:coauthVersionLast="47" xr6:coauthVersionMax="47" xr10:uidLastSave="{00000000-0000-0000-0000-000000000000}"/>
  <bookViews>
    <workbookView xWindow="-11751" yWindow="14155" windowWidth="26300" windowHeight="14170" firstSheet="1" activeTab="4" xr2:uid="{FDA624A7-A24F-43B0-9848-7505006325A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58" i="4" l="1"/>
  <c r="AQ57" i="4"/>
  <c r="AQ56" i="4"/>
  <c r="AQ6" i="4"/>
  <c r="AQ5" i="4"/>
  <c r="AQ4" i="4"/>
  <c r="AQ3" i="4"/>
  <c r="AQ2" i="4"/>
  <c r="AO58" i="4"/>
  <c r="AO57" i="4"/>
  <c r="AO56" i="4"/>
  <c r="AO6" i="4"/>
  <c r="AO5" i="4"/>
  <c r="AO4" i="4"/>
  <c r="AO3" i="4"/>
  <c r="AO2" i="4"/>
  <c r="AM58" i="4"/>
  <c r="AM57" i="4"/>
  <c r="AM56" i="4"/>
  <c r="AM6" i="4"/>
  <c r="AM5" i="4"/>
  <c r="AM4" i="4"/>
  <c r="AM3" i="4"/>
  <c r="AM2" i="4"/>
  <c r="AK63" i="4"/>
  <c r="AK62" i="4"/>
  <c r="AK61" i="4"/>
  <c r="AK58" i="4"/>
  <c r="AK57" i="4"/>
  <c r="AK56" i="4"/>
  <c r="AK14" i="4"/>
  <c r="AK13" i="4"/>
  <c r="AK12" i="4"/>
  <c r="AK11" i="4"/>
  <c r="AK10" i="4"/>
  <c r="AK6" i="4"/>
  <c r="AK5" i="4"/>
  <c r="AK4" i="4"/>
  <c r="AK3" i="4"/>
  <c r="AK2" i="4"/>
  <c r="AI63" i="4"/>
  <c r="AI62" i="4"/>
  <c r="AI61" i="4"/>
  <c r="AI58" i="4"/>
  <c r="AI57" i="4"/>
  <c r="AI56" i="4"/>
  <c r="AI14" i="4"/>
  <c r="AI13" i="4"/>
  <c r="AI12" i="4"/>
  <c r="AI11" i="4"/>
  <c r="AI10" i="4"/>
  <c r="AI6" i="4"/>
  <c r="AI5" i="4"/>
  <c r="AI4" i="4"/>
  <c r="AI3" i="4"/>
  <c r="AI2" i="4"/>
  <c r="AG63" i="4"/>
  <c r="AG62" i="4"/>
  <c r="AG61" i="4"/>
  <c r="AG58" i="4"/>
  <c r="AG57" i="4"/>
  <c r="AG56" i="4"/>
  <c r="AG14" i="4"/>
  <c r="AG13" i="4"/>
  <c r="AG12" i="4"/>
  <c r="AG11" i="4"/>
  <c r="AG10" i="4"/>
  <c r="AG6" i="4"/>
  <c r="AG5" i="4"/>
  <c r="AG4" i="4"/>
  <c r="AG3" i="4"/>
  <c r="AG2" i="4"/>
  <c r="AE63" i="4"/>
  <c r="AE62" i="4"/>
  <c r="AE61" i="4"/>
  <c r="AE58" i="4"/>
  <c r="AE57" i="4"/>
  <c r="AE56" i="4"/>
  <c r="AE14" i="4"/>
  <c r="AE13" i="4"/>
  <c r="AE12" i="4"/>
  <c r="AE11" i="4"/>
  <c r="AE10" i="4"/>
  <c r="AE6" i="4"/>
  <c r="AE5" i="4"/>
  <c r="AE4" i="4"/>
  <c r="AE3" i="4"/>
  <c r="AE2" i="4"/>
  <c r="AC63" i="4"/>
  <c r="AC62" i="4"/>
  <c r="AC61" i="4"/>
  <c r="AC58" i="4"/>
  <c r="AC57" i="4"/>
  <c r="AC56" i="4"/>
  <c r="AC14" i="4"/>
  <c r="AC13" i="4"/>
  <c r="AC12" i="4"/>
  <c r="AC11" i="4"/>
  <c r="AC10" i="4"/>
  <c r="AC6" i="4"/>
  <c r="AC5" i="4"/>
  <c r="AC4" i="4"/>
  <c r="AC3" i="4"/>
  <c r="AC2" i="4"/>
  <c r="AA63" i="4"/>
  <c r="AA62" i="4"/>
  <c r="AA61" i="4"/>
  <c r="AA58" i="4"/>
  <c r="AA57" i="4"/>
  <c r="AA56" i="4"/>
  <c r="AA14" i="4"/>
  <c r="AA13" i="4"/>
  <c r="AA12" i="4"/>
  <c r="AA11" i="4"/>
  <c r="AA10" i="4"/>
  <c r="AA6" i="4"/>
  <c r="AA5" i="4"/>
  <c r="AA4" i="4"/>
  <c r="AA3" i="4"/>
  <c r="AA2" i="4"/>
  <c r="Y63" i="4"/>
  <c r="Y62" i="4"/>
  <c r="Y61" i="4"/>
  <c r="Y58" i="4"/>
  <c r="Y57" i="4"/>
  <c r="Y56" i="4"/>
  <c r="Y14" i="4"/>
  <c r="Y13" i="4"/>
  <c r="Y12" i="4"/>
  <c r="Y11" i="4"/>
  <c r="Y10" i="4"/>
  <c r="Y6" i="4"/>
  <c r="Y5" i="4"/>
  <c r="Y4" i="4"/>
  <c r="Y3" i="4"/>
  <c r="Y2" i="4"/>
  <c r="BU85" i="5"/>
  <c r="BU84" i="5"/>
  <c r="BU82" i="5"/>
  <c r="BU81" i="5"/>
  <c r="BU79" i="5"/>
  <c r="BU78" i="5"/>
  <c r="BU76" i="5"/>
  <c r="BU75" i="5"/>
  <c r="BU63" i="5"/>
  <c r="BU62" i="5"/>
  <c r="BS85" i="5"/>
  <c r="BS84" i="5"/>
  <c r="BS82" i="5"/>
  <c r="BS81" i="5"/>
  <c r="BS79" i="5"/>
  <c r="BS78" i="5"/>
  <c r="BS76" i="5"/>
  <c r="BS75" i="5"/>
  <c r="BS63" i="5"/>
  <c r="BS62" i="5"/>
  <c r="BS58" i="5"/>
  <c r="BS57" i="5"/>
  <c r="BQ85" i="5"/>
  <c r="BQ84" i="5"/>
  <c r="BQ82" i="5"/>
  <c r="BQ81" i="5"/>
  <c r="BQ79" i="5"/>
  <c r="BQ78" i="5"/>
  <c r="BQ76" i="5"/>
  <c r="BQ75" i="5"/>
  <c r="BQ63" i="5"/>
  <c r="BQ62" i="5"/>
  <c r="BQ58" i="5"/>
  <c r="BQ57" i="5"/>
  <c r="BQ47" i="5"/>
  <c r="BQ46" i="5"/>
  <c r="BQ42" i="5"/>
  <c r="BQ41" i="5"/>
  <c r="BQ37" i="5"/>
  <c r="BQ36" i="5"/>
  <c r="BQ32" i="5"/>
  <c r="BQ31" i="5"/>
  <c r="BQ12" i="5"/>
  <c r="BQ11" i="5"/>
  <c r="BO85" i="5"/>
  <c r="BO84" i="5"/>
  <c r="BO82" i="5"/>
  <c r="BO81" i="5"/>
  <c r="BO79" i="5"/>
  <c r="BO78" i="5"/>
  <c r="BO76" i="5"/>
  <c r="BO75" i="5"/>
  <c r="BO63" i="5"/>
  <c r="BO62" i="5"/>
  <c r="BO58" i="5"/>
  <c r="BO57" i="5"/>
  <c r="BO49" i="5"/>
  <c r="BO48" i="5"/>
  <c r="BO47" i="5"/>
  <c r="BO46" i="5"/>
  <c r="BO44" i="5"/>
  <c r="BO43" i="5"/>
  <c r="BO42" i="5"/>
  <c r="BO41" i="5"/>
  <c r="BO39" i="5"/>
  <c r="BO38" i="5"/>
  <c r="BO37" i="5"/>
  <c r="BO36" i="5"/>
  <c r="BO34" i="5"/>
  <c r="BO33" i="5"/>
  <c r="BO32" i="5"/>
  <c r="BO31" i="5"/>
  <c r="BO14" i="5"/>
  <c r="BO13" i="5"/>
  <c r="BO12" i="5"/>
  <c r="BO11" i="5"/>
  <c r="BO6" i="5"/>
  <c r="BO5" i="5"/>
  <c r="BO4" i="5"/>
  <c r="BO3" i="5"/>
  <c r="BM85" i="5"/>
  <c r="BM84" i="5"/>
  <c r="BM83" i="5"/>
  <c r="BM82" i="5"/>
  <c r="BM81" i="5"/>
  <c r="BM80" i="5"/>
  <c r="BM79" i="5"/>
  <c r="BM78" i="5"/>
  <c r="BM77" i="5"/>
  <c r="BM76" i="5"/>
  <c r="BM75" i="5"/>
  <c r="BM74" i="5"/>
  <c r="BM63" i="5"/>
  <c r="BM62" i="5"/>
  <c r="BM61" i="5"/>
  <c r="BM58" i="5"/>
  <c r="BM57" i="5"/>
  <c r="BM56" i="5"/>
  <c r="BM49" i="5"/>
  <c r="BM48" i="5"/>
  <c r="BM47" i="5"/>
  <c r="BM46" i="5"/>
  <c r="BM45" i="5"/>
  <c r="BM44" i="5"/>
  <c r="BM43" i="5"/>
  <c r="BM42" i="5"/>
  <c r="BM41" i="5"/>
  <c r="BM40" i="5"/>
  <c r="BM39" i="5"/>
  <c r="BM38" i="5"/>
  <c r="BM37" i="5"/>
  <c r="BM36" i="5"/>
  <c r="BM35" i="5"/>
  <c r="BM34" i="5"/>
  <c r="BM33" i="5"/>
  <c r="BM32" i="5"/>
  <c r="BM31" i="5"/>
  <c r="BM30" i="5"/>
  <c r="BM14" i="5"/>
  <c r="BM13" i="5"/>
  <c r="BM12" i="5"/>
  <c r="BM11" i="5"/>
  <c r="BM10" i="5"/>
  <c r="BM6" i="5"/>
  <c r="BM5" i="5"/>
  <c r="BM4" i="5"/>
  <c r="BM3" i="5"/>
  <c r="BM2" i="5"/>
  <c r="BK85" i="5"/>
  <c r="BK84" i="5"/>
  <c r="BK83" i="5"/>
  <c r="BK82" i="5"/>
  <c r="BK81" i="5"/>
  <c r="BK80" i="5"/>
  <c r="BK79" i="5"/>
  <c r="BK78" i="5"/>
  <c r="BK77" i="5"/>
  <c r="BK76" i="5"/>
  <c r="BK75" i="5"/>
  <c r="BK74" i="5"/>
  <c r="BK63" i="5"/>
  <c r="BK62" i="5"/>
  <c r="BK61" i="5"/>
  <c r="BK58" i="5"/>
  <c r="BK57" i="5"/>
  <c r="BK56" i="5"/>
  <c r="BK49" i="5"/>
  <c r="BK48" i="5"/>
  <c r="BK47" i="5"/>
  <c r="BK46" i="5"/>
  <c r="BK45" i="5"/>
  <c r="BK44" i="5"/>
  <c r="BK43" i="5"/>
  <c r="BK42" i="5"/>
  <c r="BK41" i="5"/>
  <c r="BK40" i="5"/>
  <c r="BK39" i="5"/>
  <c r="BK38" i="5"/>
  <c r="BK37" i="5"/>
  <c r="BK36" i="5"/>
  <c r="BK35" i="5"/>
  <c r="BK34" i="5"/>
  <c r="BK33" i="5"/>
  <c r="BK32" i="5"/>
  <c r="BK31" i="5"/>
  <c r="BK30" i="5"/>
  <c r="BK14" i="5"/>
  <c r="BK13" i="5"/>
  <c r="BK12" i="5"/>
  <c r="BK11" i="5"/>
  <c r="BK10" i="5"/>
  <c r="BK6" i="5"/>
  <c r="BK5" i="5"/>
  <c r="BK4" i="5"/>
  <c r="BK3" i="5"/>
  <c r="BK2" i="5"/>
  <c r="BI85" i="5"/>
  <c r="BI84" i="5"/>
  <c r="BI83" i="5"/>
  <c r="BI82" i="5"/>
  <c r="BI81" i="5"/>
  <c r="BI80" i="5"/>
  <c r="BI79" i="5"/>
  <c r="BI78" i="5"/>
  <c r="BI77" i="5"/>
  <c r="BI76" i="5"/>
  <c r="BI75" i="5"/>
  <c r="BI74" i="5"/>
  <c r="BI63" i="5"/>
  <c r="BI62" i="5"/>
  <c r="BI61" i="5"/>
  <c r="BI58" i="5"/>
  <c r="BI57" i="5"/>
  <c r="BI56" i="5"/>
  <c r="BI49" i="5"/>
  <c r="BI48" i="5"/>
  <c r="BI47" i="5"/>
  <c r="BI46" i="5"/>
  <c r="BI45" i="5"/>
  <c r="BI44" i="5"/>
  <c r="BI43" i="5"/>
  <c r="BI42" i="5"/>
  <c r="BI41" i="5"/>
  <c r="BI40" i="5"/>
  <c r="BI39" i="5"/>
  <c r="BI38" i="5"/>
  <c r="BI37" i="5"/>
  <c r="BI36" i="5"/>
  <c r="BI35" i="5"/>
  <c r="BI34" i="5"/>
  <c r="BI33" i="5"/>
  <c r="BI32" i="5"/>
  <c r="BI31" i="5"/>
  <c r="BI30" i="5"/>
  <c r="BI14" i="5"/>
  <c r="BI13" i="5"/>
  <c r="BI12" i="5"/>
  <c r="BI11" i="5"/>
  <c r="BI10" i="5"/>
  <c r="BI6" i="5"/>
  <c r="BI5" i="5"/>
  <c r="BI4" i="5"/>
  <c r="BI3" i="5"/>
  <c r="BI2" i="5"/>
  <c r="BG85" i="5"/>
  <c r="BG84" i="5"/>
  <c r="BG83" i="5"/>
  <c r="BG82" i="5"/>
  <c r="BG81" i="5"/>
  <c r="BG80" i="5"/>
  <c r="BG79" i="5"/>
  <c r="BG78" i="5"/>
  <c r="BG77" i="5"/>
  <c r="BG76" i="5"/>
  <c r="BG75" i="5"/>
  <c r="BG74" i="5"/>
  <c r="BG63" i="5"/>
  <c r="BG62" i="5"/>
  <c r="BG61" i="5"/>
  <c r="BG58" i="5"/>
  <c r="BG57" i="5"/>
  <c r="BG56" i="5"/>
  <c r="BG49" i="5"/>
  <c r="BG48" i="5"/>
  <c r="BG47" i="5"/>
  <c r="BG46" i="5"/>
  <c r="BG45" i="5"/>
  <c r="BG44" i="5"/>
  <c r="BG43" i="5"/>
  <c r="BG42" i="5"/>
  <c r="BG41" i="5"/>
  <c r="BG40" i="5"/>
  <c r="BG39" i="5"/>
  <c r="BG38" i="5"/>
  <c r="BG37" i="5"/>
  <c r="BG36" i="5"/>
  <c r="BG35" i="5"/>
  <c r="BG34" i="5"/>
  <c r="BG33" i="5"/>
  <c r="BG32" i="5"/>
  <c r="BG31" i="5"/>
  <c r="BG30" i="5"/>
  <c r="BG14" i="5"/>
  <c r="BG13" i="5"/>
  <c r="BG12" i="5"/>
  <c r="BG11" i="5"/>
  <c r="BG10" i="5"/>
  <c r="BG6" i="5"/>
  <c r="BG5" i="5"/>
  <c r="BG4" i="5"/>
  <c r="BG3" i="5"/>
  <c r="BG2" i="5"/>
  <c r="BE85" i="5"/>
  <c r="BE84" i="5"/>
  <c r="BE83" i="5"/>
  <c r="BE82" i="5"/>
  <c r="BE81" i="5"/>
  <c r="BE80" i="5"/>
  <c r="BE79" i="5"/>
  <c r="BE78" i="5"/>
  <c r="BE77" i="5"/>
  <c r="BE76" i="5"/>
  <c r="BE75" i="5"/>
  <c r="BE74" i="5"/>
  <c r="BE63" i="5"/>
  <c r="BE62" i="5"/>
  <c r="BE61" i="5"/>
  <c r="BE58" i="5"/>
  <c r="BE57" i="5"/>
  <c r="BE56" i="5"/>
  <c r="BE49" i="5"/>
  <c r="BE48" i="5"/>
  <c r="BE47" i="5"/>
  <c r="BE46" i="5"/>
  <c r="BE45" i="5"/>
  <c r="BE44" i="5"/>
  <c r="BE43" i="5"/>
  <c r="BE42" i="5"/>
  <c r="BE41" i="5"/>
  <c r="BE40" i="5"/>
  <c r="BE39" i="5"/>
  <c r="BE38" i="5"/>
  <c r="BE37" i="5"/>
  <c r="BE36" i="5"/>
  <c r="BE35" i="5"/>
  <c r="BE34" i="5"/>
  <c r="BE33" i="5"/>
  <c r="BE32" i="5"/>
  <c r="BE31" i="5"/>
  <c r="BE30" i="5"/>
  <c r="BE14" i="5"/>
  <c r="BE13" i="5"/>
  <c r="BE12" i="5"/>
  <c r="BE11" i="5"/>
  <c r="BE10" i="5"/>
  <c r="BE6" i="5"/>
  <c r="BE5" i="5"/>
  <c r="BE4" i="5"/>
  <c r="BE3" i="5"/>
  <c r="BE2" i="5"/>
  <c r="BC101" i="5"/>
  <c r="BC100" i="5"/>
  <c r="BC99" i="5"/>
  <c r="BC98" i="5"/>
  <c r="BC92" i="5"/>
  <c r="BC90" i="5"/>
  <c r="BC85" i="5"/>
  <c r="BC84" i="5"/>
  <c r="BC83" i="5"/>
  <c r="BC82" i="5"/>
  <c r="BC81" i="5"/>
  <c r="BC80" i="5"/>
  <c r="BC79" i="5"/>
  <c r="BC78" i="5"/>
  <c r="BC77" i="5"/>
  <c r="BC76" i="5"/>
  <c r="BC75" i="5"/>
  <c r="BC74" i="5"/>
  <c r="BC63" i="5"/>
  <c r="BC62" i="5"/>
  <c r="BC61" i="5"/>
  <c r="BC58" i="5"/>
  <c r="BC57" i="5"/>
  <c r="BC56" i="5"/>
  <c r="BC49" i="5"/>
  <c r="BC48" i="5"/>
  <c r="BC47" i="5"/>
  <c r="BC46" i="5"/>
  <c r="BC45" i="5"/>
  <c r="BC44" i="5"/>
  <c r="BC43" i="5"/>
  <c r="BC42" i="5"/>
  <c r="BC41" i="5"/>
  <c r="BC40" i="5"/>
  <c r="BC39" i="5"/>
  <c r="BC38" i="5"/>
  <c r="BC37" i="5"/>
  <c r="BC36" i="5"/>
  <c r="BC35" i="5"/>
  <c r="BC34" i="5"/>
  <c r="BC33" i="5"/>
  <c r="BC32" i="5"/>
  <c r="BC31" i="5"/>
  <c r="BC30" i="5"/>
  <c r="BC14" i="5"/>
  <c r="BC13" i="5"/>
  <c r="BC12" i="5"/>
  <c r="BC11" i="5"/>
  <c r="BC10" i="5"/>
  <c r="BC6" i="5"/>
  <c r="BC5" i="5"/>
  <c r="BC4" i="5"/>
  <c r="BC3" i="5"/>
  <c r="BC2" i="5"/>
  <c r="BA49" i="5"/>
  <c r="BA48" i="5"/>
  <c r="BA44" i="5"/>
  <c r="BA43" i="5"/>
  <c r="BA39" i="5"/>
  <c r="BA38" i="5"/>
  <c r="BA14" i="5"/>
  <c r="BA13" i="5"/>
  <c r="AY49" i="5"/>
  <c r="AY48" i="5"/>
  <c r="AY44" i="5"/>
  <c r="AY43" i="5"/>
  <c r="AY39" i="5"/>
  <c r="AY38" i="5"/>
  <c r="AY14" i="5"/>
  <c r="AY13" i="5"/>
  <c r="AY6" i="5"/>
  <c r="AY5" i="5"/>
  <c r="AW49" i="5"/>
  <c r="AW48" i="5"/>
  <c r="AW44" i="5"/>
  <c r="AW43" i="5"/>
  <c r="AW39" i="5"/>
  <c r="AW38" i="5"/>
  <c r="AW14" i="5"/>
  <c r="AW13" i="5"/>
  <c r="AW6" i="5"/>
  <c r="AW5" i="5"/>
  <c r="AU49" i="5"/>
  <c r="AU48" i="5"/>
  <c r="AU44" i="5"/>
  <c r="AU43" i="5"/>
  <c r="AU39" i="5"/>
  <c r="AU38" i="5"/>
  <c r="AU34" i="5"/>
  <c r="AU33" i="5"/>
  <c r="AU14" i="5"/>
  <c r="AU13" i="5"/>
  <c r="AU6" i="5"/>
  <c r="AU5" i="5"/>
  <c r="AS49" i="5"/>
  <c r="AS48" i="5"/>
  <c r="AS44" i="5"/>
  <c r="AS43" i="5"/>
  <c r="AS39" i="5"/>
  <c r="AS38" i="5"/>
  <c r="AS34" i="5"/>
  <c r="AS33" i="5"/>
  <c r="AS14" i="5"/>
  <c r="AS13" i="5"/>
  <c r="AS6" i="5"/>
  <c r="AS5" i="5"/>
  <c r="AS4" i="5"/>
  <c r="AS3" i="5"/>
  <c r="AQ49" i="5"/>
  <c r="AQ48" i="5"/>
  <c r="AQ47" i="5"/>
  <c r="AQ46" i="5"/>
  <c r="AQ44" i="5"/>
  <c r="AQ43" i="5"/>
  <c r="AQ42" i="5"/>
  <c r="AQ41" i="5"/>
  <c r="AQ39" i="5"/>
  <c r="AQ38" i="5"/>
  <c r="AQ37" i="5"/>
  <c r="AQ36" i="5"/>
  <c r="AQ34" i="5"/>
  <c r="AQ33" i="5"/>
  <c r="AQ14" i="5"/>
  <c r="AQ13" i="5"/>
  <c r="AQ12" i="5"/>
  <c r="AQ11" i="5"/>
  <c r="AQ6" i="5"/>
  <c r="AQ5" i="5"/>
  <c r="AQ4" i="5"/>
  <c r="AQ3" i="5"/>
  <c r="AO58" i="5"/>
  <c r="AO57" i="5"/>
  <c r="AO49" i="5"/>
  <c r="AO48" i="5"/>
  <c r="AO47" i="5"/>
  <c r="AO46" i="5"/>
  <c r="AO45" i="5"/>
  <c r="AO44" i="5"/>
  <c r="AO43" i="5"/>
  <c r="AO42" i="5"/>
  <c r="AO41" i="5"/>
  <c r="AO40" i="5"/>
  <c r="AO39" i="5"/>
  <c r="AO38" i="5"/>
  <c r="AO37" i="5"/>
  <c r="AO36" i="5"/>
  <c r="AO35" i="5"/>
  <c r="AO34" i="5"/>
  <c r="AO33" i="5"/>
  <c r="AO32" i="5"/>
  <c r="AO31" i="5"/>
  <c r="AO14" i="5"/>
  <c r="AO13" i="5"/>
  <c r="AO12" i="5"/>
  <c r="AO11" i="5"/>
  <c r="AO10" i="5"/>
  <c r="AO6" i="5"/>
  <c r="AO5" i="5"/>
  <c r="AO4" i="5"/>
  <c r="AO3" i="5"/>
  <c r="AO2" i="5"/>
  <c r="AM85" i="5"/>
  <c r="AM84" i="5"/>
  <c r="AM82" i="5"/>
  <c r="AM81" i="5"/>
  <c r="AM79" i="5"/>
  <c r="AM78" i="5"/>
  <c r="AM76" i="5"/>
  <c r="AM75" i="5"/>
  <c r="AM63" i="5"/>
  <c r="AM62" i="5"/>
  <c r="AM58" i="5"/>
  <c r="AM57" i="5"/>
  <c r="AM49" i="5"/>
  <c r="AM48" i="5"/>
  <c r="AM47" i="5"/>
  <c r="AM46" i="5"/>
  <c r="AM45" i="5"/>
  <c r="AM44" i="5"/>
  <c r="AM43" i="5"/>
  <c r="AM42" i="5"/>
  <c r="AM41" i="5"/>
  <c r="AM40" i="5"/>
  <c r="AM39" i="5"/>
  <c r="AM38" i="5"/>
  <c r="AM37" i="5"/>
  <c r="AM36" i="5"/>
  <c r="AM35" i="5"/>
  <c r="AM34" i="5"/>
  <c r="AM33" i="5"/>
  <c r="AM32" i="5"/>
  <c r="AM31" i="5"/>
  <c r="AM30" i="5"/>
  <c r="AM14" i="5"/>
  <c r="AM13" i="5"/>
  <c r="AM12" i="5"/>
  <c r="AM11" i="5"/>
  <c r="AM10" i="5"/>
  <c r="AM6" i="5"/>
  <c r="AM5" i="5"/>
  <c r="AM4" i="5"/>
  <c r="AM3" i="5"/>
  <c r="AM2" i="5"/>
  <c r="AK32" i="5"/>
  <c r="AK31" i="5"/>
  <c r="AI47" i="5"/>
  <c r="AI46" i="5"/>
  <c r="AI42" i="5"/>
  <c r="AI41" i="5"/>
  <c r="AI37" i="5"/>
  <c r="AI36" i="5"/>
  <c r="AI32" i="5"/>
  <c r="AI31" i="5"/>
  <c r="AI12" i="5"/>
  <c r="AI11" i="5"/>
  <c r="AI4" i="5"/>
  <c r="AI3" i="5"/>
  <c r="AG47" i="5"/>
  <c r="AG46" i="5"/>
  <c r="AG42" i="5"/>
  <c r="AG41" i="5"/>
  <c r="AG37" i="5"/>
  <c r="AG36" i="5"/>
  <c r="AG32" i="5"/>
  <c r="AG31" i="5"/>
  <c r="AG12" i="5"/>
  <c r="AG11" i="5"/>
  <c r="AG6" i="5"/>
  <c r="AG5" i="5"/>
  <c r="AG4" i="5"/>
  <c r="AG3" i="5"/>
  <c r="AE90" i="5"/>
  <c r="AE58" i="5"/>
  <c r="AE57" i="5"/>
  <c r="AE49" i="5"/>
  <c r="AE48" i="5"/>
  <c r="AE47" i="5"/>
  <c r="AE46" i="5"/>
  <c r="AE44" i="5"/>
  <c r="AE43" i="5"/>
  <c r="AE42" i="5"/>
  <c r="AE41" i="5"/>
  <c r="AE39" i="5"/>
  <c r="AE38" i="5"/>
  <c r="AE37" i="5"/>
  <c r="AE36" i="5"/>
  <c r="AE34" i="5"/>
  <c r="AE33" i="5"/>
  <c r="AE32" i="5"/>
  <c r="AE31" i="5"/>
  <c r="AE14" i="5"/>
  <c r="AE13" i="5"/>
  <c r="AE12" i="5"/>
  <c r="AE11" i="5"/>
  <c r="AE6" i="5"/>
  <c r="AE5" i="5"/>
  <c r="AE4" i="5"/>
  <c r="AE3" i="5"/>
  <c r="AC101" i="5"/>
  <c r="AC100" i="5"/>
  <c r="AC99" i="5"/>
  <c r="AC98" i="5"/>
  <c r="AC92" i="5"/>
  <c r="AC90" i="5"/>
  <c r="AC85" i="5"/>
  <c r="AC84" i="5"/>
  <c r="AC82" i="5"/>
  <c r="AC81" i="5"/>
  <c r="AC79" i="5"/>
  <c r="AC78" i="5"/>
  <c r="AC63" i="5"/>
  <c r="AC62" i="5"/>
  <c r="AC58" i="5"/>
  <c r="AC57" i="5"/>
  <c r="AC49" i="5"/>
  <c r="AC48" i="5"/>
  <c r="AC47" i="5"/>
  <c r="AC46" i="5"/>
  <c r="AC45" i="5"/>
  <c r="AC44" i="5"/>
  <c r="AC43" i="5"/>
  <c r="AC42" i="5"/>
  <c r="AC41" i="5"/>
  <c r="AC40" i="5"/>
  <c r="AC39" i="5"/>
  <c r="AC38" i="5"/>
  <c r="AC37" i="5"/>
  <c r="AC36" i="5"/>
  <c r="AC35" i="5"/>
  <c r="AC34" i="5"/>
  <c r="AC33" i="5"/>
  <c r="AC32" i="5"/>
  <c r="AC31" i="5"/>
  <c r="AC30" i="5"/>
  <c r="AC14" i="5"/>
  <c r="AC13" i="5"/>
  <c r="AC12" i="5"/>
  <c r="AC11" i="5"/>
  <c r="AC10" i="5"/>
  <c r="AC6" i="5"/>
  <c r="AC5" i="5"/>
  <c r="AC4" i="5"/>
  <c r="AC3" i="5"/>
  <c r="AC2" i="5"/>
  <c r="AA101" i="5"/>
  <c r="AA100" i="5"/>
  <c r="AA99" i="5"/>
  <c r="AA98" i="5"/>
  <c r="AA92" i="5"/>
  <c r="AA90" i="5"/>
  <c r="AA85" i="5"/>
  <c r="AA84" i="5"/>
  <c r="AA82" i="5"/>
  <c r="AA81" i="5"/>
  <c r="AA79" i="5"/>
  <c r="AA78" i="5"/>
  <c r="AA63" i="5"/>
  <c r="AA62" i="5"/>
  <c r="AA58" i="5"/>
  <c r="AA57" i="5"/>
  <c r="AA49" i="5"/>
  <c r="AA48" i="5"/>
  <c r="AA47" i="5"/>
  <c r="AA46" i="5"/>
  <c r="AA45" i="5"/>
  <c r="AA44" i="5"/>
  <c r="AA43" i="5"/>
  <c r="AA42" i="5"/>
  <c r="AA41" i="5"/>
  <c r="AA40" i="5"/>
  <c r="AA39" i="5"/>
  <c r="AA38" i="5"/>
  <c r="AA37" i="5"/>
  <c r="AA36" i="5"/>
  <c r="AA35" i="5"/>
  <c r="AA34" i="5"/>
  <c r="AA33" i="5"/>
  <c r="AA32" i="5"/>
  <c r="AA31" i="5"/>
  <c r="AA30" i="5"/>
  <c r="AA14" i="5"/>
  <c r="AA13" i="5"/>
  <c r="AA12" i="5"/>
  <c r="AA11" i="5"/>
  <c r="AA10" i="5"/>
  <c r="AA6" i="5"/>
  <c r="AA5" i="5"/>
  <c r="AA4" i="5"/>
  <c r="AA3" i="5"/>
  <c r="AA2" i="5"/>
  <c r="Y101" i="5"/>
  <c r="Y100" i="5"/>
  <c r="Y99" i="5"/>
  <c r="Y98" i="5"/>
  <c r="Y92" i="5"/>
  <c r="Y90" i="5"/>
  <c r="Y85" i="5"/>
  <c r="Y84" i="5"/>
  <c r="Y82" i="5"/>
  <c r="Y81" i="5"/>
  <c r="Y79" i="5"/>
  <c r="Y78" i="5"/>
  <c r="Y76" i="5"/>
  <c r="Y75" i="5"/>
  <c r="Y63" i="5"/>
  <c r="Y62" i="5"/>
  <c r="Y58" i="5"/>
  <c r="Y57" i="5"/>
  <c r="Y49" i="5"/>
  <c r="Y48" i="5"/>
  <c r="Y47" i="5"/>
  <c r="Y46" i="5"/>
  <c r="Y45" i="5"/>
  <c r="Y44" i="5"/>
  <c r="Y43" i="5"/>
  <c r="Y42" i="5"/>
  <c r="Y41" i="5"/>
  <c r="Y40" i="5"/>
  <c r="Y39" i="5"/>
  <c r="Y38" i="5"/>
  <c r="Y37" i="5"/>
  <c r="Y36" i="5"/>
  <c r="Y35" i="5"/>
  <c r="Y34" i="5"/>
  <c r="Y33" i="5"/>
  <c r="Y32" i="5"/>
  <c r="Y31" i="5"/>
  <c r="Y30" i="5"/>
  <c r="Y14" i="5"/>
  <c r="Y13" i="5"/>
  <c r="Y12" i="5"/>
  <c r="Y11" i="5"/>
  <c r="Y10" i="5"/>
  <c r="Y6" i="5"/>
  <c r="Y5" i="5"/>
  <c r="Y4" i="5"/>
  <c r="Y3" i="5"/>
  <c r="Y2" i="5"/>
</calcChain>
</file>

<file path=xl/sharedStrings.xml><?xml version="1.0" encoding="utf-8"?>
<sst xmlns="http://schemas.openxmlformats.org/spreadsheetml/2006/main" count="7741" uniqueCount="497">
  <si>
    <t>MODE OPERATOIRE</t>
  </si>
  <si>
    <t>La transaction s'effectue pour l'évènement E0466 'Compte épargne temps' au niveau des sous rubriques :
- Compte épargne temps global
- Opérations CET
La transaction s'effectue pour l'évènement E0468 'Compte épargne temps transitoire' au niveau dessous rubriques :
- Compte épargne temps transitoire
- Opérations CET
La transaction s'effectue pour l'évènement E0469 'Compte épargne temps - Opérations d'inventaire' au niveau de la sous rubrique :
- Jours demandés restant à payer</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</si>
  <si>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</si>
  <si>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</si>
  <si>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</si>
  <si>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</si>
  <si>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</si>
  <si>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</si>
  <si>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</si>
  <si>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</si>
  <si>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</si>
  <si>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</si>
  <si>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</si>
  <si>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</si>
  <si>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</si>
  <si>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</si>
  <si>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</si>
  <si>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</si>
  <si>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</si>
  <si>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</si>
  <si>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</si>
  <si>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</si>
  <si>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</si>
  <si>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</si>
  <si>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</si>
  <si>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</si>
  <si>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</si>
  <si>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</si>
  <si>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</si>
  <si>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</si>
  <si>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</si>
  <si>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</si>
  <si>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</si>
  <si>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</si>
  <si>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</si>
  <si>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</si>
  <si>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</si>
  <si>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</si>
  <si>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</si>
  <si>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</si>
  <si>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</si>
  <si>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</si>
  <si>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</si>
  <si>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</si>
  <si>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</si>
  <si>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</si>
  <si>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</si>
  <si>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</si>
  <si>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</si>
  <si>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</si>
  <si>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</si>
  <si>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</si>
  <si>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</si>
  <si>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</si>
  <si>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</si>
  <si>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</si>
  <si>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</si>
  <si>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</si>
  <si>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</si>
  <si>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</si>
  <si>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</si>
  <si>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</si>
  <si>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</si>
  <si>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</si>
  <si>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</si>
  <si>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</si>
  <si>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</si>
  <si>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</si>
  <si>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</si>
  <si>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</si>
  <si>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</si>
  <si>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</si>
  <si>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</si>
  <si>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</si>
  <si>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</si>
  <si>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</si>
  <si>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24.10.00</t>
  </si>
  <si>
    <t>M</t>
  </si>
  <si>
    <t>D0007</t>
  </si>
  <si>
    <t>Congés/Absence</t>
  </si>
  <si>
    <t>S0049</t>
  </si>
  <si>
    <t>Compte épargne temps</t>
  </si>
  <si>
    <t>E0466</t>
  </si>
  <si>
    <t>La date d'observation saisie du CET est non vide</t>
  </si>
  <si>
    <t>A_CET_DAGCET [Saisi] &lt;&gt; Vide</t>
  </si>
  <si>
    <t>T1128</t>
  </si>
  <si>
    <t>Compte épargne temps - Ouverture sans opération</t>
  </si>
  <si>
    <t>Création Modification</t>
  </si>
  <si>
    <t>La date de l'opération saisie est vide.</t>
  </si>
  <si>
    <t>A_CET_DOOCET [Saisi] = Vide</t>
  </si>
  <si>
    <t>Titulaire ou magistrat</t>
  </si>
  <si>
    <t>P0001</t>
  </si>
  <si>
    <t>Général</t>
  </si>
  <si>
    <t>Passant</t>
  </si>
  <si>
    <t>CET_I_002 ET CET_I_001 ET CET_I_004 ET CET_D_020 ET CET_D_059 ET CET_C_004 ET CET_C_010 ET CET_C_011 ET CET_C_017 ET CET_C_019 ET CET_C_031</t>
  </si>
  <si>
    <t>CET_I_002</t>
  </si>
  <si>
    <t>L'agent doit être employé de manière continue et avoir accompli au moins 1 an de service.</t>
  </si>
  <si>
    <t>CET_I_001</t>
  </si>
  <si>
    <t>L'agent demande l'ouverture d'un compte épargne-temps auprès du service gestionnaire.</t>
  </si>
  <si>
    <t>CET_I_004</t>
  </si>
  <si>
    <t>Un arrêté de la fonction publique, du budget et du ministre intéressé, pris après consultation du comité technique paritaire, détermine, dans le respect de l'intérêt du service, les règles de fonctionnement du compte épargne-temps.</t>
  </si>
  <si>
    <t>CET_D_020</t>
  </si>
  <si>
    <t>L'agent ne doit pas être soumis à des obligations de service fixées par le statut particulier de son corps ou par un décret commun à plusieurs corps.</t>
  </si>
  <si>
    <t>CET_D_059</t>
  </si>
  <si>
    <t>Le nombre de jours maximum du compteur global doit être inférieur ou égal à 60 jours à l'issue de l'exercice du droit d'option.</t>
  </si>
  <si>
    <t>CET_C_004</t>
  </si>
  <si>
    <t>Le nombre de jours de l'opération doit être inférieur ou égal au nombre de jours du compteur global du CET.</t>
  </si>
  <si>
    <t>CET_C_010</t>
  </si>
  <si>
    <t>La date de fermeture du CET doit être antérieure ou égale à la date limite de départ en retraite.</t>
  </si>
  <si>
    <t>CET_C_011</t>
  </si>
  <si>
    <t>La date de fermeture du CET doit être antérieure ou égale à la date de fin réelle ou prévisionnelle du lien juridique.</t>
  </si>
  <si>
    <t>CET_C_017</t>
  </si>
  <si>
    <t>La date d'ouverture du compte épargne temps global doit être postérieure ou égale à la date d'entrée dans le SIRH.</t>
  </si>
  <si>
    <t>CET_C_019</t>
  </si>
  <si>
    <t>La date d'ouverture du CET doit être renseignée.</t>
  </si>
  <si>
    <t>CET_C_031</t>
  </si>
  <si>
    <t>Les champs "Origine", "Nombre de jours de l'opération", "Nombre de jours pour valorisation financière" et "Nombre de jours pour cotisation RAFP" ne doivent pas être renseignés.</t>
  </si>
  <si>
    <t>20.10.00</t>
  </si>
  <si>
    <t>T1129</t>
  </si>
  <si>
    <t>Compte épargne temps - Ouverture et opération "Consommation"</t>
  </si>
  <si>
    <t>La date de l'opération saisie est non vide et le sens de l'opération est "Consommé".</t>
  </si>
  <si>
    <t>A_CET_DOOCET [Saisi] &lt;&gt; Vide ET A_CET_SEOCET [Saisi] = 'C'</t>
  </si>
  <si>
    <t>CET_I_002 ET CET_I_001 ET CET_I_004 ET CET_I_011 ET CET_I_012 ET CET_I_016 ET CET_D_020 ET CET_D_059 ET CET_D_055 ET CET_D_300 ET CET_C_004 ET CET_C_010 ET CET_C_011 ET CET_C_017 ET CET_C_019 ET CET_C_024 ET CET_C_027</t>
  </si>
  <si>
    <t>CET_I_011</t>
  </si>
  <si>
    <t>L'agent exerce son droit d'option au plus tard le 31 janvier de l'année suivant la période de référence de l'épargne.</t>
  </si>
  <si>
    <t>CET_I_012</t>
  </si>
  <si>
    <t>L'agent indique au service gestionnaire son choix entre maintien sur le compte en vue de congés, indemnisation et épargne-retraite, surtout s'il souhaite conserver ces jours sur son compte épargne-temps.</t>
  </si>
  <si>
    <t>CET_I_016</t>
  </si>
  <si>
    <t>En l'absence d'exercice d'une option par l'agent, les jours au-delà de 15 sont automatiquement placés au titre du régime de retraite additionnelle de la fonction publique.</t>
  </si>
  <si>
    <t>CET_D_055</t>
  </si>
  <si>
    <t>La différence entre le nombre de jours du compteur global du CET et le nombre de jours pour valorisation financière doit être strictement supérieure à 20 jours.</t>
  </si>
  <si>
    <t>CET_D_300</t>
  </si>
  <si>
    <t>La différence entre le nombre de jours du compteur global du CET et le nombre de jours pour cotisation RAFP doit être strictement supérieure à 20 jours.</t>
  </si>
  <si>
    <t>CET_C_024</t>
  </si>
  <si>
    <t>Lorsque le sens de l'opération est à "consommé", le compteur global saisi est égal au compteur global de l'occurrence précédente duquel sont soustraits les jours consommés en congés, les jours pour valorisation financière et les jours pour cotisation RAFP.</t>
  </si>
  <si>
    <t>CET_C_027</t>
  </si>
  <si>
    <t>Lorsque le sens de l'opération est égal à "consommé", l'origine des jours n'est pas à renseigner.</t>
  </si>
  <si>
    <t>CET_I_002 ET CET_I_001 ET CET_I_004 ET CET_I_011 ET CET_I_012 ET CET_I_016 ET CET_D_020 ET CET_D_059 ET CET_D_056 ET CET_D_301 ET CET_C_004 ET CET_C_010 ET CET_C_011 ET CET_C_017 ET CET_C_019 ET CET_C_024 ET CET_C_027</t>
  </si>
  <si>
    <t>CET_D_056</t>
  </si>
  <si>
    <t>La différence entre le nombre de jours du compteur global du CET et le nombre de jours pour valorisation financière doit être strictement supérieure à 15 jours.</t>
  </si>
  <si>
    <t>CET_D_301</t>
  </si>
  <si>
    <t>La différence entre le nombre de jours du compteur global du CET et le nombre de jours pour cotisation RAFP doit être strictement supérieure à 15 jours.</t>
  </si>
  <si>
    <t>18.10.00</t>
  </si>
  <si>
    <t>T1130</t>
  </si>
  <si>
    <t>Compte épargne temps - Ouverture et opération "Versement"</t>
  </si>
  <si>
    <t>La date de l'opération saisie est non vide et le sens de l'opération est "Versé".</t>
  </si>
  <si>
    <t>A_CET_DOOCET [Saisi] &lt;&gt; Vide ET A_CET_SEOCET [Saisi] = 'V'</t>
  </si>
  <si>
    <t>CET_I_002 ET CET_I_001 ET CET_I_004 ET CET_I_006 ET CET_I_010 ET CET_D_012 ET CET_D_205 ET CET_D_059 ET CET_D_014 ET CET_D_210 ET CET_D_900 ET CET_D_959 ET CET_C_004 ET CET_C_010 ET CET_C_011 ET CET_C_017 ET CET_C_019 ET CET_C_023 ET CET_C_026</t>
  </si>
  <si>
    <t>CET_I_006</t>
  </si>
  <si>
    <t>Si le statut de l'agent est régi par le Code de justice administrative, le compte épargne-temps est ouvert de droit après sa formation complémentaire de 6 mois. Il est alimenté annuellement par report de 8 jours de réduction de temps de travail.</t>
  </si>
  <si>
    <t>CET_I_010</t>
  </si>
  <si>
    <t>L'agent demande au service gestionnaire l'alimentation de son compte épargne-temps selon les modalités d'usage.</t>
  </si>
  <si>
    <t>CET_D_012</t>
  </si>
  <si>
    <t>Le CET est alimenté par le report de jours de réduction du temps de travail (ARTT), jours supplémentaires hors période et par le report de congés annuels, tels que prévus par le décret du 26 octobre 1984.</t>
  </si>
  <si>
    <t>CET_D_205</t>
  </si>
  <si>
    <t>Le CET est alimenté, pour les personnels relevant du décret du 28 mars 1967, par le report de congés annuels dont ils bénéficient au titre du pays dans lequel ils sont affectés.</t>
  </si>
  <si>
    <t>CET_D_014</t>
  </si>
  <si>
    <t>Le nombre de jours de congés pris dans l'année doit être supérieur ou égal à 20 jours.</t>
  </si>
  <si>
    <t>CET_D_210</t>
  </si>
  <si>
    <t>CET_D_900</t>
  </si>
  <si>
    <t>Si le compteur global du CET est inférieur à 20 jours et le sens de l'opération est égal à "versé" alors le nombre de jours du compteur global du CET après saisie doit être inférieur ou égal à 30 jours.</t>
  </si>
  <si>
    <t>CET_D_959</t>
  </si>
  <si>
    <t>Si le compte épargne global est supérieur ou égal à 20 jours et le sens de l'opération est égal à "versé" alors le nombre de jours de l'opération conservés en congés doit être inférieur ou égal à 10 jours.</t>
  </si>
  <si>
    <t>CET_C_023</t>
  </si>
  <si>
    <t>Lorsque le sens de l'opération est à "Versé", le compteur global saisi est égal au compteur global de l'occurrence précédente auquel sont ajoutés les jours versés.</t>
  </si>
  <si>
    <t>CET_C_026</t>
  </si>
  <si>
    <t>Lorsque le sens de l'opération est égal à "versé", le nombre de jours pour valorisation financière et le nombre de jours pour cotisation RAFP ne doivent pas être renseignés.</t>
  </si>
  <si>
    <t>CET_I_002 ET CET_I_001 ET CET_I_004 ET CET_I_006 ET CET_I_010 ET CET_D_012 ET CET_D_205 ET CET_D_059 ET CET_D_014 ET CET_D_210 ET CET_D_901 ET CET_D_960 ET CET_C_004 ET CET_C_010 ET CET_C_011 ET CET_C_017 ET CET_C_019 ET CET_C_023 ET CET_C_026</t>
  </si>
  <si>
    <t>CET_D_901</t>
  </si>
  <si>
    <t>Si le compteur global du CET est inférieur à 15 jours et le sens de l'opération est égal à "versé" alors le nombre de jours du compteur global du CET après saisie doit être inférieur ou égal à 25 jours.</t>
  </si>
  <si>
    <t>CET_D_960</t>
  </si>
  <si>
    <t>Si le compte épargne global est supérieur ou égal à 15 jours et le sens de l'opération est égal à "versé" alors le nombre de jours de l'opération conservés en congés doit être inférieur ou égal à 10 jours.</t>
  </si>
  <si>
    <t>Militaire</t>
  </si>
  <si>
    <t>P0002</t>
  </si>
  <si>
    <t>Exclu</t>
  </si>
  <si>
    <t>Contractuel</t>
  </si>
  <si>
    <t>P0003</t>
  </si>
  <si>
    <t>CET_I_002 ET CET_I_001 ET CET_I_004 ET CET_I_011 ET CET_I_013 ET CET_I_017 ET CET_D_020 ET CET_D_059 ET CET_D_055 ET CET_C_004 ET CET_C_010 ET CET_C_011 ET CET_C_017 ET CET_C_019 ET CET_C_022 ET CET_C_024 ET CET_C_027</t>
  </si>
  <si>
    <t>CET_I_013</t>
  </si>
  <si>
    <t>L'agent indique au service gestionnaire son choix entre maintien sur le compte en vue de congés et indemnisation, surtout s'il souhaite conserver ces jours sur son compte épargne-temps.</t>
  </si>
  <si>
    <t>CET_I_017</t>
  </si>
  <si>
    <t>En l'absence d'exercice d'une option par l'agent, les jours au-delà de 15 sont automatiquement indemnisés.</t>
  </si>
  <si>
    <t>CET_C_022</t>
  </si>
  <si>
    <t>Lorsque le sens de l'opération est égal à "consommé", le nombre de jours pour la cotisation RAFP n'est pas à renseigner.</t>
  </si>
  <si>
    <t>CET_I_002 ET CET_I_001 ET CET_I_004 ET CET_I_011 ET CET_I_013 ET CET_I_017 ET CET_D_020 ET CET_D_059 ET CET_D_056 ET CET_C_004 ET CET_C_010 ET CET_C_011 ET CET_C_017 ET CET_C_019 ET CET_C_022 ET CET_C_024 ET CET_C_027</t>
  </si>
  <si>
    <t>CET_I_002 ET CET_I_001 ET CET_I_004 ET CET_I_010 ET CET_D_020 ET CET_D_012 ET CET_D_205 ET CET_D_059 ET CET_D_014 ET CET_D_210 ET CET_D_900 ET CET_D_959 ET CET_C_004 ET CET_C_010 ET CET_C_011 ET CET_C_017 ET CET_C_019 ET CET_C_023 ET CET_C_026</t>
  </si>
  <si>
    <t>CET_I_002 ET CET_I_001 ET CET_I_004 ET CET_I_010 ET CET_D_020 ET CET_D_012 ET CET_D_205 ET CET_D_059 ET CET_D_014 ET CET_D_210 ET CET_D_901 ET CET_D_960 ET CET_C_004 ET CET_C_010 ET CET_C_011 ET CET_C_017 ET CET_C_019 ET CET_C_023 ET CET_C_026</t>
  </si>
  <si>
    <t>Stagiaire ou auditeur ou élève</t>
  </si>
  <si>
    <t>P0004</t>
  </si>
  <si>
    <t>Ouvrier d'état</t>
  </si>
  <si>
    <t>P0005</t>
  </si>
  <si>
    <t>Expert technique international</t>
  </si>
  <si>
    <t>P0018</t>
  </si>
  <si>
    <t>Particulier</t>
  </si>
  <si>
    <t>Personnel civil payé à l'acte ou à la tâche</t>
  </si>
  <si>
    <t>P0054</t>
  </si>
  <si>
    <t>Contractuel de droit privé</t>
  </si>
  <si>
    <t>P0072</t>
  </si>
  <si>
    <t>Ouvrier de la défense réglementé affilié</t>
  </si>
  <si>
    <t>P0093</t>
  </si>
  <si>
    <t>CET_I_003 ET CET_I_031 ET CET_I_005 ET CET_D_100 ET CET_C_004 ET CET_C_010 ET CET_C_011 ET CET_C_017 ET CET_C_019 ET CET_C_031</t>
  </si>
  <si>
    <t>CET_I_003</t>
  </si>
  <si>
    <t>L'agent doit être employé de manière continue et avoir accompli au moins 1 année de service au sein du ministère de la Défense ou de ses établissements publics.</t>
  </si>
  <si>
    <t>CET_I_031</t>
  </si>
  <si>
    <t>CET_I_005</t>
  </si>
  <si>
    <t>Une instruction du ministre de la Défense détermine, dans le respect de l'intérêt du service, les règles d'ouverture, de fonctionnement, de gestion et de fermeture du compte épargne-temps, ainsi que les modalités de son utilisation par l'agent.</t>
  </si>
  <si>
    <t>CET_D_100</t>
  </si>
  <si>
    <t>19.00.00</t>
  </si>
  <si>
    <t>CET_I_003 ET CET_I_031 ET CET_I_005 ET CET_I_011 ET CET_I_013 ET CET_I_017 ET CET_I_034 ET CET_D_100 ET CET_D_096 ET CET_C_004 ET CET_C_010 ET CET_C_011 ET CET_C_017 ET CET_C_019 ET CET_C_022 ET CET_C_024 ET CET_C_027</t>
  </si>
  <si>
    <t>CET_I_034</t>
  </si>
  <si>
    <t>La demande d'utilisation du compte épargne-temps de l'agent doit être déposée auprès du service gestionnaire dans un délai de 2 mois avant un congé d'au plus 40 jours ouvrés pris en continu et dans un délai de 4 mois s'il est d'une plus longue durée.</t>
  </si>
  <si>
    <t>CET_D_096</t>
  </si>
  <si>
    <t>CET_I_003 ET CET_I_031 ET CET_I_005 ET CET_I_011 ET CET_I_013 ET CET_I_017 ET CET_I_034 ET CET_D_100 ET CET_D_097 ET CET_C_004 ET CET_C_010 ET CET_C_011 ET CET_C_017 ET CET_C_019 ET CET_C_022 ET CET_C_024 ET CET_C_027</t>
  </si>
  <si>
    <t>CET_D_097</t>
  </si>
  <si>
    <t>CET_I_003 ET CET_I_031 ET CET_I_005 ET CET_I_032 ET CET_D_092 ET CET_D_100 ET CET_D_215 ET CET_D_220 ET CET_D_221 ET CET_C_004 ET CET_C_010 ET CET_C_011 ET CET_C_017 ET CET_C_019 ET CET_C_023 ET CET_C_026</t>
  </si>
  <si>
    <t>CET_I_032</t>
  </si>
  <si>
    <t>L'agent demande au service gestionnaire l'alimentation de son compte épargne-temps avant le 31 décembre de l'année en cours.</t>
  </si>
  <si>
    <t>CET_D_092</t>
  </si>
  <si>
    <t>Le CET est alimenté par le report de jours de réduction du temps de travail (ARTT), par le report de congés annuels, le report des jours de repos compensateur et/ou le report d'une partie des congés de fin de séjour pour les ouvriers de l'Etat mutés dans les DOM, les TOM ou à l'étranger.</t>
  </si>
  <si>
    <t>CET_D_215</t>
  </si>
  <si>
    <t>CET_D_220</t>
  </si>
  <si>
    <t>CET_D_221</t>
  </si>
  <si>
    <t>A</t>
  </si>
  <si>
    <t>CET_I_003 ET CET_I_031 ET CET_I_005 ET CET_I_032 ET CET_D_092 ET CET_D_100 ET CET_D_215 ET CET_D_222 ET CET_D_223 ET CET_C_004 ET CET_C_010 ET CET_C_011 ET CET_C_017 ET CET_C_019 ET CET_C_023 ET CET_C_026</t>
  </si>
  <si>
    <t>CET_D_222</t>
  </si>
  <si>
    <t>CET_D_223</t>
  </si>
  <si>
    <t>Ouvrier du service des alcools</t>
  </si>
  <si>
    <t>P0094</t>
  </si>
  <si>
    <t>CET_I_002 ET CET_I_001 ET CET_I_004 ET CET_I_011 ET CET_I_013 ET CET_I_017 ET CET_D_020 ET CET_D_055 ET CET_D_059 ET CET_C_004 ET CET_C_010 ET CET_C_011 ET CET_C_017 ET CET_C_019 ET CET_C_022 ET CET_C_024 ET CET_C_027</t>
  </si>
  <si>
    <t>CET_I_002 ET CET_I_001 ET CET_I_004 ET CET_I_011 ET CET_I_013 ET CET_I_017 ET CET_D_020 ET CET_D_056 ET CET_D_059 ET CET_C_004 ET CET_C_010 ET CET_C_011 ET CET_C_017 ET CET_C_019 ET CET_C_022 ET CET_C_024 ET CET_C_027</t>
  </si>
  <si>
    <t>Ouvrier du service du cadastre confirmé affilié</t>
  </si>
  <si>
    <t>P0095</t>
  </si>
  <si>
    <t>25.10.00</t>
  </si>
  <si>
    <t>Ouvrier des parcs et ateliers ou assimilé confirmé</t>
  </si>
  <si>
    <t>P0096</t>
  </si>
  <si>
    <t>2025-114</t>
  </si>
  <si>
    <t>Volontaire International</t>
  </si>
  <si>
    <t>P0178</t>
  </si>
  <si>
    <t>Personnel civil de coopération (assistant technique)</t>
  </si>
  <si>
    <t>P0214</t>
  </si>
  <si>
    <t>E0468</t>
  </si>
  <si>
    <t>Compte épargne temps transitoire</t>
  </si>
  <si>
    <t>A_CET_DAGTRA [Saisi] &lt;&gt; Vide</t>
  </si>
  <si>
    <t>T1131</t>
  </si>
  <si>
    <t>Compte épargne temps transitoire - Ouverture sans opération</t>
  </si>
  <si>
    <t>CET_C_021 ET CET_C_012 ET CET_C_014 ET CET_C_015 ET CET_C_018 ET CET_C_031</t>
  </si>
  <si>
    <t>CET_C_021</t>
  </si>
  <si>
    <t>La date d'ouverture du CET transitoire doit être antérieure ou égale au 31/12/2008.</t>
  </si>
  <si>
    <t>CET_C_012</t>
  </si>
  <si>
    <t>Le nombre de jours de l'opération doit être inférieur ou égal au nombre de jours du compteur global du CET transitoire.</t>
  </si>
  <si>
    <t>CET_C_014</t>
  </si>
  <si>
    <t>La date de fermeture du CET transitoire doit être antérieure ou égale à la date limite de départ en retraite.</t>
  </si>
  <si>
    <t>CET_C_015</t>
  </si>
  <si>
    <t>La date de fermeture du CET transitoire doit être antérieure ou égale à la date de fin réelle ou prévisionnelle du lien juridique.</t>
  </si>
  <si>
    <t>CET_C_018</t>
  </si>
  <si>
    <t>La date d'ouverture du compte épargne temps transitoire doit être postérieure ou égale à la date d'entrée dans le SIRH.</t>
  </si>
  <si>
    <t>T1132</t>
  </si>
  <si>
    <t>Compte épargne temps transitoire - Ouverture et opération "Consommation"</t>
  </si>
  <si>
    <t>La date de l'opération saisie est non vide.</t>
  </si>
  <si>
    <t>A_CET_DOOCET [Saisi] &lt;&gt; Vide</t>
  </si>
  <si>
    <t>CET_I_026 ET CET_I_027 ET CET_I_023 ET CET_I_024 ET CET_D_055 ET CET_D_300 ET CET_C_021 ET CET_C_012 ET CET_C_014 ET CET_C_015 ET CET_C_018 ET CET_C_025 ET CET_C_027 ET CET_C_028 ET CET_C_030</t>
  </si>
  <si>
    <t>CET_I_026</t>
  </si>
  <si>
    <t>L'agent qui a demandé au 31 décembre 2009 le maintien de jours de congés sur son compte épargne-temps historique peut opter pour leur prise en compte au titre de l'épargne-retraite suivant les dispositions du régime pérenne.</t>
  </si>
  <si>
    <t>CET_I_027</t>
  </si>
  <si>
    <t>L'agent qui a demandé au 31 décembre 2009 le maintien de jours de congés sur son compte épargne-temps historique peut opter pour leur indemnisation suivant les dispositions du régime pérenne.</t>
  </si>
  <si>
    <t>CET_I_023</t>
  </si>
  <si>
    <t>Le versement s'effectue à hauteur de 4 jours par an jusqu'à épuisement du solde.</t>
  </si>
  <si>
    <t>CET_I_024</t>
  </si>
  <si>
    <t>Si la durée de versement est supérieure à 4 ans, celui-ci est opéré en 4 fractions annuelles d'égal montant.</t>
  </si>
  <si>
    <t>CET_C_025</t>
  </si>
  <si>
    <t>Lorsque le sens de l'opération est à "consommé", le compteur global transitoire saisi est égal au compteur global transitoire de l'occurrence précédente duquel sont soustraits les jours consommés en congés.</t>
  </si>
  <si>
    <t>CET_C_028</t>
  </si>
  <si>
    <t>Pour le compte épargne temps transitoire, seule l'opération de consommation en jours de congés est autorisée. Dans ce cas, l'origine des jours, le nombre de jours pour valorisation financière et le nombre de jours pour cotisation RAFP ne sont pas à renseigner.</t>
  </si>
  <si>
    <t>CET_C_030</t>
  </si>
  <si>
    <t>Le sens de l'opération doit être à "consommé".</t>
  </si>
  <si>
    <t>CET_I_026 ET CET_I_027 ET CET_I_023 ET CET_I_024 ET CET_D_056 ET CET_D_301 ET CET_C_021 ET CET_C_012 ET CET_C_014 ET CET_C_015 ET CET_C_018 ET CET_C_025 ET CET_C_027 ET CET_C_028 ET CET_C_030</t>
  </si>
  <si>
    <t>CET_I_027 ET CET_I_023 ET CET_I_024 ET CET_D_055 ET CET_C_021 ET CET_C_012 ET CET_C_014 ET CET_C_015 ET CET_C_018 ET CET_C_022 ET CET_C_025 ET CET_C_027 ET CET_C_028 ET CET_C_030</t>
  </si>
  <si>
    <t>CET_I_027 ET CET_I_023 ET CET_I_024 ET CET_D_056 ET CET_C_021 ET CET_C_012 ET CET_C_014 ET CET_C_015 ET CET_C_018 ET CET_C_022 ET CET_C_025 ET CET_C_027 ET CET_C_028 ET CET_C_030</t>
  </si>
  <si>
    <t>CET_I_027 ET CET_D_096 ET CET_C_021 ET CET_C_012 ET CET_C_014 ET CET_C_015 ET CET_C_018 ET CET_C_022 ET CET_C_025 ET CET_C_027 ET CET_C_028 ET CET_C_030</t>
  </si>
  <si>
    <t>CET_I_027 ET CET_D_097 ET CET_C_021 ET CET_C_012 ET CET_C_014 ET CET_C_015 ET CET_C_018 ET CET_C_022 ET CET_C_025 ET CET_C_027 ET CET_C_028 ET CET_C_030</t>
  </si>
  <si>
    <t>E0469</t>
  </si>
  <si>
    <t>Compte épargne temps - Opérations d'inventaire</t>
  </si>
  <si>
    <t>T1133</t>
  </si>
  <si>
    <t>A_CET_OBSCET [Saisi] &lt;&gt; Vide</t>
  </si>
  <si>
    <t>CET_I_007 ET CET_I_021 ET CET_I_020 ET CET_I_025 ET CET_C_029</t>
  </si>
  <si>
    <t>CET_I_007</t>
  </si>
  <si>
    <t>L'administration informe annuellement l'agent des droits épargnés et consommés.</t>
  </si>
  <si>
    <t>CET_I_021</t>
  </si>
  <si>
    <t>Le gestionnaire, avant la date prévue de la radiation, dans un délai minimal dont la durée est égale à la somme des jours épargnés plus un mois, informe l'agent de son droit à utiliser les jours épargnés.</t>
  </si>
  <si>
    <t>CET_I_020</t>
  </si>
  <si>
    <t>L'administration, la collectivité ou l'établissement d'origine adressera au nouvel employeur public, au plus tard à la date d'affectation de l'agent, une attestation des droits à congés épargnés par l'agent.</t>
  </si>
  <si>
    <t>CET_I_025</t>
  </si>
  <si>
    <t>Si l'agent cesse définitivement ses fonctions, le solde éventuel de l'indemnisation dû à sa cessation de fonctions est versé à cette date.</t>
  </si>
  <si>
    <t>CET_C_029</t>
  </si>
  <si>
    <t>Pour les opérations d'inventaires, les champs "Année de référence" et "Nombre de jours demandés restant à payer (à la date d'observation)" doivent être saisis.</t>
  </si>
  <si>
    <t>CET_I_007 ET CET_I_022 ET CET_I_025 ET CET_C_029</t>
  </si>
  <si>
    <t>CET_I_022</t>
  </si>
  <si>
    <t>Le gestionnaire, avant la date prévue du licenciement ou de la fin de contrat, dans un délai minimal dont la durée est égale à la somme des jours épargnés plus un mois, informe l'agent de son droit à utiliser les jours épargnés.</t>
  </si>
  <si>
    <t>CET_I_008 ET CET_I_033 ET CET_I_035 ET CET_C_029</t>
  </si>
  <si>
    <t>CET_I_008</t>
  </si>
  <si>
    <t>CET_I_033</t>
  </si>
  <si>
    <t>L'agent est informé de son droit à utiliser les congés accumulés à la date de clôture du compte dans un délai au moins égal à la somme de ces congés plus 1 mois.</t>
  </si>
  <si>
    <t>CET_I_035</t>
  </si>
  <si>
    <t>Le service gestionnaire informe l'agent que si le nombre de jours épargnés est d'au moins 40, alors les droits à congés doivent être exercés dans un délai de 10 ans à compter de cette notification.</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</si>
  <si>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</si>
  <si>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</si>
  <si>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</si>
  <si>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</si>
  <si>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</si>
  <si>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</si>
  <si>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</si>
  <si>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</si>
  <si>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</si>
  <si>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</si>
  <si>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</si>
  <si>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</si>
  <si>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</si>
  <si>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</si>
  <si>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</si>
  <si>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</si>
  <si>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</si>
  <si>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</si>
  <si>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</si>
  <si>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</si>
  <si>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</si>
  <si>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CET_P_001 ET CET_P_004 ET CET_P_006 ET CET_P_007 ET CET_P_008 ET CET_P_009 ET CET_P_010 ET CET_P_011 ET CET_P_012 ET CET_P_013</t>
  </si>
  <si>
    <t>CET_P_001</t>
  </si>
  <si>
    <t>Rémunération : En cas d'indemnisation, le montant versé est un montant forfaitaire qui dépend de la catégorie statutaire d'appartenance de l'agent.</t>
  </si>
  <si>
    <t>CET_P_004</t>
  </si>
  <si>
    <t>Carrière : Les congés pris au titre du compte épargne-temps sont assimilés à une période d'activité. Pendant ces congés, l'agent conserve, notamment, ses droits à avancement à l'ancienneté. La durée du congé est prise en compte comme service effectif.</t>
  </si>
  <si>
    <t>CET_P_006</t>
  </si>
  <si>
    <t>Stage : L'agent ne peut pas demander l'ouverture ou l'utilisation d'un compte épargne-temps durant la durée de son stage.</t>
  </si>
  <si>
    <t>CET_P_007</t>
  </si>
  <si>
    <t>Congés annuels : L'agent conserve son droit à congé annuel.</t>
  </si>
  <si>
    <t>CET_P_008</t>
  </si>
  <si>
    <t>Mobilité : Si l'agent effectue une mobilité auprès d'une administration, d'une collectivité ou d'un établissement relevant de l'une des trois fonctions publiques, l'agent conserve le bénéfice de son compte épargne-temps.</t>
  </si>
  <si>
    <t>CET_P_009</t>
  </si>
  <si>
    <t>Mise à disposition : Si l'agent est en position de mise à disposition auprès d'une administration, d'une collectivité ou d'un établissement relevant de l'une des trois fonctions publiques, l'agent conserve le bénéfice de son compte épargne-temps.</t>
  </si>
  <si>
    <t>CET_P_010</t>
  </si>
  <si>
    <t>Détachement : Si l'agent est en position de détachement auprès d'une administration, d'une collectivité ou d'un établissement relevant de l'une des trois fonctions publiques, l'agent conserve le bénéfice de son compte épargne-temps.</t>
  </si>
  <si>
    <t>CET_P_011</t>
  </si>
  <si>
    <t>Retraite : Si l'agent dispose de plus de 15 jours sur son compte épargne-temps, il peut choisir une prise en compte au sein du régime de retraite additionnelle de la fonction publique - RAFP, au-delà des 15 jours.</t>
  </si>
  <si>
    <t>CET_P_012</t>
  </si>
  <si>
    <t>Décès : Les droits acquis au titre du compte épargne-temps de l'agent bénéficient à ses ayants droit. Ils donnent lieu à une indemnisation forfaitaire.</t>
  </si>
  <si>
    <t>CET_P_013</t>
  </si>
  <si>
    <t>Acte : Un acte administratif doit être produit si l'agent bénéficie de l'indemnisation de jours de son compte épargne-temps ou d'une prise en compte au sein du régime de retraite additionnelle de la fonction publique - RAFP.</t>
  </si>
  <si>
    <t>CET_P_002 ET CET_P_005 ET CET_P_007 ET CET_P_008 ET CET_P_009 ET CET_P_012 ET CET_P_014</t>
  </si>
  <si>
    <t>CET_P_002</t>
  </si>
  <si>
    <t>Rémunération : Si l'agent dispose de plus de 15 jours sur son compte épargne-temps, il peut choisir l'indemnisation de ces jours au-delà des 15 jours. Le montant versé est un montant forfaitaire selon la catégorie hiérarchique du contrat de l'agent.</t>
  </si>
  <si>
    <t>CET_P_005</t>
  </si>
  <si>
    <t>Carrière : Les congés pris au titre du compte épargne-temps sont assimilés à une période d'activité. Ils sont pris en compte dans l'ancienneté de service. La durée du congé est prise en compte comme service effectif.</t>
  </si>
  <si>
    <t>CET_P_014</t>
  </si>
  <si>
    <t>Acte : Un acte administratif doit être produit si l'agent bénéficie de l'indemnisation de jours de son compte épargne-temps .</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</si>
  <si>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</si>
  <si>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</si>
  <si>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</si>
  <si>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</si>
  <si>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</si>
  <si>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</si>
  <si>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</si>
  <si>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</si>
  <si>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</si>
  <si>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</si>
  <si>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</si>
  <si>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</si>
  <si>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</si>
  <si>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</si>
  <si>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</si>
  <si>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</si>
  <si>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</si>
  <si>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</si>
  <si>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</si>
  <si>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</si>
  <si>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</si>
  <si>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</si>
  <si>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</si>
  <si>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</si>
  <si>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</si>
  <si>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</si>
  <si>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</si>
  <si>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</si>
  <si>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</si>
  <si>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</si>
  <si>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2002-634 A3 / Décret 84-972</t>
  </si>
  <si>
    <t>A_CET_ORICET [Saisi] DANS ('CV000','CV001','CV002','CV010','CE000','CE001')</t>
  </si>
  <si>
    <t>Bloquant</t>
  </si>
  <si>
    <t>P0094 / P0095 / P0096 - P0001 / P0003 - E0466</t>
  </si>
  <si>
    <t>x</t>
  </si>
  <si>
    <t>A_COA_TYCONG [Dossier] DANS ('CV000','CV001','CV002','CV010','CE000','CE001') ET # La somme des droits consommés (A_COA_DROCON) pour ces motifs est supérieure ou égale à 20 jours.#</t>
  </si>
  <si>
    <t>Décret 2002-634 A2</t>
  </si>
  <si>
    <t>A_MOS_INDORS [Dossier] = '0'</t>
  </si>
  <si>
    <t>Décret 2002-634 A5 | A6-II-1°-b | A6-II-2°-a / Arrêté du 28 aout 2009 A1</t>
  </si>
  <si>
    <t>SI A_CET_VFICET [Saisi] &lt;&gt; Vide</t>
  </si>
  <si>
    <t>A_CET_COGCET [Saisi] - A_CET_VFICET [Saisi] &gt; 20,0</t>
  </si>
  <si>
    <t>P0094 / P0095 / P0096 - P0001 / P0003 - E0466 / E0468</t>
  </si>
  <si>
    <t>A_CET_COGCET [Saisi] - A_CET_VFICET [Saisi] &gt; 15.0</t>
  </si>
  <si>
    <t>22.10.00</t>
  </si>
  <si>
    <t>Décret 2002-634 A6-3 | A6-II-1°-c | A6-II-2°-b / Arrêté du 28 aout 2009 A2 | A3</t>
  </si>
  <si>
    <t>A_CET_COGCET [Saisi] &lt;= 60,0</t>
  </si>
  <si>
    <t>Non Bloquant</t>
  </si>
  <si>
    <t>Ce contrôle est non bloquant car les 60 jours doivent être atteints au 31/01 de l'année considérée.</t>
  </si>
  <si>
    <t>Instruction 301964 A3</t>
  </si>
  <si>
    <t>P0093 - E0466</t>
  </si>
  <si>
    <t>Le Compte Epargne Temps est alimenté par le report de jours de réduction du temps de travail, de congés annuels, de jours de repos compensateur et/ou de congés de fin de séjour pour les ouvriers de l'Etat mutés des DOM, des TOM ou à l'étranger.</t>
  </si>
  <si>
    <t>Arrêté du 28 aout 2009 A1</t>
  </si>
  <si>
    <t>P0093 - E0466 / E0468</t>
  </si>
  <si>
    <t>A_CET_COGCET [Saisi] - A_CET_VFICET [Saisi] &gt; 15,0</t>
  </si>
  <si>
    <t>Arrêté du 28 aout 2009 A2 | A3</t>
  </si>
  <si>
    <t>Décret 2002-634 A3 / Décret 67-290</t>
  </si>
  <si>
    <t>20.00.00</t>
  </si>
  <si>
    <t>Pour l'agent en poste à l'étranger, le nombre de jours de congés pris dans l'année doit être supérieur ou égal à 20 jours.</t>
  </si>
  <si>
    <t>A_COA_TYCONG [Dossier] DANS ('CV000','CV001','CV002','CV010','CE000','CE001') ET #la somme des droits consommés (A_COA_DROCON) pour ces motifs est supérieure ou égale à 20 jours#</t>
  </si>
  <si>
    <t>SI A_CET_COGCET [Occurrence précédente] &gt;= 20,0</t>
  </si>
  <si>
    <t>A_CET_MOPCET [Saisi] &lt;= 10,0</t>
  </si>
  <si>
    <t>Arrêté du 28 aout 2009 A1 | A2</t>
  </si>
  <si>
    <t>SI A_CET_COGCET [Occurrence précédente] &lt; 20,0</t>
  </si>
  <si>
    <t>A_CET_COGCET [Saisi] &lt;= 30,0</t>
  </si>
  <si>
    <t>SI A_CET_COGCET [Occurrence précédente] &gt;= 15,0</t>
  </si>
  <si>
    <t>Arrêté du 28 aout 2009 A1 | A2 | A3</t>
  </si>
  <si>
    <t>SI A_CET_COGCET [Occurrence précédente] &lt; 15,0</t>
  </si>
  <si>
    <t>A_CET_COGCET [Saisi] &lt;= 25,0</t>
  </si>
  <si>
    <t>Décret 2002-634 A5 | A6-II-1°-a / Arrêté du 28 aout 2009 A1</t>
  </si>
  <si>
    <t>SI A_CET_RAFCET [Saisi] &lt;&gt; Vide</t>
  </si>
  <si>
    <t>A_CET_COGCET [Saisi] - A_CET_RAFCET [Saisi] &gt; 20,0</t>
  </si>
  <si>
    <t>P0001 - E0466 / E0468</t>
  </si>
  <si>
    <t>A_CET_COGCET [Saisi] - A_CET_RAFCET [Saisi] &gt; 15.0</t>
  </si>
  <si>
    <t>P0096 / P0094 / P0095 - P0001 / P0003 - E0466</t>
  </si>
  <si>
    <t>Décret 2002-634 A6-3 | A6-II-1°-c | A6-II-2°-b / Arrêté du 28 aout 2009 A1 | A2 | A3</t>
  </si>
  <si>
    <t>17.10.00</t>
  </si>
  <si>
    <t>Contrôle</t>
  </si>
  <si>
    <t>A_CET_MOPCET [Saisi] &lt;= A_CET_COGCET [Saisi]</t>
  </si>
  <si>
    <t>SI A_CET_DFICET [Saisi] &lt;&gt; Vide</t>
  </si>
  <si>
    <t>A_CET_DFICET [Saisi] &lt;= A_SAP_DLDPRE [Dossier]</t>
  </si>
  <si>
    <t>A_CET_DFICET [Saisi] &lt;= [Date limite de fin réelle ou prévisionnelle du lien juridique]</t>
  </si>
  <si>
    <t>A_CET_MOPCET [Saisi] &lt;= A_CET_COGTRA [Saisi]</t>
  </si>
  <si>
    <t>SI A_CET_DFITRA [Saisi] &lt;&gt; Vide</t>
  </si>
  <si>
    <t>A_CET_DFITRA [Saisi] &lt;= A_SAP_DLDPRE [Dossier]</t>
  </si>
  <si>
    <t>A_CET_DFITRA [Saisi] &lt;= [Date limite de fin réelle ou prévisionnelle du lien juridique]</t>
  </si>
  <si>
    <t>A_CET_DCRCET [Saisi] &gt;= A_SAP_DESIRH [Dossier]</t>
  </si>
  <si>
    <t>Ce contrôle est non bloquant pour permettre les cas de transfert de CET lors de détachement ...</t>
  </si>
  <si>
    <t>A_CET_DCRTRA [Saisi] &gt;= A_SAP_DESIRH [Dossier]</t>
  </si>
  <si>
    <t>A_CET_DCRCET [Saisi] &lt;&gt; Vide</t>
  </si>
  <si>
    <t>A_CET_DCRTRA [Saisi] &lt;&gt; Vide ET A_CET_DCRTRA [Saisi] &lt;= 31/12/2008</t>
  </si>
  <si>
    <t>A_CET_RAFCET [Saisi] = Vide</t>
  </si>
  <si>
    <t>A_CET_COGCET [Saisi] = A_CET_COGCET [Occurrence précédente] + A_CET_MOPCET [Saisi]</t>
  </si>
  <si>
    <t>A_CET_COGCET [Saisi] = A_CET_COGCET [Occurrence précédente] - (A_CET_MOPCET [Saisi] + A_CET_VFICET [Saisi] + A_CET_RAFCET [Saisi])</t>
  </si>
  <si>
    <t>A_CET_COGTRA [Saisi] = A_CET_COGTRA [Occurrence précédente] - A_CET_MOPCET [Saisi]</t>
  </si>
  <si>
    <t>A_CET_VFICET [Saisi] = Vide ET A_CET_RAFCET [Saisi] = Vide</t>
  </si>
  <si>
    <t>A_CET_ORICET [Saisi] = Vide</t>
  </si>
  <si>
    <t>A_CET_ORICET [Saisi] = Vide ET A_CET_VFICET [Saisi] = Vide ET A_CET_RAFCET [Saisi] = Vide</t>
  </si>
  <si>
    <t>A_CET_ANRCET [Saisi] &lt;&gt; Vide ET A_CET_NBJCET [Saisi] &lt;&gt; Vide</t>
  </si>
  <si>
    <t>A_CET_SEOCET [Saisi] = 'C'</t>
  </si>
  <si>
    <t>A_CET_ORICET [Saisi] = Vide ET A_CET_MOPCET [Saisi] ET A_CET_VFICET [Saisi] = Vide ET A_CET_RAFCET [Saisi] = Vide</t>
  </si>
  <si>
    <t>Intellectuel</t>
  </si>
  <si>
    <t>Décret 2002-634 A1</t>
  </si>
  <si>
    <t>Instruction 301964 A2</t>
  </si>
  <si>
    <t>Décret 2002-634 A8</t>
  </si>
  <si>
    <t>Décret 2004-675 A1</t>
  </si>
  <si>
    <t>P0001 - E0466</t>
  </si>
  <si>
    <t>P0096 / P0094 / P0095 - P0001 / P0003 - E0469</t>
  </si>
  <si>
    <t>Instruction 301964 A1</t>
  </si>
  <si>
    <t>P0093 - E0469</t>
  </si>
  <si>
    <t>Décret 2002-634 A3</t>
  </si>
  <si>
    <t>Décret 2002-634 A6</t>
  </si>
  <si>
    <t>P0093 / P0094 / P0095 / P0096 - P0001 / P0003 - E0466</t>
  </si>
  <si>
    <t>P0093 - P0001 - E0466</t>
  </si>
  <si>
    <t>P0093 / P0094 / P0095 / P0096 - P0003 - E0466</t>
  </si>
  <si>
    <t>Décret 2002-634 A6 / Arrêté du 28 aout 2009 A1</t>
  </si>
  <si>
    <t>Décret 2002-634 A10</t>
  </si>
  <si>
    <t>P0001 - E0469</t>
  </si>
  <si>
    <t>P0094 / P0095 / P0096 - P0003 - E0469</t>
  </si>
  <si>
    <t>Décret 2009-1065 A9</t>
  </si>
  <si>
    <t>P0096 / P0093 / P0094 / P0095 - P0001 / P0003 - E0468</t>
  </si>
  <si>
    <t>P0093 / P0094 / P0095 / P0096 - P0001 / P0003 - E0468</t>
  </si>
  <si>
    <t>P0094 / P0095 / P0096 - P0001 / P0003 - E0469</t>
  </si>
  <si>
    <t>P0001 - E0468</t>
  </si>
  <si>
    <t>Instruction 301964 A5</t>
  </si>
  <si>
    <t>Instruction 301964 A8</t>
  </si>
  <si>
    <t>Instruction 301964 A6</t>
  </si>
  <si>
    <t>Impact</t>
  </si>
  <si>
    <t>P0001 / P0003 - E0466 / E0468 / E0971 / E0972 / E0973 - Rémunération</t>
  </si>
  <si>
    <t>P0003 - E0466 / E0468 - Rémunération</t>
  </si>
  <si>
    <t>Rémunération : Si l'agent dispose de plus de 20 jours sur son compte épargne-temps, il peut choisir l'indemnisation de ces jours au-delà des 20 jours. Le montant versé est un montant forfaitaire selon la catégorie hiérarchique du contrat de l'agent.</t>
  </si>
  <si>
    <t>P0001 - E0466 / E0468 - Carrière</t>
  </si>
  <si>
    <t>Carrière : Les congés pris au titre du compte épargne-temps sont assimilés à une période d'activité. Pendant ces congés, l'agent conserve, notamment, ses droits à avancement à l'ancienneté. La durée du congé est prise en compte comme service effectif.</t>
  </si>
  <si>
    <t>P0003 - E0466 / E0468 - Carrière</t>
  </si>
  <si>
    <t>P0001 / P0003 - E0971 / E0466 / E0468 / E0972 / E0973 - Stage</t>
  </si>
  <si>
    <t>P0001 / P0003 - E0466 / E0468 / E0971 / E0972 / E0973 - Congés annuels</t>
  </si>
  <si>
    <t>P0001 / P0003 - E0468 / E0466 - Mobilité</t>
  </si>
  <si>
    <t>P0001 / P0003 - E0468 / E0466 - Mise à disposition</t>
  </si>
  <si>
    <t>P0001 - E0466 / E0468 - Détachement</t>
  </si>
  <si>
    <t>P0001 - E0466 / E0468 - Retraite</t>
  </si>
  <si>
    <t>Retraite : Si l'agent dispose de plus de 20 jours sur son compte épargne-temps, il peut choisir une prise en compte au sein du régime de retraite additionnelle de la fonction publique - RAFP, au-delà des 20 jours.</t>
  </si>
  <si>
    <t>P0001 / P0003 - E0466 / E0468 - Décès</t>
  </si>
  <si>
    <t>P0001 - E0466 / E0468 - Acte</t>
  </si>
  <si>
    <t>Acte : Un acte administratif doit être produit si l'agent bénéficie de l'indemnisation de jours de son compte épargne-temps ou d'une prise en compte au sein du régime de retraite additionnelle de la fonction publique - RAFP.</t>
  </si>
  <si>
    <t>P0003 - E0468 / E0466 -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</si>
</sst>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42872-00FE-4DC0-B8EA-FB58BB183227}">
  <sheetPr codeName="Feuil2"/>
  <dimension ref="A1:AG425"/>
  <sheetViews>
    <sheetView zoomScaleNormal="100" workbookViewId="0"/>
  </sheetViews>
  <sheetFormatPr baseColWidth="10" defaultRowHeight="14.3" x14ac:dyDescent="0.25"/>
  <cols>
    <col min="2" max="2" width="144.25" style="9" customWidth="1"/>
    <col min="3" max="3" width="64.875" style="2" bestFit="1" customWidth="1"/>
    <col min="18" max="19" width="11" style="2"/>
  </cols>
  <sheetData>
    <row r="1" spans="1:33" x14ac:dyDescent="0.25">
      <c r="B1" s="1" t="s">
        <v>0</v>
      </c>
    </row>
    <row r="2" spans="1:33" ht="114.1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6809-10B3-45BE-89B6-21DF9D49A2DA}">
  <dimension ref="A1:BW315"/>
  <sheetViews>
    <sheetView workbookViewId="0">
      <pane ySplit="1" topLeftCell="A2" activePane="bottomLeft" state="frozenSplit"/>
      <selection pane="bottomLeft"/>
    </sheetView>
  </sheetViews>
  <sheetFormatPr baseColWidth="10" defaultRowHeight="14.3" x14ac:dyDescent="0.25"/>
  <cols>
    <col min="1" max="1" width="8.625" style="12" customWidth="1"/>
    <col min="2" max="2" width="7.625" style="12" customWidth="1"/>
    <col min="3" max="3" width="12.625" style="12" customWidth="1"/>
    <col min="4" max="4" width="13.625" style="12" customWidth="1"/>
    <col min="5" max="5" width="25.625" style="17" customWidth="1"/>
    <col min="6" max="6" width="13.625" style="12" customWidth="1"/>
    <col min="7" max="7" width="25.625" style="17" customWidth="1"/>
    <col min="8" max="8" width="13.625" style="12" customWidth="1"/>
    <col min="9" max="11" width="25.625" style="17" customWidth="1"/>
    <col min="12" max="12" width="13.625" style="12" customWidth="1"/>
    <col min="13" max="13" width="25.625" style="17" customWidth="1"/>
    <col min="14" max="14" width="13.625" style="12" customWidth="1"/>
    <col min="15" max="16" width="30.625" style="17" customWidth="1"/>
    <col min="17" max="17" width="25.625" style="17" customWidth="1"/>
    <col min="18" max="20" width="13.625" style="12" customWidth="1"/>
    <col min="21" max="22" width="12.625" style="12" customWidth="1"/>
    <col min="23" max="23" width="40.625" style="17" customWidth="1"/>
    <col min="24" max="24" width="15.625" style="18" customWidth="1"/>
    <col min="25" max="25" width="25.625" style="17" customWidth="1"/>
    <col min="26" max="26" width="15.625" style="18" customWidth="1"/>
    <col min="27" max="27" width="25.625" style="17" customWidth="1"/>
    <col min="28" max="28" width="15.625" style="18" customWidth="1"/>
    <col min="29" max="29" width="25.625" style="17" customWidth="1"/>
    <col min="30" max="30" width="15.625" style="18" customWidth="1"/>
    <col min="31" max="31" width="25.625" style="17" customWidth="1"/>
    <col min="32" max="32" width="15.625" style="18" customWidth="1"/>
    <col min="33" max="33" width="25.625" style="17" customWidth="1"/>
    <col min="34" max="34" width="15.625" style="18" customWidth="1"/>
    <col min="35" max="35" width="25.625" style="17" customWidth="1"/>
    <col min="36" max="36" width="15.625" style="18" customWidth="1"/>
    <col min="37" max="37" width="25.625" style="17" customWidth="1"/>
    <col min="38" max="38" width="15.625" style="18" customWidth="1"/>
    <col min="39" max="39" width="25.625" style="17" customWidth="1"/>
    <col min="40" max="40" width="15.625" style="18" customWidth="1"/>
    <col min="41" max="41" width="25.625" style="17" customWidth="1"/>
    <col min="42" max="42" width="15.625" style="18" customWidth="1"/>
    <col min="43" max="43" width="25.625" style="17" customWidth="1"/>
    <col min="44" max="44" width="15.625" style="18" customWidth="1"/>
    <col min="45" max="45" width="25.625" style="17" customWidth="1"/>
    <col min="46" max="46" width="15.625" style="18" customWidth="1"/>
    <col min="47" max="47" width="25.625" style="17" customWidth="1"/>
    <col min="48" max="48" width="15.625" style="18" customWidth="1"/>
    <col min="49" max="49" width="25.625" style="17" customWidth="1"/>
    <col min="50" max="50" width="15.625" style="18" customWidth="1"/>
    <col min="51" max="51" width="25.625" style="17" customWidth="1"/>
    <col min="52" max="52" width="15.625" style="18" customWidth="1"/>
    <col min="53" max="53" width="25.625" style="17" customWidth="1"/>
    <col min="54" max="54" width="15.625" style="18" customWidth="1"/>
    <col min="55" max="55" width="25.625" style="17" customWidth="1"/>
    <col min="56" max="56" width="15.625" style="18" customWidth="1"/>
    <col min="57" max="57" width="25.625" style="17" customWidth="1"/>
    <col min="58" max="58" width="15.625" style="18" customWidth="1"/>
    <col min="59" max="59" width="25.625" style="17" customWidth="1"/>
    <col min="60" max="60" width="15.625" style="18" customWidth="1"/>
    <col min="61" max="61" width="25.625" style="17" customWidth="1"/>
    <col min="62" max="62" width="15.625" style="18" customWidth="1"/>
    <col min="63" max="63" width="25.625" style="17" customWidth="1"/>
    <col min="64" max="64" width="15.625" style="18" customWidth="1"/>
    <col min="65" max="65" width="25.625" style="17" customWidth="1"/>
    <col min="66" max="66" width="15.625" style="18" customWidth="1"/>
    <col min="67" max="67" width="25.625" style="17" customWidth="1"/>
    <col min="68" max="68" width="15.625" style="18" customWidth="1"/>
    <col min="69" max="69" width="25.625" style="17" customWidth="1"/>
    <col min="70" max="70" width="15.625" style="18" customWidth="1"/>
    <col min="71" max="71" width="25.625" style="17" customWidth="1"/>
    <col min="72" max="72" width="15.625" style="18" customWidth="1"/>
    <col min="73" max="73" width="25.625" style="17" customWidth="1"/>
    <col min="74" max="74" width="9.625" style="18" customWidth="1"/>
    <col min="75" max="75" width="15.625" style="17" customWidth="1"/>
    <col min="76" max="16384" width="11" style="12"/>
  </cols>
  <sheetData>
    <row r="1" spans="1:75" ht="42.8" x14ac:dyDescent="0.2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row>
    <row r="2" spans="1:75" ht="128.4" x14ac:dyDescent="0.25">
      <c r="A2" s="13" t="s">
        <v>76</v>
      </c>
      <c r="B2" s="13" t="s">
        <v>77</v>
      </c>
      <c r="C2" s="14">
        <v>45628.699305555558</v>
      </c>
      <c r="D2" s="13" t="s">
        <v>78</v>
      </c>
      <c r="E2" s="15" t="s">
        <v>79</v>
      </c>
      <c r="F2" s="13" t="s">
        <v>80</v>
      </c>
      <c r="G2" s="15" t="s">
        <v>81</v>
      </c>
      <c r="H2" s="13" t="s">
        <v>82</v>
      </c>
      <c r="I2" s="15" t="s">
        <v>81</v>
      </c>
      <c r="J2" s="15" t="s">
        <v>83</v>
      </c>
      <c r="K2" s="15" t="s">
        <v>84</v>
      </c>
      <c r="L2" s="13" t="s">
        <v>85</v>
      </c>
      <c r="M2" s="15" t="s">
        <v>86</v>
      </c>
      <c r="N2" s="14" t="s">
        <v>87</v>
      </c>
      <c r="O2" s="15" t="s">
        <v>88</v>
      </c>
      <c r="P2" s="15" t="s">
        <v>89</v>
      </c>
      <c r="Q2" s="15" t="s">
        <v>90</v>
      </c>
      <c r="R2" s="13" t="s">
        <v>91</v>
      </c>
      <c r="S2" s="13" t="s">
        <v>92</v>
      </c>
      <c r="T2" s="13" t="s">
        <v>93</v>
      </c>
      <c r="U2" s="14">
        <v>40725</v>
      </c>
      <c r="V2" s="14">
        <v>40725</v>
      </c>
      <c r="W2" s="15" t="s">
        <v>94</v>
      </c>
      <c r="X2" s="13" t="s">
        <v>95</v>
      </c>
      <c r="Y2" s="15" t="str">
        <f>VLOOKUP(X2,'Axe 2 Règles de gestion'!$D$2:$F$84,3, FALSE)</f>
        <v>L'agent doit être employé de manière continue et avoir accompli au moins 1 an de service.</v>
      </c>
      <c r="Z2" s="13" t="s">
        <v>97</v>
      </c>
      <c r="AA2" s="15" t="str">
        <f>VLOOKUP(Z2,'Axe 2 Règles de gestion'!$D$2:$F$84,3, FALSE)</f>
        <v>L'agent demande l'ouverture d'un compte épargne-temps auprès du service gestionnaire.</v>
      </c>
      <c r="AB2" s="13" t="s">
        <v>99</v>
      </c>
      <c r="AC2" s="15" t="str">
        <f>VLOOKUP(AB2,'Axe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2" s="13"/>
      <c r="AE2" s="15"/>
      <c r="AF2" s="13"/>
      <c r="AG2" s="15"/>
      <c r="AH2" s="13"/>
      <c r="AI2" s="15"/>
      <c r="AJ2" s="13"/>
      <c r="AK2" s="15"/>
      <c r="AL2" s="13" t="s">
        <v>101</v>
      </c>
      <c r="AM2" s="15" t="str">
        <f>VLOOKUP(AL2,'Axe 2 Règles de gestion'!$D$2:$F$84,3, FALSE)</f>
        <v>L'agent ne doit pas être soumis à des obligations de service fixées par le statut particulier de son corps ou par un décret commun à plusieurs corps.</v>
      </c>
      <c r="AN2" s="13" t="s">
        <v>103</v>
      </c>
      <c r="AO2" s="15" t="str">
        <f>VLOOKUP(AN2,'Axe 2 Règles de gestion'!$D$2:$F$84,3, FALSE)</f>
        <v>Le nombre de jours maximum du compteur global doit être inférieur ou égal à 60 jours à l'issue de l'exercice du droit d'option.</v>
      </c>
      <c r="AP2" s="13"/>
      <c r="AQ2" s="15"/>
      <c r="AR2" s="13"/>
      <c r="AS2" s="15"/>
      <c r="AT2" s="13"/>
      <c r="AU2" s="15"/>
      <c r="AV2" s="13"/>
      <c r="AW2" s="15"/>
      <c r="AX2" s="13"/>
      <c r="AY2" s="15"/>
      <c r="AZ2" s="13"/>
      <c r="BA2" s="15"/>
      <c r="BB2" s="13" t="s">
        <v>105</v>
      </c>
      <c r="BC2" s="15" t="str">
        <f>VLOOKUP(BB2,'Axe 2 Règles de gestion'!$D$2:$F$84,3, FALSE)</f>
        <v>Le nombre de jours de l'opération doit être inférieur ou égal au nombre de jours du compteur global du CET.</v>
      </c>
      <c r="BD2" s="13" t="s">
        <v>107</v>
      </c>
      <c r="BE2" s="15" t="str">
        <f>VLOOKUP(BD2,'Axe 2 Règles de gestion'!$D$2:$F$84,3, FALSE)</f>
        <v>La date de fermeture du CET doit être antérieure ou égale à la date limite de départ en retraite.</v>
      </c>
      <c r="BF2" s="13" t="s">
        <v>109</v>
      </c>
      <c r="BG2" s="15" t="str">
        <f>VLOOKUP(BF2,'Axe 2 Règles de gestion'!$D$2:$F$84,3, FALSE)</f>
        <v>La date de fermeture du CET doit être antérieure ou égale à la date de fin réelle ou prévisionnelle du lien juridique.</v>
      </c>
      <c r="BH2" s="13" t="s">
        <v>111</v>
      </c>
      <c r="BI2" s="15" t="str">
        <f>VLOOKUP(BH2,'Axe 2 Règles de gestion'!$D$2:$F$84,3, FALSE)</f>
        <v>La date d'ouverture du compte épargne temps global doit être postérieure ou égale à la date d'entrée dans le SIRH.</v>
      </c>
      <c r="BJ2" s="13" t="s">
        <v>113</v>
      </c>
      <c r="BK2" s="15" t="str">
        <f>VLOOKUP(BJ2,'Axe 2 Règles de gestion'!$D$2:$F$84,3, FALSE)</f>
        <v>La date d'ouverture du CET doit être renseignée.</v>
      </c>
      <c r="BL2" s="13" t="s">
        <v>115</v>
      </c>
      <c r="BM2" s="15" t="str">
        <f>VLOOKUP(BL2,'Axe 2 Règles de gestion'!$D$2:$F$84,3, FALSE)</f>
        <v>Les champs "Origine", "Nombre de jours de l'opération", "Nombre de jours pour valorisation financière" et "Nombre de jours pour cotisation RAFP" ne doivent pas être renseignés.</v>
      </c>
      <c r="BN2" s="13"/>
      <c r="BO2" s="15"/>
      <c r="BP2" s="13"/>
      <c r="BQ2" s="15"/>
      <c r="BR2" s="13"/>
      <c r="BS2" s="15"/>
      <c r="BT2" s="13"/>
      <c r="BU2" s="15"/>
      <c r="BV2" s="13"/>
      <c r="BW2" s="15"/>
    </row>
    <row r="3" spans="1:75" ht="142.65" x14ac:dyDescent="0.25">
      <c r="A3" s="13" t="s">
        <v>117</v>
      </c>
      <c r="B3" s="13" t="s">
        <v>77</v>
      </c>
      <c r="C3" s="14">
        <v>44053.458333333336</v>
      </c>
      <c r="D3" s="13" t="s">
        <v>78</v>
      </c>
      <c r="E3" s="15" t="s">
        <v>79</v>
      </c>
      <c r="F3" s="13" t="s">
        <v>80</v>
      </c>
      <c r="G3" s="15" t="s">
        <v>81</v>
      </c>
      <c r="H3" s="13" t="s">
        <v>82</v>
      </c>
      <c r="I3" s="15" t="s">
        <v>81</v>
      </c>
      <c r="J3" s="15" t="s">
        <v>83</v>
      </c>
      <c r="K3" s="15" t="s">
        <v>84</v>
      </c>
      <c r="L3" s="13" t="s">
        <v>118</v>
      </c>
      <c r="M3" s="15" t="s">
        <v>119</v>
      </c>
      <c r="N3" s="14" t="s">
        <v>87</v>
      </c>
      <c r="O3" s="15" t="s">
        <v>120</v>
      </c>
      <c r="P3" s="15" t="s">
        <v>121</v>
      </c>
      <c r="Q3" s="15" t="s">
        <v>90</v>
      </c>
      <c r="R3" s="13" t="s">
        <v>91</v>
      </c>
      <c r="S3" s="13" t="s">
        <v>92</v>
      </c>
      <c r="T3" s="13" t="s">
        <v>93</v>
      </c>
      <c r="U3" s="14">
        <v>40725</v>
      </c>
      <c r="V3" s="14">
        <v>43435</v>
      </c>
      <c r="W3" s="15" t="s">
        <v>122</v>
      </c>
      <c r="X3" s="13" t="s">
        <v>95</v>
      </c>
      <c r="Y3" s="15" t="str">
        <f>VLOOKUP(X3,'Axe 2 Règles de gestion'!$D$2:$F$84,3, FALSE)</f>
        <v>L'agent doit être employé de manière continue et avoir accompli au moins 1 an de service.</v>
      </c>
      <c r="Z3" s="13" t="s">
        <v>97</v>
      </c>
      <c r="AA3" s="15" t="str">
        <f>VLOOKUP(Z3,'Axe 2 Règles de gestion'!$D$2:$F$84,3, FALSE)</f>
        <v>L'agent demande l'ouverture d'un compte épargne-temps auprès du service gestionnaire.</v>
      </c>
      <c r="AB3" s="13" t="s">
        <v>99</v>
      </c>
      <c r="AC3" s="15" t="str">
        <f>VLOOKUP(AB3,'Axe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3" s="13" t="s">
        <v>123</v>
      </c>
      <c r="AE3" s="15" t="str">
        <f>VLOOKUP(AD3,'Axe 2 Règles de gestion'!$D$2:$F$84,3, FALSE)</f>
        <v>L'agent exerce son droit d'option au plus tard le 31 janvier de l'année suivant la période de référence de l'épargne.</v>
      </c>
      <c r="AF3" s="13" t="s">
        <v>125</v>
      </c>
      <c r="AG3" s="15" t="str">
        <f>VLOOKUP(AF3,'Axe 2 Règles de gestion'!$D$2:$F$84,3, FALSE)</f>
        <v>L'agent indique au service gestionnaire son choix entre maintien sur le compte en vue de congés, indemnisation et épargne-retraite, surtout s'il souhaite conserver ces jours sur son compte épargne-temps.</v>
      </c>
      <c r="AH3" s="13" t="s">
        <v>127</v>
      </c>
      <c r="AI3" s="15" t="str">
        <f>VLOOKUP(AH3,'Axe 2 Règles de gestion'!$D$2:$F$84,3, FALSE)</f>
        <v>En l'absence d'exercice d'une option par l'agent, les jours au-delà de 15 sont automatiquement placés au titre du régime de retraite additionnelle de la fonction publique.</v>
      </c>
      <c r="AJ3" s="13"/>
      <c r="AK3" s="15"/>
      <c r="AL3" s="13" t="s">
        <v>101</v>
      </c>
      <c r="AM3" s="15" t="str">
        <f>VLOOKUP(AL3,'Axe 2 Règles de gestion'!$D$2:$F$84,3, FALSE)</f>
        <v>L'agent ne doit pas être soumis à des obligations de service fixées par le statut particulier de son corps ou par un décret commun à plusieurs corps.</v>
      </c>
      <c r="AN3" s="13" t="s">
        <v>103</v>
      </c>
      <c r="AO3" s="15" t="str">
        <f>VLOOKUP(AN3,'Axe 2 Règles de gestion'!$D$2:$F$84,3, FALSE)</f>
        <v>Le nombre de jours maximum du compteur global doit être inférieur ou égal à 60 jours à l'issue de l'exercice du droit d'option.</v>
      </c>
      <c r="AP3" s="13" t="s">
        <v>129</v>
      </c>
      <c r="AQ3" s="15" t="str">
        <f>VLOOKUP(AP3,'Axe 2 Règles de gestion'!$D$2:$F$84,3, FALSE)</f>
        <v>La différence entre le nombre de jours du compteur global du CET et le nombre de jours pour valorisation financière doit être strictement supérieure à 20 jours.</v>
      </c>
      <c r="AR3" s="13" t="s">
        <v>131</v>
      </c>
      <c r="AS3" s="15" t="str">
        <f>VLOOKUP(AR3,'Axe 2 Règles de gestion'!$D$2:$F$84,3, FALSE)</f>
        <v>La différence entre le nombre de jours du compteur global du CET et le nombre de jours pour cotisation RAFP doit être strictement supérieure à 20 jours.</v>
      </c>
      <c r="AT3" s="13"/>
      <c r="AU3" s="15"/>
      <c r="AV3" s="13"/>
      <c r="AW3" s="15"/>
      <c r="AX3" s="13"/>
      <c r="AY3" s="15"/>
      <c r="AZ3" s="13"/>
      <c r="BA3" s="15"/>
      <c r="BB3" s="13" t="s">
        <v>105</v>
      </c>
      <c r="BC3" s="15" t="str">
        <f>VLOOKUP(BB3,'Axe 2 Règles de gestion'!$D$2:$F$84,3, FALSE)</f>
        <v>Le nombre de jours de l'opération doit être inférieur ou égal au nombre de jours du compteur global du CET.</v>
      </c>
      <c r="BD3" s="13" t="s">
        <v>107</v>
      </c>
      <c r="BE3" s="15" t="str">
        <f>VLOOKUP(BD3,'Axe 2 Règles de gestion'!$D$2:$F$84,3, FALSE)</f>
        <v>La date de fermeture du CET doit être antérieure ou égale à la date limite de départ en retraite.</v>
      </c>
      <c r="BF3" s="13" t="s">
        <v>109</v>
      </c>
      <c r="BG3" s="15" t="str">
        <f>VLOOKUP(BF3,'Axe 2 Règles de gestion'!$D$2:$F$84,3, FALSE)</f>
        <v>La date de fermeture du CET doit être antérieure ou égale à la date de fin réelle ou prévisionnelle du lien juridique.</v>
      </c>
      <c r="BH3" s="13" t="s">
        <v>111</v>
      </c>
      <c r="BI3" s="15" t="str">
        <f>VLOOKUP(BH3,'Axe 2 Règles de gestion'!$D$2:$F$84,3, FALSE)</f>
        <v>La date d'ouverture du compte épargne temps global doit être postérieure ou égale à la date d'entrée dans le SIRH.</v>
      </c>
      <c r="BJ3" s="13" t="s">
        <v>113</v>
      </c>
      <c r="BK3" s="15" t="str">
        <f>VLOOKUP(BJ3,'Axe 2 Règles de gestion'!$D$2:$F$84,3, FALSE)</f>
        <v>La date d'ouverture du CET doit être renseignée.</v>
      </c>
      <c r="BL3" s="13" t="s">
        <v>133</v>
      </c>
      <c r="BM3" s="15" t="str">
        <f>VLOOKUP(BL3,'Axe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N3" s="13" t="s">
        <v>135</v>
      </c>
      <c r="BO3" s="15" t="str">
        <f>VLOOKUP(BN3,'Axe 2 Règles de gestion'!$D$2:$F$84,3, FALSE)</f>
        <v>Lorsque le sens de l'opération est égal à "consommé", l'origine des jours n'est pas à renseigner.</v>
      </c>
      <c r="BP3" s="13"/>
      <c r="BQ3" s="15"/>
      <c r="BR3" s="13"/>
      <c r="BS3" s="15"/>
      <c r="BT3" s="13"/>
      <c r="BU3" s="15"/>
      <c r="BV3" s="13"/>
      <c r="BW3" s="15"/>
    </row>
    <row r="4" spans="1:75" ht="142.65" x14ac:dyDescent="0.25">
      <c r="A4" s="13" t="s">
        <v>76</v>
      </c>
      <c r="B4" s="13" t="s">
        <v>77</v>
      </c>
      <c r="C4" s="14">
        <v>45628.724305555559</v>
      </c>
      <c r="D4" s="13" t="s">
        <v>78</v>
      </c>
      <c r="E4" s="15" t="s">
        <v>79</v>
      </c>
      <c r="F4" s="13" t="s">
        <v>80</v>
      </c>
      <c r="G4" s="15" t="s">
        <v>81</v>
      </c>
      <c r="H4" s="13" t="s">
        <v>82</v>
      </c>
      <c r="I4" s="15" t="s">
        <v>81</v>
      </c>
      <c r="J4" s="15" t="s">
        <v>83</v>
      </c>
      <c r="K4" s="15" t="s">
        <v>84</v>
      </c>
      <c r="L4" s="13" t="s">
        <v>118</v>
      </c>
      <c r="M4" s="15" t="s">
        <v>119</v>
      </c>
      <c r="N4" s="14" t="s">
        <v>87</v>
      </c>
      <c r="O4" s="15" t="s">
        <v>120</v>
      </c>
      <c r="P4" s="15" t="s">
        <v>121</v>
      </c>
      <c r="Q4" s="15" t="s">
        <v>90</v>
      </c>
      <c r="R4" s="13" t="s">
        <v>91</v>
      </c>
      <c r="S4" s="13" t="s">
        <v>92</v>
      </c>
      <c r="T4" s="13" t="s">
        <v>93</v>
      </c>
      <c r="U4" s="14">
        <v>43436</v>
      </c>
      <c r="V4" s="14">
        <v>43436</v>
      </c>
      <c r="W4" s="15" t="s">
        <v>137</v>
      </c>
      <c r="X4" s="13" t="s">
        <v>95</v>
      </c>
      <c r="Y4" s="15" t="str">
        <f>VLOOKUP(X4,'Axe 2 Règles de gestion'!$D$2:$F$84,3, FALSE)</f>
        <v>L'agent doit être employé de manière continue et avoir accompli au moins 1 an de service.</v>
      </c>
      <c r="Z4" s="13" t="s">
        <v>97</v>
      </c>
      <c r="AA4" s="15" t="str">
        <f>VLOOKUP(Z4,'Axe 2 Règles de gestion'!$D$2:$F$84,3, FALSE)</f>
        <v>L'agent demande l'ouverture d'un compte épargne-temps auprès du service gestionnaire.</v>
      </c>
      <c r="AB4" s="13" t="s">
        <v>99</v>
      </c>
      <c r="AC4" s="15" t="str">
        <f>VLOOKUP(AB4,'Axe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 s="13" t="s">
        <v>123</v>
      </c>
      <c r="AE4" s="15" t="str">
        <f>VLOOKUP(AD4,'Axe 2 Règles de gestion'!$D$2:$F$84,3, FALSE)</f>
        <v>L'agent exerce son droit d'option au plus tard le 31 janvier de l'année suivant la période de référence de l'épargne.</v>
      </c>
      <c r="AF4" s="13" t="s">
        <v>125</v>
      </c>
      <c r="AG4" s="15" t="str">
        <f>VLOOKUP(AF4,'Axe 2 Règles de gestion'!$D$2:$F$84,3, FALSE)</f>
        <v>L'agent indique au service gestionnaire son choix entre maintien sur le compte en vue de congés, indemnisation et épargne-retraite, surtout s'il souhaite conserver ces jours sur son compte épargne-temps.</v>
      </c>
      <c r="AH4" s="13" t="s">
        <v>127</v>
      </c>
      <c r="AI4" s="15" t="str">
        <f>VLOOKUP(AH4,'Axe 2 Règles de gestion'!$D$2:$F$84,3, FALSE)</f>
        <v>En l'absence d'exercice d'une option par l'agent, les jours au-delà de 15 sont automatiquement placés au titre du régime de retraite additionnelle de la fonction publique.</v>
      </c>
      <c r="AJ4" s="13"/>
      <c r="AK4" s="15"/>
      <c r="AL4" s="13" t="s">
        <v>101</v>
      </c>
      <c r="AM4" s="15" t="str">
        <f>VLOOKUP(AL4,'Axe 2 Règles de gestion'!$D$2:$F$84,3, FALSE)</f>
        <v>L'agent ne doit pas être soumis à des obligations de service fixées par le statut particulier de son corps ou par un décret commun à plusieurs corps.</v>
      </c>
      <c r="AN4" s="13" t="s">
        <v>103</v>
      </c>
      <c r="AO4" s="15" t="str">
        <f>VLOOKUP(AN4,'Axe 2 Règles de gestion'!$D$2:$F$84,3, FALSE)</f>
        <v>Le nombre de jours maximum du compteur global doit être inférieur ou égal à 60 jours à l'issue de l'exercice du droit d'option.</v>
      </c>
      <c r="AP4" s="13" t="s">
        <v>138</v>
      </c>
      <c r="AQ4" s="15" t="str">
        <f>VLOOKUP(AP4,'Axe 2 Règles de gestion'!$D$2:$F$84,3, FALSE)</f>
        <v>La différence entre le nombre de jours du compteur global du CET et le nombre de jours pour valorisation financière doit être strictement supérieure à 15 jours.</v>
      </c>
      <c r="AR4" s="13" t="s">
        <v>140</v>
      </c>
      <c r="AS4" s="15" t="str">
        <f>VLOOKUP(AR4,'Axe 2 Règles de gestion'!$D$2:$F$84,3, FALSE)</f>
        <v>La différence entre le nombre de jours du compteur global du CET et le nombre de jours pour cotisation RAFP doit être strictement supérieure à 15 jours.</v>
      </c>
      <c r="AT4" s="13"/>
      <c r="AU4" s="15"/>
      <c r="AV4" s="13"/>
      <c r="AW4" s="15"/>
      <c r="AX4" s="13"/>
      <c r="AY4" s="15"/>
      <c r="AZ4" s="13"/>
      <c r="BA4" s="15"/>
      <c r="BB4" s="13" t="s">
        <v>105</v>
      </c>
      <c r="BC4" s="15" t="str">
        <f>VLOOKUP(BB4,'Axe 2 Règles de gestion'!$D$2:$F$84,3, FALSE)</f>
        <v>Le nombre de jours de l'opération doit être inférieur ou égal au nombre de jours du compteur global du CET.</v>
      </c>
      <c r="BD4" s="13" t="s">
        <v>107</v>
      </c>
      <c r="BE4" s="15" t="str">
        <f>VLOOKUP(BD4,'Axe 2 Règles de gestion'!$D$2:$F$84,3, FALSE)</f>
        <v>La date de fermeture du CET doit être antérieure ou égale à la date limite de départ en retraite.</v>
      </c>
      <c r="BF4" s="13" t="s">
        <v>109</v>
      </c>
      <c r="BG4" s="15" t="str">
        <f>VLOOKUP(BF4,'Axe 2 Règles de gestion'!$D$2:$F$84,3, FALSE)</f>
        <v>La date de fermeture du CET doit être antérieure ou égale à la date de fin réelle ou prévisionnelle du lien juridique.</v>
      </c>
      <c r="BH4" s="13" t="s">
        <v>111</v>
      </c>
      <c r="BI4" s="15" t="str">
        <f>VLOOKUP(BH4,'Axe 2 Règles de gestion'!$D$2:$F$84,3, FALSE)</f>
        <v>La date d'ouverture du compte épargne temps global doit être postérieure ou égale à la date d'entrée dans le SIRH.</v>
      </c>
      <c r="BJ4" s="13" t="s">
        <v>113</v>
      </c>
      <c r="BK4" s="15" t="str">
        <f>VLOOKUP(BJ4,'Axe 2 Règles de gestion'!$D$2:$F$84,3, FALSE)</f>
        <v>La date d'ouverture du CET doit être renseignée.</v>
      </c>
      <c r="BL4" s="13" t="s">
        <v>133</v>
      </c>
      <c r="BM4" s="15" t="str">
        <f>VLOOKUP(BL4,'Axe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N4" s="13" t="s">
        <v>135</v>
      </c>
      <c r="BO4" s="15" t="str">
        <f>VLOOKUP(BN4,'Axe 2 Règles de gestion'!$D$2:$F$84,3, FALSE)</f>
        <v>Lorsque le sens de l'opération est égal à "consommé", l'origine des jours n'est pas à renseigner.</v>
      </c>
      <c r="BP4" s="13"/>
      <c r="BQ4" s="15"/>
      <c r="BR4" s="13"/>
      <c r="BS4" s="15"/>
      <c r="BT4" s="13"/>
      <c r="BU4" s="15"/>
      <c r="BV4" s="13"/>
      <c r="BW4" s="15"/>
    </row>
    <row r="5" spans="1:75" ht="128.4" x14ac:dyDescent="0.25">
      <c r="A5" s="13" t="s">
        <v>142</v>
      </c>
      <c r="B5" s="13" t="s">
        <v>77</v>
      </c>
      <c r="C5" s="14">
        <v>43509.729861111111</v>
      </c>
      <c r="D5" s="13" t="s">
        <v>78</v>
      </c>
      <c r="E5" s="15" t="s">
        <v>79</v>
      </c>
      <c r="F5" s="13" t="s">
        <v>80</v>
      </c>
      <c r="G5" s="15" t="s">
        <v>81</v>
      </c>
      <c r="H5" s="13" t="s">
        <v>82</v>
      </c>
      <c r="I5" s="15" t="s">
        <v>81</v>
      </c>
      <c r="J5" s="15" t="s">
        <v>83</v>
      </c>
      <c r="K5" s="15" t="s">
        <v>84</v>
      </c>
      <c r="L5" s="13" t="s">
        <v>143</v>
      </c>
      <c r="M5" s="15" t="s">
        <v>144</v>
      </c>
      <c r="N5" s="14" t="s">
        <v>87</v>
      </c>
      <c r="O5" s="15" t="s">
        <v>145</v>
      </c>
      <c r="P5" s="15" t="s">
        <v>146</v>
      </c>
      <c r="Q5" s="15" t="s">
        <v>90</v>
      </c>
      <c r="R5" s="13" t="s">
        <v>91</v>
      </c>
      <c r="S5" s="13" t="s">
        <v>92</v>
      </c>
      <c r="T5" s="13" t="s">
        <v>93</v>
      </c>
      <c r="U5" s="14">
        <v>40725</v>
      </c>
      <c r="V5" s="14">
        <v>43435</v>
      </c>
      <c r="W5" s="15" t="s">
        <v>147</v>
      </c>
      <c r="X5" s="13" t="s">
        <v>95</v>
      </c>
      <c r="Y5" s="15" t="str">
        <f>VLOOKUP(X5,'Axe 2 Règles de gestion'!$D$2:$F$84,3, FALSE)</f>
        <v>L'agent doit être employé de manière continue et avoir accompli au moins 1 an de service.</v>
      </c>
      <c r="Z5" s="13" t="s">
        <v>97</v>
      </c>
      <c r="AA5" s="15" t="str">
        <f>VLOOKUP(Z5,'Axe 2 Règles de gestion'!$D$2:$F$84,3, FALSE)</f>
        <v>L'agent demande l'ouverture d'un compte épargne-temps auprès du service gestionnaire.</v>
      </c>
      <c r="AB5" s="13" t="s">
        <v>99</v>
      </c>
      <c r="AC5" s="15" t="str">
        <f>VLOOKUP(AB5,'Axe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5" s="13" t="s">
        <v>148</v>
      </c>
      <c r="AE5" s="15" t="str">
        <f>VLOOKUP(AD5,'Axe 2 Règles de gestion'!$D$2:$F$84,3, FALSE)</f>
        <v>Si le statut de l'agent est régi par le Code de justice administrative, le compte épargne-temps est ouvert de droit après sa formation complémentaire de 6 mois. Il est alimenté annuellement par report de 8 jours de réduction de temps de travail.</v>
      </c>
      <c r="AF5" s="13" t="s">
        <v>150</v>
      </c>
      <c r="AG5" s="15" t="str">
        <f>VLOOKUP(AF5,'Axe 2 Règles de gestion'!$D$2:$F$84,3, FALSE)</f>
        <v>L'agent demande au service gestionnaire l'alimentation de son compte épargne-temps selon les modalités d'usage.</v>
      </c>
      <c r="AH5" s="13"/>
      <c r="AI5" s="15"/>
      <c r="AJ5" s="13"/>
      <c r="AK5" s="15"/>
      <c r="AL5" s="13" t="s">
        <v>152</v>
      </c>
      <c r="AM5" s="15" t="str">
        <f>VLOOKUP(AL5,'Axe 2 Règles de gestion'!$D$2:$F$84,3, FALSE)</f>
        <v>Le CET est alimenté par le report de jours de réduction du temps de travail (ARTT), jours supplémentaires hors période et par le report de congés annuels, tels que prévus par le décret du 26 octobre 1984.</v>
      </c>
      <c r="AN5" s="13" t="s">
        <v>154</v>
      </c>
      <c r="AO5" s="15" t="str">
        <f>VLOOKUP(AN5,'Axe 2 Règles de gestion'!$D$2:$F$84,3, FALSE)</f>
        <v>Le CET est alimenté, pour les personnels relevant du décret du 28 mars 1967, par le report de congés annuels dont ils bénéficient au titre du pays dans lequel ils sont affectés.</v>
      </c>
      <c r="AP5" s="13" t="s">
        <v>103</v>
      </c>
      <c r="AQ5" s="15" t="str">
        <f>VLOOKUP(AP5,'Axe 2 Règles de gestion'!$D$2:$F$84,3, FALSE)</f>
        <v>Le nombre de jours maximum du compteur global doit être inférieur ou égal à 60 jours à l'issue de l'exercice du droit d'option.</v>
      </c>
      <c r="AR5" s="13" t="s">
        <v>156</v>
      </c>
      <c r="AS5" s="15" t="str">
        <f>VLOOKUP(AR5,'Axe 2 Règles de gestion'!$D$2:$F$84,3, FALSE)</f>
        <v>Le nombre de jours de congés pris dans l'année doit être supérieur ou égal à 20 jours.</v>
      </c>
      <c r="AT5" s="13" t="s">
        <v>158</v>
      </c>
      <c r="AU5" s="15" t="str">
        <f>VLOOKUP(AT5,'Axe 2 Règles de gestion'!$D$2:$F$84,3, FALSE)</f>
        <v>Le nombre de jours de congés pris dans l'année doit être supérieur ou égal à 20 jours.</v>
      </c>
      <c r="AV5" s="13" t="s">
        <v>159</v>
      </c>
      <c r="AW5" s="15" t="str">
        <f>VLOOKUP(AV5,'Axe 2 Règles de gestion'!$D$2:$F$84,3, FALSE)</f>
        <v>Si le compteur global du CET est inférieur à 20 jours et le sens de l'opération est égal à "versé" alors le nombre de jours du compteur global du CET après saisie doit être inférieur ou égal à 30 jours.</v>
      </c>
      <c r="AX5" s="13" t="s">
        <v>161</v>
      </c>
      <c r="AY5" s="15" t="str">
        <f>VLOOKUP(AX5,'Axe 2 Règles de gestion'!$D$2:$F$84,3, FALSE)</f>
        <v>Si le compte épargne global est supérieur ou égal à 20 jours et le sens de l'opération est égal à "versé" alors le nombre de jours de l'opération conservés en congés doit être inférieur ou égal à 10 jours.</v>
      </c>
      <c r="AZ5" s="13"/>
      <c r="BA5" s="15"/>
      <c r="BB5" s="13" t="s">
        <v>105</v>
      </c>
      <c r="BC5" s="15" t="str">
        <f>VLOOKUP(BB5,'Axe 2 Règles de gestion'!$D$2:$F$84,3, FALSE)</f>
        <v>Le nombre de jours de l'opération doit être inférieur ou égal au nombre de jours du compteur global du CET.</v>
      </c>
      <c r="BD5" s="13" t="s">
        <v>107</v>
      </c>
      <c r="BE5" s="15" t="str">
        <f>VLOOKUP(BD5,'Axe 2 Règles de gestion'!$D$2:$F$84,3, FALSE)</f>
        <v>La date de fermeture du CET doit être antérieure ou égale à la date limite de départ en retraite.</v>
      </c>
      <c r="BF5" s="13" t="s">
        <v>109</v>
      </c>
      <c r="BG5" s="15" t="str">
        <f>VLOOKUP(BF5,'Axe 2 Règles de gestion'!$D$2:$F$84,3, FALSE)</f>
        <v>La date de fermeture du CET doit être antérieure ou égale à la date de fin réelle ou prévisionnelle du lien juridique.</v>
      </c>
      <c r="BH5" s="13" t="s">
        <v>111</v>
      </c>
      <c r="BI5" s="15" t="str">
        <f>VLOOKUP(BH5,'Axe 2 Règles de gestion'!$D$2:$F$84,3, FALSE)</f>
        <v>La date d'ouverture du compte épargne temps global doit être postérieure ou égale à la date d'entrée dans le SIRH.</v>
      </c>
      <c r="BJ5" s="13" t="s">
        <v>113</v>
      </c>
      <c r="BK5" s="15" t="str">
        <f>VLOOKUP(BJ5,'Axe 2 Règles de gestion'!$D$2:$F$84,3, FALSE)</f>
        <v>La date d'ouverture du CET doit être renseignée.</v>
      </c>
      <c r="BL5" s="13" t="s">
        <v>163</v>
      </c>
      <c r="BM5" s="15" t="str">
        <f>VLOOKUP(BL5,'Axe 2 Règles de gestion'!$D$2:$F$84,3, FALSE)</f>
        <v>Lorsque le sens de l'opération est à "Versé", le compteur global saisi est égal au compteur global de l'occurrence précédente auquel sont ajoutés les jours versés.</v>
      </c>
      <c r="BN5" s="13" t="s">
        <v>165</v>
      </c>
      <c r="BO5" s="15" t="str">
        <f>VLOOKUP(BN5,'Axe 2 Règles de gestion'!$D$2:$F$84,3, FALSE)</f>
        <v>Lorsque le sens de l'opération est égal à "versé", le nombre de jours pour valorisation financière et le nombre de jours pour cotisation RAFP ne doivent pas être renseignés.</v>
      </c>
      <c r="BP5" s="13"/>
      <c r="BQ5" s="15"/>
      <c r="BR5" s="13"/>
      <c r="BS5" s="15"/>
      <c r="BT5" s="13"/>
      <c r="BU5" s="15"/>
      <c r="BV5" s="13"/>
      <c r="BW5" s="15"/>
    </row>
    <row r="6" spans="1:75" ht="128.4" x14ac:dyDescent="0.25">
      <c r="A6" s="13" t="s">
        <v>76</v>
      </c>
      <c r="B6" s="13" t="s">
        <v>77</v>
      </c>
      <c r="C6" s="14">
        <v>45628.701388888891</v>
      </c>
      <c r="D6" s="13" t="s">
        <v>78</v>
      </c>
      <c r="E6" s="15" t="s">
        <v>79</v>
      </c>
      <c r="F6" s="13" t="s">
        <v>80</v>
      </c>
      <c r="G6" s="15" t="s">
        <v>81</v>
      </c>
      <c r="H6" s="13" t="s">
        <v>82</v>
      </c>
      <c r="I6" s="15" t="s">
        <v>81</v>
      </c>
      <c r="J6" s="15" t="s">
        <v>83</v>
      </c>
      <c r="K6" s="15" t="s">
        <v>84</v>
      </c>
      <c r="L6" s="13" t="s">
        <v>143</v>
      </c>
      <c r="M6" s="15" t="s">
        <v>144</v>
      </c>
      <c r="N6" s="14" t="s">
        <v>87</v>
      </c>
      <c r="O6" s="15" t="s">
        <v>145</v>
      </c>
      <c r="P6" s="15" t="s">
        <v>146</v>
      </c>
      <c r="Q6" s="15" t="s">
        <v>90</v>
      </c>
      <c r="R6" s="13" t="s">
        <v>91</v>
      </c>
      <c r="S6" s="13" t="s">
        <v>92</v>
      </c>
      <c r="T6" s="13" t="s">
        <v>93</v>
      </c>
      <c r="U6" s="14">
        <v>43436</v>
      </c>
      <c r="V6" s="14">
        <v>43436</v>
      </c>
      <c r="W6" s="15" t="s">
        <v>167</v>
      </c>
      <c r="X6" s="13" t="s">
        <v>95</v>
      </c>
      <c r="Y6" s="15" t="str">
        <f>VLOOKUP(X6,'Axe 2 Règles de gestion'!$D$2:$F$84,3, FALSE)</f>
        <v>L'agent doit être employé de manière continue et avoir accompli au moins 1 an de service.</v>
      </c>
      <c r="Z6" s="13" t="s">
        <v>97</v>
      </c>
      <c r="AA6" s="15" t="str">
        <f>VLOOKUP(Z6,'Axe 2 Règles de gestion'!$D$2:$F$84,3, FALSE)</f>
        <v>L'agent demande l'ouverture d'un compte épargne-temps auprès du service gestionnaire.</v>
      </c>
      <c r="AB6" s="13" t="s">
        <v>99</v>
      </c>
      <c r="AC6" s="15" t="str">
        <f>VLOOKUP(AB6,'Axe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6" s="13" t="s">
        <v>148</v>
      </c>
      <c r="AE6" s="15" t="str">
        <f>VLOOKUP(AD6,'Axe 2 Règles de gestion'!$D$2:$F$84,3, FALSE)</f>
        <v>Si le statut de l'agent est régi par le Code de justice administrative, le compte épargne-temps est ouvert de droit après sa formation complémentaire de 6 mois. Il est alimenté annuellement par report de 8 jours de réduction de temps de travail.</v>
      </c>
      <c r="AF6" s="13" t="s">
        <v>150</v>
      </c>
      <c r="AG6" s="15" t="str">
        <f>VLOOKUP(AF6,'Axe 2 Règles de gestion'!$D$2:$F$84,3, FALSE)</f>
        <v>L'agent demande au service gestionnaire l'alimentation de son compte épargne-temps selon les modalités d'usage.</v>
      </c>
      <c r="AH6" s="13"/>
      <c r="AI6" s="15"/>
      <c r="AJ6" s="13"/>
      <c r="AK6" s="15"/>
      <c r="AL6" s="13" t="s">
        <v>152</v>
      </c>
      <c r="AM6" s="15" t="str">
        <f>VLOOKUP(AL6,'Axe 2 Règles de gestion'!$D$2:$F$84,3, FALSE)</f>
        <v>Le CET est alimenté par le report de jours de réduction du temps de travail (ARTT), jours supplémentaires hors période et par le report de congés annuels, tels que prévus par le décret du 26 octobre 1984.</v>
      </c>
      <c r="AN6" s="13" t="s">
        <v>154</v>
      </c>
      <c r="AO6" s="15" t="str">
        <f>VLOOKUP(AN6,'Axe 2 Règles de gestion'!$D$2:$F$84,3, FALSE)</f>
        <v>Le CET est alimenté, pour les personnels relevant du décret du 28 mars 1967, par le report de congés annuels dont ils bénéficient au titre du pays dans lequel ils sont affectés.</v>
      </c>
      <c r="AP6" s="13" t="s">
        <v>103</v>
      </c>
      <c r="AQ6" s="15" t="str">
        <f>VLOOKUP(AP6,'Axe 2 Règles de gestion'!$D$2:$F$84,3, FALSE)</f>
        <v>Le nombre de jours maximum du compteur global doit être inférieur ou égal à 60 jours à l'issue de l'exercice du droit d'option.</v>
      </c>
      <c r="AR6" s="13" t="s">
        <v>156</v>
      </c>
      <c r="AS6" s="15" t="str">
        <f>VLOOKUP(AR6,'Axe 2 Règles de gestion'!$D$2:$F$84,3, FALSE)</f>
        <v>Le nombre de jours de congés pris dans l'année doit être supérieur ou égal à 20 jours.</v>
      </c>
      <c r="AT6" s="13" t="s">
        <v>158</v>
      </c>
      <c r="AU6" s="15" t="str">
        <f>VLOOKUP(AT6,'Axe 2 Règles de gestion'!$D$2:$F$84,3, FALSE)</f>
        <v>Le nombre de jours de congés pris dans l'année doit être supérieur ou égal à 20 jours.</v>
      </c>
      <c r="AV6" s="13" t="s">
        <v>168</v>
      </c>
      <c r="AW6" s="15" t="str">
        <f>VLOOKUP(AV6,'Axe 2 Règles de gestion'!$D$2:$F$84,3, FALSE)</f>
        <v>Si le compteur global du CET est inférieur à 15 jours et le sens de l'opération est égal à "versé" alors le nombre de jours du compteur global du CET après saisie doit être inférieur ou égal à 25 jours.</v>
      </c>
      <c r="AX6" s="13" t="s">
        <v>170</v>
      </c>
      <c r="AY6" s="15" t="str">
        <f>VLOOKUP(AX6,'Axe 2 Règles de gestion'!$D$2:$F$84,3, FALSE)</f>
        <v>Si le compte épargne global est supérieur ou égal à 15 jours et le sens de l'opération est égal à "versé" alors le nombre de jours de l'opération conservés en congés doit être inférieur ou égal à 10 jours.</v>
      </c>
      <c r="AZ6" s="13"/>
      <c r="BA6" s="15"/>
      <c r="BB6" s="13" t="s">
        <v>105</v>
      </c>
      <c r="BC6" s="15" t="str">
        <f>VLOOKUP(BB6,'Axe 2 Règles de gestion'!$D$2:$F$84,3, FALSE)</f>
        <v>Le nombre de jours de l'opération doit être inférieur ou égal au nombre de jours du compteur global du CET.</v>
      </c>
      <c r="BD6" s="13" t="s">
        <v>107</v>
      </c>
      <c r="BE6" s="15" t="str">
        <f>VLOOKUP(BD6,'Axe 2 Règles de gestion'!$D$2:$F$84,3, FALSE)</f>
        <v>La date de fermeture du CET doit être antérieure ou égale à la date limite de départ en retraite.</v>
      </c>
      <c r="BF6" s="13" t="s">
        <v>109</v>
      </c>
      <c r="BG6" s="15" t="str">
        <f>VLOOKUP(BF6,'Axe 2 Règles de gestion'!$D$2:$F$84,3, FALSE)</f>
        <v>La date de fermeture du CET doit être antérieure ou égale à la date de fin réelle ou prévisionnelle du lien juridique.</v>
      </c>
      <c r="BH6" s="13" t="s">
        <v>111</v>
      </c>
      <c r="BI6" s="15" t="str">
        <f>VLOOKUP(BH6,'Axe 2 Règles de gestion'!$D$2:$F$84,3, FALSE)</f>
        <v>La date d'ouverture du compte épargne temps global doit être postérieure ou égale à la date d'entrée dans le SIRH.</v>
      </c>
      <c r="BJ6" s="13" t="s">
        <v>113</v>
      </c>
      <c r="BK6" s="15" t="str">
        <f>VLOOKUP(BJ6,'Axe 2 Règles de gestion'!$D$2:$F$84,3, FALSE)</f>
        <v>La date d'ouverture du CET doit être renseignée.</v>
      </c>
      <c r="BL6" s="13" t="s">
        <v>163</v>
      </c>
      <c r="BM6" s="15" t="str">
        <f>VLOOKUP(BL6,'Axe 2 Règles de gestion'!$D$2:$F$84,3, FALSE)</f>
        <v>Lorsque le sens de l'opération est à "Versé", le compteur global saisi est égal au compteur global de l'occurrence précédente auquel sont ajoutés les jours versés.</v>
      </c>
      <c r="BN6" s="13" t="s">
        <v>165</v>
      </c>
      <c r="BO6" s="15" t="str">
        <f>VLOOKUP(BN6,'Axe 2 Règles de gestion'!$D$2:$F$84,3, FALSE)</f>
        <v>Lorsque le sens de l'opération est égal à "versé", le nombre de jours pour valorisation financière et le nombre de jours pour cotisation RAFP ne doivent pas être renseignés.</v>
      </c>
      <c r="BP6" s="13"/>
      <c r="BQ6" s="15"/>
      <c r="BR6" s="13"/>
      <c r="BS6" s="15"/>
      <c r="BT6" s="13"/>
      <c r="BU6" s="15"/>
      <c r="BV6" s="13"/>
      <c r="BW6" s="15"/>
    </row>
    <row r="7" spans="1:75" ht="28.55" x14ac:dyDescent="0.25">
      <c r="A7" s="13" t="s">
        <v>76</v>
      </c>
      <c r="B7" s="13" t="s">
        <v>77</v>
      </c>
      <c r="C7" s="14">
        <v>45628.701388888891</v>
      </c>
      <c r="D7" s="13" t="s">
        <v>78</v>
      </c>
      <c r="E7" s="15" t="s">
        <v>79</v>
      </c>
      <c r="F7" s="13" t="s">
        <v>80</v>
      </c>
      <c r="G7" s="15" t="s">
        <v>81</v>
      </c>
      <c r="H7" s="13" t="s">
        <v>82</v>
      </c>
      <c r="I7" s="15" t="s">
        <v>81</v>
      </c>
      <c r="J7" s="15" t="s">
        <v>83</v>
      </c>
      <c r="K7" s="15" t="s">
        <v>84</v>
      </c>
      <c r="L7" s="13" t="s">
        <v>85</v>
      </c>
      <c r="M7" s="15" t="s">
        <v>86</v>
      </c>
      <c r="N7" s="14" t="s">
        <v>87</v>
      </c>
      <c r="O7" s="15" t="s">
        <v>88</v>
      </c>
      <c r="P7" s="15" t="s">
        <v>89</v>
      </c>
      <c r="Q7" s="15" t="s">
        <v>172</v>
      </c>
      <c r="R7" s="13" t="s">
        <v>173</v>
      </c>
      <c r="S7" s="13" t="s">
        <v>92</v>
      </c>
      <c r="T7" s="13" t="s">
        <v>174</v>
      </c>
      <c r="U7" s="14">
        <v>43831</v>
      </c>
      <c r="V7" s="14">
        <v>43831</v>
      </c>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row>
    <row r="8" spans="1:75" ht="42.8" x14ac:dyDescent="0.25">
      <c r="A8" s="13" t="s">
        <v>76</v>
      </c>
      <c r="B8" s="13" t="s">
        <v>77</v>
      </c>
      <c r="C8" s="14">
        <v>45628.702777777777</v>
      </c>
      <c r="D8" s="13" t="s">
        <v>78</v>
      </c>
      <c r="E8" s="15" t="s">
        <v>79</v>
      </c>
      <c r="F8" s="13" t="s">
        <v>80</v>
      </c>
      <c r="G8" s="15" t="s">
        <v>81</v>
      </c>
      <c r="H8" s="13" t="s">
        <v>82</v>
      </c>
      <c r="I8" s="15" t="s">
        <v>81</v>
      </c>
      <c r="J8" s="15" t="s">
        <v>83</v>
      </c>
      <c r="K8" s="15" t="s">
        <v>84</v>
      </c>
      <c r="L8" s="13" t="s">
        <v>118</v>
      </c>
      <c r="M8" s="15" t="s">
        <v>119</v>
      </c>
      <c r="N8" s="14" t="s">
        <v>87</v>
      </c>
      <c r="O8" s="15" t="s">
        <v>120</v>
      </c>
      <c r="P8" s="15" t="s">
        <v>121</v>
      </c>
      <c r="Q8" s="15" t="s">
        <v>172</v>
      </c>
      <c r="R8" s="13" t="s">
        <v>173</v>
      </c>
      <c r="S8" s="13" t="s">
        <v>92</v>
      </c>
      <c r="T8" s="13" t="s">
        <v>174</v>
      </c>
      <c r="U8" s="14">
        <v>43831</v>
      </c>
      <c r="V8" s="14">
        <v>43831</v>
      </c>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row>
    <row r="9" spans="1:75" ht="42.8" x14ac:dyDescent="0.25">
      <c r="A9" s="13" t="s">
        <v>76</v>
      </c>
      <c r="B9" s="13" t="s">
        <v>77</v>
      </c>
      <c r="C9" s="14">
        <v>45628.703472222223</v>
      </c>
      <c r="D9" s="13" t="s">
        <v>78</v>
      </c>
      <c r="E9" s="15" t="s">
        <v>79</v>
      </c>
      <c r="F9" s="13" t="s">
        <v>80</v>
      </c>
      <c r="G9" s="15" t="s">
        <v>81</v>
      </c>
      <c r="H9" s="13" t="s">
        <v>82</v>
      </c>
      <c r="I9" s="15" t="s">
        <v>81</v>
      </c>
      <c r="J9" s="15" t="s">
        <v>83</v>
      </c>
      <c r="K9" s="15" t="s">
        <v>84</v>
      </c>
      <c r="L9" s="13" t="s">
        <v>143</v>
      </c>
      <c r="M9" s="15" t="s">
        <v>144</v>
      </c>
      <c r="N9" s="14" t="s">
        <v>87</v>
      </c>
      <c r="O9" s="15" t="s">
        <v>145</v>
      </c>
      <c r="P9" s="15" t="s">
        <v>146</v>
      </c>
      <c r="Q9" s="15" t="s">
        <v>172</v>
      </c>
      <c r="R9" s="13" t="s">
        <v>173</v>
      </c>
      <c r="S9" s="13" t="s">
        <v>92</v>
      </c>
      <c r="T9" s="13" t="s">
        <v>174</v>
      </c>
      <c r="U9" s="14">
        <v>43831</v>
      </c>
      <c r="V9" s="14">
        <v>43831</v>
      </c>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row>
    <row r="10" spans="1:75" ht="128.4" x14ac:dyDescent="0.25">
      <c r="A10" s="13" t="s">
        <v>76</v>
      </c>
      <c r="B10" s="13" t="s">
        <v>77</v>
      </c>
      <c r="C10" s="14">
        <v>45628.699305555558</v>
      </c>
      <c r="D10" s="13" t="s">
        <v>78</v>
      </c>
      <c r="E10" s="15" t="s">
        <v>79</v>
      </c>
      <c r="F10" s="13" t="s">
        <v>80</v>
      </c>
      <c r="G10" s="15" t="s">
        <v>81</v>
      </c>
      <c r="H10" s="13" t="s">
        <v>82</v>
      </c>
      <c r="I10" s="15" t="s">
        <v>81</v>
      </c>
      <c r="J10" s="15" t="s">
        <v>83</v>
      </c>
      <c r="K10" s="15" t="s">
        <v>84</v>
      </c>
      <c r="L10" s="13" t="s">
        <v>85</v>
      </c>
      <c r="M10" s="15" t="s">
        <v>86</v>
      </c>
      <c r="N10" s="14" t="s">
        <v>87</v>
      </c>
      <c r="O10" s="15" t="s">
        <v>88</v>
      </c>
      <c r="P10" s="15" t="s">
        <v>89</v>
      </c>
      <c r="Q10" s="15" t="s">
        <v>175</v>
      </c>
      <c r="R10" s="13" t="s">
        <v>176</v>
      </c>
      <c r="S10" s="13" t="s">
        <v>92</v>
      </c>
      <c r="T10" s="13" t="s">
        <v>93</v>
      </c>
      <c r="U10" s="14">
        <v>40725</v>
      </c>
      <c r="V10" s="14">
        <v>40725</v>
      </c>
      <c r="W10" s="15" t="s">
        <v>94</v>
      </c>
      <c r="X10" s="13" t="s">
        <v>95</v>
      </c>
      <c r="Y10" s="15" t="str">
        <f>VLOOKUP(X10,'Axe 2 Règles de gestion'!$D$2:$F$84,3, FALSE)</f>
        <v>L'agent doit être employé de manière continue et avoir accompli au moins 1 an de service.</v>
      </c>
      <c r="Z10" s="13" t="s">
        <v>97</v>
      </c>
      <c r="AA10" s="15" t="str">
        <f>VLOOKUP(Z10,'Axe 2 Règles de gestion'!$D$2:$F$84,3, FALSE)</f>
        <v>L'agent demande l'ouverture d'un compte épargne-temps auprès du service gestionnaire.</v>
      </c>
      <c r="AB10" s="13" t="s">
        <v>99</v>
      </c>
      <c r="AC10" s="15" t="str">
        <f>VLOOKUP(AB10,'Axe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10" s="13"/>
      <c r="AE10" s="15"/>
      <c r="AF10" s="13"/>
      <c r="AG10" s="15"/>
      <c r="AH10" s="13"/>
      <c r="AI10" s="15"/>
      <c r="AJ10" s="13"/>
      <c r="AK10" s="15"/>
      <c r="AL10" s="13" t="s">
        <v>101</v>
      </c>
      <c r="AM10" s="15" t="str">
        <f>VLOOKUP(AL10,'Axe 2 Règles de gestion'!$D$2:$F$84,3, FALSE)</f>
        <v>L'agent ne doit pas être soumis à des obligations de service fixées par le statut particulier de son corps ou par un décret commun à plusieurs corps.</v>
      </c>
      <c r="AN10" s="13" t="s">
        <v>103</v>
      </c>
      <c r="AO10" s="15" t="str">
        <f>VLOOKUP(AN10,'Axe 2 Règles de gestion'!$D$2:$F$84,3, FALSE)</f>
        <v>Le nombre de jours maximum du compteur global doit être inférieur ou égal à 60 jours à l'issue de l'exercice du droit d'option.</v>
      </c>
      <c r="AP10" s="13"/>
      <c r="AQ10" s="15"/>
      <c r="AR10" s="13"/>
      <c r="AS10" s="15"/>
      <c r="AT10" s="13"/>
      <c r="AU10" s="15"/>
      <c r="AV10" s="13"/>
      <c r="AW10" s="15"/>
      <c r="AX10" s="13"/>
      <c r="AY10" s="15"/>
      <c r="AZ10" s="13"/>
      <c r="BA10" s="15"/>
      <c r="BB10" s="13" t="s">
        <v>105</v>
      </c>
      <c r="BC10" s="15" t="str">
        <f>VLOOKUP(BB10,'Axe 2 Règles de gestion'!$D$2:$F$84,3, FALSE)</f>
        <v>Le nombre de jours de l'opération doit être inférieur ou égal au nombre de jours du compteur global du CET.</v>
      </c>
      <c r="BD10" s="13" t="s">
        <v>107</v>
      </c>
      <c r="BE10" s="15" t="str">
        <f>VLOOKUP(BD10,'Axe 2 Règles de gestion'!$D$2:$F$84,3, FALSE)</f>
        <v>La date de fermeture du CET doit être antérieure ou égale à la date limite de départ en retraite.</v>
      </c>
      <c r="BF10" s="13" t="s">
        <v>109</v>
      </c>
      <c r="BG10" s="15" t="str">
        <f>VLOOKUP(BF10,'Axe 2 Règles de gestion'!$D$2:$F$84,3, FALSE)</f>
        <v>La date de fermeture du CET doit être antérieure ou égale à la date de fin réelle ou prévisionnelle du lien juridique.</v>
      </c>
      <c r="BH10" s="13" t="s">
        <v>111</v>
      </c>
      <c r="BI10" s="15" t="str">
        <f>VLOOKUP(BH10,'Axe 2 Règles de gestion'!$D$2:$F$84,3, FALSE)</f>
        <v>La date d'ouverture du compte épargne temps global doit être postérieure ou égale à la date d'entrée dans le SIRH.</v>
      </c>
      <c r="BJ10" s="13" t="s">
        <v>113</v>
      </c>
      <c r="BK10" s="15" t="str">
        <f>VLOOKUP(BJ10,'Axe 2 Règles de gestion'!$D$2:$F$84,3, FALSE)</f>
        <v>La date d'ouverture du CET doit être renseignée.</v>
      </c>
      <c r="BL10" s="13" t="s">
        <v>115</v>
      </c>
      <c r="BM10" s="15" t="str">
        <f>VLOOKUP(BL10,'Axe 2 Règles de gestion'!$D$2:$F$84,3, FALSE)</f>
        <v>Les champs "Origine", "Nombre de jours de l'opération", "Nombre de jours pour valorisation financière" et "Nombre de jours pour cotisation RAFP" ne doivent pas être renseignés.</v>
      </c>
      <c r="BN10" s="13"/>
      <c r="BO10" s="15"/>
      <c r="BP10" s="13"/>
      <c r="BQ10" s="15"/>
      <c r="BR10" s="13"/>
      <c r="BS10" s="15"/>
      <c r="BT10" s="13"/>
      <c r="BU10" s="15"/>
      <c r="BV10" s="13"/>
      <c r="BW10" s="15"/>
    </row>
    <row r="11" spans="1:75" ht="142.65" x14ac:dyDescent="0.25">
      <c r="A11" s="13" t="s">
        <v>117</v>
      </c>
      <c r="B11" s="13" t="s">
        <v>77</v>
      </c>
      <c r="C11" s="14">
        <v>44053.457638888889</v>
      </c>
      <c r="D11" s="13" t="s">
        <v>78</v>
      </c>
      <c r="E11" s="15" t="s">
        <v>79</v>
      </c>
      <c r="F11" s="13" t="s">
        <v>80</v>
      </c>
      <c r="G11" s="15" t="s">
        <v>81</v>
      </c>
      <c r="H11" s="13" t="s">
        <v>82</v>
      </c>
      <c r="I11" s="15" t="s">
        <v>81</v>
      </c>
      <c r="J11" s="15" t="s">
        <v>83</v>
      </c>
      <c r="K11" s="15" t="s">
        <v>84</v>
      </c>
      <c r="L11" s="13" t="s">
        <v>118</v>
      </c>
      <c r="M11" s="15" t="s">
        <v>119</v>
      </c>
      <c r="N11" s="14" t="s">
        <v>87</v>
      </c>
      <c r="O11" s="15" t="s">
        <v>120</v>
      </c>
      <c r="P11" s="15" t="s">
        <v>121</v>
      </c>
      <c r="Q11" s="15" t="s">
        <v>175</v>
      </c>
      <c r="R11" s="13" t="s">
        <v>176</v>
      </c>
      <c r="S11" s="13" t="s">
        <v>92</v>
      </c>
      <c r="T11" s="13" t="s">
        <v>93</v>
      </c>
      <c r="U11" s="14">
        <v>40725</v>
      </c>
      <c r="V11" s="14">
        <v>43435</v>
      </c>
      <c r="W11" s="15" t="s">
        <v>177</v>
      </c>
      <c r="X11" s="13" t="s">
        <v>95</v>
      </c>
      <c r="Y11" s="15" t="str">
        <f>VLOOKUP(X11,'Axe 2 Règles de gestion'!$D$2:$F$84,3, FALSE)</f>
        <v>L'agent doit être employé de manière continue et avoir accompli au moins 1 an de service.</v>
      </c>
      <c r="Z11" s="13" t="s">
        <v>97</v>
      </c>
      <c r="AA11" s="15" t="str">
        <f>VLOOKUP(Z11,'Axe 2 Règles de gestion'!$D$2:$F$84,3, FALSE)</f>
        <v>L'agent demande l'ouverture d'un compte épargne-temps auprès du service gestionnaire.</v>
      </c>
      <c r="AB11" s="13" t="s">
        <v>99</v>
      </c>
      <c r="AC11" s="15" t="str">
        <f>VLOOKUP(AB11,'Axe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11" s="13" t="s">
        <v>123</v>
      </c>
      <c r="AE11" s="15" t="str">
        <f>VLOOKUP(AD11,'Axe 2 Règles de gestion'!$D$2:$F$84,3, FALSE)</f>
        <v>L'agent exerce son droit d'option au plus tard le 31 janvier de l'année suivant la période de référence de l'épargne.</v>
      </c>
      <c r="AF11" s="13" t="s">
        <v>178</v>
      </c>
      <c r="AG11" s="15" t="str">
        <f>VLOOKUP(AF11,'Axe 2 Règles de gestion'!$D$2:$F$84,3, FALSE)</f>
        <v>L'agent indique au service gestionnaire son choix entre maintien sur le compte en vue de congés et indemnisation, surtout s'il souhaite conserver ces jours sur son compte épargne-temps.</v>
      </c>
      <c r="AH11" s="13" t="s">
        <v>180</v>
      </c>
      <c r="AI11" s="15" t="str">
        <f>VLOOKUP(AH11,'Axe 2 Règles de gestion'!$D$2:$F$84,3, FALSE)</f>
        <v>En l'absence d'exercice d'une option par l'agent, les jours au-delà de 15 sont automatiquement indemnisés.</v>
      </c>
      <c r="AJ11" s="13"/>
      <c r="AK11" s="15"/>
      <c r="AL11" s="13" t="s">
        <v>101</v>
      </c>
      <c r="AM11" s="15" t="str">
        <f>VLOOKUP(AL11,'Axe 2 Règles de gestion'!$D$2:$F$84,3, FALSE)</f>
        <v>L'agent ne doit pas être soumis à des obligations de service fixées par le statut particulier de son corps ou par un décret commun à plusieurs corps.</v>
      </c>
      <c r="AN11" s="13" t="s">
        <v>103</v>
      </c>
      <c r="AO11" s="15" t="str">
        <f>VLOOKUP(AN11,'Axe 2 Règles de gestion'!$D$2:$F$84,3, FALSE)</f>
        <v>Le nombre de jours maximum du compteur global doit être inférieur ou égal à 60 jours à l'issue de l'exercice du droit d'option.</v>
      </c>
      <c r="AP11" s="13" t="s">
        <v>129</v>
      </c>
      <c r="AQ11" s="15" t="str">
        <f>VLOOKUP(AP11,'Axe 2 Règles de gestion'!$D$2:$F$84,3, FALSE)</f>
        <v>La différence entre le nombre de jours du compteur global du CET et le nombre de jours pour valorisation financière doit être strictement supérieure à 20 jours.</v>
      </c>
      <c r="AR11" s="13"/>
      <c r="AS11" s="15"/>
      <c r="AT11" s="13"/>
      <c r="AU11" s="15"/>
      <c r="AV11" s="13"/>
      <c r="AW11" s="15"/>
      <c r="AX11" s="13"/>
      <c r="AY11" s="15"/>
      <c r="AZ11" s="13"/>
      <c r="BA11" s="15"/>
      <c r="BB11" s="13" t="s">
        <v>105</v>
      </c>
      <c r="BC11" s="15" t="str">
        <f>VLOOKUP(BB11,'Axe 2 Règles de gestion'!$D$2:$F$84,3, FALSE)</f>
        <v>Le nombre de jours de l'opération doit être inférieur ou égal au nombre de jours du compteur global du CET.</v>
      </c>
      <c r="BD11" s="13" t="s">
        <v>107</v>
      </c>
      <c r="BE11" s="15" t="str">
        <f>VLOOKUP(BD11,'Axe 2 Règles de gestion'!$D$2:$F$84,3, FALSE)</f>
        <v>La date de fermeture du CET doit être antérieure ou égale à la date limite de départ en retraite.</v>
      </c>
      <c r="BF11" s="13" t="s">
        <v>109</v>
      </c>
      <c r="BG11" s="15" t="str">
        <f>VLOOKUP(BF11,'Axe 2 Règles de gestion'!$D$2:$F$84,3, FALSE)</f>
        <v>La date de fermeture du CET doit être antérieure ou égale à la date de fin réelle ou prévisionnelle du lien juridique.</v>
      </c>
      <c r="BH11" s="13" t="s">
        <v>111</v>
      </c>
      <c r="BI11" s="15" t="str">
        <f>VLOOKUP(BH11,'Axe 2 Règles de gestion'!$D$2:$F$84,3, FALSE)</f>
        <v>La date d'ouverture du compte épargne temps global doit être postérieure ou égale à la date d'entrée dans le SIRH.</v>
      </c>
      <c r="BJ11" s="13" t="s">
        <v>113</v>
      </c>
      <c r="BK11" s="15" t="str">
        <f>VLOOKUP(BJ11,'Axe 2 Règles de gestion'!$D$2:$F$84,3, FALSE)</f>
        <v>La date d'ouverture du CET doit être renseignée.</v>
      </c>
      <c r="BL11" s="13" t="s">
        <v>182</v>
      </c>
      <c r="BM11" s="15" t="str">
        <f>VLOOKUP(BL11,'Axe 2 Règles de gestion'!$D$2:$F$84,3, FALSE)</f>
        <v>Lorsque le sens de l'opération est égal à "consommé", le nombre de jours pour la cotisation RAFP n'est pas à renseigner.</v>
      </c>
      <c r="BN11" s="13" t="s">
        <v>133</v>
      </c>
      <c r="BO11" s="15" t="str">
        <f>VLOOKUP(BN11,'Axe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11" s="13" t="s">
        <v>135</v>
      </c>
      <c r="BQ11" s="15" t="str">
        <f>VLOOKUP(BP11,'Axe 2 Règles de gestion'!$D$2:$F$84,3, FALSE)</f>
        <v>Lorsque le sens de l'opération est égal à "consommé", l'origine des jours n'est pas à renseigner.</v>
      </c>
      <c r="BR11" s="13"/>
      <c r="BS11" s="15"/>
      <c r="BT11" s="13"/>
      <c r="BU11" s="15"/>
      <c r="BV11" s="13"/>
      <c r="BW11" s="15"/>
    </row>
    <row r="12" spans="1:75" ht="142.65" x14ac:dyDescent="0.25">
      <c r="A12" s="13" t="s">
        <v>76</v>
      </c>
      <c r="B12" s="13" t="s">
        <v>77</v>
      </c>
      <c r="C12" s="14">
        <v>45677.426388888889</v>
      </c>
      <c r="D12" s="13" t="s">
        <v>78</v>
      </c>
      <c r="E12" s="15" t="s">
        <v>79</v>
      </c>
      <c r="F12" s="13" t="s">
        <v>80</v>
      </c>
      <c r="G12" s="15" t="s">
        <v>81</v>
      </c>
      <c r="H12" s="13" t="s">
        <v>82</v>
      </c>
      <c r="I12" s="15" t="s">
        <v>81</v>
      </c>
      <c r="J12" s="15" t="s">
        <v>83</v>
      </c>
      <c r="K12" s="15" t="s">
        <v>84</v>
      </c>
      <c r="L12" s="13" t="s">
        <v>118</v>
      </c>
      <c r="M12" s="15" t="s">
        <v>119</v>
      </c>
      <c r="N12" s="14" t="s">
        <v>87</v>
      </c>
      <c r="O12" s="15" t="s">
        <v>120</v>
      </c>
      <c r="P12" s="15" t="s">
        <v>121</v>
      </c>
      <c r="Q12" s="15" t="s">
        <v>175</v>
      </c>
      <c r="R12" s="13" t="s">
        <v>176</v>
      </c>
      <c r="S12" s="13" t="s">
        <v>92</v>
      </c>
      <c r="T12" s="13" t="s">
        <v>93</v>
      </c>
      <c r="U12" s="14">
        <v>43436</v>
      </c>
      <c r="V12" s="14">
        <v>43436</v>
      </c>
      <c r="W12" s="15" t="s">
        <v>184</v>
      </c>
      <c r="X12" s="13" t="s">
        <v>95</v>
      </c>
      <c r="Y12" s="15" t="str">
        <f>VLOOKUP(X12,'Axe 2 Règles de gestion'!$D$2:$F$84,3, FALSE)</f>
        <v>L'agent doit être employé de manière continue et avoir accompli au moins 1 an de service.</v>
      </c>
      <c r="Z12" s="13" t="s">
        <v>97</v>
      </c>
      <c r="AA12" s="15" t="str">
        <f>VLOOKUP(Z12,'Axe 2 Règles de gestion'!$D$2:$F$84,3, FALSE)</f>
        <v>L'agent demande l'ouverture d'un compte épargne-temps auprès du service gestionnaire.</v>
      </c>
      <c r="AB12" s="13" t="s">
        <v>99</v>
      </c>
      <c r="AC12" s="15" t="str">
        <f>VLOOKUP(AB12,'Axe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12" s="13" t="s">
        <v>123</v>
      </c>
      <c r="AE12" s="15" t="str">
        <f>VLOOKUP(AD12,'Axe 2 Règles de gestion'!$D$2:$F$84,3, FALSE)</f>
        <v>L'agent exerce son droit d'option au plus tard le 31 janvier de l'année suivant la période de référence de l'épargne.</v>
      </c>
      <c r="AF12" s="13" t="s">
        <v>178</v>
      </c>
      <c r="AG12" s="15" t="str">
        <f>VLOOKUP(AF12,'Axe 2 Règles de gestion'!$D$2:$F$84,3, FALSE)</f>
        <v>L'agent indique au service gestionnaire son choix entre maintien sur le compte en vue de congés et indemnisation, surtout s'il souhaite conserver ces jours sur son compte épargne-temps.</v>
      </c>
      <c r="AH12" s="13" t="s">
        <v>180</v>
      </c>
      <c r="AI12" s="15" t="str">
        <f>VLOOKUP(AH12,'Axe 2 Règles de gestion'!$D$2:$F$84,3, FALSE)</f>
        <v>En l'absence d'exercice d'une option par l'agent, les jours au-delà de 15 sont automatiquement indemnisés.</v>
      </c>
      <c r="AJ12" s="13"/>
      <c r="AK12" s="15"/>
      <c r="AL12" s="13" t="s">
        <v>101</v>
      </c>
      <c r="AM12" s="15" t="str">
        <f>VLOOKUP(AL12,'Axe 2 Règles de gestion'!$D$2:$F$84,3, FALSE)</f>
        <v>L'agent ne doit pas être soumis à des obligations de service fixées par le statut particulier de son corps ou par un décret commun à plusieurs corps.</v>
      </c>
      <c r="AN12" s="13" t="s">
        <v>103</v>
      </c>
      <c r="AO12" s="15" t="str">
        <f>VLOOKUP(AN12,'Axe 2 Règles de gestion'!$D$2:$F$84,3, FALSE)</f>
        <v>Le nombre de jours maximum du compteur global doit être inférieur ou égal à 60 jours à l'issue de l'exercice du droit d'option.</v>
      </c>
      <c r="AP12" s="13" t="s">
        <v>138</v>
      </c>
      <c r="AQ12" s="15" t="str">
        <f>VLOOKUP(AP12,'Axe 2 Règles de gestion'!$D$2:$F$84,3, FALSE)</f>
        <v>La différence entre le nombre de jours du compteur global du CET et le nombre de jours pour valorisation financière doit être strictement supérieure à 15 jours.</v>
      </c>
      <c r="AR12" s="13"/>
      <c r="AS12" s="15"/>
      <c r="AT12" s="13"/>
      <c r="AU12" s="15"/>
      <c r="AV12" s="13"/>
      <c r="AW12" s="15"/>
      <c r="AX12" s="13"/>
      <c r="AY12" s="15"/>
      <c r="AZ12" s="13"/>
      <c r="BA12" s="15"/>
      <c r="BB12" s="13" t="s">
        <v>105</v>
      </c>
      <c r="BC12" s="15" t="str">
        <f>VLOOKUP(BB12,'Axe 2 Règles de gestion'!$D$2:$F$84,3, FALSE)</f>
        <v>Le nombre de jours de l'opération doit être inférieur ou égal au nombre de jours du compteur global du CET.</v>
      </c>
      <c r="BD12" s="13" t="s">
        <v>107</v>
      </c>
      <c r="BE12" s="15" t="str">
        <f>VLOOKUP(BD12,'Axe 2 Règles de gestion'!$D$2:$F$84,3, FALSE)</f>
        <v>La date de fermeture du CET doit être antérieure ou égale à la date limite de départ en retraite.</v>
      </c>
      <c r="BF12" s="13" t="s">
        <v>109</v>
      </c>
      <c r="BG12" s="15" t="str">
        <f>VLOOKUP(BF12,'Axe 2 Règles de gestion'!$D$2:$F$84,3, FALSE)</f>
        <v>La date de fermeture du CET doit être antérieure ou égale à la date de fin réelle ou prévisionnelle du lien juridique.</v>
      </c>
      <c r="BH12" s="13" t="s">
        <v>111</v>
      </c>
      <c r="BI12" s="15" t="str">
        <f>VLOOKUP(BH12,'Axe 2 Règles de gestion'!$D$2:$F$84,3, FALSE)</f>
        <v>La date d'ouverture du compte épargne temps global doit être postérieure ou égale à la date d'entrée dans le SIRH.</v>
      </c>
      <c r="BJ12" s="13" t="s">
        <v>113</v>
      </c>
      <c r="BK12" s="15" t="str">
        <f>VLOOKUP(BJ12,'Axe 2 Règles de gestion'!$D$2:$F$84,3, FALSE)</f>
        <v>La date d'ouverture du CET doit être renseignée.</v>
      </c>
      <c r="BL12" s="13" t="s">
        <v>182</v>
      </c>
      <c r="BM12" s="15" t="str">
        <f>VLOOKUP(BL12,'Axe 2 Règles de gestion'!$D$2:$F$84,3, FALSE)</f>
        <v>Lorsque le sens de l'opération est égal à "consommé", le nombre de jours pour la cotisation RAFP n'est pas à renseigner.</v>
      </c>
      <c r="BN12" s="13" t="s">
        <v>133</v>
      </c>
      <c r="BO12" s="15" t="str">
        <f>VLOOKUP(BN12,'Axe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12" s="13" t="s">
        <v>135</v>
      </c>
      <c r="BQ12" s="15" t="str">
        <f>VLOOKUP(BP12,'Axe 2 Règles de gestion'!$D$2:$F$84,3, FALSE)</f>
        <v>Lorsque le sens de l'opération est égal à "consommé", l'origine des jours n'est pas à renseigner.</v>
      </c>
      <c r="BR12" s="13"/>
      <c r="BS12" s="15"/>
      <c r="BT12" s="13"/>
      <c r="BU12" s="15"/>
      <c r="BV12" s="13"/>
      <c r="BW12" s="15"/>
    </row>
    <row r="13" spans="1:75" ht="128.4" x14ac:dyDescent="0.25">
      <c r="A13" s="13" t="s">
        <v>117</v>
      </c>
      <c r="B13" s="13" t="s">
        <v>77</v>
      </c>
      <c r="C13" s="14">
        <v>44053.462500000001</v>
      </c>
      <c r="D13" s="13" t="s">
        <v>78</v>
      </c>
      <c r="E13" s="15" t="s">
        <v>79</v>
      </c>
      <c r="F13" s="13" t="s">
        <v>80</v>
      </c>
      <c r="G13" s="15" t="s">
        <v>81</v>
      </c>
      <c r="H13" s="13" t="s">
        <v>82</v>
      </c>
      <c r="I13" s="15" t="s">
        <v>81</v>
      </c>
      <c r="J13" s="15" t="s">
        <v>83</v>
      </c>
      <c r="K13" s="15" t="s">
        <v>84</v>
      </c>
      <c r="L13" s="13" t="s">
        <v>143</v>
      </c>
      <c r="M13" s="15" t="s">
        <v>144</v>
      </c>
      <c r="N13" s="14" t="s">
        <v>87</v>
      </c>
      <c r="O13" s="15" t="s">
        <v>145</v>
      </c>
      <c r="P13" s="15" t="s">
        <v>146</v>
      </c>
      <c r="Q13" s="15" t="s">
        <v>175</v>
      </c>
      <c r="R13" s="13" t="s">
        <v>176</v>
      </c>
      <c r="S13" s="13" t="s">
        <v>92</v>
      </c>
      <c r="T13" s="13" t="s">
        <v>93</v>
      </c>
      <c r="U13" s="14">
        <v>40725</v>
      </c>
      <c r="V13" s="14">
        <v>43435</v>
      </c>
      <c r="W13" s="15" t="s">
        <v>185</v>
      </c>
      <c r="X13" s="13" t="s">
        <v>95</v>
      </c>
      <c r="Y13" s="15" t="str">
        <f>VLOOKUP(X13,'Axe 2 Règles de gestion'!$D$2:$F$84,3, FALSE)</f>
        <v>L'agent doit être employé de manière continue et avoir accompli au moins 1 an de service.</v>
      </c>
      <c r="Z13" s="13" t="s">
        <v>97</v>
      </c>
      <c r="AA13" s="15" t="str">
        <f>VLOOKUP(Z13,'Axe 2 Règles de gestion'!$D$2:$F$84,3, FALSE)</f>
        <v>L'agent demande l'ouverture d'un compte épargne-temps auprès du service gestionnaire.</v>
      </c>
      <c r="AB13" s="13" t="s">
        <v>99</v>
      </c>
      <c r="AC13" s="15" t="str">
        <f>VLOOKUP(AB13,'Axe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13" s="13" t="s">
        <v>150</v>
      </c>
      <c r="AE13" s="15" t="str">
        <f>VLOOKUP(AD13,'Axe 2 Règles de gestion'!$D$2:$F$84,3, FALSE)</f>
        <v>L'agent demande au service gestionnaire l'alimentation de son compte épargne-temps selon les modalités d'usage.</v>
      </c>
      <c r="AF13" s="13"/>
      <c r="AG13" s="15"/>
      <c r="AH13" s="13"/>
      <c r="AI13" s="15"/>
      <c r="AJ13" s="13"/>
      <c r="AK13" s="15"/>
      <c r="AL13" s="13" t="s">
        <v>101</v>
      </c>
      <c r="AM13" s="15" t="str">
        <f>VLOOKUP(AL13,'Axe 2 Règles de gestion'!$D$2:$F$84,3, FALSE)</f>
        <v>L'agent ne doit pas être soumis à des obligations de service fixées par le statut particulier de son corps ou par un décret commun à plusieurs corps.</v>
      </c>
      <c r="AN13" s="13" t="s">
        <v>152</v>
      </c>
      <c r="AO13" s="15" t="str">
        <f>VLOOKUP(AN13,'Axe 2 Règles de gestion'!$D$2:$F$84,3, FALSE)</f>
        <v>Le CET est alimenté par le report de jours de réduction du temps de travail (ARTT), jours supplémentaires hors période et par le report de congés annuels, tels que prévus par le décret du 26 octobre 1984.</v>
      </c>
      <c r="AP13" s="13" t="s">
        <v>154</v>
      </c>
      <c r="AQ13" s="15" t="str">
        <f>VLOOKUP(AP13,'Axe 2 Règles de gestion'!$D$2:$F$84,3, FALSE)</f>
        <v>Le CET est alimenté, pour les personnels relevant du décret du 28 mars 1967, par le report de congés annuels dont ils bénéficient au titre du pays dans lequel ils sont affectés.</v>
      </c>
      <c r="AR13" s="13" t="s">
        <v>103</v>
      </c>
      <c r="AS13" s="15" t="str">
        <f>VLOOKUP(AR13,'Axe 2 Règles de gestion'!$D$2:$F$84,3, FALSE)</f>
        <v>Le nombre de jours maximum du compteur global doit être inférieur ou égal à 60 jours à l'issue de l'exercice du droit d'option.</v>
      </c>
      <c r="AT13" s="13" t="s">
        <v>156</v>
      </c>
      <c r="AU13" s="15" t="str">
        <f>VLOOKUP(AT13,'Axe 2 Règles de gestion'!$D$2:$F$84,3, FALSE)</f>
        <v>Le nombre de jours de congés pris dans l'année doit être supérieur ou égal à 20 jours.</v>
      </c>
      <c r="AV13" s="13" t="s">
        <v>158</v>
      </c>
      <c r="AW13" s="15" t="str">
        <f>VLOOKUP(AV13,'Axe 2 Règles de gestion'!$D$2:$F$84,3, FALSE)</f>
        <v>Le nombre de jours de congés pris dans l'année doit être supérieur ou égal à 20 jours.</v>
      </c>
      <c r="AX13" s="13" t="s">
        <v>159</v>
      </c>
      <c r="AY13" s="15" t="str">
        <f>VLOOKUP(AX13,'Axe 2 Règles de gestion'!$D$2:$F$84,3, FALSE)</f>
        <v>Si le compteur global du CET est inférieur à 20 jours et le sens de l'opération est égal à "versé" alors le nombre de jours du compteur global du CET après saisie doit être inférieur ou égal à 30 jours.</v>
      </c>
      <c r="AZ13" s="13" t="s">
        <v>161</v>
      </c>
      <c r="BA13" s="15" t="str">
        <f>VLOOKUP(AZ13,'Axe 2 Règles de gestion'!$D$2:$F$84,3, FALSE)</f>
        <v>Si le compte épargne global est supérieur ou égal à 20 jours et le sens de l'opération est égal à "versé" alors le nombre de jours de l'opération conservés en congés doit être inférieur ou égal à 10 jours.</v>
      </c>
      <c r="BB13" s="13" t="s">
        <v>105</v>
      </c>
      <c r="BC13" s="15" t="str">
        <f>VLOOKUP(BB13,'Axe 2 Règles de gestion'!$D$2:$F$84,3, FALSE)</f>
        <v>Le nombre de jours de l'opération doit être inférieur ou égal au nombre de jours du compteur global du CET.</v>
      </c>
      <c r="BD13" s="13" t="s">
        <v>107</v>
      </c>
      <c r="BE13" s="15" t="str">
        <f>VLOOKUP(BD13,'Axe 2 Règles de gestion'!$D$2:$F$84,3, FALSE)</f>
        <v>La date de fermeture du CET doit être antérieure ou égale à la date limite de départ en retraite.</v>
      </c>
      <c r="BF13" s="13" t="s">
        <v>109</v>
      </c>
      <c r="BG13" s="15" t="str">
        <f>VLOOKUP(BF13,'Axe 2 Règles de gestion'!$D$2:$F$84,3, FALSE)</f>
        <v>La date de fermeture du CET doit être antérieure ou égale à la date de fin réelle ou prévisionnelle du lien juridique.</v>
      </c>
      <c r="BH13" s="13" t="s">
        <v>111</v>
      </c>
      <c r="BI13" s="15" t="str">
        <f>VLOOKUP(BH13,'Axe 2 Règles de gestion'!$D$2:$F$84,3, FALSE)</f>
        <v>La date d'ouverture du compte épargne temps global doit être postérieure ou égale à la date d'entrée dans le SIRH.</v>
      </c>
      <c r="BJ13" s="13" t="s">
        <v>113</v>
      </c>
      <c r="BK13" s="15" t="str">
        <f>VLOOKUP(BJ13,'Axe 2 Règles de gestion'!$D$2:$F$84,3, FALSE)</f>
        <v>La date d'ouverture du CET doit être renseignée.</v>
      </c>
      <c r="BL13" s="13" t="s">
        <v>163</v>
      </c>
      <c r="BM13" s="15" t="str">
        <f>VLOOKUP(BL13,'Axe 2 Règles de gestion'!$D$2:$F$84,3, FALSE)</f>
        <v>Lorsque le sens de l'opération est à "Versé", le compteur global saisi est égal au compteur global de l'occurrence précédente auquel sont ajoutés les jours versés.</v>
      </c>
      <c r="BN13" s="13" t="s">
        <v>165</v>
      </c>
      <c r="BO13" s="15" t="str">
        <f>VLOOKUP(BN13,'Axe 2 Règles de gestion'!$D$2:$F$84,3, FALSE)</f>
        <v>Lorsque le sens de l'opération est égal à "versé", le nombre de jours pour valorisation financière et le nombre de jours pour cotisation RAFP ne doivent pas être renseignés.</v>
      </c>
      <c r="BP13" s="13"/>
      <c r="BQ13" s="15"/>
      <c r="BR13" s="13"/>
      <c r="BS13" s="15"/>
      <c r="BT13" s="13"/>
      <c r="BU13" s="15"/>
      <c r="BV13" s="13"/>
      <c r="BW13" s="15"/>
    </row>
    <row r="14" spans="1:75" ht="128.4" x14ac:dyDescent="0.25">
      <c r="A14" s="13" t="s">
        <v>76</v>
      </c>
      <c r="B14" s="13" t="s">
        <v>77</v>
      </c>
      <c r="C14" s="14">
        <v>45628.726388888892</v>
      </c>
      <c r="D14" s="13" t="s">
        <v>78</v>
      </c>
      <c r="E14" s="15" t="s">
        <v>79</v>
      </c>
      <c r="F14" s="13" t="s">
        <v>80</v>
      </c>
      <c r="G14" s="15" t="s">
        <v>81</v>
      </c>
      <c r="H14" s="13" t="s">
        <v>82</v>
      </c>
      <c r="I14" s="15" t="s">
        <v>81</v>
      </c>
      <c r="J14" s="15" t="s">
        <v>83</v>
      </c>
      <c r="K14" s="15" t="s">
        <v>84</v>
      </c>
      <c r="L14" s="13" t="s">
        <v>143</v>
      </c>
      <c r="M14" s="15" t="s">
        <v>144</v>
      </c>
      <c r="N14" s="14" t="s">
        <v>87</v>
      </c>
      <c r="O14" s="15" t="s">
        <v>145</v>
      </c>
      <c r="P14" s="15" t="s">
        <v>146</v>
      </c>
      <c r="Q14" s="15" t="s">
        <v>175</v>
      </c>
      <c r="R14" s="13" t="s">
        <v>176</v>
      </c>
      <c r="S14" s="13" t="s">
        <v>92</v>
      </c>
      <c r="T14" s="13" t="s">
        <v>93</v>
      </c>
      <c r="U14" s="14">
        <v>43436</v>
      </c>
      <c r="V14" s="14">
        <v>43436</v>
      </c>
      <c r="W14" s="15" t="s">
        <v>186</v>
      </c>
      <c r="X14" s="13" t="s">
        <v>95</v>
      </c>
      <c r="Y14" s="15" t="str">
        <f>VLOOKUP(X14,'Axe 2 Règles de gestion'!$D$2:$F$84,3, FALSE)</f>
        <v>L'agent doit être employé de manière continue et avoir accompli au moins 1 an de service.</v>
      </c>
      <c r="Z14" s="13" t="s">
        <v>97</v>
      </c>
      <c r="AA14" s="15" t="str">
        <f>VLOOKUP(Z14,'Axe 2 Règles de gestion'!$D$2:$F$84,3, FALSE)</f>
        <v>L'agent demande l'ouverture d'un compte épargne-temps auprès du service gestionnaire.</v>
      </c>
      <c r="AB14" s="13" t="s">
        <v>99</v>
      </c>
      <c r="AC14" s="15" t="str">
        <f>VLOOKUP(AB14,'Axe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14" s="13" t="s">
        <v>150</v>
      </c>
      <c r="AE14" s="15" t="str">
        <f>VLOOKUP(AD14,'Axe 2 Règles de gestion'!$D$2:$F$84,3, FALSE)</f>
        <v>L'agent demande au service gestionnaire l'alimentation de son compte épargne-temps selon les modalités d'usage.</v>
      </c>
      <c r="AF14" s="13"/>
      <c r="AG14" s="15"/>
      <c r="AH14" s="13"/>
      <c r="AI14" s="15"/>
      <c r="AJ14" s="13"/>
      <c r="AK14" s="15"/>
      <c r="AL14" s="13" t="s">
        <v>101</v>
      </c>
      <c r="AM14" s="15" t="str">
        <f>VLOOKUP(AL14,'Axe 2 Règles de gestion'!$D$2:$F$84,3, FALSE)</f>
        <v>L'agent ne doit pas être soumis à des obligations de service fixées par le statut particulier de son corps ou par un décret commun à plusieurs corps.</v>
      </c>
      <c r="AN14" s="13" t="s">
        <v>152</v>
      </c>
      <c r="AO14" s="15" t="str">
        <f>VLOOKUP(AN14,'Axe 2 Règles de gestion'!$D$2:$F$84,3, FALSE)</f>
        <v>Le CET est alimenté par le report de jours de réduction du temps de travail (ARTT), jours supplémentaires hors période et par le report de congés annuels, tels que prévus par le décret du 26 octobre 1984.</v>
      </c>
      <c r="AP14" s="13" t="s">
        <v>154</v>
      </c>
      <c r="AQ14" s="15" t="str">
        <f>VLOOKUP(AP14,'Axe 2 Règles de gestion'!$D$2:$F$84,3, FALSE)</f>
        <v>Le CET est alimenté, pour les personnels relevant du décret du 28 mars 1967, par le report de congés annuels dont ils bénéficient au titre du pays dans lequel ils sont affectés.</v>
      </c>
      <c r="AR14" s="13" t="s">
        <v>103</v>
      </c>
      <c r="AS14" s="15" t="str">
        <f>VLOOKUP(AR14,'Axe 2 Règles de gestion'!$D$2:$F$84,3, FALSE)</f>
        <v>Le nombre de jours maximum du compteur global doit être inférieur ou égal à 60 jours à l'issue de l'exercice du droit d'option.</v>
      </c>
      <c r="AT14" s="13" t="s">
        <v>156</v>
      </c>
      <c r="AU14" s="15" t="str">
        <f>VLOOKUP(AT14,'Axe 2 Règles de gestion'!$D$2:$F$84,3, FALSE)</f>
        <v>Le nombre de jours de congés pris dans l'année doit être supérieur ou égal à 20 jours.</v>
      </c>
      <c r="AV14" s="13" t="s">
        <v>158</v>
      </c>
      <c r="AW14" s="15" t="str">
        <f>VLOOKUP(AV14,'Axe 2 Règles de gestion'!$D$2:$F$84,3, FALSE)</f>
        <v>Le nombre de jours de congés pris dans l'année doit être supérieur ou égal à 20 jours.</v>
      </c>
      <c r="AX14" s="13" t="s">
        <v>168</v>
      </c>
      <c r="AY14" s="15" t="str">
        <f>VLOOKUP(AX14,'Axe 2 Règles de gestion'!$D$2:$F$84,3, FALSE)</f>
        <v>Si le compteur global du CET est inférieur à 15 jours et le sens de l'opération est égal à "versé" alors le nombre de jours du compteur global du CET après saisie doit être inférieur ou égal à 25 jours.</v>
      </c>
      <c r="AZ14" s="13" t="s">
        <v>170</v>
      </c>
      <c r="BA14" s="15" t="str">
        <f>VLOOKUP(AZ14,'Axe 2 Règles de gestion'!$D$2:$F$84,3, FALSE)</f>
        <v>Si le compte épargne global est supérieur ou égal à 15 jours et le sens de l'opération est égal à "versé" alors le nombre de jours de l'opération conservés en congés doit être inférieur ou égal à 10 jours.</v>
      </c>
      <c r="BB14" s="13" t="s">
        <v>105</v>
      </c>
      <c r="BC14" s="15" t="str">
        <f>VLOOKUP(BB14,'Axe 2 Règles de gestion'!$D$2:$F$84,3, FALSE)</f>
        <v>Le nombre de jours de l'opération doit être inférieur ou égal au nombre de jours du compteur global du CET.</v>
      </c>
      <c r="BD14" s="13" t="s">
        <v>107</v>
      </c>
      <c r="BE14" s="15" t="str">
        <f>VLOOKUP(BD14,'Axe 2 Règles de gestion'!$D$2:$F$84,3, FALSE)</f>
        <v>La date de fermeture du CET doit être antérieure ou égale à la date limite de départ en retraite.</v>
      </c>
      <c r="BF14" s="13" t="s">
        <v>109</v>
      </c>
      <c r="BG14" s="15" t="str">
        <f>VLOOKUP(BF14,'Axe 2 Règles de gestion'!$D$2:$F$84,3, FALSE)</f>
        <v>La date de fermeture du CET doit être antérieure ou égale à la date de fin réelle ou prévisionnelle du lien juridique.</v>
      </c>
      <c r="BH14" s="13" t="s">
        <v>111</v>
      </c>
      <c r="BI14" s="15" t="str">
        <f>VLOOKUP(BH14,'Axe 2 Règles de gestion'!$D$2:$F$84,3, FALSE)</f>
        <v>La date d'ouverture du compte épargne temps global doit être postérieure ou égale à la date d'entrée dans le SIRH.</v>
      </c>
      <c r="BJ14" s="13" t="s">
        <v>113</v>
      </c>
      <c r="BK14" s="15" t="str">
        <f>VLOOKUP(BJ14,'Axe 2 Règles de gestion'!$D$2:$F$84,3, FALSE)</f>
        <v>La date d'ouverture du CET doit être renseignée.</v>
      </c>
      <c r="BL14" s="13" t="s">
        <v>163</v>
      </c>
      <c r="BM14" s="15" t="str">
        <f>VLOOKUP(BL14,'Axe 2 Règles de gestion'!$D$2:$F$84,3, FALSE)</f>
        <v>Lorsque le sens de l'opération est à "Versé", le compteur global saisi est égal au compteur global de l'occurrence précédente auquel sont ajoutés les jours versés.</v>
      </c>
      <c r="BN14" s="13" t="s">
        <v>165</v>
      </c>
      <c r="BO14" s="15" t="str">
        <f>VLOOKUP(BN14,'Axe 2 Règles de gestion'!$D$2:$F$84,3, FALSE)</f>
        <v>Lorsque le sens de l'opération est égal à "versé", le nombre de jours pour valorisation financière et le nombre de jours pour cotisation RAFP ne doivent pas être renseignés.</v>
      </c>
      <c r="BP14" s="13"/>
      <c r="BQ14" s="15"/>
      <c r="BR14" s="13"/>
      <c r="BS14" s="15"/>
      <c r="BT14" s="13"/>
      <c r="BU14" s="15"/>
      <c r="BV14" s="13"/>
      <c r="BW14" s="15"/>
    </row>
    <row r="15" spans="1:75" ht="28.55" x14ac:dyDescent="0.25">
      <c r="A15" s="13" t="s">
        <v>76</v>
      </c>
      <c r="B15" s="13" t="s">
        <v>77</v>
      </c>
      <c r="C15" s="14">
        <v>45628.70208333333</v>
      </c>
      <c r="D15" s="13" t="s">
        <v>78</v>
      </c>
      <c r="E15" s="15" t="s">
        <v>79</v>
      </c>
      <c r="F15" s="13" t="s">
        <v>80</v>
      </c>
      <c r="G15" s="15" t="s">
        <v>81</v>
      </c>
      <c r="H15" s="13" t="s">
        <v>82</v>
      </c>
      <c r="I15" s="15" t="s">
        <v>81</v>
      </c>
      <c r="J15" s="15" t="s">
        <v>83</v>
      </c>
      <c r="K15" s="15" t="s">
        <v>84</v>
      </c>
      <c r="L15" s="13" t="s">
        <v>85</v>
      </c>
      <c r="M15" s="15" t="s">
        <v>86</v>
      </c>
      <c r="N15" s="14" t="s">
        <v>87</v>
      </c>
      <c r="O15" s="15" t="s">
        <v>88</v>
      </c>
      <c r="P15" s="15" t="s">
        <v>89</v>
      </c>
      <c r="Q15" s="15" t="s">
        <v>187</v>
      </c>
      <c r="R15" s="13" t="s">
        <v>188</v>
      </c>
      <c r="S15" s="13" t="s">
        <v>92</v>
      </c>
      <c r="T15" s="13" t="s">
        <v>174</v>
      </c>
      <c r="U15" s="14">
        <v>40725</v>
      </c>
      <c r="V15" s="14">
        <v>40725</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row>
    <row r="16" spans="1:75" ht="42.8" x14ac:dyDescent="0.25">
      <c r="A16" s="13" t="s">
        <v>76</v>
      </c>
      <c r="B16" s="13" t="s">
        <v>77</v>
      </c>
      <c r="C16" s="14">
        <v>45628.703472222223</v>
      </c>
      <c r="D16" s="13" t="s">
        <v>78</v>
      </c>
      <c r="E16" s="15" t="s">
        <v>79</v>
      </c>
      <c r="F16" s="13" t="s">
        <v>80</v>
      </c>
      <c r="G16" s="15" t="s">
        <v>81</v>
      </c>
      <c r="H16" s="13" t="s">
        <v>82</v>
      </c>
      <c r="I16" s="15" t="s">
        <v>81</v>
      </c>
      <c r="J16" s="15" t="s">
        <v>83</v>
      </c>
      <c r="K16" s="15" t="s">
        <v>84</v>
      </c>
      <c r="L16" s="13" t="s">
        <v>118</v>
      </c>
      <c r="M16" s="15" t="s">
        <v>119</v>
      </c>
      <c r="N16" s="14" t="s">
        <v>87</v>
      </c>
      <c r="O16" s="15" t="s">
        <v>120</v>
      </c>
      <c r="P16" s="15" t="s">
        <v>121</v>
      </c>
      <c r="Q16" s="15" t="s">
        <v>187</v>
      </c>
      <c r="R16" s="13" t="s">
        <v>188</v>
      </c>
      <c r="S16" s="13" t="s">
        <v>92</v>
      </c>
      <c r="T16" s="13" t="s">
        <v>174</v>
      </c>
      <c r="U16" s="14">
        <v>40725</v>
      </c>
      <c r="V16" s="14">
        <v>40725</v>
      </c>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row>
    <row r="17" spans="1:75" ht="42.8" x14ac:dyDescent="0.25">
      <c r="A17" s="13" t="s">
        <v>76</v>
      </c>
      <c r="B17" s="13" t="s">
        <v>77</v>
      </c>
      <c r="C17" s="14">
        <v>45628.704861111109</v>
      </c>
      <c r="D17" s="13" t="s">
        <v>78</v>
      </c>
      <c r="E17" s="15" t="s">
        <v>79</v>
      </c>
      <c r="F17" s="13" t="s">
        <v>80</v>
      </c>
      <c r="G17" s="15" t="s">
        <v>81</v>
      </c>
      <c r="H17" s="13" t="s">
        <v>82</v>
      </c>
      <c r="I17" s="15" t="s">
        <v>81</v>
      </c>
      <c r="J17" s="15" t="s">
        <v>83</v>
      </c>
      <c r="K17" s="15" t="s">
        <v>84</v>
      </c>
      <c r="L17" s="13" t="s">
        <v>143</v>
      </c>
      <c r="M17" s="15" t="s">
        <v>144</v>
      </c>
      <c r="N17" s="14" t="s">
        <v>87</v>
      </c>
      <c r="O17" s="15" t="s">
        <v>145</v>
      </c>
      <c r="P17" s="15" t="s">
        <v>146</v>
      </c>
      <c r="Q17" s="15" t="s">
        <v>187</v>
      </c>
      <c r="R17" s="13" t="s">
        <v>188</v>
      </c>
      <c r="S17" s="13" t="s">
        <v>92</v>
      </c>
      <c r="T17" s="13" t="s">
        <v>174</v>
      </c>
      <c r="U17" s="14">
        <v>40725</v>
      </c>
      <c r="V17" s="14">
        <v>40725</v>
      </c>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row>
    <row r="18" spans="1:75" ht="28.55" x14ac:dyDescent="0.25">
      <c r="A18" s="13" t="s">
        <v>76</v>
      </c>
      <c r="B18" s="13" t="s">
        <v>77</v>
      </c>
      <c r="C18" s="14">
        <v>45628.70208333333</v>
      </c>
      <c r="D18" s="13" t="s">
        <v>78</v>
      </c>
      <c r="E18" s="15" t="s">
        <v>79</v>
      </c>
      <c r="F18" s="13" t="s">
        <v>80</v>
      </c>
      <c r="G18" s="15" t="s">
        <v>81</v>
      </c>
      <c r="H18" s="13" t="s">
        <v>82</v>
      </c>
      <c r="I18" s="15" t="s">
        <v>81</v>
      </c>
      <c r="J18" s="15" t="s">
        <v>83</v>
      </c>
      <c r="K18" s="15" t="s">
        <v>84</v>
      </c>
      <c r="L18" s="13" t="s">
        <v>85</v>
      </c>
      <c r="M18" s="15" t="s">
        <v>86</v>
      </c>
      <c r="N18" s="14" t="s">
        <v>87</v>
      </c>
      <c r="O18" s="15" t="s">
        <v>88</v>
      </c>
      <c r="P18" s="15" t="s">
        <v>89</v>
      </c>
      <c r="Q18" s="15" t="s">
        <v>189</v>
      </c>
      <c r="R18" s="13" t="s">
        <v>190</v>
      </c>
      <c r="S18" s="13" t="s">
        <v>92</v>
      </c>
      <c r="T18" s="13" t="s">
        <v>174</v>
      </c>
      <c r="U18" s="14">
        <v>40725</v>
      </c>
      <c r="V18" s="14">
        <v>40725</v>
      </c>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row>
    <row r="19" spans="1:75" ht="42.8" x14ac:dyDescent="0.25">
      <c r="A19" s="13" t="s">
        <v>76</v>
      </c>
      <c r="B19" s="13" t="s">
        <v>77</v>
      </c>
      <c r="C19" s="14">
        <v>45628.702777777777</v>
      </c>
      <c r="D19" s="13" t="s">
        <v>78</v>
      </c>
      <c r="E19" s="15" t="s">
        <v>79</v>
      </c>
      <c r="F19" s="13" t="s">
        <v>80</v>
      </c>
      <c r="G19" s="15" t="s">
        <v>81</v>
      </c>
      <c r="H19" s="13" t="s">
        <v>82</v>
      </c>
      <c r="I19" s="15" t="s">
        <v>81</v>
      </c>
      <c r="J19" s="15" t="s">
        <v>83</v>
      </c>
      <c r="K19" s="15" t="s">
        <v>84</v>
      </c>
      <c r="L19" s="13" t="s">
        <v>118</v>
      </c>
      <c r="M19" s="15" t="s">
        <v>119</v>
      </c>
      <c r="N19" s="14" t="s">
        <v>87</v>
      </c>
      <c r="O19" s="15" t="s">
        <v>120</v>
      </c>
      <c r="P19" s="15" t="s">
        <v>121</v>
      </c>
      <c r="Q19" s="15" t="s">
        <v>189</v>
      </c>
      <c r="R19" s="13" t="s">
        <v>190</v>
      </c>
      <c r="S19" s="13" t="s">
        <v>92</v>
      </c>
      <c r="T19" s="13" t="s">
        <v>174</v>
      </c>
      <c r="U19" s="14">
        <v>40725</v>
      </c>
      <c r="V19" s="14">
        <v>40725</v>
      </c>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row>
    <row r="20" spans="1:75" ht="42.8" x14ac:dyDescent="0.25">
      <c r="A20" s="13" t="s">
        <v>76</v>
      </c>
      <c r="B20" s="13" t="s">
        <v>77</v>
      </c>
      <c r="C20" s="14">
        <v>45628.704861111109</v>
      </c>
      <c r="D20" s="13" t="s">
        <v>78</v>
      </c>
      <c r="E20" s="15" t="s">
        <v>79</v>
      </c>
      <c r="F20" s="13" t="s">
        <v>80</v>
      </c>
      <c r="G20" s="15" t="s">
        <v>81</v>
      </c>
      <c r="H20" s="13" t="s">
        <v>82</v>
      </c>
      <c r="I20" s="15" t="s">
        <v>81</v>
      </c>
      <c r="J20" s="15" t="s">
        <v>83</v>
      </c>
      <c r="K20" s="15" t="s">
        <v>84</v>
      </c>
      <c r="L20" s="13" t="s">
        <v>143</v>
      </c>
      <c r="M20" s="15" t="s">
        <v>144</v>
      </c>
      <c r="N20" s="14" t="s">
        <v>87</v>
      </c>
      <c r="O20" s="15" t="s">
        <v>145</v>
      </c>
      <c r="P20" s="15" t="s">
        <v>146</v>
      </c>
      <c r="Q20" s="15" t="s">
        <v>189</v>
      </c>
      <c r="R20" s="13" t="s">
        <v>190</v>
      </c>
      <c r="S20" s="13" t="s">
        <v>92</v>
      </c>
      <c r="T20" s="13" t="s">
        <v>174</v>
      </c>
      <c r="U20" s="14">
        <v>40725</v>
      </c>
      <c r="V20" s="14">
        <v>40725</v>
      </c>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row>
    <row r="21" spans="1:75" ht="28.55" x14ac:dyDescent="0.25">
      <c r="A21" s="13" t="s">
        <v>76</v>
      </c>
      <c r="B21" s="13" t="s">
        <v>77</v>
      </c>
      <c r="C21" s="14">
        <v>45628.705555555556</v>
      </c>
      <c r="D21" s="13" t="s">
        <v>78</v>
      </c>
      <c r="E21" s="15" t="s">
        <v>79</v>
      </c>
      <c r="F21" s="13" t="s">
        <v>80</v>
      </c>
      <c r="G21" s="15" t="s">
        <v>81</v>
      </c>
      <c r="H21" s="13" t="s">
        <v>82</v>
      </c>
      <c r="I21" s="15" t="s">
        <v>81</v>
      </c>
      <c r="J21" s="15" t="s">
        <v>83</v>
      </c>
      <c r="K21" s="15" t="s">
        <v>84</v>
      </c>
      <c r="L21" s="13" t="s">
        <v>85</v>
      </c>
      <c r="M21" s="15" t="s">
        <v>86</v>
      </c>
      <c r="N21" s="14" t="s">
        <v>87</v>
      </c>
      <c r="O21" s="15" t="s">
        <v>88</v>
      </c>
      <c r="P21" s="15" t="s">
        <v>89</v>
      </c>
      <c r="Q21" s="15" t="s">
        <v>191</v>
      </c>
      <c r="R21" s="13" t="s">
        <v>192</v>
      </c>
      <c r="S21" s="13" t="s">
        <v>193</v>
      </c>
      <c r="T21" s="13" t="s">
        <v>174</v>
      </c>
      <c r="U21" s="14">
        <v>40725</v>
      </c>
      <c r="V21" s="14">
        <v>40725</v>
      </c>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row>
    <row r="22" spans="1:75" ht="42.8" x14ac:dyDescent="0.25">
      <c r="A22" s="13" t="s">
        <v>76</v>
      </c>
      <c r="B22" s="13" t="s">
        <v>77</v>
      </c>
      <c r="C22" s="14">
        <v>45628.706944444442</v>
      </c>
      <c r="D22" s="13" t="s">
        <v>78</v>
      </c>
      <c r="E22" s="15" t="s">
        <v>79</v>
      </c>
      <c r="F22" s="13" t="s">
        <v>80</v>
      </c>
      <c r="G22" s="15" t="s">
        <v>81</v>
      </c>
      <c r="H22" s="13" t="s">
        <v>82</v>
      </c>
      <c r="I22" s="15" t="s">
        <v>81</v>
      </c>
      <c r="J22" s="15" t="s">
        <v>83</v>
      </c>
      <c r="K22" s="15" t="s">
        <v>84</v>
      </c>
      <c r="L22" s="13" t="s">
        <v>118</v>
      </c>
      <c r="M22" s="15" t="s">
        <v>119</v>
      </c>
      <c r="N22" s="14" t="s">
        <v>87</v>
      </c>
      <c r="O22" s="15" t="s">
        <v>120</v>
      </c>
      <c r="P22" s="15" t="s">
        <v>121</v>
      </c>
      <c r="Q22" s="15" t="s">
        <v>191</v>
      </c>
      <c r="R22" s="13" t="s">
        <v>192</v>
      </c>
      <c r="S22" s="13" t="s">
        <v>193</v>
      </c>
      <c r="T22" s="13" t="s">
        <v>174</v>
      </c>
      <c r="U22" s="14">
        <v>40725</v>
      </c>
      <c r="V22" s="14">
        <v>40725</v>
      </c>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row>
    <row r="23" spans="1:75" ht="42.8" x14ac:dyDescent="0.25">
      <c r="A23" s="13" t="s">
        <v>76</v>
      </c>
      <c r="B23" s="13" t="s">
        <v>77</v>
      </c>
      <c r="C23" s="14">
        <v>45628.708333333336</v>
      </c>
      <c r="D23" s="13" t="s">
        <v>78</v>
      </c>
      <c r="E23" s="15" t="s">
        <v>79</v>
      </c>
      <c r="F23" s="13" t="s">
        <v>80</v>
      </c>
      <c r="G23" s="15" t="s">
        <v>81</v>
      </c>
      <c r="H23" s="13" t="s">
        <v>82</v>
      </c>
      <c r="I23" s="15" t="s">
        <v>81</v>
      </c>
      <c r="J23" s="15" t="s">
        <v>83</v>
      </c>
      <c r="K23" s="15" t="s">
        <v>84</v>
      </c>
      <c r="L23" s="13" t="s">
        <v>143</v>
      </c>
      <c r="M23" s="15" t="s">
        <v>144</v>
      </c>
      <c r="N23" s="14" t="s">
        <v>87</v>
      </c>
      <c r="O23" s="15" t="s">
        <v>145</v>
      </c>
      <c r="P23" s="15" t="s">
        <v>146</v>
      </c>
      <c r="Q23" s="15" t="s">
        <v>191</v>
      </c>
      <c r="R23" s="13" t="s">
        <v>192</v>
      </c>
      <c r="S23" s="13" t="s">
        <v>193</v>
      </c>
      <c r="T23" s="13" t="s">
        <v>174</v>
      </c>
      <c r="U23" s="14">
        <v>40725</v>
      </c>
      <c r="V23" s="14">
        <v>40725</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row>
    <row r="24" spans="1:75" ht="28.55" x14ac:dyDescent="0.25">
      <c r="A24" s="13" t="s">
        <v>76</v>
      </c>
      <c r="B24" s="13" t="s">
        <v>77</v>
      </c>
      <c r="C24" s="14">
        <v>45628.705555555556</v>
      </c>
      <c r="D24" s="13" t="s">
        <v>78</v>
      </c>
      <c r="E24" s="15" t="s">
        <v>79</v>
      </c>
      <c r="F24" s="13" t="s">
        <v>80</v>
      </c>
      <c r="G24" s="15" t="s">
        <v>81</v>
      </c>
      <c r="H24" s="13" t="s">
        <v>82</v>
      </c>
      <c r="I24" s="15" t="s">
        <v>81</v>
      </c>
      <c r="J24" s="15" t="s">
        <v>83</v>
      </c>
      <c r="K24" s="15" t="s">
        <v>84</v>
      </c>
      <c r="L24" s="13" t="s">
        <v>85</v>
      </c>
      <c r="M24" s="15" t="s">
        <v>86</v>
      </c>
      <c r="N24" s="14" t="s">
        <v>87</v>
      </c>
      <c r="O24" s="15" t="s">
        <v>88</v>
      </c>
      <c r="P24" s="15" t="s">
        <v>89</v>
      </c>
      <c r="Q24" s="15" t="s">
        <v>194</v>
      </c>
      <c r="R24" s="13" t="s">
        <v>195</v>
      </c>
      <c r="S24" s="13" t="s">
        <v>193</v>
      </c>
      <c r="T24" s="13" t="s">
        <v>174</v>
      </c>
      <c r="U24" s="14">
        <v>40725</v>
      </c>
      <c r="V24" s="14">
        <v>40725</v>
      </c>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row>
    <row r="25" spans="1:75" ht="42.8" x14ac:dyDescent="0.25">
      <c r="A25" s="13" t="s">
        <v>76</v>
      </c>
      <c r="B25" s="13" t="s">
        <v>77</v>
      </c>
      <c r="C25" s="14">
        <v>45628.706944444442</v>
      </c>
      <c r="D25" s="13" t="s">
        <v>78</v>
      </c>
      <c r="E25" s="15" t="s">
        <v>79</v>
      </c>
      <c r="F25" s="13" t="s">
        <v>80</v>
      </c>
      <c r="G25" s="15" t="s">
        <v>81</v>
      </c>
      <c r="H25" s="13" t="s">
        <v>82</v>
      </c>
      <c r="I25" s="15" t="s">
        <v>81</v>
      </c>
      <c r="J25" s="15" t="s">
        <v>83</v>
      </c>
      <c r="K25" s="15" t="s">
        <v>84</v>
      </c>
      <c r="L25" s="13" t="s">
        <v>118</v>
      </c>
      <c r="M25" s="15" t="s">
        <v>119</v>
      </c>
      <c r="N25" s="14" t="s">
        <v>87</v>
      </c>
      <c r="O25" s="15" t="s">
        <v>120</v>
      </c>
      <c r="P25" s="15" t="s">
        <v>121</v>
      </c>
      <c r="Q25" s="15" t="s">
        <v>194</v>
      </c>
      <c r="R25" s="13" t="s">
        <v>195</v>
      </c>
      <c r="S25" s="13" t="s">
        <v>193</v>
      </c>
      <c r="T25" s="13" t="s">
        <v>174</v>
      </c>
      <c r="U25" s="14">
        <v>40725</v>
      </c>
      <c r="V25" s="14">
        <v>40725</v>
      </c>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row>
    <row r="26" spans="1:75" ht="42.8" x14ac:dyDescent="0.25">
      <c r="A26" s="13" t="s">
        <v>76</v>
      </c>
      <c r="B26" s="13" t="s">
        <v>77</v>
      </c>
      <c r="C26" s="14">
        <v>45628.709027777775</v>
      </c>
      <c r="D26" s="13" t="s">
        <v>78</v>
      </c>
      <c r="E26" s="15" t="s">
        <v>79</v>
      </c>
      <c r="F26" s="13" t="s">
        <v>80</v>
      </c>
      <c r="G26" s="15" t="s">
        <v>81</v>
      </c>
      <c r="H26" s="13" t="s">
        <v>82</v>
      </c>
      <c r="I26" s="15" t="s">
        <v>81</v>
      </c>
      <c r="J26" s="15" t="s">
        <v>83</v>
      </c>
      <c r="K26" s="15" t="s">
        <v>84</v>
      </c>
      <c r="L26" s="13" t="s">
        <v>143</v>
      </c>
      <c r="M26" s="15" t="s">
        <v>144</v>
      </c>
      <c r="N26" s="14" t="s">
        <v>87</v>
      </c>
      <c r="O26" s="15" t="s">
        <v>145</v>
      </c>
      <c r="P26" s="15" t="s">
        <v>146</v>
      </c>
      <c r="Q26" s="15" t="s">
        <v>194</v>
      </c>
      <c r="R26" s="13" t="s">
        <v>195</v>
      </c>
      <c r="S26" s="13" t="s">
        <v>193</v>
      </c>
      <c r="T26" s="13" t="s">
        <v>174</v>
      </c>
      <c r="U26" s="14">
        <v>40725</v>
      </c>
      <c r="V26" s="14">
        <v>40725</v>
      </c>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row>
    <row r="27" spans="1:75" ht="28.55" x14ac:dyDescent="0.25">
      <c r="A27" s="13" t="s">
        <v>76</v>
      </c>
      <c r="B27" s="13" t="s">
        <v>77</v>
      </c>
      <c r="C27" s="14">
        <v>45628.706250000003</v>
      </c>
      <c r="D27" s="13" t="s">
        <v>78</v>
      </c>
      <c r="E27" s="15" t="s">
        <v>79</v>
      </c>
      <c r="F27" s="13" t="s">
        <v>80</v>
      </c>
      <c r="G27" s="15" t="s">
        <v>81</v>
      </c>
      <c r="H27" s="13" t="s">
        <v>82</v>
      </c>
      <c r="I27" s="15" t="s">
        <v>81</v>
      </c>
      <c r="J27" s="15" t="s">
        <v>83</v>
      </c>
      <c r="K27" s="15" t="s">
        <v>84</v>
      </c>
      <c r="L27" s="13" t="s">
        <v>85</v>
      </c>
      <c r="M27" s="15" t="s">
        <v>86</v>
      </c>
      <c r="N27" s="14" t="s">
        <v>87</v>
      </c>
      <c r="O27" s="15" t="s">
        <v>88</v>
      </c>
      <c r="P27" s="15" t="s">
        <v>89</v>
      </c>
      <c r="Q27" s="15" t="s">
        <v>196</v>
      </c>
      <c r="R27" s="13" t="s">
        <v>197</v>
      </c>
      <c r="S27" s="13" t="s">
        <v>193</v>
      </c>
      <c r="T27" s="13" t="s">
        <v>174</v>
      </c>
      <c r="U27" s="14">
        <v>40725</v>
      </c>
      <c r="V27" s="14">
        <v>40725</v>
      </c>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row>
    <row r="28" spans="1:75" ht="42.8" x14ac:dyDescent="0.25">
      <c r="A28" s="13" t="s">
        <v>76</v>
      </c>
      <c r="B28" s="13" t="s">
        <v>77</v>
      </c>
      <c r="C28" s="14">
        <v>45628.707638888889</v>
      </c>
      <c r="D28" s="13" t="s">
        <v>78</v>
      </c>
      <c r="E28" s="15" t="s">
        <v>79</v>
      </c>
      <c r="F28" s="13" t="s">
        <v>80</v>
      </c>
      <c r="G28" s="15" t="s">
        <v>81</v>
      </c>
      <c r="H28" s="13" t="s">
        <v>82</v>
      </c>
      <c r="I28" s="15" t="s">
        <v>81</v>
      </c>
      <c r="J28" s="15" t="s">
        <v>83</v>
      </c>
      <c r="K28" s="15" t="s">
        <v>84</v>
      </c>
      <c r="L28" s="13" t="s">
        <v>118</v>
      </c>
      <c r="M28" s="15" t="s">
        <v>119</v>
      </c>
      <c r="N28" s="14" t="s">
        <v>87</v>
      </c>
      <c r="O28" s="15" t="s">
        <v>120</v>
      </c>
      <c r="P28" s="15" t="s">
        <v>121</v>
      </c>
      <c r="Q28" s="15" t="s">
        <v>196</v>
      </c>
      <c r="R28" s="13" t="s">
        <v>197</v>
      </c>
      <c r="S28" s="13" t="s">
        <v>193</v>
      </c>
      <c r="T28" s="13" t="s">
        <v>174</v>
      </c>
      <c r="U28" s="14">
        <v>40725</v>
      </c>
      <c r="V28" s="14">
        <v>40725</v>
      </c>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row>
    <row r="29" spans="1:75" ht="42.8" x14ac:dyDescent="0.25">
      <c r="A29" s="13" t="s">
        <v>76</v>
      </c>
      <c r="B29" s="13" t="s">
        <v>77</v>
      </c>
      <c r="C29" s="14">
        <v>45628.709027777775</v>
      </c>
      <c r="D29" s="13" t="s">
        <v>78</v>
      </c>
      <c r="E29" s="15" t="s">
        <v>79</v>
      </c>
      <c r="F29" s="13" t="s">
        <v>80</v>
      </c>
      <c r="G29" s="15" t="s">
        <v>81</v>
      </c>
      <c r="H29" s="13" t="s">
        <v>82</v>
      </c>
      <c r="I29" s="15" t="s">
        <v>81</v>
      </c>
      <c r="J29" s="15" t="s">
        <v>83</v>
      </c>
      <c r="K29" s="15" t="s">
        <v>84</v>
      </c>
      <c r="L29" s="13" t="s">
        <v>143</v>
      </c>
      <c r="M29" s="15" t="s">
        <v>144</v>
      </c>
      <c r="N29" s="14" t="s">
        <v>87</v>
      </c>
      <c r="O29" s="15" t="s">
        <v>145</v>
      </c>
      <c r="P29" s="15" t="s">
        <v>146</v>
      </c>
      <c r="Q29" s="15" t="s">
        <v>196</v>
      </c>
      <c r="R29" s="13" t="s">
        <v>197</v>
      </c>
      <c r="S29" s="13" t="s">
        <v>193</v>
      </c>
      <c r="T29" s="13" t="s">
        <v>174</v>
      </c>
      <c r="U29" s="14">
        <v>40725</v>
      </c>
      <c r="V29" s="14">
        <v>40725</v>
      </c>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row>
    <row r="30" spans="1:75" ht="142.65" x14ac:dyDescent="0.25">
      <c r="A30" s="13" t="s">
        <v>142</v>
      </c>
      <c r="B30" s="13" t="s">
        <v>77</v>
      </c>
      <c r="C30" s="14">
        <v>43152.5</v>
      </c>
      <c r="D30" s="13" t="s">
        <v>78</v>
      </c>
      <c r="E30" s="15" t="s">
        <v>79</v>
      </c>
      <c r="F30" s="13" t="s">
        <v>80</v>
      </c>
      <c r="G30" s="15" t="s">
        <v>81</v>
      </c>
      <c r="H30" s="13" t="s">
        <v>82</v>
      </c>
      <c r="I30" s="15" t="s">
        <v>81</v>
      </c>
      <c r="J30" s="15" t="s">
        <v>83</v>
      </c>
      <c r="K30" s="15" t="s">
        <v>84</v>
      </c>
      <c r="L30" s="13" t="s">
        <v>85</v>
      </c>
      <c r="M30" s="15" t="s">
        <v>86</v>
      </c>
      <c r="N30" s="14" t="s">
        <v>87</v>
      </c>
      <c r="O30" s="15" t="s">
        <v>88</v>
      </c>
      <c r="P30" s="15" t="s">
        <v>89</v>
      </c>
      <c r="Q30" s="15" t="s">
        <v>198</v>
      </c>
      <c r="R30" s="13" t="s">
        <v>199</v>
      </c>
      <c r="S30" s="13" t="s">
        <v>193</v>
      </c>
      <c r="T30" s="13" t="s">
        <v>93</v>
      </c>
      <c r="U30" s="14">
        <v>40725</v>
      </c>
      <c r="V30" s="14"/>
      <c r="W30" s="15" t="s">
        <v>200</v>
      </c>
      <c r="X30" s="13" t="s">
        <v>201</v>
      </c>
      <c r="Y30" s="15" t="str">
        <f>VLOOKUP(X30,'Axe 2 Règles de gestion'!$D$2:$F$84,3, FALSE)</f>
        <v>L'agent doit être employé de manière continue et avoir accompli au moins 1 année de service au sein du ministère de la Défense ou de ses établissements publics.</v>
      </c>
      <c r="Z30" s="13" t="s">
        <v>203</v>
      </c>
      <c r="AA30" s="15" t="str">
        <f>VLOOKUP(Z30,'Axe 2 Règles de gestion'!$D$2:$F$84,3, FALSE)</f>
        <v>L'agent demande l'ouverture d'un compte épargne-temps auprès du service gestionnaire.</v>
      </c>
      <c r="AB30" s="13" t="s">
        <v>204</v>
      </c>
      <c r="AC30" s="15" t="str">
        <f>VLOOKUP(AB30,'Axe 2 Règles de gestion'!$D$2:$F$84,3, FALSE)</f>
        <v>Une instruction du ministre de la Défense détermine, dans le respect de l'intérêt du service, les règles d'ouverture, de fonctionnement, de gestion et de fermeture du compte épargne-temps, ainsi que les modalités de son utilisation par l'agent.</v>
      </c>
      <c r="AD30" s="13"/>
      <c r="AE30" s="15"/>
      <c r="AF30" s="13"/>
      <c r="AG30" s="15"/>
      <c r="AH30" s="13"/>
      <c r="AI30" s="15"/>
      <c r="AJ30" s="13"/>
      <c r="AK30" s="15"/>
      <c r="AL30" s="13" t="s">
        <v>206</v>
      </c>
      <c r="AM30" s="15" t="str">
        <f>VLOOKUP(AL30,'Axe 2 Règles de gestion'!$D$2:$F$84,3, FALSE)</f>
        <v>Le nombre de jours maximum du compteur global doit être inférieur ou égal à 60 jours à l'issue de l'exercice du droit d'option.</v>
      </c>
      <c r="AN30" s="13"/>
      <c r="AO30" s="15"/>
      <c r="AP30" s="13"/>
      <c r="AQ30" s="15"/>
      <c r="AR30" s="13"/>
      <c r="AS30" s="15"/>
      <c r="AT30" s="13"/>
      <c r="AU30" s="15"/>
      <c r="AV30" s="13"/>
      <c r="AW30" s="15"/>
      <c r="AX30" s="13"/>
      <c r="AY30" s="15"/>
      <c r="AZ30" s="13"/>
      <c r="BA30" s="15"/>
      <c r="BB30" s="13" t="s">
        <v>105</v>
      </c>
      <c r="BC30" s="15" t="str">
        <f>VLOOKUP(BB30,'Axe 2 Règles de gestion'!$D$2:$F$84,3, FALSE)</f>
        <v>Le nombre de jours de l'opération doit être inférieur ou égal au nombre de jours du compteur global du CET.</v>
      </c>
      <c r="BD30" s="13" t="s">
        <v>107</v>
      </c>
      <c r="BE30" s="15" t="str">
        <f>VLOOKUP(BD30,'Axe 2 Règles de gestion'!$D$2:$F$84,3, FALSE)</f>
        <v>La date de fermeture du CET doit être antérieure ou égale à la date limite de départ en retraite.</v>
      </c>
      <c r="BF30" s="13" t="s">
        <v>109</v>
      </c>
      <c r="BG30" s="15" t="str">
        <f>VLOOKUP(BF30,'Axe 2 Règles de gestion'!$D$2:$F$84,3, FALSE)</f>
        <v>La date de fermeture du CET doit être antérieure ou égale à la date de fin réelle ou prévisionnelle du lien juridique.</v>
      </c>
      <c r="BH30" s="13" t="s">
        <v>111</v>
      </c>
      <c r="BI30" s="15" t="str">
        <f>VLOOKUP(BH30,'Axe 2 Règles de gestion'!$D$2:$F$84,3, FALSE)</f>
        <v>La date d'ouverture du compte épargne temps global doit être postérieure ou égale à la date d'entrée dans le SIRH.</v>
      </c>
      <c r="BJ30" s="13" t="s">
        <v>113</v>
      </c>
      <c r="BK30" s="15" t="str">
        <f>VLOOKUP(BJ30,'Axe 2 Règles de gestion'!$D$2:$F$84,3, FALSE)</f>
        <v>La date d'ouverture du CET doit être renseignée.</v>
      </c>
      <c r="BL30" s="13" t="s">
        <v>115</v>
      </c>
      <c r="BM30" s="15" t="str">
        <f>VLOOKUP(BL30,'Axe 2 Règles de gestion'!$D$2:$F$84,3, FALSE)</f>
        <v>Les champs "Origine", "Nombre de jours de l'opération", "Nombre de jours pour valorisation financière" et "Nombre de jours pour cotisation RAFP" ne doivent pas être renseignés.</v>
      </c>
      <c r="BN30" s="13"/>
      <c r="BO30" s="15"/>
      <c r="BP30" s="13"/>
      <c r="BQ30" s="15"/>
      <c r="BR30" s="13"/>
      <c r="BS30" s="15"/>
      <c r="BT30" s="13"/>
      <c r="BU30" s="15"/>
      <c r="BV30" s="13"/>
      <c r="BW30" s="15"/>
    </row>
    <row r="31" spans="1:75" ht="142.65" x14ac:dyDescent="0.25">
      <c r="A31" s="13" t="s">
        <v>207</v>
      </c>
      <c r="B31" s="13" t="s">
        <v>77</v>
      </c>
      <c r="C31" s="14">
        <v>43633.713888888888</v>
      </c>
      <c r="D31" s="13" t="s">
        <v>78</v>
      </c>
      <c r="E31" s="15" t="s">
        <v>79</v>
      </c>
      <c r="F31" s="13" t="s">
        <v>80</v>
      </c>
      <c r="G31" s="15" t="s">
        <v>81</v>
      </c>
      <c r="H31" s="13" t="s">
        <v>82</v>
      </c>
      <c r="I31" s="15" t="s">
        <v>81</v>
      </c>
      <c r="J31" s="15" t="s">
        <v>83</v>
      </c>
      <c r="K31" s="15" t="s">
        <v>84</v>
      </c>
      <c r="L31" s="13" t="s">
        <v>118</v>
      </c>
      <c r="M31" s="15" t="s">
        <v>119</v>
      </c>
      <c r="N31" s="14" t="s">
        <v>87</v>
      </c>
      <c r="O31" s="15" t="s">
        <v>120</v>
      </c>
      <c r="P31" s="15" t="s">
        <v>121</v>
      </c>
      <c r="Q31" s="15" t="s">
        <v>198</v>
      </c>
      <c r="R31" s="13" t="s">
        <v>199</v>
      </c>
      <c r="S31" s="13" t="s">
        <v>193</v>
      </c>
      <c r="T31" s="13" t="s">
        <v>93</v>
      </c>
      <c r="U31" s="14">
        <v>40725</v>
      </c>
      <c r="V31" s="14">
        <v>43435</v>
      </c>
      <c r="W31" s="15" t="s">
        <v>208</v>
      </c>
      <c r="X31" s="13" t="s">
        <v>201</v>
      </c>
      <c r="Y31" s="15" t="str">
        <f>VLOOKUP(X31,'Axe 2 Règles de gestion'!$D$2:$F$84,3, FALSE)</f>
        <v>L'agent doit être employé de manière continue et avoir accompli au moins 1 année de service au sein du ministère de la Défense ou de ses établissements publics.</v>
      </c>
      <c r="Z31" s="13" t="s">
        <v>203</v>
      </c>
      <c r="AA31" s="15" t="str">
        <f>VLOOKUP(Z31,'Axe 2 Règles de gestion'!$D$2:$F$84,3, FALSE)</f>
        <v>L'agent demande l'ouverture d'un compte épargne-temps auprès du service gestionnaire.</v>
      </c>
      <c r="AB31" s="13" t="s">
        <v>204</v>
      </c>
      <c r="AC31" s="15" t="str">
        <f>VLOOKUP(AB31,'Axe 2 Règles de gestion'!$D$2:$F$84,3, FALSE)</f>
        <v>Une instruction du ministre de la Défense détermine, dans le respect de l'intérêt du service, les règles d'ouverture, de fonctionnement, de gestion et de fermeture du compte épargne-temps, ainsi que les modalités de son utilisation par l'agent.</v>
      </c>
      <c r="AD31" s="13" t="s">
        <v>123</v>
      </c>
      <c r="AE31" s="15" t="str">
        <f>VLOOKUP(AD31,'Axe 2 Règles de gestion'!$D$2:$F$84,3, FALSE)</f>
        <v>L'agent exerce son droit d'option au plus tard le 31 janvier de l'année suivant la période de référence de l'épargne.</v>
      </c>
      <c r="AF31" s="13" t="s">
        <v>178</v>
      </c>
      <c r="AG31" s="15" t="str">
        <f>VLOOKUP(AF31,'Axe 2 Règles de gestion'!$D$2:$F$84,3, FALSE)</f>
        <v>L'agent indique au service gestionnaire son choix entre maintien sur le compte en vue de congés et indemnisation, surtout s'il souhaite conserver ces jours sur son compte épargne-temps.</v>
      </c>
      <c r="AH31" s="13" t="s">
        <v>180</v>
      </c>
      <c r="AI31" s="15" t="str">
        <f>VLOOKUP(AH31,'Axe 2 Règles de gestion'!$D$2:$F$84,3, FALSE)</f>
        <v>En l'absence d'exercice d'une option par l'agent, les jours au-delà de 15 sont automatiquement indemnisés.</v>
      </c>
      <c r="AJ31" s="13" t="s">
        <v>209</v>
      </c>
      <c r="AK31" s="15" t="str">
        <f>VLOOKUP(AJ31,'Axe 2 Règles de gestion'!$D$2:$F$84,3, FALSE)</f>
        <v>La demande d'utilisation du compte épargne-temps de l'agent doit être déposée auprès du service gestionnaire dans un délai de 2 mois avant un congé d'au plus 40 jours ouvrés pris en continu et dans un délai de 4 mois s'il est d'une plus longue durée.</v>
      </c>
      <c r="AL31" s="13" t="s">
        <v>206</v>
      </c>
      <c r="AM31" s="15" t="str">
        <f>VLOOKUP(AL31,'Axe 2 Règles de gestion'!$D$2:$F$84,3, FALSE)</f>
        <v>Le nombre de jours maximum du compteur global doit être inférieur ou égal à 60 jours à l'issue de l'exercice du droit d'option.</v>
      </c>
      <c r="AN31" s="13" t="s">
        <v>211</v>
      </c>
      <c r="AO31" s="15" t="str">
        <f>VLOOKUP(AN31,'Axe 2 Règles de gestion'!$D$2:$F$84,3, FALSE)</f>
        <v>La différence entre le nombre de jours du compteur global du CET et le nombre de jours pour valorisation financière doit être strictement supérieure à 20 jours.</v>
      </c>
      <c r="AP31" s="13"/>
      <c r="AQ31" s="15"/>
      <c r="AR31" s="13"/>
      <c r="AS31" s="15"/>
      <c r="AT31" s="13"/>
      <c r="AU31" s="15"/>
      <c r="AV31" s="13"/>
      <c r="AW31" s="15"/>
      <c r="AX31" s="13"/>
      <c r="AY31" s="15"/>
      <c r="AZ31" s="13"/>
      <c r="BA31" s="15"/>
      <c r="BB31" s="13" t="s">
        <v>105</v>
      </c>
      <c r="BC31" s="15" t="str">
        <f>VLOOKUP(BB31,'Axe 2 Règles de gestion'!$D$2:$F$84,3, FALSE)</f>
        <v>Le nombre de jours de l'opération doit être inférieur ou égal au nombre de jours du compteur global du CET.</v>
      </c>
      <c r="BD31" s="13" t="s">
        <v>107</v>
      </c>
      <c r="BE31" s="15" t="str">
        <f>VLOOKUP(BD31,'Axe 2 Règles de gestion'!$D$2:$F$84,3, FALSE)</f>
        <v>La date de fermeture du CET doit être antérieure ou égale à la date limite de départ en retraite.</v>
      </c>
      <c r="BF31" s="13" t="s">
        <v>109</v>
      </c>
      <c r="BG31" s="15" t="str">
        <f>VLOOKUP(BF31,'Axe 2 Règles de gestion'!$D$2:$F$84,3, FALSE)</f>
        <v>La date de fermeture du CET doit être antérieure ou égale à la date de fin réelle ou prévisionnelle du lien juridique.</v>
      </c>
      <c r="BH31" s="13" t="s">
        <v>111</v>
      </c>
      <c r="BI31" s="15" t="str">
        <f>VLOOKUP(BH31,'Axe 2 Règles de gestion'!$D$2:$F$84,3, FALSE)</f>
        <v>La date d'ouverture du compte épargne temps global doit être postérieure ou égale à la date d'entrée dans le SIRH.</v>
      </c>
      <c r="BJ31" s="13" t="s">
        <v>113</v>
      </c>
      <c r="BK31" s="15" t="str">
        <f>VLOOKUP(BJ31,'Axe 2 Règles de gestion'!$D$2:$F$84,3, FALSE)</f>
        <v>La date d'ouverture du CET doit être renseignée.</v>
      </c>
      <c r="BL31" s="13" t="s">
        <v>182</v>
      </c>
      <c r="BM31" s="15" t="str">
        <f>VLOOKUP(BL31,'Axe 2 Règles de gestion'!$D$2:$F$84,3, FALSE)</f>
        <v>Lorsque le sens de l'opération est égal à "consommé", le nombre de jours pour la cotisation RAFP n'est pas à renseigner.</v>
      </c>
      <c r="BN31" s="13" t="s">
        <v>133</v>
      </c>
      <c r="BO31" s="15" t="str">
        <f>VLOOKUP(BN31,'Axe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31" s="13" t="s">
        <v>135</v>
      </c>
      <c r="BQ31" s="15" t="str">
        <f>VLOOKUP(BP31,'Axe 2 Règles de gestion'!$D$2:$F$84,3, FALSE)</f>
        <v>Lorsque le sens de l'opération est égal à "consommé", l'origine des jours n'est pas à renseigner.</v>
      </c>
      <c r="BR31" s="13"/>
      <c r="BS31" s="15"/>
      <c r="BT31" s="13"/>
      <c r="BU31" s="15"/>
      <c r="BV31" s="13"/>
      <c r="BW31" s="15"/>
    </row>
    <row r="32" spans="1:75" ht="142.65" x14ac:dyDescent="0.25">
      <c r="A32" s="13" t="s">
        <v>207</v>
      </c>
      <c r="B32" s="13" t="s">
        <v>77</v>
      </c>
      <c r="C32" s="14">
        <v>43633.714583333334</v>
      </c>
      <c r="D32" s="13" t="s">
        <v>78</v>
      </c>
      <c r="E32" s="15" t="s">
        <v>79</v>
      </c>
      <c r="F32" s="13" t="s">
        <v>80</v>
      </c>
      <c r="G32" s="15" t="s">
        <v>81</v>
      </c>
      <c r="H32" s="13" t="s">
        <v>82</v>
      </c>
      <c r="I32" s="15" t="s">
        <v>81</v>
      </c>
      <c r="J32" s="15" t="s">
        <v>83</v>
      </c>
      <c r="K32" s="15" t="s">
        <v>84</v>
      </c>
      <c r="L32" s="13" t="s">
        <v>118</v>
      </c>
      <c r="M32" s="15" t="s">
        <v>119</v>
      </c>
      <c r="N32" s="14" t="s">
        <v>87</v>
      </c>
      <c r="O32" s="15" t="s">
        <v>120</v>
      </c>
      <c r="P32" s="15" t="s">
        <v>121</v>
      </c>
      <c r="Q32" s="15" t="s">
        <v>198</v>
      </c>
      <c r="R32" s="13" t="s">
        <v>199</v>
      </c>
      <c r="S32" s="13" t="s">
        <v>193</v>
      </c>
      <c r="T32" s="13" t="s">
        <v>93</v>
      </c>
      <c r="U32" s="14">
        <v>43436</v>
      </c>
      <c r="V32" s="14"/>
      <c r="W32" s="15" t="s">
        <v>212</v>
      </c>
      <c r="X32" s="13" t="s">
        <v>201</v>
      </c>
      <c r="Y32" s="15" t="str">
        <f>VLOOKUP(X32,'Axe 2 Règles de gestion'!$D$2:$F$84,3, FALSE)</f>
        <v>L'agent doit être employé de manière continue et avoir accompli au moins 1 année de service au sein du ministère de la Défense ou de ses établissements publics.</v>
      </c>
      <c r="Z32" s="13" t="s">
        <v>203</v>
      </c>
      <c r="AA32" s="15" t="str">
        <f>VLOOKUP(Z32,'Axe 2 Règles de gestion'!$D$2:$F$84,3, FALSE)</f>
        <v>L'agent demande l'ouverture d'un compte épargne-temps auprès du service gestionnaire.</v>
      </c>
      <c r="AB32" s="13" t="s">
        <v>204</v>
      </c>
      <c r="AC32" s="15" t="str">
        <f>VLOOKUP(AB32,'Axe 2 Règles de gestion'!$D$2:$F$84,3, FALSE)</f>
        <v>Une instruction du ministre de la Défense détermine, dans le respect de l'intérêt du service, les règles d'ouverture, de fonctionnement, de gestion et de fermeture du compte épargne-temps, ainsi que les modalités de son utilisation par l'agent.</v>
      </c>
      <c r="AD32" s="13" t="s">
        <v>123</v>
      </c>
      <c r="AE32" s="15" t="str">
        <f>VLOOKUP(AD32,'Axe 2 Règles de gestion'!$D$2:$F$84,3, FALSE)</f>
        <v>L'agent exerce son droit d'option au plus tard le 31 janvier de l'année suivant la période de référence de l'épargne.</v>
      </c>
      <c r="AF32" s="13" t="s">
        <v>178</v>
      </c>
      <c r="AG32" s="15" t="str">
        <f>VLOOKUP(AF32,'Axe 2 Règles de gestion'!$D$2:$F$84,3, FALSE)</f>
        <v>L'agent indique au service gestionnaire son choix entre maintien sur le compte en vue de congés et indemnisation, surtout s'il souhaite conserver ces jours sur son compte épargne-temps.</v>
      </c>
      <c r="AH32" s="13" t="s">
        <v>180</v>
      </c>
      <c r="AI32" s="15" t="str">
        <f>VLOOKUP(AH32,'Axe 2 Règles de gestion'!$D$2:$F$84,3, FALSE)</f>
        <v>En l'absence d'exercice d'une option par l'agent, les jours au-delà de 15 sont automatiquement indemnisés.</v>
      </c>
      <c r="AJ32" s="13" t="s">
        <v>209</v>
      </c>
      <c r="AK32" s="15" t="str">
        <f>VLOOKUP(AJ32,'Axe 2 Règles de gestion'!$D$2:$F$84,3, FALSE)</f>
        <v>La demande d'utilisation du compte épargne-temps de l'agent doit être déposée auprès du service gestionnaire dans un délai de 2 mois avant un congé d'au plus 40 jours ouvrés pris en continu et dans un délai de 4 mois s'il est d'une plus longue durée.</v>
      </c>
      <c r="AL32" s="13" t="s">
        <v>206</v>
      </c>
      <c r="AM32" s="15" t="str">
        <f>VLOOKUP(AL32,'Axe 2 Règles de gestion'!$D$2:$F$84,3, FALSE)</f>
        <v>Le nombre de jours maximum du compteur global doit être inférieur ou égal à 60 jours à l'issue de l'exercice du droit d'option.</v>
      </c>
      <c r="AN32" s="13" t="s">
        <v>213</v>
      </c>
      <c r="AO32" s="15" t="str">
        <f>VLOOKUP(AN32,'Axe 2 Règles de gestion'!$D$2:$F$84,3, FALSE)</f>
        <v>La différence entre le nombre de jours du compteur global du CET et le nombre de jours pour valorisation financière doit être strictement supérieure à 15 jours.</v>
      </c>
      <c r="AP32" s="13"/>
      <c r="AQ32" s="15"/>
      <c r="AR32" s="13"/>
      <c r="AS32" s="15"/>
      <c r="AT32" s="13"/>
      <c r="AU32" s="15"/>
      <c r="AV32" s="13"/>
      <c r="AW32" s="15"/>
      <c r="AX32" s="13"/>
      <c r="AY32" s="15"/>
      <c r="AZ32" s="13"/>
      <c r="BA32" s="15"/>
      <c r="BB32" s="13" t="s">
        <v>105</v>
      </c>
      <c r="BC32" s="15" t="str">
        <f>VLOOKUP(BB32,'Axe 2 Règles de gestion'!$D$2:$F$84,3, FALSE)</f>
        <v>Le nombre de jours de l'opération doit être inférieur ou égal au nombre de jours du compteur global du CET.</v>
      </c>
      <c r="BD32" s="13" t="s">
        <v>107</v>
      </c>
      <c r="BE32" s="15" t="str">
        <f>VLOOKUP(BD32,'Axe 2 Règles de gestion'!$D$2:$F$84,3, FALSE)</f>
        <v>La date de fermeture du CET doit être antérieure ou égale à la date limite de départ en retraite.</v>
      </c>
      <c r="BF32" s="13" t="s">
        <v>109</v>
      </c>
      <c r="BG32" s="15" t="str">
        <f>VLOOKUP(BF32,'Axe 2 Règles de gestion'!$D$2:$F$84,3, FALSE)</f>
        <v>La date de fermeture du CET doit être antérieure ou égale à la date de fin réelle ou prévisionnelle du lien juridique.</v>
      </c>
      <c r="BH32" s="13" t="s">
        <v>111</v>
      </c>
      <c r="BI32" s="15" t="str">
        <f>VLOOKUP(BH32,'Axe 2 Règles de gestion'!$D$2:$F$84,3, FALSE)</f>
        <v>La date d'ouverture du compte épargne temps global doit être postérieure ou égale à la date d'entrée dans le SIRH.</v>
      </c>
      <c r="BJ32" s="13" t="s">
        <v>113</v>
      </c>
      <c r="BK32" s="15" t="str">
        <f>VLOOKUP(BJ32,'Axe 2 Règles de gestion'!$D$2:$F$84,3, FALSE)</f>
        <v>La date d'ouverture du CET doit être renseignée.</v>
      </c>
      <c r="BL32" s="13" t="s">
        <v>182</v>
      </c>
      <c r="BM32" s="15" t="str">
        <f>VLOOKUP(BL32,'Axe 2 Règles de gestion'!$D$2:$F$84,3, FALSE)</f>
        <v>Lorsque le sens de l'opération est égal à "consommé", le nombre de jours pour la cotisation RAFP n'est pas à renseigner.</v>
      </c>
      <c r="BN32" s="13" t="s">
        <v>133</v>
      </c>
      <c r="BO32" s="15" t="str">
        <f>VLOOKUP(BN32,'Axe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32" s="13" t="s">
        <v>135</v>
      </c>
      <c r="BQ32" s="15" t="str">
        <f>VLOOKUP(BP32,'Axe 2 Règles de gestion'!$D$2:$F$84,3, FALSE)</f>
        <v>Lorsque le sens de l'opération est égal à "consommé", l'origine des jours n'est pas à renseigner.</v>
      </c>
      <c r="BR32" s="13"/>
      <c r="BS32" s="15"/>
      <c r="BT32" s="13"/>
      <c r="BU32" s="15"/>
      <c r="BV32" s="13"/>
      <c r="BW32" s="15"/>
    </row>
    <row r="33" spans="1:75" ht="156.9" x14ac:dyDescent="0.25">
      <c r="A33" s="13" t="s">
        <v>142</v>
      </c>
      <c r="B33" s="13" t="s">
        <v>77</v>
      </c>
      <c r="C33" s="14">
        <v>43509.739583333336</v>
      </c>
      <c r="D33" s="13" t="s">
        <v>78</v>
      </c>
      <c r="E33" s="15" t="s">
        <v>79</v>
      </c>
      <c r="F33" s="13" t="s">
        <v>80</v>
      </c>
      <c r="G33" s="15" t="s">
        <v>81</v>
      </c>
      <c r="H33" s="13" t="s">
        <v>82</v>
      </c>
      <c r="I33" s="15" t="s">
        <v>81</v>
      </c>
      <c r="J33" s="15" t="s">
        <v>83</v>
      </c>
      <c r="K33" s="15" t="s">
        <v>84</v>
      </c>
      <c r="L33" s="13" t="s">
        <v>143</v>
      </c>
      <c r="M33" s="15" t="s">
        <v>144</v>
      </c>
      <c r="N33" s="14" t="s">
        <v>87</v>
      </c>
      <c r="O33" s="15" t="s">
        <v>145</v>
      </c>
      <c r="P33" s="15" t="s">
        <v>146</v>
      </c>
      <c r="Q33" s="15" t="s">
        <v>198</v>
      </c>
      <c r="R33" s="13" t="s">
        <v>199</v>
      </c>
      <c r="S33" s="13" t="s">
        <v>193</v>
      </c>
      <c r="T33" s="13" t="s">
        <v>93</v>
      </c>
      <c r="U33" s="14">
        <v>40725</v>
      </c>
      <c r="V33" s="14">
        <v>43435</v>
      </c>
      <c r="W33" s="15" t="s">
        <v>214</v>
      </c>
      <c r="X33" s="13" t="s">
        <v>201</v>
      </c>
      <c r="Y33" s="15" t="str">
        <f>VLOOKUP(X33,'Axe 2 Règles de gestion'!$D$2:$F$84,3, FALSE)</f>
        <v>L'agent doit être employé de manière continue et avoir accompli au moins 1 année de service au sein du ministère de la Défense ou de ses établissements publics.</v>
      </c>
      <c r="Z33" s="13" t="s">
        <v>203</v>
      </c>
      <c r="AA33" s="15" t="str">
        <f>VLOOKUP(Z33,'Axe 2 Règles de gestion'!$D$2:$F$84,3, FALSE)</f>
        <v>L'agent demande l'ouverture d'un compte épargne-temps auprès du service gestionnaire.</v>
      </c>
      <c r="AB33" s="13" t="s">
        <v>204</v>
      </c>
      <c r="AC33" s="15" t="str">
        <f>VLOOKUP(AB33,'Axe 2 Règles de gestion'!$D$2:$F$84,3, FALSE)</f>
        <v>Une instruction du ministre de la Défense détermine, dans le respect de l'intérêt du service, les règles d'ouverture, de fonctionnement, de gestion et de fermeture du compte épargne-temps, ainsi que les modalités de son utilisation par l'agent.</v>
      </c>
      <c r="AD33" s="13" t="s">
        <v>215</v>
      </c>
      <c r="AE33" s="15" t="str">
        <f>VLOOKUP(AD33,'Axe 2 Règles de gestion'!$D$2:$F$84,3, FALSE)</f>
        <v>L'agent demande au service gestionnaire l'alimentation de son compte épargne-temps avant le 31 décembre de l'année en cours.</v>
      </c>
      <c r="AF33" s="13"/>
      <c r="AG33" s="15"/>
      <c r="AH33" s="13"/>
      <c r="AI33" s="15"/>
      <c r="AJ33" s="13"/>
      <c r="AK33" s="15"/>
      <c r="AL33" s="13" t="s">
        <v>217</v>
      </c>
      <c r="AM33" s="15" t="str">
        <f>VLOOKUP(AL33,'Axe 2 Règles de gestion'!$D$2:$F$84,3, FALSE)</f>
        <v>Le CET est alimenté par le report de jours de réduction du temps de travail (ARTT), par le report de congés annuels, le report des jours de repos compensateur et/ou le report d'une partie des congés de fin de séjour pour les ouvriers de l'Etat mutés dans les DOM, les TOM ou à l'étranger.</v>
      </c>
      <c r="AN33" s="13" t="s">
        <v>206</v>
      </c>
      <c r="AO33" s="15" t="str">
        <f>VLOOKUP(AN33,'Axe 2 Règles de gestion'!$D$2:$F$84,3, FALSE)</f>
        <v>Le nombre de jours maximum du compteur global doit être inférieur ou égal à 60 jours à l'issue de l'exercice du droit d'option.</v>
      </c>
      <c r="AP33" s="13" t="s">
        <v>219</v>
      </c>
      <c r="AQ33" s="15" t="str">
        <f>VLOOKUP(AP33,'Axe 2 Règles de gestion'!$D$2:$F$84,3, FALSE)</f>
        <v>Le nombre de jours de congés pris dans l'année doit être supérieur ou égal à 20 jours.</v>
      </c>
      <c r="AR33" s="13" t="s">
        <v>220</v>
      </c>
      <c r="AS33" s="15" t="str">
        <f>VLOOKUP(AR33,'Axe 2 Règles de gestion'!$D$2:$F$84,3, FALSE)</f>
        <v>Si le compte épargne global est supérieur ou égal à 20 jours et le sens de l'opération est égal à "versé" alors le nombre de jours de l'opération conservés en congés doit être inférieur ou égal à 10 jours.</v>
      </c>
      <c r="AT33" s="13" t="s">
        <v>221</v>
      </c>
      <c r="AU33" s="15" t="str">
        <f>VLOOKUP(AT33,'Axe 2 Règles de gestion'!$D$2:$F$84,3, FALSE)</f>
        <v>Si le compteur global du CET est inférieur à 20 jours et le sens de l'opération est égal à "versé" alors le nombre de jours du compteur global du CET après saisie doit être inférieur ou égal à 30 jours.</v>
      </c>
      <c r="AV33" s="13"/>
      <c r="AW33" s="15"/>
      <c r="AX33" s="13"/>
      <c r="AY33" s="15"/>
      <c r="AZ33" s="13"/>
      <c r="BA33" s="15"/>
      <c r="BB33" s="13" t="s">
        <v>105</v>
      </c>
      <c r="BC33" s="15" t="str">
        <f>VLOOKUP(BB33,'Axe 2 Règles de gestion'!$D$2:$F$84,3, FALSE)</f>
        <v>Le nombre de jours de l'opération doit être inférieur ou égal au nombre de jours du compteur global du CET.</v>
      </c>
      <c r="BD33" s="13" t="s">
        <v>107</v>
      </c>
      <c r="BE33" s="15" t="str">
        <f>VLOOKUP(BD33,'Axe 2 Règles de gestion'!$D$2:$F$84,3, FALSE)</f>
        <v>La date de fermeture du CET doit être antérieure ou égale à la date limite de départ en retraite.</v>
      </c>
      <c r="BF33" s="13" t="s">
        <v>109</v>
      </c>
      <c r="BG33" s="15" t="str">
        <f>VLOOKUP(BF33,'Axe 2 Règles de gestion'!$D$2:$F$84,3, FALSE)</f>
        <v>La date de fermeture du CET doit être antérieure ou égale à la date de fin réelle ou prévisionnelle du lien juridique.</v>
      </c>
      <c r="BH33" s="13" t="s">
        <v>111</v>
      </c>
      <c r="BI33" s="15" t="str">
        <f>VLOOKUP(BH33,'Axe 2 Règles de gestion'!$D$2:$F$84,3, FALSE)</f>
        <v>La date d'ouverture du compte épargne temps global doit être postérieure ou égale à la date d'entrée dans le SIRH.</v>
      </c>
      <c r="BJ33" s="13" t="s">
        <v>113</v>
      </c>
      <c r="BK33" s="15" t="str">
        <f>VLOOKUP(BJ33,'Axe 2 Règles de gestion'!$D$2:$F$84,3, FALSE)</f>
        <v>La date d'ouverture du CET doit être renseignée.</v>
      </c>
      <c r="BL33" s="13" t="s">
        <v>163</v>
      </c>
      <c r="BM33" s="15" t="str">
        <f>VLOOKUP(BL33,'Axe 2 Règles de gestion'!$D$2:$F$84,3, FALSE)</f>
        <v>Lorsque le sens de l'opération est à "Versé", le compteur global saisi est égal au compteur global de l'occurrence précédente auquel sont ajoutés les jours versés.</v>
      </c>
      <c r="BN33" s="13" t="s">
        <v>165</v>
      </c>
      <c r="BO33" s="15" t="str">
        <f>VLOOKUP(BN33,'Axe 2 Règles de gestion'!$D$2:$F$84,3, FALSE)</f>
        <v>Lorsque le sens de l'opération est égal à "versé", le nombre de jours pour valorisation financière et le nombre de jours pour cotisation RAFP ne doivent pas être renseignés.</v>
      </c>
      <c r="BP33" s="13"/>
      <c r="BQ33" s="15"/>
      <c r="BR33" s="13"/>
      <c r="BS33" s="15"/>
      <c r="BT33" s="13"/>
      <c r="BU33" s="15"/>
      <c r="BV33" s="13"/>
      <c r="BW33" s="15"/>
    </row>
    <row r="34" spans="1:75" ht="156.9" x14ac:dyDescent="0.25">
      <c r="A34" s="13" t="s">
        <v>142</v>
      </c>
      <c r="B34" s="13" t="s">
        <v>222</v>
      </c>
      <c r="C34" s="14">
        <v>43509.740277777775</v>
      </c>
      <c r="D34" s="13" t="s">
        <v>78</v>
      </c>
      <c r="E34" s="15" t="s">
        <v>79</v>
      </c>
      <c r="F34" s="13" t="s">
        <v>80</v>
      </c>
      <c r="G34" s="15" t="s">
        <v>81</v>
      </c>
      <c r="H34" s="13" t="s">
        <v>82</v>
      </c>
      <c r="I34" s="15" t="s">
        <v>81</v>
      </c>
      <c r="J34" s="15" t="s">
        <v>83</v>
      </c>
      <c r="K34" s="15" t="s">
        <v>84</v>
      </c>
      <c r="L34" s="13" t="s">
        <v>143</v>
      </c>
      <c r="M34" s="15" t="s">
        <v>144</v>
      </c>
      <c r="N34" s="14" t="s">
        <v>87</v>
      </c>
      <c r="O34" s="15" t="s">
        <v>145</v>
      </c>
      <c r="P34" s="15" t="s">
        <v>146</v>
      </c>
      <c r="Q34" s="15" t="s">
        <v>198</v>
      </c>
      <c r="R34" s="13" t="s">
        <v>199</v>
      </c>
      <c r="S34" s="13" t="s">
        <v>193</v>
      </c>
      <c r="T34" s="13" t="s">
        <v>93</v>
      </c>
      <c r="U34" s="14">
        <v>43436</v>
      </c>
      <c r="V34" s="14"/>
      <c r="W34" s="15" t="s">
        <v>223</v>
      </c>
      <c r="X34" s="13" t="s">
        <v>201</v>
      </c>
      <c r="Y34" s="15" t="str">
        <f>VLOOKUP(X34,'Axe 2 Règles de gestion'!$D$2:$F$84,3, FALSE)</f>
        <v>L'agent doit être employé de manière continue et avoir accompli au moins 1 année de service au sein du ministère de la Défense ou de ses établissements publics.</v>
      </c>
      <c r="Z34" s="13" t="s">
        <v>203</v>
      </c>
      <c r="AA34" s="15" t="str">
        <f>VLOOKUP(Z34,'Axe 2 Règles de gestion'!$D$2:$F$84,3, FALSE)</f>
        <v>L'agent demande l'ouverture d'un compte épargne-temps auprès du service gestionnaire.</v>
      </c>
      <c r="AB34" s="13" t="s">
        <v>204</v>
      </c>
      <c r="AC34" s="15" t="str">
        <f>VLOOKUP(AB34,'Axe 2 Règles de gestion'!$D$2:$F$84,3, FALSE)</f>
        <v>Une instruction du ministre de la Défense détermine, dans le respect de l'intérêt du service, les règles d'ouverture, de fonctionnement, de gestion et de fermeture du compte épargne-temps, ainsi que les modalités de son utilisation par l'agent.</v>
      </c>
      <c r="AD34" s="13" t="s">
        <v>215</v>
      </c>
      <c r="AE34" s="15" t="str">
        <f>VLOOKUP(AD34,'Axe 2 Règles de gestion'!$D$2:$F$84,3, FALSE)</f>
        <v>L'agent demande au service gestionnaire l'alimentation de son compte épargne-temps avant le 31 décembre de l'année en cours.</v>
      </c>
      <c r="AF34" s="13"/>
      <c r="AG34" s="15"/>
      <c r="AH34" s="13"/>
      <c r="AI34" s="15"/>
      <c r="AJ34" s="13"/>
      <c r="AK34" s="15"/>
      <c r="AL34" s="13" t="s">
        <v>217</v>
      </c>
      <c r="AM34" s="15" t="str">
        <f>VLOOKUP(AL34,'Axe 2 Règles de gestion'!$D$2:$F$84,3, FALSE)</f>
        <v>Le CET est alimenté par le report de jours de réduction du temps de travail (ARTT), par le report de congés annuels, le report des jours de repos compensateur et/ou le report d'une partie des congés de fin de séjour pour les ouvriers de l'Etat mutés dans les DOM, les TOM ou à l'étranger.</v>
      </c>
      <c r="AN34" s="13" t="s">
        <v>206</v>
      </c>
      <c r="AO34" s="15" t="str">
        <f>VLOOKUP(AN34,'Axe 2 Règles de gestion'!$D$2:$F$84,3, FALSE)</f>
        <v>Le nombre de jours maximum du compteur global doit être inférieur ou égal à 60 jours à l'issue de l'exercice du droit d'option.</v>
      </c>
      <c r="AP34" s="13" t="s">
        <v>219</v>
      </c>
      <c r="AQ34" s="15" t="str">
        <f>VLOOKUP(AP34,'Axe 2 Règles de gestion'!$D$2:$F$84,3, FALSE)</f>
        <v>Le nombre de jours de congés pris dans l'année doit être supérieur ou égal à 20 jours.</v>
      </c>
      <c r="AR34" s="13" t="s">
        <v>224</v>
      </c>
      <c r="AS34" s="15" t="str">
        <f>VLOOKUP(AR34,'Axe 2 Règles de gestion'!$D$2:$F$84,3, FALSE)</f>
        <v>Si le compte épargne global est supérieur ou égal à 15 jours et le sens de l'opération est égal à "versé" alors le nombre de jours de l'opération conservés en congés doit être inférieur ou égal à 10 jours.</v>
      </c>
      <c r="AT34" s="13" t="s">
        <v>225</v>
      </c>
      <c r="AU34" s="15" t="str">
        <f>VLOOKUP(AT34,'Axe 2 Règles de gestion'!$D$2:$F$84,3, FALSE)</f>
        <v>Si le compteur global du CET est inférieur à 15 jours et le sens de l'opération est égal à "versé" alors le nombre de jours du compteur global du CET après saisie doit être inférieur ou égal à 25 jours.</v>
      </c>
      <c r="AV34" s="13"/>
      <c r="AW34" s="15"/>
      <c r="AX34" s="13"/>
      <c r="AY34" s="15"/>
      <c r="AZ34" s="13"/>
      <c r="BA34" s="15"/>
      <c r="BB34" s="13" t="s">
        <v>105</v>
      </c>
      <c r="BC34" s="15" t="str">
        <f>VLOOKUP(BB34,'Axe 2 Règles de gestion'!$D$2:$F$84,3, FALSE)</f>
        <v>Le nombre de jours de l'opération doit être inférieur ou égal au nombre de jours du compteur global du CET.</v>
      </c>
      <c r="BD34" s="13" t="s">
        <v>107</v>
      </c>
      <c r="BE34" s="15" t="str">
        <f>VLOOKUP(BD34,'Axe 2 Règles de gestion'!$D$2:$F$84,3, FALSE)</f>
        <v>La date de fermeture du CET doit être antérieure ou égale à la date limite de départ en retraite.</v>
      </c>
      <c r="BF34" s="13" t="s">
        <v>109</v>
      </c>
      <c r="BG34" s="15" t="str">
        <f>VLOOKUP(BF34,'Axe 2 Règles de gestion'!$D$2:$F$84,3, FALSE)</f>
        <v>La date de fermeture du CET doit être antérieure ou égale à la date de fin réelle ou prévisionnelle du lien juridique.</v>
      </c>
      <c r="BH34" s="13" t="s">
        <v>111</v>
      </c>
      <c r="BI34" s="15" t="str">
        <f>VLOOKUP(BH34,'Axe 2 Règles de gestion'!$D$2:$F$84,3, FALSE)</f>
        <v>La date d'ouverture du compte épargne temps global doit être postérieure ou égale à la date d'entrée dans le SIRH.</v>
      </c>
      <c r="BJ34" s="13" t="s">
        <v>113</v>
      </c>
      <c r="BK34" s="15" t="str">
        <f>VLOOKUP(BJ34,'Axe 2 Règles de gestion'!$D$2:$F$84,3, FALSE)</f>
        <v>La date d'ouverture du CET doit être renseignée.</v>
      </c>
      <c r="BL34" s="13" t="s">
        <v>163</v>
      </c>
      <c r="BM34" s="15" t="str">
        <f>VLOOKUP(BL34,'Axe 2 Règles de gestion'!$D$2:$F$84,3, FALSE)</f>
        <v>Lorsque le sens de l'opération est à "Versé", le compteur global saisi est égal au compteur global de l'occurrence précédente auquel sont ajoutés les jours versés.</v>
      </c>
      <c r="BN34" s="13" t="s">
        <v>165</v>
      </c>
      <c r="BO34" s="15" t="str">
        <f>VLOOKUP(BN34,'Axe 2 Règles de gestion'!$D$2:$F$84,3, FALSE)</f>
        <v>Lorsque le sens de l'opération est égal à "versé", le nombre de jours pour valorisation financière et le nombre de jours pour cotisation RAFP ne doivent pas être renseignés.</v>
      </c>
      <c r="BP34" s="13"/>
      <c r="BQ34" s="15"/>
      <c r="BR34" s="13"/>
      <c r="BS34" s="15"/>
      <c r="BT34" s="13"/>
      <c r="BU34" s="15"/>
      <c r="BV34" s="13"/>
      <c r="BW34" s="15"/>
    </row>
    <row r="35" spans="1:75" ht="128.4" x14ac:dyDescent="0.25">
      <c r="A35" s="13" t="s">
        <v>117</v>
      </c>
      <c r="B35" s="13" t="s">
        <v>77</v>
      </c>
      <c r="C35" s="14">
        <v>44053.427083333336</v>
      </c>
      <c r="D35" s="13" t="s">
        <v>78</v>
      </c>
      <c r="E35" s="15" t="s">
        <v>79</v>
      </c>
      <c r="F35" s="13" t="s">
        <v>80</v>
      </c>
      <c r="G35" s="15" t="s">
        <v>81</v>
      </c>
      <c r="H35" s="13" t="s">
        <v>82</v>
      </c>
      <c r="I35" s="15" t="s">
        <v>81</v>
      </c>
      <c r="J35" s="15" t="s">
        <v>83</v>
      </c>
      <c r="K35" s="15" t="s">
        <v>84</v>
      </c>
      <c r="L35" s="13" t="s">
        <v>85</v>
      </c>
      <c r="M35" s="15" t="s">
        <v>86</v>
      </c>
      <c r="N35" s="14" t="s">
        <v>87</v>
      </c>
      <c r="O35" s="15" t="s">
        <v>88</v>
      </c>
      <c r="P35" s="15" t="s">
        <v>89</v>
      </c>
      <c r="Q35" s="15" t="s">
        <v>226</v>
      </c>
      <c r="R35" s="13" t="s">
        <v>227</v>
      </c>
      <c r="S35" s="13" t="s">
        <v>193</v>
      </c>
      <c r="T35" s="13" t="s">
        <v>93</v>
      </c>
      <c r="U35" s="14">
        <v>40725</v>
      </c>
      <c r="V35" s="14"/>
      <c r="W35" s="15" t="s">
        <v>94</v>
      </c>
      <c r="X35" s="13" t="s">
        <v>95</v>
      </c>
      <c r="Y35" s="15" t="str">
        <f>VLOOKUP(X35,'Axe 2 Règles de gestion'!$D$2:$F$84,3, FALSE)</f>
        <v>L'agent doit être employé de manière continue et avoir accompli au moins 1 an de service.</v>
      </c>
      <c r="Z35" s="13" t="s">
        <v>97</v>
      </c>
      <c r="AA35" s="15" t="str">
        <f>VLOOKUP(Z35,'Axe 2 Règles de gestion'!$D$2:$F$84,3, FALSE)</f>
        <v>L'agent demande l'ouverture d'un compte épargne-temps auprès du service gestionnaire.</v>
      </c>
      <c r="AB35" s="13" t="s">
        <v>99</v>
      </c>
      <c r="AC35" s="15" t="str">
        <f>VLOOKUP(AB35,'Axe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35" s="13"/>
      <c r="AE35" s="15"/>
      <c r="AF35" s="13"/>
      <c r="AG35" s="15"/>
      <c r="AH35" s="13"/>
      <c r="AI35" s="15"/>
      <c r="AJ35" s="13"/>
      <c r="AK35" s="15"/>
      <c r="AL35" s="13" t="s">
        <v>101</v>
      </c>
      <c r="AM35" s="15" t="str">
        <f>VLOOKUP(AL35,'Axe 2 Règles de gestion'!$D$2:$F$84,3, FALSE)</f>
        <v>L'agent ne doit pas être soumis à des obligations de service fixées par le statut particulier de son corps ou par un décret commun à plusieurs corps.</v>
      </c>
      <c r="AN35" s="13" t="s">
        <v>103</v>
      </c>
      <c r="AO35" s="15" t="str">
        <f>VLOOKUP(AN35,'Axe 2 Règles de gestion'!$D$2:$F$84,3, FALSE)</f>
        <v>Le nombre de jours maximum du compteur global doit être inférieur ou égal à 60 jours à l'issue de l'exercice du droit d'option.</v>
      </c>
      <c r="AP35" s="13"/>
      <c r="AQ35" s="15"/>
      <c r="AR35" s="13"/>
      <c r="AS35" s="15"/>
      <c r="AT35" s="13"/>
      <c r="AU35" s="15"/>
      <c r="AV35" s="13"/>
      <c r="AW35" s="15"/>
      <c r="AX35" s="13"/>
      <c r="AY35" s="15"/>
      <c r="AZ35" s="13"/>
      <c r="BA35" s="15"/>
      <c r="BB35" s="13" t="s">
        <v>105</v>
      </c>
      <c r="BC35" s="15" t="str">
        <f>VLOOKUP(BB35,'Axe 2 Règles de gestion'!$D$2:$F$84,3, FALSE)</f>
        <v>Le nombre de jours de l'opération doit être inférieur ou égal au nombre de jours du compteur global du CET.</v>
      </c>
      <c r="BD35" s="13" t="s">
        <v>107</v>
      </c>
      <c r="BE35" s="15" t="str">
        <f>VLOOKUP(BD35,'Axe 2 Règles de gestion'!$D$2:$F$84,3, FALSE)</f>
        <v>La date de fermeture du CET doit être antérieure ou égale à la date limite de départ en retraite.</v>
      </c>
      <c r="BF35" s="13" t="s">
        <v>109</v>
      </c>
      <c r="BG35" s="15" t="str">
        <f>VLOOKUP(BF35,'Axe 2 Règles de gestion'!$D$2:$F$84,3, FALSE)</f>
        <v>La date de fermeture du CET doit être antérieure ou égale à la date de fin réelle ou prévisionnelle du lien juridique.</v>
      </c>
      <c r="BH35" s="13" t="s">
        <v>111</v>
      </c>
      <c r="BI35" s="15" t="str">
        <f>VLOOKUP(BH35,'Axe 2 Règles de gestion'!$D$2:$F$84,3, FALSE)</f>
        <v>La date d'ouverture du compte épargne temps global doit être postérieure ou égale à la date d'entrée dans le SIRH.</v>
      </c>
      <c r="BJ35" s="13" t="s">
        <v>113</v>
      </c>
      <c r="BK35" s="15" t="str">
        <f>VLOOKUP(BJ35,'Axe 2 Règles de gestion'!$D$2:$F$84,3, FALSE)</f>
        <v>La date d'ouverture du CET doit être renseignée.</v>
      </c>
      <c r="BL35" s="13" t="s">
        <v>115</v>
      </c>
      <c r="BM35" s="15" t="str">
        <f>VLOOKUP(BL35,'Axe 2 Règles de gestion'!$D$2:$F$84,3, FALSE)</f>
        <v>Les champs "Origine", "Nombre de jours de l'opération", "Nombre de jours pour valorisation financière" et "Nombre de jours pour cotisation RAFP" ne doivent pas être renseignés.</v>
      </c>
      <c r="BN35" s="13"/>
      <c r="BO35" s="15"/>
      <c r="BP35" s="13"/>
      <c r="BQ35" s="15"/>
      <c r="BR35" s="13"/>
      <c r="BS35" s="15"/>
      <c r="BT35" s="13"/>
      <c r="BU35" s="15"/>
      <c r="BV35" s="13"/>
      <c r="BW35" s="15"/>
    </row>
    <row r="36" spans="1:75" ht="142.65" x14ac:dyDescent="0.25">
      <c r="A36" s="13" t="s">
        <v>117</v>
      </c>
      <c r="B36" s="13" t="s">
        <v>77</v>
      </c>
      <c r="C36" s="14">
        <v>44053.459027777775</v>
      </c>
      <c r="D36" s="13" t="s">
        <v>78</v>
      </c>
      <c r="E36" s="15" t="s">
        <v>79</v>
      </c>
      <c r="F36" s="13" t="s">
        <v>80</v>
      </c>
      <c r="G36" s="15" t="s">
        <v>81</v>
      </c>
      <c r="H36" s="13" t="s">
        <v>82</v>
      </c>
      <c r="I36" s="15" t="s">
        <v>81</v>
      </c>
      <c r="J36" s="15" t="s">
        <v>83</v>
      </c>
      <c r="K36" s="15" t="s">
        <v>84</v>
      </c>
      <c r="L36" s="13" t="s">
        <v>118</v>
      </c>
      <c r="M36" s="15" t="s">
        <v>119</v>
      </c>
      <c r="N36" s="14" t="s">
        <v>87</v>
      </c>
      <c r="O36" s="15" t="s">
        <v>120</v>
      </c>
      <c r="P36" s="15" t="s">
        <v>121</v>
      </c>
      <c r="Q36" s="15" t="s">
        <v>226</v>
      </c>
      <c r="R36" s="13" t="s">
        <v>227</v>
      </c>
      <c r="S36" s="13" t="s">
        <v>193</v>
      </c>
      <c r="T36" s="13" t="s">
        <v>93</v>
      </c>
      <c r="U36" s="14">
        <v>40725</v>
      </c>
      <c r="V36" s="14">
        <v>43435</v>
      </c>
      <c r="W36" s="15" t="s">
        <v>228</v>
      </c>
      <c r="X36" s="13" t="s">
        <v>95</v>
      </c>
      <c r="Y36" s="15" t="str">
        <f>VLOOKUP(X36,'Axe 2 Règles de gestion'!$D$2:$F$84,3, FALSE)</f>
        <v>L'agent doit être employé de manière continue et avoir accompli au moins 1 an de service.</v>
      </c>
      <c r="Z36" s="13" t="s">
        <v>97</v>
      </c>
      <c r="AA36" s="15" t="str">
        <f>VLOOKUP(Z36,'Axe 2 Règles de gestion'!$D$2:$F$84,3, FALSE)</f>
        <v>L'agent demande l'ouverture d'un compte épargne-temps auprès du service gestionnaire.</v>
      </c>
      <c r="AB36" s="13" t="s">
        <v>99</v>
      </c>
      <c r="AC36" s="15" t="str">
        <f>VLOOKUP(AB36,'Axe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36" s="13" t="s">
        <v>123</v>
      </c>
      <c r="AE36" s="15" t="str">
        <f>VLOOKUP(AD36,'Axe 2 Règles de gestion'!$D$2:$F$84,3, FALSE)</f>
        <v>L'agent exerce son droit d'option au plus tard le 31 janvier de l'année suivant la période de référence de l'épargne.</v>
      </c>
      <c r="AF36" s="13" t="s">
        <v>178</v>
      </c>
      <c r="AG36" s="15" t="str">
        <f>VLOOKUP(AF36,'Axe 2 Règles de gestion'!$D$2:$F$84,3, FALSE)</f>
        <v>L'agent indique au service gestionnaire son choix entre maintien sur le compte en vue de congés et indemnisation, surtout s'il souhaite conserver ces jours sur son compte épargne-temps.</v>
      </c>
      <c r="AH36" s="13" t="s">
        <v>180</v>
      </c>
      <c r="AI36" s="15" t="str">
        <f>VLOOKUP(AH36,'Axe 2 Règles de gestion'!$D$2:$F$84,3, FALSE)</f>
        <v>En l'absence d'exercice d'une option par l'agent, les jours au-delà de 15 sont automatiquement indemnisés.</v>
      </c>
      <c r="AJ36" s="13"/>
      <c r="AK36" s="15"/>
      <c r="AL36" s="13" t="s">
        <v>101</v>
      </c>
      <c r="AM36" s="15" t="str">
        <f>VLOOKUP(AL36,'Axe 2 Règles de gestion'!$D$2:$F$84,3, FALSE)</f>
        <v>L'agent ne doit pas être soumis à des obligations de service fixées par le statut particulier de son corps ou par un décret commun à plusieurs corps.</v>
      </c>
      <c r="AN36" s="13" t="s">
        <v>129</v>
      </c>
      <c r="AO36" s="15" t="str">
        <f>VLOOKUP(AN36,'Axe 2 Règles de gestion'!$D$2:$F$84,3, FALSE)</f>
        <v>La différence entre le nombre de jours du compteur global du CET et le nombre de jours pour valorisation financière doit être strictement supérieure à 20 jours.</v>
      </c>
      <c r="AP36" s="13" t="s">
        <v>103</v>
      </c>
      <c r="AQ36" s="15" t="str">
        <f>VLOOKUP(AP36,'Axe 2 Règles de gestion'!$D$2:$F$84,3, FALSE)</f>
        <v>Le nombre de jours maximum du compteur global doit être inférieur ou égal à 60 jours à l'issue de l'exercice du droit d'option.</v>
      </c>
      <c r="AR36" s="13"/>
      <c r="AS36" s="15"/>
      <c r="AT36" s="13"/>
      <c r="AU36" s="15"/>
      <c r="AV36" s="13"/>
      <c r="AW36" s="15"/>
      <c r="AX36" s="13"/>
      <c r="AY36" s="15"/>
      <c r="AZ36" s="13"/>
      <c r="BA36" s="15"/>
      <c r="BB36" s="13" t="s">
        <v>105</v>
      </c>
      <c r="BC36" s="15" t="str">
        <f>VLOOKUP(BB36,'Axe 2 Règles de gestion'!$D$2:$F$84,3, FALSE)</f>
        <v>Le nombre de jours de l'opération doit être inférieur ou égal au nombre de jours du compteur global du CET.</v>
      </c>
      <c r="BD36" s="13" t="s">
        <v>107</v>
      </c>
      <c r="BE36" s="15" t="str">
        <f>VLOOKUP(BD36,'Axe 2 Règles de gestion'!$D$2:$F$84,3, FALSE)</f>
        <v>La date de fermeture du CET doit être antérieure ou égale à la date limite de départ en retraite.</v>
      </c>
      <c r="BF36" s="13" t="s">
        <v>109</v>
      </c>
      <c r="BG36" s="15" t="str">
        <f>VLOOKUP(BF36,'Axe 2 Règles de gestion'!$D$2:$F$84,3, FALSE)</f>
        <v>La date de fermeture du CET doit être antérieure ou égale à la date de fin réelle ou prévisionnelle du lien juridique.</v>
      </c>
      <c r="BH36" s="13" t="s">
        <v>111</v>
      </c>
      <c r="BI36" s="15" t="str">
        <f>VLOOKUP(BH36,'Axe 2 Règles de gestion'!$D$2:$F$84,3, FALSE)</f>
        <v>La date d'ouverture du compte épargne temps global doit être postérieure ou égale à la date d'entrée dans le SIRH.</v>
      </c>
      <c r="BJ36" s="13" t="s">
        <v>113</v>
      </c>
      <c r="BK36" s="15" t="str">
        <f>VLOOKUP(BJ36,'Axe 2 Règles de gestion'!$D$2:$F$84,3, FALSE)</f>
        <v>La date d'ouverture du CET doit être renseignée.</v>
      </c>
      <c r="BL36" s="13" t="s">
        <v>182</v>
      </c>
      <c r="BM36" s="15" t="str">
        <f>VLOOKUP(BL36,'Axe 2 Règles de gestion'!$D$2:$F$84,3, FALSE)</f>
        <v>Lorsque le sens de l'opération est égal à "consommé", le nombre de jours pour la cotisation RAFP n'est pas à renseigner.</v>
      </c>
      <c r="BN36" s="13" t="s">
        <v>133</v>
      </c>
      <c r="BO36" s="15" t="str">
        <f>VLOOKUP(BN36,'Axe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36" s="13" t="s">
        <v>135</v>
      </c>
      <c r="BQ36" s="15" t="str">
        <f>VLOOKUP(BP36,'Axe 2 Règles de gestion'!$D$2:$F$84,3, FALSE)</f>
        <v>Lorsque le sens de l'opération est égal à "consommé", l'origine des jours n'est pas à renseigner.</v>
      </c>
      <c r="BR36" s="13"/>
      <c r="BS36" s="15"/>
      <c r="BT36" s="13"/>
      <c r="BU36" s="15"/>
      <c r="BV36" s="13"/>
      <c r="BW36" s="15"/>
    </row>
    <row r="37" spans="1:75" ht="142.65" x14ac:dyDescent="0.25">
      <c r="A37" s="13" t="s">
        <v>117</v>
      </c>
      <c r="B37" s="13" t="s">
        <v>77</v>
      </c>
      <c r="C37" s="14">
        <v>44053.42083333333</v>
      </c>
      <c r="D37" s="13" t="s">
        <v>78</v>
      </c>
      <c r="E37" s="15" t="s">
        <v>79</v>
      </c>
      <c r="F37" s="13" t="s">
        <v>80</v>
      </c>
      <c r="G37" s="15" t="s">
        <v>81</v>
      </c>
      <c r="H37" s="13" t="s">
        <v>82</v>
      </c>
      <c r="I37" s="15" t="s">
        <v>81</v>
      </c>
      <c r="J37" s="15" t="s">
        <v>83</v>
      </c>
      <c r="K37" s="15" t="s">
        <v>84</v>
      </c>
      <c r="L37" s="13" t="s">
        <v>118</v>
      </c>
      <c r="M37" s="15" t="s">
        <v>119</v>
      </c>
      <c r="N37" s="14" t="s">
        <v>87</v>
      </c>
      <c r="O37" s="15" t="s">
        <v>120</v>
      </c>
      <c r="P37" s="15" t="s">
        <v>121</v>
      </c>
      <c r="Q37" s="15" t="s">
        <v>226</v>
      </c>
      <c r="R37" s="13" t="s">
        <v>227</v>
      </c>
      <c r="S37" s="13" t="s">
        <v>193</v>
      </c>
      <c r="T37" s="13" t="s">
        <v>93</v>
      </c>
      <c r="U37" s="14">
        <v>43436</v>
      </c>
      <c r="V37" s="14"/>
      <c r="W37" s="15" t="s">
        <v>229</v>
      </c>
      <c r="X37" s="13" t="s">
        <v>95</v>
      </c>
      <c r="Y37" s="15" t="str">
        <f>VLOOKUP(X37,'Axe 2 Règles de gestion'!$D$2:$F$84,3, FALSE)</f>
        <v>L'agent doit être employé de manière continue et avoir accompli au moins 1 an de service.</v>
      </c>
      <c r="Z37" s="13" t="s">
        <v>97</v>
      </c>
      <c r="AA37" s="15" t="str">
        <f>VLOOKUP(Z37,'Axe 2 Règles de gestion'!$D$2:$F$84,3, FALSE)</f>
        <v>L'agent demande l'ouverture d'un compte épargne-temps auprès du service gestionnaire.</v>
      </c>
      <c r="AB37" s="13" t="s">
        <v>99</v>
      </c>
      <c r="AC37" s="15" t="str">
        <f>VLOOKUP(AB37,'Axe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37" s="13" t="s">
        <v>123</v>
      </c>
      <c r="AE37" s="15" t="str">
        <f>VLOOKUP(AD37,'Axe 2 Règles de gestion'!$D$2:$F$84,3, FALSE)</f>
        <v>L'agent exerce son droit d'option au plus tard le 31 janvier de l'année suivant la période de référence de l'épargne.</v>
      </c>
      <c r="AF37" s="13" t="s">
        <v>178</v>
      </c>
      <c r="AG37" s="15" t="str">
        <f>VLOOKUP(AF37,'Axe 2 Règles de gestion'!$D$2:$F$84,3, FALSE)</f>
        <v>L'agent indique au service gestionnaire son choix entre maintien sur le compte en vue de congés et indemnisation, surtout s'il souhaite conserver ces jours sur son compte épargne-temps.</v>
      </c>
      <c r="AH37" s="13" t="s">
        <v>180</v>
      </c>
      <c r="AI37" s="15" t="str">
        <f>VLOOKUP(AH37,'Axe 2 Règles de gestion'!$D$2:$F$84,3, FALSE)</f>
        <v>En l'absence d'exercice d'une option par l'agent, les jours au-delà de 15 sont automatiquement indemnisés.</v>
      </c>
      <c r="AJ37" s="13"/>
      <c r="AK37" s="15"/>
      <c r="AL37" s="13" t="s">
        <v>101</v>
      </c>
      <c r="AM37" s="15" t="str">
        <f>VLOOKUP(AL37,'Axe 2 Règles de gestion'!$D$2:$F$84,3, FALSE)</f>
        <v>L'agent ne doit pas être soumis à des obligations de service fixées par le statut particulier de son corps ou par un décret commun à plusieurs corps.</v>
      </c>
      <c r="AN37" s="13" t="s">
        <v>138</v>
      </c>
      <c r="AO37" s="15" t="str">
        <f>VLOOKUP(AN37,'Axe 2 Règles de gestion'!$D$2:$F$84,3, FALSE)</f>
        <v>La différence entre le nombre de jours du compteur global du CET et le nombre de jours pour valorisation financière doit être strictement supérieure à 15 jours.</v>
      </c>
      <c r="AP37" s="13" t="s">
        <v>103</v>
      </c>
      <c r="AQ37" s="15" t="str">
        <f>VLOOKUP(AP37,'Axe 2 Règles de gestion'!$D$2:$F$84,3, FALSE)</f>
        <v>Le nombre de jours maximum du compteur global doit être inférieur ou égal à 60 jours à l'issue de l'exercice du droit d'option.</v>
      </c>
      <c r="AR37" s="13"/>
      <c r="AS37" s="15"/>
      <c r="AT37" s="13"/>
      <c r="AU37" s="15"/>
      <c r="AV37" s="13"/>
      <c r="AW37" s="15"/>
      <c r="AX37" s="13"/>
      <c r="AY37" s="15"/>
      <c r="AZ37" s="13"/>
      <c r="BA37" s="15"/>
      <c r="BB37" s="13" t="s">
        <v>105</v>
      </c>
      <c r="BC37" s="15" t="str">
        <f>VLOOKUP(BB37,'Axe 2 Règles de gestion'!$D$2:$F$84,3, FALSE)</f>
        <v>Le nombre de jours de l'opération doit être inférieur ou égal au nombre de jours du compteur global du CET.</v>
      </c>
      <c r="BD37" s="13" t="s">
        <v>107</v>
      </c>
      <c r="BE37" s="15" t="str">
        <f>VLOOKUP(BD37,'Axe 2 Règles de gestion'!$D$2:$F$84,3, FALSE)</f>
        <v>La date de fermeture du CET doit être antérieure ou égale à la date limite de départ en retraite.</v>
      </c>
      <c r="BF37" s="13" t="s">
        <v>109</v>
      </c>
      <c r="BG37" s="15" t="str">
        <f>VLOOKUP(BF37,'Axe 2 Règles de gestion'!$D$2:$F$84,3, FALSE)</f>
        <v>La date de fermeture du CET doit être antérieure ou égale à la date de fin réelle ou prévisionnelle du lien juridique.</v>
      </c>
      <c r="BH37" s="13" t="s">
        <v>111</v>
      </c>
      <c r="BI37" s="15" t="str">
        <f>VLOOKUP(BH37,'Axe 2 Règles de gestion'!$D$2:$F$84,3, FALSE)</f>
        <v>La date d'ouverture du compte épargne temps global doit être postérieure ou égale à la date d'entrée dans le SIRH.</v>
      </c>
      <c r="BJ37" s="13" t="s">
        <v>113</v>
      </c>
      <c r="BK37" s="15" t="str">
        <f>VLOOKUP(BJ37,'Axe 2 Règles de gestion'!$D$2:$F$84,3, FALSE)</f>
        <v>La date d'ouverture du CET doit être renseignée.</v>
      </c>
      <c r="BL37" s="13" t="s">
        <v>182</v>
      </c>
      <c r="BM37" s="15" t="str">
        <f>VLOOKUP(BL37,'Axe 2 Règles de gestion'!$D$2:$F$84,3, FALSE)</f>
        <v>Lorsque le sens de l'opération est égal à "consommé", le nombre de jours pour la cotisation RAFP n'est pas à renseigner.</v>
      </c>
      <c r="BN37" s="13" t="s">
        <v>133</v>
      </c>
      <c r="BO37" s="15" t="str">
        <f>VLOOKUP(BN37,'Axe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37" s="13" t="s">
        <v>135</v>
      </c>
      <c r="BQ37" s="15" t="str">
        <f>VLOOKUP(BP37,'Axe 2 Règles de gestion'!$D$2:$F$84,3, FALSE)</f>
        <v>Lorsque le sens de l'opération est égal à "consommé", l'origine des jours n'est pas à renseigner.</v>
      </c>
      <c r="BR37" s="13"/>
      <c r="BS37" s="15"/>
      <c r="BT37" s="13"/>
      <c r="BU37" s="15"/>
      <c r="BV37" s="13"/>
      <c r="BW37" s="15"/>
    </row>
    <row r="38" spans="1:75" ht="128.4" x14ac:dyDescent="0.25">
      <c r="A38" s="13" t="s">
        <v>117</v>
      </c>
      <c r="B38" s="13" t="s">
        <v>77</v>
      </c>
      <c r="C38" s="14">
        <v>44053.463194444441</v>
      </c>
      <c r="D38" s="13" t="s">
        <v>78</v>
      </c>
      <c r="E38" s="15" t="s">
        <v>79</v>
      </c>
      <c r="F38" s="13" t="s">
        <v>80</v>
      </c>
      <c r="G38" s="15" t="s">
        <v>81</v>
      </c>
      <c r="H38" s="13" t="s">
        <v>82</v>
      </c>
      <c r="I38" s="15" t="s">
        <v>81</v>
      </c>
      <c r="J38" s="15" t="s">
        <v>83</v>
      </c>
      <c r="K38" s="15" t="s">
        <v>84</v>
      </c>
      <c r="L38" s="13" t="s">
        <v>143</v>
      </c>
      <c r="M38" s="15" t="s">
        <v>144</v>
      </c>
      <c r="N38" s="14" t="s">
        <v>87</v>
      </c>
      <c r="O38" s="15" t="s">
        <v>145</v>
      </c>
      <c r="P38" s="15" t="s">
        <v>146</v>
      </c>
      <c r="Q38" s="15" t="s">
        <v>226</v>
      </c>
      <c r="R38" s="13" t="s">
        <v>227</v>
      </c>
      <c r="S38" s="13" t="s">
        <v>193</v>
      </c>
      <c r="T38" s="13" t="s">
        <v>93</v>
      </c>
      <c r="U38" s="14">
        <v>40725</v>
      </c>
      <c r="V38" s="14">
        <v>43435</v>
      </c>
      <c r="W38" s="15" t="s">
        <v>185</v>
      </c>
      <c r="X38" s="13" t="s">
        <v>95</v>
      </c>
      <c r="Y38" s="15" t="str">
        <f>VLOOKUP(X38,'Axe 2 Règles de gestion'!$D$2:$F$84,3, FALSE)</f>
        <v>L'agent doit être employé de manière continue et avoir accompli au moins 1 an de service.</v>
      </c>
      <c r="Z38" s="13" t="s">
        <v>97</v>
      </c>
      <c r="AA38" s="15" t="str">
        <f>VLOOKUP(Z38,'Axe 2 Règles de gestion'!$D$2:$F$84,3, FALSE)</f>
        <v>L'agent demande l'ouverture d'un compte épargne-temps auprès du service gestionnaire.</v>
      </c>
      <c r="AB38" s="13" t="s">
        <v>99</v>
      </c>
      <c r="AC38" s="15" t="str">
        <f>VLOOKUP(AB38,'Axe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38" s="13" t="s">
        <v>150</v>
      </c>
      <c r="AE38" s="15" t="str">
        <f>VLOOKUP(AD38,'Axe 2 Règles de gestion'!$D$2:$F$84,3, FALSE)</f>
        <v>L'agent demande au service gestionnaire l'alimentation de son compte épargne-temps selon les modalités d'usage.</v>
      </c>
      <c r="AF38" s="13"/>
      <c r="AG38" s="15"/>
      <c r="AH38" s="13"/>
      <c r="AI38" s="15"/>
      <c r="AJ38" s="13"/>
      <c r="AK38" s="15"/>
      <c r="AL38" s="13" t="s">
        <v>101</v>
      </c>
      <c r="AM38" s="15" t="str">
        <f>VLOOKUP(AL38,'Axe 2 Règles de gestion'!$D$2:$F$84,3, FALSE)</f>
        <v>L'agent ne doit pas être soumis à des obligations de service fixées par le statut particulier de son corps ou par un décret commun à plusieurs corps.</v>
      </c>
      <c r="AN38" s="13" t="s">
        <v>152</v>
      </c>
      <c r="AO38" s="15" t="str">
        <f>VLOOKUP(AN38,'Axe 2 Règles de gestion'!$D$2:$F$84,3, FALSE)</f>
        <v>Le CET est alimenté par le report de jours de réduction du temps de travail (ARTT), jours supplémentaires hors période et par le report de congés annuels, tels que prévus par le décret du 26 octobre 1984.</v>
      </c>
      <c r="AP38" s="13" t="s">
        <v>154</v>
      </c>
      <c r="AQ38" s="15" t="str">
        <f>VLOOKUP(AP38,'Axe 2 Règles de gestion'!$D$2:$F$84,3, FALSE)</f>
        <v>Le CET est alimenté, pour les personnels relevant du décret du 28 mars 1967, par le report de congés annuels dont ils bénéficient au titre du pays dans lequel ils sont affectés.</v>
      </c>
      <c r="AR38" s="13" t="s">
        <v>103</v>
      </c>
      <c r="AS38" s="15" t="str">
        <f>VLOOKUP(AR38,'Axe 2 Règles de gestion'!$D$2:$F$84,3, FALSE)</f>
        <v>Le nombre de jours maximum du compteur global doit être inférieur ou égal à 60 jours à l'issue de l'exercice du droit d'option.</v>
      </c>
      <c r="AT38" s="13" t="s">
        <v>156</v>
      </c>
      <c r="AU38" s="15" t="str">
        <f>VLOOKUP(AT38,'Axe 2 Règles de gestion'!$D$2:$F$84,3, FALSE)</f>
        <v>Le nombre de jours de congés pris dans l'année doit être supérieur ou égal à 20 jours.</v>
      </c>
      <c r="AV38" s="13" t="s">
        <v>158</v>
      </c>
      <c r="AW38" s="15" t="str">
        <f>VLOOKUP(AV38,'Axe 2 Règles de gestion'!$D$2:$F$84,3, FALSE)</f>
        <v>Le nombre de jours de congés pris dans l'année doit être supérieur ou égal à 20 jours.</v>
      </c>
      <c r="AX38" s="13" t="s">
        <v>159</v>
      </c>
      <c r="AY38" s="15" t="str">
        <f>VLOOKUP(AX38,'Axe 2 Règles de gestion'!$D$2:$F$84,3, FALSE)</f>
        <v>Si le compteur global du CET est inférieur à 20 jours et le sens de l'opération est égal à "versé" alors le nombre de jours du compteur global du CET après saisie doit être inférieur ou égal à 30 jours.</v>
      </c>
      <c r="AZ38" s="13" t="s">
        <v>161</v>
      </c>
      <c r="BA38" s="15" t="str">
        <f>VLOOKUP(AZ38,'Axe 2 Règles de gestion'!$D$2:$F$84,3, FALSE)</f>
        <v>Si le compte épargne global est supérieur ou égal à 20 jours et le sens de l'opération est égal à "versé" alors le nombre de jours de l'opération conservés en congés doit être inférieur ou égal à 10 jours.</v>
      </c>
      <c r="BB38" s="13" t="s">
        <v>105</v>
      </c>
      <c r="BC38" s="15" t="str">
        <f>VLOOKUP(BB38,'Axe 2 Règles de gestion'!$D$2:$F$84,3, FALSE)</f>
        <v>Le nombre de jours de l'opération doit être inférieur ou égal au nombre de jours du compteur global du CET.</v>
      </c>
      <c r="BD38" s="13" t="s">
        <v>107</v>
      </c>
      <c r="BE38" s="15" t="str">
        <f>VLOOKUP(BD38,'Axe 2 Règles de gestion'!$D$2:$F$84,3, FALSE)</f>
        <v>La date de fermeture du CET doit être antérieure ou égale à la date limite de départ en retraite.</v>
      </c>
      <c r="BF38" s="13" t="s">
        <v>109</v>
      </c>
      <c r="BG38" s="15" t="str">
        <f>VLOOKUP(BF38,'Axe 2 Règles de gestion'!$D$2:$F$84,3, FALSE)</f>
        <v>La date de fermeture du CET doit être antérieure ou égale à la date de fin réelle ou prévisionnelle du lien juridique.</v>
      </c>
      <c r="BH38" s="13" t="s">
        <v>111</v>
      </c>
      <c r="BI38" s="15" t="str">
        <f>VLOOKUP(BH38,'Axe 2 Règles de gestion'!$D$2:$F$84,3, FALSE)</f>
        <v>La date d'ouverture du compte épargne temps global doit être postérieure ou égale à la date d'entrée dans le SIRH.</v>
      </c>
      <c r="BJ38" s="13" t="s">
        <v>113</v>
      </c>
      <c r="BK38" s="15" t="str">
        <f>VLOOKUP(BJ38,'Axe 2 Règles de gestion'!$D$2:$F$84,3, FALSE)</f>
        <v>La date d'ouverture du CET doit être renseignée.</v>
      </c>
      <c r="BL38" s="13" t="s">
        <v>163</v>
      </c>
      <c r="BM38" s="15" t="str">
        <f>VLOOKUP(BL38,'Axe 2 Règles de gestion'!$D$2:$F$84,3, FALSE)</f>
        <v>Lorsque le sens de l'opération est à "Versé", le compteur global saisi est égal au compteur global de l'occurrence précédente auquel sont ajoutés les jours versés.</v>
      </c>
      <c r="BN38" s="13" t="s">
        <v>165</v>
      </c>
      <c r="BO38" s="15" t="str">
        <f>VLOOKUP(BN38,'Axe 2 Règles de gestion'!$D$2:$F$84,3, FALSE)</f>
        <v>Lorsque le sens de l'opération est égal à "versé", le nombre de jours pour valorisation financière et le nombre de jours pour cotisation RAFP ne doivent pas être renseignés.</v>
      </c>
      <c r="BP38" s="13"/>
      <c r="BQ38" s="15"/>
      <c r="BR38" s="13"/>
      <c r="BS38" s="15"/>
      <c r="BT38" s="13"/>
      <c r="BU38" s="15"/>
      <c r="BV38" s="13"/>
      <c r="BW38" s="15"/>
    </row>
    <row r="39" spans="1:75" ht="128.4" x14ac:dyDescent="0.25">
      <c r="A39" s="13" t="s">
        <v>117</v>
      </c>
      <c r="B39" s="13" t="s">
        <v>77</v>
      </c>
      <c r="C39" s="14">
        <v>44053.438194444447</v>
      </c>
      <c r="D39" s="13" t="s">
        <v>78</v>
      </c>
      <c r="E39" s="15" t="s">
        <v>79</v>
      </c>
      <c r="F39" s="13" t="s">
        <v>80</v>
      </c>
      <c r="G39" s="15" t="s">
        <v>81</v>
      </c>
      <c r="H39" s="13" t="s">
        <v>82</v>
      </c>
      <c r="I39" s="15" t="s">
        <v>81</v>
      </c>
      <c r="J39" s="15" t="s">
        <v>83</v>
      </c>
      <c r="K39" s="15" t="s">
        <v>84</v>
      </c>
      <c r="L39" s="13" t="s">
        <v>143</v>
      </c>
      <c r="M39" s="15" t="s">
        <v>144</v>
      </c>
      <c r="N39" s="14" t="s">
        <v>87</v>
      </c>
      <c r="O39" s="15" t="s">
        <v>145</v>
      </c>
      <c r="P39" s="15" t="s">
        <v>146</v>
      </c>
      <c r="Q39" s="15" t="s">
        <v>226</v>
      </c>
      <c r="R39" s="13" t="s">
        <v>227</v>
      </c>
      <c r="S39" s="13" t="s">
        <v>193</v>
      </c>
      <c r="T39" s="13" t="s">
        <v>93</v>
      </c>
      <c r="U39" s="14">
        <v>43436</v>
      </c>
      <c r="V39" s="14"/>
      <c r="W39" s="15" t="s">
        <v>186</v>
      </c>
      <c r="X39" s="13" t="s">
        <v>95</v>
      </c>
      <c r="Y39" s="15" t="str">
        <f>VLOOKUP(X39,'Axe 2 Règles de gestion'!$D$2:$F$84,3, FALSE)</f>
        <v>L'agent doit être employé de manière continue et avoir accompli au moins 1 an de service.</v>
      </c>
      <c r="Z39" s="13" t="s">
        <v>97</v>
      </c>
      <c r="AA39" s="15" t="str">
        <f>VLOOKUP(Z39,'Axe 2 Règles de gestion'!$D$2:$F$84,3, FALSE)</f>
        <v>L'agent demande l'ouverture d'un compte épargne-temps auprès du service gestionnaire.</v>
      </c>
      <c r="AB39" s="13" t="s">
        <v>99</v>
      </c>
      <c r="AC39" s="15" t="str">
        <f>VLOOKUP(AB39,'Axe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39" s="13" t="s">
        <v>150</v>
      </c>
      <c r="AE39" s="15" t="str">
        <f>VLOOKUP(AD39,'Axe 2 Règles de gestion'!$D$2:$F$84,3, FALSE)</f>
        <v>L'agent demande au service gestionnaire l'alimentation de son compte épargne-temps selon les modalités d'usage.</v>
      </c>
      <c r="AF39" s="13"/>
      <c r="AG39" s="15"/>
      <c r="AH39" s="13"/>
      <c r="AI39" s="15"/>
      <c r="AJ39" s="13"/>
      <c r="AK39" s="15"/>
      <c r="AL39" s="13" t="s">
        <v>101</v>
      </c>
      <c r="AM39" s="15" t="str">
        <f>VLOOKUP(AL39,'Axe 2 Règles de gestion'!$D$2:$F$84,3, FALSE)</f>
        <v>L'agent ne doit pas être soumis à des obligations de service fixées par le statut particulier de son corps ou par un décret commun à plusieurs corps.</v>
      </c>
      <c r="AN39" s="13" t="s">
        <v>152</v>
      </c>
      <c r="AO39" s="15" t="str">
        <f>VLOOKUP(AN39,'Axe 2 Règles de gestion'!$D$2:$F$84,3, FALSE)</f>
        <v>Le CET est alimenté par le report de jours de réduction du temps de travail (ARTT), jours supplémentaires hors période et par le report de congés annuels, tels que prévus par le décret du 26 octobre 1984.</v>
      </c>
      <c r="AP39" s="13" t="s">
        <v>154</v>
      </c>
      <c r="AQ39" s="15" t="str">
        <f>VLOOKUP(AP39,'Axe 2 Règles de gestion'!$D$2:$F$84,3, FALSE)</f>
        <v>Le CET est alimenté, pour les personnels relevant du décret du 28 mars 1967, par le report de congés annuels dont ils bénéficient au titre du pays dans lequel ils sont affectés.</v>
      </c>
      <c r="AR39" s="13" t="s">
        <v>103</v>
      </c>
      <c r="AS39" s="15" t="str">
        <f>VLOOKUP(AR39,'Axe 2 Règles de gestion'!$D$2:$F$84,3, FALSE)</f>
        <v>Le nombre de jours maximum du compteur global doit être inférieur ou égal à 60 jours à l'issue de l'exercice du droit d'option.</v>
      </c>
      <c r="AT39" s="13" t="s">
        <v>156</v>
      </c>
      <c r="AU39" s="15" t="str">
        <f>VLOOKUP(AT39,'Axe 2 Règles de gestion'!$D$2:$F$84,3, FALSE)</f>
        <v>Le nombre de jours de congés pris dans l'année doit être supérieur ou égal à 20 jours.</v>
      </c>
      <c r="AV39" s="13" t="s">
        <v>158</v>
      </c>
      <c r="AW39" s="15" t="str">
        <f>VLOOKUP(AV39,'Axe 2 Règles de gestion'!$D$2:$F$84,3, FALSE)</f>
        <v>Le nombre de jours de congés pris dans l'année doit être supérieur ou égal à 20 jours.</v>
      </c>
      <c r="AX39" s="13" t="s">
        <v>168</v>
      </c>
      <c r="AY39" s="15" t="str">
        <f>VLOOKUP(AX39,'Axe 2 Règles de gestion'!$D$2:$F$84,3, FALSE)</f>
        <v>Si le compteur global du CET est inférieur à 15 jours et le sens de l'opération est égal à "versé" alors le nombre de jours du compteur global du CET après saisie doit être inférieur ou égal à 25 jours.</v>
      </c>
      <c r="AZ39" s="13" t="s">
        <v>170</v>
      </c>
      <c r="BA39" s="15" t="str">
        <f>VLOOKUP(AZ39,'Axe 2 Règles de gestion'!$D$2:$F$84,3, FALSE)</f>
        <v>Si le compte épargne global est supérieur ou égal à 15 jours et le sens de l'opération est égal à "versé" alors le nombre de jours de l'opération conservés en congés doit être inférieur ou égal à 10 jours.</v>
      </c>
      <c r="BB39" s="13" t="s">
        <v>105</v>
      </c>
      <c r="BC39" s="15" t="str">
        <f>VLOOKUP(BB39,'Axe 2 Règles de gestion'!$D$2:$F$84,3, FALSE)</f>
        <v>Le nombre de jours de l'opération doit être inférieur ou égal au nombre de jours du compteur global du CET.</v>
      </c>
      <c r="BD39" s="13" t="s">
        <v>107</v>
      </c>
      <c r="BE39" s="15" t="str">
        <f>VLOOKUP(BD39,'Axe 2 Règles de gestion'!$D$2:$F$84,3, FALSE)</f>
        <v>La date de fermeture du CET doit être antérieure ou égale à la date limite de départ en retraite.</v>
      </c>
      <c r="BF39" s="13" t="s">
        <v>109</v>
      </c>
      <c r="BG39" s="15" t="str">
        <f>VLOOKUP(BF39,'Axe 2 Règles de gestion'!$D$2:$F$84,3, FALSE)</f>
        <v>La date de fermeture du CET doit être antérieure ou égale à la date de fin réelle ou prévisionnelle du lien juridique.</v>
      </c>
      <c r="BH39" s="13" t="s">
        <v>111</v>
      </c>
      <c r="BI39" s="15" t="str">
        <f>VLOOKUP(BH39,'Axe 2 Règles de gestion'!$D$2:$F$84,3, FALSE)</f>
        <v>La date d'ouverture du compte épargne temps global doit être postérieure ou égale à la date d'entrée dans le SIRH.</v>
      </c>
      <c r="BJ39" s="13" t="s">
        <v>113</v>
      </c>
      <c r="BK39" s="15" t="str">
        <f>VLOOKUP(BJ39,'Axe 2 Règles de gestion'!$D$2:$F$84,3, FALSE)</f>
        <v>La date d'ouverture du CET doit être renseignée.</v>
      </c>
      <c r="BL39" s="13" t="s">
        <v>163</v>
      </c>
      <c r="BM39" s="15" t="str">
        <f>VLOOKUP(BL39,'Axe 2 Règles de gestion'!$D$2:$F$84,3, FALSE)</f>
        <v>Lorsque le sens de l'opération est à "Versé", le compteur global saisi est égal au compteur global de l'occurrence précédente auquel sont ajoutés les jours versés.</v>
      </c>
      <c r="BN39" s="13" t="s">
        <v>165</v>
      </c>
      <c r="BO39" s="15" t="str">
        <f>VLOOKUP(BN39,'Axe 2 Règles de gestion'!$D$2:$F$84,3, FALSE)</f>
        <v>Lorsque le sens de l'opération est égal à "versé", le nombre de jours pour valorisation financière et le nombre de jours pour cotisation RAFP ne doivent pas être renseignés.</v>
      </c>
      <c r="BP39" s="13"/>
      <c r="BQ39" s="15"/>
      <c r="BR39" s="13"/>
      <c r="BS39" s="15"/>
      <c r="BT39" s="13"/>
      <c r="BU39" s="15"/>
      <c r="BV39" s="13"/>
      <c r="BW39" s="15"/>
    </row>
    <row r="40" spans="1:75" ht="128.4" x14ac:dyDescent="0.25">
      <c r="A40" s="13" t="s">
        <v>117</v>
      </c>
      <c r="B40" s="13" t="s">
        <v>77</v>
      </c>
      <c r="C40" s="14">
        <v>44053.427083333336</v>
      </c>
      <c r="D40" s="13" t="s">
        <v>78</v>
      </c>
      <c r="E40" s="15" t="s">
        <v>79</v>
      </c>
      <c r="F40" s="13" t="s">
        <v>80</v>
      </c>
      <c r="G40" s="15" t="s">
        <v>81</v>
      </c>
      <c r="H40" s="13" t="s">
        <v>82</v>
      </c>
      <c r="I40" s="15" t="s">
        <v>81</v>
      </c>
      <c r="J40" s="15" t="s">
        <v>83</v>
      </c>
      <c r="K40" s="15" t="s">
        <v>84</v>
      </c>
      <c r="L40" s="13" t="s">
        <v>85</v>
      </c>
      <c r="M40" s="15" t="s">
        <v>86</v>
      </c>
      <c r="N40" s="14" t="s">
        <v>87</v>
      </c>
      <c r="O40" s="15" t="s">
        <v>88</v>
      </c>
      <c r="P40" s="15" t="s">
        <v>89</v>
      </c>
      <c r="Q40" s="15" t="s">
        <v>230</v>
      </c>
      <c r="R40" s="13" t="s">
        <v>231</v>
      </c>
      <c r="S40" s="13" t="s">
        <v>193</v>
      </c>
      <c r="T40" s="13" t="s">
        <v>93</v>
      </c>
      <c r="U40" s="14">
        <v>40725</v>
      </c>
      <c r="V40" s="14"/>
      <c r="W40" s="15" t="s">
        <v>94</v>
      </c>
      <c r="X40" s="13" t="s">
        <v>95</v>
      </c>
      <c r="Y40" s="15" t="str">
        <f>VLOOKUP(X40,'Axe 2 Règles de gestion'!$D$2:$F$84,3, FALSE)</f>
        <v>L'agent doit être employé de manière continue et avoir accompli au moins 1 an de service.</v>
      </c>
      <c r="Z40" s="13" t="s">
        <v>97</v>
      </c>
      <c r="AA40" s="15" t="str">
        <f>VLOOKUP(Z40,'Axe 2 Règles de gestion'!$D$2:$F$84,3, FALSE)</f>
        <v>L'agent demande l'ouverture d'un compte épargne-temps auprès du service gestionnaire.</v>
      </c>
      <c r="AB40" s="13" t="s">
        <v>99</v>
      </c>
      <c r="AC40" s="15" t="str">
        <f>VLOOKUP(AB40,'Axe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0" s="13"/>
      <c r="AE40" s="15"/>
      <c r="AF40" s="13"/>
      <c r="AG40" s="15"/>
      <c r="AH40" s="13"/>
      <c r="AI40" s="15"/>
      <c r="AJ40" s="13"/>
      <c r="AK40" s="15"/>
      <c r="AL40" s="13" t="s">
        <v>101</v>
      </c>
      <c r="AM40" s="15" t="str">
        <f>VLOOKUP(AL40,'Axe 2 Règles de gestion'!$D$2:$F$84,3, FALSE)</f>
        <v>L'agent ne doit pas être soumis à des obligations de service fixées par le statut particulier de son corps ou par un décret commun à plusieurs corps.</v>
      </c>
      <c r="AN40" s="13" t="s">
        <v>103</v>
      </c>
      <c r="AO40" s="15" t="str">
        <f>VLOOKUP(AN40,'Axe 2 Règles de gestion'!$D$2:$F$84,3, FALSE)</f>
        <v>Le nombre de jours maximum du compteur global doit être inférieur ou égal à 60 jours à l'issue de l'exercice du droit d'option.</v>
      </c>
      <c r="AP40" s="13"/>
      <c r="AQ40" s="15"/>
      <c r="AR40" s="13"/>
      <c r="AS40" s="15"/>
      <c r="AT40" s="13"/>
      <c r="AU40" s="15"/>
      <c r="AV40" s="13"/>
      <c r="AW40" s="15"/>
      <c r="AX40" s="13"/>
      <c r="AY40" s="15"/>
      <c r="AZ40" s="13"/>
      <c r="BA40" s="15"/>
      <c r="BB40" s="13" t="s">
        <v>105</v>
      </c>
      <c r="BC40" s="15" t="str">
        <f>VLOOKUP(BB40,'Axe 2 Règles de gestion'!$D$2:$F$84,3, FALSE)</f>
        <v>Le nombre de jours de l'opération doit être inférieur ou égal au nombre de jours du compteur global du CET.</v>
      </c>
      <c r="BD40" s="13" t="s">
        <v>107</v>
      </c>
      <c r="BE40" s="15" t="str">
        <f>VLOOKUP(BD40,'Axe 2 Règles de gestion'!$D$2:$F$84,3, FALSE)</f>
        <v>La date de fermeture du CET doit être antérieure ou égale à la date limite de départ en retraite.</v>
      </c>
      <c r="BF40" s="13" t="s">
        <v>109</v>
      </c>
      <c r="BG40" s="15" t="str">
        <f>VLOOKUP(BF40,'Axe 2 Règles de gestion'!$D$2:$F$84,3, FALSE)</f>
        <v>La date de fermeture du CET doit être antérieure ou égale à la date de fin réelle ou prévisionnelle du lien juridique.</v>
      </c>
      <c r="BH40" s="13" t="s">
        <v>111</v>
      </c>
      <c r="BI40" s="15" t="str">
        <f>VLOOKUP(BH40,'Axe 2 Règles de gestion'!$D$2:$F$84,3, FALSE)</f>
        <v>La date d'ouverture du compte épargne temps global doit être postérieure ou égale à la date d'entrée dans le SIRH.</v>
      </c>
      <c r="BJ40" s="13" t="s">
        <v>113</v>
      </c>
      <c r="BK40" s="15" t="str">
        <f>VLOOKUP(BJ40,'Axe 2 Règles de gestion'!$D$2:$F$84,3, FALSE)</f>
        <v>La date d'ouverture du CET doit être renseignée.</v>
      </c>
      <c r="BL40" s="13" t="s">
        <v>115</v>
      </c>
      <c r="BM40" s="15" t="str">
        <f>VLOOKUP(BL40,'Axe 2 Règles de gestion'!$D$2:$F$84,3, FALSE)</f>
        <v>Les champs "Origine", "Nombre de jours de l'opération", "Nombre de jours pour valorisation financière" et "Nombre de jours pour cotisation RAFP" ne doivent pas être renseignés.</v>
      </c>
      <c r="BN40" s="13"/>
      <c r="BO40" s="15"/>
      <c r="BP40" s="13"/>
      <c r="BQ40" s="15"/>
      <c r="BR40" s="13"/>
      <c r="BS40" s="15"/>
      <c r="BT40" s="13"/>
      <c r="BU40" s="15"/>
      <c r="BV40" s="13"/>
      <c r="BW40" s="15"/>
    </row>
    <row r="41" spans="1:75" ht="142.65" x14ac:dyDescent="0.25">
      <c r="A41" s="13" t="s">
        <v>117</v>
      </c>
      <c r="B41" s="13" t="s">
        <v>77</v>
      </c>
      <c r="C41" s="14">
        <v>44053.459722222222</v>
      </c>
      <c r="D41" s="13" t="s">
        <v>78</v>
      </c>
      <c r="E41" s="15" t="s">
        <v>79</v>
      </c>
      <c r="F41" s="13" t="s">
        <v>80</v>
      </c>
      <c r="G41" s="15" t="s">
        <v>81</v>
      </c>
      <c r="H41" s="13" t="s">
        <v>82</v>
      </c>
      <c r="I41" s="15" t="s">
        <v>81</v>
      </c>
      <c r="J41" s="15" t="s">
        <v>83</v>
      </c>
      <c r="K41" s="15" t="s">
        <v>84</v>
      </c>
      <c r="L41" s="13" t="s">
        <v>118</v>
      </c>
      <c r="M41" s="15" t="s">
        <v>119</v>
      </c>
      <c r="N41" s="14" t="s">
        <v>87</v>
      </c>
      <c r="O41" s="15" t="s">
        <v>120</v>
      </c>
      <c r="P41" s="15" t="s">
        <v>121</v>
      </c>
      <c r="Q41" s="15" t="s">
        <v>230</v>
      </c>
      <c r="R41" s="13" t="s">
        <v>231</v>
      </c>
      <c r="S41" s="13" t="s">
        <v>193</v>
      </c>
      <c r="T41" s="13" t="s">
        <v>93</v>
      </c>
      <c r="U41" s="14">
        <v>40725</v>
      </c>
      <c r="V41" s="14">
        <v>43435</v>
      </c>
      <c r="W41" s="15" t="s">
        <v>177</v>
      </c>
      <c r="X41" s="13" t="s">
        <v>95</v>
      </c>
      <c r="Y41" s="15" t="str">
        <f>VLOOKUP(X41,'Axe 2 Règles de gestion'!$D$2:$F$84,3, FALSE)</f>
        <v>L'agent doit être employé de manière continue et avoir accompli au moins 1 an de service.</v>
      </c>
      <c r="Z41" s="13" t="s">
        <v>97</v>
      </c>
      <c r="AA41" s="15" t="str">
        <f>VLOOKUP(Z41,'Axe 2 Règles de gestion'!$D$2:$F$84,3, FALSE)</f>
        <v>L'agent demande l'ouverture d'un compte épargne-temps auprès du service gestionnaire.</v>
      </c>
      <c r="AB41" s="13" t="s">
        <v>99</v>
      </c>
      <c r="AC41" s="15" t="str">
        <f>VLOOKUP(AB41,'Axe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1" s="13" t="s">
        <v>123</v>
      </c>
      <c r="AE41" s="15" t="str">
        <f>VLOOKUP(AD41,'Axe 2 Règles de gestion'!$D$2:$F$84,3, FALSE)</f>
        <v>L'agent exerce son droit d'option au plus tard le 31 janvier de l'année suivant la période de référence de l'épargne.</v>
      </c>
      <c r="AF41" s="13" t="s">
        <v>178</v>
      </c>
      <c r="AG41" s="15" t="str">
        <f>VLOOKUP(AF41,'Axe 2 Règles de gestion'!$D$2:$F$84,3, FALSE)</f>
        <v>L'agent indique au service gestionnaire son choix entre maintien sur le compte en vue de congés et indemnisation, surtout s'il souhaite conserver ces jours sur son compte épargne-temps.</v>
      </c>
      <c r="AH41" s="13" t="s">
        <v>180</v>
      </c>
      <c r="AI41" s="15" t="str">
        <f>VLOOKUP(AH41,'Axe 2 Règles de gestion'!$D$2:$F$84,3, FALSE)</f>
        <v>En l'absence d'exercice d'une option par l'agent, les jours au-delà de 15 sont automatiquement indemnisés.</v>
      </c>
      <c r="AJ41" s="13"/>
      <c r="AK41" s="15"/>
      <c r="AL41" s="13" t="s">
        <v>101</v>
      </c>
      <c r="AM41" s="15" t="str">
        <f>VLOOKUP(AL41,'Axe 2 Règles de gestion'!$D$2:$F$84,3, FALSE)</f>
        <v>L'agent ne doit pas être soumis à des obligations de service fixées par le statut particulier de son corps ou par un décret commun à plusieurs corps.</v>
      </c>
      <c r="AN41" s="13" t="s">
        <v>103</v>
      </c>
      <c r="AO41" s="15" t="str">
        <f>VLOOKUP(AN41,'Axe 2 Règles de gestion'!$D$2:$F$84,3, FALSE)</f>
        <v>Le nombre de jours maximum du compteur global doit être inférieur ou égal à 60 jours à l'issue de l'exercice du droit d'option.</v>
      </c>
      <c r="AP41" s="13" t="s">
        <v>129</v>
      </c>
      <c r="AQ41" s="15" t="str">
        <f>VLOOKUP(AP41,'Axe 2 Règles de gestion'!$D$2:$F$84,3, FALSE)</f>
        <v>La différence entre le nombre de jours du compteur global du CET et le nombre de jours pour valorisation financière doit être strictement supérieure à 20 jours.</v>
      </c>
      <c r="AR41" s="13"/>
      <c r="AS41" s="15"/>
      <c r="AT41" s="13"/>
      <c r="AU41" s="15"/>
      <c r="AV41" s="13"/>
      <c r="AW41" s="15"/>
      <c r="AX41" s="13"/>
      <c r="AY41" s="15"/>
      <c r="AZ41" s="13"/>
      <c r="BA41" s="15"/>
      <c r="BB41" s="13" t="s">
        <v>105</v>
      </c>
      <c r="BC41" s="15" t="str">
        <f>VLOOKUP(BB41,'Axe 2 Règles de gestion'!$D$2:$F$84,3, FALSE)</f>
        <v>Le nombre de jours de l'opération doit être inférieur ou égal au nombre de jours du compteur global du CET.</v>
      </c>
      <c r="BD41" s="13" t="s">
        <v>107</v>
      </c>
      <c r="BE41" s="15" t="str">
        <f>VLOOKUP(BD41,'Axe 2 Règles de gestion'!$D$2:$F$84,3, FALSE)</f>
        <v>La date de fermeture du CET doit être antérieure ou égale à la date limite de départ en retraite.</v>
      </c>
      <c r="BF41" s="13" t="s">
        <v>109</v>
      </c>
      <c r="BG41" s="15" t="str">
        <f>VLOOKUP(BF41,'Axe 2 Règles de gestion'!$D$2:$F$84,3, FALSE)</f>
        <v>La date de fermeture du CET doit être antérieure ou égale à la date de fin réelle ou prévisionnelle du lien juridique.</v>
      </c>
      <c r="BH41" s="13" t="s">
        <v>111</v>
      </c>
      <c r="BI41" s="15" t="str">
        <f>VLOOKUP(BH41,'Axe 2 Règles de gestion'!$D$2:$F$84,3, FALSE)</f>
        <v>La date d'ouverture du compte épargne temps global doit être postérieure ou égale à la date d'entrée dans le SIRH.</v>
      </c>
      <c r="BJ41" s="13" t="s">
        <v>113</v>
      </c>
      <c r="BK41" s="15" t="str">
        <f>VLOOKUP(BJ41,'Axe 2 Règles de gestion'!$D$2:$F$84,3, FALSE)</f>
        <v>La date d'ouverture du CET doit être renseignée.</v>
      </c>
      <c r="BL41" s="13" t="s">
        <v>182</v>
      </c>
      <c r="BM41" s="15" t="str">
        <f>VLOOKUP(BL41,'Axe 2 Règles de gestion'!$D$2:$F$84,3, FALSE)</f>
        <v>Lorsque le sens de l'opération est égal à "consommé", le nombre de jours pour la cotisation RAFP n'est pas à renseigner.</v>
      </c>
      <c r="BN41" s="13" t="s">
        <v>133</v>
      </c>
      <c r="BO41" s="15" t="str">
        <f>VLOOKUP(BN41,'Axe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41" s="13" t="s">
        <v>135</v>
      </c>
      <c r="BQ41" s="15" t="str">
        <f>VLOOKUP(BP41,'Axe 2 Règles de gestion'!$D$2:$F$84,3, FALSE)</f>
        <v>Lorsque le sens de l'opération est égal à "consommé", l'origine des jours n'est pas à renseigner.</v>
      </c>
      <c r="BR41" s="13"/>
      <c r="BS41" s="15"/>
      <c r="BT41" s="13"/>
      <c r="BU41" s="15"/>
      <c r="BV41" s="13"/>
      <c r="BW41" s="15"/>
    </row>
    <row r="42" spans="1:75" ht="142.65" x14ac:dyDescent="0.25">
      <c r="A42" s="13" t="s">
        <v>117</v>
      </c>
      <c r="B42" s="13" t="s">
        <v>77</v>
      </c>
      <c r="C42" s="14">
        <v>44053.422222222223</v>
      </c>
      <c r="D42" s="13" t="s">
        <v>78</v>
      </c>
      <c r="E42" s="15" t="s">
        <v>79</v>
      </c>
      <c r="F42" s="13" t="s">
        <v>80</v>
      </c>
      <c r="G42" s="15" t="s">
        <v>81</v>
      </c>
      <c r="H42" s="13" t="s">
        <v>82</v>
      </c>
      <c r="I42" s="15" t="s">
        <v>81</v>
      </c>
      <c r="J42" s="15" t="s">
        <v>83</v>
      </c>
      <c r="K42" s="15" t="s">
        <v>84</v>
      </c>
      <c r="L42" s="13" t="s">
        <v>118</v>
      </c>
      <c r="M42" s="15" t="s">
        <v>119</v>
      </c>
      <c r="N42" s="14" t="s">
        <v>87</v>
      </c>
      <c r="O42" s="15" t="s">
        <v>120</v>
      </c>
      <c r="P42" s="15" t="s">
        <v>121</v>
      </c>
      <c r="Q42" s="15" t="s">
        <v>230</v>
      </c>
      <c r="R42" s="13" t="s">
        <v>231</v>
      </c>
      <c r="S42" s="13" t="s">
        <v>193</v>
      </c>
      <c r="T42" s="13" t="s">
        <v>93</v>
      </c>
      <c r="U42" s="14">
        <v>43436</v>
      </c>
      <c r="V42" s="14"/>
      <c r="W42" s="15" t="s">
        <v>184</v>
      </c>
      <c r="X42" s="13" t="s">
        <v>95</v>
      </c>
      <c r="Y42" s="15" t="str">
        <f>VLOOKUP(X42,'Axe 2 Règles de gestion'!$D$2:$F$84,3, FALSE)</f>
        <v>L'agent doit être employé de manière continue et avoir accompli au moins 1 an de service.</v>
      </c>
      <c r="Z42" s="13" t="s">
        <v>97</v>
      </c>
      <c r="AA42" s="15" t="str">
        <f>VLOOKUP(Z42,'Axe 2 Règles de gestion'!$D$2:$F$84,3, FALSE)</f>
        <v>L'agent demande l'ouverture d'un compte épargne-temps auprès du service gestionnaire.</v>
      </c>
      <c r="AB42" s="13" t="s">
        <v>99</v>
      </c>
      <c r="AC42" s="15" t="str">
        <f>VLOOKUP(AB42,'Axe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2" s="13" t="s">
        <v>123</v>
      </c>
      <c r="AE42" s="15" t="str">
        <f>VLOOKUP(AD42,'Axe 2 Règles de gestion'!$D$2:$F$84,3, FALSE)</f>
        <v>L'agent exerce son droit d'option au plus tard le 31 janvier de l'année suivant la période de référence de l'épargne.</v>
      </c>
      <c r="AF42" s="13" t="s">
        <v>178</v>
      </c>
      <c r="AG42" s="15" t="str">
        <f>VLOOKUP(AF42,'Axe 2 Règles de gestion'!$D$2:$F$84,3, FALSE)</f>
        <v>L'agent indique au service gestionnaire son choix entre maintien sur le compte en vue de congés et indemnisation, surtout s'il souhaite conserver ces jours sur son compte épargne-temps.</v>
      </c>
      <c r="AH42" s="13" t="s">
        <v>180</v>
      </c>
      <c r="AI42" s="15" t="str">
        <f>VLOOKUP(AH42,'Axe 2 Règles de gestion'!$D$2:$F$84,3, FALSE)</f>
        <v>En l'absence d'exercice d'une option par l'agent, les jours au-delà de 15 sont automatiquement indemnisés.</v>
      </c>
      <c r="AJ42" s="13"/>
      <c r="AK42" s="15"/>
      <c r="AL42" s="13" t="s">
        <v>101</v>
      </c>
      <c r="AM42" s="15" t="str">
        <f>VLOOKUP(AL42,'Axe 2 Règles de gestion'!$D$2:$F$84,3, FALSE)</f>
        <v>L'agent ne doit pas être soumis à des obligations de service fixées par le statut particulier de son corps ou par un décret commun à plusieurs corps.</v>
      </c>
      <c r="AN42" s="13" t="s">
        <v>103</v>
      </c>
      <c r="AO42" s="15" t="str">
        <f>VLOOKUP(AN42,'Axe 2 Règles de gestion'!$D$2:$F$84,3, FALSE)</f>
        <v>Le nombre de jours maximum du compteur global doit être inférieur ou égal à 60 jours à l'issue de l'exercice du droit d'option.</v>
      </c>
      <c r="AP42" s="13" t="s">
        <v>138</v>
      </c>
      <c r="AQ42" s="15" t="str">
        <f>VLOOKUP(AP42,'Axe 2 Règles de gestion'!$D$2:$F$84,3, FALSE)</f>
        <v>La différence entre le nombre de jours du compteur global du CET et le nombre de jours pour valorisation financière doit être strictement supérieure à 15 jours.</v>
      </c>
      <c r="AR42" s="13"/>
      <c r="AS42" s="15"/>
      <c r="AT42" s="13"/>
      <c r="AU42" s="15"/>
      <c r="AV42" s="13"/>
      <c r="AW42" s="15"/>
      <c r="AX42" s="13"/>
      <c r="AY42" s="15"/>
      <c r="AZ42" s="13"/>
      <c r="BA42" s="15"/>
      <c r="BB42" s="13" t="s">
        <v>105</v>
      </c>
      <c r="BC42" s="15" t="str">
        <f>VLOOKUP(BB42,'Axe 2 Règles de gestion'!$D$2:$F$84,3, FALSE)</f>
        <v>Le nombre de jours de l'opération doit être inférieur ou égal au nombre de jours du compteur global du CET.</v>
      </c>
      <c r="BD42" s="13" t="s">
        <v>107</v>
      </c>
      <c r="BE42" s="15" t="str">
        <f>VLOOKUP(BD42,'Axe 2 Règles de gestion'!$D$2:$F$84,3, FALSE)</f>
        <v>La date de fermeture du CET doit être antérieure ou égale à la date limite de départ en retraite.</v>
      </c>
      <c r="BF42" s="13" t="s">
        <v>109</v>
      </c>
      <c r="BG42" s="15" t="str">
        <f>VLOOKUP(BF42,'Axe 2 Règles de gestion'!$D$2:$F$84,3, FALSE)</f>
        <v>La date de fermeture du CET doit être antérieure ou égale à la date de fin réelle ou prévisionnelle du lien juridique.</v>
      </c>
      <c r="BH42" s="13" t="s">
        <v>111</v>
      </c>
      <c r="BI42" s="15" t="str">
        <f>VLOOKUP(BH42,'Axe 2 Règles de gestion'!$D$2:$F$84,3, FALSE)</f>
        <v>La date d'ouverture du compte épargne temps global doit être postérieure ou égale à la date d'entrée dans le SIRH.</v>
      </c>
      <c r="BJ42" s="13" t="s">
        <v>113</v>
      </c>
      <c r="BK42" s="15" t="str">
        <f>VLOOKUP(BJ42,'Axe 2 Règles de gestion'!$D$2:$F$84,3, FALSE)</f>
        <v>La date d'ouverture du CET doit être renseignée.</v>
      </c>
      <c r="BL42" s="13" t="s">
        <v>182</v>
      </c>
      <c r="BM42" s="15" t="str">
        <f>VLOOKUP(BL42,'Axe 2 Règles de gestion'!$D$2:$F$84,3, FALSE)</f>
        <v>Lorsque le sens de l'opération est égal à "consommé", le nombre de jours pour la cotisation RAFP n'est pas à renseigner.</v>
      </c>
      <c r="BN42" s="13" t="s">
        <v>133</v>
      </c>
      <c r="BO42" s="15" t="str">
        <f>VLOOKUP(BN42,'Axe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42" s="13" t="s">
        <v>135</v>
      </c>
      <c r="BQ42" s="15" t="str">
        <f>VLOOKUP(BP42,'Axe 2 Règles de gestion'!$D$2:$F$84,3, FALSE)</f>
        <v>Lorsque le sens de l'opération est égal à "consommé", l'origine des jours n'est pas à renseigner.</v>
      </c>
      <c r="BR42" s="13"/>
      <c r="BS42" s="15"/>
      <c r="BT42" s="13"/>
      <c r="BU42" s="15"/>
      <c r="BV42" s="13"/>
      <c r="BW42" s="15"/>
    </row>
    <row r="43" spans="1:75" ht="128.4" x14ac:dyDescent="0.25">
      <c r="A43" s="13" t="s">
        <v>117</v>
      </c>
      <c r="B43" s="13" t="s">
        <v>77</v>
      </c>
      <c r="C43" s="14">
        <v>44053.463888888888</v>
      </c>
      <c r="D43" s="13" t="s">
        <v>78</v>
      </c>
      <c r="E43" s="15" t="s">
        <v>79</v>
      </c>
      <c r="F43" s="13" t="s">
        <v>80</v>
      </c>
      <c r="G43" s="15" t="s">
        <v>81</v>
      </c>
      <c r="H43" s="13" t="s">
        <v>82</v>
      </c>
      <c r="I43" s="15" t="s">
        <v>81</v>
      </c>
      <c r="J43" s="15" t="s">
        <v>83</v>
      </c>
      <c r="K43" s="15" t="s">
        <v>84</v>
      </c>
      <c r="L43" s="13" t="s">
        <v>143</v>
      </c>
      <c r="M43" s="15" t="s">
        <v>144</v>
      </c>
      <c r="N43" s="14" t="s">
        <v>87</v>
      </c>
      <c r="O43" s="15" t="s">
        <v>145</v>
      </c>
      <c r="P43" s="15" t="s">
        <v>146</v>
      </c>
      <c r="Q43" s="15" t="s">
        <v>230</v>
      </c>
      <c r="R43" s="13" t="s">
        <v>231</v>
      </c>
      <c r="S43" s="13" t="s">
        <v>193</v>
      </c>
      <c r="T43" s="13" t="s">
        <v>93</v>
      </c>
      <c r="U43" s="14">
        <v>40725</v>
      </c>
      <c r="V43" s="14">
        <v>43435</v>
      </c>
      <c r="W43" s="15" t="s">
        <v>185</v>
      </c>
      <c r="X43" s="13" t="s">
        <v>95</v>
      </c>
      <c r="Y43" s="15" t="str">
        <f>VLOOKUP(X43,'Axe 2 Règles de gestion'!$D$2:$F$84,3, FALSE)</f>
        <v>L'agent doit être employé de manière continue et avoir accompli au moins 1 an de service.</v>
      </c>
      <c r="Z43" s="13" t="s">
        <v>97</v>
      </c>
      <c r="AA43" s="15" t="str">
        <f>VLOOKUP(Z43,'Axe 2 Règles de gestion'!$D$2:$F$84,3, FALSE)</f>
        <v>L'agent demande l'ouverture d'un compte épargne-temps auprès du service gestionnaire.</v>
      </c>
      <c r="AB43" s="13" t="s">
        <v>99</v>
      </c>
      <c r="AC43" s="15" t="str">
        <f>VLOOKUP(AB43,'Axe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3" s="13" t="s">
        <v>150</v>
      </c>
      <c r="AE43" s="15" t="str">
        <f>VLOOKUP(AD43,'Axe 2 Règles de gestion'!$D$2:$F$84,3, FALSE)</f>
        <v>L'agent demande au service gestionnaire l'alimentation de son compte épargne-temps selon les modalités d'usage.</v>
      </c>
      <c r="AF43" s="13"/>
      <c r="AG43" s="15"/>
      <c r="AH43" s="13"/>
      <c r="AI43" s="15"/>
      <c r="AJ43" s="13"/>
      <c r="AK43" s="15"/>
      <c r="AL43" s="13" t="s">
        <v>101</v>
      </c>
      <c r="AM43" s="15" t="str">
        <f>VLOOKUP(AL43,'Axe 2 Règles de gestion'!$D$2:$F$84,3, FALSE)</f>
        <v>L'agent ne doit pas être soumis à des obligations de service fixées par le statut particulier de son corps ou par un décret commun à plusieurs corps.</v>
      </c>
      <c r="AN43" s="13" t="s">
        <v>152</v>
      </c>
      <c r="AO43" s="15" t="str">
        <f>VLOOKUP(AN43,'Axe 2 Règles de gestion'!$D$2:$F$84,3, FALSE)</f>
        <v>Le CET est alimenté par le report de jours de réduction du temps de travail (ARTT), jours supplémentaires hors période et par le report de congés annuels, tels que prévus par le décret du 26 octobre 1984.</v>
      </c>
      <c r="AP43" s="13" t="s">
        <v>154</v>
      </c>
      <c r="AQ43" s="15" t="str">
        <f>VLOOKUP(AP43,'Axe 2 Règles de gestion'!$D$2:$F$84,3, FALSE)</f>
        <v>Le CET est alimenté, pour les personnels relevant du décret du 28 mars 1967, par le report de congés annuels dont ils bénéficient au titre du pays dans lequel ils sont affectés.</v>
      </c>
      <c r="AR43" s="13" t="s">
        <v>103</v>
      </c>
      <c r="AS43" s="15" t="str">
        <f>VLOOKUP(AR43,'Axe 2 Règles de gestion'!$D$2:$F$84,3, FALSE)</f>
        <v>Le nombre de jours maximum du compteur global doit être inférieur ou égal à 60 jours à l'issue de l'exercice du droit d'option.</v>
      </c>
      <c r="AT43" s="13" t="s">
        <v>156</v>
      </c>
      <c r="AU43" s="15" t="str">
        <f>VLOOKUP(AT43,'Axe 2 Règles de gestion'!$D$2:$F$84,3, FALSE)</f>
        <v>Le nombre de jours de congés pris dans l'année doit être supérieur ou égal à 20 jours.</v>
      </c>
      <c r="AV43" s="13" t="s">
        <v>158</v>
      </c>
      <c r="AW43" s="15" t="str">
        <f>VLOOKUP(AV43,'Axe 2 Règles de gestion'!$D$2:$F$84,3, FALSE)</f>
        <v>Le nombre de jours de congés pris dans l'année doit être supérieur ou égal à 20 jours.</v>
      </c>
      <c r="AX43" s="13" t="s">
        <v>159</v>
      </c>
      <c r="AY43" s="15" t="str">
        <f>VLOOKUP(AX43,'Axe 2 Règles de gestion'!$D$2:$F$84,3, FALSE)</f>
        <v>Si le compteur global du CET est inférieur à 20 jours et le sens de l'opération est égal à "versé" alors le nombre de jours du compteur global du CET après saisie doit être inférieur ou égal à 30 jours.</v>
      </c>
      <c r="AZ43" s="13" t="s">
        <v>161</v>
      </c>
      <c r="BA43" s="15" t="str">
        <f>VLOOKUP(AZ43,'Axe 2 Règles de gestion'!$D$2:$F$84,3, FALSE)</f>
        <v>Si le compte épargne global est supérieur ou égal à 20 jours et le sens de l'opération est égal à "versé" alors le nombre de jours de l'opération conservés en congés doit être inférieur ou égal à 10 jours.</v>
      </c>
      <c r="BB43" s="13" t="s">
        <v>105</v>
      </c>
      <c r="BC43" s="15" t="str">
        <f>VLOOKUP(BB43,'Axe 2 Règles de gestion'!$D$2:$F$84,3, FALSE)</f>
        <v>Le nombre de jours de l'opération doit être inférieur ou égal au nombre de jours du compteur global du CET.</v>
      </c>
      <c r="BD43" s="13" t="s">
        <v>107</v>
      </c>
      <c r="BE43" s="15" t="str">
        <f>VLOOKUP(BD43,'Axe 2 Règles de gestion'!$D$2:$F$84,3, FALSE)</f>
        <v>La date de fermeture du CET doit être antérieure ou égale à la date limite de départ en retraite.</v>
      </c>
      <c r="BF43" s="13" t="s">
        <v>109</v>
      </c>
      <c r="BG43" s="15" t="str">
        <f>VLOOKUP(BF43,'Axe 2 Règles de gestion'!$D$2:$F$84,3, FALSE)</f>
        <v>La date de fermeture du CET doit être antérieure ou égale à la date de fin réelle ou prévisionnelle du lien juridique.</v>
      </c>
      <c r="BH43" s="13" t="s">
        <v>111</v>
      </c>
      <c r="BI43" s="15" t="str">
        <f>VLOOKUP(BH43,'Axe 2 Règles de gestion'!$D$2:$F$84,3, FALSE)</f>
        <v>La date d'ouverture du compte épargne temps global doit être postérieure ou égale à la date d'entrée dans le SIRH.</v>
      </c>
      <c r="BJ43" s="13" t="s">
        <v>113</v>
      </c>
      <c r="BK43" s="15" t="str">
        <f>VLOOKUP(BJ43,'Axe 2 Règles de gestion'!$D$2:$F$84,3, FALSE)</f>
        <v>La date d'ouverture du CET doit être renseignée.</v>
      </c>
      <c r="BL43" s="13" t="s">
        <v>163</v>
      </c>
      <c r="BM43" s="15" t="str">
        <f>VLOOKUP(BL43,'Axe 2 Règles de gestion'!$D$2:$F$84,3, FALSE)</f>
        <v>Lorsque le sens de l'opération est à "Versé", le compteur global saisi est égal au compteur global de l'occurrence précédente auquel sont ajoutés les jours versés.</v>
      </c>
      <c r="BN43" s="13" t="s">
        <v>165</v>
      </c>
      <c r="BO43" s="15" t="str">
        <f>VLOOKUP(BN43,'Axe 2 Règles de gestion'!$D$2:$F$84,3, FALSE)</f>
        <v>Lorsque le sens de l'opération est égal à "versé", le nombre de jours pour valorisation financière et le nombre de jours pour cotisation RAFP ne doivent pas être renseignés.</v>
      </c>
      <c r="BP43" s="13"/>
      <c r="BQ43" s="15"/>
      <c r="BR43" s="13"/>
      <c r="BS43" s="15"/>
      <c r="BT43" s="13"/>
      <c r="BU43" s="15"/>
      <c r="BV43" s="13"/>
      <c r="BW43" s="15"/>
    </row>
    <row r="44" spans="1:75" ht="128.4" x14ac:dyDescent="0.25">
      <c r="A44" s="13" t="s">
        <v>117</v>
      </c>
      <c r="B44" s="13" t="s">
        <v>77</v>
      </c>
      <c r="C44" s="14">
        <v>44053.438888888886</v>
      </c>
      <c r="D44" s="13" t="s">
        <v>78</v>
      </c>
      <c r="E44" s="15" t="s">
        <v>79</v>
      </c>
      <c r="F44" s="13" t="s">
        <v>80</v>
      </c>
      <c r="G44" s="15" t="s">
        <v>81</v>
      </c>
      <c r="H44" s="13" t="s">
        <v>82</v>
      </c>
      <c r="I44" s="15" t="s">
        <v>81</v>
      </c>
      <c r="J44" s="15" t="s">
        <v>83</v>
      </c>
      <c r="K44" s="15" t="s">
        <v>84</v>
      </c>
      <c r="L44" s="13" t="s">
        <v>143</v>
      </c>
      <c r="M44" s="15" t="s">
        <v>144</v>
      </c>
      <c r="N44" s="14" t="s">
        <v>87</v>
      </c>
      <c r="O44" s="15" t="s">
        <v>145</v>
      </c>
      <c r="P44" s="15" t="s">
        <v>146</v>
      </c>
      <c r="Q44" s="15" t="s">
        <v>230</v>
      </c>
      <c r="R44" s="13" t="s">
        <v>231</v>
      </c>
      <c r="S44" s="13" t="s">
        <v>193</v>
      </c>
      <c r="T44" s="13" t="s">
        <v>93</v>
      </c>
      <c r="U44" s="14">
        <v>43436</v>
      </c>
      <c r="V44" s="14"/>
      <c r="W44" s="15" t="s">
        <v>186</v>
      </c>
      <c r="X44" s="13" t="s">
        <v>95</v>
      </c>
      <c r="Y44" s="15" t="str">
        <f>VLOOKUP(X44,'Axe 2 Règles de gestion'!$D$2:$F$84,3, FALSE)</f>
        <v>L'agent doit être employé de manière continue et avoir accompli au moins 1 an de service.</v>
      </c>
      <c r="Z44" s="13" t="s">
        <v>97</v>
      </c>
      <c r="AA44" s="15" t="str">
        <f>VLOOKUP(Z44,'Axe 2 Règles de gestion'!$D$2:$F$84,3, FALSE)</f>
        <v>L'agent demande l'ouverture d'un compte épargne-temps auprès du service gestionnaire.</v>
      </c>
      <c r="AB44" s="13" t="s">
        <v>99</v>
      </c>
      <c r="AC44" s="15" t="str">
        <f>VLOOKUP(AB44,'Axe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4" s="13" t="s">
        <v>150</v>
      </c>
      <c r="AE44" s="15" t="str">
        <f>VLOOKUP(AD44,'Axe 2 Règles de gestion'!$D$2:$F$84,3, FALSE)</f>
        <v>L'agent demande au service gestionnaire l'alimentation de son compte épargne-temps selon les modalités d'usage.</v>
      </c>
      <c r="AF44" s="13"/>
      <c r="AG44" s="15"/>
      <c r="AH44" s="13"/>
      <c r="AI44" s="15"/>
      <c r="AJ44" s="13"/>
      <c r="AK44" s="15"/>
      <c r="AL44" s="13" t="s">
        <v>101</v>
      </c>
      <c r="AM44" s="15" t="str">
        <f>VLOOKUP(AL44,'Axe 2 Règles de gestion'!$D$2:$F$84,3, FALSE)</f>
        <v>L'agent ne doit pas être soumis à des obligations de service fixées par le statut particulier de son corps ou par un décret commun à plusieurs corps.</v>
      </c>
      <c r="AN44" s="13" t="s">
        <v>152</v>
      </c>
      <c r="AO44" s="15" t="str">
        <f>VLOOKUP(AN44,'Axe 2 Règles de gestion'!$D$2:$F$84,3, FALSE)</f>
        <v>Le CET est alimenté par le report de jours de réduction du temps de travail (ARTT), jours supplémentaires hors période et par le report de congés annuels, tels que prévus par le décret du 26 octobre 1984.</v>
      </c>
      <c r="AP44" s="13" t="s">
        <v>154</v>
      </c>
      <c r="AQ44" s="15" t="str">
        <f>VLOOKUP(AP44,'Axe 2 Règles de gestion'!$D$2:$F$84,3, FALSE)</f>
        <v>Le CET est alimenté, pour les personnels relevant du décret du 28 mars 1967, par le report de congés annuels dont ils bénéficient au titre du pays dans lequel ils sont affectés.</v>
      </c>
      <c r="AR44" s="13" t="s">
        <v>103</v>
      </c>
      <c r="AS44" s="15" t="str">
        <f>VLOOKUP(AR44,'Axe 2 Règles de gestion'!$D$2:$F$84,3, FALSE)</f>
        <v>Le nombre de jours maximum du compteur global doit être inférieur ou égal à 60 jours à l'issue de l'exercice du droit d'option.</v>
      </c>
      <c r="AT44" s="13" t="s">
        <v>156</v>
      </c>
      <c r="AU44" s="15" t="str">
        <f>VLOOKUP(AT44,'Axe 2 Règles de gestion'!$D$2:$F$84,3, FALSE)</f>
        <v>Le nombre de jours de congés pris dans l'année doit être supérieur ou égal à 20 jours.</v>
      </c>
      <c r="AV44" s="13" t="s">
        <v>158</v>
      </c>
      <c r="AW44" s="15" t="str">
        <f>VLOOKUP(AV44,'Axe 2 Règles de gestion'!$D$2:$F$84,3, FALSE)</f>
        <v>Le nombre de jours de congés pris dans l'année doit être supérieur ou égal à 20 jours.</v>
      </c>
      <c r="AX44" s="13" t="s">
        <v>168</v>
      </c>
      <c r="AY44" s="15" t="str">
        <f>VLOOKUP(AX44,'Axe 2 Règles de gestion'!$D$2:$F$84,3, FALSE)</f>
        <v>Si le compteur global du CET est inférieur à 15 jours et le sens de l'opération est égal à "versé" alors le nombre de jours du compteur global du CET après saisie doit être inférieur ou égal à 25 jours.</v>
      </c>
      <c r="AZ44" s="13" t="s">
        <v>170</v>
      </c>
      <c r="BA44" s="15" t="str">
        <f>VLOOKUP(AZ44,'Axe 2 Règles de gestion'!$D$2:$F$84,3, FALSE)</f>
        <v>Si le compte épargne global est supérieur ou égal à 15 jours et le sens de l'opération est égal à "versé" alors le nombre de jours de l'opération conservés en congés doit être inférieur ou égal à 10 jours.</v>
      </c>
      <c r="BB44" s="13" t="s">
        <v>105</v>
      </c>
      <c r="BC44" s="15" t="str">
        <f>VLOOKUP(BB44,'Axe 2 Règles de gestion'!$D$2:$F$84,3, FALSE)</f>
        <v>Le nombre de jours de l'opération doit être inférieur ou égal au nombre de jours du compteur global du CET.</v>
      </c>
      <c r="BD44" s="13" t="s">
        <v>107</v>
      </c>
      <c r="BE44" s="15" t="str">
        <f>VLOOKUP(BD44,'Axe 2 Règles de gestion'!$D$2:$F$84,3, FALSE)</f>
        <v>La date de fermeture du CET doit être antérieure ou égale à la date limite de départ en retraite.</v>
      </c>
      <c r="BF44" s="13" t="s">
        <v>109</v>
      </c>
      <c r="BG44" s="15" t="str">
        <f>VLOOKUP(BF44,'Axe 2 Règles de gestion'!$D$2:$F$84,3, FALSE)</f>
        <v>La date de fermeture du CET doit être antérieure ou égale à la date de fin réelle ou prévisionnelle du lien juridique.</v>
      </c>
      <c r="BH44" s="13" t="s">
        <v>111</v>
      </c>
      <c r="BI44" s="15" t="str">
        <f>VLOOKUP(BH44,'Axe 2 Règles de gestion'!$D$2:$F$84,3, FALSE)</f>
        <v>La date d'ouverture du compte épargne temps global doit être postérieure ou égale à la date d'entrée dans le SIRH.</v>
      </c>
      <c r="BJ44" s="13" t="s">
        <v>113</v>
      </c>
      <c r="BK44" s="15" t="str">
        <f>VLOOKUP(BJ44,'Axe 2 Règles de gestion'!$D$2:$F$84,3, FALSE)</f>
        <v>La date d'ouverture du CET doit être renseignée.</v>
      </c>
      <c r="BL44" s="13" t="s">
        <v>163</v>
      </c>
      <c r="BM44" s="15" t="str">
        <f>VLOOKUP(BL44,'Axe 2 Règles de gestion'!$D$2:$F$84,3, FALSE)</f>
        <v>Lorsque le sens de l'opération est à "Versé", le compteur global saisi est égal au compteur global de l'occurrence précédente auquel sont ajoutés les jours versés.</v>
      </c>
      <c r="BN44" s="13" t="s">
        <v>165</v>
      </c>
      <c r="BO44" s="15" t="str">
        <f>VLOOKUP(BN44,'Axe 2 Règles de gestion'!$D$2:$F$84,3, FALSE)</f>
        <v>Lorsque le sens de l'opération est égal à "versé", le nombre de jours pour valorisation financière et le nombre de jours pour cotisation RAFP ne doivent pas être renseignés.</v>
      </c>
      <c r="BP44" s="13"/>
      <c r="BQ44" s="15"/>
      <c r="BR44" s="13"/>
      <c r="BS44" s="15"/>
      <c r="BT44" s="13"/>
      <c r="BU44" s="15"/>
      <c r="BV44" s="13"/>
      <c r="BW44" s="15"/>
    </row>
    <row r="45" spans="1:75" ht="128.4" x14ac:dyDescent="0.25">
      <c r="A45" s="13" t="s">
        <v>232</v>
      </c>
      <c r="B45" s="13" t="s">
        <v>77</v>
      </c>
      <c r="C45" s="14">
        <v>45994.431250000001</v>
      </c>
      <c r="D45" s="13" t="s">
        <v>78</v>
      </c>
      <c r="E45" s="15" t="s">
        <v>79</v>
      </c>
      <c r="F45" s="13" t="s">
        <v>80</v>
      </c>
      <c r="G45" s="15" t="s">
        <v>81</v>
      </c>
      <c r="H45" s="13" t="s">
        <v>82</v>
      </c>
      <c r="I45" s="15" t="s">
        <v>81</v>
      </c>
      <c r="J45" s="15" t="s">
        <v>83</v>
      </c>
      <c r="K45" s="15" t="s">
        <v>84</v>
      </c>
      <c r="L45" s="13" t="s">
        <v>85</v>
      </c>
      <c r="M45" s="15" t="s">
        <v>86</v>
      </c>
      <c r="N45" s="14" t="s">
        <v>87</v>
      </c>
      <c r="O45" s="15" t="s">
        <v>88</v>
      </c>
      <c r="P45" s="15" t="s">
        <v>89</v>
      </c>
      <c r="Q45" s="15" t="s">
        <v>233</v>
      </c>
      <c r="R45" s="13" t="s">
        <v>234</v>
      </c>
      <c r="S45" s="13" t="s">
        <v>193</v>
      </c>
      <c r="T45" s="13" t="s">
        <v>93</v>
      </c>
      <c r="U45" s="14">
        <v>40725</v>
      </c>
      <c r="V45" s="14">
        <v>45900</v>
      </c>
      <c r="W45" s="15" t="s">
        <v>94</v>
      </c>
      <c r="X45" s="13" t="s">
        <v>95</v>
      </c>
      <c r="Y45" s="15" t="str">
        <f>VLOOKUP(X45,'Axe 2 Règles de gestion'!$D$2:$F$84,3, FALSE)</f>
        <v>L'agent doit être employé de manière continue et avoir accompli au moins 1 an de service.</v>
      </c>
      <c r="Z45" s="13" t="s">
        <v>97</v>
      </c>
      <c r="AA45" s="15" t="str">
        <f>VLOOKUP(Z45,'Axe 2 Règles de gestion'!$D$2:$F$84,3, FALSE)</f>
        <v>L'agent demande l'ouverture d'un compte épargne-temps auprès du service gestionnaire.</v>
      </c>
      <c r="AB45" s="13" t="s">
        <v>99</v>
      </c>
      <c r="AC45" s="15" t="str">
        <f>VLOOKUP(AB45,'Axe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5" s="13"/>
      <c r="AE45" s="15"/>
      <c r="AF45" s="13"/>
      <c r="AG45" s="15"/>
      <c r="AH45" s="13"/>
      <c r="AI45" s="15"/>
      <c r="AJ45" s="13"/>
      <c r="AK45" s="15"/>
      <c r="AL45" s="13" t="s">
        <v>101</v>
      </c>
      <c r="AM45" s="15" t="str">
        <f>VLOOKUP(AL45,'Axe 2 Règles de gestion'!$D$2:$F$84,3, FALSE)</f>
        <v>L'agent ne doit pas être soumis à des obligations de service fixées par le statut particulier de son corps ou par un décret commun à plusieurs corps.</v>
      </c>
      <c r="AN45" s="13" t="s">
        <v>103</v>
      </c>
      <c r="AO45" s="15" t="str">
        <f>VLOOKUP(AN45,'Axe 2 Règles de gestion'!$D$2:$F$84,3, FALSE)</f>
        <v>Le nombre de jours maximum du compteur global doit être inférieur ou égal à 60 jours à l'issue de l'exercice du droit d'option.</v>
      </c>
      <c r="AP45" s="13"/>
      <c r="AQ45" s="15"/>
      <c r="AR45" s="13"/>
      <c r="AS45" s="15"/>
      <c r="AT45" s="13"/>
      <c r="AU45" s="15"/>
      <c r="AV45" s="13"/>
      <c r="AW45" s="15"/>
      <c r="AX45" s="13"/>
      <c r="AY45" s="15"/>
      <c r="AZ45" s="13"/>
      <c r="BA45" s="15"/>
      <c r="BB45" s="13" t="s">
        <v>105</v>
      </c>
      <c r="BC45" s="15" t="str">
        <f>VLOOKUP(BB45,'Axe 2 Règles de gestion'!$D$2:$F$84,3, FALSE)</f>
        <v>Le nombre de jours de l'opération doit être inférieur ou égal au nombre de jours du compteur global du CET.</v>
      </c>
      <c r="BD45" s="13" t="s">
        <v>107</v>
      </c>
      <c r="BE45" s="15" t="str">
        <f>VLOOKUP(BD45,'Axe 2 Règles de gestion'!$D$2:$F$84,3, FALSE)</f>
        <v>La date de fermeture du CET doit être antérieure ou égale à la date limite de départ en retraite.</v>
      </c>
      <c r="BF45" s="13" t="s">
        <v>109</v>
      </c>
      <c r="BG45" s="15" t="str">
        <f>VLOOKUP(BF45,'Axe 2 Règles de gestion'!$D$2:$F$84,3, FALSE)</f>
        <v>La date de fermeture du CET doit être antérieure ou égale à la date de fin réelle ou prévisionnelle du lien juridique.</v>
      </c>
      <c r="BH45" s="13" t="s">
        <v>111</v>
      </c>
      <c r="BI45" s="15" t="str">
        <f>VLOOKUP(BH45,'Axe 2 Règles de gestion'!$D$2:$F$84,3, FALSE)</f>
        <v>La date d'ouverture du compte épargne temps global doit être postérieure ou égale à la date d'entrée dans le SIRH.</v>
      </c>
      <c r="BJ45" s="13" t="s">
        <v>113</v>
      </c>
      <c r="BK45" s="15" t="str">
        <f>VLOOKUP(BJ45,'Axe 2 Règles de gestion'!$D$2:$F$84,3, FALSE)</f>
        <v>La date d'ouverture du CET doit être renseignée.</v>
      </c>
      <c r="BL45" s="13" t="s">
        <v>115</v>
      </c>
      <c r="BM45" s="15" t="str">
        <f>VLOOKUP(BL45,'Axe 2 Règles de gestion'!$D$2:$F$84,3, FALSE)</f>
        <v>Les champs "Origine", "Nombre de jours de l'opération", "Nombre de jours pour valorisation financière" et "Nombre de jours pour cotisation RAFP" ne doivent pas être renseignés.</v>
      </c>
      <c r="BN45" s="13"/>
      <c r="BO45" s="15"/>
      <c r="BP45" s="13"/>
      <c r="BQ45" s="15"/>
      <c r="BR45" s="13"/>
      <c r="BS45" s="15"/>
      <c r="BT45" s="13"/>
      <c r="BU45" s="15"/>
      <c r="BV45" s="13" t="s">
        <v>235</v>
      </c>
      <c r="BW45" s="15"/>
    </row>
    <row r="46" spans="1:75" ht="142.65" x14ac:dyDescent="0.25">
      <c r="A46" s="13" t="s">
        <v>117</v>
      </c>
      <c r="B46" s="13" t="s">
        <v>77</v>
      </c>
      <c r="C46" s="14">
        <v>44053.461111111108</v>
      </c>
      <c r="D46" s="13" t="s">
        <v>78</v>
      </c>
      <c r="E46" s="15" t="s">
        <v>79</v>
      </c>
      <c r="F46" s="13" t="s">
        <v>80</v>
      </c>
      <c r="G46" s="15" t="s">
        <v>81</v>
      </c>
      <c r="H46" s="13" t="s">
        <v>82</v>
      </c>
      <c r="I46" s="15" t="s">
        <v>81</v>
      </c>
      <c r="J46" s="15" t="s">
        <v>83</v>
      </c>
      <c r="K46" s="15" t="s">
        <v>84</v>
      </c>
      <c r="L46" s="13" t="s">
        <v>118</v>
      </c>
      <c r="M46" s="15" t="s">
        <v>119</v>
      </c>
      <c r="N46" s="14" t="s">
        <v>87</v>
      </c>
      <c r="O46" s="15" t="s">
        <v>120</v>
      </c>
      <c r="P46" s="15" t="s">
        <v>121</v>
      </c>
      <c r="Q46" s="15" t="s">
        <v>233</v>
      </c>
      <c r="R46" s="13" t="s">
        <v>234</v>
      </c>
      <c r="S46" s="13" t="s">
        <v>193</v>
      </c>
      <c r="T46" s="13" t="s">
        <v>93</v>
      </c>
      <c r="U46" s="14">
        <v>40725</v>
      </c>
      <c r="V46" s="14">
        <v>43435</v>
      </c>
      <c r="W46" s="15" t="s">
        <v>177</v>
      </c>
      <c r="X46" s="13" t="s">
        <v>95</v>
      </c>
      <c r="Y46" s="15" t="str">
        <f>VLOOKUP(X46,'Axe 2 Règles de gestion'!$D$2:$F$84,3, FALSE)</f>
        <v>L'agent doit être employé de manière continue et avoir accompli au moins 1 an de service.</v>
      </c>
      <c r="Z46" s="13" t="s">
        <v>97</v>
      </c>
      <c r="AA46" s="15" t="str">
        <f>VLOOKUP(Z46,'Axe 2 Règles de gestion'!$D$2:$F$84,3, FALSE)</f>
        <v>L'agent demande l'ouverture d'un compte épargne-temps auprès du service gestionnaire.</v>
      </c>
      <c r="AB46" s="13" t="s">
        <v>99</v>
      </c>
      <c r="AC46" s="15" t="str">
        <f>VLOOKUP(AB46,'Axe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6" s="13" t="s">
        <v>123</v>
      </c>
      <c r="AE46" s="15" t="str">
        <f>VLOOKUP(AD46,'Axe 2 Règles de gestion'!$D$2:$F$84,3, FALSE)</f>
        <v>L'agent exerce son droit d'option au plus tard le 31 janvier de l'année suivant la période de référence de l'épargne.</v>
      </c>
      <c r="AF46" s="13" t="s">
        <v>178</v>
      </c>
      <c r="AG46" s="15" t="str">
        <f>VLOOKUP(AF46,'Axe 2 Règles de gestion'!$D$2:$F$84,3, FALSE)</f>
        <v>L'agent indique au service gestionnaire son choix entre maintien sur le compte en vue de congés et indemnisation, surtout s'il souhaite conserver ces jours sur son compte épargne-temps.</v>
      </c>
      <c r="AH46" s="13" t="s">
        <v>180</v>
      </c>
      <c r="AI46" s="15" t="str">
        <f>VLOOKUP(AH46,'Axe 2 Règles de gestion'!$D$2:$F$84,3, FALSE)</f>
        <v>En l'absence d'exercice d'une option par l'agent, les jours au-delà de 15 sont automatiquement indemnisés.</v>
      </c>
      <c r="AJ46" s="13"/>
      <c r="AK46" s="15"/>
      <c r="AL46" s="13" t="s">
        <v>101</v>
      </c>
      <c r="AM46" s="15" t="str">
        <f>VLOOKUP(AL46,'Axe 2 Règles de gestion'!$D$2:$F$84,3, FALSE)</f>
        <v>L'agent ne doit pas être soumis à des obligations de service fixées par le statut particulier de son corps ou par un décret commun à plusieurs corps.</v>
      </c>
      <c r="AN46" s="13" t="s">
        <v>103</v>
      </c>
      <c r="AO46" s="15" t="str">
        <f>VLOOKUP(AN46,'Axe 2 Règles de gestion'!$D$2:$F$84,3, FALSE)</f>
        <v>Le nombre de jours maximum du compteur global doit être inférieur ou égal à 60 jours à l'issue de l'exercice du droit d'option.</v>
      </c>
      <c r="AP46" s="13" t="s">
        <v>129</v>
      </c>
      <c r="AQ46" s="15" t="str">
        <f>VLOOKUP(AP46,'Axe 2 Règles de gestion'!$D$2:$F$84,3, FALSE)</f>
        <v>La différence entre le nombre de jours du compteur global du CET et le nombre de jours pour valorisation financière doit être strictement supérieure à 20 jours.</v>
      </c>
      <c r="AR46" s="13"/>
      <c r="AS46" s="15"/>
      <c r="AT46" s="13"/>
      <c r="AU46" s="15"/>
      <c r="AV46" s="13"/>
      <c r="AW46" s="15"/>
      <c r="AX46" s="13"/>
      <c r="AY46" s="15"/>
      <c r="AZ46" s="13"/>
      <c r="BA46" s="15"/>
      <c r="BB46" s="13" t="s">
        <v>105</v>
      </c>
      <c r="BC46" s="15" t="str">
        <f>VLOOKUP(BB46,'Axe 2 Règles de gestion'!$D$2:$F$84,3, FALSE)</f>
        <v>Le nombre de jours de l'opération doit être inférieur ou égal au nombre de jours du compteur global du CET.</v>
      </c>
      <c r="BD46" s="13" t="s">
        <v>107</v>
      </c>
      <c r="BE46" s="15" t="str">
        <f>VLOOKUP(BD46,'Axe 2 Règles de gestion'!$D$2:$F$84,3, FALSE)</f>
        <v>La date de fermeture du CET doit être antérieure ou égale à la date limite de départ en retraite.</v>
      </c>
      <c r="BF46" s="13" t="s">
        <v>109</v>
      </c>
      <c r="BG46" s="15" t="str">
        <f>VLOOKUP(BF46,'Axe 2 Règles de gestion'!$D$2:$F$84,3, FALSE)</f>
        <v>La date de fermeture du CET doit être antérieure ou égale à la date de fin réelle ou prévisionnelle du lien juridique.</v>
      </c>
      <c r="BH46" s="13" t="s">
        <v>111</v>
      </c>
      <c r="BI46" s="15" t="str">
        <f>VLOOKUP(BH46,'Axe 2 Règles de gestion'!$D$2:$F$84,3, FALSE)</f>
        <v>La date d'ouverture du compte épargne temps global doit être postérieure ou égale à la date d'entrée dans le SIRH.</v>
      </c>
      <c r="BJ46" s="13" t="s">
        <v>113</v>
      </c>
      <c r="BK46" s="15" t="str">
        <f>VLOOKUP(BJ46,'Axe 2 Règles de gestion'!$D$2:$F$84,3, FALSE)</f>
        <v>La date d'ouverture du CET doit être renseignée.</v>
      </c>
      <c r="BL46" s="13" t="s">
        <v>182</v>
      </c>
      <c r="BM46" s="15" t="str">
        <f>VLOOKUP(BL46,'Axe 2 Règles de gestion'!$D$2:$F$84,3, FALSE)</f>
        <v>Lorsque le sens de l'opération est égal à "consommé", le nombre de jours pour la cotisation RAFP n'est pas à renseigner.</v>
      </c>
      <c r="BN46" s="13" t="s">
        <v>133</v>
      </c>
      <c r="BO46" s="15" t="str">
        <f>VLOOKUP(BN46,'Axe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46" s="13" t="s">
        <v>135</v>
      </c>
      <c r="BQ46" s="15" t="str">
        <f>VLOOKUP(BP46,'Axe 2 Règles de gestion'!$D$2:$F$84,3, FALSE)</f>
        <v>Lorsque le sens de l'opération est égal à "consommé", l'origine des jours n'est pas à renseigner.</v>
      </c>
      <c r="BR46" s="13"/>
      <c r="BS46" s="15"/>
      <c r="BT46" s="13"/>
      <c r="BU46" s="15"/>
      <c r="BV46" s="13"/>
      <c r="BW46" s="15"/>
    </row>
    <row r="47" spans="1:75" ht="142.65" x14ac:dyDescent="0.25">
      <c r="A47" s="13" t="s">
        <v>232</v>
      </c>
      <c r="B47" s="13" t="s">
        <v>77</v>
      </c>
      <c r="C47" s="14">
        <v>45994.431944444441</v>
      </c>
      <c r="D47" s="13" t="s">
        <v>78</v>
      </c>
      <c r="E47" s="15" t="s">
        <v>79</v>
      </c>
      <c r="F47" s="13" t="s">
        <v>80</v>
      </c>
      <c r="G47" s="15" t="s">
        <v>81</v>
      </c>
      <c r="H47" s="13" t="s">
        <v>82</v>
      </c>
      <c r="I47" s="15" t="s">
        <v>81</v>
      </c>
      <c r="J47" s="15" t="s">
        <v>83</v>
      </c>
      <c r="K47" s="15" t="s">
        <v>84</v>
      </c>
      <c r="L47" s="13" t="s">
        <v>118</v>
      </c>
      <c r="M47" s="15" t="s">
        <v>119</v>
      </c>
      <c r="N47" s="14" t="s">
        <v>87</v>
      </c>
      <c r="O47" s="15" t="s">
        <v>120</v>
      </c>
      <c r="P47" s="15" t="s">
        <v>121</v>
      </c>
      <c r="Q47" s="15" t="s">
        <v>233</v>
      </c>
      <c r="R47" s="13" t="s">
        <v>234</v>
      </c>
      <c r="S47" s="13" t="s">
        <v>193</v>
      </c>
      <c r="T47" s="13" t="s">
        <v>93</v>
      </c>
      <c r="U47" s="14">
        <v>43436</v>
      </c>
      <c r="V47" s="14">
        <v>45900</v>
      </c>
      <c r="W47" s="15" t="s">
        <v>184</v>
      </c>
      <c r="X47" s="13" t="s">
        <v>95</v>
      </c>
      <c r="Y47" s="15" t="str">
        <f>VLOOKUP(X47,'Axe 2 Règles de gestion'!$D$2:$F$84,3, FALSE)</f>
        <v>L'agent doit être employé de manière continue et avoir accompli au moins 1 an de service.</v>
      </c>
      <c r="Z47" s="13" t="s">
        <v>97</v>
      </c>
      <c r="AA47" s="15" t="str">
        <f>VLOOKUP(Z47,'Axe 2 Règles de gestion'!$D$2:$F$84,3, FALSE)</f>
        <v>L'agent demande l'ouverture d'un compte épargne-temps auprès du service gestionnaire.</v>
      </c>
      <c r="AB47" s="13" t="s">
        <v>99</v>
      </c>
      <c r="AC47" s="15" t="str">
        <f>VLOOKUP(AB47,'Axe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7" s="13" t="s">
        <v>123</v>
      </c>
      <c r="AE47" s="15" t="str">
        <f>VLOOKUP(AD47,'Axe 2 Règles de gestion'!$D$2:$F$84,3, FALSE)</f>
        <v>L'agent exerce son droit d'option au plus tard le 31 janvier de l'année suivant la période de référence de l'épargne.</v>
      </c>
      <c r="AF47" s="13" t="s">
        <v>178</v>
      </c>
      <c r="AG47" s="15" t="str">
        <f>VLOOKUP(AF47,'Axe 2 Règles de gestion'!$D$2:$F$84,3, FALSE)</f>
        <v>L'agent indique au service gestionnaire son choix entre maintien sur le compte en vue de congés et indemnisation, surtout s'il souhaite conserver ces jours sur son compte épargne-temps.</v>
      </c>
      <c r="AH47" s="13" t="s">
        <v>180</v>
      </c>
      <c r="AI47" s="15" t="str">
        <f>VLOOKUP(AH47,'Axe 2 Règles de gestion'!$D$2:$F$84,3, FALSE)</f>
        <v>En l'absence d'exercice d'une option par l'agent, les jours au-delà de 15 sont automatiquement indemnisés.</v>
      </c>
      <c r="AJ47" s="13"/>
      <c r="AK47" s="15"/>
      <c r="AL47" s="13" t="s">
        <v>101</v>
      </c>
      <c r="AM47" s="15" t="str">
        <f>VLOOKUP(AL47,'Axe 2 Règles de gestion'!$D$2:$F$84,3, FALSE)</f>
        <v>L'agent ne doit pas être soumis à des obligations de service fixées par le statut particulier de son corps ou par un décret commun à plusieurs corps.</v>
      </c>
      <c r="AN47" s="13" t="s">
        <v>103</v>
      </c>
      <c r="AO47" s="15" t="str">
        <f>VLOOKUP(AN47,'Axe 2 Règles de gestion'!$D$2:$F$84,3, FALSE)</f>
        <v>Le nombre de jours maximum du compteur global doit être inférieur ou égal à 60 jours à l'issue de l'exercice du droit d'option.</v>
      </c>
      <c r="AP47" s="13" t="s">
        <v>138</v>
      </c>
      <c r="AQ47" s="15" t="str">
        <f>VLOOKUP(AP47,'Axe 2 Règles de gestion'!$D$2:$F$84,3, FALSE)</f>
        <v>La différence entre le nombre de jours du compteur global du CET et le nombre de jours pour valorisation financière doit être strictement supérieure à 15 jours.</v>
      </c>
      <c r="AR47" s="13"/>
      <c r="AS47" s="15"/>
      <c r="AT47" s="13"/>
      <c r="AU47" s="15"/>
      <c r="AV47" s="13"/>
      <c r="AW47" s="15"/>
      <c r="AX47" s="13"/>
      <c r="AY47" s="15"/>
      <c r="AZ47" s="13"/>
      <c r="BA47" s="15"/>
      <c r="BB47" s="13" t="s">
        <v>105</v>
      </c>
      <c r="BC47" s="15" t="str">
        <f>VLOOKUP(BB47,'Axe 2 Règles de gestion'!$D$2:$F$84,3, FALSE)</f>
        <v>Le nombre de jours de l'opération doit être inférieur ou égal au nombre de jours du compteur global du CET.</v>
      </c>
      <c r="BD47" s="13" t="s">
        <v>107</v>
      </c>
      <c r="BE47" s="15" t="str">
        <f>VLOOKUP(BD47,'Axe 2 Règles de gestion'!$D$2:$F$84,3, FALSE)</f>
        <v>La date de fermeture du CET doit être antérieure ou égale à la date limite de départ en retraite.</v>
      </c>
      <c r="BF47" s="13" t="s">
        <v>109</v>
      </c>
      <c r="BG47" s="15" t="str">
        <f>VLOOKUP(BF47,'Axe 2 Règles de gestion'!$D$2:$F$84,3, FALSE)</f>
        <v>La date de fermeture du CET doit être antérieure ou égale à la date de fin réelle ou prévisionnelle du lien juridique.</v>
      </c>
      <c r="BH47" s="13" t="s">
        <v>111</v>
      </c>
      <c r="BI47" s="15" t="str">
        <f>VLOOKUP(BH47,'Axe 2 Règles de gestion'!$D$2:$F$84,3, FALSE)</f>
        <v>La date d'ouverture du compte épargne temps global doit être postérieure ou égale à la date d'entrée dans le SIRH.</v>
      </c>
      <c r="BJ47" s="13" t="s">
        <v>113</v>
      </c>
      <c r="BK47" s="15" t="str">
        <f>VLOOKUP(BJ47,'Axe 2 Règles de gestion'!$D$2:$F$84,3, FALSE)</f>
        <v>La date d'ouverture du CET doit être renseignée.</v>
      </c>
      <c r="BL47" s="13" t="s">
        <v>182</v>
      </c>
      <c r="BM47" s="15" t="str">
        <f>VLOOKUP(BL47,'Axe 2 Règles de gestion'!$D$2:$F$84,3, FALSE)</f>
        <v>Lorsque le sens de l'opération est égal à "consommé", le nombre de jours pour la cotisation RAFP n'est pas à renseigner.</v>
      </c>
      <c r="BN47" s="13" t="s">
        <v>133</v>
      </c>
      <c r="BO47" s="15" t="str">
        <f>VLOOKUP(BN47,'Axe 2 Règles de gestion'!$D$2:$F$84,3, FALSE)</f>
        <v>Lorsque le sens de l'opération est à "consommé", le compteur global saisi est égal au compteur global de l'occurrence précédente duquel sont soustraits les jours consommés en congés, les jours pour valorisation financière et les jours pour cotisation RAFP.</v>
      </c>
      <c r="BP47" s="13" t="s">
        <v>135</v>
      </c>
      <c r="BQ47" s="15" t="str">
        <f>VLOOKUP(BP47,'Axe 2 Règles de gestion'!$D$2:$F$84,3, FALSE)</f>
        <v>Lorsque le sens de l'opération est égal à "consommé", l'origine des jours n'est pas à renseigner.</v>
      </c>
      <c r="BR47" s="13"/>
      <c r="BS47" s="15"/>
      <c r="BT47" s="13"/>
      <c r="BU47" s="15"/>
      <c r="BV47" s="13" t="s">
        <v>235</v>
      </c>
      <c r="BW47" s="15"/>
    </row>
    <row r="48" spans="1:75" ht="128.4" x14ac:dyDescent="0.25">
      <c r="A48" s="13" t="s">
        <v>117</v>
      </c>
      <c r="B48" s="13" t="s">
        <v>77</v>
      </c>
      <c r="C48" s="14">
        <v>44053.464583333334</v>
      </c>
      <c r="D48" s="13" t="s">
        <v>78</v>
      </c>
      <c r="E48" s="15" t="s">
        <v>79</v>
      </c>
      <c r="F48" s="13" t="s">
        <v>80</v>
      </c>
      <c r="G48" s="15" t="s">
        <v>81</v>
      </c>
      <c r="H48" s="13" t="s">
        <v>82</v>
      </c>
      <c r="I48" s="15" t="s">
        <v>81</v>
      </c>
      <c r="J48" s="15" t="s">
        <v>83</v>
      </c>
      <c r="K48" s="15" t="s">
        <v>84</v>
      </c>
      <c r="L48" s="13" t="s">
        <v>143</v>
      </c>
      <c r="M48" s="15" t="s">
        <v>144</v>
      </c>
      <c r="N48" s="14" t="s">
        <v>87</v>
      </c>
      <c r="O48" s="15" t="s">
        <v>145</v>
      </c>
      <c r="P48" s="15" t="s">
        <v>146</v>
      </c>
      <c r="Q48" s="15" t="s">
        <v>233</v>
      </c>
      <c r="R48" s="13" t="s">
        <v>234</v>
      </c>
      <c r="S48" s="13" t="s">
        <v>193</v>
      </c>
      <c r="T48" s="13" t="s">
        <v>93</v>
      </c>
      <c r="U48" s="14">
        <v>40725</v>
      </c>
      <c r="V48" s="14">
        <v>43435</v>
      </c>
      <c r="W48" s="15" t="s">
        <v>185</v>
      </c>
      <c r="X48" s="13" t="s">
        <v>95</v>
      </c>
      <c r="Y48" s="15" t="str">
        <f>VLOOKUP(X48,'Axe 2 Règles de gestion'!$D$2:$F$84,3, FALSE)</f>
        <v>L'agent doit être employé de manière continue et avoir accompli au moins 1 an de service.</v>
      </c>
      <c r="Z48" s="13" t="s">
        <v>97</v>
      </c>
      <c r="AA48" s="15" t="str">
        <f>VLOOKUP(Z48,'Axe 2 Règles de gestion'!$D$2:$F$84,3, FALSE)</f>
        <v>L'agent demande l'ouverture d'un compte épargne-temps auprès du service gestionnaire.</v>
      </c>
      <c r="AB48" s="13" t="s">
        <v>99</v>
      </c>
      <c r="AC48" s="15" t="str">
        <f>VLOOKUP(AB48,'Axe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8" s="13" t="s">
        <v>150</v>
      </c>
      <c r="AE48" s="15" t="str">
        <f>VLOOKUP(AD48,'Axe 2 Règles de gestion'!$D$2:$F$84,3, FALSE)</f>
        <v>L'agent demande au service gestionnaire l'alimentation de son compte épargne-temps selon les modalités d'usage.</v>
      </c>
      <c r="AF48" s="13"/>
      <c r="AG48" s="15"/>
      <c r="AH48" s="13"/>
      <c r="AI48" s="15"/>
      <c r="AJ48" s="13"/>
      <c r="AK48" s="15"/>
      <c r="AL48" s="13" t="s">
        <v>101</v>
      </c>
      <c r="AM48" s="15" t="str">
        <f>VLOOKUP(AL48,'Axe 2 Règles de gestion'!$D$2:$F$84,3, FALSE)</f>
        <v>L'agent ne doit pas être soumis à des obligations de service fixées par le statut particulier de son corps ou par un décret commun à plusieurs corps.</v>
      </c>
      <c r="AN48" s="13" t="s">
        <v>152</v>
      </c>
      <c r="AO48" s="15" t="str">
        <f>VLOOKUP(AN48,'Axe 2 Règles de gestion'!$D$2:$F$84,3, FALSE)</f>
        <v>Le CET est alimenté par le report de jours de réduction du temps de travail (ARTT), jours supplémentaires hors période et par le report de congés annuels, tels que prévus par le décret du 26 octobre 1984.</v>
      </c>
      <c r="AP48" s="13" t="s">
        <v>154</v>
      </c>
      <c r="AQ48" s="15" t="str">
        <f>VLOOKUP(AP48,'Axe 2 Règles de gestion'!$D$2:$F$84,3, FALSE)</f>
        <v>Le CET est alimenté, pour les personnels relevant du décret du 28 mars 1967, par le report de congés annuels dont ils bénéficient au titre du pays dans lequel ils sont affectés.</v>
      </c>
      <c r="AR48" s="13" t="s">
        <v>103</v>
      </c>
      <c r="AS48" s="15" t="str">
        <f>VLOOKUP(AR48,'Axe 2 Règles de gestion'!$D$2:$F$84,3, FALSE)</f>
        <v>Le nombre de jours maximum du compteur global doit être inférieur ou égal à 60 jours à l'issue de l'exercice du droit d'option.</v>
      </c>
      <c r="AT48" s="13" t="s">
        <v>156</v>
      </c>
      <c r="AU48" s="15" t="str">
        <f>VLOOKUP(AT48,'Axe 2 Règles de gestion'!$D$2:$F$84,3, FALSE)</f>
        <v>Le nombre de jours de congés pris dans l'année doit être supérieur ou égal à 20 jours.</v>
      </c>
      <c r="AV48" s="13" t="s">
        <v>158</v>
      </c>
      <c r="AW48" s="15" t="str">
        <f>VLOOKUP(AV48,'Axe 2 Règles de gestion'!$D$2:$F$84,3, FALSE)</f>
        <v>Le nombre de jours de congés pris dans l'année doit être supérieur ou égal à 20 jours.</v>
      </c>
      <c r="AX48" s="13" t="s">
        <v>159</v>
      </c>
      <c r="AY48" s="15" t="str">
        <f>VLOOKUP(AX48,'Axe 2 Règles de gestion'!$D$2:$F$84,3, FALSE)</f>
        <v>Si le compteur global du CET est inférieur à 20 jours et le sens de l'opération est égal à "versé" alors le nombre de jours du compteur global du CET après saisie doit être inférieur ou égal à 30 jours.</v>
      </c>
      <c r="AZ48" s="13" t="s">
        <v>161</v>
      </c>
      <c r="BA48" s="15" t="str">
        <f>VLOOKUP(AZ48,'Axe 2 Règles de gestion'!$D$2:$F$84,3, FALSE)</f>
        <v>Si le compte épargne global est supérieur ou égal à 20 jours et le sens de l'opération est égal à "versé" alors le nombre de jours de l'opération conservés en congés doit être inférieur ou égal à 10 jours.</v>
      </c>
      <c r="BB48" s="13" t="s">
        <v>105</v>
      </c>
      <c r="BC48" s="15" t="str">
        <f>VLOOKUP(BB48,'Axe 2 Règles de gestion'!$D$2:$F$84,3, FALSE)</f>
        <v>Le nombre de jours de l'opération doit être inférieur ou égal au nombre de jours du compteur global du CET.</v>
      </c>
      <c r="BD48" s="13" t="s">
        <v>107</v>
      </c>
      <c r="BE48" s="15" t="str">
        <f>VLOOKUP(BD48,'Axe 2 Règles de gestion'!$D$2:$F$84,3, FALSE)</f>
        <v>La date de fermeture du CET doit être antérieure ou égale à la date limite de départ en retraite.</v>
      </c>
      <c r="BF48" s="13" t="s">
        <v>109</v>
      </c>
      <c r="BG48" s="15" t="str">
        <f>VLOOKUP(BF48,'Axe 2 Règles de gestion'!$D$2:$F$84,3, FALSE)</f>
        <v>La date de fermeture du CET doit être antérieure ou égale à la date de fin réelle ou prévisionnelle du lien juridique.</v>
      </c>
      <c r="BH48" s="13" t="s">
        <v>111</v>
      </c>
      <c r="BI48" s="15" t="str">
        <f>VLOOKUP(BH48,'Axe 2 Règles de gestion'!$D$2:$F$84,3, FALSE)</f>
        <v>La date d'ouverture du compte épargne temps global doit être postérieure ou égale à la date d'entrée dans le SIRH.</v>
      </c>
      <c r="BJ48" s="13" t="s">
        <v>113</v>
      </c>
      <c r="BK48" s="15" t="str">
        <f>VLOOKUP(BJ48,'Axe 2 Règles de gestion'!$D$2:$F$84,3, FALSE)</f>
        <v>La date d'ouverture du CET doit être renseignée.</v>
      </c>
      <c r="BL48" s="13" t="s">
        <v>163</v>
      </c>
      <c r="BM48" s="15" t="str">
        <f>VLOOKUP(BL48,'Axe 2 Règles de gestion'!$D$2:$F$84,3, FALSE)</f>
        <v>Lorsque le sens de l'opération est à "Versé", le compteur global saisi est égal au compteur global de l'occurrence précédente auquel sont ajoutés les jours versés.</v>
      </c>
      <c r="BN48" s="13" t="s">
        <v>165</v>
      </c>
      <c r="BO48" s="15" t="str">
        <f>VLOOKUP(BN48,'Axe 2 Règles de gestion'!$D$2:$F$84,3, FALSE)</f>
        <v>Lorsque le sens de l'opération est égal à "versé", le nombre de jours pour valorisation financière et le nombre de jours pour cotisation RAFP ne doivent pas être renseignés.</v>
      </c>
      <c r="BP48" s="13"/>
      <c r="BQ48" s="15"/>
      <c r="BR48" s="13"/>
      <c r="BS48" s="15"/>
      <c r="BT48" s="13"/>
      <c r="BU48" s="15"/>
      <c r="BV48" s="13"/>
      <c r="BW48" s="15"/>
    </row>
    <row r="49" spans="1:75" ht="128.4" x14ac:dyDescent="0.25">
      <c r="A49" s="13" t="s">
        <v>232</v>
      </c>
      <c r="B49" s="13" t="s">
        <v>77</v>
      </c>
      <c r="C49" s="14">
        <v>45994.432638888888</v>
      </c>
      <c r="D49" s="13" t="s">
        <v>78</v>
      </c>
      <c r="E49" s="15" t="s">
        <v>79</v>
      </c>
      <c r="F49" s="13" t="s">
        <v>80</v>
      </c>
      <c r="G49" s="15" t="s">
        <v>81</v>
      </c>
      <c r="H49" s="13" t="s">
        <v>82</v>
      </c>
      <c r="I49" s="15" t="s">
        <v>81</v>
      </c>
      <c r="J49" s="15" t="s">
        <v>83</v>
      </c>
      <c r="K49" s="15" t="s">
        <v>84</v>
      </c>
      <c r="L49" s="13" t="s">
        <v>143</v>
      </c>
      <c r="M49" s="15" t="s">
        <v>144</v>
      </c>
      <c r="N49" s="14" t="s">
        <v>87</v>
      </c>
      <c r="O49" s="15" t="s">
        <v>145</v>
      </c>
      <c r="P49" s="15" t="s">
        <v>146</v>
      </c>
      <c r="Q49" s="15" t="s">
        <v>233</v>
      </c>
      <c r="R49" s="13" t="s">
        <v>234</v>
      </c>
      <c r="S49" s="13" t="s">
        <v>193</v>
      </c>
      <c r="T49" s="13" t="s">
        <v>93</v>
      </c>
      <c r="U49" s="14">
        <v>43436</v>
      </c>
      <c r="V49" s="14">
        <v>45900</v>
      </c>
      <c r="W49" s="15" t="s">
        <v>186</v>
      </c>
      <c r="X49" s="13" t="s">
        <v>95</v>
      </c>
      <c r="Y49" s="15" t="str">
        <f>VLOOKUP(X49,'Axe 2 Règles de gestion'!$D$2:$F$84,3, FALSE)</f>
        <v>L'agent doit être employé de manière continue et avoir accompli au moins 1 an de service.</v>
      </c>
      <c r="Z49" s="13" t="s">
        <v>97</v>
      </c>
      <c r="AA49" s="15" t="str">
        <f>VLOOKUP(Z49,'Axe 2 Règles de gestion'!$D$2:$F$84,3, FALSE)</f>
        <v>L'agent demande l'ouverture d'un compte épargne-temps auprès du service gestionnaire.</v>
      </c>
      <c r="AB49" s="13" t="s">
        <v>99</v>
      </c>
      <c r="AC49" s="15" t="str">
        <f>VLOOKUP(AB49,'Axe 2 Règles de gestion'!$D$2:$F$84,3, FALSE)</f>
        <v>Un arrêté de la fonction publique, du budget et du ministre intéressé, pris après consultation du comité technique paritaire, détermine, dans le respect de l'intérêt du service, les règles de fonctionnement du compte épargne-temps.</v>
      </c>
      <c r="AD49" s="13" t="s">
        <v>150</v>
      </c>
      <c r="AE49" s="15" t="str">
        <f>VLOOKUP(AD49,'Axe 2 Règles de gestion'!$D$2:$F$84,3, FALSE)</f>
        <v>L'agent demande au service gestionnaire l'alimentation de son compte épargne-temps selon les modalités d'usage.</v>
      </c>
      <c r="AF49" s="13"/>
      <c r="AG49" s="15"/>
      <c r="AH49" s="13"/>
      <c r="AI49" s="15"/>
      <c r="AJ49" s="13"/>
      <c r="AK49" s="15"/>
      <c r="AL49" s="13" t="s">
        <v>101</v>
      </c>
      <c r="AM49" s="15" t="str">
        <f>VLOOKUP(AL49,'Axe 2 Règles de gestion'!$D$2:$F$84,3, FALSE)</f>
        <v>L'agent ne doit pas être soumis à des obligations de service fixées par le statut particulier de son corps ou par un décret commun à plusieurs corps.</v>
      </c>
      <c r="AN49" s="13" t="s">
        <v>152</v>
      </c>
      <c r="AO49" s="15" t="str">
        <f>VLOOKUP(AN49,'Axe 2 Règles de gestion'!$D$2:$F$84,3, FALSE)</f>
        <v>Le CET est alimenté par le report de jours de réduction du temps de travail (ARTT), jours supplémentaires hors période et par le report de congés annuels, tels que prévus par le décret du 26 octobre 1984.</v>
      </c>
      <c r="AP49" s="13" t="s">
        <v>154</v>
      </c>
      <c r="AQ49" s="15" t="str">
        <f>VLOOKUP(AP49,'Axe 2 Règles de gestion'!$D$2:$F$84,3, FALSE)</f>
        <v>Le CET est alimenté, pour les personnels relevant du décret du 28 mars 1967, par le report de congés annuels dont ils bénéficient au titre du pays dans lequel ils sont affectés.</v>
      </c>
      <c r="AR49" s="13" t="s">
        <v>103</v>
      </c>
      <c r="AS49" s="15" t="str">
        <f>VLOOKUP(AR49,'Axe 2 Règles de gestion'!$D$2:$F$84,3, FALSE)</f>
        <v>Le nombre de jours maximum du compteur global doit être inférieur ou égal à 60 jours à l'issue de l'exercice du droit d'option.</v>
      </c>
      <c r="AT49" s="13" t="s">
        <v>156</v>
      </c>
      <c r="AU49" s="15" t="str">
        <f>VLOOKUP(AT49,'Axe 2 Règles de gestion'!$D$2:$F$84,3, FALSE)</f>
        <v>Le nombre de jours de congés pris dans l'année doit être supérieur ou égal à 20 jours.</v>
      </c>
      <c r="AV49" s="13" t="s">
        <v>158</v>
      </c>
      <c r="AW49" s="15" t="str">
        <f>VLOOKUP(AV49,'Axe 2 Règles de gestion'!$D$2:$F$84,3, FALSE)</f>
        <v>Le nombre de jours de congés pris dans l'année doit être supérieur ou égal à 20 jours.</v>
      </c>
      <c r="AX49" s="13" t="s">
        <v>168</v>
      </c>
      <c r="AY49" s="15" t="str">
        <f>VLOOKUP(AX49,'Axe 2 Règles de gestion'!$D$2:$F$84,3, FALSE)</f>
        <v>Si le compteur global du CET est inférieur à 15 jours et le sens de l'opération est égal à "versé" alors le nombre de jours du compteur global du CET après saisie doit être inférieur ou égal à 25 jours.</v>
      </c>
      <c r="AZ49" s="13" t="s">
        <v>170</v>
      </c>
      <c r="BA49" s="15" t="str">
        <f>VLOOKUP(AZ49,'Axe 2 Règles de gestion'!$D$2:$F$84,3, FALSE)</f>
        <v>Si le compte épargne global est supérieur ou égal à 15 jours et le sens de l'opération est égal à "versé" alors le nombre de jours de l'opération conservés en congés doit être inférieur ou égal à 10 jours.</v>
      </c>
      <c r="BB49" s="13" t="s">
        <v>105</v>
      </c>
      <c r="BC49" s="15" t="str">
        <f>VLOOKUP(BB49,'Axe 2 Règles de gestion'!$D$2:$F$84,3, FALSE)</f>
        <v>Le nombre de jours de l'opération doit être inférieur ou égal au nombre de jours du compteur global du CET.</v>
      </c>
      <c r="BD49" s="13" t="s">
        <v>107</v>
      </c>
      <c r="BE49" s="15" t="str">
        <f>VLOOKUP(BD49,'Axe 2 Règles de gestion'!$D$2:$F$84,3, FALSE)</f>
        <v>La date de fermeture du CET doit être antérieure ou égale à la date limite de départ en retraite.</v>
      </c>
      <c r="BF49" s="13" t="s">
        <v>109</v>
      </c>
      <c r="BG49" s="15" t="str">
        <f>VLOOKUP(BF49,'Axe 2 Règles de gestion'!$D$2:$F$84,3, FALSE)</f>
        <v>La date de fermeture du CET doit être antérieure ou égale à la date de fin réelle ou prévisionnelle du lien juridique.</v>
      </c>
      <c r="BH49" s="13" t="s">
        <v>111</v>
      </c>
      <c r="BI49" s="15" t="str">
        <f>VLOOKUP(BH49,'Axe 2 Règles de gestion'!$D$2:$F$84,3, FALSE)</f>
        <v>La date d'ouverture du compte épargne temps global doit être postérieure ou égale à la date d'entrée dans le SIRH.</v>
      </c>
      <c r="BJ49" s="13" t="s">
        <v>113</v>
      </c>
      <c r="BK49" s="15" t="str">
        <f>VLOOKUP(BJ49,'Axe 2 Règles de gestion'!$D$2:$F$84,3, FALSE)</f>
        <v>La date d'ouverture du CET doit être renseignée.</v>
      </c>
      <c r="BL49" s="13" t="s">
        <v>163</v>
      </c>
      <c r="BM49" s="15" t="str">
        <f>VLOOKUP(BL49,'Axe 2 Règles de gestion'!$D$2:$F$84,3, FALSE)</f>
        <v>Lorsque le sens de l'opération est à "Versé", le compteur global saisi est égal au compteur global de l'occurrence précédente auquel sont ajoutés les jours versés.</v>
      </c>
      <c r="BN49" s="13" t="s">
        <v>165</v>
      </c>
      <c r="BO49" s="15" t="str">
        <f>VLOOKUP(BN49,'Axe 2 Règles de gestion'!$D$2:$F$84,3, FALSE)</f>
        <v>Lorsque le sens de l'opération est égal à "versé", le nombre de jours pour valorisation financière et le nombre de jours pour cotisation RAFP ne doivent pas être renseignés.</v>
      </c>
      <c r="BP49" s="13"/>
      <c r="BQ49" s="15"/>
      <c r="BR49" s="13"/>
      <c r="BS49" s="15"/>
      <c r="BT49" s="13"/>
      <c r="BU49" s="15"/>
      <c r="BV49" s="13" t="s">
        <v>235</v>
      </c>
      <c r="BW49" s="15"/>
    </row>
    <row r="50" spans="1:75" ht="28.55" x14ac:dyDescent="0.25">
      <c r="A50" s="13" t="s">
        <v>76</v>
      </c>
      <c r="B50" s="13" t="s">
        <v>77</v>
      </c>
      <c r="C50" s="14">
        <v>45628.706250000003</v>
      </c>
      <c r="D50" s="13" t="s">
        <v>78</v>
      </c>
      <c r="E50" s="15" t="s">
        <v>79</v>
      </c>
      <c r="F50" s="13" t="s">
        <v>80</v>
      </c>
      <c r="G50" s="15" t="s">
        <v>81</v>
      </c>
      <c r="H50" s="13" t="s">
        <v>82</v>
      </c>
      <c r="I50" s="15" t="s">
        <v>81</v>
      </c>
      <c r="J50" s="15" t="s">
        <v>83</v>
      </c>
      <c r="K50" s="15" t="s">
        <v>84</v>
      </c>
      <c r="L50" s="13" t="s">
        <v>85</v>
      </c>
      <c r="M50" s="15" t="s">
        <v>86</v>
      </c>
      <c r="N50" s="14" t="s">
        <v>87</v>
      </c>
      <c r="O50" s="15" t="s">
        <v>88</v>
      </c>
      <c r="P50" s="15" t="s">
        <v>89</v>
      </c>
      <c r="Q50" s="15" t="s">
        <v>236</v>
      </c>
      <c r="R50" s="13" t="s">
        <v>237</v>
      </c>
      <c r="S50" s="13" t="s">
        <v>193</v>
      </c>
      <c r="T50" s="13" t="s">
        <v>174</v>
      </c>
      <c r="U50" s="14">
        <v>40725</v>
      </c>
      <c r="V50" s="14">
        <v>40725</v>
      </c>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row>
    <row r="51" spans="1:75" ht="42.8" x14ac:dyDescent="0.25">
      <c r="A51" s="13" t="s">
        <v>76</v>
      </c>
      <c r="B51" s="13" t="s">
        <v>77</v>
      </c>
      <c r="C51" s="14">
        <v>45628.707638888889</v>
      </c>
      <c r="D51" s="13" t="s">
        <v>78</v>
      </c>
      <c r="E51" s="15" t="s">
        <v>79</v>
      </c>
      <c r="F51" s="13" t="s">
        <v>80</v>
      </c>
      <c r="G51" s="15" t="s">
        <v>81</v>
      </c>
      <c r="H51" s="13" t="s">
        <v>82</v>
      </c>
      <c r="I51" s="15" t="s">
        <v>81</v>
      </c>
      <c r="J51" s="15" t="s">
        <v>83</v>
      </c>
      <c r="K51" s="15" t="s">
        <v>84</v>
      </c>
      <c r="L51" s="13" t="s">
        <v>118</v>
      </c>
      <c r="M51" s="15" t="s">
        <v>119</v>
      </c>
      <c r="N51" s="14" t="s">
        <v>87</v>
      </c>
      <c r="O51" s="15" t="s">
        <v>120</v>
      </c>
      <c r="P51" s="15" t="s">
        <v>121</v>
      </c>
      <c r="Q51" s="15" t="s">
        <v>236</v>
      </c>
      <c r="R51" s="13" t="s">
        <v>237</v>
      </c>
      <c r="S51" s="13" t="s">
        <v>193</v>
      </c>
      <c r="T51" s="13" t="s">
        <v>174</v>
      </c>
      <c r="U51" s="14">
        <v>40725</v>
      </c>
      <c r="V51" s="14">
        <v>40725</v>
      </c>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row>
    <row r="52" spans="1:75" ht="42.8" x14ac:dyDescent="0.25">
      <c r="A52" s="13" t="s">
        <v>76</v>
      </c>
      <c r="B52" s="13" t="s">
        <v>77</v>
      </c>
      <c r="C52" s="14">
        <v>45628.709722222222</v>
      </c>
      <c r="D52" s="13" t="s">
        <v>78</v>
      </c>
      <c r="E52" s="15" t="s">
        <v>79</v>
      </c>
      <c r="F52" s="13" t="s">
        <v>80</v>
      </c>
      <c r="G52" s="15" t="s">
        <v>81</v>
      </c>
      <c r="H52" s="13" t="s">
        <v>82</v>
      </c>
      <c r="I52" s="15" t="s">
        <v>81</v>
      </c>
      <c r="J52" s="15" t="s">
        <v>83</v>
      </c>
      <c r="K52" s="15" t="s">
        <v>84</v>
      </c>
      <c r="L52" s="13" t="s">
        <v>143</v>
      </c>
      <c r="M52" s="15" t="s">
        <v>144</v>
      </c>
      <c r="N52" s="14" t="s">
        <v>87</v>
      </c>
      <c r="O52" s="15" t="s">
        <v>145</v>
      </c>
      <c r="P52" s="15" t="s">
        <v>146</v>
      </c>
      <c r="Q52" s="15" t="s">
        <v>236</v>
      </c>
      <c r="R52" s="13" t="s">
        <v>237</v>
      </c>
      <c r="S52" s="13" t="s">
        <v>193</v>
      </c>
      <c r="T52" s="13" t="s">
        <v>174</v>
      </c>
      <c r="U52" s="14">
        <v>40725</v>
      </c>
      <c r="V52" s="14">
        <v>40725</v>
      </c>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row>
    <row r="53" spans="1:75" ht="28.55" x14ac:dyDescent="0.25">
      <c r="A53" s="13" t="s">
        <v>76</v>
      </c>
      <c r="B53" s="13" t="s">
        <v>77</v>
      </c>
      <c r="C53" s="14">
        <v>45628.706944444442</v>
      </c>
      <c r="D53" s="13" t="s">
        <v>78</v>
      </c>
      <c r="E53" s="15" t="s">
        <v>79</v>
      </c>
      <c r="F53" s="13" t="s">
        <v>80</v>
      </c>
      <c r="G53" s="15" t="s">
        <v>81</v>
      </c>
      <c r="H53" s="13" t="s">
        <v>82</v>
      </c>
      <c r="I53" s="15" t="s">
        <v>81</v>
      </c>
      <c r="J53" s="15" t="s">
        <v>83</v>
      </c>
      <c r="K53" s="15" t="s">
        <v>84</v>
      </c>
      <c r="L53" s="13" t="s">
        <v>85</v>
      </c>
      <c r="M53" s="15" t="s">
        <v>86</v>
      </c>
      <c r="N53" s="14" t="s">
        <v>87</v>
      </c>
      <c r="O53" s="15" t="s">
        <v>88</v>
      </c>
      <c r="P53" s="15" t="s">
        <v>89</v>
      </c>
      <c r="Q53" s="15" t="s">
        <v>238</v>
      </c>
      <c r="R53" s="13" t="s">
        <v>239</v>
      </c>
      <c r="S53" s="13" t="s">
        <v>193</v>
      </c>
      <c r="T53" s="13" t="s">
        <v>174</v>
      </c>
      <c r="U53" s="14">
        <v>40725</v>
      </c>
      <c r="V53" s="14">
        <v>40725</v>
      </c>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row>
    <row r="54" spans="1:75" ht="42.8" x14ac:dyDescent="0.25">
      <c r="A54" s="13" t="s">
        <v>76</v>
      </c>
      <c r="B54" s="13" t="s">
        <v>77</v>
      </c>
      <c r="C54" s="14">
        <v>45628.708333333336</v>
      </c>
      <c r="D54" s="13" t="s">
        <v>78</v>
      </c>
      <c r="E54" s="15" t="s">
        <v>79</v>
      </c>
      <c r="F54" s="13" t="s">
        <v>80</v>
      </c>
      <c r="G54" s="15" t="s">
        <v>81</v>
      </c>
      <c r="H54" s="13" t="s">
        <v>82</v>
      </c>
      <c r="I54" s="15" t="s">
        <v>81</v>
      </c>
      <c r="J54" s="15" t="s">
        <v>83</v>
      </c>
      <c r="K54" s="15" t="s">
        <v>84</v>
      </c>
      <c r="L54" s="13" t="s">
        <v>118</v>
      </c>
      <c r="M54" s="15" t="s">
        <v>119</v>
      </c>
      <c r="N54" s="14" t="s">
        <v>87</v>
      </c>
      <c r="O54" s="15" t="s">
        <v>120</v>
      </c>
      <c r="P54" s="15" t="s">
        <v>121</v>
      </c>
      <c r="Q54" s="15" t="s">
        <v>238</v>
      </c>
      <c r="R54" s="13" t="s">
        <v>239</v>
      </c>
      <c r="S54" s="13" t="s">
        <v>193</v>
      </c>
      <c r="T54" s="13" t="s">
        <v>174</v>
      </c>
      <c r="U54" s="14">
        <v>40725</v>
      </c>
      <c r="V54" s="14">
        <v>40725</v>
      </c>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row>
    <row r="55" spans="1:75" ht="42.8" x14ac:dyDescent="0.25">
      <c r="A55" s="13" t="s">
        <v>76</v>
      </c>
      <c r="B55" s="13" t="s">
        <v>77</v>
      </c>
      <c r="C55" s="14">
        <v>45628.709722222222</v>
      </c>
      <c r="D55" s="13" t="s">
        <v>78</v>
      </c>
      <c r="E55" s="15" t="s">
        <v>79</v>
      </c>
      <c r="F55" s="13" t="s">
        <v>80</v>
      </c>
      <c r="G55" s="15" t="s">
        <v>81</v>
      </c>
      <c r="H55" s="13" t="s">
        <v>82</v>
      </c>
      <c r="I55" s="15" t="s">
        <v>81</v>
      </c>
      <c r="J55" s="15" t="s">
        <v>83</v>
      </c>
      <c r="K55" s="15" t="s">
        <v>84</v>
      </c>
      <c r="L55" s="13" t="s">
        <v>143</v>
      </c>
      <c r="M55" s="15" t="s">
        <v>144</v>
      </c>
      <c r="N55" s="14" t="s">
        <v>87</v>
      </c>
      <c r="O55" s="15" t="s">
        <v>145</v>
      </c>
      <c r="P55" s="15" t="s">
        <v>146</v>
      </c>
      <c r="Q55" s="15" t="s">
        <v>238</v>
      </c>
      <c r="R55" s="13" t="s">
        <v>239</v>
      </c>
      <c r="S55" s="13" t="s">
        <v>193</v>
      </c>
      <c r="T55" s="13" t="s">
        <v>174</v>
      </c>
      <c r="U55" s="14">
        <v>40725</v>
      </c>
      <c r="V55" s="14">
        <v>40725</v>
      </c>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row>
    <row r="56" spans="1:75" ht="99.85" x14ac:dyDescent="0.25">
      <c r="A56" s="13" t="s">
        <v>76</v>
      </c>
      <c r="B56" s="13" t="s">
        <v>77</v>
      </c>
      <c r="C56" s="14">
        <v>45628.715277777781</v>
      </c>
      <c r="D56" s="13" t="s">
        <v>78</v>
      </c>
      <c r="E56" s="15" t="s">
        <v>79</v>
      </c>
      <c r="F56" s="13" t="s">
        <v>80</v>
      </c>
      <c r="G56" s="15" t="s">
        <v>81</v>
      </c>
      <c r="H56" s="13" t="s">
        <v>240</v>
      </c>
      <c r="I56" s="15" t="s">
        <v>241</v>
      </c>
      <c r="J56" s="15" t="s">
        <v>83</v>
      </c>
      <c r="K56" s="15" t="s">
        <v>242</v>
      </c>
      <c r="L56" s="13" t="s">
        <v>243</v>
      </c>
      <c r="M56" s="15" t="s">
        <v>244</v>
      </c>
      <c r="N56" s="14" t="s">
        <v>87</v>
      </c>
      <c r="O56" s="15" t="s">
        <v>88</v>
      </c>
      <c r="P56" s="15" t="s">
        <v>89</v>
      </c>
      <c r="Q56" s="15" t="s">
        <v>90</v>
      </c>
      <c r="R56" s="13" t="s">
        <v>91</v>
      </c>
      <c r="S56" s="13" t="s">
        <v>92</v>
      </c>
      <c r="T56" s="13" t="s">
        <v>93</v>
      </c>
      <c r="U56" s="14">
        <v>40725</v>
      </c>
      <c r="V56" s="14">
        <v>40725</v>
      </c>
      <c r="W56" s="15" t="s">
        <v>245</v>
      </c>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t="s">
        <v>246</v>
      </c>
      <c r="BC56" s="15" t="str">
        <f>VLOOKUP(BB56,'Axe 2 Règles de gestion'!$D$2:$F$84,3, FALSE)</f>
        <v>La date d'ouverture du CET transitoire doit être antérieure ou égale au 31/12/2008.</v>
      </c>
      <c r="BD56" s="13" t="s">
        <v>248</v>
      </c>
      <c r="BE56" s="15" t="str">
        <f>VLOOKUP(BD56,'Axe 2 Règles de gestion'!$D$2:$F$84,3, FALSE)</f>
        <v>Le nombre de jours de l'opération doit être inférieur ou égal au nombre de jours du compteur global du CET transitoire.</v>
      </c>
      <c r="BF56" s="13" t="s">
        <v>250</v>
      </c>
      <c r="BG56" s="15" t="str">
        <f>VLOOKUP(BF56,'Axe 2 Règles de gestion'!$D$2:$F$84,3, FALSE)</f>
        <v>La date de fermeture du CET transitoire doit être antérieure ou égale à la date limite de départ en retraite.</v>
      </c>
      <c r="BH56" s="13" t="s">
        <v>252</v>
      </c>
      <c r="BI56" s="15" t="str">
        <f>VLOOKUP(BH56,'Axe 2 Règles de gestion'!$D$2:$F$84,3, FALSE)</f>
        <v>La date de fermeture du CET transitoire doit être antérieure ou égale à la date de fin réelle ou prévisionnelle du lien juridique.</v>
      </c>
      <c r="BJ56" s="13" t="s">
        <v>254</v>
      </c>
      <c r="BK56" s="15" t="str">
        <f>VLOOKUP(BJ56,'Axe 2 Règles de gestion'!$D$2:$F$84,3, FALSE)</f>
        <v>La date d'ouverture du compte épargne temps transitoire doit être postérieure ou égale à la date d'entrée dans le SIRH.</v>
      </c>
      <c r="BL56" s="13" t="s">
        <v>115</v>
      </c>
      <c r="BM56" s="15" t="str">
        <f>VLOOKUP(BL56,'Axe 2 Règles de gestion'!$D$2:$F$84,3, FALSE)</f>
        <v>Les champs "Origine", "Nombre de jours de l'opération", "Nombre de jours pour valorisation financière" et "Nombre de jours pour cotisation RAFP" ne doivent pas être renseignés.</v>
      </c>
      <c r="BN56" s="13"/>
      <c r="BO56" s="15"/>
      <c r="BP56" s="13"/>
      <c r="BQ56" s="15"/>
      <c r="BR56" s="13"/>
      <c r="BS56" s="15"/>
      <c r="BT56" s="13"/>
      <c r="BU56" s="15"/>
      <c r="BV56" s="13"/>
      <c r="BW56" s="15"/>
    </row>
    <row r="57" spans="1:75" ht="142.65" x14ac:dyDescent="0.25">
      <c r="A57" s="13" t="s">
        <v>142</v>
      </c>
      <c r="B57" s="13" t="s">
        <v>77</v>
      </c>
      <c r="C57" s="14">
        <v>43509.742361111108</v>
      </c>
      <c r="D57" s="13" t="s">
        <v>78</v>
      </c>
      <c r="E57" s="15" t="s">
        <v>79</v>
      </c>
      <c r="F57" s="13" t="s">
        <v>80</v>
      </c>
      <c r="G57" s="15" t="s">
        <v>81</v>
      </c>
      <c r="H57" s="13" t="s">
        <v>240</v>
      </c>
      <c r="I57" s="15" t="s">
        <v>241</v>
      </c>
      <c r="J57" s="15" t="s">
        <v>83</v>
      </c>
      <c r="K57" s="15" t="s">
        <v>242</v>
      </c>
      <c r="L57" s="13" t="s">
        <v>256</v>
      </c>
      <c r="M57" s="15" t="s">
        <v>257</v>
      </c>
      <c r="N57" s="14" t="s">
        <v>87</v>
      </c>
      <c r="O57" s="15" t="s">
        <v>258</v>
      </c>
      <c r="P57" s="15" t="s">
        <v>259</v>
      </c>
      <c r="Q57" s="15" t="s">
        <v>90</v>
      </c>
      <c r="R57" s="13" t="s">
        <v>91</v>
      </c>
      <c r="S57" s="13" t="s">
        <v>92</v>
      </c>
      <c r="T57" s="13" t="s">
        <v>93</v>
      </c>
      <c r="U57" s="14">
        <v>40725</v>
      </c>
      <c r="V57" s="14">
        <v>43435</v>
      </c>
      <c r="W57" s="15" t="s">
        <v>260</v>
      </c>
      <c r="X57" s="13" t="s">
        <v>261</v>
      </c>
      <c r="Y57" s="15" t="str">
        <f>VLOOKUP(X57,'Axe 2 Règles de gestion'!$D$2:$F$84,3, FALSE)</f>
        <v>L'agent qui a demandé au 31 décembre 2009 le maintien de jours de congés sur son compte épargne-temps historique peut opter pour leur prise en compte au titre de l'épargne-retraite suivant les dispositions du régime pérenne.</v>
      </c>
      <c r="Z57" s="13" t="s">
        <v>263</v>
      </c>
      <c r="AA57" s="15" t="str">
        <f>VLOOKUP(Z57,'Axe 2 Règles de gestion'!$D$2:$F$84,3, FALSE)</f>
        <v>L'agent qui a demandé au 31 décembre 2009 le maintien de jours de congés sur son compte épargne-temps historique peut opter pour leur indemnisation suivant les dispositions du régime pérenne.</v>
      </c>
      <c r="AB57" s="13" t="s">
        <v>265</v>
      </c>
      <c r="AC57" s="15" t="str">
        <f>VLOOKUP(AB57,'Axe 2 Règles de gestion'!$D$2:$F$84,3, FALSE)</f>
        <v>Le versement s'effectue à hauteur de 4 jours par an jusqu'à épuisement du solde.</v>
      </c>
      <c r="AD57" s="13" t="s">
        <v>267</v>
      </c>
      <c r="AE57" s="15" t="str">
        <f>VLOOKUP(AD57,'Axe 2 Règles de gestion'!$D$2:$F$84,3, FALSE)</f>
        <v>Si la durée de versement est supérieure à 4 ans, celui-ci est opéré en 4 fractions annuelles d'égal montant.</v>
      </c>
      <c r="AF57" s="13"/>
      <c r="AG57" s="15"/>
      <c r="AH57" s="13"/>
      <c r="AI57" s="15"/>
      <c r="AJ57" s="13"/>
      <c r="AK57" s="15"/>
      <c r="AL57" s="13" t="s">
        <v>129</v>
      </c>
      <c r="AM57" s="15" t="str">
        <f>VLOOKUP(AL57,'Axe 2 Règles de gestion'!$D$2:$F$84,3, FALSE)</f>
        <v>La différence entre le nombre de jours du compteur global du CET et le nombre de jours pour valorisation financière doit être strictement supérieure à 20 jours.</v>
      </c>
      <c r="AN57" s="13" t="s">
        <v>131</v>
      </c>
      <c r="AO57" s="15" t="str">
        <f>VLOOKUP(AN57,'Axe 2 Règles de gestion'!$D$2:$F$84,3, FALSE)</f>
        <v>La différence entre le nombre de jours du compteur global du CET et le nombre de jours pour cotisation RAFP doit être strictement supérieure à 20 jours.</v>
      </c>
      <c r="AP57" s="13"/>
      <c r="AQ57" s="15"/>
      <c r="AR57" s="13"/>
      <c r="AS57" s="15"/>
      <c r="AT57" s="13"/>
      <c r="AU57" s="15"/>
      <c r="AV57" s="13"/>
      <c r="AW57" s="15"/>
      <c r="AX57" s="13"/>
      <c r="AY57" s="15"/>
      <c r="AZ57" s="13"/>
      <c r="BA57" s="15"/>
      <c r="BB57" s="13" t="s">
        <v>246</v>
      </c>
      <c r="BC57" s="15" t="str">
        <f>VLOOKUP(BB57,'Axe 2 Règles de gestion'!$D$2:$F$84,3, FALSE)</f>
        <v>La date d'ouverture du CET transitoire doit être antérieure ou égale au 31/12/2008.</v>
      </c>
      <c r="BD57" s="13" t="s">
        <v>248</v>
      </c>
      <c r="BE57" s="15" t="str">
        <f>VLOOKUP(BD57,'Axe 2 Règles de gestion'!$D$2:$F$84,3, FALSE)</f>
        <v>Le nombre de jours de l'opération doit être inférieur ou égal au nombre de jours du compteur global du CET transitoire.</v>
      </c>
      <c r="BF57" s="13" t="s">
        <v>250</v>
      </c>
      <c r="BG57" s="15" t="str">
        <f>VLOOKUP(BF57,'Axe 2 Règles de gestion'!$D$2:$F$84,3, FALSE)</f>
        <v>La date de fermeture du CET transitoire doit être antérieure ou égale à la date limite de départ en retraite.</v>
      </c>
      <c r="BH57" s="13" t="s">
        <v>252</v>
      </c>
      <c r="BI57" s="15" t="str">
        <f>VLOOKUP(BH57,'Axe 2 Règles de gestion'!$D$2:$F$84,3, FALSE)</f>
        <v>La date de fermeture du CET transitoire doit être antérieure ou égale à la date de fin réelle ou prévisionnelle du lien juridique.</v>
      </c>
      <c r="BJ57" s="13" t="s">
        <v>254</v>
      </c>
      <c r="BK57" s="15" t="str">
        <f>VLOOKUP(BJ57,'Axe 2 Règles de gestion'!$D$2:$F$84,3, FALSE)</f>
        <v>La date d'ouverture du compte épargne temps transitoire doit être postérieure ou égale à la date d'entrée dans le SIRH.</v>
      </c>
      <c r="BL57" s="13" t="s">
        <v>269</v>
      </c>
      <c r="BM57" s="15" t="str">
        <f>VLOOKUP(BL57,'Axe 2 Règles de gestion'!$D$2:$F$84,3, FALSE)</f>
        <v>Lorsque le sens de l'opération est à "consommé", le compteur global transitoire saisi est égal au compteur global transitoire de l'occurrence précédente duquel sont soustraits les jours consommés en congés.</v>
      </c>
      <c r="BN57" s="13" t="s">
        <v>135</v>
      </c>
      <c r="BO57" s="15" t="str">
        <f>VLOOKUP(BN57,'Axe 2 Règles de gestion'!$D$2:$F$84,3, FALSE)</f>
        <v>Lorsque le sens de l'opération est égal à "consommé", l'origine des jours n'est pas à renseigner.</v>
      </c>
      <c r="BP57" s="13" t="s">
        <v>271</v>
      </c>
      <c r="BQ57" s="15" t="str">
        <f>VLOOKUP(BP57,'Axe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R57" s="13" t="s">
        <v>273</v>
      </c>
      <c r="BS57" s="15" t="str">
        <f>VLOOKUP(BR57,'Axe 2 Règles de gestion'!$D$2:$F$84,3, FALSE)</f>
        <v>Le sens de l'opération doit être à "consommé".</v>
      </c>
      <c r="BT57" s="13"/>
      <c r="BU57" s="15"/>
      <c r="BV57" s="13"/>
      <c r="BW57" s="15"/>
    </row>
    <row r="58" spans="1:75" ht="142.65" x14ac:dyDescent="0.25">
      <c r="A58" s="13" t="s">
        <v>76</v>
      </c>
      <c r="B58" s="13" t="s">
        <v>77</v>
      </c>
      <c r="C58" s="14">
        <v>45628.717361111114</v>
      </c>
      <c r="D58" s="13" t="s">
        <v>78</v>
      </c>
      <c r="E58" s="15" t="s">
        <v>79</v>
      </c>
      <c r="F58" s="13" t="s">
        <v>80</v>
      </c>
      <c r="G58" s="15" t="s">
        <v>81</v>
      </c>
      <c r="H58" s="13" t="s">
        <v>240</v>
      </c>
      <c r="I58" s="15" t="s">
        <v>241</v>
      </c>
      <c r="J58" s="15" t="s">
        <v>83</v>
      </c>
      <c r="K58" s="15" t="s">
        <v>242</v>
      </c>
      <c r="L58" s="13" t="s">
        <v>256</v>
      </c>
      <c r="M58" s="15" t="s">
        <v>257</v>
      </c>
      <c r="N58" s="14" t="s">
        <v>87</v>
      </c>
      <c r="O58" s="15" t="s">
        <v>258</v>
      </c>
      <c r="P58" s="15" t="s">
        <v>259</v>
      </c>
      <c r="Q58" s="15" t="s">
        <v>90</v>
      </c>
      <c r="R58" s="13" t="s">
        <v>91</v>
      </c>
      <c r="S58" s="13" t="s">
        <v>92</v>
      </c>
      <c r="T58" s="13" t="s">
        <v>93</v>
      </c>
      <c r="U58" s="14">
        <v>43436</v>
      </c>
      <c r="V58" s="14">
        <v>43436</v>
      </c>
      <c r="W58" s="15" t="s">
        <v>275</v>
      </c>
      <c r="X58" s="13" t="s">
        <v>261</v>
      </c>
      <c r="Y58" s="15" t="str">
        <f>VLOOKUP(X58,'Axe 2 Règles de gestion'!$D$2:$F$84,3, FALSE)</f>
        <v>L'agent qui a demandé au 31 décembre 2009 le maintien de jours de congés sur son compte épargne-temps historique peut opter pour leur prise en compte au titre de l'épargne-retraite suivant les dispositions du régime pérenne.</v>
      </c>
      <c r="Z58" s="13" t="s">
        <v>263</v>
      </c>
      <c r="AA58" s="15" t="str">
        <f>VLOOKUP(Z58,'Axe 2 Règles de gestion'!$D$2:$F$84,3, FALSE)</f>
        <v>L'agent qui a demandé au 31 décembre 2009 le maintien de jours de congés sur son compte épargne-temps historique peut opter pour leur indemnisation suivant les dispositions du régime pérenne.</v>
      </c>
      <c r="AB58" s="13" t="s">
        <v>265</v>
      </c>
      <c r="AC58" s="15" t="str">
        <f>VLOOKUP(AB58,'Axe 2 Règles de gestion'!$D$2:$F$84,3, FALSE)</f>
        <v>Le versement s'effectue à hauteur de 4 jours par an jusqu'à épuisement du solde.</v>
      </c>
      <c r="AD58" s="13" t="s">
        <v>267</v>
      </c>
      <c r="AE58" s="15" t="str">
        <f>VLOOKUP(AD58,'Axe 2 Règles de gestion'!$D$2:$F$84,3, FALSE)</f>
        <v>Si la durée de versement est supérieure à 4 ans, celui-ci est opéré en 4 fractions annuelles d'égal montant.</v>
      </c>
      <c r="AF58" s="13"/>
      <c r="AG58" s="15"/>
      <c r="AH58" s="13"/>
      <c r="AI58" s="15"/>
      <c r="AJ58" s="13"/>
      <c r="AK58" s="15"/>
      <c r="AL58" s="13" t="s">
        <v>138</v>
      </c>
      <c r="AM58" s="15" t="str">
        <f>VLOOKUP(AL58,'Axe 2 Règles de gestion'!$D$2:$F$84,3, FALSE)</f>
        <v>La différence entre le nombre de jours du compteur global du CET et le nombre de jours pour valorisation financière doit être strictement supérieure à 15 jours.</v>
      </c>
      <c r="AN58" s="13" t="s">
        <v>140</v>
      </c>
      <c r="AO58" s="15" t="str">
        <f>VLOOKUP(AN58,'Axe 2 Règles de gestion'!$D$2:$F$84,3, FALSE)</f>
        <v>La différence entre le nombre de jours du compteur global du CET et le nombre de jours pour cotisation RAFP doit être strictement supérieure à 15 jours.</v>
      </c>
      <c r="AP58" s="13"/>
      <c r="AQ58" s="15"/>
      <c r="AR58" s="13"/>
      <c r="AS58" s="15"/>
      <c r="AT58" s="13"/>
      <c r="AU58" s="15"/>
      <c r="AV58" s="13"/>
      <c r="AW58" s="15"/>
      <c r="AX58" s="13"/>
      <c r="AY58" s="15"/>
      <c r="AZ58" s="13"/>
      <c r="BA58" s="15"/>
      <c r="BB58" s="13" t="s">
        <v>246</v>
      </c>
      <c r="BC58" s="15" t="str">
        <f>VLOOKUP(BB58,'Axe 2 Règles de gestion'!$D$2:$F$84,3, FALSE)</f>
        <v>La date d'ouverture du CET transitoire doit être antérieure ou égale au 31/12/2008.</v>
      </c>
      <c r="BD58" s="13" t="s">
        <v>248</v>
      </c>
      <c r="BE58" s="15" t="str">
        <f>VLOOKUP(BD58,'Axe 2 Règles de gestion'!$D$2:$F$84,3, FALSE)</f>
        <v>Le nombre de jours de l'opération doit être inférieur ou égal au nombre de jours du compteur global du CET transitoire.</v>
      </c>
      <c r="BF58" s="13" t="s">
        <v>250</v>
      </c>
      <c r="BG58" s="15" t="str">
        <f>VLOOKUP(BF58,'Axe 2 Règles de gestion'!$D$2:$F$84,3, FALSE)</f>
        <v>La date de fermeture du CET transitoire doit être antérieure ou égale à la date limite de départ en retraite.</v>
      </c>
      <c r="BH58" s="13" t="s">
        <v>252</v>
      </c>
      <c r="BI58" s="15" t="str">
        <f>VLOOKUP(BH58,'Axe 2 Règles de gestion'!$D$2:$F$84,3, FALSE)</f>
        <v>La date de fermeture du CET transitoire doit être antérieure ou égale à la date de fin réelle ou prévisionnelle du lien juridique.</v>
      </c>
      <c r="BJ58" s="13" t="s">
        <v>254</v>
      </c>
      <c r="BK58" s="15" t="str">
        <f>VLOOKUP(BJ58,'Axe 2 Règles de gestion'!$D$2:$F$84,3, FALSE)</f>
        <v>La date d'ouverture du compte épargne temps transitoire doit être postérieure ou égale à la date d'entrée dans le SIRH.</v>
      </c>
      <c r="BL58" s="13" t="s">
        <v>269</v>
      </c>
      <c r="BM58" s="15" t="str">
        <f>VLOOKUP(BL58,'Axe 2 Règles de gestion'!$D$2:$F$84,3, FALSE)</f>
        <v>Lorsque le sens de l'opération est à "consommé", le compteur global transitoire saisi est égal au compteur global transitoire de l'occurrence précédente duquel sont soustraits les jours consommés en congés.</v>
      </c>
      <c r="BN58" s="13" t="s">
        <v>135</v>
      </c>
      <c r="BO58" s="15" t="str">
        <f>VLOOKUP(BN58,'Axe 2 Règles de gestion'!$D$2:$F$84,3, FALSE)</f>
        <v>Lorsque le sens de l'opération est égal à "consommé", l'origine des jours n'est pas à renseigner.</v>
      </c>
      <c r="BP58" s="13" t="s">
        <v>271</v>
      </c>
      <c r="BQ58" s="15" t="str">
        <f>VLOOKUP(BP58,'Axe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R58" s="13" t="s">
        <v>273</v>
      </c>
      <c r="BS58" s="15" t="str">
        <f>VLOOKUP(BR58,'Axe 2 Règles de gestion'!$D$2:$F$84,3, FALSE)</f>
        <v>Le sens de l'opération doit être à "consommé".</v>
      </c>
      <c r="BT58" s="13"/>
      <c r="BU58" s="15"/>
      <c r="BV58" s="13"/>
      <c r="BW58" s="15"/>
    </row>
    <row r="59" spans="1:75" ht="42.8" x14ac:dyDescent="0.25">
      <c r="A59" s="13" t="s">
        <v>76</v>
      </c>
      <c r="B59" s="13" t="s">
        <v>77</v>
      </c>
      <c r="C59" s="14">
        <v>45628.713888888888</v>
      </c>
      <c r="D59" s="13" t="s">
        <v>78</v>
      </c>
      <c r="E59" s="15" t="s">
        <v>79</v>
      </c>
      <c r="F59" s="13" t="s">
        <v>80</v>
      </c>
      <c r="G59" s="15" t="s">
        <v>81</v>
      </c>
      <c r="H59" s="13" t="s">
        <v>240</v>
      </c>
      <c r="I59" s="15" t="s">
        <v>241</v>
      </c>
      <c r="J59" s="15" t="s">
        <v>83</v>
      </c>
      <c r="K59" s="15" t="s">
        <v>242</v>
      </c>
      <c r="L59" s="13" t="s">
        <v>243</v>
      </c>
      <c r="M59" s="15" t="s">
        <v>244</v>
      </c>
      <c r="N59" s="14" t="s">
        <v>87</v>
      </c>
      <c r="O59" s="15" t="s">
        <v>88</v>
      </c>
      <c r="P59" s="15" t="s">
        <v>89</v>
      </c>
      <c r="Q59" s="15" t="s">
        <v>172</v>
      </c>
      <c r="R59" s="13" t="s">
        <v>173</v>
      </c>
      <c r="S59" s="13" t="s">
        <v>92</v>
      </c>
      <c r="T59" s="13" t="s">
        <v>174</v>
      </c>
      <c r="U59" s="14">
        <v>43831</v>
      </c>
      <c r="V59" s="14">
        <v>43831</v>
      </c>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row>
    <row r="60" spans="1:75" ht="42.8" x14ac:dyDescent="0.25">
      <c r="A60" s="13" t="s">
        <v>76</v>
      </c>
      <c r="B60" s="13" t="s">
        <v>77</v>
      </c>
      <c r="C60" s="14">
        <v>45628.71597222222</v>
      </c>
      <c r="D60" s="13" t="s">
        <v>78</v>
      </c>
      <c r="E60" s="15" t="s">
        <v>79</v>
      </c>
      <c r="F60" s="13" t="s">
        <v>80</v>
      </c>
      <c r="G60" s="15" t="s">
        <v>81</v>
      </c>
      <c r="H60" s="13" t="s">
        <v>240</v>
      </c>
      <c r="I60" s="15" t="s">
        <v>241</v>
      </c>
      <c r="J60" s="15" t="s">
        <v>83</v>
      </c>
      <c r="K60" s="15" t="s">
        <v>242</v>
      </c>
      <c r="L60" s="13" t="s">
        <v>256</v>
      </c>
      <c r="M60" s="15" t="s">
        <v>257</v>
      </c>
      <c r="N60" s="14" t="s">
        <v>87</v>
      </c>
      <c r="O60" s="15" t="s">
        <v>258</v>
      </c>
      <c r="P60" s="15" t="s">
        <v>259</v>
      </c>
      <c r="Q60" s="15" t="s">
        <v>172</v>
      </c>
      <c r="R60" s="13" t="s">
        <v>173</v>
      </c>
      <c r="S60" s="13" t="s">
        <v>92</v>
      </c>
      <c r="T60" s="13" t="s">
        <v>174</v>
      </c>
      <c r="U60" s="14">
        <v>43831</v>
      </c>
      <c r="V60" s="14">
        <v>43831</v>
      </c>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row>
    <row r="61" spans="1:75" ht="99.85" x14ac:dyDescent="0.25">
      <c r="A61" s="13" t="s">
        <v>76</v>
      </c>
      <c r="B61" s="13" t="s">
        <v>77</v>
      </c>
      <c r="C61" s="14">
        <v>45628.713888888888</v>
      </c>
      <c r="D61" s="13" t="s">
        <v>78</v>
      </c>
      <c r="E61" s="15" t="s">
        <v>79</v>
      </c>
      <c r="F61" s="13" t="s">
        <v>80</v>
      </c>
      <c r="G61" s="15" t="s">
        <v>81</v>
      </c>
      <c r="H61" s="13" t="s">
        <v>240</v>
      </c>
      <c r="I61" s="15" t="s">
        <v>241</v>
      </c>
      <c r="J61" s="15" t="s">
        <v>83</v>
      </c>
      <c r="K61" s="15" t="s">
        <v>242</v>
      </c>
      <c r="L61" s="13" t="s">
        <v>243</v>
      </c>
      <c r="M61" s="15" t="s">
        <v>244</v>
      </c>
      <c r="N61" s="14" t="s">
        <v>87</v>
      </c>
      <c r="O61" s="15" t="s">
        <v>88</v>
      </c>
      <c r="P61" s="15" t="s">
        <v>89</v>
      </c>
      <c r="Q61" s="15" t="s">
        <v>175</v>
      </c>
      <c r="R61" s="13" t="s">
        <v>176</v>
      </c>
      <c r="S61" s="13" t="s">
        <v>92</v>
      </c>
      <c r="T61" s="13" t="s">
        <v>93</v>
      </c>
      <c r="U61" s="14">
        <v>40725</v>
      </c>
      <c r="V61" s="14">
        <v>40725</v>
      </c>
      <c r="W61" s="15" t="s">
        <v>245</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t="s">
        <v>246</v>
      </c>
      <c r="BC61" s="15" t="str">
        <f>VLOOKUP(BB61,'Axe 2 Règles de gestion'!$D$2:$F$84,3, FALSE)</f>
        <v>La date d'ouverture du CET transitoire doit être antérieure ou égale au 31/12/2008.</v>
      </c>
      <c r="BD61" s="13" t="s">
        <v>248</v>
      </c>
      <c r="BE61" s="15" t="str">
        <f>VLOOKUP(BD61,'Axe 2 Règles de gestion'!$D$2:$F$84,3, FALSE)</f>
        <v>Le nombre de jours de l'opération doit être inférieur ou égal au nombre de jours du compteur global du CET transitoire.</v>
      </c>
      <c r="BF61" s="13" t="s">
        <v>250</v>
      </c>
      <c r="BG61" s="15" t="str">
        <f>VLOOKUP(BF61,'Axe 2 Règles de gestion'!$D$2:$F$84,3, FALSE)</f>
        <v>La date de fermeture du CET transitoire doit être antérieure ou égale à la date limite de départ en retraite.</v>
      </c>
      <c r="BH61" s="13" t="s">
        <v>252</v>
      </c>
      <c r="BI61" s="15" t="str">
        <f>VLOOKUP(BH61,'Axe 2 Règles de gestion'!$D$2:$F$84,3, FALSE)</f>
        <v>La date de fermeture du CET transitoire doit être antérieure ou égale à la date de fin réelle ou prévisionnelle du lien juridique.</v>
      </c>
      <c r="BJ61" s="13" t="s">
        <v>254</v>
      </c>
      <c r="BK61" s="15" t="str">
        <f>VLOOKUP(BJ61,'Axe 2 Règles de gestion'!$D$2:$F$84,3, FALSE)</f>
        <v>La date d'ouverture du compte épargne temps transitoire doit être postérieure ou égale à la date d'entrée dans le SIRH.</v>
      </c>
      <c r="BL61" s="13" t="s">
        <v>115</v>
      </c>
      <c r="BM61" s="15" t="str">
        <f>VLOOKUP(BL61,'Axe 2 Règles de gestion'!$D$2:$F$84,3, FALSE)</f>
        <v>Les champs "Origine", "Nombre de jours de l'opération", "Nombre de jours pour valorisation financière" et "Nombre de jours pour cotisation RAFP" ne doivent pas être renseignés.</v>
      </c>
      <c r="BN61" s="13"/>
      <c r="BO61" s="15"/>
      <c r="BP61" s="13"/>
      <c r="BQ61" s="15"/>
      <c r="BR61" s="13"/>
      <c r="BS61" s="15"/>
      <c r="BT61" s="13"/>
      <c r="BU61" s="15"/>
      <c r="BV61" s="13"/>
      <c r="BW61" s="15"/>
    </row>
    <row r="62" spans="1:75" ht="142.65" x14ac:dyDescent="0.25">
      <c r="A62" s="13" t="s">
        <v>142</v>
      </c>
      <c r="B62" s="13" t="s">
        <v>77</v>
      </c>
      <c r="C62" s="14">
        <v>43509.746527777781</v>
      </c>
      <c r="D62" s="13" t="s">
        <v>78</v>
      </c>
      <c r="E62" s="15" t="s">
        <v>79</v>
      </c>
      <c r="F62" s="13" t="s">
        <v>80</v>
      </c>
      <c r="G62" s="15" t="s">
        <v>81</v>
      </c>
      <c r="H62" s="13" t="s">
        <v>240</v>
      </c>
      <c r="I62" s="15" t="s">
        <v>241</v>
      </c>
      <c r="J62" s="15" t="s">
        <v>83</v>
      </c>
      <c r="K62" s="15" t="s">
        <v>242</v>
      </c>
      <c r="L62" s="13" t="s">
        <v>256</v>
      </c>
      <c r="M62" s="15" t="s">
        <v>257</v>
      </c>
      <c r="N62" s="14" t="s">
        <v>87</v>
      </c>
      <c r="O62" s="15" t="s">
        <v>258</v>
      </c>
      <c r="P62" s="15" t="s">
        <v>259</v>
      </c>
      <c r="Q62" s="15" t="s">
        <v>175</v>
      </c>
      <c r="R62" s="13" t="s">
        <v>176</v>
      </c>
      <c r="S62" s="13" t="s">
        <v>92</v>
      </c>
      <c r="T62" s="13" t="s">
        <v>93</v>
      </c>
      <c r="U62" s="14">
        <v>40725</v>
      </c>
      <c r="V62" s="14">
        <v>43435</v>
      </c>
      <c r="W62" s="15" t="s">
        <v>276</v>
      </c>
      <c r="X62" s="13" t="s">
        <v>263</v>
      </c>
      <c r="Y62" s="15" t="str">
        <f>VLOOKUP(X62,'Axe 2 Règles de gestion'!$D$2:$F$84,3, FALSE)</f>
        <v>L'agent qui a demandé au 31 décembre 2009 le maintien de jours de congés sur son compte épargne-temps historique peut opter pour leur indemnisation suivant les dispositions du régime pérenne.</v>
      </c>
      <c r="Z62" s="13" t="s">
        <v>265</v>
      </c>
      <c r="AA62" s="15" t="str">
        <f>VLOOKUP(Z62,'Axe 2 Règles de gestion'!$D$2:$F$84,3, FALSE)</f>
        <v>Le versement s'effectue à hauteur de 4 jours par an jusqu'à épuisement du solde.</v>
      </c>
      <c r="AB62" s="13" t="s">
        <v>267</v>
      </c>
      <c r="AC62" s="15" t="str">
        <f>VLOOKUP(AB62,'Axe 2 Règles de gestion'!$D$2:$F$84,3, FALSE)</f>
        <v>Si la durée de versement est supérieure à 4 ans, celui-ci est opéré en 4 fractions annuelles d'égal montant.</v>
      </c>
      <c r="AD62" s="13"/>
      <c r="AE62" s="15"/>
      <c r="AF62" s="13"/>
      <c r="AG62" s="15"/>
      <c r="AH62" s="13"/>
      <c r="AI62" s="15"/>
      <c r="AJ62" s="13"/>
      <c r="AK62" s="15"/>
      <c r="AL62" s="13" t="s">
        <v>129</v>
      </c>
      <c r="AM62" s="15" t="str">
        <f>VLOOKUP(AL62,'Axe 2 Règles de gestion'!$D$2:$F$84,3, FALSE)</f>
        <v>La différence entre le nombre de jours du compteur global du CET et le nombre de jours pour valorisation financière doit être strictement supérieure à 20 jours.</v>
      </c>
      <c r="AN62" s="13"/>
      <c r="AO62" s="15"/>
      <c r="AP62" s="13"/>
      <c r="AQ62" s="15"/>
      <c r="AR62" s="13"/>
      <c r="AS62" s="15"/>
      <c r="AT62" s="13"/>
      <c r="AU62" s="15"/>
      <c r="AV62" s="13"/>
      <c r="AW62" s="15"/>
      <c r="AX62" s="13"/>
      <c r="AY62" s="15"/>
      <c r="AZ62" s="13"/>
      <c r="BA62" s="15"/>
      <c r="BB62" s="13" t="s">
        <v>246</v>
      </c>
      <c r="BC62" s="15" t="str">
        <f>VLOOKUP(BB62,'Axe 2 Règles de gestion'!$D$2:$F$84,3, FALSE)</f>
        <v>La date d'ouverture du CET transitoire doit être antérieure ou égale au 31/12/2008.</v>
      </c>
      <c r="BD62" s="13" t="s">
        <v>248</v>
      </c>
      <c r="BE62" s="15" t="str">
        <f>VLOOKUP(BD62,'Axe 2 Règles de gestion'!$D$2:$F$84,3, FALSE)</f>
        <v>Le nombre de jours de l'opération doit être inférieur ou égal au nombre de jours du compteur global du CET transitoire.</v>
      </c>
      <c r="BF62" s="13" t="s">
        <v>250</v>
      </c>
      <c r="BG62" s="15" t="str">
        <f>VLOOKUP(BF62,'Axe 2 Règles de gestion'!$D$2:$F$84,3, FALSE)</f>
        <v>La date de fermeture du CET transitoire doit être antérieure ou égale à la date limite de départ en retraite.</v>
      </c>
      <c r="BH62" s="13" t="s">
        <v>252</v>
      </c>
      <c r="BI62" s="15" t="str">
        <f>VLOOKUP(BH62,'Axe 2 Règles de gestion'!$D$2:$F$84,3, FALSE)</f>
        <v>La date de fermeture du CET transitoire doit être antérieure ou égale à la date de fin réelle ou prévisionnelle du lien juridique.</v>
      </c>
      <c r="BJ62" s="13" t="s">
        <v>254</v>
      </c>
      <c r="BK62" s="15" t="str">
        <f>VLOOKUP(BJ62,'Axe 2 Règles de gestion'!$D$2:$F$84,3, FALSE)</f>
        <v>La date d'ouverture du compte épargne temps transitoire doit être postérieure ou égale à la date d'entrée dans le SIRH.</v>
      </c>
      <c r="BL62" s="13" t="s">
        <v>182</v>
      </c>
      <c r="BM62" s="15" t="str">
        <f>VLOOKUP(BL62,'Axe 2 Règles de gestion'!$D$2:$F$84,3, FALSE)</f>
        <v>Lorsque le sens de l'opération est égal à "consommé", le nombre de jours pour la cotisation RAFP n'est pas à renseigner.</v>
      </c>
      <c r="BN62" s="13" t="s">
        <v>269</v>
      </c>
      <c r="BO62" s="15" t="str">
        <f>VLOOKUP(BN62,'Axe 2 Règles de gestion'!$D$2:$F$84,3, FALSE)</f>
        <v>Lorsque le sens de l'opération est à "consommé", le compteur global transitoire saisi est égal au compteur global transitoire de l'occurrence précédente duquel sont soustraits les jours consommés en congés.</v>
      </c>
      <c r="BP62" s="13" t="s">
        <v>135</v>
      </c>
      <c r="BQ62" s="15" t="str">
        <f>VLOOKUP(BP62,'Axe 2 Règles de gestion'!$D$2:$F$84,3, FALSE)</f>
        <v>Lorsque le sens de l'opération est égal à "consommé", l'origine des jours n'est pas à renseigner.</v>
      </c>
      <c r="BR62" s="13" t="s">
        <v>271</v>
      </c>
      <c r="BS62" s="15" t="str">
        <f>VLOOKUP(BR62,'Axe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62" s="13" t="s">
        <v>273</v>
      </c>
      <c r="BU62" s="15" t="str">
        <f>VLOOKUP(BT62,'Axe 2 Règles de gestion'!$D$2:$F$84,3, FALSE)</f>
        <v>Le sens de l'opération doit être à "consommé".</v>
      </c>
      <c r="BV62" s="13"/>
      <c r="BW62" s="15"/>
    </row>
    <row r="63" spans="1:75" ht="142.65" x14ac:dyDescent="0.25">
      <c r="A63" s="13" t="s">
        <v>76</v>
      </c>
      <c r="B63" s="13" t="s">
        <v>77</v>
      </c>
      <c r="C63" s="14">
        <v>45628.71597222222</v>
      </c>
      <c r="D63" s="13" t="s">
        <v>78</v>
      </c>
      <c r="E63" s="15" t="s">
        <v>79</v>
      </c>
      <c r="F63" s="13" t="s">
        <v>80</v>
      </c>
      <c r="G63" s="15" t="s">
        <v>81</v>
      </c>
      <c r="H63" s="13" t="s">
        <v>240</v>
      </c>
      <c r="I63" s="15" t="s">
        <v>241</v>
      </c>
      <c r="J63" s="15" t="s">
        <v>83</v>
      </c>
      <c r="K63" s="15" t="s">
        <v>242</v>
      </c>
      <c r="L63" s="13" t="s">
        <v>256</v>
      </c>
      <c r="M63" s="15" t="s">
        <v>257</v>
      </c>
      <c r="N63" s="14" t="s">
        <v>87</v>
      </c>
      <c r="O63" s="15" t="s">
        <v>258</v>
      </c>
      <c r="P63" s="15" t="s">
        <v>259</v>
      </c>
      <c r="Q63" s="15" t="s">
        <v>175</v>
      </c>
      <c r="R63" s="13" t="s">
        <v>176</v>
      </c>
      <c r="S63" s="13" t="s">
        <v>92</v>
      </c>
      <c r="T63" s="13" t="s">
        <v>93</v>
      </c>
      <c r="U63" s="14">
        <v>43436</v>
      </c>
      <c r="V63" s="14">
        <v>43436</v>
      </c>
      <c r="W63" s="15" t="s">
        <v>277</v>
      </c>
      <c r="X63" s="13" t="s">
        <v>263</v>
      </c>
      <c r="Y63" s="15" t="str">
        <f>VLOOKUP(X63,'Axe 2 Règles de gestion'!$D$2:$F$84,3, FALSE)</f>
        <v>L'agent qui a demandé au 31 décembre 2009 le maintien de jours de congés sur son compte épargne-temps historique peut opter pour leur indemnisation suivant les dispositions du régime pérenne.</v>
      </c>
      <c r="Z63" s="13" t="s">
        <v>265</v>
      </c>
      <c r="AA63" s="15" t="str">
        <f>VLOOKUP(Z63,'Axe 2 Règles de gestion'!$D$2:$F$84,3, FALSE)</f>
        <v>Le versement s'effectue à hauteur de 4 jours par an jusqu'à épuisement du solde.</v>
      </c>
      <c r="AB63" s="13" t="s">
        <v>267</v>
      </c>
      <c r="AC63" s="15" t="str">
        <f>VLOOKUP(AB63,'Axe 2 Règles de gestion'!$D$2:$F$84,3, FALSE)</f>
        <v>Si la durée de versement est supérieure à 4 ans, celui-ci est opéré en 4 fractions annuelles d'égal montant.</v>
      </c>
      <c r="AD63" s="13"/>
      <c r="AE63" s="15"/>
      <c r="AF63" s="13"/>
      <c r="AG63" s="15"/>
      <c r="AH63" s="13"/>
      <c r="AI63" s="15"/>
      <c r="AJ63" s="13"/>
      <c r="AK63" s="15"/>
      <c r="AL63" s="13" t="s">
        <v>138</v>
      </c>
      <c r="AM63" s="15" t="str">
        <f>VLOOKUP(AL63,'Axe 2 Règles de gestion'!$D$2:$F$84,3, FALSE)</f>
        <v>La différence entre le nombre de jours du compteur global du CET et le nombre de jours pour valorisation financière doit être strictement supérieure à 15 jours.</v>
      </c>
      <c r="AN63" s="13"/>
      <c r="AO63" s="15"/>
      <c r="AP63" s="13"/>
      <c r="AQ63" s="15"/>
      <c r="AR63" s="13"/>
      <c r="AS63" s="15"/>
      <c r="AT63" s="13"/>
      <c r="AU63" s="15"/>
      <c r="AV63" s="13"/>
      <c r="AW63" s="15"/>
      <c r="AX63" s="13"/>
      <c r="AY63" s="15"/>
      <c r="AZ63" s="13"/>
      <c r="BA63" s="15"/>
      <c r="BB63" s="13" t="s">
        <v>246</v>
      </c>
      <c r="BC63" s="15" t="str">
        <f>VLOOKUP(BB63,'Axe 2 Règles de gestion'!$D$2:$F$84,3, FALSE)</f>
        <v>La date d'ouverture du CET transitoire doit être antérieure ou égale au 31/12/2008.</v>
      </c>
      <c r="BD63" s="13" t="s">
        <v>248</v>
      </c>
      <c r="BE63" s="15" t="str">
        <f>VLOOKUP(BD63,'Axe 2 Règles de gestion'!$D$2:$F$84,3, FALSE)</f>
        <v>Le nombre de jours de l'opération doit être inférieur ou égal au nombre de jours du compteur global du CET transitoire.</v>
      </c>
      <c r="BF63" s="13" t="s">
        <v>250</v>
      </c>
      <c r="BG63" s="15" t="str">
        <f>VLOOKUP(BF63,'Axe 2 Règles de gestion'!$D$2:$F$84,3, FALSE)</f>
        <v>La date de fermeture du CET transitoire doit être antérieure ou égale à la date limite de départ en retraite.</v>
      </c>
      <c r="BH63" s="13" t="s">
        <v>252</v>
      </c>
      <c r="BI63" s="15" t="str">
        <f>VLOOKUP(BH63,'Axe 2 Règles de gestion'!$D$2:$F$84,3, FALSE)</f>
        <v>La date de fermeture du CET transitoire doit être antérieure ou égale à la date de fin réelle ou prévisionnelle du lien juridique.</v>
      </c>
      <c r="BJ63" s="13" t="s">
        <v>254</v>
      </c>
      <c r="BK63" s="15" t="str">
        <f>VLOOKUP(BJ63,'Axe 2 Règles de gestion'!$D$2:$F$84,3, FALSE)</f>
        <v>La date d'ouverture du compte épargne temps transitoire doit être postérieure ou égale à la date d'entrée dans le SIRH.</v>
      </c>
      <c r="BL63" s="13" t="s">
        <v>182</v>
      </c>
      <c r="BM63" s="15" t="str">
        <f>VLOOKUP(BL63,'Axe 2 Règles de gestion'!$D$2:$F$84,3, FALSE)</f>
        <v>Lorsque le sens de l'opération est égal à "consommé", le nombre de jours pour la cotisation RAFP n'est pas à renseigner.</v>
      </c>
      <c r="BN63" s="13" t="s">
        <v>269</v>
      </c>
      <c r="BO63" s="15" t="str">
        <f>VLOOKUP(BN63,'Axe 2 Règles de gestion'!$D$2:$F$84,3, FALSE)</f>
        <v>Lorsque le sens de l'opération est à "consommé", le compteur global transitoire saisi est égal au compteur global transitoire de l'occurrence précédente duquel sont soustraits les jours consommés en congés.</v>
      </c>
      <c r="BP63" s="13" t="s">
        <v>135</v>
      </c>
      <c r="BQ63" s="15" t="str">
        <f>VLOOKUP(BP63,'Axe 2 Règles de gestion'!$D$2:$F$84,3, FALSE)</f>
        <v>Lorsque le sens de l'opération est égal à "consommé", l'origine des jours n'est pas à renseigner.</v>
      </c>
      <c r="BR63" s="13" t="s">
        <v>271</v>
      </c>
      <c r="BS63" s="15" t="str">
        <f>VLOOKUP(BR63,'Axe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63" s="13" t="s">
        <v>273</v>
      </c>
      <c r="BU63" s="15" t="str">
        <f>VLOOKUP(BT63,'Axe 2 Règles de gestion'!$D$2:$F$84,3, FALSE)</f>
        <v>Le sens de l'opération doit être à "consommé".</v>
      </c>
      <c r="BV63" s="13"/>
      <c r="BW63" s="15"/>
    </row>
    <row r="64" spans="1:75" ht="42.8" x14ac:dyDescent="0.25">
      <c r="A64" s="13" t="s">
        <v>76</v>
      </c>
      <c r="B64" s="13" t="s">
        <v>77</v>
      </c>
      <c r="C64" s="14">
        <v>45628.715277777781</v>
      </c>
      <c r="D64" s="13" t="s">
        <v>78</v>
      </c>
      <c r="E64" s="15" t="s">
        <v>79</v>
      </c>
      <c r="F64" s="13" t="s">
        <v>80</v>
      </c>
      <c r="G64" s="15" t="s">
        <v>81</v>
      </c>
      <c r="H64" s="13" t="s">
        <v>240</v>
      </c>
      <c r="I64" s="15" t="s">
        <v>241</v>
      </c>
      <c r="J64" s="15" t="s">
        <v>83</v>
      </c>
      <c r="K64" s="15" t="s">
        <v>242</v>
      </c>
      <c r="L64" s="13" t="s">
        <v>243</v>
      </c>
      <c r="M64" s="15" t="s">
        <v>244</v>
      </c>
      <c r="N64" s="14" t="s">
        <v>87</v>
      </c>
      <c r="O64" s="15" t="s">
        <v>88</v>
      </c>
      <c r="P64" s="15" t="s">
        <v>89</v>
      </c>
      <c r="Q64" s="15" t="s">
        <v>187</v>
      </c>
      <c r="R64" s="13" t="s">
        <v>188</v>
      </c>
      <c r="S64" s="13" t="s">
        <v>92</v>
      </c>
      <c r="T64" s="13" t="s">
        <v>174</v>
      </c>
      <c r="U64" s="14">
        <v>40725</v>
      </c>
      <c r="V64" s="14">
        <v>40725</v>
      </c>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row>
    <row r="65" spans="1:75" ht="42.8" x14ac:dyDescent="0.25">
      <c r="A65" s="13" t="s">
        <v>76</v>
      </c>
      <c r="B65" s="13" t="s">
        <v>77</v>
      </c>
      <c r="C65" s="14">
        <v>45628.717361111114</v>
      </c>
      <c r="D65" s="13" t="s">
        <v>78</v>
      </c>
      <c r="E65" s="15" t="s">
        <v>79</v>
      </c>
      <c r="F65" s="13" t="s">
        <v>80</v>
      </c>
      <c r="G65" s="15" t="s">
        <v>81</v>
      </c>
      <c r="H65" s="13" t="s">
        <v>240</v>
      </c>
      <c r="I65" s="15" t="s">
        <v>241</v>
      </c>
      <c r="J65" s="15" t="s">
        <v>83</v>
      </c>
      <c r="K65" s="15" t="s">
        <v>242</v>
      </c>
      <c r="L65" s="13" t="s">
        <v>256</v>
      </c>
      <c r="M65" s="15" t="s">
        <v>257</v>
      </c>
      <c r="N65" s="14" t="s">
        <v>87</v>
      </c>
      <c r="O65" s="15" t="s">
        <v>258</v>
      </c>
      <c r="P65" s="15" t="s">
        <v>259</v>
      </c>
      <c r="Q65" s="15" t="s">
        <v>187</v>
      </c>
      <c r="R65" s="13" t="s">
        <v>188</v>
      </c>
      <c r="S65" s="13" t="s">
        <v>92</v>
      </c>
      <c r="T65" s="13" t="s">
        <v>174</v>
      </c>
      <c r="U65" s="14">
        <v>40725</v>
      </c>
      <c r="V65" s="14">
        <v>40725</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row>
    <row r="66" spans="1:75" ht="42.8" x14ac:dyDescent="0.25">
      <c r="A66" s="13" t="s">
        <v>76</v>
      </c>
      <c r="B66" s="13" t="s">
        <v>77</v>
      </c>
      <c r="C66" s="14">
        <v>45628.714583333334</v>
      </c>
      <c r="D66" s="13" t="s">
        <v>78</v>
      </c>
      <c r="E66" s="15" t="s">
        <v>79</v>
      </c>
      <c r="F66" s="13" t="s">
        <v>80</v>
      </c>
      <c r="G66" s="15" t="s">
        <v>81</v>
      </c>
      <c r="H66" s="13" t="s">
        <v>240</v>
      </c>
      <c r="I66" s="15" t="s">
        <v>241</v>
      </c>
      <c r="J66" s="15" t="s">
        <v>83</v>
      </c>
      <c r="K66" s="15" t="s">
        <v>242</v>
      </c>
      <c r="L66" s="13" t="s">
        <v>243</v>
      </c>
      <c r="M66" s="15" t="s">
        <v>244</v>
      </c>
      <c r="N66" s="14" t="s">
        <v>87</v>
      </c>
      <c r="O66" s="15" t="s">
        <v>88</v>
      </c>
      <c r="P66" s="15" t="s">
        <v>89</v>
      </c>
      <c r="Q66" s="15" t="s">
        <v>189</v>
      </c>
      <c r="R66" s="13" t="s">
        <v>190</v>
      </c>
      <c r="S66" s="13" t="s">
        <v>92</v>
      </c>
      <c r="T66" s="13" t="s">
        <v>174</v>
      </c>
      <c r="U66" s="14">
        <v>40725</v>
      </c>
      <c r="V66" s="14">
        <v>40725</v>
      </c>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row>
    <row r="67" spans="1:75" ht="42.8" x14ac:dyDescent="0.25">
      <c r="A67" s="13" t="s">
        <v>76</v>
      </c>
      <c r="B67" s="13" t="s">
        <v>77</v>
      </c>
      <c r="C67" s="14">
        <v>45628.716666666667</v>
      </c>
      <c r="D67" s="13" t="s">
        <v>78</v>
      </c>
      <c r="E67" s="15" t="s">
        <v>79</v>
      </c>
      <c r="F67" s="13" t="s">
        <v>80</v>
      </c>
      <c r="G67" s="15" t="s">
        <v>81</v>
      </c>
      <c r="H67" s="13" t="s">
        <v>240</v>
      </c>
      <c r="I67" s="15" t="s">
        <v>241</v>
      </c>
      <c r="J67" s="15" t="s">
        <v>83</v>
      </c>
      <c r="K67" s="15" t="s">
        <v>242</v>
      </c>
      <c r="L67" s="13" t="s">
        <v>256</v>
      </c>
      <c r="M67" s="15" t="s">
        <v>257</v>
      </c>
      <c r="N67" s="14" t="s">
        <v>87</v>
      </c>
      <c r="O67" s="15" t="s">
        <v>258</v>
      </c>
      <c r="P67" s="15" t="s">
        <v>259</v>
      </c>
      <c r="Q67" s="15" t="s">
        <v>189</v>
      </c>
      <c r="R67" s="13" t="s">
        <v>190</v>
      </c>
      <c r="S67" s="13" t="s">
        <v>92</v>
      </c>
      <c r="T67" s="13" t="s">
        <v>174</v>
      </c>
      <c r="U67" s="14">
        <v>40725</v>
      </c>
      <c r="V67" s="14">
        <v>40725</v>
      </c>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row>
    <row r="68" spans="1:75" ht="42.8" x14ac:dyDescent="0.25">
      <c r="A68" s="13" t="s">
        <v>76</v>
      </c>
      <c r="B68" s="13" t="s">
        <v>77</v>
      </c>
      <c r="C68" s="14">
        <v>45628.717361111114</v>
      </c>
      <c r="D68" s="13" t="s">
        <v>78</v>
      </c>
      <c r="E68" s="15" t="s">
        <v>79</v>
      </c>
      <c r="F68" s="13" t="s">
        <v>80</v>
      </c>
      <c r="G68" s="15" t="s">
        <v>81</v>
      </c>
      <c r="H68" s="13" t="s">
        <v>240</v>
      </c>
      <c r="I68" s="15" t="s">
        <v>241</v>
      </c>
      <c r="J68" s="15" t="s">
        <v>83</v>
      </c>
      <c r="K68" s="15" t="s">
        <v>242</v>
      </c>
      <c r="L68" s="13" t="s">
        <v>243</v>
      </c>
      <c r="M68" s="15" t="s">
        <v>244</v>
      </c>
      <c r="N68" s="14" t="s">
        <v>87</v>
      </c>
      <c r="O68" s="15" t="s">
        <v>88</v>
      </c>
      <c r="P68" s="15" t="s">
        <v>89</v>
      </c>
      <c r="Q68" s="15" t="s">
        <v>191</v>
      </c>
      <c r="R68" s="13" t="s">
        <v>192</v>
      </c>
      <c r="S68" s="13" t="s">
        <v>193</v>
      </c>
      <c r="T68" s="13" t="s">
        <v>174</v>
      </c>
      <c r="U68" s="14">
        <v>40725</v>
      </c>
      <c r="V68" s="14">
        <v>40725</v>
      </c>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row>
    <row r="69" spans="1:75" ht="42.8" x14ac:dyDescent="0.25">
      <c r="A69" s="13" t="s">
        <v>76</v>
      </c>
      <c r="B69" s="13" t="s">
        <v>77</v>
      </c>
      <c r="C69" s="14">
        <v>45628.71875</v>
      </c>
      <c r="D69" s="13" t="s">
        <v>78</v>
      </c>
      <c r="E69" s="15" t="s">
        <v>79</v>
      </c>
      <c r="F69" s="13" t="s">
        <v>80</v>
      </c>
      <c r="G69" s="15" t="s">
        <v>81</v>
      </c>
      <c r="H69" s="13" t="s">
        <v>240</v>
      </c>
      <c r="I69" s="15" t="s">
        <v>241</v>
      </c>
      <c r="J69" s="15" t="s">
        <v>83</v>
      </c>
      <c r="K69" s="15" t="s">
        <v>242</v>
      </c>
      <c r="L69" s="13" t="s">
        <v>256</v>
      </c>
      <c r="M69" s="15" t="s">
        <v>257</v>
      </c>
      <c r="N69" s="14" t="s">
        <v>87</v>
      </c>
      <c r="O69" s="15" t="s">
        <v>258</v>
      </c>
      <c r="P69" s="15" t="s">
        <v>259</v>
      </c>
      <c r="Q69" s="15" t="s">
        <v>191</v>
      </c>
      <c r="R69" s="13" t="s">
        <v>192</v>
      </c>
      <c r="S69" s="13" t="s">
        <v>193</v>
      </c>
      <c r="T69" s="13" t="s">
        <v>174</v>
      </c>
      <c r="U69" s="14">
        <v>40725</v>
      </c>
      <c r="V69" s="14">
        <v>40725</v>
      </c>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row>
    <row r="70" spans="1:75" ht="42.8" x14ac:dyDescent="0.25">
      <c r="A70" s="13" t="s">
        <v>76</v>
      </c>
      <c r="B70" s="13" t="s">
        <v>77</v>
      </c>
      <c r="C70" s="14">
        <v>45628.718055555553</v>
      </c>
      <c r="D70" s="13" t="s">
        <v>78</v>
      </c>
      <c r="E70" s="15" t="s">
        <v>79</v>
      </c>
      <c r="F70" s="13" t="s">
        <v>80</v>
      </c>
      <c r="G70" s="15" t="s">
        <v>81</v>
      </c>
      <c r="H70" s="13" t="s">
        <v>240</v>
      </c>
      <c r="I70" s="15" t="s">
        <v>241</v>
      </c>
      <c r="J70" s="15" t="s">
        <v>83</v>
      </c>
      <c r="K70" s="15" t="s">
        <v>242</v>
      </c>
      <c r="L70" s="13" t="s">
        <v>243</v>
      </c>
      <c r="M70" s="15" t="s">
        <v>244</v>
      </c>
      <c r="N70" s="14" t="s">
        <v>87</v>
      </c>
      <c r="O70" s="15" t="s">
        <v>88</v>
      </c>
      <c r="P70" s="15" t="s">
        <v>89</v>
      </c>
      <c r="Q70" s="15" t="s">
        <v>194</v>
      </c>
      <c r="R70" s="13" t="s">
        <v>195</v>
      </c>
      <c r="S70" s="13" t="s">
        <v>193</v>
      </c>
      <c r="T70" s="13" t="s">
        <v>174</v>
      </c>
      <c r="U70" s="14">
        <v>40725</v>
      </c>
      <c r="V70" s="14">
        <v>40725</v>
      </c>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row>
    <row r="71" spans="1:75" ht="42.8" x14ac:dyDescent="0.25">
      <c r="A71" s="13" t="s">
        <v>76</v>
      </c>
      <c r="B71" s="13" t="s">
        <v>77</v>
      </c>
      <c r="C71" s="14">
        <v>45628.719444444447</v>
      </c>
      <c r="D71" s="13" t="s">
        <v>78</v>
      </c>
      <c r="E71" s="15" t="s">
        <v>79</v>
      </c>
      <c r="F71" s="13" t="s">
        <v>80</v>
      </c>
      <c r="G71" s="15" t="s">
        <v>81</v>
      </c>
      <c r="H71" s="13" t="s">
        <v>240</v>
      </c>
      <c r="I71" s="15" t="s">
        <v>241</v>
      </c>
      <c r="J71" s="15" t="s">
        <v>83</v>
      </c>
      <c r="K71" s="15" t="s">
        <v>242</v>
      </c>
      <c r="L71" s="13" t="s">
        <v>256</v>
      </c>
      <c r="M71" s="15" t="s">
        <v>257</v>
      </c>
      <c r="N71" s="14" t="s">
        <v>87</v>
      </c>
      <c r="O71" s="15" t="s">
        <v>258</v>
      </c>
      <c r="P71" s="15" t="s">
        <v>259</v>
      </c>
      <c r="Q71" s="15" t="s">
        <v>194</v>
      </c>
      <c r="R71" s="13" t="s">
        <v>195</v>
      </c>
      <c r="S71" s="13" t="s">
        <v>193</v>
      </c>
      <c r="T71" s="13" t="s">
        <v>174</v>
      </c>
      <c r="U71" s="14">
        <v>40725</v>
      </c>
      <c r="V71" s="14">
        <v>40725</v>
      </c>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row>
    <row r="72" spans="1:75" ht="42.8" x14ac:dyDescent="0.25">
      <c r="A72" s="13" t="s">
        <v>76</v>
      </c>
      <c r="B72" s="13" t="s">
        <v>77</v>
      </c>
      <c r="C72" s="14">
        <v>45628.718055555553</v>
      </c>
      <c r="D72" s="13" t="s">
        <v>78</v>
      </c>
      <c r="E72" s="15" t="s">
        <v>79</v>
      </c>
      <c r="F72" s="13" t="s">
        <v>80</v>
      </c>
      <c r="G72" s="15" t="s">
        <v>81</v>
      </c>
      <c r="H72" s="13" t="s">
        <v>240</v>
      </c>
      <c r="I72" s="15" t="s">
        <v>241</v>
      </c>
      <c r="J72" s="15" t="s">
        <v>83</v>
      </c>
      <c r="K72" s="15" t="s">
        <v>242</v>
      </c>
      <c r="L72" s="13" t="s">
        <v>243</v>
      </c>
      <c r="M72" s="15" t="s">
        <v>244</v>
      </c>
      <c r="N72" s="14" t="s">
        <v>87</v>
      </c>
      <c r="O72" s="15" t="s">
        <v>88</v>
      </c>
      <c r="P72" s="15" t="s">
        <v>89</v>
      </c>
      <c r="Q72" s="15" t="s">
        <v>196</v>
      </c>
      <c r="R72" s="13" t="s">
        <v>197</v>
      </c>
      <c r="S72" s="13" t="s">
        <v>193</v>
      </c>
      <c r="T72" s="13" t="s">
        <v>174</v>
      </c>
      <c r="U72" s="14">
        <v>40725</v>
      </c>
      <c r="V72" s="14">
        <v>40725</v>
      </c>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row>
    <row r="73" spans="1:75" ht="42.8" x14ac:dyDescent="0.25">
      <c r="A73" s="13" t="s">
        <v>76</v>
      </c>
      <c r="B73" s="13" t="s">
        <v>77</v>
      </c>
      <c r="C73" s="14">
        <v>45628.719444444447</v>
      </c>
      <c r="D73" s="13" t="s">
        <v>78</v>
      </c>
      <c r="E73" s="15" t="s">
        <v>79</v>
      </c>
      <c r="F73" s="13" t="s">
        <v>80</v>
      </c>
      <c r="G73" s="15" t="s">
        <v>81</v>
      </c>
      <c r="H73" s="13" t="s">
        <v>240</v>
      </c>
      <c r="I73" s="15" t="s">
        <v>241</v>
      </c>
      <c r="J73" s="15" t="s">
        <v>83</v>
      </c>
      <c r="K73" s="15" t="s">
        <v>242</v>
      </c>
      <c r="L73" s="13" t="s">
        <v>256</v>
      </c>
      <c r="M73" s="15" t="s">
        <v>257</v>
      </c>
      <c r="N73" s="14" t="s">
        <v>87</v>
      </c>
      <c r="O73" s="15" t="s">
        <v>258</v>
      </c>
      <c r="P73" s="15" t="s">
        <v>259</v>
      </c>
      <c r="Q73" s="15" t="s">
        <v>196</v>
      </c>
      <c r="R73" s="13" t="s">
        <v>197</v>
      </c>
      <c r="S73" s="13" t="s">
        <v>193</v>
      </c>
      <c r="T73" s="13" t="s">
        <v>174</v>
      </c>
      <c r="U73" s="14">
        <v>40725</v>
      </c>
      <c r="V73" s="14">
        <v>40725</v>
      </c>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row>
    <row r="74" spans="1:75" ht="99.85" x14ac:dyDescent="0.25">
      <c r="A74" s="13" t="s">
        <v>142</v>
      </c>
      <c r="B74" s="13" t="s">
        <v>77</v>
      </c>
      <c r="C74" s="14">
        <v>43152.5</v>
      </c>
      <c r="D74" s="13" t="s">
        <v>78</v>
      </c>
      <c r="E74" s="15" t="s">
        <v>79</v>
      </c>
      <c r="F74" s="13" t="s">
        <v>80</v>
      </c>
      <c r="G74" s="15" t="s">
        <v>81</v>
      </c>
      <c r="H74" s="13" t="s">
        <v>240</v>
      </c>
      <c r="I74" s="15" t="s">
        <v>241</v>
      </c>
      <c r="J74" s="15" t="s">
        <v>83</v>
      </c>
      <c r="K74" s="15" t="s">
        <v>242</v>
      </c>
      <c r="L74" s="13" t="s">
        <v>243</v>
      </c>
      <c r="M74" s="15" t="s">
        <v>244</v>
      </c>
      <c r="N74" s="14" t="s">
        <v>87</v>
      </c>
      <c r="O74" s="15" t="s">
        <v>88</v>
      </c>
      <c r="P74" s="15" t="s">
        <v>89</v>
      </c>
      <c r="Q74" s="15" t="s">
        <v>198</v>
      </c>
      <c r="R74" s="13" t="s">
        <v>199</v>
      </c>
      <c r="S74" s="13" t="s">
        <v>193</v>
      </c>
      <c r="T74" s="13" t="s">
        <v>93</v>
      </c>
      <c r="U74" s="14">
        <v>40725</v>
      </c>
      <c r="V74" s="14"/>
      <c r="W74" s="15" t="s">
        <v>245</v>
      </c>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t="s">
        <v>246</v>
      </c>
      <c r="BC74" s="15" t="str">
        <f>VLOOKUP(BB74,'Axe 2 Règles de gestion'!$D$2:$F$84,3, FALSE)</f>
        <v>La date d'ouverture du CET transitoire doit être antérieure ou égale au 31/12/2008.</v>
      </c>
      <c r="BD74" s="13" t="s">
        <v>248</v>
      </c>
      <c r="BE74" s="15" t="str">
        <f>VLOOKUP(BD74,'Axe 2 Règles de gestion'!$D$2:$F$84,3, FALSE)</f>
        <v>Le nombre de jours de l'opération doit être inférieur ou égal au nombre de jours du compteur global du CET transitoire.</v>
      </c>
      <c r="BF74" s="13" t="s">
        <v>250</v>
      </c>
      <c r="BG74" s="15" t="str">
        <f>VLOOKUP(BF74,'Axe 2 Règles de gestion'!$D$2:$F$84,3, FALSE)</f>
        <v>La date de fermeture du CET transitoire doit être antérieure ou égale à la date limite de départ en retraite.</v>
      </c>
      <c r="BH74" s="13" t="s">
        <v>252</v>
      </c>
      <c r="BI74" s="15" t="str">
        <f>VLOOKUP(BH74,'Axe 2 Règles de gestion'!$D$2:$F$84,3, FALSE)</f>
        <v>La date de fermeture du CET transitoire doit être antérieure ou égale à la date de fin réelle ou prévisionnelle du lien juridique.</v>
      </c>
      <c r="BJ74" s="13" t="s">
        <v>254</v>
      </c>
      <c r="BK74" s="15" t="str">
        <f>VLOOKUP(BJ74,'Axe 2 Règles de gestion'!$D$2:$F$84,3, FALSE)</f>
        <v>La date d'ouverture du compte épargne temps transitoire doit être postérieure ou égale à la date d'entrée dans le SIRH.</v>
      </c>
      <c r="BL74" s="13" t="s">
        <v>115</v>
      </c>
      <c r="BM74" s="15" t="str">
        <f>VLOOKUP(BL74,'Axe 2 Règles de gestion'!$D$2:$F$84,3, FALSE)</f>
        <v>Les champs "Origine", "Nombre de jours de l'opération", "Nombre de jours pour valorisation financière" et "Nombre de jours pour cotisation RAFP" ne doivent pas être renseignés.</v>
      </c>
      <c r="BN74" s="13"/>
      <c r="BO74" s="15"/>
      <c r="BP74" s="13"/>
      <c r="BQ74" s="15"/>
      <c r="BR74" s="13"/>
      <c r="BS74" s="15"/>
      <c r="BT74" s="13"/>
      <c r="BU74" s="15"/>
      <c r="BV74" s="13"/>
      <c r="BW74" s="15"/>
    </row>
    <row r="75" spans="1:75" ht="142.65" x14ac:dyDescent="0.25">
      <c r="A75" s="13" t="s">
        <v>142</v>
      </c>
      <c r="B75" s="13" t="s">
        <v>77</v>
      </c>
      <c r="C75" s="14">
        <v>43545.809027777781</v>
      </c>
      <c r="D75" s="13" t="s">
        <v>78</v>
      </c>
      <c r="E75" s="15" t="s">
        <v>79</v>
      </c>
      <c r="F75" s="13" t="s">
        <v>80</v>
      </c>
      <c r="G75" s="15" t="s">
        <v>81</v>
      </c>
      <c r="H75" s="13" t="s">
        <v>240</v>
      </c>
      <c r="I75" s="15" t="s">
        <v>241</v>
      </c>
      <c r="J75" s="15" t="s">
        <v>83</v>
      </c>
      <c r="K75" s="15" t="s">
        <v>242</v>
      </c>
      <c r="L75" s="13" t="s">
        <v>256</v>
      </c>
      <c r="M75" s="15" t="s">
        <v>257</v>
      </c>
      <c r="N75" s="14" t="s">
        <v>87</v>
      </c>
      <c r="O75" s="15" t="s">
        <v>258</v>
      </c>
      <c r="P75" s="15" t="s">
        <v>259</v>
      </c>
      <c r="Q75" s="15" t="s">
        <v>198</v>
      </c>
      <c r="R75" s="13" t="s">
        <v>199</v>
      </c>
      <c r="S75" s="13" t="s">
        <v>193</v>
      </c>
      <c r="T75" s="13" t="s">
        <v>93</v>
      </c>
      <c r="U75" s="14">
        <v>40725</v>
      </c>
      <c r="V75" s="14">
        <v>43435</v>
      </c>
      <c r="W75" s="15" t="s">
        <v>278</v>
      </c>
      <c r="X75" s="13" t="s">
        <v>263</v>
      </c>
      <c r="Y75" s="15" t="str">
        <f>VLOOKUP(X75,'Axe 2 Règles de gestion'!$D$2:$F$84,3, FALSE)</f>
        <v>L'agent qui a demandé au 31 décembre 2009 le maintien de jours de congés sur son compte épargne-temps historique peut opter pour leur indemnisation suivant les dispositions du régime pérenne.</v>
      </c>
      <c r="Z75" s="13"/>
      <c r="AA75" s="15"/>
      <c r="AB75" s="13"/>
      <c r="AC75" s="15"/>
      <c r="AD75" s="13"/>
      <c r="AE75" s="15"/>
      <c r="AF75" s="13"/>
      <c r="AG75" s="15"/>
      <c r="AH75" s="13"/>
      <c r="AI75" s="15"/>
      <c r="AJ75" s="13"/>
      <c r="AK75" s="15"/>
      <c r="AL75" s="13" t="s">
        <v>211</v>
      </c>
      <c r="AM75" s="15" t="str">
        <f>VLOOKUP(AL75,'Axe 2 Règles de gestion'!$D$2:$F$84,3, FALSE)</f>
        <v>La différence entre le nombre de jours du compteur global du CET et le nombre de jours pour valorisation financière doit être strictement supérieure à 20 jours.</v>
      </c>
      <c r="AN75" s="13"/>
      <c r="AO75" s="15"/>
      <c r="AP75" s="13"/>
      <c r="AQ75" s="15"/>
      <c r="AR75" s="13"/>
      <c r="AS75" s="15"/>
      <c r="AT75" s="13"/>
      <c r="AU75" s="15"/>
      <c r="AV75" s="13"/>
      <c r="AW75" s="15"/>
      <c r="AX75" s="13"/>
      <c r="AY75" s="15"/>
      <c r="AZ75" s="13"/>
      <c r="BA75" s="15"/>
      <c r="BB75" s="13" t="s">
        <v>246</v>
      </c>
      <c r="BC75" s="15" t="str">
        <f>VLOOKUP(BB75,'Axe 2 Règles de gestion'!$D$2:$F$84,3, FALSE)</f>
        <v>La date d'ouverture du CET transitoire doit être antérieure ou égale au 31/12/2008.</v>
      </c>
      <c r="BD75" s="13" t="s">
        <v>248</v>
      </c>
      <c r="BE75" s="15" t="str">
        <f>VLOOKUP(BD75,'Axe 2 Règles de gestion'!$D$2:$F$84,3, FALSE)</f>
        <v>Le nombre de jours de l'opération doit être inférieur ou égal au nombre de jours du compteur global du CET transitoire.</v>
      </c>
      <c r="BF75" s="13" t="s">
        <v>250</v>
      </c>
      <c r="BG75" s="15" t="str">
        <f>VLOOKUP(BF75,'Axe 2 Règles de gestion'!$D$2:$F$84,3, FALSE)</f>
        <v>La date de fermeture du CET transitoire doit être antérieure ou égale à la date limite de départ en retraite.</v>
      </c>
      <c r="BH75" s="13" t="s">
        <v>252</v>
      </c>
      <c r="BI75" s="15" t="str">
        <f>VLOOKUP(BH75,'Axe 2 Règles de gestion'!$D$2:$F$84,3, FALSE)</f>
        <v>La date de fermeture du CET transitoire doit être antérieure ou égale à la date de fin réelle ou prévisionnelle du lien juridique.</v>
      </c>
      <c r="BJ75" s="13" t="s">
        <v>254</v>
      </c>
      <c r="BK75" s="15" t="str">
        <f>VLOOKUP(BJ75,'Axe 2 Règles de gestion'!$D$2:$F$84,3, FALSE)</f>
        <v>La date d'ouverture du compte épargne temps transitoire doit être postérieure ou égale à la date d'entrée dans le SIRH.</v>
      </c>
      <c r="BL75" s="13" t="s">
        <v>182</v>
      </c>
      <c r="BM75" s="15" t="str">
        <f>VLOOKUP(BL75,'Axe 2 Règles de gestion'!$D$2:$F$84,3, FALSE)</f>
        <v>Lorsque le sens de l'opération est égal à "consommé", le nombre de jours pour la cotisation RAFP n'est pas à renseigner.</v>
      </c>
      <c r="BN75" s="13" t="s">
        <v>269</v>
      </c>
      <c r="BO75" s="15" t="str">
        <f>VLOOKUP(BN75,'Axe 2 Règles de gestion'!$D$2:$F$84,3, FALSE)</f>
        <v>Lorsque le sens de l'opération est à "consommé", le compteur global transitoire saisi est égal au compteur global transitoire de l'occurrence précédente duquel sont soustraits les jours consommés en congés.</v>
      </c>
      <c r="BP75" s="13" t="s">
        <v>135</v>
      </c>
      <c r="BQ75" s="15" t="str">
        <f>VLOOKUP(BP75,'Axe 2 Règles de gestion'!$D$2:$F$84,3, FALSE)</f>
        <v>Lorsque le sens de l'opération est égal à "consommé", l'origine des jours n'est pas à renseigner.</v>
      </c>
      <c r="BR75" s="13" t="s">
        <v>271</v>
      </c>
      <c r="BS75" s="15" t="str">
        <f>VLOOKUP(BR75,'Axe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75" s="13" t="s">
        <v>273</v>
      </c>
      <c r="BU75" s="15" t="str">
        <f>VLOOKUP(BT75,'Axe 2 Règles de gestion'!$D$2:$F$84,3, FALSE)</f>
        <v>Le sens de l'opération doit être à "consommé".</v>
      </c>
      <c r="BV75" s="13"/>
      <c r="BW75" s="15"/>
    </row>
    <row r="76" spans="1:75" ht="142.65" x14ac:dyDescent="0.25">
      <c r="A76" s="13" t="s">
        <v>142</v>
      </c>
      <c r="B76" s="13" t="s">
        <v>222</v>
      </c>
      <c r="C76" s="14">
        <v>43545.809027777781</v>
      </c>
      <c r="D76" s="13" t="s">
        <v>78</v>
      </c>
      <c r="E76" s="15" t="s">
        <v>79</v>
      </c>
      <c r="F76" s="13" t="s">
        <v>80</v>
      </c>
      <c r="G76" s="15" t="s">
        <v>81</v>
      </c>
      <c r="H76" s="13" t="s">
        <v>240</v>
      </c>
      <c r="I76" s="15" t="s">
        <v>241</v>
      </c>
      <c r="J76" s="15" t="s">
        <v>83</v>
      </c>
      <c r="K76" s="15" t="s">
        <v>242</v>
      </c>
      <c r="L76" s="13" t="s">
        <v>256</v>
      </c>
      <c r="M76" s="15" t="s">
        <v>257</v>
      </c>
      <c r="N76" s="14" t="s">
        <v>87</v>
      </c>
      <c r="O76" s="15" t="s">
        <v>258</v>
      </c>
      <c r="P76" s="15" t="s">
        <v>259</v>
      </c>
      <c r="Q76" s="15" t="s">
        <v>198</v>
      </c>
      <c r="R76" s="13" t="s">
        <v>199</v>
      </c>
      <c r="S76" s="13" t="s">
        <v>193</v>
      </c>
      <c r="T76" s="13" t="s">
        <v>93</v>
      </c>
      <c r="U76" s="14">
        <v>43436</v>
      </c>
      <c r="V76" s="14"/>
      <c r="W76" s="15" t="s">
        <v>279</v>
      </c>
      <c r="X76" s="13" t="s">
        <v>263</v>
      </c>
      <c r="Y76" s="15" t="str">
        <f>VLOOKUP(X76,'Axe 2 Règles de gestion'!$D$2:$F$84,3, FALSE)</f>
        <v>L'agent qui a demandé au 31 décembre 2009 le maintien de jours de congés sur son compte épargne-temps historique peut opter pour leur indemnisation suivant les dispositions du régime pérenne.</v>
      </c>
      <c r="Z76" s="13"/>
      <c r="AA76" s="15"/>
      <c r="AB76" s="13"/>
      <c r="AC76" s="15"/>
      <c r="AD76" s="13"/>
      <c r="AE76" s="15"/>
      <c r="AF76" s="13"/>
      <c r="AG76" s="15"/>
      <c r="AH76" s="13"/>
      <c r="AI76" s="15"/>
      <c r="AJ76" s="13"/>
      <c r="AK76" s="15"/>
      <c r="AL76" s="13" t="s">
        <v>213</v>
      </c>
      <c r="AM76" s="15" t="str">
        <f>VLOOKUP(AL76,'Axe 2 Règles de gestion'!$D$2:$F$84,3, FALSE)</f>
        <v>La différence entre le nombre de jours du compteur global du CET et le nombre de jours pour valorisation financière doit être strictement supérieure à 15 jours.</v>
      </c>
      <c r="AN76" s="13"/>
      <c r="AO76" s="15"/>
      <c r="AP76" s="13"/>
      <c r="AQ76" s="15"/>
      <c r="AR76" s="13"/>
      <c r="AS76" s="15"/>
      <c r="AT76" s="13"/>
      <c r="AU76" s="15"/>
      <c r="AV76" s="13"/>
      <c r="AW76" s="15"/>
      <c r="AX76" s="13"/>
      <c r="AY76" s="15"/>
      <c r="AZ76" s="13"/>
      <c r="BA76" s="15"/>
      <c r="BB76" s="13" t="s">
        <v>246</v>
      </c>
      <c r="BC76" s="15" t="str">
        <f>VLOOKUP(BB76,'Axe 2 Règles de gestion'!$D$2:$F$84,3, FALSE)</f>
        <v>La date d'ouverture du CET transitoire doit être antérieure ou égale au 31/12/2008.</v>
      </c>
      <c r="BD76" s="13" t="s">
        <v>248</v>
      </c>
      <c r="BE76" s="15" t="str">
        <f>VLOOKUP(BD76,'Axe 2 Règles de gestion'!$D$2:$F$84,3, FALSE)</f>
        <v>Le nombre de jours de l'opération doit être inférieur ou égal au nombre de jours du compteur global du CET transitoire.</v>
      </c>
      <c r="BF76" s="13" t="s">
        <v>250</v>
      </c>
      <c r="BG76" s="15" t="str">
        <f>VLOOKUP(BF76,'Axe 2 Règles de gestion'!$D$2:$F$84,3, FALSE)</f>
        <v>La date de fermeture du CET transitoire doit être antérieure ou égale à la date limite de départ en retraite.</v>
      </c>
      <c r="BH76" s="13" t="s">
        <v>252</v>
      </c>
      <c r="BI76" s="15" t="str">
        <f>VLOOKUP(BH76,'Axe 2 Règles de gestion'!$D$2:$F$84,3, FALSE)</f>
        <v>La date de fermeture du CET transitoire doit être antérieure ou égale à la date de fin réelle ou prévisionnelle du lien juridique.</v>
      </c>
      <c r="BJ76" s="13" t="s">
        <v>254</v>
      </c>
      <c r="BK76" s="15" t="str">
        <f>VLOOKUP(BJ76,'Axe 2 Règles de gestion'!$D$2:$F$84,3, FALSE)</f>
        <v>La date d'ouverture du compte épargne temps transitoire doit être postérieure ou égale à la date d'entrée dans le SIRH.</v>
      </c>
      <c r="BL76" s="13" t="s">
        <v>182</v>
      </c>
      <c r="BM76" s="15" t="str">
        <f>VLOOKUP(BL76,'Axe 2 Règles de gestion'!$D$2:$F$84,3, FALSE)</f>
        <v>Lorsque le sens de l'opération est égal à "consommé", le nombre de jours pour la cotisation RAFP n'est pas à renseigner.</v>
      </c>
      <c r="BN76" s="13" t="s">
        <v>269</v>
      </c>
      <c r="BO76" s="15" t="str">
        <f>VLOOKUP(BN76,'Axe 2 Règles de gestion'!$D$2:$F$84,3, FALSE)</f>
        <v>Lorsque le sens de l'opération est à "consommé", le compteur global transitoire saisi est égal au compteur global transitoire de l'occurrence précédente duquel sont soustraits les jours consommés en congés.</v>
      </c>
      <c r="BP76" s="13" t="s">
        <v>135</v>
      </c>
      <c r="BQ76" s="15" t="str">
        <f>VLOOKUP(BP76,'Axe 2 Règles de gestion'!$D$2:$F$84,3, FALSE)</f>
        <v>Lorsque le sens de l'opération est égal à "consommé", l'origine des jours n'est pas à renseigner.</v>
      </c>
      <c r="BR76" s="13" t="s">
        <v>271</v>
      </c>
      <c r="BS76" s="15" t="str">
        <f>VLOOKUP(BR76,'Axe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76" s="13" t="s">
        <v>273</v>
      </c>
      <c r="BU76" s="15" t="str">
        <f>VLOOKUP(BT76,'Axe 2 Règles de gestion'!$D$2:$F$84,3, FALSE)</f>
        <v>Le sens de l'opération doit être à "consommé".</v>
      </c>
      <c r="BV76" s="13"/>
      <c r="BW76" s="15"/>
    </row>
    <row r="77" spans="1:75" ht="99.85" x14ac:dyDescent="0.25">
      <c r="A77" s="13" t="s">
        <v>142</v>
      </c>
      <c r="B77" s="13" t="s">
        <v>77</v>
      </c>
      <c r="C77" s="14">
        <v>43152.5</v>
      </c>
      <c r="D77" s="13" t="s">
        <v>78</v>
      </c>
      <c r="E77" s="15" t="s">
        <v>79</v>
      </c>
      <c r="F77" s="13" t="s">
        <v>80</v>
      </c>
      <c r="G77" s="15" t="s">
        <v>81</v>
      </c>
      <c r="H77" s="13" t="s">
        <v>240</v>
      </c>
      <c r="I77" s="15" t="s">
        <v>241</v>
      </c>
      <c r="J77" s="15" t="s">
        <v>83</v>
      </c>
      <c r="K77" s="15" t="s">
        <v>242</v>
      </c>
      <c r="L77" s="13" t="s">
        <v>243</v>
      </c>
      <c r="M77" s="15" t="s">
        <v>244</v>
      </c>
      <c r="N77" s="14" t="s">
        <v>87</v>
      </c>
      <c r="O77" s="15" t="s">
        <v>88</v>
      </c>
      <c r="P77" s="15" t="s">
        <v>89</v>
      </c>
      <c r="Q77" s="15" t="s">
        <v>226</v>
      </c>
      <c r="R77" s="13" t="s">
        <v>227</v>
      </c>
      <c r="S77" s="13" t="s">
        <v>193</v>
      </c>
      <c r="T77" s="13" t="s">
        <v>93</v>
      </c>
      <c r="U77" s="14">
        <v>40725</v>
      </c>
      <c r="V77" s="14"/>
      <c r="W77" s="15" t="s">
        <v>245</v>
      </c>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t="s">
        <v>246</v>
      </c>
      <c r="BC77" s="15" t="str">
        <f>VLOOKUP(BB77,'Axe 2 Règles de gestion'!$D$2:$F$84,3, FALSE)</f>
        <v>La date d'ouverture du CET transitoire doit être antérieure ou égale au 31/12/2008.</v>
      </c>
      <c r="BD77" s="13" t="s">
        <v>248</v>
      </c>
      <c r="BE77" s="15" t="str">
        <f>VLOOKUP(BD77,'Axe 2 Règles de gestion'!$D$2:$F$84,3, FALSE)</f>
        <v>Le nombre de jours de l'opération doit être inférieur ou égal au nombre de jours du compteur global du CET transitoire.</v>
      </c>
      <c r="BF77" s="13" t="s">
        <v>250</v>
      </c>
      <c r="BG77" s="15" t="str">
        <f>VLOOKUP(BF77,'Axe 2 Règles de gestion'!$D$2:$F$84,3, FALSE)</f>
        <v>La date de fermeture du CET transitoire doit être antérieure ou égale à la date limite de départ en retraite.</v>
      </c>
      <c r="BH77" s="13" t="s">
        <v>252</v>
      </c>
      <c r="BI77" s="15" t="str">
        <f>VLOOKUP(BH77,'Axe 2 Règles de gestion'!$D$2:$F$84,3, FALSE)</f>
        <v>La date de fermeture du CET transitoire doit être antérieure ou égale à la date de fin réelle ou prévisionnelle du lien juridique.</v>
      </c>
      <c r="BJ77" s="13" t="s">
        <v>254</v>
      </c>
      <c r="BK77" s="15" t="str">
        <f>VLOOKUP(BJ77,'Axe 2 Règles de gestion'!$D$2:$F$84,3, FALSE)</f>
        <v>La date d'ouverture du compte épargne temps transitoire doit être postérieure ou égale à la date d'entrée dans le SIRH.</v>
      </c>
      <c r="BL77" s="13" t="s">
        <v>115</v>
      </c>
      <c r="BM77" s="15" t="str">
        <f>VLOOKUP(BL77,'Axe 2 Règles de gestion'!$D$2:$F$84,3, FALSE)</f>
        <v>Les champs "Origine", "Nombre de jours de l'opération", "Nombre de jours pour valorisation financière" et "Nombre de jours pour cotisation RAFP" ne doivent pas être renseignés.</v>
      </c>
      <c r="BN77" s="13"/>
      <c r="BO77" s="15"/>
      <c r="BP77" s="13"/>
      <c r="BQ77" s="15"/>
      <c r="BR77" s="13"/>
      <c r="BS77" s="15"/>
      <c r="BT77" s="13"/>
      <c r="BU77" s="15"/>
      <c r="BV77" s="13"/>
      <c r="BW77" s="15"/>
    </row>
    <row r="78" spans="1:75" ht="142.65" x14ac:dyDescent="0.25">
      <c r="A78" s="13" t="s">
        <v>142</v>
      </c>
      <c r="B78" s="13" t="s">
        <v>77</v>
      </c>
      <c r="C78" s="14">
        <v>43509.748611111114</v>
      </c>
      <c r="D78" s="13" t="s">
        <v>78</v>
      </c>
      <c r="E78" s="15" t="s">
        <v>79</v>
      </c>
      <c r="F78" s="13" t="s">
        <v>80</v>
      </c>
      <c r="G78" s="15" t="s">
        <v>81</v>
      </c>
      <c r="H78" s="13" t="s">
        <v>240</v>
      </c>
      <c r="I78" s="15" t="s">
        <v>241</v>
      </c>
      <c r="J78" s="15" t="s">
        <v>83</v>
      </c>
      <c r="K78" s="15" t="s">
        <v>242</v>
      </c>
      <c r="L78" s="13" t="s">
        <v>256</v>
      </c>
      <c r="M78" s="15" t="s">
        <v>257</v>
      </c>
      <c r="N78" s="14" t="s">
        <v>87</v>
      </c>
      <c r="O78" s="15" t="s">
        <v>258</v>
      </c>
      <c r="P78" s="15" t="s">
        <v>259</v>
      </c>
      <c r="Q78" s="15" t="s">
        <v>226</v>
      </c>
      <c r="R78" s="13" t="s">
        <v>227</v>
      </c>
      <c r="S78" s="13" t="s">
        <v>193</v>
      </c>
      <c r="T78" s="13" t="s">
        <v>93</v>
      </c>
      <c r="U78" s="14">
        <v>40725</v>
      </c>
      <c r="V78" s="14">
        <v>43435</v>
      </c>
      <c r="W78" s="15" t="s">
        <v>276</v>
      </c>
      <c r="X78" s="13" t="s">
        <v>263</v>
      </c>
      <c r="Y78" s="15" t="str">
        <f>VLOOKUP(X78,'Axe 2 Règles de gestion'!$D$2:$F$84,3, FALSE)</f>
        <v>L'agent qui a demandé au 31 décembre 2009 le maintien de jours de congés sur son compte épargne-temps historique peut opter pour leur indemnisation suivant les dispositions du régime pérenne.</v>
      </c>
      <c r="Z78" s="13" t="s">
        <v>265</v>
      </c>
      <c r="AA78" s="15" t="str">
        <f>VLOOKUP(Z78,'Axe 2 Règles de gestion'!$D$2:$F$84,3, FALSE)</f>
        <v>Le versement s'effectue à hauteur de 4 jours par an jusqu'à épuisement du solde.</v>
      </c>
      <c r="AB78" s="13" t="s">
        <v>267</v>
      </c>
      <c r="AC78" s="15" t="str">
        <f>VLOOKUP(AB78,'Axe 2 Règles de gestion'!$D$2:$F$84,3, FALSE)</f>
        <v>Si la durée de versement est supérieure à 4 ans, celui-ci est opéré en 4 fractions annuelles d'égal montant.</v>
      </c>
      <c r="AD78" s="13"/>
      <c r="AE78" s="15"/>
      <c r="AF78" s="13"/>
      <c r="AG78" s="15"/>
      <c r="AH78" s="13"/>
      <c r="AI78" s="15"/>
      <c r="AJ78" s="13"/>
      <c r="AK78" s="15"/>
      <c r="AL78" s="13" t="s">
        <v>129</v>
      </c>
      <c r="AM78" s="15" t="str">
        <f>VLOOKUP(AL78,'Axe 2 Règles de gestion'!$D$2:$F$84,3, FALSE)</f>
        <v>La différence entre le nombre de jours du compteur global du CET et le nombre de jours pour valorisation financière doit être strictement supérieure à 20 jours.</v>
      </c>
      <c r="AN78" s="13"/>
      <c r="AO78" s="15"/>
      <c r="AP78" s="13"/>
      <c r="AQ78" s="15"/>
      <c r="AR78" s="13"/>
      <c r="AS78" s="15"/>
      <c r="AT78" s="13"/>
      <c r="AU78" s="15"/>
      <c r="AV78" s="13"/>
      <c r="AW78" s="15"/>
      <c r="AX78" s="13"/>
      <c r="AY78" s="15"/>
      <c r="AZ78" s="13"/>
      <c r="BA78" s="15"/>
      <c r="BB78" s="13" t="s">
        <v>246</v>
      </c>
      <c r="BC78" s="15" t="str">
        <f>VLOOKUP(BB78,'Axe 2 Règles de gestion'!$D$2:$F$84,3, FALSE)</f>
        <v>La date d'ouverture du CET transitoire doit être antérieure ou égale au 31/12/2008.</v>
      </c>
      <c r="BD78" s="13" t="s">
        <v>248</v>
      </c>
      <c r="BE78" s="15" t="str">
        <f>VLOOKUP(BD78,'Axe 2 Règles de gestion'!$D$2:$F$84,3, FALSE)</f>
        <v>Le nombre de jours de l'opération doit être inférieur ou égal au nombre de jours du compteur global du CET transitoire.</v>
      </c>
      <c r="BF78" s="13" t="s">
        <v>250</v>
      </c>
      <c r="BG78" s="15" t="str">
        <f>VLOOKUP(BF78,'Axe 2 Règles de gestion'!$D$2:$F$84,3, FALSE)</f>
        <v>La date de fermeture du CET transitoire doit être antérieure ou égale à la date limite de départ en retraite.</v>
      </c>
      <c r="BH78" s="13" t="s">
        <v>252</v>
      </c>
      <c r="BI78" s="15" t="str">
        <f>VLOOKUP(BH78,'Axe 2 Règles de gestion'!$D$2:$F$84,3, FALSE)</f>
        <v>La date de fermeture du CET transitoire doit être antérieure ou égale à la date de fin réelle ou prévisionnelle du lien juridique.</v>
      </c>
      <c r="BJ78" s="13" t="s">
        <v>254</v>
      </c>
      <c r="BK78" s="15" t="str">
        <f>VLOOKUP(BJ78,'Axe 2 Règles de gestion'!$D$2:$F$84,3, FALSE)</f>
        <v>La date d'ouverture du compte épargne temps transitoire doit être postérieure ou égale à la date d'entrée dans le SIRH.</v>
      </c>
      <c r="BL78" s="13" t="s">
        <v>182</v>
      </c>
      <c r="BM78" s="15" t="str">
        <f>VLOOKUP(BL78,'Axe 2 Règles de gestion'!$D$2:$F$84,3, FALSE)</f>
        <v>Lorsque le sens de l'opération est égal à "consommé", le nombre de jours pour la cotisation RAFP n'est pas à renseigner.</v>
      </c>
      <c r="BN78" s="13" t="s">
        <v>269</v>
      </c>
      <c r="BO78" s="15" t="str">
        <f>VLOOKUP(BN78,'Axe 2 Règles de gestion'!$D$2:$F$84,3, FALSE)</f>
        <v>Lorsque le sens de l'opération est à "consommé", le compteur global transitoire saisi est égal au compteur global transitoire de l'occurrence précédente duquel sont soustraits les jours consommés en congés.</v>
      </c>
      <c r="BP78" s="13" t="s">
        <v>135</v>
      </c>
      <c r="BQ78" s="15" t="str">
        <f>VLOOKUP(BP78,'Axe 2 Règles de gestion'!$D$2:$F$84,3, FALSE)</f>
        <v>Lorsque le sens de l'opération est égal à "consommé", l'origine des jours n'est pas à renseigner.</v>
      </c>
      <c r="BR78" s="13" t="s">
        <v>271</v>
      </c>
      <c r="BS78" s="15" t="str">
        <f>VLOOKUP(BR78,'Axe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78" s="13" t="s">
        <v>273</v>
      </c>
      <c r="BU78" s="15" t="str">
        <f>VLOOKUP(BT78,'Axe 2 Règles de gestion'!$D$2:$F$84,3, FALSE)</f>
        <v>Le sens de l'opération doit être à "consommé".</v>
      </c>
      <c r="BV78" s="13"/>
      <c r="BW78" s="15"/>
    </row>
    <row r="79" spans="1:75" ht="142.65" x14ac:dyDescent="0.25">
      <c r="A79" s="13" t="s">
        <v>142</v>
      </c>
      <c r="B79" s="13" t="s">
        <v>222</v>
      </c>
      <c r="C79" s="14">
        <v>43509.749305555553</v>
      </c>
      <c r="D79" s="13" t="s">
        <v>78</v>
      </c>
      <c r="E79" s="15" t="s">
        <v>79</v>
      </c>
      <c r="F79" s="13" t="s">
        <v>80</v>
      </c>
      <c r="G79" s="15" t="s">
        <v>81</v>
      </c>
      <c r="H79" s="13" t="s">
        <v>240</v>
      </c>
      <c r="I79" s="15" t="s">
        <v>241</v>
      </c>
      <c r="J79" s="15" t="s">
        <v>83</v>
      </c>
      <c r="K79" s="15" t="s">
        <v>242</v>
      </c>
      <c r="L79" s="13" t="s">
        <v>256</v>
      </c>
      <c r="M79" s="15" t="s">
        <v>257</v>
      </c>
      <c r="N79" s="14" t="s">
        <v>87</v>
      </c>
      <c r="O79" s="15" t="s">
        <v>258</v>
      </c>
      <c r="P79" s="15" t="s">
        <v>259</v>
      </c>
      <c r="Q79" s="15" t="s">
        <v>226</v>
      </c>
      <c r="R79" s="13" t="s">
        <v>227</v>
      </c>
      <c r="S79" s="13" t="s">
        <v>193</v>
      </c>
      <c r="T79" s="13" t="s">
        <v>93</v>
      </c>
      <c r="U79" s="14">
        <v>43436</v>
      </c>
      <c r="V79" s="14"/>
      <c r="W79" s="15" t="s">
        <v>277</v>
      </c>
      <c r="X79" s="13" t="s">
        <v>263</v>
      </c>
      <c r="Y79" s="15" t="str">
        <f>VLOOKUP(X79,'Axe 2 Règles de gestion'!$D$2:$F$84,3, FALSE)</f>
        <v>L'agent qui a demandé au 31 décembre 2009 le maintien de jours de congés sur son compte épargne-temps historique peut opter pour leur indemnisation suivant les dispositions du régime pérenne.</v>
      </c>
      <c r="Z79" s="13" t="s">
        <v>265</v>
      </c>
      <c r="AA79" s="15" t="str">
        <f>VLOOKUP(Z79,'Axe 2 Règles de gestion'!$D$2:$F$84,3, FALSE)</f>
        <v>Le versement s'effectue à hauteur de 4 jours par an jusqu'à épuisement du solde.</v>
      </c>
      <c r="AB79" s="13" t="s">
        <v>267</v>
      </c>
      <c r="AC79" s="15" t="str">
        <f>VLOOKUP(AB79,'Axe 2 Règles de gestion'!$D$2:$F$84,3, FALSE)</f>
        <v>Si la durée de versement est supérieure à 4 ans, celui-ci est opéré en 4 fractions annuelles d'égal montant.</v>
      </c>
      <c r="AD79" s="13"/>
      <c r="AE79" s="15"/>
      <c r="AF79" s="13"/>
      <c r="AG79" s="15"/>
      <c r="AH79" s="13"/>
      <c r="AI79" s="15"/>
      <c r="AJ79" s="13"/>
      <c r="AK79" s="15"/>
      <c r="AL79" s="13" t="s">
        <v>138</v>
      </c>
      <c r="AM79" s="15" t="str">
        <f>VLOOKUP(AL79,'Axe 2 Règles de gestion'!$D$2:$F$84,3, FALSE)</f>
        <v>La différence entre le nombre de jours du compteur global du CET et le nombre de jours pour valorisation financière doit être strictement supérieure à 15 jours.</v>
      </c>
      <c r="AN79" s="13"/>
      <c r="AO79" s="15"/>
      <c r="AP79" s="13"/>
      <c r="AQ79" s="15"/>
      <c r="AR79" s="13"/>
      <c r="AS79" s="15"/>
      <c r="AT79" s="13"/>
      <c r="AU79" s="15"/>
      <c r="AV79" s="13"/>
      <c r="AW79" s="15"/>
      <c r="AX79" s="13"/>
      <c r="AY79" s="15"/>
      <c r="AZ79" s="13"/>
      <c r="BA79" s="15"/>
      <c r="BB79" s="13" t="s">
        <v>246</v>
      </c>
      <c r="BC79" s="15" t="str">
        <f>VLOOKUP(BB79,'Axe 2 Règles de gestion'!$D$2:$F$84,3, FALSE)</f>
        <v>La date d'ouverture du CET transitoire doit être antérieure ou égale au 31/12/2008.</v>
      </c>
      <c r="BD79" s="13" t="s">
        <v>248</v>
      </c>
      <c r="BE79" s="15" t="str">
        <f>VLOOKUP(BD79,'Axe 2 Règles de gestion'!$D$2:$F$84,3, FALSE)</f>
        <v>Le nombre de jours de l'opération doit être inférieur ou égal au nombre de jours du compteur global du CET transitoire.</v>
      </c>
      <c r="BF79" s="13" t="s">
        <v>250</v>
      </c>
      <c r="BG79" s="15" t="str">
        <f>VLOOKUP(BF79,'Axe 2 Règles de gestion'!$D$2:$F$84,3, FALSE)</f>
        <v>La date de fermeture du CET transitoire doit être antérieure ou égale à la date limite de départ en retraite.</v>
      </c>
      <c r="BH79" s="13" t="s">
        <v>252</v>
      </c>
      <c r="BI79" s="15" t="str">
        <f>VLOOKUP(BH79,'Axe 2 Règles de gestion'!$D$2:$F$84,3, FALSE)</f>
        <v>La date de fermeture du CET transitoire doit être antérieure ou égale à la date de fin réelle ou prévisionnelle du lien juridique.</v>
      </c>
      <c r="BJ79" s="13" t="s">
        <v>254</v>
      </c>
      <c r="BK79" s="15" t="str">
        <f>VLOOKUP(BJ79,'Axe 2 Règles de gestion'!$D$2:$F$84,3, FALSE)</f>
        <v>La date d'ouverture du compte épargne temps transitoire doit être postérieure ou égale à la date d'entrée dans le SIRH.</v>
      </c>
      <c r="BL79" s="13" t="s">
        <v>182</v>
      </c>
      <c r="BM79" s="15" t="str">
        <f>VLOOKUP(BL79,'Axe 2 Règles de gestion'!$D$2:$F$84,3, FALSE)</f>
        <v>Lorsque le sens de l'opération est égal à "consommé", le nombre de jours pour la cotisation RAFP n'est pas à renseigner.</v>
      </c>
      <c r="BN79" s="13" t="s">
        <v>269</v>
      </c>
      <c r="BO79" s="15" t="str">
        <f>VLOOKUP(BN79,'Axe 2 Règles de gestion'!$D$2:$F$84,3, FALSE)</f>
        <v>Lorsque le sens de l'opération est à "consommé", le compteur global transitoire saisi est égal au compteur global transitoire de l'occurrence précédente duquel sont soustraits les jours consommés en congés.</v>
      </c>
      <c r="BP79" s="13" t="s">
        <v>135</v>
      </c>
      <c r="BQ79" s="15" t="str">
        <f>VLOOKUP(BP79,'Axe 2 Règles de gestion'!$D$2:$F$84,3, FALSE)</f>
        <v>Lorsque le sens de l'opération est égal à "consommé", l'origine des jours n'est pas à renseigner.</v>
      </c>
      <c r="BR79" s="13" t="s">
        <v>271</v>
      </c>
      <c r="BS79" s="15" t="str">
        <f>VLOOKUP(BR79,'Axe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79" s="13" t="s">
        <v>273</v>
      </c>
      <c r="BU79" s="15" t="str">
        <f>VLOOKUP(BT79,'Axe 2 Règles de gestion'!$D$2:$F$84,3, FALSE)</f>
        <v>Le sens de l'opération doit être à "consommé".</v>
      </c>
      <c r="BV79" s="13"/>
      <c r="BW79" s="15"/>
    </row>
    <row r="80" spans="1:75" ht="99.85" x14ac:dyDescent="0.25">
      <c r="A80" s="13" t="s">
        <v>142</v>
      </c>
      <c r="B80" s="13" t="s">
        <v>77</v>
      </c>
      <c r="C80" s="14">
        <v>43152.5</v>
      </c>
      <c r="D80" s="13" t="s">
        <v>78</v>
      </c>
      <c r="E80" s="15" t="s">
        <v>79</v>
      </c>
      <c r="F80" s="13" t="s">
        <v>80</v>
      </c>
      <c r="G80" s="15" t="s">
        <v>81</v>
      </c>
      <c r="H80" s="13" t="s">
        <v>240</v>
      </c>
      <c r="I80" s="15" t="s">
        <v>241</v>
      </c>
      <c r="J80" s="15" t="s">
        <v>83</v>
      </c>
      <c r="K80" s="15" t="s">
        <v>242</v>
      </c>
      <c r="L80" s="13" t="s">
        <v>243</v>
      </c>
      <c r="M80" s="15" t="s">
        <v>244</v>
      </c>
      <c r="N80" s="14" t="s">
        <v>87</v>
      </c>
      <c r="O80" s="15" t="s">
        <v>88</v>
      </c>
      <c r="P80" s="15" t="s">
        <v>89</v>
      </c>
      <c r="Q80" s="15" t="s">
        <v>230</v>
      </c>
      <c r="R80" s="13" t="s">
        <v>231</v>
      </c>
      <c r="S80" s="13" t="s">
        <v>193</v>
      </c>
      <c r="T80" s="13" t="s">
        <v>93</v>
      </c>
      <c r="U80" s="14">
        <v>40725</v>
      </c>
      <c r="V80" s="14"/>
      <c r="W80" s="15" t="s">
        <v>245</v>
      </c>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t="s">
        <v>246</v>
      </c>
      <c r="BC80" s="15" t="str">
        <f>VLOOKUP(BB80,'Axe 2 Règles de gestion'!$D$2:$F$84,3, FALSE)</f>
        <v>La date d'ouverture du CET transitoire doit être antérieure ou égale au 31/12/2008.</v>
      </c>
      <c r="BD80" s="13" t="s">
        <v>248</v>
      </c>
      <c r="BE80" s="15" t="str">
        <f>VLOOKUP(BD80,'Axe 2 Règles de gestion'!$D$2:$F$84,3, FALSE)</f>
        <v>Le nombre de jours de l'opération doit être inférieur ou égal au nombre de jours du compteur global du CET transitoire.</v>
      </c>
      <c r="BF80" s="13" t="s">
        <v>250</v>
      </c>
      <c r="BG80" s="15" t="str">
        <f>VLOOKUP(BF80,'Axe 2 Règles de gestion'!$D$2:$F$84,3, FALSE)</f>
        <v>La date de fermeture du CET transitoire doit être antérieure ou égale à la date limite de départ en retraite.</v>
      </c>
      <c r="BH80" s="13" t="s">
        <v>252</v>
      </c>
      <c r="BI80" s="15" t="str">
        <f>VLOOKUP(BH80,'Axe 2 Règles de gestion'!$D$2:$F$84,3, FALSE)</f>
        <v>La date de fermeture du CET transitoire doit être antérieure ou égale à la date de fin réelle ou prévisionnelle du lien juridique.</v>
      </c>
      <c r="BJ80" s="13" t="s">
        <v>254</v>
      </c>
      <c r="BK80" s="15" t="str">
        <f>VLOOKUP(BJ80,'Axe 2 Règles de gestion'!$D$2:$F$84,3, FALSE)</f>
        <v>La date d'ouverture du compte épargne temps transitoire doit être postérieure ou égale à la date d'entrée dans le SIRH.</v>
      </c>
      <c r="BL80" s="13" t="s">
        <v>115</v>
      </c>
      <c r="BM80" s="15" t="str">
        <f>VLOOKUP(BL80,'Axe 2 Règles de gestion'!$D$2:$F$84,3, FALSE)</f>
        <v>Les champs "Origine", "Nombre de jours de l'opération", "Nombre de jours pour valorisation financière" et "Nombre de jours pour cotisation RAFP" ne doivent pas être renseignés.</v>
      </c>
      <c r="BN80" s="13"/>
      <c r="BO80" s="15"/>
      <c r="BP80" s="13"/>
      <c r="BQ80" s="15"/>
      <c r="BR80" s="13"/>
      <c r="BS80" s="15"/>
      <c r="BT80" s="13"/>
      <c r="BU80" s="15"/>
      <c r="BV80" s="13"/>
      <c r="BW80" s="15"/>
    </row>
    <row r="81" spans="1:75" ht="142.65" x14ac:dyDescent="0.25">
      <c r="A81" s="13" t="s">
        <v>142</v>
      </c>
      <c r="B81" s="13" t="s">
        <v>77</v>
      </c>
      <c r="C81" s="14">
        <v>43509.75</v>
      </c>
      <c r="D81" s="13" t="s">
        <v>78</v>
      </c>
      <c r="E81" s="15" t="s">
        <v>79</v>
      </c>
      <c r="F81" s="13" t="s">
        <v>80</v>
      </c>
      <c r="G81" s="15" t="s">
        <v>81</v>
      </c>
      <c r="H81" s="13" t="s">
        <v>240</v>
      </c>
      <c r="I81" s="15" t="s">
        <v>241</v>
      </c>
      <c r="J81" s="15" t="s">
        <v>83</v>
      </c>
      <c r="K81" s="15" t="s">
        <v>242</v>
      </c>
      <c r="L81" s="13" t="s">
        <v>256</v>
      </c>
      <c r="M81" s="15" t="s">
        <v>257</v>
      </c>
      <c r="N81" s="14" t="s">
        <v>87</v>
      </c>
      <c r="O81" s="15" t="s">
        <v>258</v>
      </c>
      <c r="P81" s="15" t="s">
        <v>259</v>
      </c>
      <c r="Q81" s="15" t="s">
        <v>230</v>
      </c>
      <c r="R81" s="13" t="s">
        <v>231</v>
      </c>
      <c r="S81" s="13" t="s">
        <v>193</v>
      </c>
      <c r="T81" s="13" t="s">
        <v>93</v>
      </c>
      <c r="U81" s="14">
        <v>40725</v>
      </c>
      <c r="V81" s="14">
        <v>43435</v>
      </c>
      <c r="W81" s="15" t="s">
        <v>276</v>
      </c>
      <c r="X81" s="13" t="s">
        <v>263</v>
      </c>
      <c r="Y81" s="15" t="str">
        <f>VLOOKUP(X81,'Axe 2 Règles de gestion'!$D$2:$F$84,3, FALSE)</f>
        <v>L'agent qui a demandé au 31 décembre 2009 le maintien de jours de congés sur son compte épargne-temps historique peut opter pour leur indemnisation suivant les dispositions du régime pérenne.</v>
      </c>
      <c r="Z81" s="13" t="s">
        <v>265</v>
      </c>
      <c r="AA81" s="15" t="str">
        <f>VLOOKUP(Z81,'Axe 2 Règles de gestion'!$D$2:$F$84,3, FALSE)</f>
        <v>Le versement s'effectue à hauteur de 4 jours par an jusqu'à épuisement du solde.</v>
      </c>
      <c r="AB81" s="13" t="s">
        <v>267</v>
      </c>
      <c r="AC81" s="15" t="str">
        <f>VLOOKUP(AB81,'Axe 2 Règles de gestion'!$D$2:$F$84,3, FALSE)</f>
        <v>Si la durée de versement est supérieure à 4 ans, celui-ci est opéré en 4 fractions annuelles d'égal montant.</v>
      </c>
      <c r="AD81" s="13"/>
      <c r="AE81" s="15"/>
      <c r="AF81" s="13"/>
      <c r="AG81" s="15"/>
      <c r="AH81" s="13"/>
      <c r="AI81" s="15"/>
      <c r="AJ81" s="13"/>
      <c r="AK81" s="15"/>
      <c r="AL81" s="13" t="s">
        <v>129</v>
      </c>
      <c r="AM81" s="15" t="str">
        <f>VLOOKUP(AL81,'Axe 2 Règles de gestion'!$D$2:$F$84,3, FALSE)</f>
        <v>La différence entre le nombre de jours du compteur global du CET et le nombre de jours pour valorisation financière doit être strictement supérieure à 20 jours.</v>
      </c>
      <c r="AN81" s="13"/>
      <c r="AO81" s="15"/>
      <c r="AP81" s="13"/>
      <c r="AQ81" s="15"/>
      <c r="AR81" s="13"/>
      <c r="AS81" s="15"/>
      <c r="AT81" s="13"/>
      <c r="AU81" s="15"/>
      <c r="AV81" s="13"/>
      <c r="AW81" s="15"/>
      <c r="AX81" s="13"/>
      <c r="AY81" s="15"/>
      <c r="AZ81" s="13"/>
      <c r="BA81" s="15"/>
      <c r="BB81" s="13" t="s">
        <v>246</v>
      </c>
      <c r="BC81" s="15" t="str">
        <f>VLOOKUP(BB81,'Axe 2 Règles de gestion'!$D$2:$F$84,3, FALSE)</f>
        <v>La date d'ouverture du CET transitoire doit être antérieure ou égale au 31/12/2008.</v>
      </c>
      <c r="BD81" s="13" t="s">
        <v>248</v>
      </c>
      <c r="BE81" s="15" t="str">
        <f>VLOOKUP(BD81,'Axe 2 Règles de gestion'!$D$2:$F$84,3, FALSE)</f>
        <v>Le nombre de jours de l'opération doit être inférieur ou égal au nombre de jours du compteur global du CET transitoire.</v>
      </c>
      <c r="BF81" s="13" t="s">
        <v>250</v>
      </c>
      <c r="BG81" s="15" t="str">
        <f>VLOOKUP(BF81,'Axe 2 Règles de gestion'!$D$2:$F$84,3, FALSE)</f>
        <v>La date de fermeture du CET transitoire doit être antérieure ou égale à la date limite de départ en retraite.</v>
      </c>
      <c r="BH81" s="13" t="s">
        <v>252</v>
      </c>
      <c r="BI81" s="15" t="str">
        <f>VLOOKUP(BH81,'Axe 2 Règles de gestion'!$D$2:$F$84,3, FALSE)</f>
        <v>La date de fermeture du CET transitoire doit être antérieure ou égale à la date de fin réelle ou prévisionnelle du lien juridique.</v>
      </c>
      <c r="BJ81" s="13" t="s">
        <v>254</v>
      </c>
      <c r="BK81" s="15" t="str">
        <f>VLOOKUP(BJ81,'Axe 2 Règles de gestion'!$D$2:$F$84,3, FALSE)</f>
        <v>La date d'ouverture du compte épargne temps transitoire doit être postérieure ou égale à la date d'entrée dans le SIRH.</v>
      </c>
      <c r="BL81" s="13" t="s">
        <v>182</v>
      </c>
      <c r="BM81" s="15" t="str">
        <f>VLOOKUP(BL81,'Axe 2 Règles de gestion'!$D$2:$F$84,3, FALSE)</f>
        <v>Lorsque le sens de l'opération est égal à "consommé", le nombre de jours pour la cotisation RAFP n'est pas à renseigner.</v>
      </c>
      <c r="BN81" s="13" t="s">
        <v>269</v>
      </c>
      <c r="BO81" s="15" t="str">
        <f>VLOOKUP(BN81,'Axe 2 Règles de gestion'!$D$2:$F$84,3, FALSE)</f>
        <v>Lorsque le sens de l'opération est à "consommé", le compteur global transitoire saisi est égal au compteur global transitoire de l'occurrence précédente duquel sont soustraits les jours consommés en congés.</v>
      </c>
      <c r="BP81" s="13" t="s">
        <v>135</v>
      </c>
      <c r="BQ81" s="15" t="str">
        <f>VLOOKUP(BP81,'Axe 2 Règles de gestion'!$D$2:$F$84,3, FALSE)</f>
        <v>Lorsque le sens de l'opération est égal à "consommé", l'origine des jours n'est pas à renseigner.</v>
      </c>
      <c r="BR81" s="13" t="s">
        <v>271</v>
      </c>
      <c r="BS81" s="15" t="str">
        <f>VLOOKUP(BR81,'Axe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81" s="13" t="s">
        <v>273</v>
      </c>
      <c r="BU81" s="15" t="str">
        <f>VLOOKUP(BT81,'Axe 2 Règles de gestion'!$D$2:$F$84,3, FALSE)</f>
        <v>Le sens de l'opération doit être à "consommé".</v>
      </c>
      <c r="BV81" s="13"/>
      <c r="BW81" s="15"/>
    </row>
    <row r="82" spans="1:75" ht="142.65" x14ac:dyDescent="0.25">
      <c r="A82" s="13" t="s">
        <v>142</v>
      </c>
      <c r="B82" s="13" t="s">
        <v>222</v>
      </c>
      <c r="C82" s="14">
        <v>43509.750694444447</v>
      </c>
      <c r="D82" s="13" t="s">
        <v>78</v>
      </c>
      <c r="E82" s="15" t="s">
        <v>79</v>
      </c>
      <c r="F82" s="13" t="s">
        <v>80</v>
      </c>
      <c r="G82" s="15" t="s">
        <v>81</v>
      </c>
      <c r="H82" s="13" t="s">
        <v>240</v>
      </c>
      <c r="I82" s="15" t="s">
        <v>241</v>
      </c>
      <c r="J82" s="15" t="s">
        <v>83</v>
      </c>
      <c r="K82" s="15" t="s">
        <v>242</v>
      </c>
      <c r="L82" s="13" t="s">
        <v>256</v>
      </c>
      <c r="M82" s="15" t="s">
        <v>257</v>
      </c>
      <c r="N82" s="14" t="s">
        <v>87</v>
      </c>
      <c r="O82" s="15" t="s">
        <v>258</v>
      </c>
      <c r="P82" s="15" t="s">
        <v>259</v>
      </c>
      <c r="Q82" s="15" t="s">
        <v>230</v>
      </c>
      <c r="R82" s="13" t="s">
        <v>231</v>
      </c>
      <c r="S82" s="13" t="s">
        <v>193</v>
      </c>
      <c r="T82" s="13" t="s">
        <v>93</v>
      </c>
      <c r="U82" s="14">
        <v>43436</v>
      </c>
      <c r="V82" s="14"/>
      <c r="W82" s="15" t="s">
        <v>277</v>
      </c>
      <c r="X82" s="13" t="s">
        <v>263</v>
      </c>
      <c r="Y82" s="15" t="str">
        <f>VLOOKUP(X82,'Axe 2 Règles de gestion'!$D$2:$F$84,3, FALSE)</f>
        <v>L'agent qui a demandé au 31 décembre 2009 le maintien de jours de congés sur son compte épargne-temps historique peut opter pour leur indemnisation suivant les dispositions du régime pérenne.</v>
      </c>
      <c r="Z82" s="13" t="s">
        <v>265</v>
      </c>
      <c r="AA82" s="15" t="str">
        <f>VLOOKUP(Z82,'Axe 2 Règles de gestion'!$D$2:$F$84,3, FALSE)</f>
        <v>Le versement s'effectue à hauteur de 4 jours par an jusqu'à épuisement du solde.</v>
      </c>
      <c r="AB82" s="13" t="s">
        <v>267</v>
      </c>
      <c r="AC82" s="15" t="str">
        <f>VLOOKUP(AB82,'Axe 2 Règles de gestion'!$D$2:$F$84,3, FALSE)</f>
        <v>Si la durée de versement est supérieure à 4 ans, celui-ci est opéré en 4 fractions annuelles d'égal montant.</v>
      </c>
      <c r="AD82" s="13"/>
      <c r="AE82" s="15"/>
      <c r="AF82" s="13"/>
      <c r="AG82" s="15"/>
      <c r="AH82" s="13"/>
      <c r="AI82" s="15"/>
      <c r="AJ82" s="13"/>
      <c r="AK82" s="15"/>
      <c r="AL82" s="13" t="s">
        <v>138</v>
      </c>
      <c r="AM82" s="15" t="str">
        <f>VLOOKUP(AL82,'Axe 2 Règles de gestion'!$D$2:$F$84,3, FALSE)</f>
        <v>La différence entre le nombre de jours du compteur global du CET et le nombre de jours pour valorisation financière doit être strictement supérieure à 15 jours.</v>
      </c>
      <c r="AN82" s="13"/>
      <c r="AO82" s="15"/>
      <c r="AP82" s="13"/>
      <c r="AQ82" s="15"/>
      <c r="AR82" s="13"/>
      <c r="AS82" s="15"/>
      <c r="AT82" s="13"/>
      <c r="AU82" s="15"/>
      <c r="AV82" s="13"/>
      <c r="AW82" s="15"/>
      <c r="AX82" s="13"/>
      <c r="AY82" s="15"/>
      <c r="AZ82" s="13"/>
      <c r="BA82" s="15"/>
      <c r="BB82" s="13" t="s">
        <v>246</v>
      </c>
      <c r="BC82" s="15" t="str">
        <f>VLOOKUP(BB82,'Axe 2 Règles de gestion'!$D$2:$F$84,3, FALSE)</f>
        <v>La date d'ouverture du CET transitoire doit être antérieure ou égale au 31/12/2008.</v>
      </c>
      <c r="BD82" s="13" t="s">
        <v>248</v>
      </c>
      <c r="BE82" s="15" t="str">
        <f>VLOOKUP(BD82,'Axe 2 Règles de gestion'!$D$2:$F$84,3, FALSE)</f>
        <v>Le nombre de jours de l'opération doit être inférieur ou égal au nombre de jours du compteur global du CET transitoire.</v>
      </c>
      <c r="BF82" s="13" t="s">
        <v>250</v>
      </c>
      <c r="BG82" s="15" t="str">
        <f>VLOOKUP(BF82,'Axe 2 Règles de gestion'!$D$2:$F$84,3, FALSE)</f>
        <v>La date de fermeture du CET transitoire doit être antérieure ou égale à la date limite de départ en retraite.</v>
      </c>
      <c r="BH82" s="13" t="s">
        <v>252</v>
      </c>
      <c r="BI82" s="15" t="str">
        <f>VLOOKUP(BH82,'Axe 2 Règles de gestion'!$D$2:$F$84,3, FALSE)</f>
        <v>La date de fermeture du CET transitoire doit être antérieure ou égale à la date de fin réelle ou prévisionnelle du lien juridique.</v>
      </c>
      <c r="BJ82" s="13" t="s">
        <v>254</v>
      </c>
      <c r="BK82" s="15" t="str">
        <f>VLOOKUP(BJ82,'Axe 2 Règles de gestion'!$D$2:$F$84,3, FALSE)</f>
        <v>La date d'ouverture du compte épargne temps transitoire doit être postérieure ou égale à la date d'entrée dans le SIRH.</v>
      </c>
      <c r="BL82" s="13" t="s">
        <v>182</v>
      </c>
      <c r="BM82" s="15" t="str">
        <f>VLOOKUP(BL82,'Axe 2 Règles de gestion'!$D$2:$F$84,3, FALSE)</f>
        <v>Lorsque le sens de l'opération est égal à "consommé", le nombre de jours pour la cotisation RAFP n'est pas à renseigner.</v>
      </c>
      <c r="BN82" s="13" t="s">
        <v>269</v>
      </c>
      <c r="BO82" s="15" t="str">
        <f>VLOOKUP(BN82,'Axe 2 Règles de gestion'!$D$2:$F$84,3, FALSE)</f>
        <v>Lorsque le sens de l'opération est à "consommé", le compteur global transitoire saisi est égal au compteur global transitoire de l'occurrence précédente duquel sont soustraits les jours consommés en congés.</v>
      </c>
      <c r="BP82" s="13" t="s">
        <v>135</v>
      </c>
      <c r="BQ82" s="15" t="str">
        <f>VLOOKUP(BP82,'Axe 2 Règles de gestion'!$D$2:$F$84,3, FALSE)</f>
        <v>Lorsque le sens de l'opération est égal à "consommé", l'origine des jours n'est pas à renseigner.</v>
      </c>
      <c r="BR82" s="13" t="s">
        <v>271</v>
      </c>
      <c r="BS82" s="15" t="str">
        <f>VLOOKUP(BR82,'Axe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82" s="13" t="s">
        <v>273</v>
      </c>
      <c r="BU82" s="15" t="str">
        <f>VLOOKUP(BT82,'Axe 2 Règles de gestion'!$D$2:$F$84,3, FALSE)</f>
        <v>Le sens de l'opération doit être à "consommé".</v>
      </c>
      <c r="BV82" s="13"/>
      <c r="BW82" s="15"/>
    </row>
    <row r="83" spans="1:75" ht="99.85" x14ac:dyDescent="0.25">
      <c r="A83" s="13" t="s">
        <v>232</v>
      </c>
      <c r="B83" s="13" t="s">
        <v>77</v>
      </c>
      <c r="C83" s="14">
        <v>45994.433333333334</v>
      </c>
      <c r="D83" s="13" t="s">
        <v>78</v>
      </c>
      <c r="E83" s="15" t="s">
        <v>79</v>
      </c>
      <c r="F83" s="13" t="s">
        <v>80</v>
      </c>
      <c r="G83" s="15" t="s">
        <v>81</v>
      </c>
      <c r="H83" s="13" t="s">
        <v>240</v>
      </c>
      <c r="I83" s="15" t="s">
        <v>241</v>
      </c>
      <c r="J83" s="15" t="s">
        <v>83</v>
      </c>
      <c r="K83" s="15" t="s">
        <v>242</v>
      </c>
      <c r="L83" s="13" t="s">
        <v>243</v>
      </c>
      <c r="M83" s="15" t="s">
        <v>244</v>
      </c>
      <c r="N83" s="14" t="s">
        <v>87</v>
      </c>
      <c r="O83" s="15" t="s">
        <v>88</v>
      </c>
      <c r="P83" s="15" t="s">
        <v>89</v>
      </c>
      <c r="Q83" s="15" t="s">
        <v>233</v>
      </c>
      <c r="R83" s="13" t="s">
        <v>234</v>
      </c>
      <c r="S83" s="13" t="s">
        <v>193</v>
      </c>
      <c r="T83" s="13" t="s">
        <v>93</v>
      </c>
      <c r="U83" s="14">
        <v>40725</v>
      </c>
      <c r="V83" s="14">
        <v>45900</v>
      </c>
      <c r="W83" s="15" t="s">
        <v>245</v>
      </c>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t="s">
        <v>246</v>
      </c>
      <c r="BC83" s="15" t="str">
        <f>VLOOKUP(BB83,'Axe 2 Règles de gestion'!$D$2:$F$84,3, FALSE)</f>
        <v>La date d'ouverture du CET transitoire doit être antérieure ou égale au 31/12/2008.</v>
      </c>
      <c r="BD83" s="13" t="s">
        <v>248</v>
      </c>
      <c r="BE83" s="15" t="str">
        <f>VLOOKUP(BD83,'Axe 2 Règles de gestion'!$D$2:$F$84,3, FALSE)</f>
        <v>Le nombre de jours de l'opération doit être inférieur ou égal au nombre de jours du compteur global du CET transitoire.</v>
      </c>
      <c r="BF83" s="13" t="s">
        <v>250</v>
      </c>
      <c r="BG83" s="15" t="str">
        <f>VLOOKUP(BF83,'Axe 2 Règles de gestion'!$D$2:$F$84,3, FALSE)</f>
        <v>La date de fermeture du CET transitoire doit être antérieure ou égale à la date limite de départ en retraite.</v>
      </c>
      <c r="BH83" s="13" t="s">
        <v>252</v>
      </c>
      <c r="BI83" s="15" t="str">
        <f>VLOOKUP(BH83,'Axe 2 Règles de gestion'!$D$2:$F$84,3, FALSE)</f>
        <v>La date de fermeture du CET transitoire doit être antérieure ou égale à la date de fin réelle ou prévisionnelle du lien juridique.</v>
      </c>
      <c r="BJ83" s="13" t="s">
        <v>254</v>
      </c>
      <c r="BK83" s="15" t="str">
        <f>VLOOKUP(BJ83,'Axe 2 Règles de gestion'!$D$2:$F$84,3, FALSE)</f>
        <v>La date d'ouverture du compte épargne temps transitoire doit être postérieure ou égale à la date d'entrée dans le SIRH.</v>
      </c>
      <c r="BL83" s="13" t="s">
        <v>115</v>
      </c>
      <c r="BM83" s="15" t="str">
        <f>VLOOKUP(BL83,'Axe 2 Règles de gestion'!$D$2:$F$84,3, FALSE)</f>
        <v>Les champs "Origine", "Nombre de jours de l'opération", "Nombre de jours pour valorisation financière" et "Nombre de jours pour cotisation RAFP" ne doivent pas être renseignés.</v>
      </c>
      <c r="BN83" s="13"/>
      <c r="BO83" s="15"/>
      <c r="BP83" s="13"/>
      <c r="BQ83" s="15"/>
      <c r="BR83" s="13"/>
      <c r="BS83" s="15"/>
      <c r="BT83" s="13"/>
      <c r="BU83" s="15"/>
      <c r="BV83" s="13" t="s">
        <v>235</v>
      </c>
      <c r="BW83" s="15"/>
    </row>
    <row r="84" spans="1:75" ht="142.65" x14ac:dyDescent="0.25">
      <c r="A84" s="13" t="s">
        <v>142</v>
      </c>
      <c r="B84" s="13" t="s">
        <v>77</v>
      </c>
      <c r="C84" s="14">
        <v>43509.751388888886</v>
      </c>
      <c r="D84" s="13" t="s">
        <v>78</v>
      </c>
      <c r="E84" s="15" t="s">
        <v>79</v>
      </c>
      <c r="F84" s="13" t="s">
        <v>80</v>
      </c>
      <c r="G84" s="15" t="s">
        <v>81</v>
      </c>
      <c r="H84" s="13" t="s">
        <v>240</v>
      </c>
      <c r="I84" s="15" t="s">
        <v>241</v>
      </c>
      <c r="J84" s="15" t="s">
        <v>83</v>
      </c>
      <c r="K84" s="15" t="s">
        <v>242</v>
      </c>
      <c r="L84" s="13" t="s">
        <v>256</v>
      </c>
      <c r="M84" s="15" t="s">
        <v>257</v>
      </c>
      <c r="N84" s="14" t="s">
        <v>87</v>
      </c>
      <c r="O84" s="15" t="s">
        <v>258</v>
      </c>
      <c r="P84" s="15" t="s">
        <v>259</v>
      </c>
      <c r="Q84" s="15" t="s">
        <v>233</v>
      </c>
      <c r="R84" s="13" t="s">
        <v>234</v>
      </c>
      <c r="S84" s="13" t="s">
        <v>193</v>
      </c>
      <c r="T84" s="13" t="s">
        <v>93</v>
      </c>
      <c r="U84" s="14">
        <v>40725</v>
      </c>
      <c r="V84" s="14">
        <v>43435</v>
      </c>
      <c r="W84" s="15" t="s">
        <v>276</v>
      </c>
      <c r="X84" s="13" t="s">
        <v>263</v>
      </c>
      <c r="Y84" s="15" t="str">
        <f>VLOOKUP(X84,'Axe 2 Règles de gestion'!$D$2:$F$84,3, FALSE)</f>
        <v>L'agent qui a demandé au 31 décembre 2009 le maintien de jours de congés sur son compte épargne-temps historique peut opter pour leur indemnisation suivant les dispositions du régime pérenne.</v>
      </c>
      <c r="Z84" s="13" t="s">
        <v>265</v>
      </c>
      <c r="AA84" s="15" t="str">
        <f>VLOOKUP(Z84,'Axe 2 Règles de gestion'!$D$2:$F$84,3, FALSE)</f>
        <v>Le versement s'effectue à hauteur de 4 jours par an jusqu'à épuisement du solde.</v>
      </c>
      <c r="AB84" s="13" t="s">
        <v>267</v>
      </c>
      <c r="AC84" s="15" t="str">
        <f>VLOOKUP(AB84,'Axe 2 Règles de gestion'!$D$2:$F$84,3, FALSE)</f>
        <v>Si la durée de versement est supérieure à 4 ans, celui-ci est opéré en 4 fractions annuelles d'égal montant.</v>
      </c>
      <c r="AD84" s="13"/>
      <c r="AE84" s="15"/>
      <c r="AF84" s="13"/>
      <c r="AG84" s="15"/>
      <c r="AH84" s="13"/>
      <c r="AI84" s="15"/>
      <c r="AJ84" s="13"/>
      <c r="AK84" s="15"/>
      <c r="AL84" s="13" t="s">
        <v>129</v>
      </c>
      <c r="AM84" s="15" t="str">
        <f>VLOOKUP(AL84,'Axe 2 Règles de gestion'!$D$2:$F$84,3, FALSE)</f>
        <v>La différence entre le nombre de jours du compteur global du CET et le nombre de jours pour valorisation financière doit être strictement supérieure à 20 jours.</v>
      </c>
      <c r="AN84" s="13"/>
      <c r="AO84" s="15"/>
      <c r="AP84" s="13"/>
      <c r="AQ84" s="15"/>
      <c r="AR84" s="13"/>
      <c r="AS84" s="15"/>
      <c r="AT84" s="13"/>
      <c r="AU84" s="15"/>
      <c r="AV84" s="13"/>
      <c r="AW84" s="15"/>
      <c r="AX84" s="13"/>
      <c r="AY84" s="15"/>
      <c r="AZ84" s="13"/>
      <c r="BA84" s="15"/>
      <c r="BB84" s="13" t="s">
        <v>246</v>
      </c>
      <c r="BC84" s="15" t="str">
        <f>VLOOKUP(BB84,'Axe 2 Règles de gestion'!$D$2:$F$84,3, FALSE)</f>
        <v>La date d'ouverture du CET transitoire doit être antérieure ou égale au 31/12/2008.</v>
      </c>
      <c r="BD84" s="13" t="s">
        <v>248</v>
      </c>
      <c r="BE84" s="15" t="str">
        <f>VLOOKUP(BD84,'Axe 2 Règles de gestion'!$D$2:$F$84,3, FALSE)</f>
        <v>Le nombre de jours de l'opération doit être inférieur ou égal au nombre de jours du compteur global du CET transitoire.</v>
      </c>
      <c r="BF84" s="13" t="s">
        <v>250</v>
      </c>
      <c r="BG84" s="15" t="str">
        <f>VLOOKUP(BF84,'Axe 2 Règles de gestion'!$D$2:$F$84,3, FALSE)</f>
        <v>La date de fermeture du CET transitoire doit être antérieure ou égale à la date limite de départ en retraite.</v>
      </c>
      <c r="BH84" s="13" t="s">
        <v>252</v>
      </c>
      <c r="BI84" s="15" t="str">
        <f>VLOOKUP(BH84,'Axe 2 Règles de gestion'!$D$2:$F$84,3, FALSE)</f>
        <v>La date de fermeture du CET transitoire doit être antérieure ou égale à la date de fin réelle ou prévisionnelle du lien juridique.</v>
      </c>
      <c r="BJ84" s="13" t="s">
        <v>254</v>
      </c>
      <c r="BK84" s="15" t="str">
        <f>VLOOKUP(BJ84,'Axe 2 Règles de gestion'!$D$2:$F$84,3, FALSE)</f>
        <v>La date d'ouverture du compte épargne temps transitoire doit être postérieure ou égale à la date d'entrée dans le SIRH.</v>
      </c>
      <c r="BL84" s="13" t="s">
        <v>182</v>
      </c>
      <c r="BM84" s="15" t="str">
        <f>VLOOKUP(BL84,'Axe 2 Règles de gestion'!$D$2:$F$84,3, FALSE)</f>
        <v>Lorsque le sens de l'opération est égal à "consommé", le nombre de jours pour la cotisation RAFP n'est pas à renseigner.</v>
      </c>
      <c r="BN84" s="13" t="s">
        <v>269</v>
      </c>
      <c r="BO84" s="15" t="str">
        <f>VLOOKUP(BN84,'Axe 2 Règles de gestion'!$D$2:$F$84,3, FALSE)</f>
        <v>Lorsque le sens de l'opération est à "consommé", le compteur global transitoire saisi est égal au compteur global transitoire de l'occurrence précédente duquel sont soustraits les jours consommés en congés.</v>
      </c>
      <c r="BP84" s="13" t="s">
        <v>135</v>
      </c>
      <c r="BQ84" s="15" t="str">
        <f>VLOOKUP(BP84,'Axe 2 Règles de gestion'!$D$2:$F$84,3, FALSE)</f>
        <v>Lorsque le sens de l'opération est égal à "consommé", l'origine des jours n'est pas à renseigner.</v>
      </c>
      <c r="BR84" s="13" t="s">
        <v>271</v>
      </c>
      <c r="BS84" s="15" t="str">
        <f>VLOOKUP(BR84,'Axe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84" s="13" t="s">
        <v>273</v>
      </c>
      <c r="BU84" s="15" t="str">
        <f>VLOOKUP(BT84,'Axe 2 Règles de gestion'!$D$2:$F$84,3, FALSE)</f>
        <v>Le sens de l'opération doit être à "consommé".</v>
      </c>
      <c r="BV84" s="13"/>
      <c r="BW84" s="15"/>
    </row>
    <row r="85" spans="1:75" ht="142.65" x14ac:dyDescent="0.25">
      <c r="A85" s="13" t="s">
        <v>232</v>
      </c>
      <c r="B85" s="13" t="s">
        <v>77</v>
      </c>
      <c r="C85" s="14">
        <v>45994.433333333334</v>
      </c>
      <c r="D85" s="13" t="s">
        <v>78</v>
      </c>
      <c r="E85" s="15" t="s">
        <v>79</v>
      </c>
      <c r="F85" s="13" t="s">
        <v>80</v>
      </c>
      <c r="G85" s="15" t="s">
        <v>81</v>
      </c>
      <c r="H85" s="13" t="s">
        <v>240</v>
      </c>
      <c r="I85" s="15" t="s">
        <v>241</v>
      </c>
      <c r="J85" s="15" t="s">
        <v>83</v>
      </c>
      <c r="K85" s="15" t="s">
        <v>242</v>
      </c>
      <c r="L85" s="13" t="s">
        <v>256</v>
      </c>
      <c r="M85" s="15" t="s">
        <v>257</v>
      </c>
      <c r="N85" s="14" t="s">
        <v>87</v>
      </c>
      <c r="O85" s="15" t="s">
        <v>258</v>
      </c>
      <c r="P85" s="15" t="s">
        <v>259</v>
      </c>
      <c r="Q85" s="15" t="s">
        <v>233</v>
      </c>
      <c r="R85" s="13" t="s">
        <v>234</v>
      </c>
      <c r="S85" s="13" t="s">
        <v>193</v>
      </c>
      <c r="T85" s="13" t="s">
        <v>93</v>
      </c>
      <c r="U85" s="14">
        <v>43436</v>
      </c>
      <c r="V85" s="14">
        <v>45900</v>
      </c>
      <c r="W85" s="15" t="s">
        <v>277</v>
      </c>
      <c r="X85" s="13" t="s">
        <v>263</v>
      </c>
      <c r="Y85" s="15" t="str">
        <f>VLOOKUP(X85,'Axe 2 Règles de gestion'!$D$2:$F$84,3, FALSE)</f>
        <v>L'agent qui a demandé au 31 décembre 2009 le maintien de jours de congés sur son compte épargne-temps historique peut opter pour leur indemnisation suivant les dispositions du régime pérenne.</v>
      </c>
      <c r="Z85" s="13" t="s">
        <v>265</v>
      </c>
      <c r="AA85" s="15" t="str">
        <f>VLOOKUP(Z85,'Axe 2 Règles de gestion'!$D$2:$F$84,3, FALSE)</f>
        <v>Le versement s'effectue à hauteur de 4 jours par an jusqu'à épuisement du solde.</v>
      </c>
      <c r="AB85" s="13" t="s">
        <v>267</v>
      </c>
      <c r="AC85" s="15" t="str">
        <f>VLOOKUP(AB85,'Axe 2 Règles de gestion'!$D$2:$F$84,3, FALSE)</f>
        <v>Si la durée de versement est supérieure à 4 ans, celui-ci est opéré en 4 fractions annuelles d'égal montant.</v>
      </c>
      <c r="AD85" s="13"/>
      <c r="AE85" s="15"/>
      <c r="AF85" s="13"/>
      <c r="AG85" s="15"/>
      <c r="AH85" s="13"/>
      <c r="AI85" s="15"/>
      <c r="AJ85" s="13"/>
      <c r="AK85" s="15"/>
      <c r="AL85" s="13" t="s">
        <v>138</v>
      </c>
      <c r="AM85" s="15" t="str">
        <f>VLOOKUP(AL85,'Axe 2 Règles de gestion'!$D$2:$F$84,3, FALSE)</f>
        <v>La différence entre le nombre de jours du compteur global du CET et le nombre de jours pour valorisation financière doit être strictement supérieure à 15 jours.</v>
      </c>
      <c r="AN85" s="13"/>
      <c r="AO85" s="15"/>
      <c r="AP85" s="13"/>
      <c r="AQ85" s="15"/>
      <c r="AR85" s="13"/>
      <c r="AS85" s="15"/>
      <c r="AT85" s="13"/>
      <c r="AU85" s="15"/>
      <c r="AV85" s="13"/>
      <c r="AW85" s="15"/>
      <c r="AX85" s="13"/>
      <c r="AY85" s="15"/>
      <c r="AZ85" s="13"/>
      <c r="BA85" s="15"/>
      <c r="BB85" s="13" t="s">
        <v>246</v>
      </c>
      <c r="BC85" s="15" t="str">
        <f>VLOOKUP(BB85,'Axe 2 Règles de gestion'!$D$2:$F$84,3, FALSE)</f>
        <v>La date d'ouverture du CET transitoire doit être antérieure ou égale au 31/12/2008.</v>
      </c>
      <c r="BD85" s="13" t="s">
        <v>248</v>
      </c>
      <c r="BE85" s="15" t="str">
        <f>VLOOKUP(BD85,'Axe 2 Règles de gestion'!$D$2:$F$84,3, FALSE)</f>
        <v>Le nombre de jours de l'opération doit être inférieur ou égal au nombre de jours du compteur global du CET transitoire.</v>
      </c>
      <c r="BF85" s="13" t="s">
        <v>250</v>
      </c>
      <c r="BG85" s="15" t="str">
        <f>VLOOKUP(BF85,'Axe 2 Règles de gestion'!$D$2:$F$84,3, FALSE)</f>
        <v>La date de fermeture du CET transitoire doit être antérieure ou égale à la date limite de départ en retraite.</v>
      </c>
      <c r="BH85" s="13" t="s">
        <v>252</v>
      </c>
      <c r="BI85" s="15" t="str">
        <f>VLOOKUP(BH85,'Axe 2 Règles de gestion'!$D$2:$F$84,3, FALSE)</f>
        <v>La date de fermeture du CET transitoire doit être antérieure ou égale à la date de fin réelle ou prévisionnelle du lien juridique.</v>
      </c>
      <c r="BJ85" s="13" t="s">
        <v>254</v>
      </c>
      <c r="BK85" s="15" t="str">
        <f>VLOOKUP(BJ85,'Axe 2 Règles de gestion'!$D$2:$F$84,3, FALSE)</f>
        <v>La date d'ouverture du compte épargne temps transitoire doit être postérieure ou égale à la date d'entrée dans le SIRH.</v>
      </c>
      <c r="BL85" s="13" t="s">
        <v>182</v>
      </c>
      <c r="BM85" s="15" t="str">
        <f>VLOOKUP(BL85,'Axe 2 Règles de gestion'!$D$2:$F$84,3, FALSE)</f>
        <v>Lorsque le sens de l'opération est égal à "consommé", le nombre de jours pour la cotisation RAFP n'est pas à renseigner.</v>
      </c>
      <c r="BN85" s="13" t="s">
        <v>269</v>
      </c>
      <c r="BO85" s="15" t="str">
        <f>VLOOKUP(BN85,'Axe 2 Règles de gestion'!$D$2:$F$84,3, FALSE)</f>
        <v>Lorsque le sens de l'opération est à "consommé", le compteur global transitoire saisi est égal au compteur global transitoire de l'occurrence précédente duquel sont soustraits les jours consommés en congés.</v>
      </c>
      <c r="BP85" s="13" t="s">
        <v>135</v>
      </c>
      <c r="BQ85" s="15" t="str">
        <f>VLOOKUP(BP85,'Axe 2 Règles de gestion'!$D$2:$F$84,3, FALSE)</f>
        <v>Lorsque le sens de l'opération est égal à "consommé", l'origine des jours n'est pas à renseigner.</v>
      </c>
      <c r="BR85" s="13" t="s">
        <v>271</v>
      </c>
      <c r="BS85" s="15" t="str">
        <f>VLOOKUP(BR85,'Axe 2 Règles de gestion'!$D$2:$F$84,3, FALSE)</f>
        <v>Pour le compte épargne temps transitoire, seule l'opération de consommation en jours de congés est autorisée. Dans ce cas, l'origine des jours, le nombre de jours pour valorisation financière et le nombre de jours pour cotisation RAFP ne sont pas à renseigner.</v>
      </c>
      <c r="BT85" s="13" t="s">
        <v>273</v>
      </c>
      <c r="BU85" s="15" t="str">
        <f>VLOOKUP(BT85,'Axe 2 Règles de gestion'!$D$2:$F$84,3, FALSE)</f>
        <v>Le sens de l'opération doit être à "consommé".</v>
      </c>
      <c r="BV85" s="13" t="s">
        <v>235</v>
      </c>
      <c r="BW85" s="15"/>
    </row>
    <row r="86" spans="1:75" ht="42.8" x14ac:dyDescent="0.25">
      <c r="A86" s="13" t="s">
        <v>76</v>
      </c>
      <c r="B86" s="13" t="s">
        <v>77</v>
      </c>
      <c r="C86" s="14">
        <v>45628.71875</v>
      </c>
      <c r="D86" s="13" t="s">
        <v>78</v>
      </c>
      <c r="E86" s="15" t="s">
        <v>79</v>
      </c>
      <c r="F86" s="13" t="s">
        <v>80</v>
      </c>
      <c r="G86" s="15" t="s">
        <v>81</v>
      </c>
      <c r="H86" s="13" t="s">
        <v>240</v>
      </c>
      <c r="I86" s="15" t="s">
        <v>241</v>
      </c>
      <c r="J86" s="15" t="s">
        <v>83</v>
      </c>
      <c r="K86" s="15" t="s">
        <v>242</v>
      </c>
      <c r="L86" s="13" t="s">
        <v>243</v>
      </c>
      <c r="M86" s="15" t="s">
        <v>244</v>
      </c>
      <c r="N86" s="14" t="s">
        <v>87</v>
      </c>
      <c r="O86" s="15" t="s">
        <v>88</v>
      </c>
      <c r="P86" s="15" t="s">
        <v>89</v>
      </c>
      <c r="Q86" s="15" t="s">
        <v>236</v>
      </c>
      <c r="R86" s="13" t="s">
        <v>237</v>
      </c>
      <c r="S86" s="13" t="s">
        <v>193</v>
      </c>
      <c r="T86" s="13" t="s">
        <v>174</v>
      </c>
      <c r="U86" s="14">
        <v>40725</v>
      </c>
      <c r="V86" s="14">
        <v>40725</v>
      </c>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row>
    <row r="87" spans="1:75" ht="42.8" x14ac:dyDescent="0.25">
      <c r="A87" s="13" t="s">
        <v>76</v>
      </c>
      <c r="B87" s="13" t="s">
        <v>77</v>
      </c>
      <c r="C87" s="14">
        <v>45628.720138888886</v>
      </c>
      <c r="D87" s="13" t="s">
        <v>78</v>
      </c>
      <c r="E87" s="15" t="s">
        <v>79</v>
      </c>
      <c r="F87" s="13" t="s">
        <v>80</v>
      </c>
      <c r="G87" s="15" t="s">
        <v>81</v>
      </c>
      <c r="H87" s="13" t="s">
        <v>240</v>
      </c>
      <c r="I87" s="15" t="s">
        <v>241</v>
      </c>
      <c r="J87" s="15" t="s">
        <v>83</v>
      </c>
      <c r="K87" s="15" t="s">
        <v>242</v>
      </c>
      <c r="L87" s="13" t="s">
        <v>256</v>
      </c>
      <c r="M87" s="15" t="s">
        <v>257</v>
      </c>
      <c r="N87" s="14" t="s">
        <v>87</v>
      </c>
      <c r="O87" s="15" t="s">
        <v>258</v>
      </c>
      <c r="P87" s="15" t="s">
        <v>259</v>
      </c>
      <c r="Q87" s="15" t="s">
        <v>236</v>
      </c>
      <c r="R87" s="13" t="s">
        <v>237</v>
      </c>
      <c r="S87" s="13" t="s">
        <v>193</v>
      </c>
      <c r="T87" s="13" t="s">
        <v>174</v>
      </c>
      <c r="U87" s="14">
        <v>40725</v>
      </c>
      <c r="V87" s="14">
        <v>40725</v>
      </c>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row>
    <row r="88" spans="1:75" ht="42.8" x14ac:dyDescent="0.25">
      <c r="A88" s="13" t="s">
        <v>76</v>
      </c>
      <c r="B88" s="13" t="s">
        <v>77</v>
      </c>
      <c r="C88" s="14">
        <v>45628.71875</v>
      </c>
      <c r="D88" s="13" t="s">
        <v>78</v>
      </c>
      <c r="E88" s="15" t="s">
        <v>79</v>
      </c>
      <c r="F88" s="13" t="s">
        <v>80</v>
      </c>
      <c r="G88" s="15" t="s">
        <v>81</v>
      </c>
      <c r="H88" s="13" t="s">
        <v>240</v>
      </c>
      <c r="I88" s="15" t="s">
        <v>241</v>
      </c>
      <c r="J88" s="15" t="s">
        <v>83</v>
      </c>
      <c r="K88" s="15" t="s">
        <v>242</v>
      </c>
      <c r="L88" s="13" t="s">
        <v>243</v>
      </c>
      <c r="M88" s="15" t="s">
        <v>244</v>
      </c>
      <c r="N88" s="14" t="s">
        <v>87</v>
      </c>
      <c r="O88" s="15" t="s">
        <v>88</v>
      </c>
      <c r="P88" s="15" t="s">
        <v>89</v>
      </c>
      <c r="Q88" s="15" t="s">
        <v>238</v>
      </c>
      <c r="R88" s="13" t="s">
        <v>239</v>
      </c>
      <c r="S88" s="13" t="s">
        <v>193</v>
      </c>
      <c r="T88" s="13" t="s">
        <v>174</v>
      </c>
      <c r="U88" s="14">
        <v>40725</v>
      </c>
      <c r="V88" s="14">
        <v>40725</v>
      </c>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row>
    <row r="89" spans="1:75" ht="42.8" x14ac:dyDescent="0.25">
      <c r="A89" s="13" t="s">
        <v>76</v>
      </c>
      <c r="B89" s="13" t="s">
        <v>77</v>
      </c>
      <c r="C89" s="14">
        <v>45628.720138888886</v>
      </c>
      <c r="D89" s="13" t="s">
        <v>78</v>
      </c>
      <c r="E89" s="15" t="s">
        <v>79</v>
      </c>
      <c r="F89" s="13" t="s">
        <v>80</v>
      </c>
      <c r="G89" s="15" t="s">
        <v>81</v>
      </c>
      <c r="H89" s="13" t="s">
        <v>240</v>
      </c>
      <c r="I89" s="15" t="s">
        <v>241</v>
      </c>
      <c r="J89" s="15" t="s">
        <v>83</v>
      </c>
      <c r="K89" s="15" t="s">
        <v>242</v>
      </c>
      <c r="L89" s="13" t="s">
        <v>256</v>
      </c>
      <c r="M89" s="15" t="s">
        <v>257</v>
      </c>
      <c r="N89" s="14" t="s">
        <v>87</v>
      </c>
      <c r="O89" s="15" t="s">
        <v>258</v>
      </c>
      <c r="P89" s="15" t="s">
        <v>259</v>
      </c>
      <c r="Q89" s="15" t="s">
        <v>238</v>
      </c>
      <c r="R89" s="13" t="s">
        <v>239</v>
      </c>
      <c r="S89" s="13" t="s">
        <v>193</v>
      </c>
      <c r="T89" s="13" t="s">
        <v>174</v>
      </c>
      <c r="U89" s="14">
        <v>40725</v>
      </c>
      <c r="V89" s="14">
        <v>40725</v>
      </c>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row>
    <row r="90" spans="1:75" ht="114.15" x14ac:dyDescent="0.25">
      <c r="A90" s="13" t="s">
        <v>76</v>
      </c>
      <c r="B90" s="13" t="s">
        <v>77</v>
      </c>
      <c r="C90" s="14">
        <v>45628.72152777778</v>
      </c>
      <c r="D90" s="13" t="s">
        <v>78</v>
      </c>
      <c r="E90" s="15" t="s">
        <v>79</v>
      </c>
      <c r="F90" s="13" t="s">
        <v>80</v>
      </c>
      <c r="G90" s="15" t="s">
        <v>81</v>
      </c>
      <c r="H90" s="13" t="s">
        <v>280</v>
      </c>
      <c r="I90" s="15" t="s">
        <v>281</v>
      </c>
      <c r="J90" s="15" t="s">
        <v>83</v>
      </c>
      <c r="K90" s="15" t="s">
        <v>84</v>
      </c>
      <c r="L90" s="13" t="s">
        <v>282</v>
      </c>
      <c r="M90" s="15" t="s">
        <v>281</v>
      </c>
      <c r="N90" s="14" t="s">
        <v>87</v>
      </c>
      <c r="O90" s="15" t="s">
        <v>258</v>
      </c>
      <c r="P90" s="15" t="s">
        <v>283</v>
      </c>
      <c r="Q90" s="15" t="s">
        <v>90</v>
      </c>
      <c r="R90" s="13" t="s">
        <v>91</v>
      </c>
      <c r="S90" s="13" t="s">
        <v>92</v>
      </c>
      <c r="T90" s="13" t="s">
        <v>93</v>
      </c>
      <c r="U90" s="14">
        <v>40725</v>
      </c>
      <c r="V90" s="14">
        <v>40725</v>
      </c>
      <c r="W90" s="15" t="s">
        <v>284</v>
      </c>
      <c r="X90" s="13" t="s">
        <v>285</v>
      </c>
      <c r="Y90" s="15" t="str">
        <f>VLOOKUP(X90,'Axe 2 Règles de gestion'!$D$2:$F$84,3, FALSE)</f>
        <v>L'administration informe annuellement l'agent des droits épargnés et consommés.</v>
      </c>
      <c r="Z90" s="13" t="s">
        <v>287</v>
      </c>
      <c r="AA90" s="15" t="str">
        <f>VLOOKUP(Z90,'Axe 2 Règles de gestion'!$D$2:$F$84,3, FALSE)</f>
        <v>Le gestionnaire, avant la date prévue de la radiation, dans un délai minimal dont la durée est égale à la somme des jours épargnés plus un mois, informe l'agent de son droit à utiliser les jours épargnés.</v>
      </c>
      <c r="AB90" s="13" t="s">
        <v>289</v>
      </c>
      <c r="AC90" s="15" t="str">
        <f>VLOOKUP(AB90,'Axe 2 Règles de gestion'!$D$2:$F$84,3, FALSE)</f>
        <v>L'administration, la collectivité ou l'établissement d'origine adressera au nouvel employeur public, au plus tard à la date d'affectation de l'agent, une attestation des droits à congés épargnés par l'agent.</v>
      </c>
      <c r="AD90" s="13" t="s">
        <v>291</v>
      </c>
      <c r="AE90" s="15" t="str">
        <f>VLOOKUP(AD90,'Axe 2 Règles de gestion'!$D$2:$F$84,3, FALSE)</f>
        <v>Si l'agent cesse définitivement ses fonctions, le solde éventuel de l'indemnisation dû à sa cessation de fonctions est versé à cette date.</v>
      </c>
      <c r="AF90" s="13"/>
      <c r="AG90" s="15"/>
      <c r="AH90" s="13"/>
      <c r="AI90" s="15"/>
      <c r="AJ90" s="13"/>
      <c r="AK90" s="15"/>
      <c r="AL90" s="13"/>
      <c r="AM90" s="15"/>
      <c r="AN90" s="13"/>
      <c r="AO90" s="15"/>
      <c r="AP90" s="13"/>
      <c r="AQ90" s="15"/>
      <c r="AR90" s="13"/>
      <c r="AS90" s="15"/>
      <c r="AT90" s="13"/>
      <c r="AU90" s="15"/>
      <c r="AV90" s="13"/>
      <c r="AW90" s="15"/>
      <c r="AX90" s="13"/>
      <c r="AY90" s="15"/>
      <c r="AZ90" s="13"/>
      <c r="BA90" s="15"/>
      <c r="BB90" s="13" t="s">
        <v>293</v>
      </c>
      <c r="BC90" s="15" t="str">
        <f>VLOOKUP(BB90,'Axe 2 Règles de gestion'!$D$2:$F$84,3, FALSE)</f>
        <v>Pour les opérations d'inventaires, les champs "Année de référence" et "Nombre de jours demandés restant à payer (à la date d'observation)" doivent être saisis.</v>
      </c>
      <c r="BD90" s="13"/>
      <c r="BE90" s="15"/>
      <c r="BF90" s="13"/>
      <c r="BG90" s="15"/>
      <c r="BH90" s="13"/>
      <c r="BI90" s="15"/>
      <c r="BJ90" s="13"/>
      <c r="BK90" s="15"/>
      <c r="BL90" s="13"/>
      <c r="BM90" s="15"/>
      <c r="BN90" s="13"/>
      <c r="BO90" s="15"/>
      <c r="BP90" s="13"/>
      <c r="BQ90" s="15"/>
      <c r="BR90" s="13"/>
      <c r="BS90" s="15"/>
      <c r="BT90" s="13"/>
      <c r="BU90" s="15"/>
      <c r="BV90" s="13"/>
      <c r="BW90" s="15"/>
    </row>
    <row r="91" spans="1:75" ht="28.55" x14ac:dyDescent="0.25">
      <c r="A91" s="13" t="s">
        <v>76</v>
      </c>
      <c r="B91" s="13" t="s">
        <v>77</v>
      </c>
      <c r="C91" s="14">
        <v>45628.720833333333</v>
      </c>
      <c r="D91" s="13" t="s">
        <v>78</v>
      </c>
      <c r="E91" s="15" t="s">
        <v>79</v>
      </c>
      <c r="F91" s="13" t="s">
        <v>80</v>
      </c>
      <c r="G91" s="15" t="s">
        <v>81</v>
      </c>
      <c r="H91" s="13" t="s">
        <v>280</v>
      </c>
      <c r="I91" s="15" t="s">
        <v>281</v>
      </c>
      <c r="J91" s="15" t="s">
        <v>83</v>
      </c>
      <c r="K91" s="15" t="s">
        <v>84</v>
      </c>
      <c r="L91" s="13" t="s">
        <v>282</v>
      </c>
      <c r="M91" s="15" t="s">
        <v>281</v>
      </c>
      <c r="N91" s="14" t="s">
        <v>87</v>
      </c>
      <c r="O91" s="15" t="s">
        <v>258</v>
      </c>
      <c r="P91" s="15" t="s">
        <v>283</v>
      </c>
      <c r="Q91" s="15" t="s">
        <v>172</v>
      </c>
      <c r="R91" s="13" t="s">
        <v>173</v>
      </c>
      <c r="S91" s="13" t="s">
        <v>92</v>
      </c>
      <c r="T91" s="13" t="s">
        <v>174</v>
      </c>
      <c r="U91" s="14">
        <v>43831</v>
      </c>
      <c r="V91" s="14">
        <v>43831</v>
      </c>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row>
    <row r="92" spans="1:75" ht="114.15" x14ac:dyDescent="0.25">
      <c r="A92" s="13" t="s">
        <v>76</v>
      </c>
      <c r="B92" s="13" t="s">
        <v>77</v>
      </c>
      <c r="C92" s="14">
        <v>45628.720833333333</v>
      </c>
      <c r="D92" s="13" t="s">
        <v>78</v>
      </c>
      <c r="E92" s="15" t="s">
        <v>79</v>
      </c>
      <c r="F92" s="13" t="s">
        <v>80</v>
      </c>
      <c r="G92" s="15" t="s">
        <v>81</v>
      </c>
      <c r="H92" s="13" t="s">
        <v>280</v>
      </c>
      <c r="I92" s="15" t="s">
        <v>281</v>
      </c>
      <c r="J92" s="15" t="s">
        <v>83</v>
      </c>
      <c r="K92" s="15" t="s">
        <v>84</v>
      </c>
      <c r="L92" s="13" t="s">
        <v>282</v>
      </c>
      <c r="M92" s="15" t="s">
        <v>281</v>
      </c>
      <c r="N92" s="14" t="s">
        <v>87</v>
      </c>
      <c r="O92" s="15" t="s">
        <v>258</v>
      </c>
      <c r="P92" s="15" t="s">
        <v>283</v>
      </c>
      <c r="Q92" s="15" t="s">
        <v>175</v>
      </c>
      <c r="R92" s="13" t="s">
        <v>176</v>
      </c>
      <c r="S92" s="13" t="s">
        <v>92</v>
      </c>
      <c r="T92" s="13" t="s">
        <v>93</v>
      </c>
      <c r="U92" s="14">
        <v>40725</v>
      </c>
      <c r="V92" s="14">
        <v>40725</v>
      </c>
      <c r="W92" s="15" t="s">
        <v>295</v>
      </c>
      <c r="X92" s="13" t="s">
        <v>285</v>
      </c>
      <c r="Y92" s="15" t="str">
        <f>VLOOKUP(X92,'Axe 2 Règles de gestion'!$D$2:$F$84,3, FALSE)</f>
        <v>L'administration informe annuellement l'agent des droits épargnés et consommés.</v>
      </c>
      <c r="Z92" s="13" t="s">
        <v>296</v>
      </c>
      <c r="AA92" s="15" t="str">
        <f>VLOOKUP(Z92,'Axe 2 Règles de gestion'!$D$2:$F$84,3, FALSE)</f>
        <v>Le gestionnaire, avant la date prévue du licenciement ou de la fin de contrat, dans un délai minimal dont la durée est égale à la somme des jours épargnés plus un mois, informe l'agent de son droit à utiliser les jours épargnés.</v>
      </c>
      <c r="AB92" s="13" t="s">
        <v>291</v>
      </c>
      <c r="AC92" s="15" t="str">
        <f>VLOOKUP(AB92,'Axe 2 Règles de gestion'!$D$2:$F$84,3, FALSE)</f>
        <v>Si l'agent cesse définitivement ses fonctions, le solde éventuel de l'indemnisation dû à sa cessation de fonctions est versé à cette date.</v>
      </c>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t="s">
        <v>293</v>
      </c>
      <c r="BC92" s="15" t="str">
        <f>VLOOKUP(BB92,'Axe 2 Règles de gestion'!$D$2:$F$84,3, FALSE)</f>
        <v>Pour les opérations d'inventaires, les champs "Année de référence" et "Nombre de jours demandés restant à payer (à la date d'observation)" doivent être saisis.</v>
      </c>
      <c r="BD92" s="13"/>
      <c r="BE92" s="15"/>
      <c r="BF92" s="13"/>
      <c r="BG92" s="15"/>
      <c r="BH92" s="13"/>
      <c r="BI92" s="15"/>
      <c r="BJ92" s="13"/>
      <c r="BK92" s="15"/>
      <c r="BL92" s="13"/>
      <c r="BM92" s="15"/>
      <c r="BN92" s="13"/>
      <c r="BO92" s="15"/>
      <c r="BP92" s="13"/>
      <c r="BQ92" s="15"/>
      <c r="BR92" s="13"/>
      <c r="BS92" s="15"/>
      <c r="BT92" s="13"/>
      <c r="BU92" s="15"/>
      <c r="BV92" s="13"/>
      <c r="BW92" s="15"/>
    </row>
    <row r="93" spans="1:75" ht="28.55" x14ac:dyDescent="0.25">
      <c r="A93" s="13" t="s">
        <v>76</v>
      </c>
      <c r="B93" s="13" t="s">
        <v>77</v>
      </c>
      <c r="C93" s="14">
        <v>45628.72152777778</v>
      </c>
      <c r="D93" s="13" t="s">
        <v>78</v>
      </c>
      <c r="E93" s="15" t="s">
        <v>79</v>
      </c>
      <c r="F93" s="13" t="s">
        <v>80</v>
      </c>
      <c r="G93" s="15" t="s">
        <v>81</v>
      </c>
      <c r="H93" s="13" t="s">
        <v>280</v>
      </c>
      <c r="I93" s="15" t="s">
        <v>281</v>
      </c>
      <c r="J93" s="15" t="s">
        <v>83</v>
      </c>
      <c r="K93" s="15" t="s">
        <v>84</v>
      </c>
      <c r="L93" s="13" t="s">
        <v>282</v>
      </c>
      <c r="M93" s="15" t="s">
        <v>281</v>
      </c>
      <c r="N93" s="14" t="s">
        <v>87</v>
      </c>
      <c r="O93" s="15" t="s">
        <v>258</v>
      </c>
      <c r="P93" s="15" t="s">
        <v>283</v>
      </c>
      <c r="Q93" s="15" t="s">
        <v>187</v>
      </c>
      <c r="R93" s="13" t="s">
        <v>188</v>
      </c>
      <c r="S93" s="13" t="s">
        <v>92</v>
      </c>
      <c r="T93" s="13" t="s">
        <v>174</v>
      </c>
      <c r="U93" s="14">
        <v>40725</v>
      </c>
      <c r="V93" s="14">
        <v>40725</v>
      </c>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row>
    <row r="94" spans="1:75" ht="28.55" x14ac:dyDescent="0.25">
      <c r="A94" s="13" t="s">
        <v>76</v>
      </c>
      <c r="B94" s="13" t="s">
        <v>77</v>
      </c>
      <c r="C94" s="14">
        <v>45628.720833333333</v>
      </c>
      <c r="D94" s="13" t="s">
        <v>78</v>
      </c>
      <c r="E94" s="15" t="s">
        <v>79</v>
      </c>
      <c r="F94" s="13" t="s">
        <v>80</v>
      </c>
      <c r="G94" s="15" t="s">
        <v>81</v>
      </c>
      <c r="H94" s="13" t="s">
        <v>280</v>
      </c>
      <c r="I94" s="15" t="s">
        <v>281</v>
      </c>
      <c r="J94" s="15" t="s">
        <v>83</v>
      </c>
      <c r="K94" s="15" t="s">
        <v>84</v>
      </c>
      <c r="L94" s="13" t="s">
        <v>282</v>
      </c>
      <c r="M94" s="15" t="s">
        <v>281</v>
      </c>
      <c r="N94" s="14" t="s">
        <v>87</v>
      </c>
      <c r="O94" s="15" t="s">
        <v>258</v>
      </c>
      <c r="P94" s="15" t="s">
        <v>283</v>
      </c>
      <c r="Q94" s="15" t="s">
        <v>189</v>
      </c>
      <c r="R94" s="13" t="s">
        <v>190</v>
      </c>
      <c r="S94" s="13" t="s">
        <v>92</v>
      </c>
      <c r="T94" s="13" t="s">
        <v>174</v>
      </c>
      <c r="U94" s="14">
        <v>40725</v>
      </c>
      <c r="V94" s="14">
        <v>40725</v>
      </c>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row>
    <row r="95" spans="1:75" ht="28.55" x14ac:dyDescent="0.25">
      <c r="A95" s="13" t="s">
        <v>76</v>
      </c>
      <c r="B95" s="13" t="s">
        <v>77</v>
      </c>
      <c r="C95" s="14">
        <v>45628.72152777778</v>
      </c>
      <c r="D95" s="13" t="s">
        <v>78</v>
      </c>
      <c r="E95" s="15" t="s">
        <v>79</v>
      </c>
      <c r="F95" s="13" t="s">
        <v>80</v>
      </c>
      <c r="G95" s="15" t="s">
        <v>81</v>
      </c>
      <c r="H95" s="13" t="s">
        <v>280</v>
      </c>
      <c r="I95" s="15" t="s">
        <v>281</v>
      </c>
      <c r="J95" s="15" t="s">
        <v>83</v>
      </c>
      <c r="K95" s="15" t="s">
        <v>84</v>
      </c>
      <c r="L95" s="13" t="s">
        <v>282</v>
      </c>
      <c r="M95" s="15" t="s">
        <v>281</v>
      </c>
      <c r="N95" s="14" t="s">
        <v>87</v>
      </c>
      <c r="O95" s="15" t="s">
        <v>258</v>
      </c>
      <c r="P95" s="15" t="s">
        <v>283</v>
      </c>
      <c r="Q95" s="15" t="s">
        <v>191</v>
      </c>
      <c r="R95" s="13" t="s">
        <v>192</v>
      </c>
      <c r="S95" s="13" t="s">
        <v>193</v>
      </c>
      <c r="T95" s="13" t="s">
        <v>174</v>
      </c>
      <c r="U95" s="14">
        <v>40725</v>
      </c>
      <c r="V95" s="14">
        <v>40725</v>
      </c>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row>
    <row r="96" spans="1:75" ht="28.55" x14ac:dyDescent="0.25">
      <c r="A96" s="13" t="s">
        <v>76</v>
      </c>
      <c r="B96" s="13" t="s">
        <v>77</v>
      </c>
      <c r="C96" s="14">
        <v>45628.722222222219</v>
      </c>
      <c r="D96" s="13" t="s">
        <v>78</v>
      </c>
      <c r="E96" s="15" t="s">
        <v>79</v>
      </c>
      <c r="F96" s="13" t="s">
        <v>80</v>
      </c>
      <c r="G96" s="15" t="s">
        <v>81</v>
      </c>
      <c r="H96" s="13" t="s">
        <v>280</v>
      </c>
      <c r="I96" s="15" t="s">
        <v>281</v>
      </c>
      <c r="J96" s="15" t="s">
        <v>83</v>
      </c>
      <c r="K96" s="15" t="s">
        <v>84</v>
      </c>
      <c r="L96" s="13" t="s">
        <v>282</v>
      </c>
      <c r="M96" s="15" t="s">
        <v>281</v>
      </c>
      <c r="N96" s="14" t="s">
        <v>87</v>
      </c>
      <c r="O96" s="15" t="s">
        <v>258</v>
      </c>
      <c r="P96" s="15" t="s">
        <v>283</v>
      </c>
      <c r="Q96" s="15" t="s">
        <v>194</v>
      </c>
      <c r="R96" s="13" t="s">
        <v>195</v>
      </c>
      <c r="S96" s="13" t="s">
        <v>193</v>
      </c>
      <c r="T96" s="13" t="s">
        <v>174</v>
      </c>
      <c r="U96" s="14">
        <v>40725</v>
      </c>
      <c r="V96" s="14">
        <v>40725</v>
      </c>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row>
    <row r="97" spans="1:75" ht="28.55" x14ac:dyDescent="0.25">
      <c r="A97" s="13" t="s">
        <v>76</v>
      </c>
      <c r="B97" s="13" t="s">
        <v>77</v>
      </c>
      <c r="C97" s="14">
        <v>45628.722222222219</v>
      </c>
      <c r="D97" s="13" t="s">
        <v>78</v>
      </c>
      <c r="E97" s="15" t="s">
        <v>79</v>
      </c>
      <c r="F97" s="13" t="s">
        <v>80</v>
      </c>
      <c r="G97" s="15" t="s">
        <v>81</v>
      </c>
      <c r="H97" s="13" t="s">
        <v>280</v>
      </c>
      <c r="I97" s="15" t="s">
        <v>281</v>
      </c>
      <c r="J97" s="15" t="s">
        <v>83</v>
      </c>
      <c r="K97" s="15" t="s">
        <v>84</v>
      </c>
      <c r="L97" s="13" t="s">
        <v>282</v>
      </c>
      <c r="M97" s="15" t="s">
        <v>281</v>
      </c>
      <c r="N97" s="14" t="s">
        <v>87</v>
      </c>
      <c r="O97" s="15" t="s">
        <v>258</v>
      </c>
      <c r="P97" s="15" t="s">
        <v>283</v>
      </c>
      <c r="Q97" s="15" t="s">
        <v>196</v>
      </c>
      <c r="R97" s="13" t="s">
        <v>197</v>
      </c>
      <c r="S97" s="13" t="s">
        <v>193</v>
      </c>
      <c r="T97" s="13" t="s">
        <v>174</v>
      </c>
      <c r="U97" s="14">
        <v>40725</v>
      </c>
      <c r="V97" s="14">
        <v>40725</v>
      </c>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row>
    <row r="98" spans="1:75" ht="99.85" x14ac:dyDescent="0.25">
      <c r="A98" s="13" t="s">
        <v>142</v>
      </c>
      <c r="B98" s="13" t="s">
        <v>77</v>
      </c>
      <c r="C98" s="14">
        <v>43152.5</v>
      </c>
      <c r="D98" s="13" t="s">
        <v>78</v>
      </c>
      <c r="E98" s="15" t="s">
        <v>79</v>
      </c>
      <c r="F98" s="13" t="s">
        <v>80</v>
      </c>
      <c r="G98" s="15" t="s">
        <v>81</v>
      </c>
      <c r="H98" s="13" t="s">
        <v>280</v>
      </c>
      <c r="I98" s="15" t="s">
        <v>281</v>
      </c>
      <c r="J98" s="15" t="s">
        <v>83</v>
      </c>
      <c r="K98" s="15" t="s">
        <v>84</v>
      </c>
      <c r="L98" s="13" t="s">
        <v>282</v>
      </c>
      <c r="M98" s="15" t="s">
        <v>281</v>
      </c>
      <c r="N98" s="14" t="s">
        <v>87</v>
      </c>
      <c r="O98" s="15" t="s">
        <v>258</v>
      </c>
      <c r="P98" s="15" t="s">
        <v>283</v>
      </c>
      <c r="Q98" s="15" t="s">
        <v>198</v>
      </c>
      <c r="R98" s="13" t="s">
        <v>199</v>
      </c>
      <c r="S98" s="13" t="s">
        <v>193</v>
      </c>
      <c r="T98" s="13" t="s">
        <v>93</v>
      </c>
      <c r="U98" s="14">
        <v>40725</v>
      </c>
      <c r="V98" s="14"/>
      <c r="W98" s="15" t="s">
        <v>298</v>
      </c>
      <c r="X98" s="13" t="s">
        <v>299</v>
      </c>
      <c r="Y98" s="15" t="str">
        <f>VLOOKUP(X98,'Axe 2 Règles de gestion'!$D$2:$F$84,3, FALSE)</f>
        <v>L'administration informe annuellement l'agent des droits épargnés et consommés.</v>
      </c>
      <c r="Z98" s="13" t="s">
        <v>300</v>
      </c>
      <c r="AA98" s="15" t="str">
        <f>VLOOKUP(Z98,'Axe 2 Règles de gestion'!$D$2:$F$84,3, FALSE)</f>
        <v>L'agent est informé de son droit à utiliser les congés accumulés à la date de clôture du compte dans un délai au moins égal à la somme de ces congés plus 1 mois.</v>
      </c>
      <c r="AB98" s="13" t="s">
        <v>302</v>
      </c>
      <c r="AC98" s="15" t="str">
        <f>VLOOKUP(AB98,'Axe 2 Règles de gestion'!$D$2:$F$84,3, FALSE)</f>
        <v>Le service gestionnaire informe l'agent que si le nombre de jours épargnés est d'au moins 40, alors les droits à congés doivent être exercés dans un délai de 10 ans à compter de cette notification.</v>
      </c>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t="s">
        <v>293</v>
      </c>
      <c r="BC98" s="15" t="str">
        <f>VLOOKUP(BB98,'Axe 2 Règles de gestion'!$D$2:$F$84,3, FALSE)</f>
        <v>Pour les opérations d'inventaires, les champs "Année de référence" et "Nombre de jours demandés restant à payer (à la date d'observation)" doivent être saisis.</v>
      </c>
      <c r="BD98" s="13"/>
      <c r="BE98" s="15"/>
      <c r="BF98" s="13"/>
      <c r="BG98" s="15"/>
      <c r="BH98" s="13"/>
      <c r="BI98" s="15"/>
      <c r="BJ98" s="13"/>
      <c r="BK98" s="15"/>
      <c r="BL98" s="13"/>
      <c r="BM98" s="15"/>
      <c r="BN98" s="13"/>
      <c r="BO98" s="15"/>
      <c r="BP98" s="13"/>
      <c r="BQ98" s="15"/>
      <c r="BR98" s="13"/>
      <c r="BS98" s="15"/>
      <c r="BT98" s="13"/>
      <c r="BU98" s="15"/>
      <c r="BV98" s="13"/>
      <c r="BW98" s="15"/>
    </row>
    <row r="99" spans="1:75" ht="114.15" x14ac:dyDescent="0.25">
      <c r="A99" s="13" t="s">
        <v>142</v>
      </c>
      <c r="B99" s="13" t="s">
        <v>77</v>
      </c>
      <c r="C99" s="14">
        <v>43152.5</v>
      </c>
      <c r="D99" s="13" t="s">
        <v>78</v>
      </c>
      <c r="E99" s="15" t="s">
        <v>79</v>
      </c>
      <c r="F99" s="13" t="s">
        <v>80</v>
      </c>
      <c r="G99" s="15" t="s">
        <v>81</v>
      </c>
      <c r="H99" s="13" t="s">
        <v>280</v>
      </c>
      <c r="I99" s="15" t="s">
        <v>281</v>
      </c>
      <c r="J99" s="15" t="s">
        <v>83</v>
      </c>
      <c r="K99" s="15" t="s">
        <v>84</v>
      </c>
      <c r="L99" s="13" t="s">
        <v>282</v>
      </c>
      <c r="M99" s="15" t="s">
        <v>281</v>
      </c>
      <c r="N99" s="14" t="s">
        <v>87</v>
      </c>
      <c r="O99" s="15" t="s">
        <v>258</v>
      </c>
      <c r="P99" s="15" t="s">
        <v>283</v>
      </c>
      <c r="Q99" s="15" t="s">
        <v>226</v>
      </c>
      <c r="R99" s="13" t="s">
        <v>227</v>
      </c>
      <c r="S99" s="13" t="s">
        <v>193</v>
      </c>
      <c r="T99" s="13" t="s">
        <v>93</v>
      </c>
      <c r="U99" s="14">
        <v>40725</v>
      </c>
      <c r="V99" s="14"/>
      <c r="W99" s="15" t="s">
        <v>295</v>
      </c>
      <c r="X99" s="13" t="s">
        <v>285</v>
      </c>
      <c r="Y99" s="15" t="str">
        <f>VLOOKUP(X99,'Axe 2 Règles de gestion'!$D$2:$F$84,3, FALSE)</f>
        <v>L'administration informe annuellement l'agent des droits épargnés et consommés.</v>
      </c>
      <c r="Z99" s="13" t="s">
        <v>296</v>
      </c>
      <c r="AA99" s="15" t="str">
        <f>VLOOKUP(Z99,'Axe 2 Règles de gestion'!$D$2:$F$84,3, FALSE)</f>
        <v>Le gestionnaire, avant la date prévue du licenciement ou de la fin de contrat, dans un délai minimal dont la durée est égale à la somme des jours épargnés plus un mois, informe l'agent de son droit à utiliser les jours épargnés.</v>
      </c>
      <c r="AB99" s="13" t="s">
        <v>291</v>
      </c>
      <c r="AC99" s="15" t="str">
        <f>VLOOKUP(AB99,'Axe 2 Règles de gestion'!$D$2:$F$84,3, FALSE)</f>
        <v>Si l'agent cesse définitivement ses fonctions, le solde éventuel de l'indemnisation dû à sa cessation de fonctions est versé à cette date.</v>
      </c>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t="s">
        <v>293</v>
      </c>
      <c r="BC99" s="15" t="str">
        <f>VLOOKUP(BB99,'Axe 2 Règles de gestion'!$D$2:$F$84,3, FALSE)</f>
        <v>Pour les opérations d'inventaires, les champs "Année de référence" et "Nombre de jours demandés restant à payer (à la date d'observation)" doivent être saisis.</v>
      </c>
      <c r="BD99" s="13"/>
      <c r="BE99" s="15"/>
      <c r="BF99" s="13"/>
      <c r="BG99" s="15"/>
      <c r="BH99" s="13"/>
      <c r="BI99" s="15"/>
      <c r="BJ99" s="13"/>
      <c r="BK99" s="15"/>
      <c r="BL99" s="13"/>
      <c r="BM99" s="15"/>
      <c r="BN99" s="13"/>
      <c r="BO99" s="15"/>
      <c r="BP99" s="13"/>
      <c r="BQ99" s="15"/>
      <c r="BR99" s="13"/>
      <c r="BS99" s="15"/>
      <c r="BT99" s="13"/>
      <c r="BU99" s="15"/>
      <c r="BV99" s="13"/>
      <c r="BW99" s="15"/>
    </row>
    <row r="100" spans="1:75" ht="114.15" x14ac:dyDescent="0.25">
      <c r="A100" s="13" t="s">
        <v>142</v>
      </c>
      <c r="B100" s="13" t="s">
        <v>77</v>
      </c>
      <c r="C100" s="14">
        <v>43152.5</v>
      </c>
      <c r="D100" s="13" t="s">
        <v>78</v>
      </c>
      <c r="E100" s="15" t="s">
        <v>79</v>
      </c>
      <c r="F100" s="13" t="s">
        <v>80</v>
      </c>
      <c r="G100" s="15" t="s">
        <v>81</v>
      </c>
      <c r="H100" s="13" t="s">
        <v>280</v>
      </c>
      <c r="I100" s="15" t="s">
        <v>281</v>
      </c>
      <c r="J100" s="15" t="s">
        <v>83</v>
      </c>
      <c r="K100" s="15" t="s">
        <v>84</v>
      </c>
      <c r="L100" s="13" t="s">
        <v>282</v>
      </c>
      <c r="M100" s="15" t="s">
        <v>281</v>
      </c>
      <c r="N100" s="14" t="s">
        <v>87</v>
      </c>
      <c r="O100" s="15" t="s">
        <v>258</v>
      </c>
      <c r="P100" s="15" t="s">
        <v>283</v>
      </c>
      <c r="Q100" s="15" t="s">
        <v>230</v>
      </c>
      <c r="R100" s="13" t="s">
        <v>231</v>
      </c>
      <c r="S100" s="13" t="s">
        <v>193</v>
      </c>
      <c r="T100" s="13" t="s">
        <v>93</v>
      </c>
      <c r="U100" s="14">
        <v>40725</v>
      </c>
      <c r="V100" s="14"/>
      <c r="W100" s="15" t="s">
        <v>295</v>
      </c>
      <c r="X100" s="13" t="s">
        <v>285</v>
      </c>
      <c r="Y100" s="15" t="str">
        <f>VLOOKUP(X100,'Axe 2 Règles de gestion'!$D$2:$F$84,3, FALSE)</f>
        <v>L'administration informe annuellement l'agent des droits épargnés et consommés.</v>
      </c>
      <c r="Z100" s="13" t="s">
        <v>296</v>
      </c>
      <c r="AA100" s="15" t="str">
        <f>VLOOKUP(Z100,'Axe 2 Règles de gestion'!$D$2:$F$84,3, FALSE)</f>
        <v>Le gestionnaire, avant la date prévue du licenciement ou de la fin de contrat, dans un délai minimal dont la durée est égale à la somme des jours épargnés plus un mois, informe l'agent de son droit à utiliser les jours épargnés.</v>
      </c>
      <c r="AB100" s="13" t="s">
        <v>291</v>
      </c>
      <c r="AC100" s="15" t="str">
        <f>VLOOKUP(AB100,'Axe 2 Règles de gestion'!$D$2:$F$84,3, FALSE)</f>
        <v>Si l'agent cesse définitivement ses fonctions, le solde éventuel de l'indemnisation dû à sa cessation de fonctions est versé à cette date.</v>
      </c>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t="s">
        <v>293</v>
      </c>
      <c r="BC100" s="15" t="str">
        <f>VLOOKUP(BB100,'Axe 2 Règles de gestion'!$D$2:$F$84,3, FALSE)</f>
        <v>Pour les opérations d'inventaires, les champs "Année de référence" et "Nombre de jours demandés restant à payer (à la date d'observation)" doivent être saisis.</v>
      </c>
      <c r="BD100" s="13"/>
      <c r="BE100" s="15"/>
      <c r="BF100" s="13"/>
      <c r="BG100" s="15"/>
      <c r="BH100" s="13"/>
      <c r="BI100" s="15"/>
      <c r="BJ100" s="13"/>
      <c r="BK100" s="15"/>
      <c r="BL100" s="13"/>
      <c r="BM100" s="15"/>
      <c r="BN100" s="13"/>
      <c r="BO100" s="15"/>
      <c r="BP100" s="13"/>
      <c r="BQ100" s="15"/>
      <c r="BR100" s="13"/>
      <c r="BS100" s="15"/>
      <c r="BT100" s="13"/>
      <c r="BU100" s="15"/>
      <c r="BV100" s="13"/>
      <c r="BW100" s="15"/>
    </row>
    <row r="101" spans="1:75" ht="114.15" x14ac:dyDescent="0.25">
      <c r="A101" s="13" t="s">
        <v>232</v>
      </c>
      <c r="B101" s="13" t="s">
        <v>77</v>
      </c>
      <c r="C101" s="14">
        <v>45994.434027777781</v>
      </c>
      <c r="D101" s="13" t="s">
        <v>78</v>
      </c>
      <c r="E101" s="15" t="s">
        <v>79</v>
      </c>
      <c r="F101" s="13" t="s">
        <v>80</v>
      </c>
      <c r="G101" s="15" t="s">
        <v>81</v>
      </c>
      <c r="H101" s="13" t="s">
        <v>280</v>
      </c>
      <c r="I101" s="15" t="s">
        <v>281</v>
      </c>
      <c r="J101" s="15" t="s">
        <v>83</v>
      </c>
      <c r="K101" s="15" t="s">
        <v>84</v>
      </c>
      <c r="L101" s="13" t="s">
        <v>282</v>
      </c>
      <c r="M101" s="15" t="s">
        <v>281</v>
      </c>
      <c r="N101" s="14" t="s">
        <v>87</v>
      </c>
      <c r="O101" s="15" t="s">
        <v>258</v>
      </c>
      <c r="P101" s="15" t="s">
        <v>283</v>
      </c>
      <c r="Q101" s="15" t="s">
        <v>233</v>
      </c>
      <c r="R101" s="13" t="s">
        <v>234</v>
      </c>
      <c r="S101" s="13" t="s">
        <v>193</v>
      </c>
      <c r="T101" s="13" t="s">
        <v>93</v>
      </c>
      <c r="U101" s="14">
        <v>40725</v>
      </c>
      <c r="V101" s="14">
        <v>45900</v>
      </c>
      <c r="W101" s="15" t="s">
        <v>295</v>
      </c>
      <c r="X101" s="13" t="s">
        <v>285</v>
      </c>
      <c r="Y101" s="15" t="str">
        <f>VLOOKUP(X101,'Axe 2 Règles de gestion'!$D$2:$F$84,3, FALSE)</f>
        <v>L'administration informe annuellement l'agent des droits épargnés et consommés.</v>
      </c>
      <c r="Z101" s="13" t="s">
        <v>296</v>
      </c>
      <c r="AA101" s="15" t="str">
        <f>VLOOKUP(Z101,'Axe 2 Règles de gestion'!$D$2:$F$84,3, FALSE)</f>
        <v>Le gestionnaire, avant la date prévue du licenciement ou de la fin de contrat, dans un délai minimal dont la durée est égale à la somme des jours épargnés plus un mois, informe l'agent de son droit à utiliser les jours épargnés.</v>
      </c>
      <c r="AB101" s="13" t="s">
        <v>291</v>
      </c>
      <c r="AC101" s="15" t="str">
        <f>VLOOKUP(AB101,'Axe 2 Règles de gestion'!$D$2:$F$84,3, FALSE)</f>
        <v>Si l'agent cesse définitivement ses fonctions, le solde éventuel de l'indemnisation dû à sa cessation de fonctions est versé à cette date.</v>
      </c>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t="s">
        <v>293</v>
      </c>
      <c r="BC101" s="15" t="str">
        <f>VLOOKUP(BB101,'Axe 2 Règles de gestion'!$D$2:$F$84,3, FALSE)</f>
        <v>Pour les opérations d'inventaires, les champs "Année de référence" et "Nombre de jours demandés restant à payer (à la date d'observation)" doivent être saisis.</v>
      </c>
      <c r="BD101" s="13"/>
      <c r="BE101" s="15"/>
      <c r="BF101" s="13"/>
      <c r="BG101" s="15"/>
      <c r="BH101" s="13"/>
      <c r="BI101" s="15"/>
      <c r="BJ101" s="13"/>
      <c r="BK101" s="15"/>
      <c r="BL101" s="13"/>
      <c r="BM101" s="15"/>
      <c r="BN101" s="13"/>
      <c r="BO101" s="15"/>
      <c r="BP101" s="13"/>
      <c r="BQ101" s="15"/>
      <c r="BR101" s="13"/>
      <c r="BS101" s="15"/>
      <c r="BT101" s="13"/>
      <c r="BU101" s="15"/>
      <c r="BV101" s="13" t="s">
        <v>235</v>
      </c>
      <c r="BW101" s="15"/>
    </row>
    <row r="102" spans="1:75" ht="28.55" x14ac:dyDescent="0.25">
      <c r="A102" s="13" t="s">
        <v>76</v>
      </c>
      <c r="B102" s="13" t="s">
        <v>77</v>
      </c>
      <c r="C102" s="14">
        <v>45628.722222222219</v>
      </c>
      <c r="D102" s="13" t="s">
        <v>78</v>
      </c>
      <c r="E102" s="15" t="s">
        <v>79</v>
      </c>
      <c r="F102" s="13" t="s">
        <v>80</v>
      </c>
      <c r="G102" s="15" t="s">
        <v>81</v>
      </c>
      <c r="H102" s="13" t="s">
        <v>280</v>
      </c>
      <c r="I102" s="15" t="s">
        <v>281</v>
      </c>
      <c r="J102" s="15" t="s">
        <v>83</v>
      </c>
      <c r="K102" s="15" t="s">
        <v>84</v>
      </c>
      <c r="L102" s="13" t="s">
        <v>282</v>
      </c>
      <c r="M102" s="15" t="s">
        <v>281</v>
      </c>
      <c r="N102" s="14" t="s">
        <v>87</v>
      </c>
      <c r="O102" s="15" t="s">
        <v>258</v>
      </c>
      <c r="P102" s="15" t="s">
        <v>283</v>
      </c>
      <c r="Q102" s="15" t="s">
        <v>236</v>
      </c>
      <c r="R102" s="13" t="s">
        <v>237</v>
      </c>
      <c r="S102" s="13" t="s">
        <v>193</v>
      </c>
      <c r="T102" s="13" t="s">
        <v>174</v>
      </c>
      <c r="U102" s="14">
        <v>40725</v>
      </c>
      <c r="V102" s="14">
        <v>40725</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row>
    <row r="103" spans="1:75" ht="28.55" x14ac:dyDescent="0.25">
      <c r="A103" s="13" t="s">
        <v>76</v>
      </c>
      <c r="B103" s="13" t="s">
        <v>77</v>
      </c>
      <c r="C103" s="14">
        <v>45628.722916666666</v>
      </c>
      <c r="D103" s="13" t="s">
        <v>78</v>
      </c>
      <c r="E103" s="15" t="s">
        <v>79</v>
      </c>
      <c r="F103" s="13" t="s">
        <v>80</v>
      </c>
      <c r="G103" s="15" t="s">
        <v>81</v>
      </c>
      <c r="H103" s="13" t="s">
        <v>280</v>
      </c>
      <c r="I103" s="15" t="s">
        <v>281</v>
      </c>
      <c r="J103" s="15" t="s">
        <v>83</v>
      </c>
      <c r="K103" s="15" t="s">
        <v>84</v>
      </c>
      <c r="L103" s="13" t="s">
        <v>282</v>
      </c>
      <c r="M103" s="15" t="s">
        <v>281</v>
      </c>
      <c r="N103" s="14" t="s">
        <v>87</v>
      </c>
      <c r="O103" s="15" t="s">
        <v>258</v>
      </c>
      <c r="P103" s="15" t="s">
        <v>283</v>
      </c>
      <c r="Q103" s="15" t="s">
        <v>238</v>
      </c>
      <c r="R103" s="13" t="s">
        <v>239</v>
      </c>
      <c r="S103" s="13" t="s">
        <v>193</v>
      </c>
      <c r="T103" s="13" t="s">
        <v>174</v>
      </c>
      <c r="U103" s="14">
        <v>40725</v>
      </c>
      <c r="V103" s="14">
        <v>40725</v>
      </c>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row>
    <row r="104" spans="1:75" x14ac:dyDescent="0.25">
      <c r="C104" s="16"/>
      <c r="N104" s="16"/>
      <c r="U104" s="16"/>
      <c r="V104" s="16"/>
    </row>
    <row r="105" spans="1:75" x14ac:dyDescent="0.25">
      <c r="C105" s="16"/>
      <c r="N105" s="16"/>
      <c r="U105" s="16"/>
      <c r="V105" s="16"/>
    </row>
    <row r="106" spans="1:75" x14ac:dyDescent="0.25">
      <c r="C106" s="16"/>
      <c r="N106" s="16"/>
      <c r="U106" s="16"/>
      <c r="V106" s="16"/>
    </row>
    <row r="107" spans="1:75" x14ac:dyDescent="0.25">
      <c r="C107" s="16"/>
      <c r="N107" s="16"/>
      <c r="U107" s="16"/>
      <c r="V107" s="16"/>
    </row>
    <row r="108" spans="1:75" x14ac:dyDescent="0.25">
      <c r="C108" s="16"/>
      <c r="N108" s="16"/>
      <c r="U108" s="16"/>
      <c r="V108" s="16"/>
    </row>
    <row r="109" spans="1:75" x14ac:dyDescent="0.25">
      <c r="C109" s="16"/>
      <c r="N109" s="16"/>
      <c r="U109" s="16"/>
      <c r="V109" s="16"/>
    </row>
    <row r="110" spans="1:75" x14ac:dyDescent="0.25">
      <c r="C110" s="16"/>
      <c r="N110" s="16"/>
      <c r="U110" s="16"/>
      <c r="V110" s="16"/>
    </row>
    <row r="111" spans="1:75" x14ac:dyDescent="0.25">
      <c r="C111" s="16"/>
      <c r="N111" s="16"/>
      <c r="U111" s="16"/>
      <c r="V111" s="16"/>
    </row>
    <row r="112" spans="1:75" x14ac:dyDescent="0.25">
      <c r="C112" s="16"/>
      <c r="N112" s="16"/>
      <c r="U112" s="16"/>
      <c r="V112" s="16"/>
    </row>
    <row r="113" spans="3:22" x14ac:dyDescent="0.25">
      <c r="C113" s="16"/>
      <c r="N113" s="16"/>
      <c r="U113" s="16"/>
      <c r="V113" s="16"/>
    </row>
    <row r="114" spans="3:22" x14ac:dyDescent="0.25">
      <c r="C114" s="16"/>
      <c r="N114" s="16"/>
      <c r="U114" s="16"/>
      <c r="V114" s="16"/>
    </row>
    <row r="115" spans="3:22" x14ac:dyDescent="0.25">
      <c r="C115" s="16"/>
      <c r="N115" s="16"/>
      <c r="U115" s="16"/>
      <c r="V115" s="16"/>
    </row>
    <row r="116" spans="3:22" x14ac:dyDescent="0.25">
      <c r="C116" s="16"/>
      <c r="N116" s="16"/>
      <c r="U116" s="16"/>
      <c r="V116" s="16"/>
    </row>
    <row r="117" spans="3:22" x14ac:dyDescent="0.25">
      <c r="C117" s="16"/>
      <c r="N117" s="16"/>
      <c r="U117" s="16"/>
      <c r="V117" s="16"/>
    </row>
    <row r="118" spans="3:22" x14ac:dyDescent="0.25">
      <c r="C118" s="16"/>
      <c r="N118" s="16"/>
      <c r="U118" s="16"/>
      <c r="V118" s="16"/>
    </row>
    <row r="119" spans="3:22" x14ac:dyDescent="0.25">
      <c r="C119" s="16"/>
      <c r="N119" s="16"/>
      <c r="U119" s="16"/>
      <c r="V119" s="16"/>
    </row>
    <row r="120" spans="3:22" x14ac:dyDescent="0.25">
      <c r="C120" s="16"/>
      <c r="N120" s="16"/>
      <c r="U120" s="16"/>
      <c r="V120" s="16"/>
    </row>
    <row r="121" spans="3:22" x14ac:dyDescent="0.25">
      <c r="C121" s="16"/>
      <c r="N121" s="16"/>
      <c r="U121" s="16"/>
      <c r="V121" s="16"/>
    </row>
    <row r="122" spans="3:22" x14ac:dyDescent="0.25">
      <c r="C122" s="16"/>
      <c r="N122" s="16"/>
      <c r="U122" s="16"/>
      <c r="V122" s="16"/>
    </row>
    <row r="123" spans="3:22" x14ac:dyDescent="0.25">
      <c r="C123" s="16"/>
      <c r="N123" s="16"/>
      <c r="U123" s="16"/>
      <c r="V123" s="16"/>
    </row>
    <row r="124" spans="3:22" x14ac:dyDescent="0.25">
      <c r="C124" s="16"/>
      <c r="N124" s="16"/>
      <c r="U124" s="16"/>
      <c r="V124" s="16"/>
    </row>
    <row r="125" spans="3:22" x14ac:dyDescent="0.25">
      <c r="C125" s="16"/>
      <c r="N125" s="16"/>
      <c r="U125" s="16"/>
      <c r="V125" s="16"/>
    </row>
    <row r="126" spans="3:22" x14ac:dyDescent="0.25">
      <c r="C126" s="16"/>
      <c r="N126" s="16"/>
      <c r="U126" s="16"/>
      <c r="V126" s="16"/>
    </row>
    <row r="127" spans="3:22" x14ac:dyDescent="0.25">
      <c r="C127" s="16"/>
      <c r="N127" s="16"/>
      <c r="U127" s="16"/>
      <c r="V127" s="16"/>
    </row>
    <row r="128" spans="3:22" x14ac:dyDescent="0.25">
      <c r="C128" s="16"/>
      <c r="N128" s="16"/>
      <c r="U128" s="16"/>
      <c r="V128" s="16"/>
    </row>
    <row r="129" spans="3:22" x14ac:dyDescent="0.25">
      <c r="C129" s="16"/>
      <c r="N129" s="16"/>
      <c r="U129" s="16"/>
      <c r="V129" s="16"/>
    </row>
    <row r="130" spans="3:22" x14ac:dyDescent="0.25">
      <c r="C130" s="16"/>
      <c r="N130" s="16"/>
      <c r="U130" s="16"/>
      <c r="V130" s="16"/>
    </row>
    <row r="131" spans="3:22" x14ac:dyDescent="0.25">
      <c r="C131" s="16"/>
      <c r="N131" s="16"/>
      <c r="U131" s="16"/>
      <c r="V131" s="16"/>
    </row>
    <row r="132" spans="3:22" x14ac:dyDescent="0.25">
      <c r="C132" s="16"/>
      <c r="N132" s="16"/>
      <c r="U132" s="16"/>
      <c r="V132" s="16"/>
    </row>
    <row r="133" spans="3:22" x14ac:dyDescent="0.25">
      <c r="C133" s="16"/>
      <c r="N133" s="16"/>
      <c r="U133" s="16"/>
      <c r="V133" s="16"/>
    </row>
    <row r="134" spans="3:22" x14ac:dyDescent="0.25">
      <c r="C134" s="16"/>
      <c r="N134" s="16"/>
      <c r="U134" s="16"/>
      <c r="V134" s="16"/>
    </row>
    <row r="135" spans="3:22" x14ac:dyDescent="0.25">
      <c r="C135" s="16"/>
      <c r="N135" s="16"/>
      <c r="U135" s="16"/>
      <c r="V135" s="16"/>
    </row>
    <row r="136" spans="3:22" x14ac:dyDescent="0.25">
      <c r="C136" s="16"/>
      <c r="N136" s="16"/>
      <c r="U136" s="16"/>
      <c r="V136" s="16"/>
    </row>
    <row r="137" spans="3:22" x14ac:dyDescent="0.25">
      <c r="C137" s="16"/>
      <c r="N137" s="16"/>
      <c r="U137" s="16"/>
      <c r="V137" s="16"/>
    </row>
    <row r="138" spans="3:22" x14ac:dyDescent="0.25">
      <c r="C138" s="16"/>
      <c r="N138" s="16"/>
      <c r="U138" s="16"/>
      <c r="V138" s="16"/>
    </row>
    <row r="139" spans="3:22" x14ac:dyDescent="0.25">
      <c r="C139" s="16"/>
      <c r="N139" s="16"/>
      <c r="U139" s="16"/>
      <c r="V139" s="16"/>
    </row>
    <row r="140" spans="3:22" x14ac:dyDescent="0.25">
      <c r="C140" s="16"/>
      <c r="N140" s="16"/>
      <c r="U140" s="16"/>
      <c r="V140" s="16"/>
    </row>
    <row r="141" spans="3:22" x14ac:dyDescent="0.25">
      <c r="C141" s="16"/>
      <c r="N141" s="16"/>
      <c r="U141" s="16"/>
      <c r="V141" s="16"/>
    </row>
    <row r="142" spans="3:22" x14ac:dyDescent="0.25">
      <c r="C142" s="16"/>
      <c r="N142" s="16"/>
      <c r="U142" s="16"/>
      <c r="V142" s="16"/>
    </row>
    <row r="143" spans="3:22" x14ac:dyDescent="0.25">
      <c r="C143" s="16"/>
      <c r="N143" s="16"/>
      <c r="U143" s="16"/>
      <c r="V143" s="16"/>
    </row>
    <row r="144" spans="3:22" x14ac:dyDescent="0.25">
      <c r="C144" s="16"/>
      <c r="N144" s="16"/>
      <c r="U144" s="16"/>
      <c r="V144" s="16"/>
    </row>
    <row r="145" spans="3:22" x14ac:dyDescent="0.25">
      <c r="C145" s="16"/>
      <c r="N145" s="16"/>
      <c r="U145" s="16"/>
      <c r="V145" s="16"/>
    </row>
    <row r="146" spans="3:22" x14ac:dyDescent="0.25">
      <c r="C146" s="16"/>
      <c r="N146" s="16"/>
      <c r="U146" s="16"/>
      <c r="V146" s="16"/>
    </row>
    <row r="147" spans="3:22" x14ac:dyDescent="0.25">
      <c r="C147" s="16"/>
      <c r="N147" s="16"/>
      <c r="U147" s="16"/>
      <c r="V147" s="16"/>
    </row>
    <row r="148" spans="3:22" x14ac:dyDescent="0.25">
      <c r="C148" s="16"/>
      <c r="N148" s="16"/>
      <c r="U148" s="16"/>
      <c r="V148" s="16"/>
    </row>
    <row r="149" spans="3:22" x14ac:dyDescent="0.25">
      <c r="C149" s="16"/>
      <c r="N149" s="16"/>
      <c r="U149" s="16"/>
      <c r="V149" s="16"/>
    </row>
    <row r="150" spans="3:22" x14ac:dyDescent="0.25">
      <c r="C150" s="16"/>
      <c r="N150" s="16"/>
      <c r="U150" s="16"/>
      <c r="V150" s="16"/>
    </row>
    <row r="151" spans="3:22" x14ac:dyDescent="0.25">
      <c r="C151" s="16"/>
      <c r="N151" s="16"/>
      <c r="U151" s="16"/>
      <c r="V151" s="16"/>
    </row>
    <row r="152" spans="3:22" x14ac:dyDescent="0.25">
      <c r="C152" s="16"/>
      <c r="N152" s="16"/>
      <c r="U152" s="16"/>
      <c r="V152" s="16"/>
    </row>
    <row r="153" spans="3:22" x14ac:dyDescent="0.25">
      <c r="C153" s="16"/>
      <c r="N153" s="16"/>
      <c r="U153" s="16"/>
      <c r="V153" s="16"/>
    </row>
    <row r="154" spans="3:22" x14ac:dyDescent="0.25">
      <c r="C154" s="16"/>
      <c r="N154" s="16"/>
      <c r="U154" s="16"/>
      <c r="V154" s="16"/>
    </row>
    <row r="155" spans="3:22" x14ac:dyDescent="0.25">
      <c r="C155" s="16"/>
      <c r="N155" s="16"/>
      <c r="U155" s="16"/>
      <c r="V155" s="16"/>
    </row>
    <row r="156" spans="3:22" x14ac:dyDescent="0.25">
      <c r="C156" s="16"/>
      <c r="N156" s="16"/>
      <c r="U156" s="16"/>
      <c r="V156" s="16"/>
    </row>
    <row r="157" spans="3:22" x14ac:dyDescent="0.25">
      <c r="C157" s="16"/>
      <c r="N157" s="16"/>
      <c r="U157" s="16"/>
      <c r="V157" s="16"/>
    </row>
    <row r="158" spans="3:22" x14ac:dyDescent="0.25">
      <c r="C158" s="16"/>
      <c r="N158" s="16"/>
      <c r="U158" s="16"/>
      <c r="V158" s="16"/>
    </row>
    <row r="159" spans="3:22" x14ac:dyDescent="0.25">
      <c r="C159" s="16"/>
      <c r="N159" s="16"/>
      <c r="U159" s="16"/>
      <c r="V159" s="16"/>
    </row>
    <row r="160" spans="3:22" x14ac:dyDescent="0.25">
      <c r="C160" s="16"/>
      <c r="N160" s="16"/>
      <c r="U160" s="16"/>
      <c r="V160" s="16"/>
    </row>
    <row r="161" spans="3:22" x14ac:dyDescent="0.25">
      <c r="C161" s="16"/>
      <c r="N161" s="16"/>
      <c r="U161" s="16"/>
      <c r="V161" s="16"/>
    </row>
    <row r="162" spans="3:22" x14ac:dyDescent="0.25">
      <c r="C162" s="16"/>
      <c r="N162" s="16"/>
      <c r="U162" s="16"/>
      <c r="V162" s="16"/>
    </row>
    <row r="163" spans="3:22" x14ac:dyDescent="0.25">
      <c r="C163" s="16"/>
      <c r="N163" s="16"/>
      <c r="U163" s="16"/>
      <c r="V163" s="16"/>
    </row>
    <row r="164" spans="3:22" x14ac:dyDescent="0.25">
      <c r="C164" s="16"/>
      <c r="N164" s="16"/>
      <c r="U164" s="16"/>
      <c r="V164" s="16"/>
    </row>
    <row r="165" spans="3:22" x14ac:dyDescent="0.25">
      <c r="C165" s="16"/>
      <c r="N165" s="16"/>
      <c r="U165" s="16"/>
      <c r="V165" s="16"/>
    </row>
    <row r="166" spans="3:22" x14ac:dyDescent="0.25">
      <c r="C166" s="16"/>
      <c r="N166" s="16"/>
      <c r="U166" s="16"/>
      <c r="V166" s="16"/>
    </row>
    <row r="167" spans="3:22" x14ac:dyDescent="0.25">
      <c r="C167" s="16"/>
      <c r="N167" s="16"/>
      <c r="U167" s="16"/>
      <c r="V167" s="16"/>
    </row>
    <row r="168" spans="3:22" x14ac:dyDescent="0.25">
      <c r="C168" s="16"/>
      <c r="N168" s="16"/>
      <c r="U168" s="16"/>
      <c r="V168" s="16"/>
    </row>
    <row r="169" spans="3:22" x14ac:dyDescent="0.25">
      <c r="C169" s="16"/>
      <c r="N169" s="16"/>
      <c r="U169" s="16"/>
      <c r="V169" s="16"/>
    </row>
    <row r="170" spans="3:22" x14ac:dyDescent="0.25">
      <c r="C170" s="16"/>
      <c r="N170" s="16"/>
      <c r="U170" s="16"/>
      <c r="V170" s="16"/>
    </row>
    <row r="171" spans="3:22" x14ac:dyDescent="0.25">
      <c r="C171" s="16"/>
      <c r="N171" s="16"/>
      <c r="U171" s="16"/>
      <c r="V171" s="16"/>
    </row>
    <row r="172" spans="3:22" x14ac:dyDescent="0.25">
      <c r="C172" s="16"/>
      <c r="N172" s="16"/>
      <c r="U172" s="16"/>
      <c r="V172" s="16"/>
    </row>
    <row r="173" spans="3:22" x14ac:dyDescent="0.25">
      <c r="C173" s="16"/>
      <c r="N173" s="16"/>
      <c r="U173" s="16"/>
      <c r="V173" s="16"/>
    </row>
    <row r="174" spans="3:22" x14ac:dyDescent="0.25">
      <c r="C174" s="16"/>
      <c r="N174" s="16"/>
      <c r="U174" s="16"/>
      <c r="V174" s="16"/>
    </row>
    <row r="175" spans="3:22" x14ac:dyDescent="0.25">
      <c r="C175" s="16"/>
      <c r="N175" s="16"/>
      <c r="U175" s="16"/>
      <c r="V175" s="16"/>
    </row>
    <row r="176" spans="3:22" x14ac:dyDescent="0.25">
      <c r="C176" s="16"/>
      <c r="N176" s="16"/>
      <c r="U176" s="16"/>
      <c r="V176" s="16"/>
    </row>
    <row r="177" spans="3:22" x14ac:dyDescent="0.25">
      <c r="C177" s="16"/>
      <c r="N177" s="16"/>
      <c r="U177" s="16"/>
      <c r="V177" s="16"/>
    </row>
    <row r="178" spans="3:22" x14ac:dyDescent="0.25">
      <c r="C178" s="16"/>
      <c r="N178" s="16"/>
      <c r="U178" s="16"/>
      <c r="V178" s="16"/>
    </row>
    <row r="179" spans="3:22" x14ac:dyDescent="0.25">
      <c r="C179" s="16"/>
      <c r="N179" s="16"/>
      <c r="U179" s="16"/>
      <c r="V179" s="16"/>
    </row>
    <row r="180" spans="3:22" x14ac:dyDescent="0.25">
      <c r="C180" s="16"/>
      <c r="N180" s="16"/>
      <c r="U180" s="16"/>
      <c r="V180" s="16"/>
    </row>
    <row r="181" spans="3:22" x14ac:dyDescent="0.25">
      <c r="C181" s="16"/>
      <c r="N181" s="16"/>
      <c r="U181" s="16"/>
      <c r="V181" s="16"/>
    </row>
    <row r="182" spans="3:22" x14ac:dyDescent="0.25">
      <c r="C182" s="16"/>
      <c r="N182" s="16"/>
      <c r="U182" s="16"/>
      <c r="V182" s="16"/>
    </row>
    <row r="183" spans="3:22" x14ac:dyDescent="0.25">
      <c r="C183" s="16"/>
      <c r="N183" s="16"/>
      <c r="U183" s="16"/>
      <c r="V183" s="16"/>
    </row>
    <row r="184" spans="3:22" x14ac:dyDescent="0.25">
      <c r="C184" s="16"/>
      <c r="N184" s="16"/>
      <c r="U184" s="16"/>
      <c r="V184" s="16"/>
    </row>
    <row r="185" spans="3:22" x14ac:dyDescent="0.25">
      <c r="C185" s="16"/>
      <c r="N185" s="16"/>
      <c r="U185" s="16"/>
      <c r="V185" s="16"/>
    </row>
    <row r="186" spans="3:22" x14ac:dyDescent="0.25">
      <c r="C186" s="16"/>
      <c r="N186" s="16"/>
      <c r="U186" s="16"/>
      <c r="V186" s="16"/>
    </row>
    <row r="187" spans="3:22" x14ac:dyDescent="0.25">
      <c r="C187" s="16"/>
      <c r="N187" s="16"/>
      <c r="U187" s="16"/>
      <c r="V187" s="16"/>
    </row>
    <row r="188" spans="3:22" x14ac:dyDescent="0.25">
      <c r="C188" s="16"/>
      <c r="N188" s="16"/>
      <c r="U188" s="16"/>
      <c r="V188" s="16"/>
    </row>
    <row r="189" spans="3:22" x14ac:dyDescent="0.25">
      <c r="C189" s="16"/>
      <c r="N189" s="16"/>
      <c r="U189" s="16"/>
      <c r="V189" s="16"/>
    </row>
    <row r="190" spans="3:22" x14ac:dyDescent="0.25">
      <c r="C190" s="16"/>
      <c r="N190" s="16"/>
      <c r="U190" s="16"/>
      <c r="V190" s="16"/>
    </row>
    <row r="191" spans="3:22" x14ac:dyDescent="0.25">
      <c r="C191" s="16"/>
      <c r="N191" s="16"/>
      <c r="U191" s="16"/>
      <c r="V191" s="16"/>
    </row>
    <row r="192" spans="3:22" x14ac:dyDescent="0.25">
      <c r="C192" s="16"/>
      <c r="N192" s="16"/>
      <c r="U192" s="16"/>
      <c r="V192" s="16"/>
    </row>
    <row r="193" spans="3:22" x14ac:dyDescent="0.25">
      <c r="C193" s="16"/>
      <c r="N193" s="16"/>
      <c r="U193" s="16"/>
      <c r="V193" s="16"/>
    </row>
    <row r="194" spans="3:22" x14ac:dyDescent="0.25">
      <c r="C194" s="16"/>
      <c r="N194" s="16"/>
      <c r="U194" s="16"/>
      <c r="V194" s="16"/>
    </row>
    <row r="195" spans="3:22" x14ac:dyDescent="0.25">
      <c r="C195" s="16"/>
      <c r="N195" s="16"/>
      <c r="U195" s="16"/>
      <c r="V195" s="16"/>
    </row>
    <row r="196" spans="3:22" x14ac:dyDescent="0.25">
      <c r="C196" s="16"/>
      <c r="N196" s="16"/>
      <c r="U196" s="16"/>
      <c r="V196" s="16"/>
    </row>
    <row r="197" spans="3:22" x14ac:dyDescent="0.25">
      <c r="C197" s="16"/>
      <c r="N197" s="16"/>
      <c r="U197" s="16"/>
      <c r="V197" s="16"/>
    </row>
    <row r="198" spans="3:22" x14ac:dyDescent="0.25">
      <c r="C198" s="16"/>
      <c r="N198" s="16"/>
      <c r="U198" s="16"/>
      <c r="V198" s="16"/>
    </row>
    <row r="199" spans="3:22" x14ac:dyDescent="0.25">
      <c r="C199" s="16"/>
      <c r="N199" s="16"/>
      <c r="U199" s="16"/>
      <c r="V199" s="16"/>
    </row>
    <row r="200" spans="3:22" x14ac:dyDescent="0.25">
      <c r="C200" s="16"/>
      <c r="N200" s="16"/>
      <c r="U200" s="16"/>
      <c r="V200" s="16"/>
    </row>
    <row r="201" spans="3:22" x14ac:dyDescent="0.25">
      <c r="C201" s="16"/>
      <c r="N201" s="16"/>
      <c r="U201" s="16"/>
      <c r="V201" s="16"/>
    </row>
    <row r="202" spans="3:22" x14ac:dyDescent="0.25">
      <c r="C202" s="16"/>
      <c r="N202" s="16"/>
      <c r="U202" s="16"/>
      <c r="V202" s="16"/>
    </row>
    <row r="203" spans="3:22" x14ac:dyDescent="0.25">
      <c r="C203" s="16"/>
      <c r="N203" s="16"/>
      <c r="U203" s="16"/>
      <c r="V203" s="16"/>
    </row>
    <row r="204" spans="3:22" x14ac:dyDescent="0.25">
      <c r="C204" s="16"/>
      <c r="N204" s="16"/>
      <c r="U204" s="16"/>
      <c r="V204" s="16"/>
    </row>
    <row r="205" spans="3:22" x14ac:dyDescent="0.25">
      <c r="C205" s="16"/>
      <c r="N205" s="16"/>
      <c r="U205" s="16"/>
      <c r="V205" s="16"/>
    </row>
    <row r="206" spans="3:22" x14ac:dyDescent="0.25">
      <c r="C206" s="16"/>
      <c r="N206" s="16"/>
      <c r="U206" s="16"/>
      <c r="V206" s="16"/>
    </row>
    <row r="207" spans="3:22" x14ac:dyDescent="0.25">
      <c r="C207" s="16"/>
      <c r="N207" s="16"/>
      <c r="U207" s="16"/>
      <c r="V207" s="16"/>
    </row>
    <row r="208" spans="3:22" x14ac:dyDescent="0.25">
      <c r="C208" s="16"/>
      <c r="N208" s="16"/>
      <c r="U208" s="16"/>
      <c r="V208" s="16"/>
    </row>
    <row r="209" spans="3:22" x14ac:dyDescent="0.25">
      <c r="C209" s="16"/>
      <c r="N209" s="16"/>
      <c r="U209" s="16"/>
      <c r="V209" s="16"/>
    </row>
    <row r="210" spans="3:22" x14ac:dyDescent="0.25">
      <c r="C210" s="16"/>
      <c r="N210" s="16"/>
      <c r="U210" s="16"/>
      <c r="V210" s="16"/>
    </row>
    <row r="211" spans="3:22" x14ac:dyDescent="0.25">
      <c r="C211" s="16"/>
      <c r="N211" s="16"/>
      <c r="U211" s="16"/>
      <c r="V211" s="16"/>
    </row>
    <row r="212" spans="3:22" x14ac:dyDescent="0.25">
      <c r="C212" s="16"/>
      <c r="N212" s="16"/>
      <c r="U212" s="16"/>
      <c r="V212" s="16"/>
    </row>
    <row r="213" spans="3:22" x14ac:dyDescent="0.25">
      <c r="C213" s="16"/>
      <c r="N213" s="16"/>
      <c r="U213" s="16"/>
      <c r="V213" s="16"/>
    </row>
    <row r="214" spans="3:22" x14ac:dyDescent="0.25">
      <c r="C214" s="16"/>
      <c r="N214" s="16"/>
      <c r="U214" s="16"/>
      <c r="V214" s="16"/>
    </row>
    <row r="215" spans="3:22" x14ac:dyDescent="0.25">
      <c r="C215" s="16"/>
      <c r="N215" s="16"/>
      <c r="U215" s="16"/>
      <c r="V215" s="16"/>
    </row>
    <row r="216" spans="3:22" x14ac:dyDescent="0.25">
      <c r="C216" s="16"/>
      <c r="N216" s="16"/>
      <c r="U216" s="16"/>
      <c r="V216" s="16"/>
    </row>
    <row r="217" spans="3:22" x14ac:dyDescent="0.25">
      <c r="C217" s="16"/>
      <c r="N217" s="16"/>
      <c r="U217" s="16"/>
      <c r="V217" s="16"/>
    </row>
    <row r="218" spans="3:22" x14ac:dyDescent="0.25">
      <c r="C218" s="16"/>
      <c r="N218" s="16"/>
      <c r="U218" s="16"/>
      <c r="V218" s="16"/>
    </row>
    <row r="219" spans="3:22" x14ac:dyDescent="0.25">
      <c r="C219" s="16"/>
      <c r="N219" s="16"/>
      <c r="U219" s="16"/>
      <c r="V219" s="16"/>
    </row>
    <row r="220" spans="3:22" x14ac:dyDescent="0.25">
      <c r="C220" s="16"/>
      <c r="N220" s="16"/>
      <c r="U220" s="16"/>
      <c r="V220" s="16"/>
    </row>
    <row r="221" spans="3:22" x14ac:dyDescent="0.25">
      <c r="C221" s="16"/>
      <c r="N221" s="16"/>
      <c r="U221" s="16"/>
      <c r="V221" s="16"/>
    </row>
    <row r="222" spans="3:22" x14ac:dyDescent="0.25">
      <c r="C222" s="16"/>
      <c r="N222" s="16"/>
      <c r="U222" s="16"/>
      <c r="V222" s="16"/>
    </row>
    <row r="223" spans="3:22" x14ac:dyDescent="0.25">
      <c r="C223" s="16"/>
      <c r="N223" s="16"/>
      <c r="U223" s="16"/>
      <c r="V223" s="16"/>
    </row>
    <row r="224" spans="3:22" x14ac:dyDescent="0.25">
      <c r="C224" s="16"/>
      <c r="N224" s="16"/>
      <c r="U224" s="16"/>
      <c r="V224" s="16"/>
    </row>
    <row r="225" spans="3:22" x14ac:dyDescent="0.25">
      <c r="C225" s="16"/>
      <c r="N225" s="16"/>
      <c r="U225" s="16"/>
      <c r="V225" s="16"/>
    </row>
    <row r="226" spans="3:22" x14ac:dyDescent="0.25">
      <c r="C226" s="16"/>
      <c r="N226" s="16"/>
      <c r="U226" s="16"/>
      <c r="V226" s="16"/>
    </row>
    <row r="227" spans="3:22" x14ac:dyDescent="0.25">
      <c r="C227" s="16"/>
      <c r="N227" s="16"/>
      <c r="U227" s="16"/>
      <c r="V227" s="16"/>
    </row>
    <row r="228" spans="3:22" x14ac:dyDescent="0.25">
      <c r="C228" s="16"/>
      <c r="N228" s="16"/>
      <c r="U228" s="16"/>
      <c r="V228" s="16"/>
    </row>
    <row r="229" spans="3:22" x14ac:dyDescent="0.25">
      <c r="C229" s="16"/>
      <c r="N229" s="16"/>
      <c r="U229" s="16"/>
      <c r="V229" s="16"/>
    </row>
    <row r="230" spans="3:22" x14ac:dyDescent="0.25">
      <c r="C230" s="16"/>
      <c r="N230" s="16"/>
      <c r="U230" s="16"/>
      <c r="V230" s="16"/>
    </row>
    <row r="231" spans="3:22" x14ac:dyDescent="0.25">
      <c r="C231" s="16"/>
      <c r="N231" s="16"/>
      <c r="U231" s="16"/>
      <c r="V231" s="16"/>
    </row>
    <row r="232" spans="3:22" x14ac:dyDescent="0.25">
      <c r="C232" s="16"/>
      <c r="N232" s="16"/>
      <c r="U232" s="16"/>
      <c r="V232" s="16"/>
    </row>
    <row r="233" spans="3:22" x14ac:dyDescent="0.25">
      <c r="C233" s="16"/>
      <c r="N233" s="16"/>
      <c r="U233" s="16"/>
      <c r="V233" s="16"/>
    </row>
    <row r="234" spans="3:22" x14ac:dyDescent="0.25">
      <c r="C234" s="16"/>
      <c r="N234" s="16"/>
      <c r="U234" s="16"/>
      <c r="V234" s="16"/>
    </row>
    <row r="235" spans="3:22" x14ac:dyDescent="0.25">
      <c r="C235" s="16"/>
      <c r="N235" s="16"/>
      <c r="U235" s="16"/>
      <c r="V235" s="16"/>
    </row>
    <row r="236" spans="3:22" x14ac:dyDescent="0.25">
      <c r="C236" s="16"/>
      <c r="N236" s="16"/>
      <c r="U236" s="16"/>
      <c r="V236" s="16"/>
    </row>
    <row r="237" spans="3:22" x14ac:dyDescent="0.25">
      <c r="C237" s="16"/>
      <c r="N237" s="16"/>
      <c r="U237" s="16"/>
      <c r="V237" s="16"/>
    </row>
    <row r="238" spans="3:22" x14ac:dyDescent="0.25">
      <c r="C238" s="16"/>
      <c r="N238" s="16"/>
      <c r="U238" s="16"/>
      <c r="V238" s="16"/>
    </row>
    <row r="239" spans="3:22" x14ac:dyDescent="0.25">
      <c r="C239" s="16"/>
      <c r="N239" s="16"/>
      <c r="U239" s="16"/>
      <c r="V239" s="16"/>
    </row>
    <row r="240" spans="3:22" x14ac:dyDescent="0.25">
      <c r="C240" s="16"/>
      <c r="N240" s="16"/>
      <c r="U240" s="16"/>
      <c r="V240" s="16"/>
    </row>
    <row r="241" spans="3:22" x14ac:dyDescent="0.25">
      <c r="C241" s="16"/>
      <c r="N241" s="16"/>
      <c r="U241" s="16"/>
      <c r="V241" s="16"/>
    </row>
    <row r="242" spans="3:22" x14ac:dyDescent="0.25">
      <c r="C242" s="16"/>
      <c r="N242" s="16"/>
      <c r="U242" s="16"/>
      <c r="V242" s="16"/>
    </row>
    <row r="243" spans="3:22" x14ac:dyDescent="0.25">
      <c r="C243" s="16"/>
      <c r="N243" s="16"/>
      <c r="U243" s="16"/>
      <c r="V243" s="16"/>
    </row>
    <row r="244" spans="3:22" x14ac:dyDescent="0.25">
      <c r="C244" s="16"/>
      <c r="N244" s="16"/>
      <c r="U244" s="16"/>
      <c r="V244" s="16"/>
    </row>
    <row r="245" spans="3:22" x14ac:dyDescent="0.25">
      <c r="C245" s="16"/>
      <c r="N245" s="16"/>
      <c r="U245" s="16"/>
      <c r="V245" s="16"/>
    </row>
    <row r="246" spans="3:22" x14ac:dyDescent="0.25">
      <c r="C246" s="16"/>
      <c r="N246" s="16"/>
      <c r="U246" s="16"/>
      <c r="V246" s="16"/>
    </row>
    <row r="247" spans="3:22" x14ac:dyDescent="0.25">
      <c r="C247" s="16"/>
      <c r="N247" s="16"/>
      <c r="U247" s="16"/>
      <c r="V247" s="16"/>
    </row>
    <row r="248" spans="3:22" x14ac:dyDescent="0.25">
      <c r="C248" s="16"/>
      <c r="N248" s="16"/>
      <c r="U248" s="16"/>
      <c r="V248" s="16"/>
    </row>
    <row r="249" spans="3:22" x14ac:dyDescent="0.25">
      <c r="C249" s="16"/>
      <c r="N249" s="16"/>
      <c r="U249" s="16"/>
      <c r="V249" s="16"/>
    </row>
    <row r="250" spans="3:22" x14ac:dyDescent="0.25">
      <c r="C250" s="16"/>
      <c r="N250" s="16"/>
      <c r="U250" s="16"/>
      <c r="V250" s="16"/>
    </row>
    <row r="251" spans="3:22" x14ac:dyDescent="0.25">
      <c r="C251" s="16"/>
      <c r="N251" s="16"/>
      <c r="U251" s="16"/>
      <c r="V251" s="16"/>
    </row>
    <row r="252" spans="3:22" x14ac:dyDescent="0.25">
      <c r="C252" s="16"/>
      <c r="N252" s="16"/>
      <c r="U252" s="16"/>
      <c r="V252" s="16"/>
    </row>
    <row r="253" spans="3:22" x14ac:dyDescent="0.25">
      <c r="C253" s="16"/>
      <c r="N253" s="16"/>
      <c r="U253" s="16"/>
      <c r="V253" s="16"/>
    </row>
    <row r="254" spans="3:22" x14ac:dyDescent="0.25">
      <c r="C254" s="16"/>
      <c r="N254" s="16"/>
      <c r="U254" s="16"/>
      <c r="V254" s="16"/>
    </row>
    <row r="255" spans="3:22" x14ac:dyDescent="0.25">
      <c r="C255" s="16"/>
      <c r="N255" s="16"/>
      <c r="U255" s="16"/>
      <c r="V255" s="16"/>
    </row>
    <row r="256" spans="3:22" x14ac:dyDescent="0.25">
      <c r="C256" s="16"/>
      <c r="N256" s="16"/>
      <c r="U256" s="16"/>
      <c r="V256" s="16"/>
    </row>
    <row r="257" spans="3:22" x14ac:dyDescent="0.25">
      <c r="C257" s="16"/>
      <c r="N257" s="16"/>
      <c r="U257" s="16"/>
      <c r="V257" s="16"/>
    </row>
    <row r="258" spans="3:22" x14ac:dyDescent="0.25">
      <c r="C258" s="16"/>
      <c r="N258" s="16"/>
      <c r="U258" s="16"/>
      <c r="V258" s="16"/>
    </row>
    <row r="259" spans="3:22" x14ac:dyDescent="0.25">
      <c r="C259" s="16"/>
      <c r="N259" s="16"/>
      <c r="U259" s="16"/>
      <c r="V259" s="16"/>
    </row>
    <row r="260" spans="3:22" x14ac:dyDescent="0.25">
      <c r="C260" s="16"/>
      <c r="N260" s="16"/>
      <c r="U260" s="16"/>
      <c r="V260" s="16"/>
    </row>
    <row r="261" spans="3:22" x14ac:dyDescent="0.25">
      <c r="C261" s="16"/>
      <c r="N261" s="16"/>
      <c r="U261" s="16"/>
      <c r="V261" s="16"/>
    </row>
    <row r="262" spans="3:22" x14ac:dyDescent="0.25">
      <c r="C262" s="16"/>
      <c r="N262" s="16"/>
      <c r="U262" s="16"/>
      <c r="V262" s="16"/>
    </row>
    <row r="263" spans="3:22" x14ac:dyDescent="0.25">
      <c r="C263" s="16"/>
      <c r="N263" s="16"/>
      <c r="U263" s="16"/>
      <c r="V263" s="16"/>
    </row>
    <row r="264" spans="3:22" x14ac:dyDescent="0.25">
      <c r="C264" s="16"/>
      <c r="N264" s="16"/>
      <c r="U264" s="16"/>
      <c r="V264" s="16"/>
    </row>
    <row r="265" spans="3:22" x14ac:dyDescent="0.25">
      <c r="C265" s="16"/>
      <c r="N265" s="16"/>
      <c r="U265" s="16"/>
      <c r="V265" s="16"/>
    </row>
    <row r="266" spans="3:22" x14ac:dyDescent="0.25">
      <c r="C266" s="16"/>
      <c r="N266" s="16"/>
      <c r="U266" s="16"/>
      <c r="V266" s="16"/>
    </row>
    <row r="267" spans="3:22" x14ac:dyDescent="0.25">
      <c r="C267" s="16"/>
      <c r="N267" s="16"/>
      <c r="U267" s="16"/>
      <c r="V267" s="16"/>
    </row>
    <row r="268" spans="3:22" x14ac:dyDescent="0.25">
      <c r="C268" s="16"/>
      <c r="N268" s="16"/>
      <c r="U268" s="16"/>
      <c r="V268" s="16"/>
    </row>
    <row r="269" spans="3:22" x14ac:dyDescent="0.25">
      <c r="C269" s="16"/>
      <c r="N269" s="16"/>
      <c r="U269" s="16"/>
      <c r="V269" s="16"/>
    </row>
    <row r="270" spans="3:22" x14ac:dyDescent="0.25">
      <c r="C270" s="16"/>
      <c r="N270" s="16"/>
      <c r="U270" s="16"/>
      <c r="V270" s="16"/>
    </row>
    <row r="271" spans="3:22" x14ac:dyDescent="0.25">
      <c r="C271" s="16"/>
      <c r="N271" s="16"/>
      <c r="U271" s="16"/>
      <c r="V271" s="16"/>
    </row>
    <row r="272" spans="3:22" x14ac:dyDescent="0.25">
      <c r="C272" s="16"/>
      <c r="N272" s="16"/>
      <c r="U272" s="16"/>
      <c r="V272" s="16"/>
    </row>
    <row r="273" spans="3:22" x14ac:dyDescent="0.25">
      <c r="C273" s="16"/>
      <c r="N273" s="16"/>
      <c r="U273" s="16"/>
      <c r="V273" s="16"/>
    </row>
    <row r="274" spans="3:22" x14ac:dyDescent="0.25">
      <c r="C274" s="16"/>
      <c r="N274" s="16"/>
      <c r="U274" s="16"/>
      <c r="V274" s="16"/>
    </row>
    <row r="275" spans="3:22" x14ac:dyDescent="0.25">
      <c r="C275" s="16"/>
      <c r="N275" s="16"/>
      <c r="U275" s="16"/>
      <c r="V275" s="16"/>
    </row>
    <row r="276" spans="3:22" x14ac:dyDescent="0.25">
      <c r="C276" s="16"/>
      <c r="N276" s="16"/>
      <c r="U276" s="16"/>
      <c r="V276" s="16"/>
    </row>
    <row r="277" spans="3:22" x14ac:dyDescent="0.25">
      <c r="C277" s="16"/>
      <c r="N277" s="16"/>
      <c r="U277" s="16"/>
      <c r="V277" s="16"/>
    </row>
    <row r="278" spans="3:22" x14ac:dyDescent="0.25">
      <c r="C278" s="16"/>
      <c r="N278" s="16"/>
      <c r="U278" s="16"/>
      <c r="V278" s="16"/>
    </row>
    <row r="279" spans="3:22" x14ac:dyDescent="0.25">
      <c r="C279" s="16"/>
      <c r="N279" s="16"/>
      <c r="U279" s="16"/>
      <c r="V279" s="16"/>
    </row>
    <row r="280" spans="3:22" x14ac:dyDescent="0.25">
      <c r="C280" s="16"/>
      <c r="N280" s="16"/>
      <c r="U280" s="16"/>
      <c r="V280" s="16"/>
    </row>
    <row r="281" spans="3:22" x14ac:dyDescent="0.25">
      <c r="C281" s="16"/>
      <c r="N281" s="16"/>
      <c r="U281" s="16"/>
      <c r="V281" s="16"/>
    </row>
    <row r="282" spans="3:22" x14ac:dyDescent="0.25">
      <c r="C282" s="16"/>
      <c r="N282" s="16"/>
      <c r="U282" s="16"/>
      <c r="V282" s="16"/>
    </row>
    <row r="283" spans="3:22" x14ac:dyDescent="0.25">
      <c r="C283" s="16"/>
      <c r="N283" s="16"/>
      <c r="U283" s="16"/>
      <c r="V283" s="16"/>
    </row>
    <row r="284" spans="3:22" x14ac:dyDescent="0.25">
      <c r="C284" s="16"/>
      <c r="N284" s="16"/>
      <c r="U284" s="16"/>
      <c r="V284" s="16"/>
    </row>
    <row r="285" spans="3:22" x14ac:dyDescent="0.25">
      <c r="C285" s="16"/>
      <c r="N285" s="16"/>
      <c r="U285" s="16"/>
      <c r="V285" s="16"/>
    </row>
    <row r="286" spans="3:22" x14ac:dyDescent="0.25">
      <c r="C286" s="16"/>
      <c r="N286" s="16"/>
      <c r="U286" s="16"/>
      <c r="V286" s="16"/>
    </row>
    <row r="287" spans="3:22" x14ac:dyDescent="0.25">
      <c r="C287" s="16"/>
      <c r="N287" s="16"/>
      <c r="U287" s="16"/>
      <c r="V287" s="16"/>
    </row>
    <row r="288" spans="3:22" x14ac:dyDescent="0.25">
      <c r="C288" s="16"/>
      <c r="N288" s="16"/>
      <c r="U288" s="16"/>
      <c r="V288" s="16"/>
    </row>
    <row r="289" spans="3:22" x14ac:dyDescent="0.25">
      <c r="C289" s="16"/>
      <c r="N289" s="16"/>
      <c r="U289" s="16"/>
      <c r="V289" s="16"/>
    </row>
    <row r="290" spans="3:22" x14ac:dyDescent="0.25">
      <c r="C290" s="16"/>
      <c r="N290" s="16"/>
      <c r="U290" s="16"/>
      <c r="V290" s="16"/>
    </row>
    <row r="291" spans="3:22" x14ac:dyDescent="0.25">
      <c r="C291" s="16"/>
      <c r="N291" s="16"/>
      <c r="U291" s="16"/>
      <c r="V291" s="16"/>
    </row>
    <row r="292" spans="3:22" x14ac:dyDescent="0.25">
      <c r="C292" s="16"/>
      <c r="N292" s="16"/>
      <c r="U292" s="16"/>
      <c r="V292" s="16"/>
    </row>
    <row r="293" spans="3:22" x14ac:dyDescent="0.25">
      <c r="C293" s="16"/>
      <c r="N293" s="16"/>
      <c r="U293" s="16"/>
      <c r="V293" s="16"/>
    </row>
    <row r="294" spans="3:22" x14ac:dyDescent="0.25">
      <c r="C294" s="16"/>
      <c r="N294" s="16"/>
      <c r="U294" s="16"/>
      <c r="V294" s="16"/>
    </row>
    <row r="295" spans="3:22" x14ac:dyDescent="0.25">
      <c r="C295" s="16"/>
      <c r="N295" s="16"/>
      <c r="U295" s="16"/>
      <c r="V295" s="16"/>
    </row>
    <row r="296" spans="3:22" x14ac:dyDescent="0.25">
      <c r="C296" s="16"/>
      <c r="N296" s="16"/>
      <c r="U296" s="16"/>
      <c r="V296" s="16"/>
    </row>
    <row r="297" spans="3:22" x14ac:dyDescent="0.25">
      <c r="C297" s="16"/>
      <c r="N297" s="16"/>
      <c r="U297" s="16"/>
      <c r="V297" s="16"/>
    </row>
    <row r="298" spans="3:22" x14ac:dyDescent="0.25">
      <c r="C298" s="16"/>
      <c r="N298" s="16"/>
      <c r="U298" s="16"/>
      <c r="V298" s="16"/>
    </row>
    <row r="299" spans="3:22" x14ac:dyDescent="0.25">
      <c r="C299" s="16"/>
      <c r="N299" s="16"/>
      <c r="U299" s="16"/>
      <c r="V299" s="16"/>
    </row>
    <row r="300" spans="3:22" x14ac:dyDescent="0.25">
      <c r="C300" s="16"/>
      <c r="N300" s="16"/>
      <c r="U300" s="16"/>
      <c r="V300" s="16"/>
    </row>
    <row r="301" spans="3:22" x14ac:dyDescent="0.25">
      <c r="C301" s="16"/>
      <c r="N301" s="16"/>
      <c r="U301" s="16"/>
      <c r="V301" s="16"/>
    </row>
    <row r="302" spans="3:22" x14ac:dyDescent="0.25">
      <c r="C302" s="16"/>
      <c r="N302" s="16"/>
      <c r="U302" s="16"/>
      <c r="V302" s="16"/>
    </row>
    <row r="303" spans="3:22" x14ac:dyDescent="0.25">
      <c r="C303" s="16"/>
      <c r="N303" s="16"/>
      <c r="U303" s="16"/>
      <c r="V303" s="16"/>
    </row>
    <row r="304" spans="3:22" x14ac:dyDescent="0.25">
      <c r="C304" s="16"/>
      <c r="N304" s="16"/>
      <c r="U304" s="16"/>
      <c r="V304" s="16"/>
    </row>
    <row r="305" spans="3:22" x14ac:dyDescent="0.25">
      <c r="C305" s="16"/>
      <c r="N305" s="16"/>
      <c r="U305" s="16"/>
      <c r="V305" s="16"/>
    </row>
    <row r="306" spans="3:22" x14ac:dyDescent="0.25">
      <c r="C306" s="16"/>
      <c r="N306" s="16"/>
      <c r="U306" s="16"/>
      <c r="V306" s="16"/>
    </row>
    <row r="307" spans="3:22" x14ac:dyDescent="0.25">
      <c r="C307" s="16"/>
      <c r="N307" s="16"/>
      <c r="U307" s="16"/>
      <c r="V307" s="16"/>
    </row>
    <row r="308" spans="3:22" x14ac:dyDescent="0.25">
      <c r="C308" s="16"/>
      <c r="N308" s="16"/>
      <c r="U308" s="16"/>
      <c r="V308" s="16"/>
    </row>
    <row r="309" spans="3:22" x14ac:dyDescent="0.25">
      <c r="C309" s="16"/>
      <c r="N309" s="16"/>
      <c r="U309" s="16"/>
      <c r="V309" s="16"/>
    </row>
    <row r="310" spans="3:22" x14ac:dyDescent="0.25">
      <c r="C310" s="16"/>
      <c r="N310" s="16"/>
      <c r="U310" s="16"/>
      <c r="V310" s="16"/>
    </row>
    <row r="311" spans="3:22" x14ac:dyDescent="0.25">
      <c r="C311" s="16"/>
      <c r="N311" s="16"/>
      <c r="U311" s="16"/>
      <c r="V311" s="16"/>
    </row>
    <row r="312" spans="3:22" x14ac:dyDescent="0.25">
      <c r="C312" s="16"/>
      <c r="N312" s="16"/>
      <c r="U312" s="16"/>
      <c r="V312" s="16"/>
    </row>
    <row r="313" spans="3:22" x14ac:dyDescent="0.25">
      <c r="C313" s="16"/>
      <c r="N313" s="16"/>
      <c r="U313" s="16"/>
      <c r="V313" s="16"/>
    </row>
    <row r="314" spans="3:22" x14ac:dyDescent="0.25">
      <c r="C314" s="16"/>
      <c r="N314" s="16"/>
      <c r="U314" s="16"/>
      <c r="V314" s="16"/>
    </row>
    <row r="315" spans="3:22" x14ac:dyDescent="0.25">
      <c r="C315" s="16"/>
      <c r="N315" s="16"/>
      <c r="U315" s="16"/>
      <c r="V315" s="16"/>
    </row>
  </sheetData>
  <autoFilter ref="A1:OJ1" xr:uid="{C59F6809-10B3-45BE-89B6-21DF9D49A2D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1CD4E-90EB-47A5-9E7C-C8703A11D089}">
  <dimension ref="A1:AS315"/>
  <sheetViews>
    <sheetView workbookViewId="0">
      <pane ySplit="1" topLeftCell="A2" activePane="bottomLeft" state="frozenSplit"/>
      <selection pane="bottomLeft"/>
    </sheetView>
  </sheetViews>
  <sheetFormatPr baseColWidth="10" defaultRowHeight="14.3" x14ac:dyDescent="0.25"/>
  <cols>
    <col min="1" max="1" width="8.625" style="12" customWidth="1"/>
    <col min="2" max="2" width="7.625" style="12" customWidth="1"/>
    <col min="3" max="3" width="12.625" style="12" customWidth="1"/>
    <col min="4" max="4" width="13.625" style="12" customWidth="1"/>
    <col min="5" max="5" width="25.625" style="17" customWidth="1"/>
    <col min="6" max="6" width="13.625" style="12" customWidth="1"/>
    <col min="7" max="7" width="25.625" style="17" customWidth="1"/>
    <col min="8" max="8" width="13.625" style="12" customWidth="1"/>
    <col min="9" max="11" width="25.625" style="17" customWidth="1"/>
    <col min="12" max="12" width="13.625" style="12" customWidth="1"/>
    <col min="13" max="13" width="25.625" style="17" customWidth="1"/>
    <col min="14" max="14" width="13.625" style="12" customWidth="1"/>
    <col min="15" max="16" width="30.625" style="17" customWidth="1"/>
    <col min="17" max="17" width="25.625" style="17" customWidth="1"/>
    <col min="18" max="20" width="13.625" style="12" customWidth="1"/>
    <col min="21" max="22" width="12.625" style="12" customWidth="1"/>
    <col min="23" max="23" width="40.625" style="17" customWidth="1"/>
    <col min="24" max="24" width="15.625" style="18" customWidth="1"/>
    <col min="25" max="25" width="25.625" style="17" customWidth="1"/>
    <col min="26" max="26" width="15.625" style="18" customWidth="1"/>
    <col min="27" max="27" width="25.625" style="17" customWidth="1"/>
    <col min="28" max="28" width="15.625" style="18" customWidth="1"/>
    <col min="29" max="29" width="25.625" style="17" customWidth="1"/>
    <col min="30" max="30" width="15.625" style="18" customWidth="1"/>
    <col min="31" max="31" width="25.625" style="17" customWidth="1"/>
    <col min="32" max="32" width="15.625" style="18" customWidth="1"/>
    <col min="33" max="33" width="25.625" style="17" customWidth="1"/>
    <col min="34" max="34" width="15.625" style="18" customWidth="1"/>
    <col min="35" max="35" width="25.625" style="17" customWidth="1"/>
    <col min="36" max="36" width="15.625" style="18" customWidth="1"/>
    <col min="37" max="37" width="25.625" style="17" customWidth="1"/>
    <col min="38" max="38" width="15.625" style="18" customWidth="1"/>
    <col min="39" max="39" width="25.625" style="17" customWidth="1"/>
    <col min="40" max="40" width="15.625" style="18" customWidth="1"/>
    <col min="41" max="41" width="25.625" style="17" customWidth="1"/>
    <col min="42" max="42" width="15.625" style="18" customWidth="1"/>
    <col min="43" max="43" width="25.625" style="17" customWidth="1"/>
    <col min="44" max="44" width="9.625" style="18" customWidth="1"/>
    <col min="45" max="45" width="15.625" style="12" customWidth="1"/>
    <col min="46" max="16384" width="11" style="12"/>
  </cols>
  <sheetData>
    <row r="1" spans="1:45" ht="42.8" x14ac:dyDescent="0.2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304</v>
      </c>
      <c r="X1" s="10" t="s">
        <v>305</v>
      </c>
      <c r="Y1" s="10" t="s">
        <v>306</v>
      </c>
      <c r="Z1" s="10" t="s">
        <v>307</v>
      </c>
      <c r="AA1" s="10" t="s">
        <v>308</v>
      </c>
      <c r="AB1" s="10" t="s">
        <v>309</v>
      </c>
      <c r="AC1" s="10" t="s">
        <v>310</v>
      </c>
      <c r="AD1" s="10" t="s">
        <v>311</v>
      </c>
      <c r="AE1" s="10" t="s">
        <v>312</v>
      </c>
      <c r="AF1" s="10" t="s">
        <v>313</v>
      </c>
      <c r="AG1" s="10" t="s">
        <v>314</v>
      </c>
      <c r="AH1" s="10" t="s">
        <v>315</v>
      </c>
      <c r="AI1" s="10" t="s">
        <v>316</v>
      </c>
      <c r="AJ1" s="10" t="s">
        <v>317</v>
      </c>
      <c r="AK1" s="10" t="s">
        <v>318</v>
      </c>
      <c r="AL1" s="10" t="s">
        <v>319</v>
      </c>
      <c r="AM1" s="10" t="s">
        <v>320</v>
      </c>
      <c r="AN1" s="10" t="s">
        <v>321</v>
      </c>
      <c r="AO1" s="10" t="s">
        <v>322</v>
      </c>
      <c r="AP1" s="10" t="s">
        <v>323</v>
      </c>
      <c r="AQ1" s="10" t="s">
        <v>324</v>
      </c>
      <c r="AR1" s="10" t="s">
        <v>74</v>
      </c>
      <c r="AS1" s="10" t="s">
        <v>75</v>
      </c>
    </row>
    <row r="2" spans="1:45" ht="142.65" x14ac:dyDescent="0.25">
      <c r="A2" s="13" t="s">
        <v>76</v>
      </c>
      <c r="B2" s="13" t="s">
        <v>77</v>
      </c>
      <c r="C2" s="14">
        <v>45628.699305555558</v>
      </c>
      <c r="D2" s="13" t="s">
        <v>78</v>
      </c>
      <c r="E2" s="15" t="s">
        <v>79</v>
      </c>
      <c r="F2" s="13" t="s">
        <v>80</v>
      </c>
      <c r="G2" s="15" t="s">
        <v>81</v>
      </c>
      <c r="H2" s="13" t="s">
        <v>82</v>
      </c>
      <c r="I2" s="15" t="s">
        <v>81</v>
      </c>
      <c r="J2" s="15" t="s">
        <v>83</v>
      </c>
      <c r="K2" s="15" t="s">
        <v>84</v>
      </c>
      <c r="L2" s="13" t="s">
        <v>85</v>
      </c>
      <c r="M2" s="15" t="s">
        <v>86</v>
      </c>
      <c r="N2" s="14" t="s">
        <v>87</v>
      </c>
      <c r="O2" s="15" t="s">
        <v>88</v>
      </c>
      <c r="P2" s="15" t="s">
        <v>89</v>
      </c>
      <c r="Q2" s="15" t="s">
        <v>90</v>
      </c>
      <c r="R2" s="13" t="s">
        <v>91</v>
      </c>
      <c r="S2" s="13" t="s">
        <v>92</v>
      </c>
      <c r="T2" s="13" t="s">
        <v>93</v>
      </c>
      <c r="U2" s="14">
        <v>40725</v>
      </c>
      <c r="V2" s="14">
        <v>40725</v>
      </c>
      <c r="W2" s="15" t="s">
        <v>325</v>
      </c>
      <c r="X2" s="13" t="s">
        <v>326</v>
      </c>
      <c r="Y2" s="15" t="str">
        <f>VLOOKUP(X2,'Axe 2 Règles de gestion'!$D$2:$F$84,3, FALSE)</f>
        <v>Rémunération : En cas d'indemnisation, le montant versé est un montant forfaitaire qui dépend de la catégorie statutaire d'appartenance de l'agent.</v>
      </c>
      <c r="Z2" s="13" t="s">
        <v>328</v>
      </c>
      <c r="AA2" s="15" t="str">
        <f>VLOOKUP(Z2,'Axe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2" s="13" t="s">
        <v>330</v>
      </c>
      <c r="AC2" s="15" t="str">
        <f>VLOOKUP(AB2,'Axe 2 Règles de gestion'!$D$2:$F$84,3, FALSE)</f>
        <v>Stage : L'agent ne peut pas demander l'ouverture ou l'utilisation d'un compte épargne-temps durant la durée de son stage.</v>
      </c>
      <c r="AD2" s="13" t="s">
        <v>332</v>
      </c>
      <c r="AE2" s="15" t="str">
        <f>VLOOKUP(AD2,'Axe 2 Règles de gestion'!$D$2:$F$84,3, FALSE)</f>
        <v>Congés annuels : L'agent conserve son droit à congé annuel.</v>
      </c>
      <c r="AF2" s="13" t="s">
        <v>334</v>
      </c>
      <c r="AG2" s="15" t="str">
        <f>VLOOKUP(AF2,'Axe 2 Règles de gestion'!$D$2:$F$84,3, FALSE)</f>
        <v>Mobilité : Si l'agent effectue une mobilité auprès d'une administration, d'une collectivité ou d'un établissement relevant de l'une des trois fonctions publiques, l'agent conserve le bénéfice de son compte épargne-temps.</v>
      </c>
      <c r="AH2" s="13" t="s">
        <v>336</v>
      </c>
      <c r="AI2" s="15" t="str">
        <f>VLOOKUP(AH2,'Axe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2" s="13" t="s">
        <v>338</v>
      </c>
      <c r="AK2" s="15" t="str">
        <f>VLOOKUP(AJ2,'Axe 2 Règles de gestion'!$D$2:$F$84,3, FALSE)</f>
        <v>Détachement : Si l'agent est en position de détachement auprès d'une administration, d'une collectivité ou d'un établissement relevant de l'une des trois fonctions publiques, l'agent conserve le bénéfice de son compte épargne-temps.</v>
      </c>
      <c r="AL2" s="13" t="s">
        <v>340</v>
      </c>
      <c r="AM2" s="15" t="str">
        <f>VLOOKUP(AL2,'Axe 2 Règles de gestion'!$D$2:$F$84,3, FALSE)</f>
        <v>Retraite : Si l'agent dispose de plus de 15 jours sur son compte épargne-temps, il peut choisir une prise en compte au sein du régime de retraite additionnelle de la fonction publique - RAFP, au-delà des 15 jours.</v>
      </c>
      <c r="AN2" s="13" t="s">
        <v>342</v>
      </c>
      <c r="AO2" s="15" t="str">
        <f>VLOOKUP(AN2,'Axe 2 Règles de gestion'!$D$2:$F$84,3, FALSE)</f>
        <v>Décès : Les droits acquis au titre du compte épargne-temps de l'agent bénéficient à ses ayants droit. Ils donnent lieu à une indemnisation forfaitaire.</v>
      </c>
      <c r="AP2" s="13" t="s">
        <v>344</v>
      </c>
      <c r="AQ2" s="15" t="str">
        <f>VLOOKUP(AP2,'Axe 2 Règles de gestion'!$D$2:$F$84,3, FALSE)</f>
        <v>Acte : Un acte administratif doit être produit si l'agent bénéficie de l'indemnisation de jours de son compte épargne-temps ou d'une prise en compte au sein du régime de retraite additionnelle de la fonction publique - RAFP.</v>
      </c>
      <c r="AR2" s="13"/>
      <c r="AS2" s="13"/>
    </row>
    <row r="3" spans="1:45" ht="142.65" x14ac:dyDescent="0.25">
      <c r="A3" s="13" t="s">
        <v>117</v>
      </c>
      <c r="B3" s="13" t="s">
        <v>77</v>
      </c>
      <c r="C3" s="14">
        <v>44053.458333333336</v>
      </c>
      <c r="D3" s="13" t="s">
        <v>78</v>
      </c>
      <c r="E3" s="15" t="s">
        <v>79</v>
      </c>
      <c r="F3" s="13" t="s">
        <v>80</v>
      </c>
      <c r="G3" s="15" t="s">
        <v>81</v>
      </c>
      <c r="H3" s="13" t="s">
        <v>82</v>
      </c>
      <c r="I3" s="15" t="s">
        <v>81</v>
      </c>
      <c r="J3" s="15" t="s">
        <v>83</v>
      </c>
      <c r="K3" s="15" t="s">
        <v>84</v>
      </c>
      <c r="L3" s="13" t="s">
        <v>118</v>
      </c>
      <c r="M3" s="15" t="s">
        <v>119</v>
      </c>
      <c r="N3" s="14" t="s">
        <v>87</v>
      </c>
      <c r="O3" s="15" t="s">
        <v>120</v>
      </c>
      <c r="P3" s="15" t="s">
        <v>121</v>
      </c>
      <c r="Q3" s="15" t="s">
        <v>90</v>
      </c>
      <c r="R3" s="13" t="s">
        <v>91</v>
      </c>
      <c r="S3" s="13" t="s">
        <v>92</v>
      </c>
      <c r="T3" s="13" t="s">
        <v>93</v>
      </c>
      <c r="U3" s="14">
        <v>40725</v>
      </c>
      <c r="V3" s="14">
        <v>43435</v>
      </c>
      <c r="W3" s="15" t="s">
        <v>325</v>
      </c>
      <c r="X3" s="13" t="s">
        <v>326</v>
      </c>
      <c r="Y3" s="15" t="str">
        <f>VLOOKUP(X3,'Axe 2 Règles de gestion'!$D$2:$F$84,3, FALSE)</f>
        <v>Rémunération : En cas d'indemnisation, le montant versé est un montant forfaitaire qui dépend de la catégorie statutaire d'appartenance de l'agent.</v>
      </c>
      <c r="Z3" s="13" t="s">
        <v>328</v>
      </c>
      <c r="AA3" s="15" t="str">
        <f>VLOOKUP(Z3,'Axe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3" s="13" t="s">
        <v>330</v>
      </c>
      <c r="AC3" s="15" t="str">
        <f>VLOOKUP(AB3,'Axe 2 Règles de gestion'!$D$2:$F$84,3, FALSE)</f>
        <v>Stage : L'agent ne peut pas demander l'ouverture ou l'utilisation d'un compte épargne-temps durant la durée de son stage.</v>
      </c>
      <c r="AD3" s="13" t="s">
        <v>332</v>
      </c>
      <c r="AE3" s="15" t="str">
        <f>VLOOKUP(AD3,'Axe 2 Règles de gestion'!$D$2:$F$84,3, FALSE)</f>
        <v>Congés annuels : L'agent conserve son droit à congé annuel.</v>
      </c>
      <c r="AF3" s="13" t="s">
        <v>334</v>
      </c>
      <c r="AG3" s="15" t="str">
        <f>VLOOKUP(AF3,'Axe 2 Règles de gestion'!$D$2:$F$84,3, FALSE)</f>
        <v>Mobilité : Si l'agent effectue une mobilité auprès d'une administration, d'une collectivité ou d'un établissement relevant de l'une des trois fonctions publiques, l'agent conserve le bénéfice de son compte épargne-temps.</v>
      </c>
      <c r="AH3" s="13" t="s">
        <v>336</v>
      </c>
      <c r="AI3" s="15" t="str">
        <f>VLOOKUP(AH3,'Axe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3" s="13" t="s">
        <v>338</v>
      </c>
      <c r="AK3" s="15" t="str">
        <f>VLOOKUP(AJ3,'Axe 2 Règles de gestion'!$D$2:$F$84,3, FALSE)</f>
        <v>Détachement : Si l'agent est en position de détachement auprès d'une administration, d'une collectivité ou d'un établissement relevant de l'une des trois fonctions publiques, l'agent conserve le bénéfice de son compte épargne-temps.</v>
      </c>
      <c r="AL3" s="13" t="s">
        <v>340</v>
      </c>
      <c r="AM3" s="15" t="str">
        <f>VLOOKUP(AL3,'Axe 2 Règles de gestion'!$D$2:$F$84,3, FALSE)</f>
        <v>Retraite : Si l'agent dispose de plus de 15 jours sur son compte épargne-temps, il peut choisir une prise en compte au sein du régime de retraite additionnelle de la fonction publique - RAFP, au-delà des 15 jours.</v>
      </c>
      <c r="AN3" s="13" t="s">
        <v>342</v>
      </c>
      <c r="AO3" s="15" t="str">
        <f>VLOOKUP(AN3,'Axe 2 Règles de gestion'!$D$2:$F$84,3, FALSE)</f>
        <v>Décès : Les droits acquis au titre du compte épargne-temps de l'agent bénéficient à ses ayants droit. Ils donnent lieu à une indemnisation forfaitaire.</v>
      </c>
      <c r="AP3" s="13" t="s">
        <v>344</v>
      </c>
      <c r="AQ3" s="15" t="str">
        <f>VLOOKUP(AP3,'Axe 2 Règles de gestion'!$D$2:$F$84,3, FALSE)</f>
        <v>Acte : Un acte administratif doit être produit si l'agent bénéficie de l'indemnisation de jours de son compte épargne-temps ou d'une prise en compte au sein du régime de retraite additionnelle de la fonction publique - RAFP.</v>
      </c>
      <c r="AR3" s="13"/>
      <c r="AS3" s="13"/>
    </row>
    <row r="4" spans="1:45" ht="142.65" x14ac:dyDescent="0.25">
      <c r="A4" s="13" t="s">
        <v>76</v>
      </c>
      <c r="B4" s="13" t="s">
        <v>77</v>
      </c>
      <c r="C4" s="14">
        <v>45628.724305555559</v>
      </c>
      <c r="D4" s="13" t="s">
        <v>78</v>
      </c>
      <c r="E4" s="15" t="s">
        <v>79</v>
      </c>
      <c r="F4" s="13" t="s">
        <v>80</v>
      </c>
      <c r="G4" s="15" t="s">
        <v>81</v>
      </c>
      <c r="H4" s="13" t="s">
        <v>82</v>
      </c>
      <c r="I4" s="15" t="s">
        <v>81</v>
      </c>
      <c r="J4" s="15" t="s">
        <v>83</v>
      </c>
      <c r="K4" s="15" t="s">
        <v>84</v>
      </c>
      <c r="L4" s="13" t="s">
        <v>118</v>
      </c>
      <c r="M4" s="15" t="s">
        <v>119</v>
      </c>
      <c r="N4" s="14" t="s">
        <v>87</v>
      </c>
      <c r="O4" s="15" t="s">
        <v>120</v>
      </c>
      <c r="P4" s="15" t="s">
        <v>121</v>
      </c>
      <c r="Q4" s="15" t="s">
        <v>90</v>
      </c>
      <c r="R4" s="13" t="s">
        <v>91</v>
      </c>
      <c r="S4" s="13" t="s">
        <v>92</v>
      </c>
      <c r="T4" s="13" t="s">
        <v>93</v>
      </c>
      <c r="U4" s="14">
        <v>43436</v>
      </c>
      <c r="V4" s="14">
        <v>43436</v>
      </c>
      <c r="W4" s="15" t="s">
        <v>325</v>
      </c>
      <c r="X4" s="13" t="s">
        <v>326</v>
      </c>
      <c r="Y4" s="15" t="str">
        <f>VLOOKUP(X4,'Axe 2 Règles de gestion'!$D$2:$F$84,3, FALSE)</f>
        <v>Rémunération : En cas d'indemnisation, le montant versé est un montant forfaitaire qui dépend de la catégorie statutaire d'appartenance de l'agent.</v>
      </c>
      <c r="Z4" s="13" t="s">
        <v>328</v>
      </c>
      <c r="AA4" s="15" t="str">
        <f>VLOOKUP(Z4,'Axe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4" s="13" t="s">
        <v>330</v>
      </c>
      <c r="AC4" s="15" t="str">
        <f>VLOOKUP(AB4,'Axe 2 Règles de gestion'!$D$2:$F$84,3, FALSE)</f>
        <v>Stage : L'agent ne peut pas demander l'ouverture ou l'utilisation d'un compte épargne-temps durant la durée de son stage.</v>
      </c>
      <c r="AD4" s="13" t="s">
        <v>332</v>
      </c>
      <c r="AE4" s="15" t="str">
        <f>VLOOKUP(AD4,'Axe 2 Règles de gestion'!$D$2:$F$84,3, FALSE)</f>
        <v>Congés annuels : L'agent conserve son droit à congé annuel.</v>
      </c>
      <c r="AF4" s="13" t="s">
        <v>334</v>
      </c>
      <c r="AG4" s="15" t="str">
        <f>VLOOKUP(AF4,'Axe 2 Règles de gestion'!$D$2:$F$84,3, FALSE)</f>
        <v>Mobilité : Si l'agent effectue une mobilité auprès d'une administration, d'une collectivité ou d'un établissement relevant de l'une des trois fonctions publiques, l'agent conserve le bénéfice de son compte épargne-temps.</v>
      </c>
      <c r="AH4" s="13" t="s">
        <v>336</v>
      </c>
      <c r="AI4" s="15" t="str">
        <f>VLOOKUP(AH4,'Axe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4" s="13" t="s">
        <v>338</v>
      </c>
      <c r="AK4" s="15" t="str">
        <f>VLOOKUP(AJ4,'Axe 2 Règles de gestion'!$D$2:$F$84,3, FALSE)</f>
        <v>Détachement : Si l'agent est en position de détachement auprès d'une administration, d'une collectivité ou d'un établissement relevant de l'une des trois fonctions publiques, l'agent conserve le bénéfice de son compte épargne-temps.</v>
      </c>
      <c r="AL4" s="13" t="s">
        <v>340</v>
      </c>
      <c r="AM4" s="15" t="str">
        <f>VLOOKUP(AL4,'Axe 2 Règles de gestion'!$D$2:$F$84,3, FALSE)</f>
        <v>Retraite : Si l'agent dispose de plus de 15 jours sur son compte épargne-temps, il peut choisir une prise en compte au sein du régime de retraite additionnelle de la fonction publique - RAFP, au-delà des 15 jours.</v>
      </c>
      <c r="AN4" s="13" t="s">
        <v>342</v>
      </c>
      <c r="AO4" s="15" t="str">
        <f>VLOOKUP(AN4,'Axe 2 Règles de gestion'!$D$2:$F$84,3, FALSE)</f>
        <v>Décès : Les droits acquis au titre du compte épargne-temps de l'agent bénéficient à ses ayants droit. Ils donnent lieu à une indemnisation forfaitaire.</v>
      </c>
      <c r="AP4" s="13" t="s">
        <v>344</v>
      </c>
      <c r="AQ4" s="15" t="str">
        <f>VLOOKUP(AP4,'Axe 2 Règles de gestion'!$D$2:$F$84,3, FALSE)</f>
        <v>Acte : Un acte administratif doit être produit si l'agent bénéficie de l'indemnisation de jours de son compte épargne-temps ou d'une prise en compte au sein du régime de retraite additionnelle de la fonction publique - RAFP.</v>
      </c>
      <c r="AR4" s="13"/>
      <c r="AS4" s="13"/>
    </row>
    <row r="5" spans="1:45" ht="142.65" x14ac:dyDescent="0.25">
      <c r="A5" s="13" t="s">
        <v>142</v>
      </c>
      <c r="B5" s="13" t="s">
        <v>77</v>
      </c>
      <c r="C5" s="14">
        <v>43509.729861111111</v>
      </c>
      <c r="D5" s="13" t="s">
        <v>78</v>
      </c>
      <c r="E5" s="15" t="s">
        <v>79</v>
      </c>
      <c r="F5" s="13" t="s">
        <v>80</v>
      </c>
      <c r="G5" s="15" t="s">
        <v>81</v>
      </c>
      <c r="H5" s="13" t="s">
        <v>82</v>
      </c>
      <c r="I5" s="15" t="s">
        <v>81</v>
      </c>
      <c r="J5" s="15" t="s">
        <v>83</v>
      </c>
      <c r="K5" s="15" t="s">
        <v>84</v>
      </c>
      <c r="L5" s="13" t="s">
        <v>143</v>
      </c>
      <c r="M5" s="15" t="s">
        <v>144</v>
      </c>
      <c r="N5" s="14" t="s">
        <v>87</v>
      </c>
      <c r="O5" s="15" t="s">
        <v>145</v>
      </c>
      <c r="P5" s="15" t="s">
        <v>146</v>
      </c>
      <c r="Q5" s="15" t="s">
        <v>90</v>
      </c>
      <c r="R5" s="13" t="s">
        <v>91</v>
      </c>
      <c r="S5" s="13" t="s">
        <v>92</v>
      </c>
      <c r="T5" s="13" t="s">
        <v>93</v>
      </c>
      <c r="U5" s="14">
        <v>40725</v>
      </c>
      <c r="V5" s="14">
        <v>43435</v>
      </c>
      <c r="W5" s="15" t="s">
        <v>325</v>
      </c>
      <c r="X5" s="13" t="s">
        <v>326</v>
      </c>
      <c r="Y5" s="15" t="str">
        <f>VLOOKUP(X5,'Axe 2 Règles de gestion'!$D$2:$F$84,3, FALSE)</f>
        <v>Rémunération : En cas d'indemnisation, le montant versé est un montant forfaitaire qui dépend de la catégorie statutaire d'appartenance de l'agent.</v>
      </c>
      <c r="Z5" s="13" t="s">
        <v>328</v>
      </c>
      <c r="AA5" s="15" t="str">
        <f>VLOOKUP(Z5,'Axe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5" s="13" t="s">
        <v>330</v>
      </c>
      <c r="AC5" s="15" t="str">
        <f>VLOOKUP(AB5,'Axe 2 Règles de gestion'!$D$2:$F$84,3, FALSE)</f>
        <v>Stage : L'agent ne peut pas demander l'ouverture ou l'utilisation d'un compte épargne-temps durant la durée de son stage.</v>
      </c>
      <c r="AD5" s="13" t="s">
        <v>332</v>
      </c>
      <c r="AE5" s="15" t="str">
        <f>VLOOKUP(AD5,'Axe 2 Règles de gestion'!$D$2:$F$84,3, FALSE)</f>
        <v>Congés annuels : L'agent conserve son droit à congé annuel.</v>
      </c>
      <c r="AF5" s="13" t="s">
        <v>334</v>
      </c>
      <c r="AG5" s="15" t="str">
        <f>VLOOKUP(AF5,'Axe 2 Règles de gestion'!$D$2:$F$84,3, FALSE)</f>
        <v>Mobilité : Si l'agent effectue une mobilité auprès d'une administration, d'une collectivité ou d'un établissement relevant de l'une des trois fonctions publiques, l'agent conserve le bénéfice de son compte épargne-temps.</v>
      </c>
      <c r="AH5" s="13" t="s">
        <v>336</v>
      </c>
      <c r="AI5" s="15" t="str">
        <f>VLOOKUP(AH5,'Axe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5" s="13" t="s">
        <v>338</v>
      </c>
      <c r="AK5" s="15" t="str">
        <f>VLOOKUP(AJ5,'Axe 2 Règles de gestion'!$D$2:$F$84,3, FALSE)</f>
        <v>Détachement : Si l'agent est en position de détachement auprès d'une administration, d'une collectivité ou d'un établissement relevant de l'une des trois fonctions publiques, l'agent conserve le bénéfice de son compte épargne-temps.</v>
      </c>
      <c r="AL5" s="13" t="s">
        <v>340</v>
      </c>
      <c r="AM5" s="15" t="str">
        <f>VLOOKUP(AL5,'Axe 2 Règles de gestion'!$D$2:$F$84,3, FALSE)</f>
        <v>Retraite : Si l'agent dispose de plus de 15 jours sur son compte épargne-temps, il peut choisir une prise en compte au sein du régime de retraite additionnelle de la fonction publique - RAFP, au-delà des 15 jours.</v>
      </c>
      <c r="AN5" s="13" t="s">
        <v>342</v>
      </c>
      <c r="AO5" s="15" t="str">
        <f>VLOOKUP(AN5,'Axe 2 Règles de gestion'!$D$2:$F$84,3, FALSE)</f>
        <v>Décès : Les droits acquis au titre du compte épargne-temps de l'agent bénéficient à ses ayants droit. Ils donnent lieu à une indemnisation forfaitaire.</v>
      </c>
      <c r="AP5" s="13" t="s">
        <v>344</v>
      </c>
      <c r="AQ5" s="15" t="str">
        <f>VLOOKUP(AP5,'Axe 2 Règles de gestion'!$D$2:$F$84,3, FALSE)</f>
        <v>Acte : Un acte administratif doit être produit si l'agent bénéficie de l'indemnisation de jours de son compte épargne-temps ou d'une prise en compte au sein du régime de retraite additionnelle de la fonction publique - RAFP.</v>
      </c>
      <c r="AR5" s="13"/>
      <c r="AS5" s="13"/>
    </row>
    <row r="6" spans="1:45" ht="142.65" x14ac:dyDescent="0.25">
      <c r="A6" s="13" t="s">
        <v>76</v>
      </c>
      <c r="B6" s="13" t="s">
        <v>77</v>
      </c>
      <c r="C6" s="14">
        <v>45628.701388888891</v>
      </c>
      <c r="D6" s="13" t="s">
        <v>78</v>
      </c>
      <c r="E6" s="15" t="s">
        <v>79</v>
      </c>
      <c r="F6" s="13" t="s">
        <v>80</v>
      </c>
      <c r="G6" s="15" t="s">
        <v>81</v>
      </c>
      <c r="H6" s="13" t="s">
        <v>82</v>
      </c>
      <c r="I6" s="15" t="s">
        <v>81</v>
      </c>
      <c r="J6" s="15" t="s">
        <v>83</v>
      </c>
      <c r="K6" s="15" t="s">
        <v>84</v>
      </c>
      <c r="L6" s="13" t="s">
        <v>143</v>
      </c>
      <c r="M6" s="15" t="s">
        <v>144</v>
      </c>
      <c r="N6" s="14" t="s">
        <v>87</v>
      </c>
      <c r="O6" s="15" t="s">
        <v>145</v>
      </c>
      <c r="P6" s="15" t="s">
        <v>146</v>
      </c>
      <c r="Q6" s="15" t="s">
        <v>90</v>
      </c>
      <c r="R6" s="13" t="s">
        <v>91</v>
      </c>
      <c r="S6" s="13" t="s">
        <v>92</v>
      </c>
      <c r="T6" s="13" t="s">
        <v>93</v>
      </c>
      <c r="U6" s="14">
        <v>43436</v>
      </c>
      <c r="V6" s="14">
        <v>43436</v>
      </c>
      <c r="W6" s="15" t="s">
        <v>325</v>
      </c>
      <c r="X6" s="13" t="s">
        <v>326</v>
      </c>
      <c r="Y6" s="15" t="str">
        <f>VLOOKUP(X6,'Axe 2 Règles de gestion'!$D$2:$F$84,3, FALSE)</f>
        <v>Rémunération : En cas d'indemnisation, le montant versé est un montant forfaitaire qui dépend de la catégorie statutaire d'appartenance de l'agent.</v>
      </c>
      <c r="Z6" s="13" t="s">
        <v>328</v>
      </c>
      <c r="AA6" s="15" t="str">
        <f>VLOOKUP(Z6,'Axe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6" s="13" t="s">
        <v>330</v>
      </c>
      <c r="AC6" s="15" t="str">
        <f>VLOOKUP(AB6,'Axe 2 Règles de gestion'!$D$2:$F$84,3, FALSE)</f>
        <v>Stage : L'agent ne peut pas demander l'ouverture ou l'utilisation d'un compte épargne-temps durant la durée de son stage.</v>
      </c>
      <c r="AD6" s="13" t="s">
        <v>332</v>
      </c>
      <c r="AE6" s="15" t="str">
        <f>VLOOKUP(AD6,'Axe 2 Règles de gestion'!$D$2:$F$84,3, FALSE)</f>
        <v>Congés annuels : L'agent conserve son droit à congé annuel.</v>
      </c>
      <c r="AF6" s="13" t="s">
        <v>334</v>
      </c>
      <c r="AG6" s="15" t="str">
        <f>VLOOKUP(AF6,'Axe 2 Règles de gestion'!$D$2:$F$84,3, FALSE)</f>
        <v>Mobilité : Si l'agent effectue une mobilité auprès d'une administration, d'une collectivité ou d'un établissement relevant de l'une des trois fonctions publiques, l'agent conserve le bénéfice de son compte épargne-temps.</v>
      </c>
      <c r="AH6" s="13" t="s">
        <v>336</v>
      </c>
      <c r="AI6" s="15" t="str">
        <f>VLOOKUP(AH6,'Axe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6" s="13" t="s">
        <v>338</v>
      </c>
      <c r="AK6" s="15" t="str">
        <f>VLOOKUP(AJ6,'Axe 2 Règles de gestion'!$D$2:$F$84,3, FALSE)</f>
        <v>Détachement : Si l'agent est en position de détachement auprès d'une administration, d'une collectivité ou d'un établissement relevant de l'une des trois fonctions publiques, l'agent conserve le bénéfice de son compte épargne-temps.</v>
      </c>
      <c r="AL6" s="13" t="s">
        <v>340</v>
      </c>
      <c r="AM6" s="15" t="str">
        <f>VLOOKUP(AL6,'Axe 2 Règles de gestion'!$D$2:$F$84,3, FALSE)</f>
        <v>Retraite : Si l'agent dispose de plus de 15 jours sur son compte épargne-temps, il peut choisir une prise en compte au sein du régime de retraite additionnelle de la fonction publique - RAFP, au-delà des 15 jours.</v>
      </c>
      <c r="AN6" s="13" t="s">
        <v>342</v>
      </c>
      <c r="AO6" s="15" t="str">
        <f>VLOOKUP(AN6,'Axe 2 Règles de gestion'!$D$2:$F$84,3, FALSE)</f>
        <v>Décès : Les droits acquis au titre du compte épargne-temps de l'agent bénéficient à ses ayants droit. Ils donnent lieu à une indemnisation forfaitaire.</v>
      </c>
      <c r="AP6" s="13" t="s">
        <v>344</v>
      </c>
      <c r="AQ6" s="15" t="str">
        <f>VLOOKUP(AP6,'Axe 2 Règles de gestion'!$D$2:$F$84,3, FALSE)</f>
        <v>Acte : Un acte administratif doit être produit si l'agent bénéficie de l'indemnisation de jours de son compte épargne-temps ou d'une prise en compte au sein du régime de retraite additionnelle de la fonction publique - RAFP.</v>
      </c>
      <c r="AR6" s="13"/>
      <c r="AS6" s="13"/>
    </row>
    <row r="7" spans="1:45" ht="28.55" x14ac:dyDescent="0.25">
      <c r="A7" s="13" t="s">
        <v>76</v>
      </c>
      <c r="B7" s="13" t="s">
        <v>77</v>
      </c>
      <c r="C7" s="14">
        <v>45628.701388888891</v>
      </c>
      <c r="D7" s="13" t="s">
        <v>78</v>
      </c>
      <c r="E7" s="15" t="s">
        <v>79</v>
      </c>
      <c r="F7" s="13" t="s">
        <v>80</v>
      </c>
      <c r="G7" s="15" t="s">
        <v>81</v>
      </c>
      <c r="H7" s="13" t="s">
        <v>82</v>
      </c>
      <c r="I7" s="15" t="s">
        <v>81</v>
      </c>
      <c r="J7" s="15" t="s">
        <v>83</v>
      </c>
      <c r="K7" s="15" t="s">
        <v>84</v>
      </c>
      <c r="L7" s="13" t="s">
        <v>85</v>
      </c>
      <c r="M7" s="15" t="s">
        <v>86</v>
      </c>
      <c r="N7" s="14" t="s">
        <v>87</v>
      </c>
      <c r="O7" s="15" t="s">
        <v>88</v>
      </c>
      <c r="P7" s="15" t="s">
        <v>89</v>
      </c>
      <c r="Q7" s="15" t="s">
        <v>172</v>
      </c>
      <c r="R7" s="13" t="s">
        <v>173</v>
      </c>
      <c r="S7" s="13" t="s">
        <v>92</v>
      </c>
      <c r="T7" s="13" t="s">
        <v>174</v>
      </c>
      <c r="U7" s="14">
        <v>43831</v>
      </c>
      <c r="V7" s="14">
        <v>43831</v>
      </c>
      <c r="W7" s="15"/>
      <c r="X7" s="13"/>
      <c r="Y7" s="15"/>
      <c r="Z7" s="13"/>
      <c r="AA7" s="15"/>
      <c r="AB7" s="13"/>
      <c r="AC7" s="15"/>
      <c r="AD7" s="13"/>
      <c r="AE7" s="15"/>
      <c r="AF7" s="13"/>
      <c r="AG7" s="15"/>
      <c r="AH7" s="13"/>
      <c r="AI7" s="15"/>
      <c r="AJ7" s="13"/>
      <c r="AK7" s="15"/>
      <c r="AL7" s="13"/>
      <c r="AM7" s="15"/>
      <c r="AN7" s="13"/>
      <c r="AO7" s="15"/>
      <c r="AP7" s="13"/>
      <c r="AQ7" s="15"/>
      <c r="AR7" s="13"/>
      <c r="AS7" s="13"/>
    </row>
    <row r="8" spans="1:45" ht="42.8" x14ac:dyDescent="0.25">
      <c r="A8" s="13" t="s">
        <v>76</v>
      </c>
      <c r="B8" s="13" t="s">
        <v>77</v>
      </c>
      <c r="C8" s="14">
        <v>45628.702777777777</v>
      </c>
      <c r="D8" s="13" t="s">
        <v>78</v>
      </c>
      <c r="E8" s="15" t="s">
        <v>79</v>
      </c>
      <c r="F8" s="13" t="s">
        <v>80</v>
      </c>
      <c r="G8" s="15" t="s">
        <v>81</v>
      </c>
      <c r="H8" s="13" t="s">
        <v>82</v>
      </c>
      <c r="I8" s="15" t="s">
        <v>81</v>
      </c>
      <c r="J8" s="15" t="s">
        <v>83</v>
      </c>
      <c r="K8" s="15" t="s">
        <v>84</v>
      </c>
      <c r="L8" s="13" t="s">
        <v>118</v>
      </c>
      <c r="M8" s="15" t="s">
        <v>119</v>
      </c>
      <c r="N8" s="14" t="s">
        <v>87</v>
      </c>
      <c r="O8" s="15" t="s">
        <v>120</v>
      </c>
      <c r="P8" s="15" t="s">
        <v>121</v>
      </c>
      <c r="Q8" s="15" t="s">
        <v>172</v>
      </c>
      <c r="R8" s="13" t="s">
        <v>173</v>
      </c>
      <c r="S8" s="13" t="s">
        <v>92</v>
      </c>
      <c r="T8" s="13" t="s">
        <v>174</v>
      </c>
      <c r="U8" s="14">
        <v>43831</v>
      </c>
      <c r="V8" s="14">
        <v>43831</v>
      </c>
      <c r="W8" s="15"/>
      <c r="X8" s="13"/>
      <c r="Y8" s="15"/>
      <c r="Z8" s="13"/>
      <c r="AA8" s="15"/>
      <c r="AB8" s="13"/>
      <c r="AC8" s="15"/>
      <c r="AD8" s="13"/>
      <c r="AE8" s="15"/>
      <c r="AF8" s="13"/>
      <c r="AG8" s="15"/>
      <c r="AH8" s="13"/>
      <c r="AI8" s="15"/>
      <c r="AJ8" s="13"/>
      <c r="AK8" s="15"/>
      <c r="AL8" s="13"/>
      <c r="AM8" s="15"/>
      <c r="AN8" s="13"/>
      <c r="AO8" s="15"/>
      <c r="AP8" s="13"/>
      <c r="AQ8" s="15"/>
      <c r="AR8" s="13"/>
      <c r="AS8" s="13"/>
    </row>
    <row r="9" spans="1:45" ht="42.8" x14ac:dyDescent="0.25">
      <c r="A9" s="13" t="s">
        <v>76</v>
      </c>
      <c r="B9" s="13" t="s">
        <v>77</v>
      </c>
      <c r="C9" s="14">
        <v>45628.703472222223</v>
      </c>
      <c r="D9" s="13" t="s">
        <v>78</v>
      </c>
      <c r="E9" s="15" t="s">
        <v>79</v>
      </c>
      <c r="F9" s="13" t="s">
        <v>80</v>
      </c>
      <c r="G9" s="15" t="s">
        <v>81</v>
      </c>
      <c r="H9" s="13" t="s">
        <v>82</v>
      </c>
      <c r="I9" s="15" t="s">
        <v>81</v>
      </c>
      <c r="J9" s="15" t="s">
        <v>83</v>
      </c>
      <c r="K9" s="15" t="s">
        <v>84</v>
      </c>
      <c r="L9" s="13" t="s">
        <v>143</v>
      </c>
      <c r="M9" s="15" t="s">
        <v>144</v>
      </c>
      <c r="N9" s="14" t="s">
        <v>87</v>
      </c>
      <c r="O9" s="15" t="s">
        <v>145</v>
      </c>
      <c r="P9" s="15" t="s">
        <v>146</v>
      </c>
      <c r="Q9" s="15" t="s">
        <v>172</v>
      </c>
      <c r="R9" s="13" t="s">
        <v>173</v>
      </c>
      <c r="S9" s="13" t="s">
        <v>92</v>
      </c>
      <c r="T9" s="13" t="s">
        <v>174</v>
      </c>
      <c r="U9" s="14">
        <v>43831</v>
      </c>
      <c r="V9" s="14">
        <v>43831</v>
      </c>
      <c r="W9" s="15"/>
      <c r="X9" s="13"/>
      <c r="Y9" s="15"/>
      <c r="Z9" s="13"/>
      <c r="AA9" s="15"/>
      <c r="AB9" s="13"/>
      <c r="AC9" s="15"/>
      <c r="AD9" s="13"/>
      <c r="AE9" s="15"/>
      <c r="AF9" s="13"/>
      <c r="AG9" s="15"/>
      <c r="AH9" s="13"/>
      <c r="AI9" s="15"/>
      <c r="AJ9" s="13"/>
      <c r="AK9" s="15"/>
      <c r="AL9" s="13"/>
      <c r="AM9" s="15"/>
      <c r="AN9" s="13"/>
      <c r="AO9" s="15"/>
      <c r="AP9" s="13"/>
      <c r="AQ9" s="15"/>
      <c r="AR9" s="13"/>
      <c r="AS9" s="13"/>
    </row>
    <row r="10" spans="1:45" ht="142.65" x14ac:dyDescent="0.25">
      <c r="A10" s="13" t="s">
        <v>76</v>
      </c>
      <c r="B10" s="13" t="s">
        <v>77</v>
      </c>
      <c r="C10" s="14">
        <v>45628.699305555558</v>
      </c>
      <c r="D10" s="13" t="s">
        <v>78</v>
      </c>
      <c r="E10" s="15" t="s">
        <v>79</v>
      </c>
      <c r="F10" s="13" t="s">
        <v>80</v>
      </c>
      <c r="G10" s="15" t="s">
        <v>81</v>
      </c>
      <c r="H10" s="13" t="s">
        <v>82</v>
      </c>
      <c r="I10" s="15" t="s">
        <v>81</v>
      </c>
      <c r="J10" s="15" t="s">
        <v>83</v>
      </c>
      <c r="K10" s="15" t="s">
        <v>84</v>
      </c>
      <c r="L10" s="13" t="s">
        <v>85</v>
      </c>
      <c r="M10" s="15" t="s">
        <v>86</v>
      </c>
      <c r="N10" s="14" t="s">
        <v>87</v>
      </c>
      <c r="O10" s="15" t="s">
        <v>88</v>
      </c>
      <c r="P10" s="15" t="s">
        <v>89</v>
      </c>
      <c r="Q10" s="15" t="s">
        <v>175</v>
      </c>
      <c r="R10" s="13" t="s">
        <v>176</v>
      </c>
      <c r="S10" s="13" t="s">
        <v>92</v>
      </c>
      <c r="T10" s="13" t="s">
        <v>93</v>
      </c>
      <c r="U10" s="14">
        <v>40725</v>
      </c>
      <c r="V10" s="14">
        <v>40725</v>
      </c>
      <c r="W10" s="15" t="s">
        <v>346</v>
      </c>
      <c r="X10" s="13" t="s">
        <v>347</v>
      </c>
      <c r="Y10" s="15" t="str">
        <f>VLOOKUP(X10,'Axe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10" s="13" t="s">
        <v>349</v>
      </c>
      <c r="AA10" s="15" t="str">
        <f>VLOOKUP(Z10,'Axe 2 Règles de gestion'!$D$2:$F$84,3, FALSE)</f>
        <v>Carrière : Les congés pris au titre du compte épargne-temps sont assimilés à une période d'activité. Ils sont pris en compte dans l'ancienneté de service. La durée du congé est prise en compte comme service effectif.</v>
      </c>
      <c r="AB10" s="13" t="s">
        <v>332</v>
      </c>
      <c r="AC10" s="15" t="str">
        <f>VLOOKUP(AB10,'Axe 2 Règles de gestion'!$D$2:$F$84,3, FALSE)</f>
        <v>Congés annuels : L'agent conserve son droit à congé annuel.</v>
      </c>
      <c r="AD10" s="13" t="s">
        <v>334</v>
      </c>
      <c r="AE10" s="15" t="str">
        <f>VLOOKUP(AD10,'Axe 2 Règles de gestion'!$D$2:$F$84,3, FALSE)</f>
        <v>Mobilité : Si l'agent effectue une mobilité auprès d'une administration, d'une collectivité ou d'un établissement relevant de l'une des trois fonctions publiques, l'agent conserve le bénéfice de son compte épargne-temps.</v>
      </c>
      <c r="AF10" s="13" t="s">
        <v>336</v>
      </c>
      <c r="AG10" s="15" t="str">
        <f>VLOOKUP(AF10,'Axe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10" s="13" t="s">
        <v>342</v>
      </c>
      <c r="AI10" s="15" t="str">
        <f>VLOOKUP(AH10,'Axe 2 Règles de gestion'!$D$2:$F$84,3, FALSE)</f>
        <v>Décès : Les droits acquis au titre du compte épargne-temps de l'agent bénéficient à ses ayants droit. Ils donnent lieu à une indemnisation forfaitaire.</v>
      </c>
      <c r="AJ10" s="13" t="s">
        <v>351</v>
      </c>
      <c r="AK10" s="15" t="str">
        <f>VLOOKUP(AJ10,'Axe 2 Règles de gestion'!$D$2:$F$84,3, FALSE)</f>
        <v>Acte : Un acte administratif doit être produit si l'agent bénéficie de l'indemnisation de jours de son compte épargne-temps .</v>
      </c>
      <c r="AL10" s="13"/>
      <c r="AM10" s="15"/>
      <c r="AN10" s="13"/>
      <c r="AO10" s="15"/>
      <c r="AP10" s="13"/>
      <c r="AQ10" s="15"/>
      <c r="AR10" s="13"/>
      <c r="AS10" s="13"/>
    </row>
    <row r="11" spans="1:45" ht="142.65" x14ac:dyDescent="0.25">
      <c r="A11" s="13" t="s">
        <v>117</v>
      </c>
      <c r="B11" s="13" t="s">
        <v>77</v>
      </c>
      <c r="C11" s="14">
        <v>44053.457638888889</v>
      </c>
      <c r="D11" s="13" t="s">
        <v>78</v>
      </c>
      <c r="E11" s="15" t="s">
        <v>79</v>
      </c>
      <c r="F11" s="13" t="s">
        <v>80</v>
      </c>
      <c r="G11" s="15" t="s">
        <v>81</v>
      </c>
      <c r="H11" s="13" t="s">
        <v>82</v>
      </c>
      <c r="I11" s="15" t="s">
        <v>81</v>
      </c>
      <c r="J11" s="15" t="s">
        <v>83</v>
      </c>
      <c r="K11" s="15" t="s">
        <v>84</v>
      </c>
      <c r="L11" s="13" t="s">
        <v>118</v>
      </c>
      <c r="M11" s="15" t="s">
        <v>119</v>
      </c>
      <c r="N11" s="14" t="s">
        <v>87</v>
      </c>
      <c r="O11" s="15" t="s">
        <v>120</v>
      </c>
      <c r="P11" s="15" t="s">
        <v>121</v>
      </c>
      <c r="Q11" s="15" t="s">
        <v>175</v>
      </c>
      <c r="R11" s="13" t="s">
        <v>176</v>
      </c>
      <c r="S11" s="13" t="s">
        <v>92</v>
      </c>
      <c r="T11" s="13" t="s">
        <v>93</v>
      </c>
      <c r="U11" s="14">
        <v>40725</v>
      </c>
      <c r="V11" s="14">
        <v>43435</v>
      </c>
      <c r="W11" s="15" t="s">
        <v>346</v>
      </c>
      <c r="X11" s="13" t="s">
        <v>347</v>
      </c>
      <c r="Y11" s="15" t="str">
        <f>VLOOKUP(X11,'Axe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11" s="13" t="s">
        <v>349</v>
      </c>
      <c r="AA11" s="15" t="str">
        <f>VLOOKUP(Z11,'Axe 2 Règles de gestion'!$D$2:$F$84,3, FALSE)</f>
        <v>Carrière : Les congés pris au titre du compte épargne-temps sont assimilés à une période d'activité. Ils sont pris en compte dans l'ancienneté de service. La durée du congé est prise en compte comme service effectif.</v>
      </c>
      <c r="AB11" s="13" t="s">
        <v>332</v>
      </c>
      <c r="AC11" s="15" t="str">
        <f>VLOOKUP(AB11,'Axe 2 Règles de gestion'!$D$2:$F$84,3, FALSE)</f>
        <v>Congés annuels : L'agent conserve son droit à congé annuel.</v>
      </c>
      <c r="AD11" s="13" t="s">
        <v>334</v>
      </c>
      <c r="AE11" s="15" t="str">
        <f>VLOOKUP(AD11,'Axe 2 Règles de gestion'!$D$2:$F$84,3, FALSE)</f>
        <v>Mobilité : Si l'agent effectue une mobilité auprès d'une administration, d'une collectivité ou d'un établissement relevant de l'une des trois fonctions publiques, l'agent conserve le bénéfice de son compte épargne-temps.</v>
      </c>
      <c r="AF11" s="13" t="s">
        <v>336</v>
      </c>
      <c r="AG11" s="15" t="str">
        <f>VLOOKUP(AF11,'Axe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11" s="13" t="s">
        <v>342</v>
      </c>
      <c r="AI11" s="15" t="str">
        <f>VLOOKUP(AH11,'Axe 2 Règles de gestion'!$D$2:$F$84,3, FALSE)</f>
        <v>Décès : Les droits acquis au titre du compte épargne-temps de l'agent bénéficient à ses ayants droit. Ils donnent lieu à une indemnisation forfaitaire.</v>
      </c>
      <c r="AJ11" s="13" t="s">
        <v>351</v>
      </c>
      <c r="AK11" s="15" t="str">
        <f>VLOOKUP(AJ11,'Axe 2 Règles de gestion'!$D$2:$F$84,3, FALSE)</f>
        <v>Acte : Un acte administratif doit être produit si l'agent bénéficie de l'indemnisation de jours de son compte épargne-temps .</v>
      </c>
      <c r="AL11" s="13"/>
      <c r="AM11" s="15"/>
      <c r="AN11" s="13"/>
      <c r="AO11" s="15"/>
      <c r="AP11" s="13"/>
      <c r="AQ11" s="15"/>
      <c r="AR11" s="13"/>
      <c r="AS11" s="13"/>
    </row>
    <row r="12" spans="1:45" ht="142.65" x14ac:dyDescent="0.25">
      <c r="A12" s="13" t="s">
        <v>76</v>
      </c>
      <c r="B12" s="13" t="s">
        <v>77</v>
      </c>
      <c r="C12" s="14">
        <v>45677.426388888889</v>
      </c>
      <c r="D12" s="13" t="s">
        <v>78</v>
      </c>
      <c r="E12" s="15" t="s">
        <v>79</v>
      </c>
      <c r="F12" s="13" t="s">
        <v>80</v>
      </c>
      <c r="G12" s="15" t="s">
        <v>81</v>
      </c>
      <c r="H12" s="13" t="s">
        <v>82</v>
      </c>
      <c r="I12" s="15" t="s">
        <v>81</v>
      </c>
      <c r="J12" s="15" t="s">
        <v>83</v>
      </c>
      <c r="K12" s="15" t="s">
        <v>84</v>
      </c>
      <c r="L12" s="13" t="s">
        <v>118</v>
      </c>
      <c r="M12" s="15" t="s">
        <v>119</v>
      </c>
      <c r="N12" s="14" t="s">
        <v>87</v>
      </c>
      <c r="O12" s="15" t="s">
        <v>120</v>
      </c>
      <c r="P12" s="15" t="s">
        <v>121</v>
      </c>
      <c r="Q12" s="15" t="s">
        <v>175</v>
      </c>
      <c r="R12" s="13" t="s">
        <v>176</v>
      </c>
      <c r="S12" s="13" t="s">
        <v>92</v>
      </c>
      <c r="T12" s="13" t="s">
        <v>93</v>
      </c>
      <c r="U12" s="14">
        <v>43436</v>
      </c>
      <c r="V12" s="14">
        <v>43436</v>
      </c>
      <c r="W12" s="15" t="s">
        <v>346</v>
      </c>
      <c r="X12" s="13" t="s">
        <v>347</v>
      </c>
      <c r="Y12" s="15" t="str">
        <f>VLOOKUP(X12,'Axe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12" s="13" t="s">
        <v>349</v>
      </c>
      <c r="AA12" s="15" t="str">
        <f>VLOOKUP(Z12,'Axe 2 Règles de gestion'!$D$2:$F$84,3, FALSE)</f>
        <v>Carrière : Les congés pris au titre du compte épargne-temps sont assimilés à une période d'activité. Ils sont pris en compte dans l'ancienneté de service. La durée du congé est prise en compte comme service effectif.</v>
      </c>
      <c r="AB12" s="13" t="s">
        <v>332</v>
      </c>
      <c r="AC12" s="15" t="str">
        <f>VLOOKUP(AB12,'Axe 2 Règles de gestion'!$D$2:$F$84,3, FALSE)</f>
        <v>Congés annuels : L'agent conserve son droit à congé annuel.</v>
      </c>
      <c r="AD12" s="13" t="s">
        <v>334</v>
      </c>
      <c r="AE12" s="15" t="str">
        <f>VLOOKUP(AD12,'Axe 2 Règles de gestion'!$D$2:$F$84,3, FALSE)</f>
        <v>Mobilité : Si l'agent effectue une mobilité auprès d'une administration, d'une collectivité ou d'un établissement relevant de l'une des trois fonctions publiques, l'agent conserve le bénéfice de son compte épargne-temps.</v>
      </c>
      <c r="AF12" s="13" t="s">
        <v>336</v>
      </c>
      <c r="AG12" s="15" t="str">
        <f>VLOOKUP(AF12,'Axe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12" s="13" t="s">
        <v>342</v>
      </c>
      <c r="AI12" s="15" t="str">
        <f>VLOOKUP(AH12,'Axe 2 Règles de gestion'!$D$2:$F$84,3, FALSE)</f>
        <v>Décès : Les droits acquis au titre du compte épargne-temps de l'agent bénéficient à ses ayants droit. Ils donnent lieu à une indemnisation forfaitaire.</v>
      </c>
      <c r="AJ12" s="13" t="s">
        <v>351</v>
      </c>
      <c r="AK12" s="15" t="str">
        <f>VLOOKUP(AJ12,'Axe 2 Règles de gestion'!$D$2:$F$84,3, FALSE)</f>
        <v>Acte : Un acte administratif doit être produit si l'agent bénéficie de l'indemnisation de jours de son compte épargne-temps .</v>
      </c>
      <c r="AL12" s="13"/>
      <c r="AM12" s="15"/>
      <c r="AN12" s="13"/>
      <c r="AO12" s="15"/>
      <c r="AP12" s="13"/>
      <c r="AQ12" s="15"/>
      <c r="AR12" s="13"/>
      <c r="AS12" s="13"/>
    </row>
    <row r="13" spans="1:45" ht="142.65" x14ac:dyDescent="0.25">
      <c r="A13" s="13" t="s">
        <v>117</v>
      </c>
      <c r="B13" s="13" t="s">
        <v>77</v>
      </c>
      <c r="C13" s="14">
        <v>44053.462500000001</v>
      </c>
      <c r="D13" s="13" t="s">
        <v>78</v>
      </c>
      <c r="E13" s="15" t="s">
        <v>79</v>
      </c>
      <c r="F13" s="13" t="s">
        <v>80</v>
      </c>
      <c r="G13" s="15" t="s">
        <v>81</v>
      </c>
      <c r="H13" s="13" t="s">
        <v>82</v>
      </c>
      <c r="I13" s="15" t="s">
        <v>81</v>
      </c>
      <c r="J13" s="15" t="s">
        <v>83</v>
      </c>
      <c r="K13" s="15" t="s">
        <v>84</v>
      </c>
      <c r="L13" s="13" t="s">
        <v>143</v>
      </c>
      <c r="M13" s="15" t="s">
        <v>144</v>
      </c>
      <c r="N13" s="14" t="s">
        <v>87</v>
      </c>
      <c r="O13" s="15" t="s">
        <v>145</v>
      </c>
      <c r="P13" s="15" t="s">
        <v>146</v>
      </c>
      <c r="Q13" s="15" t="s">
        <v>175</v>
      </c>
      <c r="R13" s="13" t="s">
        <v>176</v>
      </c>
      <c r="S13" s="13" t="s">
        <v>92</v>
      </c>
      <c r="T13" s="13" t="s">
        <v>93</v>
      </c>
      <c r="U13" s="14">
        <v>40725</v>
      </c>
      <c r="V13" s="14">
        <v>43435</v>
      </c>
      <c r="W13" s="15" t="s">
        <v>346</v>
      </c>
      <c r="X13" s="13" t="s">
        <v>347</v>
      </c>
      <c r="Y13" s="15" t="str">
        <f>VLOOKUP(X13,'Axe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13" s="13" t="s">
        <v>349</v>
      </c>
      <c r="AA13" s="15" t="str">
        <f>VLOOKUP(Z13,'Axe 2 Règles de gestion'!$D$2:$F$84,3, FALSE)</f>
        <v>Carrière : Les congés pris au titre du compte épargne-temps sont assimilés à une période d'activité. Ils sont pris en compte dans l'ancienneté de service. La durée du congé est prise en compte comme service effectif.</v>
      </c>
      <c r="AB13" s="13" t="s">
        <v>332</v>
      </c>
      <c r="AC13" s="15" t="str">
        <f>VLOOKUP(AB13,'Axe 2 Règles de gestion'!$D$2:$F$84,3, FALSE)</f>
        <v>Congés annuels : L'agent conserve son droit à congé annuel.</v>
      </c>
      <c r="AD13" s="13" t="s">
        <v>334</v>
      </c>
      <c r="AE13" s="15" t="str">
        <f>VLOOKUP(AD13,'Axe 2 Règles de gestion'!$D$2:$F$84,3, FALSE)</f>
        <v>Mobilité : Si l'agent effectue une mobilité auprès d'une administration, d'une collectivité ou d'un établissement relevant de l'une des trois fonctions publiques, l'agent conserve le bénéfice de son compte épargne-temps.</v>
      </c>
      <c r="AF13" s="13" t="s">
        <v>336</v>
      </c>
      <c r="AG13" s="15" t="str">
        <f>VLOOKUP(AF13,'Axe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13" s="13" t="s">
        <v>342</v>
      </c>
      <c r="AI13" s="15" t="str">
        <f>VLOOKUP(AH13,'Axe 2 Règles de gestion'!$D$2:$F$84,3, FALSE)</f>
        <v>Décès : Les droits acquis au titre du compte épargne-temps de l'agent bénéficient à ses ayants droit. Ils donnent lieu à une indemnisation forfaitaire.</v>
      </c>
      <c r="AJ13" s="13" t="s">
        <v>351</v>
      </c>
      <c r="AK13" s="15" t="str">
        <f>VLOOKUP(AJ13,'Axe 2 Règles de gestion'!$D$2:$F$84,3, FALSE)</f>
        <v>Acte : Un acte administratif doit être produit si l'agent bénéficie de l'indemnisation de jours de son compte épargne-temps .</v>
      </c>
      <c r="AL13" s="13"/>
      <c r="AM13" s="15"/>
      <c r="AN13" s="13"/>
      <c r="AO13" s="15"/>
      <c r="AP13" s="13"/>
      <c r="AQ13" s="15"/>
      <c r="AR13" s="13"/>
      <c r="AS13" s="13"/>
    </row>
    <row r="14" spans="1:45" ht="142.65" x14ac:dyDescent="0.25">
      <c r="A14" s="13" t="s">
        <v>76</v>
      </c>
      <c r="B14" s="13" t="s">
        <v>77</v>
      </c>
      <c r="C14" s="14">
        <v>45628.726388888892</v>
      </c>
      <c r="D14" s="13" t="s">
        <v>78</v>
      </c>
      <c r="E14" s="15" t="s">
        <v>79</v>
      </c>
      <c r="F14" s="13" t="s">
        <v>80</v>
      </c>
      <c r="G14" s="15" t="s">
        <v>81</v>
      </c>
      <c r="H14" s="13" t="s">
        <v>82</v>
      </c>
      <c r="I14" s="15" t="s">
        <v>81</v>
      </c>
      <c r="J14" s="15" t="s">
        <v>83</v>
      </c>
      <c r="K14" s="15" t="s">
        <v>84</v>
      </c>
      <c r="L14" s="13" t="s">
        <v>143</v>
      </c>
      <c r="M14" s="15" t="s">
        <v>144</v>
      </c>
      <c r="N14" s="14" t="s">
        <v>87</v>
      </c>
      <c r="O14" s="15" t="s">
        <v>145</v>
      </c>
      <c r="P14" s="15" t="s">
        <v>146</v>
      </c>
      <c r="Q14" s="15" t="s">
        <v>175</v>
      </c>
      <c r="R14" s="13" t="s">
        <v>176</v>
      </c>
      <c r="S14" s="13" t="s">
        <v>92</v>
      </c>
      <c r="T14" s="13" t="s">
        <v>93</v>
      </c>
      <c r="U14" s="14">
        <v>43436</v>
      </c>
      <c r="V14" s="14">
        <v>43436</v>
      </c>
      <c r="W14" s="15" t="s">
        <v>346</v>
      </c>
      <c r="X14" s="13" t="s">
        <v>347</v>
      </c>
      <c r="Y14" s="15" t="str">
        <f>VLOOKUP(X14,'Axe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14" s="13" t="s">
        <v>349</v>
      </c>
      <c r="AA14" s="15" t="str">
        <f>VLOOKUP(Z14,'Axe 2 Règles de gestion'!$D$2:$F$84,3, FALSE)</f>
        <v>Carrière : Les congés pris au titre du compte épargne-temps sont assimilés à une période d'activité. Ils sont pris en compte dans l'ancienneté de service. La durée du congé est prise en compte comme service effectif.</v>
      </c>
      <c r="AB14" s="13" t="s">
        <v>332</v>
      </c>
      <c r="AC14" s="15" t="str">
        <f>VLOOKUP(AB14,'Axe 2 Règles de gestion'!$D$2:$F$84,3, FALSE)</f>
        <v>Congés annuels : L'agent conserve son droit à congé annuel.</v>
      </c>
      <c r="AD14" s="13" t="s">
        <v>334</v>
      </c>
      <c r="AE14" s="15" t="str">
        <f>VLOOKUP(AD14,'Axe 2 Règles de gestion'!$D$2:$F$84,3, FALSE)</f>
        <v>Mobilité : Si l'agent effectue une mobilité auprès d'une administration, d'une collectivité ou d'un établissement relevant de l'une des trois fonctions publiques, l'agent conserve le bénéfice de son compte épargne-temps.</v>
      </c>
      <c r="AF14" s="13" t="s">
        <v>336</v>
      </c>
      <c r="AG14" s="15" t="str">
        <f>VLOOKUP(AF14,'Axe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14" s="13" t="s">
        <v>342</v>
      </c>
      <c r="AI14" s="15" t="str">
        <f>VLOOKUP(AH14,'Axe 2 Règles de gestion'!$D$2:$F$84,3, FALSE)</f>
        <v>Décès : Les droits acquis au titre du compte épargne-temps de l'agent bénéficient à ses ayants droit. Ils donnent lieu à une indemnisation forfaitaire.</v>
      </c>
      <c r="AJ14" s="13" t="s">
        <v>351</v>
      </c>
      <c r="AK14" s="15" t="str">
        <f>VLOOKUP(AJ14,'Axe 2 Règles de gestion'!$D$2:$F$84,3, FALSE)</f>
        <v>Acte : Un acte administratif doit être produit si l'agent bénéficie de l'indemnisation de jours de son compte épargne-temps .</v>
      </c>
      <c r="AL14" s="13"/>
      <c r="AM14" s="15"/>
      <c r="AN14" s="13"/>
      <c r="AO14" s="15"/>
      <c r="AP14" s="13"/>
      <c r="AQ14" s="15"/>
      <c r="AR14" s="13"/>
      <c r="AS14" s="13"/>
    </row>
    <row r="15" spans="1:45" ht="28.55" x14ac:dyDescent="0.25">
      <c r="A15" s="13" t="s">
        <v>76</v>
      </c>
      <c r="B15" s="13" t="s">
        <v>77</v>
      </c>
      <c r="C15" s="14">
        <v>45628.70208333333</v>
      </c>
      <c r="D15" s="13" t="s">
        <v>78</v>
      </c>
      <c r="E15" s="15" t="s">
        <v>79</v>
      </c>
      <c r="F15" s="13" t="s">
        <v>80</v>
      </c>
      <c r="G15" s="15" t="s">
        <v>81</v>
      </c>
      <c r="H15" s="13" t="s">
        <v>82</v>
      </c>
      <c r="I15" s="15" t="s">
        <v>81</v>
      </c>
      <c r="J15" s="15" t="s">
        <v>83</v>
      </c>
      <c r="K15" s="15" t="s">
        <v>84</v>
      </c>
      <c r="L15" s="13" t="s">
        <v>85</v>
      </c>
      <c r="M15" s="15" t="s">
        <v>86</v>
      </c>
      <c r="N15" s="14" t="s">
        <v>87</v>
      </c>
      <c r="O15" s="15" t="s">
        <v>88</v>
      </c>
      <c r="P15" s="15" t="s">
        <v>89</v>
      </c>
      <c r="Q15" s="15" t="s">
        <v>187</v>
      </c>
      <c r="R15" s="13" t="s">
        <v>188</v>
      </c>
      <c r="S15" s="13" t="s">
        <v>92</v>
      </c>
      <c r="T15" s="13" t="s">
        <v>174</v>
      </c>
      <c r="U15" s="14">
        <v>40725</v>
      </c>
      <c r="V15" s="14">
        <v>40725</v>
      </c>
      <c r="W15" s="15"/>
      <c r="X15" s="13"/>
      <c r="Y15" s="15"/>
      <c r="Z15" s="13"/>
      <c r="AA15" s="15"/>
      <c r="AB15" s="13"/>
      <c r="AC15" s="15"/>
      <c r="AD15" s="13"/>
      <c r="AE15" s="15"/>
      <c r="AF15" s="13"/>
      <c r="AG15" s="15"/>
      <c r="AH15" s="13"/>
      <c r="AI15" s="15"/>
      <c r="AJ15" s="13"/>
      <c r="AK15" s="15"/>
      <c r="AL15" s="13"/>
      <c r="AM15" s="15"/>
      <c r="AN15" s="13"/>
      <c r="AO15" s="15"/>
      <c r="AP15" s="13"/>
      <c r="AQ15" s="15"/>
      <c r="AR15" s="13"/>
      <c r="AS15" s="13"/>
    </row>
    <row r="16" spans="1:45" ht="42.8" x14ac:dyDescent="0.25">
      <c r="A16" s="13" t="s">
        <v>76</v>
      </c>
      <c r="B16" s="13" t="s">
        <v>77</v>
      </c>
      <c r="C16" s="14">
        <v>45628.703472222223</v>
      </c>
      <c r="D16" s="13" t="s">
        <v>78</v>
      </c>
      <c r="E16" s="15" t="s">
        <v>79</v>
      </c>
      <c r="F16" s="13" t="s">
        <v>80</v>
      </c>
      <c r="G16" s="15" t="s">
        <v>81</v>
      </c>
      <c r="H16" s="13" t="s">
        <v>82</v>
      </c>
      <c r="I16" s="15" t="s">
        <v>81</v>
      </c>
      <c r="J16" s="15" t="s">
        <v>83</v>
      </c>
      <c r="K16" s="15" t="s">
        <v>84</v>
      </c>
      <c r="L16" s="13" t="s">
        <v>118</v>
      </c>
      <c r="M16" s="15" t="s">
        <v>119</v>
      </c>
      <c r="N16" s="14" t="s">
        <v>87</v>
      </c>
      <c r="O16" s="15" t="s">
        <v>120</v>
      </c>
      <c r="P16" s="15" t="s">
        <v>121</v>
      </c>
      <c r="Q16" s="15" t="s">
        <v>187</v>
      </c>
      <c r="R16" s="13" t="s">
        <v>188</v>
      </c>
      <c r="S16" s="13" t="s">
        <v>92</v>
      </c>
      <c r="T16" s="13" t="s">
        <v>174</v>
      </c>
      <c r="U16" s="14">
        <v>40725</v>
      </c>
      <c r="V16" s="14">
        <v>40725</v>
      </c>
      <c r="W16" s="15"/>
      <c r="X16" s="13"/>
      <c r="Y16" s="15"/>
      <c r="Z16" s="13"/>
      <c r="AA16" s="15"/>
      <c r="AB16" s="13"/>
      <c r="AC16" s="15"/>
      <c r="AD16" s="13"/>
      <c r="AE16" s="15"/>
      <c r="AF16" s="13"/>
      <c r="AG16" s="15"/>
      <c r="AH16" s="13"/>
      <c r="AI16" s="15"/>
      <c r="AJ16" s="13"/>
      <c r="AK16" s="15"/>
      <c r="AL16" s="13"/>
      <c r="AM16" s="15"/>
      <c r="AN16" s="13"/>
      <c r="AO16" s="15"/>
      <c r="AP16" s="13"/>
      <c r="AQ16" s="15"/>
      <c r="AR16" s="13"/>
      <c r="AS16" s="13"/>
    </row>
    <row r="17" spans="1:45" ht="42.8" x14ac:dyDescent="0.25">
      <c r="A17" s="13" t="s">
        <v>76</v>
      </c>
      <c r="B17" s="13" t="s">
        <v>77</v>
      </c>
      <c r="C17" s="14">
        <v>45628.704861111109</v>
      </c>
      <c r="D17" s="13" t="s">
        <v>78</v>
      </c>
      <c r="E17" s="15" t="s">
        <v>79</v>
      </c>
      <c r="F17" s="13" t="s">
        <v>80</v>
      </c>
      <c r="G17" s="15" t="s">
        <v>81</v>
      </c>
      <c r="H17" s="13" t="s">
        <v>82</v>
      </c>
      <c r="I17" s="15" t="s">
        <v>81</v>
      </c>
      <c r="J17" s="15" t="s">
        <v>83</v>
      </c>
      <c r="K17" s="15" t="s">
        <v>84</v>
      </c>
      <c r="L17" s="13" t="s">
        <v>143</v>
      </c>
      <c r="M17" s="15" t="s">
        <v>144</v>
      </c>
      <c r="N17" s="14" t="s">
        <v>87</v>
      </c>
      <c r="O17" s="15" t="s">
        <v>145</v>
      </c>
      <c r="P17" s="15" t="s">
        <v>146</v>
      </c>
      <c r="Q17" s="15" t="s">
        <v>187</v>
      </c>
      <c r="R17" s="13" t="s">
        <v>188</v>
      </c>
      <c r="S17" s="13" t="s">
        <v>92</v>
      </c>
      <c r="T17" s="13" t="s">
        <v>174</v>
      </c>
      <c r="U17" s="14">
        <v>40725</v>
      </c>
      <c r="V17" s="14">
        <v>40725</v>
      </c>
      <c r="W17" s="15"/>
      <c r="X17" s="13"/>
      <c r="Y17" s="15"/>
      <c r="Z17" s="13"/>
      <c r="AA17" s="15"/>
      <c r="AB17" s="13"/>
      <c r="AC17" s="15"/>
      <c r="AD17" s="13"/>
      <c r="AE17" s="15"/>
      <c r="AF17" s="13"/>
      <c r="AG17" s="15"/>
      <c r="AH17" s="13"/>
      <c r="AI17" s="15"/>
      <c r="AJ17" s="13"/>
      <c r="AK17" s="15"/>
      <c r="AL17" s="13"/>
      <c r="AM17" s="15"/>
      <c r="AN17" s="13"/>
      <c r="AO17" s="15"/>
      <c r="AP17" s="13"/>
      <c r="AQ17" s="15"/>
      <c r="AR17" s="13"/>
      <c r="AS17" s="13"/>
    </row>
    <row r="18" spans="1:45" ht="28.55" x14ac:dyDescent="0.25">
      <c r="A18" s="13" t="s">
        <v>76</v>
      </c>
      <c r="B18" s="13" t="s">
        <v>77</v>
      </c>
      <c r="C18" s="14">
        <v>45628.70208333333</v>
      </c>
      <c r="D18" s="13" t="s">
        <v>78</v>
      </c>
      <c r="E18" s="15" t="s">
        <v>79</v>
      </c>
      <c r="F18" s="13" t="s">
        <v>80</v>
      </c>
      <c r="G18" s="15" t="s">
        <v>81</v>
      </c>
      <c r="H18" s="13" t="s">
        <v>82</v>
      </c>
      <c r="I18" s="15" t="s">
        <v>81</v>
      </c>
      <c r="J18" s="15" t="s">
        <v>83</v>
      </c>
      <c r="K18" s="15" t="s">
        <v>84</v>
      </c>
      <c r="L18" s="13" t="s">
        <v>85</v>
      </c>
      <c r="M18" s="15" t="s">
        <v>86</v>
      </c>
      <c r="N18" s="14" t="s">
        <v>87</v>
      </c>
      <c r="O18" s="15" t="s">
        <v>88</v>
      </c>
      <c r="P18" s="15" t="s">
        <v>89</v>
      </c>
      <c r="Q18" s="15" t="s">
        <v>189</v>
      </c>
      <c r="R18" s="13" t="s">
        <v>190</v>
      </c>
      <c r="S18" s="13" t="s">
        <v>92</v>
      </c>
      <c r="T18" s="13" t="s">
        <v>174</v>
      </c>
      <c r="U18" s="14">
        <v>40725</v>
      </c>
      <c r="V18" s="14">
        <v>40725</v>
      </c>
      <c r="W18" s="15"/>
      <c r="X18" s="13"/>
      <c r="Y18" s="15"/>
      <c r="Z18" s="13"/>
      <c r="AA18" s="15"/>
      <c r="AB18" s="13"/>
      <c r="AC18" s="15"/>
      <c r="AD18" s="13"/>
      <c r="AE18" s="15"/>
      <c r="AF18" s="13"/>
      <c r="AG18" s="15"/>
      <c r="AH18" s="13"/>
      <c r="AI18" s="15"/>
      <c r="AJ18" s="13"/>
      <c r="AK18" s="15"/>
      <c r="AL18" s="13"/>
      <c r="AM18" s="15"/>
      <c r="AN18" s="13"/>
      <c r="AO18" s="15"/>
      <c r="AP18" s="13"/>
      <c r="AQ18" s="15"/>
      <c r="AR18" s="13"/>
      <c r="AS18" s="13"/>
    </row>
    <row r="19" spans="1:45" ht="42.8" x14ac:dyDescent="0.25">
      <c r="A19" s="13" t="s">
        <v>76</v>
      </c>
      <c r="B19" s="13" t="s">
        <v>77</v>
      </c>
      <c r="C19" s="14">
        <v>45628.702777777777</v>
      </c>
      <c r="D19" s="13" t="s">
        <v>78</v>
      </c>
      <c r="E19" s="15" t="s">
        <v>79</v>
      </c>
      <c r="F19" s="13" t="s">
        <v>80</v>
      </c>
      <c r="G19" s="15" t="s">
        <v>81</v>
      </c>
      <c r="H19" s="13" t="s">
        <v>82</v>
      </c>
      <c r="I19" s="15" t="s">
        <v>81</v>
      </c>
      <c r="J19" s="15" t="s">
        <v>83</v>
      </c>
      <c r="K19" s="15" t="s">
        <v>84</v>
      </c>
      <c r="L19" s="13" t="s">
        <v>118</v>
      </c>
      <c r="M19" s="15" t="s">
        <v>119</v>
      </c>
      <c r="N19" s="14" t="s">
        <v>87</v>
      </c>
      <c r="O19" s="15" t="s">
        <v>120</v>
      </c>
      <c r="P19" s="15" t="s">
        <v>121</v>
      </c>
      <c r="Q19" s="15" t="s">
        <v>189</v>
      </c>
      <c r="R19" s="13" t="s">
        <v>190</v>
      </c>
      <c r="S19" s="13" t="s">
        <v>92</v>
      </c>
      <c r="T19" s="13" t="s">
        <v>174</v>
      </c>
      <c r="U19" s="14">
        <v>40725</v>
      </c>
      <c r="V19" s="14">
        <v>40725</v>
      </c>
      <c r="W19" s="15"/>
      <c r="X19" s="13"/>
      <c r="Y19" s="15"/>
      <c r="Z19" s="13"/>
      <c r="AA19" s="15"/>
      <c r="AB19" s="13"/>
      <c r="AC19" s="15"/>
      <c r="AD19" s="13"/>
      <c r="AE19" s="15"/>
      <c r="AF19" s="13"/>
      <c r="AG19" s="15"/>
      <c r="AH19" s="13"/>
      <c r="AI19" s="15"/>
      <c r="AJ19" s="13"/>
      <c r="AK19" s="15"/>
      <c r="AL19" s="13"/>
      <c r="AM19" s="15"/>
      <c r="AN19" s="13"/>
      <c r="AO19" s="15"/>
      <c r="AP19" s="13"/>
      <c r="AQ19" s="15"/>
      <c r="AR19" s="13"/>
      <c r="AS19" s="13"/>
    </row>
    <row r="20" spans="1:45" ht="42.8" x14ac:dyDescent="0.25">
      <c r="A20" s="13" t="s">
        <v>76</v>
      </c>
      <c r="B20" s="13" t="s">
        <v>77</v>
      </c>
      <c r="C20" s="14">
        <v>45628.704861111109</v>
      </c>
      <c r="D20" s="13" t="s">
        <v>78</v>
      </c>
      <c r="E20" s="15" t="s">
        <v>79</v>
      </c>
      <c r="F20" s="13" t="s">
        <v>80</v>
      </c>
      <c r="G20" s="15" t="s">
        <v>81</v>
      </c>
      <c r="H20" s="13" t="s">
        <v>82</v>
      </c>
      <c r="I20" s="15" t="s">
        <v>81</v>
      </c>
      <c r="J20" s="15" t="s">
        <v>83</v>
      </c>
      <c r="K20" s="15" t="s">
        <v>84</v>
      </c>
      <c r="L20" s="13" t="s">
        <v>143</v>
      </c>
      <c r="M20" s="15" t="s">
        <v>144</v>
      </c>
      <c r="N20" s="14" t="s">
        <v>87</v>
      </c>
      <c r="O20" s="15" t="s">
        <v>145</v>
      </c>
      <c r="P20" s="15" t="s">
        <v>146</v>
      </c>
      <c r="Q20" s="15" t="s">
        <v>189</v>
      </c>
      <c r="R20" s="13" t="s">
        <v>190</v>
      </c>
      <c r="S20" s="13" t="s">
        <v>92</v>
      </c>
      <c r="T20" s="13" t="s">
        <v>174</v>
      </c>
      <c r="U20" s="14">
        <v>40725</v>
      </c>
      <c r="V20" s="14">
        <v>40725</v>
      </c>
      <c r="W20" s="15"/>
      <c r="X20" s="13"/>
      <c r="Y20" s="15"/>
      <c r="Z20" s="13"/>
      <c r="AA20" s="15"/>
      <c r="AB20" s="13"/>
      <c r="AC20" s="15"/>
      <c r="AD20" s="13"/>
      <c r="AE20" s="15"/>
      <c r="AF20" s="13"/>
      <c r="AG20" s="15"/>
      <c r="AH20" s="13"/>
      <c r="AI20" s="15"/>
      <c r="AJ20" s="13"/>
      <c r="AK20" s="15"/>
      <c r="AL20" s="13"/>
      <c r="AM20" s="15"/>
      <c r="AN20" s="13"/>
      <c r="AO20" s="15"/>
      <c r="AP20" s="13"/>
      <c r="AQ20" s="15"/>
      <c r="AR20" s="13"/>
      <c r="AS20" s="13"/>
    </row>
    <row r="21" spans="1:45" ht="28.55" x14ac:dyDescent="0.25">
      <c r="A21" s="13" t="s">
        <v>76</v>
      </c>
      <c r="B21" s="13" t="s">
        <v>77</v>
      </c>
      <c r="C21" s="14">
        <v>45628.705555555556</v>
      </c>
      <c r="D21" s="13" t="s">
        <v>78</v>
      </c>
      <c r="E21" s="15" t="s">
        <v>79</v>
      </c>
      <c r="F21" s="13" t="s">
        <v>80</v>
      </c>
      <c r="G21" s="15" t="s">
        <v>81</v>
      </c>
      <c r="H21" s="13" t="s">
        <v>82</v>
      </c>
      <c r="I21" s="15" t="s">
        <v>81</v>
      </c>
      <c r="J21" s="15" t="s">
        <v>83</v>
      </c>
      <c r="K21" s="15" t="s">
        <v>84</v>
      </c>
      <c r="L21" s="13" t="s">
        <v>85</v>
      </c>
      <c r="M21" s="15" t="s">
        <v>86</v>
      </c>
      <c r="N21" s="14" t="s">
        <v>87</v>
      </c>
      <c r="O21" s="15" t="s">
        <v>88</v>
      </c>
      <c r="P21" s="15" t="s">
        <v>89</v>
      </c>
      <c r="Q21" s="15" t="s">
        <v>191</v>
      </c>
      <c r="R21" s="13" t="s">
        <v>192</v>
      </c>
      <c r="S21" s="13" t="s">
        <v>193</v>
      </c>
      <c r="T21" s="13" t="s">
        <v>174</v>
      </c>
      <c r="U21" s="14">
        <v>40725</v>
      </c>
      <c r="V21" s="14">
        <v>40725</v>
      </c>
      <c r="W21" s="15"/>
      <c r="X21" s="13"/>
      <c r="Y21" s="15"/>
      <c r="Z21" s="13"/>
      <c r="AA21" s="15"/>
      <c r="AB21" s="13"/>
      <c r="AC21" s="15"/>
      <c r="AD21" s="13"/>
      <c r="AE21" s="15"/>
      <c r="AF21" s="13"/>
      <c r="AG21" s="15"/>
      <c r="AH21" s="13"/>
      <c r="AI21" s="15"/>
      <c r="AJ21" s="13"/>
      <c r="AK21" s="15"/>
      <c r="AL21" s="13"/>
      <c r="AM21" s="15"/>
      <c r="AN21" s="13"/>
      <c r="AO21" s="15"/>
      <c r="AP21" s="13"/>
      <c r="AQ21" s="15"/>
      <c r="AR21" s="13"/>
      <c r="AS21" s="13"/>
    </row>
    <row r="22" spans="1:45" ht="42.8" x14ac:dyDescent="0.25">
      <c r="A22" s="13" t="s">
        <v>76</v>
      </c>
      <c r="B22" s="13" t="s">
        <v>77</v>
      </c>
      <c r="C22" s="14">
        <v>45628.706944444442</v>
      </c>
      <c r="D22" s="13" t="s">
        <v>78</v>
      </c>
      <c r="E22" s="15" t="s">
        <v>79</v>
      </c>
      <c r="F22" s="13" t="s">
        <v>80</v>
      </c>
      <c r="G22" s="15" t="s">
        <v>81</v>
      </c>
      <c r="H22" s="13" t="s">
        <v>82</v>
      </c>
      <c r="I22" s="15" t="s">
        <v>81</v>
      </c>
      <c r="J22" s="15" t="s">
        <v>83</v>
      </c>
      <c r="K22" s="15" t="s">
        <v>84</v>
      </c>
      <c r="L22" s="13" t="s">
        <v>118</v>
      </c>
      <c r="M22" s="15" t="s">
        <v>119</v>
      </c>
      <c r="N22" s="14" t="s">
        <v>87</v>
      </c>
      <c r="O22" s="15" t="s">
        <v>120</v>
      </c>
      <c r="P22" s="15" t="s">
        <v>121</v>
      </c>
      <c r="Q22" s="15" t="s">
        <v>191</v>
      </c>
      <c r="R22" s="13" t="s">
        <v>192</v>
      </c>
      <c r="S22" s="13" t="s">
        <v>193</v>
      </c>
      <c r="T22" s="13" t="s">
        <v>174</v>
      </c>
      <c r="U22" s="14">
        <v>40725</v>
      </c>
      <c r="V22" s="14">
        <v>40725</v>
      </c>
      <c r="W22" s="15"/>
      <c r="X22" s="13"/>
      <c r="Y22" s="15"/>
      <c r="Z22" s="13"/>
      <c r="AA22" s="15"/>
      <c r="AB22" s="13"/>
      <c r="AC22" s="15"/>
      <c r="AD22" s="13"/>
      <c r="AE22" s="15"/>
      <c r="AF22" s="13"/>
      <c r="AG22" s="15"/>
      <c r="AH22" s="13"/>
      <c r="AI22" s="15"/>
      <c r="AJ22" s="13"/>
      <c r="AK22" s="15"/>
      <c r="AL22" s="13"/>
      <c r="AM22" s="15"/>
      <c r="AN22" s="13"/>
      <c r="AO22" s="15"/>
      <c r="AP22" s="13"/>
      <c r="AQ22" s="15"/>
      <c r="AR22" s="13"/>
      <c r="AS22" s="13"/>
    </row>
    <row r="23" spans="1:45" ht="42.8" x14ac:dyDescent="0.25">
      <c r="A23" s="13" t="s">
        <v>76</v>
      </c>
      <c r="B23" s="13" t="s">
        <v>77</v>
      </c>
      <c r="C23" s="14">
        <v>45628.708333333336</v>
      </c>
      <c r="D23" s="13" t="s">
        <v>78</v>
      </c>
      <c r="E23" s="15" t="s">
        <v>79</v>
      </c>
      <c r="F23" s="13" t="s">
        <v>80</v>
      </c>
      <c r="G23" s="15" t="s">
        <v>81</v>
      </c>
      <c r="H23" s="13" t="s">
        <v>82</v>
      </c>
      <c r="I23" s="15" t="s">
        <v>81</v>
      </c>
      <c r="J23" s="15" t="s">
        <v>83</v>
      </c>
      <c r="K23" s="15" t="s">
        <v>84</v>
      </c>
      <c r="L23" s="13" t="s">
        <v>143</v>
      </c>
      <c r="M23" s="15" t="s">
        <v>144</v>
      </c>
      <c r="N23" s="14" t="s">
        <v>87</v>
      </c>
      <c r="O23" s="15" t="s">
        <v>145</v>
      </c>
      <c r="P23" s="15" t="s">
        <v>146</v>
      </c>
      <c r="Q23" s="15" t="s">
        <v>191</v>
      </c>
      <c r="R23" s="13" t="s">
        <v>192</v>
      </c>
      <c r="S23" s="13" t="s">
        <v>193</v>
      </c>
      <c r="T23" s="13" t="s">
        <v>174</v>
      </c>
      <c r="U23" s="14">
        <v>40725</v>
      </c>
      <c r="V23" s="14">
        <v>40725</v>
      </c>
      <c r="W23" s="15"/>
      <c r="X23" s="13"/>
      <c r="Y23" s="15"/>
      <c r="Z23" s="13"/>
      <c r="AA23" s="15"/>
      <c r="AB23" s="13"/>
      <c r="AC23" s="15"/>
      <c r="AD23" s="13"/>
      <c r="AE23" s="15"/>
      <c r="AF23" s="13"/>
      <c r="AG23" s="15"/>
      <c r="AH23" s="13"/>
      <c r="AI23" s="15"/>
      <c r="AJ23" s="13"/>
      <c r="AK23" s="15"/>
      <c r="AL23" s="13"/>
      <c r="AM23" s="15"/>
      <c r="AN23" s="13"/>
      <c r="AO23" s="15"/>
      <c r="AP23" s="13"/>
      <c r="AQ23" s="15"/>
      <c r="AR23" s="13"/>
      <c r="AS23" s="13"/>
    </row>
    <row r="24" spans="1:45" ht="28.55" x14ac:dyDescent="0.25">
      <c r="A24" s="13" t="s">
        <v>76</v>
      </c>
      <c r="B24" s="13" t="s">
        <v>77</v>
      </c>
      <c r="C24" s="14">
        <v>45628.705555555556</v>
      </c>
      <c r="D24" s="13" t="s">
        <v>78</v>
      </c>
      <c r="E24" s="15" t="s">
        <v>79</v>
      </c>
      <c r="F24" s="13" t="s">
        <v>80</v>
      </c>
      <c r="G24" s="15" t="s">
        <v>81</v>
      </c>
      <c r="H24" s="13" t="s">
        <v>82</v>
      </c>
      <c r="I24" s="15" t="s">
        <v>81</v>
      </c>
      <c r="J24" s="15" t="s">
        <v>83</v>
      </c>
      <c r="K24" s="15" t="s">
        <v>84</v>
      </c>
      <c r="L24" s="13" t="s">
        <v>85</v>
      </c>
      <c r="M24" s="15" t="s">
        <v>86</v>
      </c>
      <c r="N24" s="14" t="s">
        <v>87</v>
      </c>
      <c r="O24" s="15" t="s">
        <v>88</v>
      </c>
      <c r="P24" s="15" t="s">
        <v>89</v>
      </c>
      <c r="Q24" s="15" t="s">
        <v>194</v>
      </c>
      <c r="R24" s="13" t="s">
        <v>195</v>
      </c>
      <c r="S24" s="13" t="s">
        <v>193</v>
      </c>
      <c r="T24" s="13" t="s">
        <v>174</v>
      </c>
      <c r="U24" s="14">
        <v>40725</v>
      </c>
      <c r="V24" s="14">
        <v>40725</v>
      </c>
      <c r="W24" s="15"/>
      <c r="X24" s="13"/>
      <c r="Y24" s="15"/>
      <c r="Z24" s="13"/>
      <c r="AA24" s="15"/>
      <c r="AB24" s="13"/>
      <c r="AC24" s="15"/>
      <c r="AD24" s="13"/>
      <c r="AE24" s="15"/>
      <c r="AF24" s="13"/>
      <c r="AG24" s="15"/>
      <c r="AH24" s="13"/>
      <c r="AI24" s="15"/>
      <c r="AJ24" s="13"/>
      <c r="AK24" s="15"/>
      <c r="AL24" s="13"/>
      <c r="AM24" s="15"/>
      <c r="AN24" s="13"/>
      <c r="AO24" s="15"/>
      <c r="AP24" s="13"/>
      <c r="AQ24" s="15"/>
      <c r="AR24" s="13"/>
      <c r="AS24" s="13"/>
    </row>
    <row r="25" spans="1:45" ht="42.8" x14ac:dyDescent="0.25">
      <c r="A25" s="13" t="s">
        <v>76</v>
      </c>
      <c r="B25" s="13" t="s">
        <v>77</v>
      </c>
      <c r="C25" s="14">
        <v>45628.706944444442</v>
      </c>
      <c r="D25" s="13" t="s">
        <v>78</v>
      </c>
      <c r="E25" s="15" t="s">
        <v>79</v>
      </c>
      <c r="F25" s="13" t="s">
        <v>80</v>
      </c>
      <c r="G25" s="15" t="s">
        <v>81</v>
      </c>
      <c r="H25" s="13" t="s">
        <v>82</v>
      </c>
      <c r="I25" s="15" t="s">
        <v>81</v>
      </c>
      <c r="J25" s="15" t="s">
        <v>83</v>
      </c>
      <c r="K25" s="15" t="s">
        <v>84</v>
      </c>
      <c r="L25" s="13" t="s">
        <v>118</v>
      </c>
      <c r="M25" s="15" t="s">
        <v>119</v>
      </c>
      <c r="N25" s="14" t="s">
        <v>87</v>
      </c>
      <c r="O25" s="15" t="s">
        <v>120</v>
      </c>
      <c r="P25" s="15" t="s">
        <v>121</v>
      </c>
      <c r="Q25" s="15" t="s">
        <v>194</v>
      </c>
      <c r="R25" s="13" t="s">
        <v>195</v>
      </c>
      <c r="S25" s="13" t="s">
        <v>193</v>
      </c>
      <c r="T25" s="13" t="s">
        <v>174</v>
      </c>
      <c r="U25" s="14">
        <v>40725</v>
      </c>
      <c r="V25" s="14">
        <v>40725</v>
      </c>
      <c r="W25" s="15"/>
      <c r="X25" s="13"/>
      <c r="Y25" s="15"/>
      <c r="Z25" s="13"/>
      <c r="AA25" s="15"/>
      <c r="AB25" s="13"/>
      <c r="AC25" s="15"/>
      <c r="AD25" s="13"/>
      <c r="AE25" s="15"/>
      <c r="AF25" s="13"/>
      <c r="AG25" s="15"/>
      <c r="AH25" s="13"/>
      <c r="AI25" s="15"/>
      <c r="AJ25" s="13"/>
      <c r="AK25" s="15"/>
      <c r="AL25" s="13"/>
      <c r="AM25" s="15"/>
      <c r="AN25" s="13"/>
      <c r="AO25" s="15"/>
      <c r="AP25" s="13"/>
      <c r="AQ25" s="15"/>
      <c r="AR25" s="13"/>
      <c r="AS25" s="13"/>
    </row>
    <row r="26" spans="1:45" ht="42.8" x14ac:dyDescent="0.25">
      <c r="A26" s="13" t="s">
        <v>76</v>
      </c>
      <c r="B26" s="13" t="s">
        <v>77</v>
      </c>
      <c r="C26" s="14">
        <v>45628.709027777775</v>
      </c>
      <c r="D26" s="13" t="s">
        <v>78</v>
      </c>
      <c r="E26" s="15" t="s">
        <v>79</v>
      </c>
      <c r="F26" s="13" t="s">
        <v>80</v>
      </c>
      <c r="G26" s="15" t="s">
        <v>81</v>
      </c>
      <c r="H26" s="13" t="s">
        <v>82</v>
      </c>
      <c r="I26" s="15" t="s">
        <v>81</v>
      </c>
      <c r="J26" s="15" t="s">
        <v>83</v>
      </c>
      <c r="K26" s="15" t="s">
        <v>84</v>
      </c>
      <c r="L26" s="13" t="s">
        <v>143</v>
      </c>
      <c r="M26" s="15" t="s">
        <v>144</v>
      </c>
      <c r="N26" s="14" t="s">
        <v>87</v>
      </c>
      <c r="O26" s="15" t="s">
        <v>145</v>
      </c>
      <c r="P26" s="15" t="s">
        <v>146</v>
      </c>
      <c r="Q26" s="15" t="s">
        <v>194</v>
      </c>
      <c r="R26" s="13" t="s">
        <v>195</v>
      </c>
      <c r="S26" s="13" t="s">
        <v>193</v>
      </c>
      <c r="T26" s="13" t="s">
        <v>174</v>
      </c>
      <c r="U26" s="14">
        <v>40725</v>
      </c>
      <c r="V26" s="14">
        <v>40725</v>
      </c>
      <c r="W26" s="15"/>
      <c r="X26" s="13"/>
      <c r="Y26" s="15"/>
      <c r="Z26" s="13"/>
      <c r="AA26" s="15"/>
      <c r="AB26" s="13"/>
      <c r="AC26" s="15"/>
      <c r="AD26" s="13"/>
      <c r="AE26" s="15"/>
      <c r="AF26" s="13"/>
      <c r="AG26" s="15"/>
      <c r="AH26" s="13"/>
      <c r="AI26" s="15"/>
      <c r="AJ26" s="13"/>
      <c r="AK26" s="15"/>
      <c r="AL26" s="13"/>
      <c r="AM26" s="15"/>
      <c r="AN26" s="13"/>
      <c r="AO26" s="15"/>
      <c r="AP26" s="13"/>
      <c r="AQ26" s="15"/>
      <c r="AR26" s="13"/>
      <c r="AS26" s="13"/>
    </row>
    <row r="27" spans="1:45" ht="28.55" x14ac:dyDescent="0.25">
      <c r="A27" s="13" t="s">
        <v>76</v>
      </c>
      <c r="B27" s="13" t="s">
        <v>77</v>
      </c>
      <c r="C27" s="14">
        <v>45628.706250000003</v>
      </c>
      <c r="D27" s="13" t="s">
        <v>78</v>
      </c>
      <c r="E27" s="15" t="s">
        <v>79</v>
      </c>
      <c r="F27" s="13" t="s">
        <v>80</v>
      </c>
      <c r="G27" s="15" t="s">
        <v>81</v>
      </c>
      <c r="H27" s="13" t="s">
        <v>82</v>
      </c>
      <c r="I27" s="15" t="s">
        <v>81</v>
      </c>
      <c r="J27" s="15" t="s">
        <v>83</v>
      </c>
      <c r="K27" s="15" t="s">
        <v>84</v>
      </c>
      <c r="L27" s="13" t="s">
        <v>85</v>
      </c>
      <c r="M27" s="15" t="s">
        <v>86</v>
      </c>
      <c r="N27" s="14" t="s">
        <v>87</v>
      </c>
      <c r="O27" s="15" t="s">
        <v>88</v>
      </c>
      <c r="P27" s="15" t="s">
        <v>89</v>
      </c>
      <c r="Q27" s="15" t="s">
        <v>196</v>
      </c>
      <c r="R27" s="13" t="s">
        <v>197</v>
      </c>
      <c r="S27" s="13" t="s">
        <v>193</v>
      </c>
      <c r="T27" s="13" t="s">
        <v>174</v>
      </c>
      <c r="U27" s="14">
        <v>40725</v>
      </c>
      <c r="V27" s="14">
        <v>40725</v>
      </c>
      <c r="W27" s="15"/>
      <c r="X27" s="13"/>
      <c r="Y27" s="15"/>
      <c r="Z27" s="13"/>
      <c r="AA27" s="15"/>
      <c r="AB27" s="13"/>
      <c r="AC27" s="15"/>
      <c r="AD27" s="13"/>
      <c r="AE27" s="15"/>
      <c r="AF27" s="13"/>
      <c r="AG27" s="15"/>
      <c r="AH27" s="13"/>
      <c r="AI27" s="15"/>
      <c r="AJ27" s="13"/>
      <c r="AK27" s="15"/>
      <c r="AL27" s="13"/>
      <c r="AM27" s="15"/>
      <c r="AN27" s="13"/>
      <c r="AO27" s="15"/>
      <c r="AP27" s="13"/>
      <c r="AQ27" s="15"/>
      <c r="AR27" s="13"/>
      <c r="AS27" s="13"/>
    </row>
    <row r="28" spans="1:45" ht="42.8" x14ac:dyDescent="0.25">
      <c r="A28" s="13" t="s">
        <v>76</v>
      </c>
      <c r="B28" s="13" t="s">
        <v>77</v>
      </c>
      <c r="C28" s="14">
        <v>45628.707638888889</v>
      </c>
      <c r="D28" s="13" t="s">
        <v>78</v>
      </c>
      <c r="E28" s="15" t="s">
        <v>79</v>
      </c>
      <c r="F28" s="13" t="s">
        <v>80</v>
      </c>
      <c r="G28" s="15" t="s">
        <v>81</v>
      </c>
      <c r="H28" s="13" t="s">
        <v>82</v>
      </c>
      <c r="I28" s="15" t="s">
        <v>81</v>
      </c>
      <c r="J28" s="15" t="s">
        <v>83</v>
      </c>
      <c r="K28" s="15" t="s">
        <v>84</v>
      </c>
      <c r="L28" s="13" t="s">
        <v>118</v>
      </c>
      <c r="M28" s="15" t="s">
        <v>119</v>
      </c>
      <c r="N28" s="14" t="s">
        <v>87</v>
      </c>
      <c r="O28" s="15" t="s">
        <v>120</v>
      </c>
      <c r="P28" s="15" t="s">
        <v>121</v>
      </c>
      <c r="Q28" s="15" t="s">
        <v>196</v>
      </c>
      <c r="R28" s="13" t="s">
        <v>197</v>
      </c>
      <c r="S28" s="13" t="s">
        <v>193</v>
      </c>
      <c r="T28" s="13" t="s">
        <v>174</v>
      </c>
      <c r="U28" s="14">
        <v>40725</v>
      </c>
      <c r="V28" s="14">
        <v>40725</v>
      </c>
      <c r="W28" s="15"/>
      <c r="X28" s="13"/>
      <c r="Y28" s="15"/>
      <c r="Z28" s="13"/>
      <c r="AA28" s="15"/>
      <c r="AB28" s="13"/>
      <c r="AC28" s="15"/>
      <c r="AD28" s="13"/>
      <c r="AE28" s="15"/>
      <c r="AF28" s="13"/>
      <c r="AG28" s="15"/>
      <c r="AH28" s="13"/>
      <c r="AI28" s="15"/>
      <c r="AJ28" s="13"/>
      <c r="AK28" s="15"/>
      <c r="AL28" s="13"/>
      <c r="AM28" s="15"/>
      <c r="AN28" s="13"/>
      <c r="AO28" s="15"/>
      <c r="AP28" s="13"/>
      <c r="AQ28" s="15"/>
      <c r="AR28" s="13"/>
      <c r="AS28" s="13"/>
    </row>
    <row r="29" spans="1:45" ht="42.8" x14ac:dyDescent="0.25">
      <c r="A29" s="13" t="s">
        <v>76</v>
      </c>
      <c r="B29" s="13" t="s">
        <v>77</v>
      </c>
      <c r="C29" s="14">
        <v>45628.709027777775</v>
      </c>
      <c r="D29" s="13" t="s">
        <v>78</v>
      </c>
      <c r="E29" s="15" t="s">
        <v>79</v>
      </c>
      <c r="F29" s="13" t="s">
        <v>80</v>
      </c>
      <c r="G29" s="15" t="s">
        <v>81</v>
      </c>
      <c r="H29" s="13" t="s">
        <v>82</v>
      </c>
      <c r="I29" s="15" t="s">
        <v>81</v>
      </c>
      <c r="J29" s="15" t="s">
        <v>83</v>
      </c>
      <c r="K29" s="15" t="s">
        <v>84</v>
      </c>
      <c r="L29" s="13" t="s">
        <v>143</v>
      </c>
      <c r="M29" s="15" t="s">
        <v>144</v>
      </c>
      <c r="N29" s="14" t="s">
        <v>87</v>
      </c>
      <c r="O29" s="15" t="s">
        <v>145</v>
      </c>
      <c r="P29" s="15" t="s">
        <v>146</v>
      </c>
      <c r="Q29" s="15" t="s">
        <v>196</v>
      </c>
      <c r="R29" s="13" t="s">
        <v>197</v>
      </c>
      <c r="S29" s="13" t="s">
        <v>193</v>
      </c>
      <c r="T29" s="13" t="s">
        <v>174</v>
      </c>
      <c r="U29" s="14">
        <v>40725</v>
      </c>
      <c r="V29" s="14">
        <v>40725</v>
      </c>
      <c r="W29" s="15"/>
      <c r="X29" s="13"/>
      <c r="Y29" s="15"/>
      <c r="Z29" s="13"/>
      <c r="AA29" s="15"/>
      <c r="AB29" s="13"/>
      <c r="AC29" s="15"/>
      <c r="AD29" s="13"/>
      <c r="AE29" s="15"/>
      <c r="AF29" s="13"/>
      <c r="AG29" s="15"/>
      <c r="AH29" s="13"/>
      <c r="AI29" s="15"/>
      <c r="AJ29" s="13"/>
      <c r="AK29" s="15"/>
      <c r="AL29" s="13"/>
      <c r="AM29" s="15"/>
      <c r="AN29" s="13"/>
      <c r="AO29" s="15"/>
      <c r="AP29" s="13"/>
      <c r="AQ29" s="15"/>
      <c r="AR29" s="13"/>
      <c r="AS29" s="13"/>
    </row>
    <row r="30" spans="1:45" ht="28.55" x14ac:dyDescent="0.25">
      <c r="A30" s="13" t="s">
        <v>142</v>
      </c>
      <c r="B30" s="13" t="s">
        <v>77</v>
      </c>
      <c r="C30" s="14">
        <v>43152.5</v>
      </c>
      <c r="D30" s="13" t="s">
        <v>78</v>
      </c>
      <c r="E30" s="15" t="s">
        <v>79</v>
      </c>
      <c r="F30" s="13" t="s">
        <v>80</v>
      </c>
      <c r="G30" s="15" t="s">
        <v>81</v>
      </c>
      <c r="H30" s="13" t="s">
        <v>82</v>
      </c>
      <c r="I30" s="15" t="s">
        <v>81</v>
      </c>
      <c r="J30" s="15" t="s">
        <v>83</v>
      </c>
      <c r="K30" s="15" t="s">
        <v>84</v>
      </c>
      <c r="L30" s="13" t="s">
        <v>85</v>
      </c>
      <c r="M30" s="15" t="s">
        <v>86</v>
      </c>
      <c r="N30" s="14" t="s">
        <v>87</v>
      </c>
      <c r="O30" s="15" t="s">
        <v>88</v>
      </c>
      <c r="P30" s="15" t="s">
        <v>89</v>
      </c>
      <c r="Q30" s="15" t="s">
        <v>198</v>
      </c>
      <c r="R30" s="13" t="s">
        <v>199</v>
      </c>
      <c r="S30" s="13" t="s">
        <v>193</v>
      </c>
      <c r="T30" s="13" t="s">
        <v>93</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3"/>
    </row>
    <row r="31" spans="1:45" ht="42.8" x14ac:dyDescent="0.25">
      <c r="A31" s="13" t="s">
        <v>207</v>
      </c>
      <c r="B31" s="13" t="s">
        <v>77</v>
      </c>
      <c r="C31" s="14">
        <v>43633.713888888888</v>
      </c>
      <c r="D31" s="13" t="s">
        <v>78</v>
      </c>
      <c r="E31" s="15" t="s">
        <v>79</v>
      </c>
      <c r="F31" s="13" t="s">
        <v>80</v>
      </c>
      <c r="G31" s="15" t="s">
        <v>81</v>
      </c>
      <c r="H31" s="13" t="s">
        <v>82</v>
      </c>
      <c r="I31" s="15" t="s">
        <v>81</v>
      </c>
      <c r="J31" s="15" t="s">
        <v>83</v>
      </c>
      <c r="K31" s="15" t="s">
        <v>84</v>
      </c>
      <c r="L31" s="13" t="s">
        <v>118</v>
      </c>
      <c r="M31" s="15" t="s">
        <v>119</v>
      </c>
      <c r="N31" s="14" t="s">
        <v>87</v>
      </c>
      <c r="O31" s="15" t="s">
        <v>120</v>
      </c>
      <c r="P31" s="15" t="s">
        <v>121</v>
      </c>
      <c r="Q31" s="15" t="s">
        <v>198</v>
      </c>
      <c r="R31" s="13" t="s">
        <v>199</v>
      </c>
      <c r="S31" s="13" t="s">
        <v>193</v>
      </c>
      <c r="T31" s="13" t="s">
        <v>93</v>
      </c>
      <c r="U31" s="14">
        <v>40725</v>
      </c>
      <c r="V31" s="14">
        <v>43435</v>
      </c>
      <c r="W31" s="15"/>
      <c r="X31" s="13"/>
      <c r="Y31" s="15"/>
      <c r="Z31" s="13"/>
      <c r="AA31" s="15"/>
      <c r="AB31" s="13"/>
      <c r="AC31" s="15"/>
      <c r="AD31" s="13"/>
      <c r="AE31" s="15"/>
      <c r="AF31" s="13"/>
      <c r="AG31" s="15"/>
      <c r="AH31" s="13"/>
      <c r="AI31" s="15"/>
      <c r="AJ31" s="13"/>
      <c r="AK31" s="15"/>
      <c r="AL31" s="13"/>
      <c r="AM31" s="15"/>
      <c r="AN31" s="13"/>
      <c r="AO31" s="15"/>
      <c r="AP31" s="13"/>
      <c r="AQ31" s="15"/>
      <c r="AR31" s="13"/>
      <c r="AS31" s="13"/>
    </row>
    <row r="32" spans="1:45" ht="42.8" x14ac:dyDescent="0.25">
      <c r="A32" s="13" t="s">
        <v>207</v>
      </c>
      <c r="B32" s="13" t="s">
        <v>77</v>
      </c>
      <c r="C32" s="14">
        <v>43633.714583333334</v>
      </c>
      <c r="D32" s="13" t="s">
        <v>78</v>
      </c>
      <c r="E32" s="15" t="s">
        <v>79</v>
      </c>
      <c r="F32" s="13" t="s">
        <v>80</v>
      </c>
      <c r="G32" s="15" t="s">
        <v>81</v>
      </c>
      <c r="H32" s="13" t="s">
        <v>82</v>
      </c>
      <c r="I32" s="15" t="s">
        <v>81</v>
      </c>
      <c r="J32" s="15" t="s">
        <v>83</v>
      </c>
      <c r="K32" s="15" t="s">
        <v>84</v>
      </c>
      <c r="L32" s="13" t="s">
        <v>118</v>
      </c>
      <c r="M32" s="15" t="s">
        <v>119</v>
      </c>
      <c r="N32" s="14" t="s">
        <v>87</v>
      </c>
      <c r="O32" s="15" t="s">
        <v>120</v>
      </c>
      <c r="P32" s="15" t="s">
        <v>121</v>
      </c>
      <c r="Q32" s="15" t="s">
        <v>198</v>
      </c>
      <c r="R32" s="13" t="s">
        <v>199</v>
      </c>
      <c r="S32" s="13" t="s">
        <v>193</v>
      </c>
      <c r="T32" s="13" t="s">
        <v>93</v>
      </c>
      <c r="U32" s="14">
        <v>43436</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3"/>
    </row>
    <row r="33" spans="1:45" ht="42.8" x14ac:dyDescent="0.25">
      <c r="A33" s="13" t="s">
        <v>142</v>
      </c>
      <c r="B33" s="13" t="s">
        <v>77</v>
      </c>
      <c r="C33" s="14">
        <v>43509.739583333336</v>
      </c>
      <c r="D33" s="13" t="s">
        <v>78</v>
      </c>
      <c r="E33" s="15" t="s">
        <v>79</v>
      </c>
      <c r="F33" s="13" t="s">
        <v>80</v>
      </c>
      <c r="G33" s="15" t="s">
        <v>81</v>
      </c>
      <c r="H33" s="13" t="s">
        <v>82</v>
      </c>
      <c r="I33" s="15" t="s">
        <v>81</v>
      </c>
      <c r="J33" s="15" t="s">
        <v>83</v>
      </c>
      <c r="K33" s="15" t="s">
        <v>84</v>
      </c>
      <c r="L33" s="13" t="s">
        <v>143</v>
      </c>
      <c r="M33" s="15" t="s">
        <v>144</v>
      </c>
      <c r="N33" s="14" t="s">
        <v>87</v>
      </c>
      <c r="O33" s="15" t="s">
        <v>145</v>
      </c>
      <c r="P33" s="15" t="s">
        <v>146</v>
      </c>
      <c r="Q33" s="15" t="s">
        <v>198</v>
      </c>
      <c r="R33" s="13" t="s">
        <v>199</v>
      </c>
      <c r="S33" s="13" t="s">
        <v>193</v>
      </c>
      <c r="T33" s="13" t="s">
        <v>93</v>
      </c>
      <c r="U33" s="14">
        <v>40725</v>
      </c>
      <c r="V33" s="14">
        <v>43435</v>
      </c>
      <c r="W33" s="15"/>
      <c r="X33" s="13"/>
      <c r="Y33" s="15"/>
      <c r="Z33" s="13"/>
      <c r="AA33" s="15"/>
      <c r="AB33" s="13"/>
      <c r="AC33" s="15"/>
      <c r="AD33" s="13"/>
      <c r="AE33" s="15"/>
      <c r="AF33" s="13"/>
      <c r="AG33" s="15"/>
      <c r="AH33" s="13"/>
      <c r="AI33" s="15"/>
      <c r="AJ33" s="13"/>
      <c r="AK33" s="15"/>
      <c r="AL33" s="13"/>
      <c r="AM33" s="15"/>
      <c r="AN33" s="13"/>
      <c r="AO33" s="15"/>
      <c r="AP33" s="13"/>
      <c r="AQ33" s="15"/>
      <c r="AR33" s="13"/>
      <c r="AS33" s="13"/>
    </row>
    <row r="34" spans="1:45" ht="42.8" x14ac:dyDescent="0.25">
      <c r="A34" s="13" t="s">
        <v>142</v>
      </c>
      <c r="B34" s="13" t="s">
        <v>222</v>
      </c>
      <c r="C34" s="14">
        <v>43509.740277777775</v>
      </c>
      <c r="D34" s="13" t="s">
        <v>78</v>
      </c>
      <c r="E34" s="15" t="s">
        <v>79</v>
      </c>
      <c r="F34" s="13" t="s">
        <v>80</v>
      </c>
      <c r="G34" s="15" t="s">
        <v>81</v>
      </c>
      <c r="H34" s="13" t="s">
        <v>82</v>
      </c>
      <c r="I34" s="15" t="s">
        <v>81</v>
      </c>
      <c r="J34" s="15" t="s">
        <v>83</v>
      </c>
      <c r="K34" s="15" t="s">
        <v>84</v>
      </c>
      <c r="L34" s="13" t="s">
        <v>143</v>
      </c>
      <c r="M34" s="15" t="s">
        <v>144</v>
      </c>
      <c r="N34" s="14" t="s">
        <v>87</v>
      </c>
      <c r="O34" s="15" t="s">
        <v>145</v>
      </c>
      <c r="P34" s="15" t="s">
        <v>146</v>
      </c>
      <c r="Q34" s="15" t="s">
        <v>198</v>
      </c>
      <c r="R34" s="13" t="s">
        <v>199</v>
      </c>
      <c r="S34" s="13" t="s">
        <v>193</v>
      </c>
      <c r="T34" s="13" t="s">
        <v>93</v>
      </c>
      <c r="U34" s="14">
        <v>43436</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3"/>
    </row>
    <row r="35" spans="1:45" ht="28.55" x14ac:dyDescent="0.25">
      <c r="A35" s="13" t="s">
        <v>117</v>
      </c>
      <c r="B35" s="13" t="s">
        <v>77</v>
      </c>
      <c r="C35" s="14">
        <v>44053.427083333336</v>
      </c>
      <c r="D35" s="13" t="s">
        <v>78</v>
      </c>
      <c r="E35" s="15" t="s">
        <v>79</v>
      </c>
      <c r="F35" s="13" t="s">
        <v>80</v>
      </c>
      <c r="G35" s="15" t="s">
        <v>81</v>
      </c>
      <c r="H35" s="13" t="s">
        <v>82</v>
      </c>
      <c r="I35" s="15" t="s">
        <v>81</v>
      </c>
      <c r="J35" s="15" t="s">
        <v>83</v>
      </c>
      <c r="K35" s="15" t="s">
        <v>84</v>
      </c>
      <c r="L35" s="13" t="s">
        <v>85</v>
      </c>
      <c r="M35" s="15" t="s">
        <v>86</v>
      </c>
      <c r="N35" s="14" t="s">
        <v>87</v>
      </c>
      <c r="O35" s="15" t="s">
        <v>88</v>
      </c>
      <c r="P35" s="15" t="s">
        <v>89</v>
      </c>
      <c r="Q35" s="15" t="s">
        <v>226</v>
      </c>
      <c r="R35" s="13" t="s">
        <v>227</v>
      </c>
      <c r="S35" s="13" t="s">
        <v>193</v>
      </c>
      <c r="T35" s="13" t="s">
        <v>93</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3"/>
    </row>
    <row r="36" spans="1:45" ht="42.8" x14ac:dyDescent="0.25">
      <c r="A36" s="13" t="s">
        <v>117</v>
      </c>
      <c r="B36" s="13" t="s">
        <v>77</v>
      </c>
      <c r="C36" s="14">
        <v>44053.459027777775</v>
      </c>
      <c r="D36" s="13" t="s">
        <v>78</v>
      </c>
      <c r="E36" s="15" t="s">
        <v>79</v>
      </c>
      <c r="F36" s="13" t="s">
        <v>80</v>
      </c>
      <c r="G36" s="15" t="s">
        <v>81</v>
      </c>
      <c r="H36" s="13" t="s">
        <v>82</v>
      </c>
      <c r="I36" s="15" t="s">
        <v>81</v>
      </c>
      <c r="J36" s="15" t="s">
        <v>83</v>
      </c>
      <c r="K36" s="15" t="s">
        <v>84</v>
      </c>
      <c r="L36" s="13" t="s">
        <v>118</v>
      </c>
      <c r="M36" s="15" t="s">
        <v>119</v>
      </c>
      <c r="N36" s="14" t="s">
        <v>87</v>
      </c>
      <c r="O36" s="15" t="s">
        <v>120</v>
      </c>
      <c r="P36" s="15" t="s">
        <v>121</v>
      </c>
      <c r="Q36" s="15" t="s">
        <v>226</v>
      </c>
      <c r="R36" s="13" t="s">
        <v>227</v>
      </c>
      <c r="S36" s="13" t="s">
        <v>193</v>
      </c>
      <c r="T36" s="13" t="s">
        <v>93</v>
      </c>
      <c r="U36" s="14">
        <v>40725</v>
      </c>
      <c r="V36" s="14">
        <v>43435</v>
      </c>
      <c r="W36" s="15"/>
      <c r="X36" s="13"/>
      <c r="Y36" s="15"/>
      <c r="Z36" s="13"/>
      <c r="AA36" s="15"/>
      <c r="AB36" s="13"/>
      <c r="AC36" s="15"/>
      <c r="AD36" s="13"/>
      <c r="AE36" s="15"/>
      <c r="AF36" s="13"/>
      <c r="AG36" s="15"/>
      <c r="AH36" s="13"/>
      <c r="AI36" s="15"/>
      <c r="AJ36" s="13"/>
      <c r="AK36" s="15"/>
      <c r="AL36" s="13"/>
      <c r="AM36" s="15"/>
      <c r="AN36" s="13"/>
      <c r="AO36" s="15"/>
      <c r="AP36" s="13"/>
      <c r="AQ36" s="15"/>
      <c r="AR36" s="13"/>
      <c r="AS36" s="13"/>
    </row>
    <row r="37" spans="1:45" ht="42.8" x14ac:dyDescent="0.25">
      <c r="A37" s="13" t="s">
        <v>117</v>
      </c>
      <c r="B37" s="13" t="s">
        <v>77</v>
      </c>
      <c r="C37" s="14">
        <v>44053.42083333333</v>
      </c>
      <c r="D37" s="13" t="s">
        <v>78</v>
      </c>
      <c r="E37" s="15" t="s">
        <v>79</v>
      </c>
      <c r="F37" s="13" t="s">
        <v>80</v>
      </c>
      <c r="G37" s="15" t="s">
        <v>81</v>
      </c>
      <c r="H37" s="13" t="s">
        <v>82</v>
      </c>
      <c r="I37" s="15" t="s">
        <v>81</v>
      </c>
      <c r="J37" s="15" t="s">
        <v>83</v>
      </c>
      <c r="K37" s="15" t="s">
        <v>84</v>
      </c>
      <c r="L37" s="13" t="s">
        <v>118</v>
      </c>
      <c r="M37" s="15" t="s">
        <v>119</v>
      </c>
      <c r="N37" s="14" t="s">
        <v>87</v>
      </c>
      <c r="O37" s="15" t="s">
        <v>120</v>
      </c>
      <c r="P37" s="15" t="s">
        <v>121</v>
      </c>
      <c r="Q37" s="15" t="s">
        <v>226</v>
      </c>
      <c r="R37" s="13" t="s">
        <v>227</v>
      </c>
      <c r="S37" s="13" t="s">
        <v>193</v>
      </c>
      <c r="T37" s="13" t="s">
        <v>93</v>
      </c>
      <c r="U37" s="14">
        <v>43436</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3"/>
    </row>
    <row r="38" spans="1:45" ht="42.8" x14ac:dyDescent="0.25">
      <c r="A38" s="13" t="s">
        <v>117</v>
      </c>
      <c r="B38" s="13" t="s">
        <v>77</v>
      </c>
      <c r="C38" s="14">
        <v>44053.463194444441</v>
      </c>
      <c r="D38" s="13" t="s">
        <v>78</v>
      </c>
      <c r="E38" s="15" t="s">
        <v>79</v>
      </c>
      <c r="F38" s="13" t="s">
        <v>80</v>
      </c>
      <c r="G38" s="15" t="s">
        <v>81</v>
      </c>
      <c r="H38" s="13" t="s">
        <v>82</v>
      </c>
      <c r="I38" s="15" t="s">
        <v>81</v>
      </c>
      <c r="J38" s="15" t="s">
        <v>83</v>
      </c>
      <c r="K38" s="15" t="s">
        <v>84</v>
      </c>
      <c r="L38" s="13" t="s">
        <v>143</v>
      </c>
      <c r="M38" s="15" t="s">
        <v>144</v>
      </c>
      <c r="N38" s="14" t="s">
        <v>87</v>
      </c>
      <c r="O38" s="15" t="s">
        <v>145</v>
      </c>
      <c r="P38" s="15" t="s">
        <v>146</v>
      </c>
      <c r="Q38" s="15" t="s">
        <v>226</v>
      </c>
      <c r="R38" s="13" t="s">
        <v>227</v>
      </c>
      <c r="S38" s="13" t="s">
        <v>193</v>
      </c>
      <c r="T38" s="13" t="s">
        <v>93</v>
      </c>
      <c r="U38" s="14">
        <v>40725</v>
      </c>
      <c r="V38" s="14">
        <v>43435</v>
      </c>
      <c r="W38" s="15"/>
      <c r="X38" s="13"/>
      <c r="Y38" s="15"/>
      <c r="Z38" s="13"/>
      <c r="AA38" s="15"/>
      <c r="AB38" s="13"/>
      <c r="AC38" s="15"/>
      <c r="AD38" s="13"/>
      <c r="AE38" s="15"/>
      <c r="AF38" s="13"/>
      <c r="AG38" s="15"/>
      <c r="AH38" s="13"/>
      <c r="AI38" s="15"/>
      <c r="AJ38" s="13"/>
      <c r="AK38" s="15"/>
      <c r="AL38" s="13"/>
      <c r="AM38" s="15"/>
      <c r="AN38" s="13"/>
      <c r="AO38" s="15"/>
      <c r="AP38" s="13"/>
      <c r="AQ38" s="15"/>
      <c r="AR38" s="13"/>
      <c r="AS38" s="13"/>
    </row>
    <row r="39" spans="1:45" ht="42.8" x14ac:dyDescent="0.25">
      <c r="A39" s="13" t="s">
        <v>117</v>
      </c>
      <c r="B39" s="13" t="s">
        <v>77</v>
      </c>
      <c r="C39" s="14">
        <v>44053.438194444447</v>
      </c>
      <c r="D39" s="13" t="s">
        <v>78</v>
      </c>
      <c r="E39" s="15" t="s">
        <v>79</v>
      </c>
      <c r="F39" s="13" t="s">
        <v>80</v>
      </c>
      <c r="G39" s="15" t="s">
        <v>81</v>
      </c>
      <c r="H39" s="13" t="s">
        <v>82</v>
      </c>
      <c r="I39" s="15" t="s">
        <v>81</v>
      </c>
      <c r="J39" s="15" t="s">
        <v>83</v>
      </c>
      <c r="K39" s="15" t="s">
        <v>84</v>
      </c>
      <c r="L39" s="13" t="s">
        <v>143</v>
      </c>
      <c r="M39" s="15" t="s">
        <v>144</v>
      </c>
      <c r="N39" s="14" t="s">
        <v>87</v>
      </c>
      <c r="O39" s="15" t="s">
        <v>145</v>
      </c>
      <c r="P39" s="15" t="s">
        <v>146</v>
      </c>
      <c r="Q39" s="15" t="s">
        <v>226</v>
      </c>
      <c r="R39" s="13" t="s">
        <v>227</v>
      </c>
      <c r="S39" s="13" t="s">
        <v>193</v>
      </c>
      <c r="T39" s="13" t="s">
        <v>93</v>
      </c>
      <c r="U39" s="14">
        <v>43436</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3"/>
    </row>
    <row r="40" spans="1:45" ht="28.55" x14ac:dyDescent="0.25">
      <c r="A40" s="13" t="s">
        <v>117</v>
      </c>
      <c r="B40" s="13" t="s">
        <v>77</v>
      </c>
      <c r="C40" s="14">
        <v>44053.427083333336</v>
      </c>
      <c r="D40" s="13" t="s">
        <v>78</v>
      </c>
      <c r="E40" s="15" t="s">
        <v>79</v>
      </c>
      <c r="F40" s="13" t="s">
        <v>80</v>
      </c>
      <c r="G40" s="15" t="s">
        <v>81</v>
      </c>
      <c r="H40" s="13" t="s">
        <v>82</v>
      </c>
      <c r="I40" s="15" t="s">
        <v>81</v>
      </c>
      <c r="J40" s="15" t="s">
        <v>83</v>
      </c>
      <c r="K40" s="15" t="s">
        <v>84</v>
      </c>
      <c r="L40" s="13" t="s">
        <v>85</v>
      </c>
      <c r="M40" s="15" t="s">
        <v>86</v>
      </c>
      <c r="N40" s="14" t="s">
        <v>87</v>
      </c>
      <c r="O40" s="15" t="s">
        <v>88</v>
      </c>
      <c r="P40" s="15" t="s">
        <v>89</v>
      </c>
      <c r="Q40" s="15" t="s">
        <v>230</v>
      </c>
      <c r="R40" s="13" t="s">
        <v>231</v>
      </c>
      <c r="S40" s="13" t="s">
        <v>193</v>
      </c>
      <c r="T40" s="13" t="s">
        <v>93</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3"/>
    </row>
    <row r="41" spans="1:45" ht="42.8" x14ac:dyDescent="0.25">
      <c r="A41" s="13" t="s">
        <v>117</v>
      </c>
      <c r="B41" s="13" t="s">
        <v>77</v>
      </c>
      <c r="C41" s="14">
        <v>44053.459722222222</v>
      </c>
      <c r="D41" s="13" t="s">
        <v>78</v>
      </c>
      <c r="E41" s="15" t="s">
        <v>79</v>
      </c>
      <c r="F41" s="13" t="s">
        <v>80</v>
      </c>
      <c r="G41" s="15" t="s">
        <v>81</v>
      </c>
      <c r="H41" s="13" t="s">
        <v>82</v>
      </c>
      <c r="I41" s="15" t="s">
        <v>81</v>
      </c>
      <c r="J41" s="15" t="s">
        <v>83</v>
      </c>
      <c r="K41" s="15" t="s">
        <v>84</v>
      </c>
      <c r="L41" s="13" t="s">
        <v>118</v>
      </c>
      <c r="M41" s="15" t="s">
        <v>119</v>
      </c>
      <c r="N41" s="14" t="s">
        <v>87</v>
      </c>
      <c r="O41" s="15" t="s">
        <v>120</v>
      </c>
      <c r="P41" s="15" t="s">
        <v>121</v>
      </c>
      <c r="Q41" s="15" t="s">
        <v>230</v>
      </c>
      <c r="R41" s="13" t="s">
        <v>231</v>
      </c>
      <c r="S41" s="13" t="s">
        <v>193</v>
      </c>
      <c r="T41" s="13" t="s">
        <v>93</v>
      </c>
      <c r="U41" s="14">
        <v>40725</v>
      </c>
      <c r="V41" s="14">
        <v>43435</v>
      </c>
      <c r="W41" s="15"/>
      <c r="X41" s="13"/>
      <c r="Y41" s="15"/>
      <c r="Z41" s="13"/>
      <c r="AA41" s="15"/>
      <c r="AB41" s="13"/>
      <c r="AC41" s="15"/>
      <c r="AD41" s="13"/>
      <c r="AE41" s="15"/>
      <c r="AF41" s="13"/>
      <c r="AG41" s="15"/>
      <c r="AH41" s="13"/>
      <c r="AI41" s="15"/>
      <c r="AJ41" s="13"/>
      <c r="AK41" s="15"/>
      <c r="AL41" s="13"/>
      <c r="AM41" s="15"/>
      <c r="AN41" s="13"/>
      <c r="AO41" s="15"/>
      <c r="AP41" s="13"/>
      <c r="AQ41" s="15"/>
      <c r="AR41" s="13"/>
      <c r="AS41" s="13"/>
    </row>
    <row r="42" spans="1:45" ht="42.8" x14ac:dyDescent="0.25">
      <c r="A42" s="13" t="s">
        <v>117</v>
      </c>
      <c r="B42" s="13" t="s">
        <v>77</v>
      </c>
      <c r="C42" s="14">
        <v>44053.422222222223</v>
      </c>
      <c r="D42" s="13" t="s">
        <v>78</v>
      </c>
      <c r="E42" s="15" t="s">
        <v>79</v>
      </c>
      <c r="F42" s="13" t="s">
        <v>80</v>
      </c>
      <c r="G42" s="15" t="s">
        <v>81</v>
      </c>
      <c r="H42" s="13" t="s">
        <v>82</v>
      </c>
      <c r="I42" s="15" t="s">
        <v>81</v>
      </c>
      <c r="J42" s="15" t="s">
        <v>83</v>
      </c>
      <c r="K42" s="15" t="s">
        <v>84</v>
      </c>
      <c r="L42" s="13" t="s">
        <v>118</v>
      </c>
      <c r="M42" s="15" t="s">
        <v>119</v>
      </c>
      <c r="N42" s="14" t="s">
        <v>87</v>
      </c>
      <c r="O42" s="15" t="s">
        <v>120</v>
      </c>
      <c r="P42" s="15" t="s">
        <v>121</v>
      </c>
      <c r="Q42" s="15" t="s">
        <v>230</v>
      </c>
      <c r="R42" s="13" t="s">
        <v>231</v>
      </c>
      <c r="S42" s="13" t="s">
        <v>193</v>
      </c>
      <c r="T42" s="13" t="s">
        <v>93</v>
      </c>
      <c r="U42" s="14">
        <v>43436</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3"/>
    </row>
    <row r="43" spans="1:45" ht="42.8" x14ac:dyDescent="0.25">
      <c r="A43" s="13" t="s">
        <v>117</v>
      </c>
      <c r="B43" s="13" t="s">
        <v>77</v>
      </c>
      <c r="C43" s="14">
        <v>44053.463888888888</v>
      </c>
      <c r="D43" s="13" t="s">
        <v>78</v>
      </c>
      <c r="E43" s="15" t="s">
        <v>79</v>
      </c>
      <c r="F43" s="13" t="s">
        <v>80</v>
      </c>
      <c r="G43" s="15" t="s">
        <v>81</v>
      </c>
      <c r="H43" s="13" t="s">
        <v>82</v>
      </c>
      <c r="I43" s="15" t="s">
        <v>81</v>
      </c>
      <c r="J43" s="15" t="s">
        <v>83</v>
      </c>
      <c r="K43" s="15" t="s">
        <v>84</v>
      </c>
      <c r="L43" s="13" t="s">
        <v>143</v>
      </c>
      <c r="M43" s="15" t="s">
        <v>144</v>
      </c>
      <c r="N43" s="14" t="s">
        <v>87</v>
      </c>
      <c r="O43" s="15" t="s">
        <v>145</v>
      </c>
      <c r="P43" s="15" t="s">
        <v>146</v>
      </c>
      <c r="Q43" s="15" t="s">
        <v>230</v>
      </c>
      <c r="R43" s="13" t="s">
        <v>231</v>
      </c>
      <c r="S43" s="13" t="s">
        <v>193</v>
      </c>
      <c r="T43" s="13" t="s">
        <v>93</v>
      </c>
      <c r="U43" s="14">
        <v>40725</v>
      </c>
      <c r="V43" s="14">
        <v>43435</v>
      </c>
      <c r="W43" s="15"/>
      <c r="X43" s="13"/>
      <c r="Y43" s="15"/>
      <c r="Z43" s="13"/>
      <c r="AA43" s="15"/>
      <c r="AB43" s="13"/>
      <c r="AC43" s="15"/>
      <c r="AD43" s="13"/>
      <c r="AE43" s="15"/>
      <c r="AF43" s="13"/>
      <c r="AG43" s="15"/>
      <c r="AH43" s="13"/>
      <c r="AI43" s="15"/>
      <c r="AJ43" s="13"/>
      <c r="AK43" s="15"/>
      <c r="AL43" s="13"/>
      <c r="AM43" s="15"/>
      <c r="AN43" s="13"/>
      <c r="AO43" s="15"/>
      <c r="AP43" s="13"/>
      <c r="AQ43" s="15"/>
      <c r="AR43" s="13"/>
      <c r="AS43" s="13"/>
    </row>
    <row r="44" spans="1:45" ht="42.8" x14ac:dyDescent="0.25">
      <c r="A44" s="13" t="s">
        <v>117</v>
      </c>
      <c r="B44" s="13" t="s">
        <v>77</v>
      </c>
      <c r="C44" s="14">
        <v>44053.438888888886</v>
      </c>
      <c r="D44" s="13" t="s">
        <v>78</v>
      </c>
      <c r="E44" s="15" t="s">
        <v>79</v>
      </c>
      <c r="F44" s="13" t="s">
        <v>80</v>
      </c>
      <c r="G44" s="15" t="s">
        <v>81</v>
      </c>
      <c r="H44" s="13" t="s">
        <v>82</v>
      </c>
      <c r="I44" s="15" t="s">
        <v>81</v>
      </c>
      <c r="J44" s="15" t="s">
        <v>83</v>
      </c>
      <c r="K44" s="15" t="s">
        <v>84</v>
      </c>
      <c r="L44" s="13" t="s">
        <v>143</v>
      </c>
      <c r="M44" s="15" t="s">
        <v>144</v>
      </c>
      <c r="N44" s="14" t="s">
        <v>87</v>
      </c>
      <c r="O44" s="15" t="s">
        <v>145</v>
      </c>
      <c r="P44" s="15" t="s">
        <v>146</v>
      </c>
      <c r="Q44" s="15" t="s">
        <v>230</v>
      </c>
      <c r="R44" s="13" t="s">
        <v>231</v>
      </c>
      <c r="S44" s="13" t="s">
        <v>193</v>
      </c>
      <c r="T44" s="13" t="s">
        <v>93</v>
      </c>
      <c r="U44" s="14">
        <v>43436</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3"/>
    </row>
    <row r="45" spans="1:45" ht="28.55" x14ac:dyDescent="0.25">
      <c r="A45" s="13" t="s">
        <v>232</v>
      </c>
      <c r="B45" s="13" t="s">
        <v>77</v>
      </c>
      <c r="C45" s="14">
        <v>45994.431250000001</v>
      </c>
      <c r="D45" s="13" t="s">
        <v>78</v>
      </c>
      <c r="E45" s="15" t="s">
        <v>79</v>
      </c>
      <c r="F45" s="13" t="s">
        <v>80</v>
      </c>
      <c r="G45" s="15" t="s">
        <v>81</v>
      </c>
      <c r="H45" s="13" t="s">
        <v>82</v>
      </c>
      <c r="I45" s="15" t="s">
        <v>81</v>
      </c>
      <c r="J45" s="15" t="s">
        <v>83</v>
      </c>
      <c r="K45" s="15" t="s">
        <v>84</v>
      </c>
      <c r="L45" s="13" t="s">
        <v>85</v>
      </c>
      <c r="M45" s="15" t="s">
        <v>86</v>
      </c>
      <c r="N45" s="14" t="s">
        <v>87</v>
      </c>
      <c r="O45" s="15" t="s">
        <v>88</v>
      </c>
      <c r="P45" s="15" t="s">
        <v>89</v>
      </c>
      <c r="Q45" s="15" t="s">
        <v>233</v>
      </c>
      <c r="R45" s="13" t="s">
        <v>234</v>
      </c>
      <c r="S45" s="13" t="s">
        <v>193</v>
      </c>
      <c r="T45" s="13" t="s">
        <v>93</v>
      </c>
      <c r="U45" s="14">
        <v>40725</v>
      </c>
      <c r="V45" s="14">
        <v>45900</v>
      </c>
      <c r="W45" s="15"/>
      <c r="X45" s="13"/>
      <c r="Y45" s="15"/>
      <c r="Z45" s="13"/>
      <c r="AA45" s="15"/>
      <c r="AB45" s="13"/>
      <c r="AC45" s="15"/>
      <c r="AD45" s="13"/>
      <c r="AE45" s="15"/>
      <c r="AF45" s="13"/>
      <c r="AG45" s="15"/>
      <c r="AH45" s="13"/>
      <c r="AI45" s="15"/>
      <c r="AJ45" s="13"/>
      <c r="AK45" s="15"/>
      <c r="AL45" s="13"/>
      <c r="AM45" s="15"/>
      <c r="AN45" s="13"/>
      <c r="AO45" s="15"/>
      <c r="AP45" s="13"/>
      <c r="AQ45" s="15"/>
      <c r="AR45" s="13" t="s">
        <v>235</v>
      </c>
      <c r="AS45" s="13"/>
    </row>
    <row r="46" spans="1:45" ht="42.8" x14ac:dyDescent="0.25">
      <c r="A46" s="13" t="s">
        <v>117</v>
      </c>
      <c r="B46" s="13" t="s">
        <v>77</v>
      </c>
      <c r="C46" s="14">
        <v>44053.461111111108</v>
      </c>
      <c r="D46" s="13" t="s">
        <v>78</v>
      </c>
      <c r="E46" s="15" t="s">
        <v>79</v>
      </c>
      <c r="F46" s="13" t="s">
        <v>80</v>
      </c>
      <c r="G46" s="15" t="s">
        <v>81</v>
      </c>
      <c r="H46" s="13" t="s">
        <v>82</v>
      </c>
      <c r="I46" s="15" t="s">
        <v>81</v>
      </c>
      <c r="J46" s="15" t="s">
        <v>83</v>
      </c>
      <c r="K46" s="15" t="s">
        <v>84</v>
      </c>
      <c r="L46" s="13" t="s">
        <v>118</v>
      </c>
      <c r="M46" s="15" t="s">
        <v>119</v>
      </c>
      <c r="N46" s="14" t="s">
        <v>87</v>
      </c>
      <c r="O46" s="15" t="s">
        <v>120</v>
      </c>
      <c r="P46" s="15" t="s">
        <v>121</v>
      </c>
      <c r="Q46" s="15" t="s">
        <v>233</v>
      </c>
      <c r="R46" s="13" t="s">
        <v>234</v>
      </c>
      <c r="S46" s="13" t="s">
        <v>193</v>
      </c>
      <c r="T46" s="13" t="s">
        <v>93</v>
      </c>
      <c r="U46" s="14">
        <v>40725</v>
      </c>
      <c r="V46" s="14">
        <v>43435</v>
      </c>
      <c r="W46" s="15"/>
      <c r="X46" s="13"/>
      <c r="Y46" s="15"/>
      <c r="Z46" s="13"/>
      <c r="AA46" s="15"/>
      <c r="AB46" s="13"/>
      <c r="AC46" s="15"/>
      <c r="AD46" s="13"/>
      <c r="AE46" s="15"/>
      <c r="AF46" s="13"/>
      <c r="AG46" s="15"/>
      <c r="AH46" s="13"/>
      <c r="AI46" s="15"/>
      <c r="AJ46" s="13"/>
      <c r="AK46" s="15"/>
      <c r="AL46" s="13"/>
      <c r="AM46" s="15"/>
      <c r="AN46" s="13"/>
      <c r="AO46" s="15"/>
      <c r="AP46" s="13"/>
      <c r="AQ46" s="15"/>
      <c r="AR46" s="13"/>
      <c r="AS46" s="13"/>
    </row>
    <row r="47" spans="1:45" ht="42.8" x14ac:dyDescent="0.25">
      <c r="A47" s="13" t="s">
        <v>232</v>
      </c>
      <c r="B47" s="13" t="s">
        <v>77</v>
      </c>
      <c r="C47" s="14">
        <v>45994.431944444441</v>
      </c>
      <c r="D47" s="13" t="s">
        <v>78</v>
      </c>
      <c r="E47" s="15" t="s">
        <v>79</v>
      </c>
      <c r="F47" s="13" t="s">
        <v>80</v>
      </c>
      <c r="G47" s="15" t="s">
        <v>81</v>
      </c>
      <c r="H47" s="13" t="s">
        <v>82</v>
      </c>
      <c r="I47" s="15" t="s">
        <v>81</v>
      </c>
      <c r="J47" s="15" t="s">
        <v>83</v>
      </c>
      <c r="K47" s="15" t="s">
        <v>84</v>
      </c>
      <c r="L47" s="13" t="s">
        <v>118</v>
      </c>
      <c r="M47" s="15" t="s">
        <v>119</v>
      </c>
      <c r="N47" s="14" t="s">
        <v>87</v>
      </c>
      <c r="O47" s="15" t="s">
        <v>120</v>
      </c>
      <c r="P47" s="15" t="s">
        <v>121</v>
      </c>
      <c r="Q47" s="15" t="s">
        <v>233</v>
      </c>
      <c r="R47" s="13" t="s">
        <v>234</v>
      </c>
      <c r="S47" s="13" t="s">
        <v>193</v>
      </c>
      <c r="T47" s="13" t="s">
        <v>93</v>
      </c>
      <c r="U47" s="14">
        <v>43436</v>
      </c>
      <c r="V47" s="14">
        <v>45900</v>
      </c>
      <c r="W47" s="15"/>
      <c r="X47" s="13"/>
      <c r="Y47" s="15"/>
      <c r="Z47" s="13"/>
      <c r="AA47" s="15"/>
      <c r="AB47" s="13"/>
      <c r="AC47" s="15"/>
      <c r="AD47" s="13"/>
      <c r="AE47" s="15"/>
      <c r="AF47" s="13"/>
      <c r="AG47" s="15"/>
      <c r="AH47" s="13"/>
      <c r="AI47" s="15"/>
      <c r="AJ47" s="13"/>
      <c r="AK47" s="15"/>
      <c r="AL47" s="13"/>
      <c r="AM47" s="15"/>
      <c r="AN47" s="13"/>
      <c r="AO47" s="15"/>
      <c r="AP47" s="13"/>
      <c r="AQ47" s="15"/>
      <c r="AR47" s="13" t="s">
        <v>235</v>
      </c>
      <c r="AS47" s="13"/>
    </row>
    <row r="48" spans="1:45" ht="42.8" x14ac:dyDescent="0.25">
      <c r="A48" s="13" t="s">
        <v>117</v>
      </c>
      <c r="B48" s="13" t="s">
        <v>77</v>
      </c>
      <c r="C48" s="14">
        <v>44053.464583333334</v>
      </c>
      <c r="D48" s="13" t="s">
        <v>78</v>
      </c>
      <c r="E48" s="15" t="s">
        <v>79</v>
      </c>
      <c r="F48" s="13" t="s">
        <v>80</v>
      </c>
      <c r="G48" s="15" t="s">
        <v>81</v>
      </c>
      <c r="H48" s="13" t="s">
        <v>82</v>
      </c>
      <c r="I48" s="15" t="s">
        <v>81</v>
      </c>
      <c r="J48" s="15" t="s">
        <v>83</v>
      </c>
      <c r="K48" s="15" t="s">
        <v>84</v>
      </c>
      <c r="L48" s="13" t="s">
        <v>143</v>
      </c>
      <c r="M48" s="15" t="s">
        <v>144</v>
      </c>
      <c r="N48" s="14" t="s">
        <v>87</v>
      </c>
      <c r="O48" s="15" t="s">
        <v>145</v>
      </c>
      <c r="P48" s="15" t="s">
        <v>146</v>
      </c>
      <c r="Q48" s="15" t="s">
        <v>233</v>
      </c>
      <c r="R48" s="13" t="s">
        <v>234</v>
      </c>
      <c r="S48" s="13" t="s">
        <v>193</v>
      </c>
      <c r="T48" s="13" t="s">
        <v>93</v>
      </c>
      <c r="U48" s="14">
        <v>40725</v>
      </c>
      <c r="V48" s="14">
        <v>43435</v>
      </c>
      <c r="W48" s="15"/>
      <c r="X48" s="13"/>
      <c r="Y48" s="15"/>
      <c r="Z48" s="13"/>
      <c r="AA48" s="15"/>
      <c r="AB48" s="13"/>
      <c r="AC48" s="15"/>
      <c r="AD48" s="13"/>
      <c r="AE48" s="15"/>
      <c r="AF48" s="13"/>
      <c r="AG48" s="15"/>
      <c r="AH48" s="13"/>
      <c r="AI48" s="15"/>
      <c r="AJ48" s="13"/>
      <c r="AK48" s="15"/>
      <c r="AL48" s="13"/>
      <c r="AM48" s="15"/>
      <c r="AN48" s="13"/>
      <c r="AO48" s="15"/>
      <c r="AP48" s="13"/>
      <c r="AQ48" s="15"/>
      <c r="AR48" s="13"/>
      <c r="AS48" s="13"/>
    </row>
    <row r="49" spans="1:45" ht="42.8" x14ac:dyDescent="0.25">
      <c r="A49" s="13" t="s">
        <v>232</v>
      </c>
      <c r="B49" s="13" t="s">
        <v>77</v>
      </c>
      <c r="C49" s="14">
        <v>45994.432638888888</v>
      </c>
      <c r="D49" s="13" t="s">
        <v>78</v>
      </c>
      <c r="E49" s="15" t="s">
        <v>79</v>
      </c>
      <c r="F49" s="13" t="s">
        <v>80</v>
      </c>
      <c r="G49" s="15" t="s">
        <v>81</v>
      </c>
      <c r="H49" s="13" t="s">
        <v>82</v>
      </c>
      <c r="I49" s="15" t="s">
        <v>81</v>
      </c>
      <c r="J49" s="15" t="s">
        <v>83</v>
      </c>
      <c r="K49" s="15" t="s">
        <v>84</v>
      </c>
      <c r="L49" s="13" t="s">
        <v>143</v>
      </c>
      <c r="M49" s="15" t="s">
        <v>144</v>
      </c>
      <c r="N49" s="14" t="s">
        <v>87</v>
      </c>
      <c r="O49" s="15" t="s">
        <v>145</v>
      </c>
      <c r="P49" s="15" t="s">
        <v>146</v>
      </c>
      <c r="Q49" s="15" t="s">
        <v>233</v>
      </c>
      <c r="R49" s="13" t="s">
        <v>234</v>
      </c>
      <c r="S49" s="13" t="s">
        <v>193</v>
      </c>
      <c r="T49" s="13" t="s">
        <v>93</v>
      </c>
      <c r="U49" s="14">
        <v>43436</v>
      </c>
      <c r="V49" s="14">
        <v>45900</v>
      </c>
      <c r="W49" s="15"/>
      <c r="X49" s="13"/>
      <c r="Y49" s="15"/>
      <c r="Z49" s="13"/>
      <c r="AA49" s="15"/>
      <c r="AB49" s="13"/>
      <c r="AC49" s="15"/>
      <c r="AD49" s="13"/>
      <c r="AE49" s="15"/>
      <c r="AF49" s="13"/>
      <c r="AG49" s="15"/>
      <c r="AH49" s="13"/>
      <c r="AI49" s="15"/>
      <c r="AJ49" s="13"/>
      <c r="AK49" s="15"/>
      <c r="AL49" s="13"/>
      <c r="AM49" s="15"/>
      <c r="AN49" s="13"/>
      <c r="AO49" s="15"/>
      <c r="AP49" s="13"/>
      <c r="AQ49" s="15"/>
      <c r="AR49" s="13" t="s">
        <v>235</v>
      </c>
      <c r="AS49" s="13"/>
    </row>
    <row r="50" spans="1:45" ht="28.55" x14ac:dyDescent="0.25">
      <c r="A50" s="13" t="s">
        <v>76</v>
      </c>
      <c r="B50" s="13" t="s">
        <v>77</v>
      </c>
      <c r="C50" s="14">
        <v>45628.706250000003</v>
      </c>
      <c r="D50" s="13" t="s">
        <v>78</v>
      </c>
      <c r="E50" s="15" t="s">
        <v>79</v>
      </c>
      <c r="F50" s="13" t="s">
        <v>80</v>
      </c>
      <c r="G50" s="15" t="s">
        <v>81</v>
      </c>
      <c r="H50" s="13" t="s">
        <v>82</v>
      </c>
      <c r="I50" s="15" t="s">
        <v>81</v>
      </c>
      <c r="J50" s="15" t="s">
        <v>83</v>
      </c>
      <c r="K50" s="15" t="s">
        <v>84</v>
      </c>
      <c r="L50" s="13" t="s">
        <v>85</v>
      </c>
      <c r="M50" s="15" t="s">
        <v>86</v>
      </c>
      <c r="N50" s="14" t="s">
        <v>87</v>
      </c>
      <c r="O50" s="15" t="s">
        <v>88</v>
      </c>
      <c r="P50" s="15" t="s">
        <v>89</v>
      </c>
      <c r="Q50" s="15" t="s">
        <v>236</v>
      </c>
      <c r="R50" s="13" t="s">
        <v>237</v>
      </c>
      <c r="S50" s="13" t="s">
        <v>193</v>
      </c>
      <c r="T50" s="13" t="s">
        <v>174</v>
      </c>
      <c r="U50" s="14">
        <v>40725</v>
      </c>
      <c r="V50" s="14">
        <v>40725</v>
      </c>
      <c r="W50" s="15"/>
      <c r="X50" s="13"/>
      <c r="Y50" s="15"/>
      <c r="Z50" s="13"/>
      <c r="AA50" s="15"/>
      <c r="AB50" s="13"/>
      <c r="AC50" s="15"/>
      <c r="AD50" s="13"/>
      <c r="AE50" s="15"/>
      <c r="AF50" s="13"/>
      <c r="AG50" s="15"/>
      <c r="AH50" s="13"/>
      <c r="AI50" s="15"/>
      <c r="AJ50" s="13"/>
      <c r="AK50" s="15"/>
      <c r="AL50" s="13"/>
      <c r="AM50" s="15"/>
      <c r="AN50" s="13"/>
      <c r="AO50" s="15"/>
      <c r="AP50" s="13"/>
      <c r="AQ50" s="15"/>
      <c r="AR50" s="13"/>
      <c r="AS50" s="13"/>
    </row>
    <row r="51" spans="1:45" ht="42.8" x14ac:dyDescent="0.25">
      <c r="A51" s="13" t="s">
        <v>76</v>
      </c>
      <c r="B51" s="13" t="s">
        <v>77</v>
      </c>
      <c r="C51" s="14">
        <v>45628.707638888889</v>
      </c>
      <c r="D51" s="13" t="s">
        <v>78</v>
      </c>
      <c r="E51" s="15" t="s">
        <v>79</v>
      </c>
      <c r="F51" s="13" t="s">
        <v>80</v>
      </c>
      <c r="G51" s="15" t="s">
        <v>81</v>
      </c>
      <c r="H51" s="13" t="s">
        <v>82</v>
      </c>
      <c r="I51" s="15" t="s">
        <v>81</v>
      </c>
      <c r="J51" s="15" t="s">
        <v>83</v>
      </c>
      <c r="K51" s="15" t="s">
        <v>84</v>
      </c>
      <c r="L51" s="13" t="s">
        <v>118</v>
      </c>
      <c r="M51" s="15" t="s">
        <v>119</v>
      </c>
      <c r="N51" s="14" t="s">
        <v>87</v>
      </c>
      <c r="O51" s="15" t="s">
        <v>120</v>
      </c>
      <c r="P51" s="15" t="s">
        <v>121</v>
      </c>
      <c r="Q51" s="15" t="s">
        <v>236</v>
      </c>
      <c r="R51" s="13" t="s">
        <v>237</v>
      </c>
      <c r="S51" s="13" t="s">
        <v>193</v>
      </c>
      <c r="T51" s="13" t="s">
        <v>174</v>
      </c>
      <c r="U51" s="14">
        <v>40725</v>
      </c>
      <c r="V51" s="14">
        <v>40725</v>
      </c>
      <c r="W51" s="15"/>
      <c r="X51" s="13"/>
      <c r="Y51" s="15"/>
      <c r="Z51" s="13"/>
      <c r="AA51" s="15"/>
      <c r="AB51" s="13"/>
      <c r="AC51" s="15"/>
      <c r="AD51" s="13"/>
      <c r="AE51" s="15"/>
      <c r="AF51" s="13"/>
      <c r="AG51" s="15"/>
      <c r="AH51" s="13"/>
      <c r="AI51" s="15"/>
      <c r="AJ51" s="13"/>
      <c r="AK51" s="15"/>
      <c r="AL51" s="13"/>
      <c r="AM51" s="15"/>
      <c r="AN51" s="13"/>
      <c r="AO51" s="15"/>
      <c r="AP51" s="13"/>
      <c r="AQ51" s="15"/>
      <c r="AR51" s="13"/>
      <c r="AS51" s="13"/>
    </row>
    <row r="52" spans="1:45" ht="42.8" x14ac:dyDescent="0.25">
      <c r="A52" s="13" t="s">
        <v>76</v>
      </c>
      <c r="B52" s="13" t="s">
        <v>77</v>
      </c>
      <c r="C52" s="14">
        <v>45628.709722222222</v>
      </c>
      <c r="D52" s="13" t="s">
        <v>78</v>
      </c>
      <c r="E52" s="15" t="s">
        <v>79</v>
      </c>
      <c r="F52" s="13" t="s">
        <v>80</v>
      </c>
      <c r="G52" s="15" t="s">
        <v>81</v>
      </c>
      <c r="H52" s="13" t="s">
        <v>82</v>
      </c>
      <c r="I52" s="15" t="s">
        <v>81</v>
      </c>
      <c r="J52" s="15" t="s">
        <v>83</v>
      </c>
      <c r="K52" s="15" t="s">
        <v>84</v>
      </c>
      <c r="L52" s="13" t="s">
        <v>143</v>
      </c>
      <c r="M52" s="15" t="s">
        <v>144</v>
      </c>
      <c r="N52" s="14" t="s">
        <v>87</v>
      </c>
      <c r="O52" s="15" t="s">
        <v>145</v>
      </c>
      <c r="P52" s="15" t="s">
        <v>146</v>
      </c>
      <c r="Q52" s="15" t="s">
        <v>236</v>
      </c>
      <c r="R52" s="13" t="s">
        <v>237</v>
      </c>
      <c r="S52" s="13" t="s">
        <v>193</v>
      </c>
      <c r="T52" s="13" t="s">
        <v>174</v>
      </c>
      <c r="U52" s="14">
        <v>40725</v>
      </c>
      <c r="V52" s="14">
        <v>40725</v>
      </c>
      <c r="W52" s="15"/>
      <c r="X52" s="13"/>
      <c r="Y52" s="15"/>
      <c r="Z52" s="13"/>
      <c r="AA52" s="15"/>
      <c r="AB52" s="13"/>
      <c r="AC52" s="15"/>
      <c r="AD52" s="13"/>
      <c r="AE52" s="15"/>
      <c r="AF52" s="13"/>
      <c r="AG52" s="15"/>
      <c r="AH52" s="13"/>
      <c r="AI52" s="15"/>
      <c r="AJ52" s="13"/>
      <c r="AK52" s="15"/>
      <c r="AL52" s="13"/>
      <c r="AM52" s="15"/>
      <c r="AN52" s="13"/>
      <c r="AO52" s="15"/>
      <c r="AP52" s="13"/>
      <c r="AQ52" s="15"/>
      <c r="AR52" s="13"/>
      <c r="AS52" s="13"/>
    </row>
    <row r="53" spans="1:45" ht="28.55" x14ac:dyDescent="0.25">
      <c r="A53" s="13" t="s">
        <v>76</v>
      </c>
      <c r="B53" s="13" t="s">
        <v>77</v>
      </c>
      <c r="C53" s="14">
        <v>45628.706944444442</v>
      </c>
      <c r="D53" s="13" t="s">
        <v>78</v>
      </c>
      <c r="E53" s="15" t="s">
        <v>79</v>
      </c>
      <c r="F53" s="13" t="s">
        <v>80</v>
      </c>
      <c r="G53" s="15" t="s">
        <v>81</v>
      </c>
      <c r="H53" s="13" t="s">
        <v>82</v>
      </c>
      <c r="I53" s="15" t="s">
        <v>81</v>
      </c>
      <c r="J53" s="15" t="s">
        <v>83</v>
      </c>
      <c r="K53" s="15" t="s">
        <v>84</v>
      </c>
      <c r="L53" s="13" t="s">
        <v>85</v>
      </c>
      <c r="M53" s="15" t="s">
        <v>86</v>
      </c>
      <c r="N53" s="14" t="s">
        <v>87</v>
      </c>
      <c r="O53" s="15" t="s">
        <v>88</v>
      </c>
      <c r="P53" s="15" t="s">
        <v>89</v>
      </c>
      <c r="Q53" s="15" t="s">
        <v>238</v>
      </c>
      <c r="R53" s="13" t="s">
        <v>239</v>
      </c>
      <c r="S53" s="13" t="s">
        <v>193</v>
      </c>
      <c r="T53" s="13" t="s">
        <v>174</v>
      </c>
      <c r="U53" s="14">
        <v>40725</v>
      </c>
      <c r="V53" s="14">
        <v>40725</v>
      </c>
      <c r="W53" s="15"/>
      <c r="X53" s="13"/>
      <c r="Y53" s="15"/>
      <c r="Z53" s="13"/>
      <c r="AA53" s="15"/>
      <c r="AB53" s="13"/>
      <c r="AC53" s="15"/>
      <c r="AD53" s="13"/>
      <c r="AE53" s="15"/>
      <c r="AF53" s="13"/>
      <c r="AG53" s="15"/>
      <c r="AH53" s="13"/>
      <c r="AI53" s="15"/>
      <c r="AJ53" s="13"/>
      <c r="AK53" s="15"/>
      <c r="AL53" s="13"/>
      <c r="AM53" s="15"/>
      <c r="AN53" s="13"/>
      <c r="AO53" s="15"/>
      <c r="AP53" s="13"/>
      <c r="AQ53" s="15"/>
      <c r="AR53" s="13"/>
      <c r="AS53" s="13"/>
    </row>
    <row r="54" spans="1:45" ht="42.8" x14ac:dyDescent="0.25">
      <c r="A54" s="13" t="s">
        <v>76</v>
      </c>
      <c r="B54" s="13" t="s">
        <v>77</v>
      </c>
      <c r="C54" s="14">
        <v>45628.708333333336</v>
      </c>
      <c r="D54" s="13" t="s">
        <v>78</v>
      </c>
      <c r="E54" s="15" t="s">
        <v>79</v>
      </c>
      <c r="F54" s="13" t="s">
        <v>80</v>
      </c>
      <c r="G54" s="15" t="s">
        <v>81</v>
      </c>
      <c r="H54" s="13" t="s">
        <v>82</v>
      </c>
      <c r="I54" s="15" t="s">
        <v>81</v>
      </c>
      <c r="J54" s="15" t="s">
        <v>83</v>
      </c>
      <c r="K54" s="15" t="s">
        <v>84</v>
      </c>
      <c r="L54" s="13" t="s">
        <v>118</v>
      </c>
      <c r="M54" s="15" t="s">
        <v>119</v>
      </c>
      <c r="N54" s="14" t="s">
        <v>87</v>
      </c>
      <c r="O54" s="15" t="s">
        <v>120</v>
      </c>
      <c r="P54" s="15" t="s">
        <v>121</v>
      </c>
      <c r="Q54" s="15" t="s">
        <v>238</v>
      </c>
      <c r="R54" s="13" t="s">
        <v>239</v>
      </c>
      <c r="S54" s="13" t="s">
        <v>193</v>
      </c>
      <c r="T54" s="13" t="s">
        <v>174</v>
      </c>
      <c r="U54" s="14">
        <v>40725</v>
      </c>
      <c r="V54" s="14">
        <v>40725</v>
      </c>
      <c r="W54" s="15"/>
      <c r="X54" s="13"/>
      <c r="Y54" s="15"/>
      <c r="Z54" s="13"/>
      <c r="AA54" s="15"/>
      <c r="AB54" s="13"/>
      <c r="AC54" s="15"/>
      <c r="AD54" s="13"/>
      <c r="AE54" s="15"/>
      <c r="AF54" s="13"/>
      <c r="AG54" s="15"/>
      <c r="AH54" s="13"/>
      <c r="AI54" s="15"/>
      <c r="AJ54" s="13"/>
      <c r="AK54" s="15"/>
      <c r="AL54" s="13"/>
      <c r="AM54" s="15"/>
      <c r="AN54" s="13"/>
      <c r="AO54" s="15"/>
      <c r="AP54" s="13"/>
      <c r="AQ54" s="15"/>
      <c r="AR54" s="13"/>
      <c r="AS54" s="13"/>
    </row>
    <row r="55" spans="1:45" ht="42.8" x14ac:dyDescent="0.25">
      <c r="A55" s="13" t="s">
        <v>76</v>
      </c>
      <c r="B55" s="13" t="s">
        <v>77</v>
      </c>
      <c r="C55" s="14">
        <v>45628.709722222222</v>
      </c>
      <c r="D55" s="13" t="s">
        <v>78</v>
      </c>
      <c r="E55" s="15" t="s">
        <v>79</v>
      </c>
      <c r="F55" s="13" t="s">
        <v>80</v>
      </c>
      <c r="G55" s="15" t="s">
        <v>81</v>
      </c>
      <c r="H55" s="13" t="s">
        <v>82</v>
      </c>
      <c r="I55" s="15" t="s">
        <v>81</v>
      </c>
      <c r="J55" s="15" t="s">
        <v>83</v>
      </c>
      <c r="K55" s="15" t="s">
        <v>84</v>
      </c>
      <c r="L55" s="13" t="s">
        <v>143</v>
      </c>
      <c r="M55" s="15" t="s">
        <v>144</v>
      </c>
      <c r="N55" s="14" t="s">
        <v>87</v>
      </c>
      <c r="O55" s="15" t="s">
        <v>145</v>
      </c>
      <c r="P55" s="15" t="s">
        <v>146</v>
      </c>
      <c r="Q55" s="15" t="s">
        <v>238</v>
      </c>
      <c r="R55" s="13" t="s">
        <v>239</v>
      </c>
      <c r="S55" s="13" t="s">
        <v>193</v>
      </c>
      <c r="T55" s="13" t="s">
        <v>174</v>
      </c>
      <c r="U55" s="14">
        <v>40725</v>
      </c>
      <c r="V55" s="14">
        <v>40725</v>
      </c>
      <c r="W55" s="15"/>
      <c r="X55" s="13"/>
      <c r="Y55" s="15"/>
      <c r="Z55" s="13"/>
      <c r="AA55" s="15"/>
      <c r="AB55" s="13"/>
      <c r="AC55" s="15"/>
      <c r="AD55" s="13"/>
      <c r="AE55" s="15"/>
      <c r="AF55" s="13"/>
      <c r="AG55" s="15"/>
      <c r="AH55" s="13"/>
      <c r="AI55" s="15"/>
      <c r="AJ55" s="13"/>
      <c r="AK55" s="15"/>
      <c r="AL55" s="13"/>
      <c r="AM55" s="15"/>
      <c r="AN55" s="13"/>
      <c r="AO55" s="15"/>
      <c r="AP55" s="13"/>
      <c r="AQ55" s="15"/>
      <c r="AR55" s="13"/>
      <c r="AS55" s="13"/>
    </row>
    <row r="56" spans="1:45" ht="142.65" x14ac:dyDescent="0.25">
      <c r="A56" s="13" t="s">
        <v>76</v>
      </c>
      <c r="B56" s="13" t="s">
        <v>77</v>
      </c>
      <c r="C56" s="14">
        <v>45628.715277777781</v>
      </c>
      <c r="D56" s="13" t="s">
        <v>78</v>
      </c>
      <c r="E56" s="15" t="s">
        <v>79</v>
      </c>
      <c r="F56" s="13" t="s">
        <v>80</v>
      </c>
      <c r="G56" s="15" t="s">
        <v>81</v>
      </c>
      <c r="H56" s="13" t="s">
        <v>240</v>
      </c>
      <c r="I56" s="15" t="s">
        <v>241</v>
      </c>
      <c r="J56" s="15" t="s">
        <v>83</v>
      </c>
      <c r="K56" s="15" t="s">
        <v>242</v>
      </c>
      <c r="L56" s="13" t="s">
        <v>243</v>
      </c>
      <c r="M56" s="15" t="s">
        <v>244</v>
      </c>
      <c r="N56" s="14" t="s">
        <v>87</v>
      </c>
      <c r="O56" s="15" t="s">
        <v>88</v>
      </c>
      <c r="P56" s="15" t="s">
        <v>89</v>
      </c>
      <c r="Q56" s="15" t="s">
        <v>90</v>
      </c>
      <c r="R56" s="13" t="s">
        <v>91</v>
      </c>
      <c r="S56" s="13" t="s">
        <v>92</v>
      </c>
      <c r="T56" s="13" t="s">
        <v>93</v>
      </c>
      <c r="U56" s="14">
        <v>40725</v>
      </c>
      <c r="V56" s="14">
        <v>40725</v>
      </c>
      <c r="W56" s="15" t="s">
        <v>325</v>
      </c>
      <c r="X56" s="13" t="s">
        <v>326</v>
      </c>
      <c r="Y56" s="15" t="str">
        <f>VLOOKUP(X56,'Axe 2 Règles de gestion'!$D$2:$F$84,3, FALSE)</f>
        <v>Rémunération : En cas d'indemnisation, le montant versé est un montant forfaitaire qui dépend de la catégorie statutaire d'appartenance de l'agent.</v>
      </c>
      <c r="Z56" s="13" t="s">
        <v>328</v>
      </c>
      <c r="AA56" s="15" t="str">
        <f>VLOOKUP(Z56,'Axe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56" s="13" t="s">
        <v>330</v>
      </c>
      <c r="AC56" s="15" t="str">
        <f>VLOOKUP(AB56,'Axe 2 Règles de gestion'!$D$2:$F$84,3, FALSE)</f>
        <v>Stage : L'agent ne peut pas demander l'ouverture ou l'utilisation d'un compte épargne-temps durant la durée de son stage.</v>
      </c>
      <c r="AD56" s="13" t="s">
        <v>332</v>
      </c>
      <c r="AE56" s="15" t="str">
        <f>VLOOKUP(AD56,'Axe 2 Règles de gestion'!$D$2:$F$84,3, FALSE)</f>
        <v>Congés annuels : L'agent conserve son droit à congé annuel.</v>
      </c>
      <c r="AF56" s="13" t="s">
        <v>334</v>
      </c>
      <c r="AG56" s="15" t="str">
        <f>VLOOKUP(AF56,'Axe 2 Règles de gestion'!$D$2:$F$84,3, FALSE)</f>
        <v>Mobilité : Si l'agent effectue une mobilité auprès d'une administration, d'une collectivité ou d'un établissement relevant de l'une des trois fonctions publiques, l'agent conserve le bénéfice de son compte épargne-temps.</v>
      </c>
      <c r="AH56" s="13" t="s">
        <v>336</v>
      </c>
      <c r="AI56" s="15" t="str">
        <f>VLOOKUP(AH56,'Axe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56" s="13" t="s">
        <v>338</v>
      </c>
      <c r="AK56" s="15" t="str">
        <f>VLOOKUP(AJ56,'Axe 2 Règles de gestion'!$D$2:$F$84,3, FALSE)</f>
        <v>Détachement : Si l'agent est en position de détachement auprès d'une administration, d'une collectivité ou d'un établissement relevant de l'une des trois fonctions publiques, l'agent conserve le bénéfice de son compte épargne-temps.</v>
      </c>
      <c r="AL56" s="13" t="s">
        <v>340</v>
      </c>
      <c r="AM56" s="15" t="str">
        <f>VLOOKUP(AL56,'Axe 2 Règles de gestion'!$D$2:$F$84,3, FALSE)</f>
        <v>Retraite : Si l'agent dispose de plus de 15 jours sur son compte épargne-temps, il peut choisir une prise en compte au sein du régime de retraite additionnelle de la fonction publique - RAFP, au-delà des 15 jours.</v>
      </c>
      <c r="AN56" s="13" t="s">
        <v>342</v>
      </c>
      <c r="AO56" s="15" t="str">
        <f>VLOOKUP(AN56,'Axe 2 Règles de gestion'!$D$2:$F$84,3, FALSE)</f>
        <v>Décès : Les droits acquis au titre du compte épargne-temps de l'agent bénéficient à ses ayants droit. Ils donnent lieu à une indemnisation forfaitaire.</v>
      </c>
      <c r="AP56" s="13" t="s">
        <v>344</v>
      </c>
      <c r="AQ56" s="15" t="str">
        <f>VLOOKUP(AP56,'Axe 2 Règles de gestion'!$D$2:$F$84,3, FALSE)</f>
        <v>Acte : Un acte administratif doit être produit si l'agent bénéficie de l'indemnisation de jours de son compte épargne-temps ou d'une prise en compte au sein du régime de retraite additionnelle de la fonction publique - RAFP.</v>
      </c>
      <c r="AR56" s="13"/>
      <c r="AS56" s="13"/>
    </row>
    <row r="57" spans="1:45" ht="142.65" x14ac:dyDescent="0.25">
      <c r="A57" s="13" t="s">
        <v>142</v>
      </c>
      <c r="B57" s="13" t="s">
        <v>77</v>
      </c>
      <c r="C57" s="14">
        <v>43509.742361111108</v>
      </c>
      <c r="D57" s="13" t="s">
        <v>78</v>
      </c>
      <c r="E57" s="15" t="s">
        <v>79</v>
      </c>
      <c r="F57" s="13" t="s">
        <v>80</v>
      </c>
      <c r="G57" s="15" t="s">
        <v>81</v>
      </c>
      <c r="H57" s="13" t="s">
        <v>240</v>
      </c>
      <c r="I57" s="15" t="s">
        <v>241</v>
      </c>
      <c r="J57" s="15" t="s">
        <v>83</v>
      </c>
      <c r="K57" s="15" t="s">
        <v>242</v>
      </c>
      <c r="L57" s="13" t="s">
        <v>256</v>
      </c>
      <c r="M57" s="15" t="s">
        <v>257</v>
      </c>
      <c r="N57" s="14" t="s">
        <v>87</v>
      </c>
      <c r="O57" s="15" t="s">
        <v>258</v>
      </c>
      <c r="P57" s="15" t="s">
        <v>259</v>
      </c>
      <c r="Q57" s="15" t="s">
        <v>90</v>
      </c>
      <c r="R57" s="13" t="s">
        <v>91</v>
      </c>
      <c r="S57" s="13" t="s">
        <v>92</v>
      </c>
      <c r="T57" s="13" t="s">
        <v>93</v>
      </c>
      <c r="U57" s="14">
        <v>40725</v>
      </c>
      <c r="V57" s="14">
        <v>43435</v>
      </c>
      <c r="W57" s="15" t="s">
        <v>325</v>
      </c>
      <c r="X57" s="13" t="s">
        <v>326</v>
      </c>
      <c r="Y57" s="15" t="str">
        <f>VLOOKUP(X57,'Axe 2 Règles de gestion'!$D$2:$F$84,3, FALSE)</f>
        <v>Rémunération : En cas d'indemnisation, le montant versé est un montant forfaitaire qui dépend de la catégorie statutaire d'appartenance de l'agent.</v>
      </c>
      <c r="Z57" s="13" t="s">
        <v>328</v>
      </c>
      <c r="AA57" s="15" t="str">
        <f>VLOOKUP(Z57,'Axe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57" s="13" t="s">
        <v>330</v>
      </c>
      <c r="AC57" s="15" t="str">
        <f>VLOOKUP(AB57,'Axe 2 Règles de gestion'!$D$2:$F$84,3, FALSE)</f>
        <v>Stage : L'agent ne peut pas demander l'ouverture ou l'utilisation d'un compte épargne-temps durant la durée de son stage.</v>
      </c>
      <c r="AD57" s="13" t="s">
        <v>332</v>
      </c>
      <c r="AE57" s="15" t="str">
        <f>VLOOKUP(AD57,'Axe 2 Règles de gestion'!$D$2:$F$84,3, FALSE)</f>
        <v>Congés annuels : L'agent conserve son droit à congé annuel.</v>
      </c>
      <c r="AF57" s="13" t="s">
        <v>334</v>
      </c>
      <c r="AG57" s="15" t="str">
        <f>VLOOKUP(AF57,'Axe 2 Règles de gestion'!$D$2:$F$84,3, FALSE)</f>
        <v>Mobilité : Si l'agent effectue une mobilité auprès d'une administration, d'une collectivité ou d'un établissement relevant de l'une des trois fonctions publiques, l'agent conserve le bénéfice de son compte épargne-temps.</v>
      </c>
      <c r="AH57" s="13" t="s">
        <v>336</v>
      </c>
      <c r="AI57" s="15" t="str">
        <f>VLOOKUP(AH57,'Axe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57" s="13" t="s">
        <v>338</v>
      </c>
      <c r="AK57" s="15" t="str">
        <f>VLOOKUP(AJ57,'Axe 2 Règles de gestion'!$D$2:$F$84,3, FALSE)</f>
        <v>Détachement : Si l'agent est en position de détachement auprès d'une administration, d'une collectivité ou d'un établissement relevant de l'une des trois fonctions publiques, l'agent conserve le bénéfice de son compte épargne-temps.</v>
      </c>
      <c r="AL57" s="13" t="s">
        <v>340</v>
      </c>
      <c r="AM57" s="15" t="str">
        <f>VLOOKUP(AL57,'Axe 2 Règles de gestion'!$D$2:$F$84,3, FALSE)</f>
        <v>Retraite : Si l'agent dispose de plus de 15 jours sur son compte épargne-temps, il peut choisir une prise en compte au sein du régime de retraite additionnelle de la fonction publique - RAFP, au-delà des 15 jours.</v>
      </c>
      <c r="AN57" s="13" t="s">
        <v>342</v>
      </c>
      <c r="AO57" s="15" t="str">
        <f>VLOOKUP(AN57,'Axe 2 Règles de gestion'!$D$2:$F$84,3, FALSE)</f>
        <v>Décès : Les droits acquis au titre du compte épargne-temps de l'agent bénéficient à ses ayants droit. Ils donnent lieu à une indemnisation forfaitaire.</v>
      </c>
      <c r="AP57" s="13" t="s">
        <v>344</v>
      </c>
      <c r="AQ57" s="15" t="str">
        <f>VLOOKUP(AP57,'Axe 2 Règles de gestion'!$D$2:$F$84,3, FALSE)</f>
        <v>Acte : Un acte administratif doit être produit si l'agent bénéficie de l'indemnisation de jours de son compte épargne-temps ou d'une prise en compte au sein du régime de retraite additionnelle de la fonction publique - RAFP.</v>
      </c>
      <c r="AR57" s="13"/>
      <c r="AS57" s="13"/>
    </row>
    <row r="58" spans="1:45" ht="142.65" x14ac:dyDescent="0.25">
      <c r="A58" s="13" t="s">
        <v>76</v>
      </c>
      <c r="B58" s="13" t="s">
        <v>77</v>
      </c>
      <c r="C58" s="14">
        <v>45628.717361111114</v>
      </c>
      <c r="D58" s="13" t="s">
        <v>78</v>
      </c>
      <c r="E58" s="15" t="s">
        <v>79</v>
      </c>
      <c r="F58" s="13" t="s">
        <v>80</v>
      </c>
      <c r="G58" s="15" t="s">
        <v>81</v>
      </c>
      <c r="H58" s="13" t="s">
        <v>240</v>
      </c>
      <c r="I58" s="15" t="s">
        <v>241</v>
      </c>
      <c r="J58" s="15" t="s">
        <v>83</v>
      </c>
      <c r="K58" s="15" t="s">
        <v>242</v>
      </c>
      <c r="L58" s="13" t="s">
        <v>256</v>
      </c>
      <c r="M58" s="15" t="s">
        <v>257</v>
      </c>
      <c r="N58" s="14" t="s">
        <v>87</v>
      </c>
      <c r="O58" s="15" t="s">
        <v>258</v>
      </c>
      <c r="P58" s="15" t="s">
        <v>259</v>
      </c>
      <c r="Q58" s="15" t="s">
        <v>90</v>
      </c>
      <c r="R58" s="13" t="s">
        <v>91</v>
      </c>
      <c r="S58" s="13" t="s">
        <v>92</v>
      </c>
      <c r="T58" s="13" t="s">
        <v>93</v>
      </c>
      <c r="U58" s="14">
        <v>43436</v>
      </c>
      <c r="V58" s="14">
        <v>43436</v>
      </c>
      <c r="W58" s="15" t="s">
        <v>325</v>
      </c>
      <c r="X58" s="13" t="s">
        <v>326</v>
      </c>
      <c r="Y58" s="15" t="str">
        <f>VLOOKUP(X58,'Axe 2 Règles de gestion'!$D$2:$F$84,3, FALSE)</f>
        <v>Rémunération : En cas d'indemnisation, le montant versé est un montant forfaitaire qui dépend de la catégorie statutaire d'appartenance de l'agent.</v>
      </c>
      <c r="Z58" s="13" t="s">
        <v>328</v>
      </c>
      <c r="AA58" s="15" t="str">
        <f>VLOOKUP(Z58,'Axe 2 Règles de gestion'!$D$2:$F$84,3, FALSE)</f>
        <v>Carrière : Les congés pris au titre du compte épargne-temps sont assimilés à une période d'activité. Pendant ces congés, l'agent conserve, notamment, ses droits à avancement à l'ancienneté. La durée du congé est prise en compte comme service effectif.</v>
      </c>
      <c r="AB58" s="13" t="s">
        <v>330</v>
      </c>
      <c r="AC58" s="15" t="str">
        <f>VLOOKUP(AB58,'Axe 2 Règles de gestion'!$D$2:$F$84,3, FALSE)</f>
        <v>Stage : L'agent ne peut pas demander l'ouverture ou l'utilisation d'un compte épargne-temps durant la durée de son stage.</v>
      </c>
      <c r="AD58" s="13" t="s">
        <v>332</v>
      </c>
      <c r="AE58" s="15" t="str">
        <f>VLOOKUP(AD58,'Axe 2 Règles de gestion'!$D$2:$F$84,3, FALSE)</f>
        <v>Congés annuels : L'agent conserve son droit à congé annuel.</v>
      </c>
      <c r="AF58" s="13" t="s">
        <v>334</v>
      </c>
      <c r="AG58" s="15" t="str">
        <f>VLOOKUP(AF58,'Axe 2 Règles de gestion'!$D$2:$F$84,3, FALSE)</f>
        <v>Mobilité : Si l'agent effectue une mobilité auprès d'une administration, d'une collectivité ou d'un établissement relevant de l'une des trois fonctions publiques, l'agent conserve le bénéfice de son compte épargne-temps.</v>
      </c>
      <c r="AH58" s="13" t="s">
        <v>336</v>
      </c>
      <c r="AI58" s="15" t="str">
        <f>VLOOKUP(AH58,'Axe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J58" s="13" t="s">
        <v>338</v>
      </c>
      <c r="AK58" s="15" t="str">
        <f>VLOOKUP(AJ58,'Axe 2 Règles de gestion'!$D$2:$F$84,3, FALSE)</f>
        <v>Détachement : Si l'agent est en position de détachement auprès d'une administration, d'une collectivité ou d'un établissement relevant de l'une des trois fonctions publiques, l'agent conserve le bénéfice de son compte épargne-temps.</v>
      </c>
      <c r="AL58" s="13" t="s">
        <v>340</v>
      </c>
      <c r="AM58" s="15" t="str">
        <f>VLOOKUP(AL58,'Axe 2 Règles de gestion'!$D$2:$F$84,3, FALSE)</f>
        <v>Retraite : Si l'agent dispose de plus de 15 jours sur son compte épargne-temps, il peut choisir une prise en compte au sein du régime de retraite additionnelle de la fonction publique - RAFP, au-delà des 15 jours.</v>
      </c>
      <c r="AN58" s="13" t="s">
        <v>342</v>
      </c>
      <c r="AO58" s="15" t="str">
        <f>VLOOKUP(AN58,'Axe 2 Règles de gestion'!$D$2:$F$84,3, FALSE)</f>
        <v>Décès : Les droits acquis au titre du compte épargne-temps de l'agent bénéficient à ses ayants droit. Ils donnent lieu à une indemnisation forfaitaire.</v>
      </c>
      <c r="AP58" s="13" t="s">
        <v>344</v>
      </c>
      <c r="AQ58" s="15" t="str">
        <f>VLOOKUP(AP58,'Axe 2 Règles de gestion'!$D$2:$F$84,3, FALSE)</f>
        <v>Acte : Un acte administratif doit être produit si l'agent bénéficie de l'indemnisation de jours de son compte épargne-temps ou d'une prise en compte au sein du régime de retraite additionnelle de la fonction publique - RAFP.</v>
      </c>
      <c r="AR58" s="13"/>
      <c r="AS58" s="13"/>
    </row>
    <row r="59" spans="1:45" ht="42.8" x14ac:dyDescent="0.25">
      <c r="A59" s="13" t="s">
        <v>76</v>
      </c>
      <c r="B59" s="13" t="s">
        <v>77</v>
      </c>
      <c r="C59" s="14">
        <v>45628.713888888888</v>
      </c>
      <c r="D59" s="13" t="s">
        <v>78</v>
      </c>
      <c r="E59" s="15" t="s">
        <v>79</v>
      </c>
      <c r="F59" s="13" t="s">
        <v>80</v>
      </c>
      <c r="G59" s="15" t="s">
        <v>81</v>
      </c>
      <c r="H59" s="13" t="s">
        <v>240</v>
      </c>
      <c r="I59" s="15" t="s">
        <v>241</v>
      </c>
      <c r="J59" s="15" t="s">
        <v>83</v>
      </c>
      <c r="K59" s="15" t="s">
        <v>242</v>
      </c>
      <c r="L59" s="13" t="s">
        <v>243</v>
      </c>
      <c r="M59" s="15" t="s">
        <v>244</v>
      </c>
      <c r="N59" s="14" t="s">
        <v>87</v>
      </c>
      <c r="O59" s="15" t="s">
        <v>88</v>
      </c>
      <c r="P59" s="15" t="s">
        <v>89</v>
      </c>
      <c r="Q59" s="15" t="s">
        <v>172</v>
      </c>
      <c r="R59" s="13" t="s">
        <v>173</v>
      </c>
      <c r="S59" s="13" t="s">
        <v>92</v>
      </c>
      <c r="T59" s="13" t="s">
        <v>174</v>
      </c>
      <c r="U59" s="14">
        <v>43831</v>
      </c>
      <c r="V59" s="14">
        <v>43831</v>
      </c>
      <c r="W59" s="15"/>
      <c r="X59" s="13"/>
      <c r="Y59" s="15"/>
      <c r="Z59" s="13"/>
      <c r="AA59" s="15"/>
      <c r="AB59" s="13"/>
      <c r="AC59" s="15"/>
      <c r="AD59" s="13"/>
      <c r="AE59" s="15"/>
      <c r="AF59" s="13"/>
      <c r="AG59" s="15"/>
      <c r="AH59" s="13"/>
      <c r="AI59" s="15"/>
      <c r="AJ59" s="13"/>
      <c r="AK59" s="15"/>
      <c r="AL59" s="13"/>
      <c r="AM59" s="15"/>
      <c r="AN59" s="13"/>
      <c r="AO59" s="15"/>
      <c r="AP59" s="13"/>
      <c r="AQ59" s="15"/>
      <c r="AR59" s="13"/>
      <c r="AS59" s="13"/>
    </row>
    <row r="60" spans="1:45" ht="42.8" x14ac:dyDescent="0.25">
      <c r="A60" s="13" t="s">
        <v>76</v>
      </c>
      <c r="B60" s="13" t="s">
        <v>77</v>
      </c>
      <c r="C60" s="14">
        <v>45628.71597222222</v>
      </c>
      <c r="D60" s="13" t="s">
        <v>78</v>
      </c>
      <c r="E60" s="15" t="s">
        <v>79</v>
      </c>
      <c r="F60" s="13" t="s">
        <v>80</v>
      </c>
      <c r="G60" s="15" t="s">
        <v>81</v>
      </c>
      <c r="H60" s="13" t="s">
        <v>240</v>
      </c>
      <c r="I60" s="15" t="s">
        <v>241</v>
      </c>
      <c r="J60" s="15" t="s">
        <v>83</v>
      </c>
      <c r="K60" s="15" t="s">
        <v>242</v>
      </c>
      <c r="L60" s="13" t="s">
        <v>256</v>
      </c>
      <c r="M60" s="15" t="s">
        <v>257</v>
      </c>
      <c r="N60" s="14" t="s">
        <v>87</v>
      </c>
      <c r="O60" s="15" t="s">
        <v>258</v>
      </c>
      <c r="P60" s="15" t="s">
        <v>259</v>
      </c>
      <c r="Q60" s="15" t="s">
        <v>172</v>
      </c>
      <c r="R60" s="13" t="s">
        <v>173</v>
      </c>
      <c r="S60" s="13" t="s">
        <v>92</v>
      </c>
      <c r="T60" s="13" t="s">
        <v>174</v>
      </c>
      <c r="U60" s="14">
        <v>43831</v>
      </c>
      <c r="V60" s="14">
        <v>43831</v>
      </c>
      <c r="W60" s="15"/>
      <c r="X60" s="13"/>
      <c r="Y60" s="15"/>
      <c r="Z60" s="13"/>
      <c r="AA60" s="15"/>
      <c r="AB60" s="13"/>
      <c r="AC60" s="15"/>
      <c r="AD60" s="13"/>
      <c r="AE60" s="15"/>
      <c r="AF60" s="13"/>
      <c r="AG60" s="15"/>
      <c r="AH60" s="13"/>
      <c r="AI60" s="15"/>
      <c r="AJ60" s="13"/>
      <c r="AK60" s="15"/>
      <c r="AL60" s="13"/>
      <c r="AM60" s="15"/>
      <c r="AN60" s="13"/>
      <c r="AO60" s="15"/>
      <c r="AP60" s="13"/>
      <c r="AQ60" s="15"/>
      <c r="AR60" s="13"/>
      <c r="AS60" s="13"/>
    </row>
    <row r="61" spans="1:45" ht="142.65" x14ac:dyDescent="0.25">
      <c r="A61" s="13" t="s">
        <v>76</v>
      </c>
      <c r="B61" s="13" t="s">
        <v>77</v>
      </c>
      <c r="C61" s="14">
        <v>45628.713888888888</v>
      </c>
      <c r="D61" s="13" t="s">
        <v>78</v>
      </c>
      <c r="E61" s="15" t="s">
        <v>79</v>
      </c>
      <c r="F61" s="13" t="s">
        <v>80</v>
      </c>
      <c r="G61" s="15" t="s">
        <v>81</v>
      </c>
      <c r="H61" s="13" t="s">
        <v>240</v>
      </c>
      <c r="I61" s="15" t="s">
        <v>241</v>
      </c>
      <c r="J61" s="15" t="s">
        <v>83</v>
      </c>
      <c r="K61" s="15" t="s">
        <v>242</v>
      </c>
      <c r="L61" s="13" t="s">
        <v>243</v>
      </c>
      <c r="M61" s="15" t="s">
        <v>244</v>
      </c>
      <c r="N61" s="14" t="s">
        <v>87</v>
      </c>
      <c r="O61" s="15" t="s">
        <v>88</v>
      </c>
      <c r="P61" s="15" t="s">
        <v>89</v>
      </c>
      <c r="Q61" s="15" t="s">
        <v>175</v>
      </c>
      <c r="R61" s="13" t="s">
        <v>176</v>
      </c>
      <c r="S61" s="13" t="s">
        <v>92</v>
      </c>
      <c r="T61" s="13" t="s">
        <v>93</v>
      </c>
      <c r="U61" s="14">
        <v>40725</v>
      </c>
      <c r="V61" s="14">
        <v>40725</v>
      </c>
      <c r="W61" s="15" t="s">
        <v>346</v>
      </c>
      <c r="X61" s="13" t="s">
        <v>347</v>
      </c>
      <c r="Y61" s="15" t="str">
        <f>VLOOKUP(X61,'Axe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61" s="13" t="s">
        <v>349</v>
      </c>
      <c r="AA61" s="15" t="str">
        <f>VLOOKUP(Z61,'Axe 2 Règles de gestion'!$D$2:$F$84,3, FALSE)</f>
        <v>Carrière : Les congés pris au titre du compte épargne-temps sont assimilés à une période d'activité. Ils sont pris en compte dans l'ancienneté de service. La durée du congé est prise en compte comme service effectif.</v>
      </c>
      <c r="AB61" s="13" t="s">
        <v>332</v>
      </c>
      <c r="AC61" s="15" t="str">
        <f>VLOOKUP(AB61,'Axe 2 Règles de gestion'!$D$2:$F$84,3, FALSE)</f>
        <v>Congés annuels : L'agent conserve son droit à congé annuel.</v>
      </c>
      <c r="AD61" s="13" t="s">
        <v>334</v>
      </c>
      <c r="AE61" s="15" t="str">
        <f>VLOOKUP(AD61,'Axe 2 Règles de gestion'!$D$2:$F$84,3, FALSE)</f>
        <v>Mobilité : Si l'agent effectue une mobilité auprès d'une administration, d'une collectivité ou d'un établissement relevant de l'une des trois fonctions publiques, l'agent conserve le bénéfice de son compte épargne-temps.</v>
      </c>
      <c r="AF61" s="13" t="s">
        <v>336</v>
      </c>
      <c r="AG61" s="15" t="str">
        <f>VLOOKUP(AF61,'Axe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61" s="13" t="s">
        <v>342</v>
      </c>
      <c r="AI61" s="15" t="str">
        <f>VLOOKUP(AH61,'Axe 2 Règles de gestion'!$D$2:$F$84,3, FALSE)</f>
        <v>Décès : Les droits acquis au titre du compte épargne-temps de l'agent bénéficient à ses ayants droit. Ils donnent lieu à une indemnisation forfaitaire.</v>
      </c>
      <c r="AJ61" s="13" t="s">
        <v>351</v>
      </c>
      <c r="AK61" s="15" t="str">
        <f>VLOOKUP(AJ61,'Axe 2 Règles de gestion'!$D$2:$F$84,3, FALSE)</f>
        <v>Acte : Un acte administratif doit être produit si l'agent bénéficie de l'indemnisation de jours de son compte épargne-temps .</v>
      </c>
      <c r="AL61" s="13"/>
      <c r="AM61" s="15"/>
      <c r="AN61" s="13"/>
      <c r="AO61" s="15"/>
      <c r="AP61" s="13"/>
      <c r="AQ61" s="15"/>
      <c r="AR61" s="13"/>
      <c r="AS61" s="13"/>
    </row>
    <row r="62" spans="1:45" ht="142.65" x14ac:dyDescent="0.25">
      <c r="A62" s="13" t="s">
        <v>142</v>
      </c>
      <c r="B62" s="13" t="s">
        <v>77</v>
      </c>
      <c r="C62" s="14">
        <v>43509.746527777781</v>
      </c>
      <c r="D62" s="13" t="s">
        <v>78</v>
      </c>
      <c r="E62" s="15" t="s">
        <v>79</v>
      </c>
      <c r="F62" s="13" t="s">
        <v>80</v>
      </c>
      <c r="G62" s="15" t="s">
        <v>81</v>
      </c>
      <c r="H62" s="13" t="s">
        <v>240</v>
      </c>
      <c r="I62" s="15" t="s">
        <v>241</v>
      </c>
      <c r="J62" s="15" t="s">
        <v>83</v>
      </c>
      <c r="K62" s="15" t="s">
        <v>242</v>
      </c>
      <c r="L62" s="13" t="s">
        <v>256</v>
      </c>
      <c r="M62" s="15" t="s">
        <v>257</v>
      </c>
      <c r="N62" s="14" t="s">
        <v>87</v>
      </c>
      <c r="O62" s="15" t="s">
        <v>258</v>
      </c>
      <c r="P62" s="15" t="s">
        <v>259</v>
      </c>
      <c r="Q62" s="15" t="s">
        <v>175</v>
      </c>
      <c r="R62" s="13" t="s">
        <v>176</v>
      </c>
      <c r="S62" s="13" t="s">
        <v>92</v>
      </c>
      <c r="T62" s="13" t="s">
        <v>93</v>
      </c>
      <c r="U62" s="14">
        <v>40725</v>
      </c>
      <c r="V62" s="14">
        <v>43435</v>
      </c>
      <c r="W62" s="15" t="s">
        <v>346</v>
      </c>
      <c r="X62" s="13" t="s">
        <v>347</v>
      </c>
      <c r="Y62" s="15" t="str">
        <f>VLOOKUP(X62,'Axe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62" s="13" t="s">
        <v>349</v>
      </c>
      <c r="AA62" s="15" t="str">
        <f>VLOOKUP(Z62,'Axe 2 Règles de gestion'!$D$2:$F$84,3, FALSE)</f>
        <v>Carrière : Les congés pris au titre du compte épargne-temps sont assimilés à une période d'activité. Ils sont pris en compte dans l'ancienneté de service. La durée du congé est prise en compte comme service effectif.</v>
      </c>
      <c r="AB62" s="13" t="s">
        <v>332</v>
      </c>
      <c r="AC62" s="15" t="str">
        <f>VLOOKUP(AB62,'Axe 2 Règles de gestion'!$D$2:$F$84,3, FALSE)</f>
        <v>Congés annuels : L'agent conserve son droit à congé annuel.</v>
      </c>
      <c r="AD62" s="13" t="s">
        <v>334</v>
      </c>
      <c r="AE62" s="15" t="str">
        <f>VLOOKUP(AD62,'Axe 2 Règles de gestion'!$D$2:$F$84,3, FALSE)</f>
        <v>Mobilité : Si l'agent effectue une mobilité auprès d'une administration, d'une collectivité ou d'un établissement relevant de l'une des trois fonctions publiques, l'agent conserve le bénéfice de son compte épargne-temps.</v>
      </c>
      <c r="AF62" s="13" t="s">
        <v>336</v>
      </c>
      <c r="AG62" s="15" t="str">
        <f>VLOOKUP(AF62,'Axe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62" s="13" t="s">
        <v>342</v>
      </c>
      <c r="AI62" s="15" t="str">
        <f>VLOOKUP(AH62,'Axe 2 Règles de gestion'!$D$2:$F$84,3, FALSE)</f>
        <v>Décès : Les droits acquis au titre du compte épargne-temps de l'agent bénéficient à ses ayants droit. Ils donnent lieu à une indemnisation forfaitaire.</v>
      </c>
      <c r="AJ62" s="13" t="s">
        <v>351</v>
      </c>
      <c r="AK62" s="15" t="str">
        <f>VLOOKUP(AJ62,'Axe 2 Règles de gestion'!$D$2:$F$84,3, FALSE)</f>
        <v>Acte : Un acte administratif doit être produit si l'agent bénéficie de l'indemnisation de jours de son compte épargne-temps .</v>
      </c>
      <c r="AL62" s="13"/>
      <c r="AM62" s="15"/>
      <c r="AN62" s="13"/>
      <c r="AO62" s="15"/>
      <c r="AP62" s="13"/>
      <c r="AQ62" s="15"/>
      <c r="AR62" s="13"/>
      <c r="AS62" s="13"/>
    </row>
    <row r="63" spans="1:45" ht="142.65" x14ac:dyDescent="0.25">
      <c r="A63" s="13" t="s">
        <v>76</v>
      </c>
      <c r="B63" s="13" t="s">
        <v>77</v>
      </c>
      <c r="C63" s="14">
        <v>45628.71597222222</v>
      </c>
      <c r="D63" s="13" t="s">
        <v>78</v>
      </c>
      <c r="E63" s="15" t="s">
        <v>79</v>
      </c>
      <c r="F63" s="13" t="s">
        <v>80</v>
      </c>
      <c r="G63" s="15" t="s">
        <v>81</v>
      </c>
      <c r="H63" s="13" t="s">
        <v>240</v>
      </c>
      <c r="I63" s="15" t="s">
        <v>241</v>
      </c>
      <c r="J63" s="15" t="s">
        <v>83</v>
      </c>
      <c r="K63" s="15" t="s">
        <v>242</v>
      </c>
      <c r="L63" s="13" t="s">
        <v>256</v>
      </c>
      <c r="M63" s="15" t="s">
        <v>257</v>
      </c>
      <c r="N63" s="14" t="s">
        <v>87</v>
      </c>
      <c r="O63" s="15" t="s">
        <v>258</v>
      </c>
      <c r="P63" s="15" t="s">
        <v>259</v>
      </c>
      <c r="Q63" s="15" t="s">
        <v>175</v>
      </c>
      <c r="R63" s="13" t="s">
        <v>176</v>
      </c>
      <c r="S63" s="13" t="s">
        <v>92</v>
      </c>
      <c r="T63" s="13" t="s">
        <v>93</v>
      </c>
      <c r="U63" s="14">
        <v>43436</v>
      </c>
      <c r="V63" s="14">
        <v>43436</v>
      </c>
      <c r="W63" s="15" t="s">
        <v>346</v>
      </c>
      <c r="X63" s="13" t="s">
        <v>347</v>
      </c>
      <c r="Y63" s="15" t="str">
        <f>VLOOKUP(X63,'Axe 2 Règles de gestion'!$D$2:$F$84,3, FALSE)</f>
        <v>Rémunération : Si l'agent dispose de plus de 15 jours sur son compte épargne-temps, il peut choisir l'indemnisation de ces jours au-delà des 15 jours. Le montant versé est un montant forfaitaire selon la catégorie hiérarchique du contrat de l'agent.</v>
      </c>
      <c r="Z63" s="13" t="s">
        <v>349</v>
      </c>
      <c r="AA63" s="15" t="str">
        <f>VLOOKUP(Z63,'Axe 2 Règles de gestion'!$D$2:$F$84,3, FALSE)</f>
        <v>Carrière : Les congés pris au titre du compte épargne-temps sont assimilés à une période d'activité. Ils sont pris en compte dans l'ancienneté de service. La durée du congé est prise en compte comme service effectif.</v>
      </c>
      <c r="AB63" s="13" t="s">
        <v>332</v>
      </c>
      <c r="AC63" s="15" t="str">
        <f>VLOOKUP(AB63,'Axe 2 Règles de gestion'!$D$2:$F$84,3, FALSE)</f>
        <v>Congés annuels : L'agent conserve son droit à congé annuel.</v>
      </c>
      <c r="AD63" s="13" t="s">
        <v>334</v>
      </c>
      <c r="AE63" s="15" t="str">
        <f>VLOOKUP(AD63,'Axe 2 Règles de gestion'!$D$2:$F$84,3, FALSE)</f>
        <v>Mobilité : Si l'agent effectue une mobilité auprès d'une administration, d'une collectivité ou d'un établissement relevant de l'une des trois fonctions publiques, l'agent conserve le bénéfice de son compte épargne-temps.</v>
      </c>
      <c r="AF63" s="13" t="s">
        <v>336</v>
      </c>
      <c r="AG63" s="15" t="str">
        <f>VLOOKUP(AF63,'Axe 2 Règles de gestion'!$D$2:$F$84,3, FALSE)</f>
        <v>Mise à disposition : Si l'agent est en position de mise à disposition auprès d'une administration, d'une collectivité ou d'un établissement relevant de l'une des trois fonctions publiques, l'agent conserve le bénéfice de son compte épargne-temps.</v>
      </c>
      <c r="AH63" s="13" t="s">
        <v>342</v>
      </c>
      <c r="AI63" s="15" t="str">
        <f>VLOOKUP(AH63,'Axe 2 Règles de gestion'!$D$2:$F$84,3, FALSE)</f>
        <v>Décès : Les droits acquis au titre du compte épargne-temps de l'agent bénéficient à ses ayants droit. Ils donnent lieu à une indemnisation forfaitaire.</v>
      </c>
      <c r="AJ63" s="13" t="s">
        <v>351</v>
      </c>
      <c r="AK63" s="15" t="str">
        <f>VLOOKUP(AJ63,'Axe 2 Règles de gestion'!$D$2:$F$84,3, FALSE)</f>
        <v>Acte : Un acte administratif doit être produit si l'agent bénéficie de l'indemnisation de jours de son compte épargne-temps .</v>
      </c>
      <c r="AL63" s="13"/>
      <c r="AM63" s="15"/>
      <c r="AN63" s="13"/>
      <c r="AO63" s="15"/>
      <c r="AP63" s="13"/>
      <c r="AQ63" s="15"/>
      <c r="AR63" s="13"/>
      <c r="AS63" s="13"/>
    </row>
    <row r="64" spans="1:45" ht="42.8" x14ac:dyDescent="0.25">
      <c r="A64" s="13" t="s">
        <v>76</v>
      </c>
      <c r="B64" s="13" t="s">
        <v>77</v>
      </c>
      <c r="C64" s="14">
        <v>45628.715277777781</v>
      </c>
      <c r="D64" s="13" t="s">
        <v>78</v>
      </c>
      <c r="E64" s="15" t="s">
        <v>79</v>
      </c>
      <c r="F64" s="13" t="s">
        <v>80</v>
      </c>
      <c r="G64" s="15" t="s">
        <v>81</v>
      </c>
      <c r="H64" s="13" t="s">
        <v>240</v>
      </c>
      <c r="I64" s="15" t="s">
        <v>241</v>
      </c>
      <c r="J64" s="15" t="s">
        <v>83</v>
      </c>
      <c r="K64" s="15" t="s">
        <v>242</v>
      </c>
      <c r="L64" s="13" t="s">
        <v>243</v>
      </c>
      <c r="M64" s="15" t="s">
        <v>244</v>
      </c>
      <c r="N64" s="14" t="s">
        <v>87</v>
      </c>
      <c r="O64" s="15" t="s">
        <v>88</v>
      </c>
      <c r="P64" s="15" t="s">
        <v>89</v>
      </c>
      <c r="Q64" s="15" t="s">
        <v>187</v>
      </c>
      <c r="R64" s="13" t="s">
        <v>188</v>
      </c>
      <c r="S64" s="13" t="s">
        <v>92</v>
      </c>
      <c r="T64" s="13" t="s">
        <v>174</v>
      </c>
      <c r="U64" s="14">
        <v>40725</v>
      </c>
      <c r="V64" s="14">
        <v>40725</v>
      </c>
      <c r="W64" s="15"/>
      <c r="X64" s="13"/>
      <c r="Y64" s="15"/>
      <c r="Z64" s="13"/>
      <c r="AA64" s="15"/>
      <c r="AB64" s="13"/>
      <c r="AC64" s="15"/>
      <c r="AD64" s="13"/>
      <c r="AE64" s="15"/>
      <c r="AF64" s="13"/>
      <c r="AG64" s="15"/>
      <c r="AH64" s="13"/>
      <c r="AI64" s="15"/>
      <c r="AJ64" s="13"/>
      <c r="AK64" s="15"/>
      <c r="AL64" s="13"/>
      <c r="AM64" s="15"/>
      <c r="AN64" s="13"/>
      <c r="AO64" s="15"/>
      <c r="AP64" s="13"/>
      <c r="AQ64" s="15"/>
      <c r="AR64" s="13"/>
      <c r="AS64" s="13"/>
    </row>
    <row r="65" spans="1:45" ht="42.8" x14ac:dyDescent="0.25">
      <c r="A65" s="13" t="s">
        <v>76</v>
      </c>
      <c r="B65" s="13" t="s">
        <v>77</v>
      </c>
      <c r="C65" s="14">
        <v>45628.717361111114</v>
      </c>
      <c r="D65" s="13" t="s">
        <v>78</v>
      </c>
      <c r="E65" s="15" t="s">
        <v>79</v>
      </c>
      <c r="F65" s="13" t="s">
        <v>80</v>
      </c>
      <c r="G65" s="15" t="s">
        <v>81</v>
      </c>
      <c r="H65" s="13" t="s">
        <v>240</v>
      </c>
      <c r="I65" s="15" t="s">
        <v>241</v>
      </c>
      <c r="J65" s="15" t="s">
        <v>83</v>
      </c>
      <c r="K65" s="15" t="s">
        <v>242</v>
      </c>
      <c r="L65" s="13" t="s">
        <v>256</v>
      </c>
      <c r="M65" s="15" t="s">
        <v>257</v>
      </c>
      <c r="N65" s="14" t="s">
        <v>87</v>
      </c>
      <c r="O65" s="15" t="s">
        <v>258</v>
      </c>
      <c r="P65" s="15" t="s">
        <v>259</v>
      </c>
      <c r="Q65" s="15" t="s">
        <v>187</v>
      </c>
      <c r="R65" s="13" t="s">
        <v>188</v>
      </c>
      <c r="S65" s="13" t="s">
        <v>92</v>
      </c>
      <c r="T65" s="13" t="s">
        <v>174</v>
      </c>
      <c r="U65" s="14">
        <v>40725</v>
      </c>
      <c r="V65" s="14">
        <v>40725</v>
      </c>
      <c r="W65" s="15"/>
      <c r="X65" s="13"/>
      <c r="Y65" s="15"/>
      <c r="Z65" s="13"/>
      <c r="AA65" s="15"/>
      <c r="AB65" s="13"/>
      <c r="AC65" s="15"/>
      <c r="AD65" s="13"/>
      <c r="AE65" s="15"/>
      <c r="AF65" s="13"/>
      <c r="AG65" s="15"/>
      <c r="AH65" s="13"/>
      <c r="AI65" s="15"/>
      <c r="AJ65" s="13"/>
      <c r="AK65" s="15"/>
      <c r="AL65" s="13"/>
      <c r="AM65" s="15"/>
      <c r="AN65" s="13"/>
      <c r="AO65" s="15"/>
      <c r="AP65" s="13"/>
      <c r="AQ65" s="15"/>
      <c r="AR65" s="13"/>
      <c r="AS65" s="13"/>
    </row>
    <row r="66" spans="1:45" ht="42.8" x14ac:dyDescent="0.25">
      <c r="A66" s="13" t="s">
        <v>76</v>
      </c>
      <c r="B66" s="13" t="s">
        <v>77</v>
      </c>
      <c r="C66" s="14">
        <v>45628.714583333334</v>
      </c>
      <c r="D66" s="13" t="s">
        <v>78</v>
      </c>
      <c r="E66" s="15" t="s">
        <v>79</v>
      </c>
      <c r="F66" s="13" t="s">
        <v>80</v>
      </c>
      <c r="G66" s="15" t="s">
        <v>81</v>
      </c>
      <c r="H66" s="13" t="s">
        <v>240</v>
      </c>
      <c r="I66" s="15" t="s">
        <v>241</v>
      </c>
      <c r="J66" s="15" t="s">
        <v>83</v>
      </c>
      <c r="K66" s="15" t="s">
        <v>242</v>
      </c>
      <c r="L66" s="13" t="s">
        <v>243</v>
      </c>
      <c r="M66" s="15" t="s">
        <v>244</v>
      </c>
      <c r="N66" s="14" t="s">
        <v>87</v>
      </c>
      <c r="O66" s="15" t="s">
        <v>88</v>
      </c>
      <c r="P66" s="15" t="s">
        <v>89</v>
      </c>
      <c r="Q66" s="15" t="s">
        <v>189</v>
      </c>
      <c r="R66" s="13" t="s">
        <v>190</v>
      </c>
      <c r="S66" s="13" t="s">
        <v>92</v>
      </c>
      <c r="T66" s="13" t="s">
        <v>174</v>
      </c>
      <c r="U66" s="14">
        <v>40725</v>
      </c>
      <c r="V66" s="14">
        <v>40725</v>
      </c>
      <c r="W66" s="15"/>
      <c r="X66" s="13"/>
      <c r="Y66" s="15"/>
      <c r="Z66" s="13"/>
      <c r="AA66" s="15"/>
      <c r="AB66" s="13"/>
      <c r="AC66" s="15"/>
      <c r="AD66" s="13"/>
      <c r="AE66" s="15"/>
      <c r="AF66" s="13"/>
      <c r="AG66" s="15"/>
      <c r="AH66" s="13"/>
      <c r="AI66" s="15"/>
      <c r="AJ66" s="13"/>
      <c r="AK66" s="15"/>
      <c r="AL66" s="13"/>
      <c r="AM66" s="15"/>
      <c r="AN66" s="13"/>
      <c r="AO66" s="15"/>
      <c r="AP66" s="13"/>
      <c r="AQ66" s="15"/>
      <c r="AR66" s="13"/>
      <c r="AS66" s="13"/>
    </row>
    <row r="67" spans="1:45" ht="42.8" x14ac:dyDescent="0.25">
      <c r="A67" s="13" t="s">
        <v>76</v>
      </c>
      <c r="B67" s="13" t="s">
        <v>77</v>
      </c>
      <c r="C67" s="14">
        <v>45628.716666666667</v>
      </c>
      <c r="D67" s="13" t="s">
        <v>78</v>
      </c>
      <c r="E67" s="15" t="s">
        <v>79</v>
      </c>
      <c r="F67" s="13" t="s">
        <v>80</v>
      </c>
      <c r="G67" s="15" t="s">
        <v>81</v>
      </c>
      <c r="H67" s="13" t="s">
        <v>240</v>
      </c>
      <c r="I67" s="15" t="s">
        <v>241</v>
      </c>
      <c r="J67" s="15" t="s">
        <v>83</v>
      </c>
      <c r="K67" s="15" t="s">
        <v>242</v>
      </c>
      <c r="L67" s="13" t="s">
        <v>256</v>
      </c>
      <c r="M67" s="15" t="s">
        <v>257</v>
      </c>
      <c r="N67" s="14" t="s">
        <v>87</v>
      </c>
      <c r="O67" s="15" t="s">
        <v>258</v>
      </c>
      <c r="P67" s="15" t="s">
        <v>259</v>
      </c>
      <c r="Q67" s="15" t="s">
        <v>189</v>
      </c>
      <c r="R67" s="13" t="s">
        <v>190</v>
      </c>
      <c r="S67" s="13" t="s">
        <v>92</v>
      </c>
      <c r="T67" s="13" t="s">
        <v>174</v>
      </c>
      <c r="U67" s="14">
        <v>40725</v>
      </c>
      <c r="V67" s="14">
        <v>40725</v>
      </c>
      <c r="W67" s="15"/>
      <c r="X67" s="13"/>
      <c r="Y67" s="15"/>
      <c r="Z67" s="13"/>
      <c r="AA67" s="15"/>
      <c r="AB67" s="13"/>
      <c r="AC67" s="15"/>
      <c r="AD67" s="13"/>
      <c r="AE67" s="15"/>
      <c r="AF67" s="13"/>
      <c r="AG67" s="15"/>
      <c r="AH67" s="13"/>
      <c r="AI67" s="15"/>
      <c r="AJ67" s="13"/>
      <c r="AK67" s="15"/>
      <c r="AL67" s="13"/>
      <c r="AM67" s="15"/>
      <c r="AN67" s="13"/>
      <c r="AO67" s="15"/>
      <c r="AP67" s="13"/>
      <c r="AQ67" s="15"/>
      <c r="AR67" s="13"/>
      <c r="AS67" s="13"/>
    </row>
    <row r="68" spans="1:45" ht="42.8" x14ac:dyDescent="0.25">
      <c r="A68" s="13" t="s">
        <v>76</v>
      </c>
      <c r="B68" s="13" t="s">
        <v>77</v>
      </c>
      <c r="C68" s="14">
        <v>45628.717361111114</v>
      </c>
      <c r="D68" s="13" t="s">
        <v>78</v>
      </c>
      <c r="E68" s="15" t="s">
        <v>79</v>
      </c>
      <c r="F68" s="13" t="s">
        <v>80</v>
      </c>
      <c r="G68" s="15" t="s">
        <v>81</v>
      </c>
      <c r="H68" s="13" t="s">
        <v>240</v>
      </c>
      <c r="I68" s="15" t="s">
        <v>241</v>
      </c>
      <c r="J68" s="15" t="s">
        <v>83</v>
      </c>
      <c r="K68" s="15" t="s">
        <v>242</v>
      </c>
      <c r="L68" s="13" t="s">
        <v>243</v>
      </c>
      <c r="M68" s="15" t="s">
        <v>244</v>
      </c>
      <c r="N68" s="14" t="s">
        <v>87</v>
      </c>
      <c r="O68" s="15" t="s">
        <v>88</v>
      </c>
      <c r="P68" s="15" t="s">
        <v>89</v>
      </c>
      <c r="Q68" s="15" t="s">
        <v>191</v>
      </c>
      <c r="R68" s="13" t="s">
        <v>192</v>
      </c>
      <c r="S68" s="13" t="s">
        <v>193</v>
      </c>
      <c r="T68" s="13" t="s">
        <v>174</v>
      </c>
      <c r="U68" s="14">
        <v>40725</v>
      </c>
      <c r="V68" s="14">
        <v>40725</v>
      </c>
      <c r="W68" s="15"/>
      <c r="X68" s="13"/>
      <c r="Y68" s="15"/>
      <c r="Z68" s="13"/>
      <c r="AA68" s="15"/>
      <c r="AB68" s="13"/>
      <c r="AC68" s="15"/>
      <c r="AD68" s="13"/>
      <c r="AE68" s="15"/>
      <c r="AF68" s="13"/>
      <c r="AG68" s="15"/>
      <c r="AH68" s="13"/>
      <c r="AI68" s="15"/>
      <c r="AJ68" s="13"/>
      <c r="AK68" s="15"/>
      <c r="AL68" s="13"/>
      <c r="AM68" s="15"/>
      <c r="AN68" s="13"/>
      <c r="AO68" s="15"/>
      <c r="AP68" s="13"/>
      <c r="AQ68" s="15"/>
      <c r="AR68" s="13"/>
      <c r="AS68" s="13"/>
    </row>
    <row r="69" spans="1:45" ht="42.8" x14ac:dyDescent="0.25">
      <c r="A69" s="13" t="s">
        <v>76</v>
      </c>
      <c r="B69" s="13" t="s">
        <v>77</v>
      </c>
      <c r="C69" s="14">
        <v>45628.71875</v>
      </c>
      <c r="D69" s="13" t="s">
        <v>78</v>
      </c>
      <c r="E69" s="15" t="s">
        <v>79</v>
      </c>
      <c r="F69" s="13" t="s">
        <v>80</v>
      </c>
      <c r="G69" s="15" t="s">
        <v>81</v>
      </c>
      <c r="H69" s="13" t="s">
        <v>240</v>
      </c>
      <c r="I69" s="15" t="s">
        <v>241</v>
      </c>
      <c r="J69" s="15" t="s">
        <v>83</v>
      </c>
      <c r="K69" s="15" t="s">
        <v>242</v>
      </c>
      <c r="L69" s="13" t="s">
        <v>256</v>
      </c>
      <c r="M69" s="15" t="s">
        <v>257</v>
      </c>
      <c r="N69" s="14" t="s">
        <v>87</v>
      </c>
      <c r="O69" s="15" t="s">
        <v>258</v>
      </c>
      <c r="P69" s="15" t="s">
        <v>259</v>
      </c>
      <c r="Q69" s="15" t="s">
        <v>191</v>
      </c>
      <c r="R69" s="13" t="s">
        <v>192</v>
      </c>
      <c r="S69" s="13" t="s">
        <v>193</v>
      </c>
      <c r="T69" s="13" t="s">
        <v>174</v>
      </c>
      <c r="U69" s="14">
        <v>40725</v>
      </c>
      <c r="V69" s="14">
        <v>40725</v>
      </c>
      <c r="W69" s="15"/>
      <c r="X69" s="13"/>
      <c r="Y69" s="15"/>
      <c r="Z69" s="13"/>
      <c r="AA69" s="15"/>
      <c r="AB69" s="13"/>
      <c r="AC69" s="15"/>
      <c r="AD69" s="13"/>
      <c r="AE69" s="15"/>
      <c r="AF69" s="13"/>
      <c r="AG69" s="15"/>
      <c r="AH69" s="13"/>
      <c r="AI69" s="15"/>
      <c r="AJ69" s="13"/>
      <c r="AK69" s="15"/>
      <c r="AL69" s="13"/>
      <c r="AM69" s="15"/>
      <c r="AN69" s="13"/>
      <c r="AO69" s="15"/>
      <c r="AP69" s="13"/>
      <c r="AQ69" s="15"/>
      <c r="AR69" s="13"/>
      <c r="AS69" s="13"/>
    </row>
    <row r="70" spans="1:45" ht="42.8" x14ac:dyDescent="0.25">
      <c r="A70" s="13" t="s">
        <v>76</v>
      </c>
      <c r="B70" s="13" t="s">
        <v>77</v>
      </c>
      <c r="C70" s="14">
        <v>45628.718055555553</v>
      </c>
      <c r="D70" s="13" t="s">
        <v>78</v>
      </c>
      <c r="E70" s="15" t="s">
        <v>79</v>
      </c>
      <c r="F70" s="13" t="s">
        <v>80</v>
      </c>
      <c r="G70" s="15" t="s">
        <v>81</v>
      </c>
      <c r="H70" s="13" t="s">
        <v>240</v>
      </c>
      <c r="I70" s="15" t="s">
        <v>241</v>
      </c>
      <c r="J70" s="15" t="s">
        <v>83</v>
      </c>
      <c r="K70" s="15" t="s">
        <v>242</v>
      </c>
      <c r="L70" s="13" t="s">
        <v>243</v>
      </c>
      <c r="M70" s="15" t="s">
        <v>244</v>
      </c>
      <c r="N70" s="14" t="s">
        <v>87</v>
      </c>
      <c r="O70" s="15" t="s">
        <v>88</v>
      </c>
      <c r="P70" s="15" t="s">
        <v>89</v>
      </c>
      <c r="Q70" s="15" t="s">
        <v>194</v>
      </c>
      <c r="R70" s="13" t="s">
        <v>195</v>
      </c>
      <c r="S70" s="13" t="s">
        <v>193</v>
      </c>
      <c r="T70" s="13" t="s">
        <v>174</v>
      </c>
      <c r="U70" s="14">
        <v>40725</v>
      </c>
      <c r="V70" s="14">
        <v>40725</v>
      </c>
      <c r="W70" s="15"/>
      <c r="X70" s="13"/>
      <c r="Y70" s="15"/>
      <c r="Z70" s="13"/>
      <c r="AA70" s="15"/>
      <c r="AB70" s="13"/>
      <c r="AC70" s="15"/>
      <c r="AD70" s="13"/>
      <c r="AE70" s="15"/>
      <c r="AF70" s="13"/>
      <c r="AG70" s="15"/>
      <c r="AH70" s="13"/>
      <c r="AI70" s="15"/>
      <c r="AJ70" s="13"/>
      <c r="AK70" s="15"/>
      <c r="AL70" s="13"/>
      <c r="AM70" s="15"/>
      <c r="AN70" s="13"/>
      <c r="AO70" s="15"/>
      <c r="AP70" s="13"/>
      <c r="AQ70" s="15"/>
      <c r="AR70" s="13"/>
      <c r="AS70" s="13"/>
    </row>
    <row r="71" spans="1:45" ht="42.8" x14ac:dyDescent="0.25">
      <c r="A71" s="13" t="s">
        <v>76</v>
      </c>
      <c r="B71" s="13" t="s">
        <v>77</v>
      </c>
      <c r="C71" s="14">
        <v>45628.719444444447</v>
      </c>
      <c r="D71" s="13" t="s">
        <v>78</v>
      </c>
      <c r="E71" s="15" t="s">
        <v>79</v>
      </c>
      <c r="F71" s="13" t="s">
        <v>80</v>
      </c>
      <c r="G71" s="15" t="s">
        <v>81</v>
      </c>
      <c r="H71" s="13" t="s">
        <v>240</v>
      </c>
      <c r="I71" s="15" t="s">
        <v>241</v>
      </c>
      <c r="J71" s="15" t="s">
        <v>83</v>
      </c>
      <c r="K71" s="15" t="s">
        <v>242</v>
      </c>
      <c r="L71" s="13" t="s">
        <v>256</v>
      </c>
      <c r="M71" s="15" t="s">
        <v>257</v>
      </c>
      <c r="N71" s="14" t="s">
        <v>87</v>
      </c>
      <c r="O71" s="15" t="s">
        <v>258</v>
      </c>
      <c r="P71" s="15" t="s">
        <v>259</v>
      </c>
      <c r="Q71" s="15" t="s">
        <v>194</v>
      </c>
      <c r="R71" s="13" t="s">
        <v>195</v>
      </c>
      <c r="S71" s="13" t="s">
        <v>193</v>
      </c>
      <c r="T71" s="13" t="s">
        <v>174</v>
      </c>
      <c r="U71" s="14">
        <v>40725</v>
      </c>
      <c r="V71" s="14">
        <v>40725</v>
      </c>
      <c r="W71" s="15"/>
      <c r="X71" s="13"/>
      <c r="Y71" s="15"/>
      <c r="Z71" s="13"/>
      <c r="AA71" s="15"/>
      <c r="AB71" s="13"/>
      <c r="AC71" s="15"/>
      <c r="AD71" s="13"/>
      <c r="AE71" s="15"/>
      <c r="AF71" s="13"/>
      <c r="AG71" s="15"/>
      <c r="AH71" s="13"/>
      <c r="AI71" s="15"/>
      <c r="AJ71" s="13"/>
      <c r="AK71" s="15"/>
      <c r="AL71" s="13"/>
      <c r="AM71" s="15"/>
      <c r="AN71" s="13"/>
      <c r="AO71" s="15"/>
      <c r="AP71" s="13"/>
      <c r="AQ71" s="15"/>
      <c r="AR71" s="13"/>
      <c r="AS71" s="13"/>
    </row>
    <row r="72" spans="1:45" ht="42.8" x14ac:dyDescent="0.25">
      <c r="A72" s="13" t="s">
        <v>76</v>
      </c>
      <c r="B72" s="13" t="s">
        <v>77</v>
      </c>
      <c r="C72" s="14">
        <v>45628.718055555553</v>
      </c>
      <c r="D72" s="13" t="s">
        <v>78</v>
      </c>
      <c r="E72" s="15" t="s">
        <v>79</v>
      </c>
      <c r="F72" s="13" t="s">
        <v>80</v>
      </c>
      <c r="G72" s="15" t="s">
        <v>81</v>
      </c>
      <c r="H72" s="13" t="s">
        <v>240</v>
      </c>
      <c r="I72" s="15" t="s">
        <v>241</v>
      </c>
      <c r="J72" s="15" t="s">
        <v>83</v>
      </c>
      <c r="K72" s="15" t="s">
        <v>242</v>
      </c>
      <c r="L72" s="13" t="s">
        <v>243</v>
      </c>
      <c r="M72" s="15" t="s">
        <v>244</v>
      </c>
      <c r="N72" s="14" t="s">
        <v>87</v>
      </c>
      <c r="O72" s="15" t="s">
        <v>88</v>
      </c>
      <c r="P72" s="15" t="s">
        <v>89</v>
      </c>
      <c r="Q72" s="15" t="s">
        <v>196</v>
      </c>
      <c r="R72" s="13" t="s">
        <v>197</v>
      </c>
      <c r="S72" s="13" t="s">
        <v>193</v>
      </c>
      <c r="T72" s="13" t="s">
        <v>174</v>
      </c>
      <c r="U72" s="14">
        <v>40725</v>
      </c>
      <c r="V72" s="14">
        <v>40725</v>
      </c>
      <c r="W72" s="15"/>
      <c r="X72" s="13"/>
      <c r="Y72" s="15"/>
      <c r="Z72" s="13"/>
      <c r="AA72" s="15"/>
      <c r="AB72" s="13"/>
      <c r="AC72" s="15"/>
      <c r="AD72" s="13"/>
      <c r="AE72" s="15"/>
      <c r="AF72" s="13"/>
      <c r="AG72" s="15"/>
      <c r="AH72" s="13"/>
      <c r="AI72" s="15"/>
      <c r="AJ72" s="13"/>
      <c r="AK72" s="15"/>
      <c r="AL72" s="13"/>
      <c r="AM72" s="15"/>
      <c r="AN72" s="13"/>
      <c r="AO72" s="15"/>
      <c r="AP72" s="13"/>
      <c r="AQ72" s="15"/>
      <c r="AR72" s="13"/>
      <c r="AS72" s="13"/>
    </row>
    <row r="73" spans="1:45" ht="42.8" x14ac:dyDescent="0.25">
      <c r="A73" s="13" t="s">
        <v>76</v>
      </c>
      <c r="B73" s="13" t="s">
        <v>77</v>
      </c>
      <c r="C73" s="14">
        <v>45628.719444444447</v>
      </c>
      <c r="D73" s="13" t="s">
        <v>78</v>
      </c>
      <c r="E73" s="15" t="s">
        <v>79</v>
      </c>
      <c r="F73" s="13" t="s">
        <v>80</v>
      </c>
      <c r="G73" s="15" t="s">
        <v>81</v>
      </c>
      <c r="H73" s="13" t="s">
        <v>240</v>
      </c>
      <c r="I73" s="15" t="s">
        <v>241</v>
      </c>
      <c r="J73" s="15" t="s">
        <v>83</v>
      </c>
      <c r="K73" s="15" t="s">
        <v>242</v>
      </c>
      <c r="L73" s="13" t="s">
        <v>256</v>
      </c>
      <c r="M73" s="15" t="s">
        <v>257</v>
      </c>
      <c r="N73" s="14" t="s">
        <v>87</v>
      </c>
      <c r="O73" s="15" t="s">
        <v>258</v>
      </c>
      <c r="P73" s="15" t="s">
        <v>259</v>
      </c>
      <c r="Q73" s="15" t="s">
        <v>196</v>
      </c>
      <c r="R73" s="13" t="s">
        <v>197</v>
      </c>
      <c r="S73" s="13" t="s">
        <v>193</v>
      </c>
      <c r="T73" s="13" t="s">
        <v>174</v>
      </c>
      <c r="U73" s="14">
        <v>40725</v>
      </c>
      <c r="V73" s="14">
        <v>40725</v>
      </c>
      <c r="W73" s="15"/>
      <c r="X73" s="13"/>
      <c r="Y73" s="15"/>
      <c r="Z73" s="13"/>
      <c r="AA73" s="15"/>
      <c r="AB73" s="13"/>
      <c r="AC73" s="15"/>
      <c r="AD73" s="13"/>
      <c r="AE73" s="15"/>
      <c r="AF73" s="13"/>
      <c r="AG73" s="15"/>
      <c r="AH73" s="13"/>
      <c r="AI73" s="15"/>
      <c r="AJ73" s="13"/>
      <c r="AK73" s="15"/>
      <c r="AL73" s="13"/>
      <c r="AM73" s="15"/>
      <c r="AN73" s="13"/>
      <c r="AO73" s="15"/>
      <c r="AP73" s="13"/>
      <c r="AQ73" s="15"/>
      <c r="AR73" s="13"/>
      <c r="AS73" s="13"/>
    </row>
    <row r="74" spans="1:45" ht="42.8" x14ac:dyDescent="0.25">
      <c r="A74" s="13" t="s">
        <v>142</v>
      </c>
      <c r="B74" s="13" t="s">
        <v>77</v>
      </c>
      <c r="C74" s="14">
        <v>43152.5</v>
      </c>
      <c r="D74" s="13" t="s">
        <v>78</v>
      </c>
      <c r="E74" s="15" t="s">
        <v>79</v>
      </c>
      <c r="F74" s="13" t="s">
        <v>80</v>
      </c>
      <c r="G74" s="15" t="s">
        <v>81</v>
      </c>
      <c r="H74" s="13" t="s">
        <v>240</v>
      </c>
      <c r="I74" s="15" t="s">
        <v>241</v>
      </c>
      <c r="J74" s="15" t="s">
        <v>83</v>
      </c>
      <c r="K74" s="15" t="s">
        <v>242</v>
      </c>
      <c r="L74" s="13" t="s">
        <v>243</v>
      </c>
      <c r="M74" s="15" t="s">
        <v>244</v>
      </c>
      <c r="N74" s="14" t="s">
        <v>87</v>
      </c>
      <c r="O74" s="15" t="s">
        <v>88</v>
      </c>
      <c r="P74" s="15" t="s">
        <v>89</v>
      </c>
      <c r="Q74" s="15" t="s">
        <v>198</v>
      </c>
      <c r="R74" s="13" t="s">
        <v>199</v>
      </c>
      <c r="S74" s="13" t="s">
        <v>193</v>
      </c>
      <c r="T74" s="13" t="s">
        <v>93</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3"/>
    </row>
    <row r="75" spans="1:45" ht="42.8" x14ac:dyDescent="0.25">
      <c r="A75" s="13" t="s">
        <v>142</v>
      </c>
      <c r="B75" s="13" t="s">
        <v>77</v>
      </c>
      <c r="C75" s="14">
        <v>43545.809027777781</v>
      </c>
      <c r="D75" s="13" t="s">
        <v>78</v>
      </c>
      <c r="E75" s="15" t="s">
        <v>79</v>
      </c>
      <c r="F75" s="13" t="s">
        <v>80</v>
      </c>
      <c r="G75" s="15" t="s">
        <v>81</v>
      </c>
      <c r="H75" s="13" t="s">
        <v>240</v>
      </c>
      <c r="I75" s="15" t="s">
        <v>241</v>
      </c>
      <c r="J75" s="15" t="s">
        <v>83</v>
      </c>
      <c r="K75" s="15" t="s">
        <v>242</v>
      </c>
      <c r="L75" s="13" t="s">
        <v>256</v>
      </c>
      <c r="M75" s="15" t="s">
        <v>257</v>
      </c>
      <c r="N75" s="14" t="s">
        <v>87</v>
      </c>
      <c r="O75" s="15" t="s">
        <v>258</v>
      </c>
      <c r="P75" s="15" t="s">
        <v>259</v>
      </c>
      <c r="Q75" s="15" t="s">
        <v>198</v>
      </c>
      <c r="R75" s="13" t="s">
        <v>199</v>
      </c>
      <c r="S75" s="13" t="s">
        <v>193</v>
      </c>
      <c r="T75" s="13" t="s">
        <v>93</v>
      </c>
      <c r="U75" s="14">
        <v>40725</v>
      </c>
      <c r="V75" s="14">
        <v>43435</v>
      </c>
      <c r="W75" s="15"/>
      <c r="X75" s="13"/>
      <c r="Y75" s="15"/>
      <c r="Z75" s="13"/>
      <c r="AA75" s="15"/>
      <c r="AB75" s="13"/>
      <c r="AC75" s="15"/>
      <c r="AD75" s="13"/>
      <c r="AE75" s="15"/>
      <c r="AF75" s="13"/>
      <c r="AG75" s="15"/>
      <c r="AH75" s="13"/>
      <c r="AI75" s="15"/>
      <c r="AJ75" s="13"/>
      <c r="AK75" s="15"/>
      <c r="AL75" s="13"/>
      <c r="AM75" s="15"/>
      <c r="AN75" s="13"/>
      <c r="AO75" s="15"/>
      <c r="AP75" s="13"/>
      <c r="AQ75" s="15"/>
      <c r="AR75" s="13"/>
      <c r="AS75" s="13"/>
    </row>
    <row r="76" spans="1:45" ht="42.8" x14ac:dyDescent="0.25">
      <c r="A76" s="13" t="s">
        <v>142</v>
      </c>
      <c r="B76" s="13" t="s">
        <v>222</v>
      </c>
      <c r="C76" s="14">
        <v>43545.809027777781</v>
      </c>
      <c r="D76" s="13" t="s">
        <v>78</v>
      </c>
      <c r="E76" s="15" t="s">
        <v>79</v>
      </c>
      <c r="F76" s="13" t="s">
        <v>80</v>
      </c>
      <c r="G76" s="15" t="s">
        <v>81</v>
      </c>
      <c r="H76" s="13" t="s">
        <v>240</v>
      </c>
      <c r="I76" s="15" t="s">
        <v>241</v>
      </c>
      <c r="J76" s="15" t="s">
        <v>83</v>
      </c>
      <c r="K76" s="15" t="s">
        <v>242</v>
      </c>
      <c r="L76" s="13" t="s">
        <v>256</v>
      </c>
      <c r="M76" s="15" t="s">
        <v>257</v>
      </c>
      <c r="N76" s="14" t="s">
        <v>87</v>
      </c>
      <c r="O76" s="15" t="s">
        <v>258</v>
      </c>
      <c r="P76" s="15" t="s">
        <v>259</v>
      </c>
      <c r="Q76" s="15" t="s">
        <v>198</v>
      </c>
      <c r="R76" s="13" t="s">
        <v>199</v>
      </c>
      <c r="S76" s="13" t="s">
        <v>193</v>
      </c>
      <c r="T76" s="13" t="s">
        <v>93</v>
      </c>
      <c r="U76" s="14">
        <v>43436</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3"/>
    </row>
    <row r="77" spans="1:45" ht="42.8" x14ac:dyDescent="0.25">
      <c r="A77" s="13" t="s">
        <v>142</v>
      </c>
      <c r="B77" s="13" t="s">
        <v>77</v>
      </c>
      <c r="C77" s="14">
        <v>43152.5</v>
      </c>
      <c r="D77" s="13" t="s">
        <v>78</v>
      </c>
      <c r="E77" s="15" t="s">
        <v>79</v>
      </c>
      <c r="F77" s="13" t="s">
        <v>80</v>
      </c>
      <c r="G77" s="15" t="s">
        <v>81</v>
      </c>
      <c r="H77" s="13" t="s">
        <v>240</v>
      </c>
      <c r="I77" s="15" t="s">
        <v>241</v>
      </c>
      <c r="J77" s="15" t="s">
        <v>83</v>
      </c>
      <c r="K77" s="15" t="s">
        <v>242</v>
      </c>
      <c r="L77" s="13" t="s">
        <v>243</v>
      </c>
      <c r="M77" s="15" t="s">
        <v>244</v>
      </c>
      <c r="N77" s="14" t="s">
        <v>87</v>
      </c>
      <c r="O77" s="15" t="s">
        <v>88</v>
      </c>
      <c r="P77" s="15" t="s">
        <v>89</v>
      </c>
      <c r="Q77" s="15" t="s">
        <v>226</v>
      </c>
      <c r="R77" s="13" t="s">
        <v>227</v>
      </c>
      <c r="S77" s="13" t="s">
        <v>193</v>
      </c>
      <c r="T77" s="13" t="s">
        <v>93</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3"/>
    </row>
    <row r="78" spans="1:45" ht="42.8" x14ac:dyDescent="0.25">
      <c r="A78" s="13" t="s">
        <v>142</v>
      </c>
      <c r="B78" s="13" t="s">
        <v>77</v>
      </c>
      <c r="C78" s="14">
        <v>43509.748611111114</v>
      </c>
      <c r="D78" s="13" t="s">
        <v>78</v>
      </c>
      <c r="E78" s="15" t="s">
        <v>79</v>
      </c>
      <c r="F78" s="13" t="s">
        <v>80</v>
      </c>
      <c r="G78" s="15" t="s">
        <v>81</v>
      </c>
      <c r="H78" s="13" t="s">
        <v>240</v>
      </c>
      <c r="I78" s="15" t="s">
        <v>241</v>
      </c>
      <c r="J78" s="15" t="s">
        <v>83</v>
      </c>
      <c r="K78" s="15" t="s">
        <v>242</v>
      </c>
      <c r="L78" s="13" t="s">
        <v>256</v>
      </c>
      <c r="M78" s="15" t="s">
        <v>257</v>
      </c>
      <c r="N78" s="14" t="s">
        <v>87</v>
      </c>
      <c r="O78" s="15" t="s">
        <v>258</v>
      </c>
      <c r="P78" s="15" t="s">
        <v>259</v>
      </c>
      <c r="Q78" s="15" t="s">
        <v>226</v>
      </c>
      <c r="R78" s="13" t="s">
        <v>227</v>
      </c>
      <c r="S78" s="13" t="s">
        <v>193</v>
      </c>
      <c r="T78" s="13" t="s">
        <v>93</v>
      </c>
      <c r="U78" s="14">
        <v>40725</v>
      </c>
      <c r="V78" s="14">
        <v>43435</v>
      </c>
      <c r="W78" s="15"/>
      <c r="X78" s="13"/>
      <c r="Y78" s="15"/>
      <c r="Z78" s="13"/>
      <c r="AA78" s="15"/>
      <c r="AB78" s="13"/>
      <c r="AC78" s="15"/>
      <c r="AD78" s="13"/>
      <c r="AE78" s="15"/>
      <c r="AF78" s="13"/>
      <c r="AG78" s="15"/>
      <c r="AH78" s="13"/>
      <c r="AI78" s="15"/>
      <c r="AJ78" s="13"/>
      <c r="AK78" s="15"/>
      <c r="AL78" s="13"/>
      <c r="AM78" s="15"/>
      <c r="AN78" s="13"/>
      <c r="AO78" s="15"/>
      <c r="AP78" s="13"/>
      <c r="AQ78" s="15"/>
      <c r="AR78" s="13"/>
      <c r="AS78" s="13"/>
    </row>
    <row r="79" spans="1:45" ht="42.8" x14ac:dyDescent="0.25">
      <c r="A79" s="13" t="s">
        <v>142</v>
      </c>
      <c r="B79" s="13" t="s">
        <v>222</v>
      </c>
      <c r="C79" s="14">
        <v>43509.749305555553</v>
      </c>
      <c r="D79" s="13" t="s">
        <v>78</v>
      </c>
      <c r="E79" s="15" t="s">
        <v>79</v>
      </c>
      <c r="F79" s="13" t="s">
        <v>80</v>
      </c>
      <c r="G79" s="15" t="s">
        <v>81</v>
      </c>
      <c r="H79" s="13" t="s">
        <v>240</v>
      </c>
      <c r="I79" s="15" t="s">
        <v>241</v>
      </c>
      <c r="J79" s="15" t="s">
        <v>83</v>
      </c>
      <c r="K79" s="15" t="s">
        <v>242</v>
      </c>
      <c r="L79" s="13" t="s">
        <v>256</v>
      </c>
      <c r="M79" s="15" t="s">
        <v>257</v>
      </c>
      <c r="N79" s="14" t="s">
        <v>87</v>
      </c>
      <c r="O79" s="15" t="s">
        <v>258</v>
      </c>
      <c r="P79" s="15" t="s">
        <v>259</v>
      </c>
      <c r="Q79" s="15" t="s">
        <v>226</v>
      </c>
      <c r="R79" s="13" t="s">
        <v>227</v>
      </c>
      <c r="S79" s="13" t="s">
        <v>193</v>
      </c>
      <c r="T79" s="13" t="s">
        <v>93</v>
      </c>
      <c r="U79" s="14">
        <v>43436</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3"/>
    </row>
    <row r="80" spans="1:45" ht="42.8" x14ac:dyDescent="0.25">
      <c r="A80" s="13" t="s">
        <v>142</v>
      </c>
      <c r="B80" s="13" t="s">
        <v>77</v>
      </c>
      <c r="C80" s="14">
        <v>43152.5</v>
      </c>
      <c r="D80" s="13" t="s">
        <v>78</v>
      </c>
      <c r="E80" s="15" t="s">
        <v>79</v>
      </c>
      <c r="F80" s="13" t="s">
        <v>80</v>
      </c>
      <c r="G80" s="15" t="s">
        <v>81</v>
      </c>
      <c r="H80" s="13" t="s">
        <v>240</v>
      </c>
      <c r="I80" s="15" t="s">
        <v>241</v>
      </c>
      <c r="J80" s="15" t="s">
        <v>83</v>
      </c>
      <c r="K80" s="15" t="s">
        <v>242</v>
      </c>
      <c r="L80" s="13" t="s">
        <v>243</v>
      </c>
      <c r="M80" s="15" t="s">
        <v>244</v>
      </c>
      <c r="N80" s="14" t="s">
        <v>87</v>
      </c>
      <c r="O80" s="15" t="s">
        <v>88</v>
      </c>
      <c r="P80" s="15" t="s">
        <v>89</v>
      </c>
      <c r="Q80" s="15" t="s">
        <v>230</v>
      </c>
      <c r="R80" s="13" t="s">
        <v>231</v>
      </c>
      <c r="S80" s="13" t="s">
        <v>193</v>
      </c>
      <c r="T80" s="13" t="s">
        <v>93</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3"/>
    </row>
    <row r="81" spans="1:45" ht="42.8" x14ac:dyDescent="0.25">
      <c r="A81" s="13" t="s">
        <v>142</v>
      </c>
      <c r="B81" s="13" t="s">
        <v>77</v>
      </c>
      <c r="C81" s="14">
        <v>43509.75</v>
      </c>
      <c r="D81" s="13" t="s">
        <v>78</v>
      </c>
      <c r="E81" s="15" t="s">
        <v>79</v>
      </c>
      <c r="F81" s="13" t="s">
        <v>80</v>
      </c>
      <c r="G81" s="15" t="s">
        <v>81</v>
      </c>
      <c r="H81" s="13" t="s">
        <v>240</v>
      </c>
      <c r="I81" s="15" t="s">
        <v>241</v>
      </c>
      <c r="J81" s="15" t="s">
        <v>83</v>
      </c>
      <c r="K81" s="15" t="s">
        <v>242</v>
      </c>
      <c r="L81" s="13" t="s">
        <v>256</v>
      </c>
      <c r="M81" s="15" t="s">
        <v>257</v>
      </c>
      <c r="N81" s="14" t="s">
        <v>87</v>
      </c>
      <c r="O81" s="15" t="s">
        <v>258</v>
      </c>
      <c r="P81" s="15" t="s">
        <v>259</v>
      </c>
      <c r="Q81" s="15" t="s">
        <v>230</v>
      </c>
      <c r="R81" s="13" t="s">
        <v>231</v>
      </c>
      <c r="S81" s="13" t="s">
        <v>193</v>
      </c>
      <c r="T81" s="13" t="s">
        <v>93</v>
      </c>
      <c r="U81" s="14">
        <v>40725</v>
      </c>
      <c r="V81" s="14">
        <v>43435</v>
      </c>
      <c r="W81" s="15"/>
      <c r="X81" s="13"/>
      <c r="Y81" s="15"/>
      <c r="Z81" s="13"/>
      <c r="AA81" s="15"/>
      <c r="AB81" s="13"/>
      <c r="AC81" s="15"/>
      <c r="AD81" s="13"/>
      <c r="AE81" s="15"/>
      <c r="AF81" s="13"/>
      <c r="AG81" s="15"/>
      <c r="AH81" s="13"/>
      <c r="AI81" s="15"/>
      <c r="AJ81" s="13"/>
      <c r="AK81" s="15"/>
      <c r="AL81" s="13"/>
      <c r="AM81" s="15"/>
      <c r="AN81" s="13"/>
      <c r="AO81" s="15"/>
      <c r="AP81" s="13"/>
      <c r="AQ81" s="15"/>
      <c r="AR81" s="13"/>
      <c r="AS81" s="13"/>
    </row>
    <row r="82" spans="1:45" ht="42.8" x14ac:dyDescent="0.25">
      <c r="A82" s="13" t="s">
        <v>142</v>
      </c>
      <c r="B82" s="13" t="s">
        <v>222</v>
      </c>
      <c r="C82" s="14">
        <v>43509.750694444447</v>
      </c>
      <c r="D82" s="13" t="s">
        <v>78</v>
      </c>
      <c r="E82" s="15" t="s">
        <v>79</v>
      </c>
      <c r="F82" s="13" t="s">
        <v>80</v>
      </c>
      <c r="G82" s="15" t="s">
        <v>81</v>
      </c>
      <c r="H82" s="13" t="s">
        <v>240</v>
      </c>
      <c r="I82" s="15" t="s">
        <v>241</v>
      </c>
      <c r="J82" s="15" t="s">
        <v>83</v>
      </c>
      <c r="K82" s="15" t="s">
        <v>242</v>
      </c>
      <c r="L82" s="13" t="s">
        <v>256</v>
      </c>
      <c r="M82" s="15" t="s">
        <v>257</v>
      </c>
      <c r="N82" s="14" t="s">
        <v>87</v>
      </c>
      <c r="O82" s="15" t="s">
        <v>258</v>
      </c>
      <c r="P82" s="15" t="s">
        <v>259</v>
      </c>
      <c r="Q82" s="15" t="s">
        <v>230</v>
      </c>
      <c r="R82" s="13" t="s">
        <v>231</v>
      </c>
      <c r="S82" s="13" t="s">
        <v>193</v>
      </c>
      <c r="T82" s="13" t="s">
        <v>93</v>
      </c>
      <c r="U82" s="14">
        <v>43436</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3"/>
    </row>
    <row r="83" spans="1:45" ht="42.8" x14ac:dyDescent="0.25">
      <c r="A83" s="13" t="s">
        <v>232</v>
      </c>
      <c r="B83" s="13" t="s">
        <v>77</v>
      </c>
      <c r="C83" s="14">
        <v>45994.433333333334</v>
      </c>
      <c r="D83" s="13" t="s">
        <v>78</v>
      </c>
      <c r="E83" s="15" t="s">
        <v>79</v>
      </c>
      <c r="F83" s="13" t="s">
        <v>80</v>
      </c>
      <c r="G83" s="15" t="s">
        <v>81</v>
      </c>
      <c r="H83" s="13" t="s">
        <v>240</v>
      </c>
      <c r="I83" s="15" t="s">
        <v>241</v>
      </c>
      <c r="J83" s="15" t="s">
        <v>83</v>
      </c>
      <c r="K83" s="15" t="s">
        <v>242</v>
      </c>
      <c r="L83" s="13" t="s">
        <v>243</v>
      </c>
      <c r="M83" s="15" t="s">
        <v>244</v>
      </c>
      <c r="N83" s="14" t="s">
        <v>87</v>
      </c>
      <c r="O83" s="15" t="s">
        <v>88</v>
      </c>
      <c r="P83" s="15" t="s">
        <v>89</v>
      </c>
      <c r="Q83" s="15" t="s">
        <v>233</v>
      </c>
      <c r="R83" s="13" t="s">
        <v>234</v>
      </c>
      <c r="S83" s="13" t="s">
        <v>193</v>
      </c>
      <c r="T83" s="13" t="s">
        <v>93</v>
      </c>
      <c r="U83" s="14">
        <v>40725</v>
      </c>
      <c r="V83" s="14">
        <v>45900</v>
      </c>
      <c r="W83" s="15"/>
      <c r="X83" s="13"/>
      <c r="Y83" s="15"/>
      <c r="Z83" s="13"/>
      <c r="AA83" s="15"/>
      <c r="AB83" s="13"/>
      <c r="AC83" s="15"/>
      <c r="AD83" s="13"/>
      <c r="AE83" s="15"/>
      <c r="AF83" s="13"/>
      <c r="AG83" s="15"/>
      <c r="AH83" s="13"/>
      <c r="AI83" s="15"/>
      <c r="AJ83" s="13"/>
      <c r="AK83" s="15"/>
      <c r="AL83" s="13"/>
      <c r="AM83" s="15"/>
      <c r="AN83" s="13"/>
      <c r="AO83" s="15"/>
      <c r="AP83" s="13"/>
      <c r="AQ83" s="15"/>
      <c r="AR83" s="13" t="s">
        <v>235</v>
      </c>
      <c r="AS83" s="13"/>
    </row>
    <row r="84" spans="1:45" ht="42.8" x14ac:dyDescent="0.25">
      <c r="A84" s="13" t="s">
        <v>142</v>
      </c>
      <c r="B84" s="13" t="s">
        <v>77</v>
      </c>
      <c r="C84" s="14">
        <v>43509.751388888886</v>
      </c>
      <c r="D84" s="13" t="s">
        <v>78</v>
      </c>
      <c r="E84" s="15" t="s">
        <v>79</v>
      </c>
      <c r="F84" s="13" t="s">
        <v>80</v>
      </c>
      <c r="G84" s="15" t="s">
        <v>81</v>
      </c>
      <c r="H84" s="13" t="s">
        <v>240</v>
      </c>
      <c r="I84" s="15" t="s">
        <v>241</v>
      </c>
      <c r="J84" s="15" t="s">
        <v>83</v>
      </c>
      <c r="K84" s="15" t="s">
        <v>242</v>
      </c>
      <c r="L84" s="13" t="s">
        <v>256</v>
      </c>
      <c r="M84" s="15" t="s">
        <v>257</v>
      </c>
      <c r="N84" s="14" t="s">
        <v>87</v>
      </c>
      <c r="O84" s="15" t="s">
        <v>258</v>
      </c>
      <c r="P84" s="15" t="s">
        <v>259</v>
      </c>
      <c r="Q84" s="15" t="s">
        <v>233</v>
      </c>
      <c r="R84" s="13" t="s">
        <v>234</v>
      </c>
      <c r="S84" s="13" t="s">
        <v>193</v>
      </c>
      <c r="T84" s="13" t="s">
        <v>93</v>
      </c>
      <c r="U84" s="14">
        <v>40725</v>
      </c>
      <c r="V84" s="14">
        <v>43435</v>
      </c>
      <c r="W84" s="15"/>
      <c r="X84" s="13"/>
      <c r="Y84" s="15"/>
      <c r="Z84" s="13"/>
      <c r="AA84" s="15"/>
      <c r="AB84" s="13"/>
      <c r="AC84" s="15"/>
      <c r="AD84" s="13"/>
      <c r="AE84" s="15"/>
      <c r="AF84" s="13"/>
      <c r="AG84" s="15"/>
      <c r="AH84" s="13"/>
      <c r="AI84" s="15"/>
      <c r="AJ84" s="13"/>
      <c r="AK84" s="15"/>
      <c r="AL84" s="13"/>
      <c r="AM84" s="15"/>
      <c r="AN84" s="13"/>
      <c r="AO84" s="15"/>
      <c r="AP84" s="13"/>
      <c r="AQ84" s="15"/>
      <c r="AR84" s="13"/>
      <c r="AS84" s="13"/>
    </row>
    <row r="85" spans="1:45" ht="42.8" x14ac:dyDescent="0.25">
      <c r="A85" s="13" t="s">
        <v>232</v>
      </c>
      <c r="B85" s="13" t="s">
        <v>77</v>
      </c>
      <c r="C85" s="14">
        <v>45994.433333333334</v>
      </c>
      <c r="D85" s="13" t="s">
        <v>78</v>
      </c>
      <c r="E85" s="15" t="s">
        <v>79</v>
      </c>
      <c r="F85" s="13" t="s">
        <v>80</v>
      </c>
      <c r="G85" s="15" t="s">
        <v>81</v>
      </c>
      <c r="H85" s="13" t="s">
        <v>240</v>
      </c>
      <c r="I85" s="15" t="s">
        <v>241</v>
      </c>
      <c r="J85" s="15" t="s">
        <v>83</v>
      </c>
      <c r="K85" s="15" t="s">
        <v>242</v>
      </c>
      <c r="L85" s="13" t="s">
        <v>256</v>
      </c>
      <c r="M85" s="15" t="s">
        <v>257</v>
      </c>
      <c r="N85" s="14" t="s">
        <v>87</v>
      </c>
      <c r="O85" s="15" t="s">
        <v>258</v>
      </c>
      <c r="P85" s="15" t="s">
        <v>259</v>
      </c>
      <c r="Q85" s="15" t="s">
        <v>233</v>
      </c>
      <c r="R85" s="13" t="s">
        <v>234</v>
      </c>
      <c r="S85" s="13" t="s">
        <v>193</v>
      </c>
      <c r="T85" s="13" t="s">
        <v>93</v>
      </c>
      <c r="U85" s="14">
        <v>43436</v>
      </c>
      <c r="V85" s="14">
        <v>45900</v>
      </c>
      <c r="W85" s="15"/>
      <c r="X85" s="13"/>
      <c r="Y85" s="15"/>
      <c r="Z85" s="13"/>
      <c r="AA85" s="15"/>
      <c r="AB85" s="13"/>
      <c r="AC85" s="15"/>
      <c r="AD85" s="13"/>
      <c r="AE85" s="15"/>
      <c r="AF85" s="13"/>
      <c r="AG85" s="15"/>
      <c r="AH85" s="13"/>
      <c r="AI85" s="15"/>
      <c r="AJ85" s="13"/>
      <c r="AK85" s="15"/>
      <c r="AL85" s="13"/>
      <c r="AM85" s="15"/>
      <c r="AN85" s="13"/>
      <c r="AO85" s="15"/>
      <c r="AP85" s="13"/>
      <c r="AQ85" s="15"/>
      <c r="AR85" s="13" t="s">
        <v>235</v>
      </c>
      <c r="AS85" s="13"/>
    </row>
    <row r="86" spans="1:45" ht="42.8" x14ac:dyDescent="0.25">
      <c r="A86" s="13" t="s">
        <v>76</v>
      </c>
      <c r="B86" s="13" t="s">
        <v>77</v>
      </c>
      <c r="C86" s="14">
        <v>45628.71875</v>
      </c>
      <c r="D86" s="13" t="s">
        <v>78</v>
      </c>
      <c r="E86" s="15" t="s">
        <v>79</v>
      </c>
      <c r="F86" s="13" t="s">
        <v>80</v>
      </c>
      <c r="G86" s="15" t="s">
        <v>81</v>
      </c>
      <c r="H86" s="13" t="s">
        <v>240</v>
      </c>
      <c r="I86" s="15" t="s">
        <v>241</v>
      </c>
      <c r="J86" s="15" t="s">
        <v>83</v>
      </c>
      <c r="K86" s="15" t="s">
        <v>242</v>
      </c>
      <c r="L86" s="13" t="s">
        <v>243</v>
      </c>
      <c r="M86" s="15" t="s">
        <v>244</v>
      </c>
      <c r="N86" s="14" t="s">
        <v>87</v>
      </c>
      <c r="O86" s="15" t="s">
        <v>88</v>
      </c>
      <c r="P86" s="15" t="s">
        <v>89</v>
      </c>
      <c r="Q86" s="15" t="s">
        <v>236</v>
      </c>
      <c r="R86" s="13" t="s">
        <v>237</v>
      </c>
      <c r="S86" s="13" t="s">
        <v>193</v>
      </c>
      <c r="T86" s="13" t="s">
        <v>174</v>
      </c>
      <c r="U86" s="14">
        <v>40725</v>
      </c>
      <c r="V86" s="14">
        <v>40725</v>
      </c>
      <c r="W86" s="15"/>
      <c r="X86" s="13"/>
      <c r="Y86" s="15"/>
      <c r="Z86" s="13"/>
      <c r="AA86" s="15"/>
      <c r="AB86" s="13"/>
      <c r="AC86" s="15"/>
      <c r="AD86" s="13"/>
      <c r="AE86" s="15"/>
      <c r="AF86" s="13"/>
      <c r="AG86" s="15"/>
      <c r="AH86" s="13"/>
      <c r="AI86" s="15"/>
      <c r="AJ86" s="13"/>
      <c r="AK86" s="15"/>
      <c r="AL86" s="13"/>
      <c r="AM86" s="15"/>
      <c r="AN86" s="13"/>
      <c r="AO86" s="15"/>
      <c r="AP86" s="13"/>
      <c r="AQ86" s="15"/>
      <c r="AR86" s="13"/>
      <c r="AS86" s="13"/>
    </row>
    <row r="87" spans="1:45" ht="42.8" x14ac:dyDescent="0.25">
      <c r="A87" s="13" t="s">
        <v>76</v>
      </c>
      <c r="B87" s="13" t="s">
        <v>77</v>
      </c>
      <c r="C87" s="14">
        <v>45628.720138888886</v>
      </c>
      <c r="D87" s="13" t="s">
        <v>78</v>
      </c>
      <c r="E87" s="15" t="s">
        <v>79</v>
      </c>
      <c r="F87" s="13" t="s">
        <v>80</v>
      </c>
      <c r="G87" s="15" t="s">
        <v>81</v>
      </c>
      <c r="H87" s="13" t="s">
        <v>240</v>
      </c>
      <c r="I87" s="15" t="s">
        <v>241</v>
      </c>
      <c r="J87" s="15" t="s">
        <v>83</v>
      </c>
      <c r="K87" s="15" t="s">
        <v>242</v>
      </c>
      <c r="L87" s="13" t="s">
        <v>256</v>
      </c>
      <c r="M87" s="15" t="s">
        <v>257</v>
      </c>
      <c r="N87" s="14" t="s">
        <v>87</v>
      </c>
      <c r="O87" s="15" t="s">
        <v>258</v>
      </c>
      <c r="P87" s="15" t="s">
        <v>259</v>
      </c>
      <c r="Q87" s="15" t="s">
        <v>236</v>
      </c>
      <c r="R87" s="13" t="s">
        <v>237</v>
      </c>
      <c r="S87" s="13" t="s">
        <v>193</v>
      </c>
      <c r="T87" s="13" t="s">
        <v>174</v>
      </c>
      <c r="U87" s="14">
        <v>40725</v>
      </c>
      <c r="V87" s="14">
        <v>40725</v>
      </c>
      <c r="W87" s="15"/>
      <c r="X87" s="13"/>
      <c r="Y87" s="15"/>
      <c r="Z87" s="13"/>
      <c r="AA87" s="15"/>
      <c r="AB87" s="13"/>
      <c r="AC87" s="15"/>
      <c r="AD87" s="13"/>
      <c r="AE87" s="15"/>
      <c r="AF87" s="13"/>
      <c r="AG87" s="15"/>
      <c r="AH87" s="13"/>
      <c r="AI87" s="15"/>
      <c r="AJ87" s="13"/>
      <c r="AK87" s="15"/>
      <c r="AL87" s="13"/>
      <c r="AM87" s="15"/>
      <c r="AN87" s="13"/>
      <c r="AO87" s="15"/>
      <c r="AP87" s="13"/>
      <c r="AQ87" s="15"/>
      <c r="AR87" s="13"/>
      <c r="AS87" s="13"/>
    </row>
    <row r="88" spans="1:45" ht="42.8" x14ac:dyDescent="0.25">
      <c r="A88" s="13" t="s">
        <v>76</v>
      </c>
      <c r="B88" s="13" t="s">
        <v>77</v>
      </c>
      <c r="C88" s="14">
        <v>45628.71875</v>
      </c>
      <c r="D88" s="13" t="s">
        <v>78</v>
      </c>
      <c r="E88" s="15" t="s">
        <v>79</v>
      </c>
      <c r="F88" s="13" t="s">
        <v>80</v>
      </c>
      <c r="G88" s="15" t="s">
        <v>81</v>
      </c>
      <c r="H88" s="13" t="s">
        <v>240</v>
      </c>
      <c r="I88" s="15" t="s">
        <v>241</v>
      </c>
      <c r="J88" s="15" t="s">
        <v>83</v>
      </c>
      <c r="K88" s="15" t="s">
        <v>242</v>
      </c>
      <c r="L88" s="13" t="s">
        <v>243</v>
      </c>
      <c r="M88" s="15" t="s">
        <v>244</v>
      </c>
      <c r="N88" s="14" t="s">
        <v>87</v>
      </c>
      <c r="O88" s="15" t="s">
        <v>88</v>
      </c>
      <c r="P88" s="15" t="s">
        <v>89</v>
      </c>
      <c r="Q88" s="15" t="s">
        <v>238</v>
      </c>
      <c r="R88" s="13" t="s">
        <v>239</v>
      </c>
      <c r="S88" s="13" t="s">
        <v>193</v>
      </c>
      <c r="T88" s="13" t="s">
        <v>174</v>
      </c>
      <c r="U88" s="14">
        <v>40725</v>
      </c>
      <c r="V88" s="14">
        <v>40725</v>
      </c>
      <c r="W88" s="15"/>
      <c r="X88" s="13"/>
      <c r="Y88" s="15"/>
      <c r="Z88" s="13"/>
      <c r="AA88" s="15"/>
      <c r="AB88" s="13"/>
      <c r="AC88" s="15"/>
      <c r="AD88" s="13"/>
      <c r="AE88" s="15"/>
      <c r="AF88" s="13"/>
      <c r="AG88" s="15"/>
      <c r="AH88" s="13"/>
      <c r="AI88" s="15"/>
      <c r="AJ88" s="13"/>
      <c r="AK88" s="15"/>
      <c r="AL88" s="13"/>
      <c r="AM88" s="15"/>
      <c r="AN88" s="13"/>
      <c r="AO88" s="15"/>
      <c r="AP88" s="13"/>
      <c r="AQ88" s="15"/>
      <c r="AR88" s="13"/>
      <c r="AS88" s="13"/>
    </row>
    <row r="89" spans="1:45" ht="42.8" x14ac:dyDescent="0.25">
      <c r="A89" s="13" t="s">
        <v>76</v>
      </c>
      <c r="B89" s="13" t="s">
        <v>77</v>
      </c>
      <c r="C89" s="14">
        <v>45628.720138888886</v>
      </c>
      <c r="D89" s="13" t="s">
        <v>78</v>
      </c>
      <c r="E89" s="15" t="s">
        <v>79</v>
      </c>
      <c r="F89" s="13" t="s">
        <v>80</v>
      </c>
      <c r="G89" s="15" t="s">
        <v>81</v>
      </c>
      <c r="H89" s="13" t="s">
        <v>240</v>
      </c>
      <c r="I89" s="15" t="s">
        <v>241</v>
      </c>
      <c r="J89" s="15" t="s">
        <v>83</v>
      </c>
      <c r="K89" s="15" t="s">
        <v>242</v>
      </c>
      <c r="L89" s="13" t="s">
        <v>256</v>
      </c>
      <c r="M89" s="15" t="s">
        <v>257</v>
      </c>
      <c r="N89" s="14" t="s">
        <v>87</v>
      </c>
      <c r="O89" s="15" t="s">
        <v>258</v>
      </c>
      <c r="P89" s="15" t="s">
        <v>259</v>
      </c>
      <c r="Q89" s="15" t="s">
        <v>238</v>
      </c>
      <c r="R89" s="13" t="s">
        <v>239</v>
      </c>
      <c r="S89" s="13" t="s">
        <v>193</v>
      </c>
      <c r="T89" s="13" t="s">
        <v>174</v>
      </c>
      <c r="U89" s="14">
        <v>40725</v>
      </c>
      <c r="V89" s="14">
        <v>40725</v>
      </c>
      <c r="W89" s="15"/>
      <c r="X89" s="13"/>
      <c r="Y89" s="15"/>
      <c r="Z89" s="13"/>
      <c r="AA89" s="15"/>
      <c r="AB89" s="13"/>
      <c r="AC89" s="15"/>
      <c r="AD89" s="13"/>
      <c r="AE89" s="15"/>
      <c r="AF89" s="13"/>
      <c r="AG89" s="15"/>
      <c r="AH89" s="13"/>
      <c r="AI89" s="15"/>
      <c r="AJ89" s="13"/>
      <c r="AK89" s="15"/>
      <c r="AL89" s="13"/>
      <c r="AM89" s="15"/>
      <c r="AN89" s="13"/>
      <c r="AO89" s="15"/>
      <c r="AP89" s="13"/>
      <c r="AQ89" s="15"/>
      <c r="AR89" s="13"/>
      <c r="AS89" s="13"/>
    </row>
    <row r="90" spans="1:45" ht="28.55" x14ac:dyDescent="0.25">
      <c r="A90" s="13" t="s">
        <v>76</v>
      </c>
      <c r="B90" s="13" t="s">
        <v>77</v>
      </c>
      <c r="C90" s="14">
        <v>45628.72152777778</v>
      </c>
      <c r="D90" s="13" t="s">
        <v>78</v>
      </c>
      <c r="E90" s="15" t="s">
        <v>79</v>
      </c>
      <c r="F90" s="13" t="s">
        <v>80</v>
      </c>
      <c r="G90" s="15" t="s">
        <v>81</v>
      </c>
      <c r="H90" s="13" t="s">
        <v>280</v>
      </c>
      <c r="I90" s="15" t="s">
        <v>281</v>
      </c>
      <c r="J90" s="15" t="s">
        <v>83</v>
      </c>
      <c r="K90" s="15" t="s">
        <v>84</v>
      </c>
      <c r="L90" s="13" t="s">
        <v>282</v>
      </c>
      <c r="M90" s="15" t="s">
        <v>281</v>
      </c>
      <c r="N90" s="14" t="s">
        <v>87</v>
      </c>
      <c r="O90" s="15" t="s">
        <v>258</v>
      </c>
      <c r="P90" s="15" t="s">
        <v>283</v>
      </c>
      <c r="Q90" s="15" t="s">
        <v>90</v>
      </c>
      <c r="R90" s="13" t="s">
        <v>91</v>
      </c>
      <c r="S90" s="13" t="s">
        <v>92</v>
      </c>
      <c r="T90" s="13" t="s">
        <v>93</v>
      </c>
      <c r="U90" s="14">
        <v>40725</v>
      </c>
      <c r="V90" s="14">
        <v>40725</v>
      </c>
      <c r="W90" s="15"/>
      <c r="X90" s="13"/>
      <c r="Y90" s="15"/>
      <c r="Z90" s="13"/>
      <c r="AA90" s="15"/>
      <c r="AB90" s="13"/>
      <c r="AC90" s="15"/>
      <c r="AD90" s="13"/>
      <c r="AE90" s="15"/>
      <c r="AF90" s="13"/>
      <c r="AG90" s="15"/>
      <c r="AH90" s="13"/>
      <c r="AI90" s="15"/>
      <c r="AJ90" s="13"/>
      <c r="AK90" s="15"/>
      <c r="AL90" s="13"/>
      <c r="AM90" s="15"/>
      <c r="AN90" s="13"/>
      <c r="AO90" s="15"/>
      <c r="AP90" s="13"/>
      <c r="AQ90" s="15"/>
      <c r="AR90" s="13"/>
      <c r="AS90" s="13"/>
    </row>
    <row r="91" spans="1:45" ht="28.55" x14ac:dyDescent="0.25">
      <c r="A91" s="13" t="s">
        <v>76</v>
      </c>
      <c r="B91" s="13" t="s">
        <v>77</v>
      </c>
      <c r="C91" s="14">
        <v>45628.720833333333</v>
      </c>
      <c r="D91" s="13" t="s">
        <v>78</v>
      </c>
      <c r="E91" s="15" t="s">
        <v>79</v>
      </c>
      <c r="F91" s="13" t="s">
        <v>80</v>
      </c>
      <c r="G91" s="15" t="s">
        <v>81</v>
      </c>
      <c r="H91" s="13" t="s">
        <v>280</v>
      </c>
      <c r="I91" s="15" t="s">
        <v>281</v>
      </c>
      <c r="J91" s="15" t="s">
        <v>83</v>
      </c>
      <c r="K91" s="15" t="s">
        <v>84</v>
      </c>
      <c r="L91" s="13" t="s">
        <v>282</v>
      </c>
      <c r="M91" s="15" t="s">
        <v>281</v>
      </c>
      <c r="N91" s="14" t="s">
        <v>87</v>
      </c>
      <c r="O91" s="15" t="s">
        <v>258</v>
      </c>
      <c r="P91" s="15" t="s">
        <v>283</v>
      </c>
      <c r="Q91" s="15" t="s">
        <v>172</v>
      </c>
      <c r="R91" s="13" t="s">
        <v>173</v>
      </c>
      <c r="S91" s="13" t="s">
        <v>92</v>
      </c>
      <c r="T91" s="13" t="s">
        <v>174</v>
      </c>
      <c r="U91" s="14">
        <v>43831</v>
      </c>
      <c r="V91" s="14">
        <v>43831</v>
      </c>
      <c r="W91" s="15"/>
      <c r="X91" s="13"/>
      <c r="Y91" s="15"/>
      <c r="Z91" s="13"/>
      <c r="AA91" s="15"/>
      <c r="AB91" s="13"/>
      <c r="AC91" s="15"/>
      <c r="AD91" s="13"/>
      <c r="AE91" s="15"/>
      <c r="AF91" s="13"/>
      <c r="AG91" s="15"/>
      <c r="AH91" s="13"/>
      <c r="AI91" s="15"/>
      <c r="AJ91" s="13"/>
      <c r="AK91" s="15"/>
      <c r="AL91" s="13"/>
      <c r="AM91" s="15"/>
      <c r="AN91" s="13"/>
      <c r="AO91" s="15"/>
      <c r="AP91" s="13"/>
      <c r="AQ91" s="15"/>
      <c r="AR91" s="13"/>
      <c r="AS91" s="13"/>
    </row>
    <row r="92" spans="1:45" ht="28.55" x14ac:dyDescent="0.25">
      <c r="A92" s="13" t="s">
        <v>76</v>
      </c>
      <c r="B92" s="13" t="s">
        <v>77</v>
      </c>
      <c r="C92" s="14">
        <v>45628.720833333333</v>
      </c>
      <c r="D92" s="13" t="s">
        <v>78</v>
      </c>
      <c r="E92" s="15" t="s">
        <v>79</v>
      </c>
      <c r="F92" s="13" t="s">
        <v>80</v>
      </c>
      <c r="G92" s="15" t="s">
        <v>81</v>
      </c>
      <c r="H92" s="13" t="s">
        <v>280</v>
      </c>
      <c r="I92" s="15" t="s">
        <v>281</v>
      </c>
      <c r="J92" s="15" t="s">
        <v>83</v>
      </c>
      <c r="K92" s="15" t="s">
        <v>84</v>
      </c>
      <c r="L92" s="13" t="s">
        <v>282</v>
      </c>
      <c r="M92" s="15" t="s">
        <v>281</v>
      </c>
      <c r="N92" s="14" t="s">
        <v>87</v>
      </c>
      <c r="O92" s="15" t="s">
        <v>258</v>
      </c>
      <c r="P92" s="15" t="s">
        <v>283</v>
      </c>
      <c r="Q92" s="15" t="s">
        <v>175</v>
      </c>
      <c r="R92" s="13" t="s">
        <v>176</v>
      </c>
      <c r="S92" s="13" t="s">
        <v>92</v>
      </c>
      <c r="T92" s="13" t="s">
        <v>93</v>
      </c>
      <c r="U92" s="14">
        <v>40725</v>
      </c>
      <c r="V92" s="14">
        <v>40725</v>
      </c>
      <c r="W92" s="15"/>
      <c r="X92" s="13"/>
      <c r="Y92" s="15"/>
      <c r="Z92" s="13"/>
      <c r="AA92" s="15"/>
      <c r="AB92" s="13"/>
      <c r="AC92" s="15"/>
      <c r="AD92" s="13"/>
      <c r="AE92" s="15"/>
      <c r="AF92" s="13"/>
      <c r="AG92" s="15"/>
      <c r="AH92" s="13"/>
      <c r="AI92" s="15"/>
      <c r="AJ92" s="13"/>
      <c r="AK92" s="15"/>
      <c r="AL92" s="13"/>
      <c r="AM92" s="15"/>
      <c r="AN92" s="13"/>
      <c r="AO92" s="15"/>
      <c r="AP92" s="13"/>
      <c r="AQ92" s="15"/>
      <c r="AR92" s="13"/>
      <c r="AS92" s="13"/>
    </row>
    <row r="93" spans="1:45" ht="28.55" x14ac:dyDescent="0.25">
      <c r="A93" s="13" t="s">
        <v>76</v>
      </c>
      <c r="B93" s="13" t="s">
        <v>77</v>
      </c>
      <c r="C93" s="14">
        <v>45628.72152777778</v>
      </c>
      <c r="D93" s="13" t="s">
        <v>78</v>
      </c>
      <c r="E93" s="15" t="s">
        <v>79</v>
      </c>
      <c r="F93" s="13" t="s">
        <v>80</v>
      </c>
      <c r="G93" s="15" t="s">
        <v>81</v>
      </c>
      <c r="H93" s="13" t="s">
        <v>280</v>
      </c>
      <c r="I93" s="15" t="s">
        <v>281</v>
      </c>
      <c r="J93" s="15" t="s">
        <v>83</v>
      </c>
      <c r="K93" s="15" t="s">
        <v>84</v>
      </c>
      <c r="L93" s="13" t="s">
        <v>282</v>
      </c>
      <c r="M93" s="15" t="s">
        <v>281</v>
      </c>
      <c r="N93" s="14" t="s">
        <v>87</v>
      </c>
      <c r="O93" s="15" t="s">
        <v>258</v>
      </c>
      <c r="P93" s="15" t="s">
        <v>283</v>
      </c>
      <c r="Q93" s="15" t="s">
        <v>187</v>
      </c>
      <c r="R93" s="13" t="s">
        <v>188</v>
      </c>
      <c r="S93" s="13" t="s">
        <v>92</v>
      </c>
      <c r="T93" s="13" t="s">
        <v>174</v>
      </c>
      <c r="U93" s="14">
        <v>40725</v>
      </c>
      <c r="V93" s="14">
        <v>40725</v>
      </c>
      <c r="W93" s="15"/>
      <c r="X93" s="13"/>
      <c r="Y93" s="15"/>
      <c r="Z93" s="13"/>
      <c r="AA93" s="15"/>
      <c r="AB93" s="13"/>
      <c r="AC93" s="15"/>
      <c r="AD93" s="13"/>
      <c r="AE93" s="15"/>
      <c r="AF93" s="13"/>
      <c r="AG93" s="15"/>
      <c r="AH93" s="13"/>
      <c r="AI93" s="15"/>
      <c r="AJ93" s="13"/>
      <c r="AK93" s="15"/>
      <c r="AL93" s="13"/>
      <c r="AM93" s="15"/>
      <c r="AN93" s="13"/>
      <c r="AO93" s="15"/>
      <c r="AP93" s="13"/>
      <c r="AQ93" s="15"/>
      <c r="AR93" s="13"/>
      <c r="AS93" s="13"/>
    </row>
    <row r="94" spans="1:45" ht="28.55" x14ac:dyDescent="0.25">
      <c r="A94" s="13" t="s">
        <v>76</v>
      </c>
      <c r="B94" s="13" t="s">
        <v>77</v>
      </c>
      <c r="C94" s="14">
        <v>45628.720833333333</v>
      </c>
      <c r="D94" s="13" t="s">
        <v>78</v>
      </c>
      <c r="E94" s="15" t="s">
        <v>79</v>
      </c>
      <c r="F94" s="13" t="s">
        <v>80</v>
      </c>
      <c r="G94" s="15" t="s">
        <v>81</v>
      </c>
      <c r="H94" s="13" t="s">
        <v>280</v>
      </c>
      <c r="I94" s="15" t="s">
        <v>281</v>
      </c>
      <c r="J94" s="15" t="s">
        <v>83</v>
      </c>
      <c r="K94" s="15" t="s">
        <v>84</v>
      </c>
      <c r="L94" s="13" t="s">
        <v>282</v>
      </c>
      <c r="M94" s="15" t="s">
        <v>281</v>
      </c>
      <c r="N94" s="14" t="s">
        <v>87</v>
      </c>
      <c r="O94" s="15" t="s">
        <v>258</v>
      </c>
      <c r="P94" s="15" t="s">
        <v>283</v>
      </c>
      <c r="Q94" s="15" t="s">
        <v>189</v>
      </c>
      <c r="R94" s="13" t="s">
        <v>190</v>
      </c>
      <c r="S94" s="13" t="s">
        <v>92</v>
      </c>
      <c r="T94" s="13" t="s">
        <v>174</v>
      </c>
      <c r="U94" s="14">
        <v>40725</v>
      </c>
      <c r="V94" s="14">
        <v>40725</v>
      </c>
      <c r="W94" s="15"/>
      <c r="X94" s="13"/>
      <c r="Y94" s="15"/>
      <c r="Z94" s="13"/>
      <c r="AA94" s="15"/>
      <c r="AB94" s="13"/>
      <c r="AC94" s="15"/>
      <c r="AD94" s="13"/>
      <c r="AE94" s="15"/>
      <c r="AF94" s="13"/>
      <c r="AG94" s="15"/>
      <c r="AH94" s="13"/>
      <c r="AI94" s="15"/>
      <c r="AJ94" s="13"/>
      <c r="AK94" s="15"/>
      <c r="AL94" s="13"/>
      <c r="AM94" s="15"/>
      <c r="AN94" s="13"/>
      <c r="AO94" s="15"/>
      <c r="AP94" s="13"/>
      <c r="AQ94" s="15"/>
      <c r="AR94" s="13"/>
      <c r="AS94" s="13"/>
    </row>
    <row r="95" spans="1:45" ht="28.55" x14ac:dyDescent="0.25">
      <c r="A95" s="13" t="s">
        <v>76</v>
      </c>
      <c r="B95" s="13" t="s">
        <v>77</v>
      </c>
      <c r="C95" s="14">
        <v>45628.72152777778</v>
      </c>
      <c r="D95" s="13" t="s">
        <v>78</v>
      </c>
      <c r="E95" s="15" t="s">
        <v>79</v>
      </c>
      <c r="F95" s="13" t="s">
        <v>80</v>
      </c>
      <c r="G95" s="15" t="s">
        <v>81</v>
      </c>
      <c r="H95" s="13" t="s">
        <v>280</v>
      </c>
      <c r="I95" s="15" t="s">
        <v>281</v>
      </c>
      <c r="J95" s="15" t="s">
        <v>83</v>
      </c>
      <c r="K95" s="15" t="s">
        <v>84</v>
      </c>
      <c r="L95" s="13" t="s">
        <v>282</v>
      </c>
      <c r="M95" s="15" t="s">
        <v>281</v>
      </c>
      <c r="N95" s="14" t="s">
        <v>87</v>
      </c>
      <c r="O95" s="15" t="s">
        <v>258</v>
      </c>
      <c r="P95" s="15" t="s">
        <v>283</v>
      </c>
      <c r="Q95" s="15" t="s">
        <v>191</v>
      </c>
      <c r="R95" s="13" t="s">
        <v>192</v>
      </c>
      <c r="S95" s="13" t="s">
        <v>193</v>
      </c>
      <c r="T95" s="13" t="s">
        <v>174</v>
      </c>
      <c r="U95" s="14">
        <v>40725</v>
      </c>
      <c r="V95" s="14">
        <v>40725</v>
      </c>
      <c r="W95" s="15"/>
      <c r="X95" s="13"/>
      <c r="Y95" s="15"/>
      <c r="Z95" s="13"/>
      <c r="AA95" s="15"/>
      <c r="AB95" s="13"/>
      <c r="AC95" s="15"/>
      <c r="AD95" s="13"/>
      <c r="AE95" s="15"/>
      <c r="AF95" s="13"/>
      <c r="AG95" s="15"/>
      <c r="AH95" s="13"/>
      <c r="AI95" s="15"/>
      <c r="AJ95" s="13"/>
      <c r="AK95" s="15"/>
      <c r="AL95" s="13"/>
      <c r="AM95" s="15"/>
      <c r="AN95" s="13"/>
      <c r="AO95" s="15"/>
      <c r="AP95" s="13"/>
      <c r="AQ95" s="15"/>
      <c r="AR95" s="13"/>
      <c r="AS95" s="13"/>
    </row>
    <row r="96" spans="1:45" ht="28.55" x14ac:dyDescent="0.25">
      <c r="A96" s="13" t="s">
        <v>76</v>
      </c>
      <c r="B96" s="13" t="s">
        <v>77</v>
      </c>
      <c r="C96" s="14">
        <v>45628.722222222219</v>
      </c>
      <c r="D96" s="13" t="s">
        <v>78</v>
      </c>
      <c r="E96" s="15" t="s">
        <v>79</v>
      </c>
      <c r="F96" s="13" t="s">
        <v>80</v>
      </c>
      <c r="G96" s="15" t="s">
        <v>81</v>
      </c>
      <c r="H96" s="13" t="s">
        <v>280</v>
      </c>
      <c r="I96" s="15" t="s">
        <v>281</v>
      </c>
      <c r="J96" s="15" t="s">
        <v>83</v>
      </c>
      <c r="K96" s="15" t="s">
        <v>84</v>
      </c>
      <c r="L96" s="13" t="s">
        <v>282</v>
      </c>
      <c r="M96" s="15" t="s">
        <v>281</v>
      </c>
      <c r="N96" s="14" t="s">
        <v>87</v>
      </c>
      <c r="O96" s="15" t="s">
        <v>258</v>
      </c>
      <c r="P96" s="15" t="s">
        <v>283</v>
      </c>
      <c r="Q96" s="15" t="s">
        <v>194</v>
      </c>
      <c r="R96" s="13" t="s">
        <v>195</v>
      </c>
      <c r="S96" s="13" t="s">
        <v>193</v>
      </c>
      <c r="T96" s="13" t="s">
        <v>174</v>
      </c>
      <c r="U96" s="14">
        <v>40725</v>
      </c>
      <c r="V96" s="14">
        <v>40725</v>
      </c>
      <c r="W96" s="15"/>
      <c r="X96" s="13"/>
      <c r="Y96" s="15"/>
      <c r="Z96" s="13"/>
      <c r="AA96" s="15"/>
      <c r="AB96" s="13"/>
      <c r="AC96" s="15"/>
      <c r="AD96" s="13"/>
      <c r="AE96" s="15"/>
      <c r="AF96" s="13"/>
      <c r="AG96" s="15"/>
      <c r="AH96" s="13"/>
      <c r="AI96" s="15"/>
      <c r="AJ96" s="13"/>
      <c r="AK96" s="15"/>
      <c r="AL96" s="13"/>
      <c r="AM96" s="15"/>
      <c r="AN96" s="13"/>
      <c r="AO96" s="15"/>
      <c r="AP96" s="13"/>
      <c r="AQ96" s="15"/>
      <c r="AR96" s="13"/>
      <c r="AS96" s="13"/>
    </row>
    <row r="97" spans="1:45" ht="28.55" x14ac:dyDescent="0.25">
      <c r="A97" s="13" t="s">
        <v>76</v>
      </c>
      <c r="B97" s="13" t="s">
        <v>77</v>
      </c>
      <c r="C97" s="14">
        <v>45628.722222222219</v>
      </c>
      <c r="D97" s="13" t="s">
        <v>78</v>
      </c>
      <c r="E97" s="15" t="s">
        <v>79</v>
      </c>
      <c r="F97" s="13" t="s">
        <v>80</v>
      </c>
      <c r="G97" s="15" t="s">
        <v>81</v>
      </c>
      <c r="H97" s="13" t="s">
        <v>280</v>
      </c>
      <c r="I97" s="15" t="s">
        <v>281</v>
      </c>
      <c r="J97" s="15" t="s">
        <v>83</v>
      </c>
      <c r="K97" s="15" t="s">
        <v>84</v>
      </c>
      <c r="L97" s="13" t="s">
        <v>282</v>
      </c>
      <c r="M97" s="15" t="s">
        <v>281</v>
      </c>
      <c r="N97" s="14" t="s">
        <v>87</v>
      </c>
      <c r="O97" s="15" t="s">
        <v>258</v>
      </c>
      <c r="P97" s="15" t="s">
        <v>283</v>
      </c>
      <c r="Q97" s="15" t="s">
        <v>196</v>
      </c>
      <c r="R97" s="13" t="s">
        <v>197</v>
      </c>
      <c r="S97" s="13" t="s">
        <v>193</v>
      </c>
      <c r="T97" s="13" t="s">
        <v>174</v>
      </c>
      <c r="U97" s="14">
        <v>40725</v>
      </c>
      <c r="V97" s="14">
        <v>40725</v>
      </c>
      <c r="W97" s="15"/>
      <c r="X97" s="13"/>
      <c r="Y97" s="15"/>
      <c r="Z97" s="13"/>
      <c r="AA97" s="15"/>
      <c r="AB97" s="13"/>
      <c r="AC97" s="15"/>
      <c r="AD97" s="13"/>
      <c r="AE97" s="15"/>
      <c r="AF97" s="13"/>
      <c r="AG97" s="15"/>
      <c r="AH97" s="13"/>
      <c r="AI97" s="15"/>
      <c r="AJ97" s="13"/>
      <c r="AK97" s="15"/>
      <c r="AL97" s="13"/>
      <c r="AM97" s="15"/>
      <c r="AN97" s="13"/>
      <c r="AO97" s="15"/>
      <c r="AP97" s="13"/>
      <c r="AQ97" s="15"/>
      <c r="AR97" s="13"/>
      <c r="AS97" s="13"/>
    </row>
    <row r="98" spans="1:45" ht="28.55" x14ac:dyDescent="0.25">
      <c r="A98" s="13" t="s">
        <v>142</v>
      </c>
      <c r="B98" s="13" t="s">
        <v>77</v>
      </c>
      <c r="C98" s="14">
        <v>43152.5</v>
      </c>
      <c r="D98" s="13" t="s">
        <v>78</v>
      </c>
      <c r="E98" s="15" t="s">
        <v>79</v>
      </c>
      <c r="F98" s="13" t="s">
        <v>80</v>
      </c>
      <c r="G98" s="15" t="s">
        <v>81</v>
      </c>
      <c r="H98" s="13" t="s">
        <v>280</v>
      </c>
      <c r="I98" s="15" t="s">
        <v>281</v>
      </c>
      <c r="J98" s="15" t="s">
        <v>83</v>
      </c>
      <c r="K98" s="15" t="s">
        <v>84</v>
      </c>
      <c r="L98" s="13" t="s">
        <v>282</v>
      </c>
      <c r="M98" s="15" t="s">
        <v>281</v>
      </c>
      <c r="N98" s="14" t="s">
        <v>87</v>
      </c>
      <c r="O98" s="15" t="s">
        <v>258</v>
      </c>
      <c r="P98" s="15" t="s">
        <v>283</v>
      </c>
      <c r="Q98" s="15" t="s">
        <v>198</v>
      </c>
      <c r="R98" s="13" t="s">
        <v>199</v>
      </c>
      <c r="S98" s="13" t="s">
        <v>193</v>
      </c>
      <c r="T98" s="13" t="s">
        <v>93</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3"/>
    </row>
    <row r="99" spans="1:45" ht="28.55" x14ac:dyDescent="0.25">
      <c r="A99" s="13" t="s">
        <v>142</v>
      </c>
      <c r="B99" s="13" t="s">
        <v>77</v>
      </c>
      <c r="C99" s="14">
        <v>43152.5</v>
      </c>
      <c r="D99" s="13" t="s">
        <v>78</v>
      </c>
      <c r="E99" s="15" t="s">
        <v>79</v>
      </c>
      <c r="F99" s="13" t="s">
        <v>80</v>
      </c>
      <c r="G99" s="15" t="s">
        <v>81</v>
      </c>
      <c r="H99" s="13" t="s">
        <v>280</v>
      </c>
      <c r="I99" s="15" t="s">
        <v>281</v>
      </c>
      <c r="J99" s="15" t="s">
        <v>83</v>
      </c>
      <c r="K99" s="15" t="s">
        <v>84</v>
      </c>
      <c r="L99" s="13" t="s">
        <v>282</v>
      </c>
      <c r="M99" s="15" t="s">
        <v>281</v>
      </c>
      <c r="N99" s="14" t="s">
        <v>87</v>
      </c>
      <c r="O99" s="15" t="s">
        <v>258</v>
      </c>
      <c r="P99" s="15" t="s">
        <v>283</v>
      </c>
      <c r="Q99" s="15" t="s">
        <v>226</v>
      </c>
      <c r="R99" s="13" t="s">
        <v>227</v>
      </c>
      <c r="S99" s="13" t="s">
        <v>193</v>
      </c>
      <c r="T99" s="13" t="s">
        <v>93</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3"/>
    </row>
    <row r="100" spans="1:45" ht="28.55" x14ac:dyDescent="0.25">
      <c r="A100" s="13" t="s">
        <v>142</v>
      </c>
      <c r="B100" s="13" t="s">
        <v>77</v>
      </c>
      <c r="C100" s="14">
        <v>43152.5</v>
      </c>
      <c r="D100" s="13" t="s">
        <v>78</v>
      </c>
      <c r="E100" s="15" t="s">
        <v>79</v>
      </c>
      <c r="F100" s="13" t="s">
        <v>80</v>
      </c>
      <c r="G100" s="15" t="s">
        <v>81</v>
      </c>
      <c r="H100" s="13" t="s">
        <v>280</v>
      </c>
      <c r="I100" s="15" t="s">
        <v>281</v>
      </c>
      <c r="J100" s="15" t="s">
        <v>83</v>
      </c>
      <c r="K100" s="15" t="s">
        <v>84</v>
      </c>
      <c r="L100" s="13" t="s">
        <v>282</v>
      </c>
      <c r="M100" s="15" t="s">
        <v>281</v>
      </c>
      <c r="N100" s="14" t="s">
        <v>87</v>
      </c>
      <c r="O100" s="15" t="s">
        <v>258</v>
      </c>
      <c r="P100" s="15" t="s">
        <v>283</v>
      </c>
      <c r="Q100" s="15" t="s">
        <v>230</v>
      </c>
      <c r="R100" s="13" t="s">
        <v>231</v>
      </c>
      <c r="S100" s="13" t="s">
        <v>193</v>
      </c>
      <c r="T100" s="13" t="s">
        <v>93</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3"/>
    </row>
    <row r="101" spans="1:45" ht="28.55" x14ac:dyDescent="0.25">
      <c r="A101" s="13" t="s">
        <v>232</v>
      </c>
      <c r="B101" s="13" t="s">
        <v>77</v>
      </c>
      <c r="C101" s="14">
        <v>45994.434027777781</v>
      </c>
      <c r="D101" s="13" t="s">
        <v>78</v>
      </c>
      <c r="E101" s="15" t="s">
        <v>79</v>
      </c>
      <c r="F101" s="13" t="s">
        <v>80</v>
      </c>
      <c r="G101" s="15" t="s">
        <v>81</v>
      </c>
      <c r="H101" s="13" t="s">
        <v>280</v>
      </c>
      <c r="I101" s="15" t="s">
        <v>281</v>
      </c>
      <c r="J101" s="15" t="s">
        <v>83</v>
      </c>
      <c r="K101" s="15" t="s">
        <v>84</v>
      </c>
      <c r="L101" s="13" t="s">
        <v>282</v>
      </c>
      <c r="M101" s="15" t="s">
        <v>281</v>
      </c>
      <c r="N101" s="14" t="s">
        <v>87</v>
      </c>
      <c r="O101" s="15" t="s">
        <v>258</v>
      </c>
      <c r="P101" s="15" t="s">
        <v>283</v>
      </c>
      <c r="Q101" s="15" t="s">
        <v>233</v>
      </c>
      <c r="R101" s="13" t="s">
        <v>234</v>
      </c>
      <c r="S101" s="13" t="s">
        <v>193</v>
      </c>
      <c r="T101" s="13" t="s">
        <v>93</v>
      </c>
      <c r="U101" s="14">
        <v>40725</v>
      </c>
      <c r="V101" s="14">
        <v>45900</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t="s">
        <v>235</v>
      </c>
      <c r="AS101" s="13"/>
    </row>
    <row r="102" spans="1:45" ht="28.55" x14ac:dyDescent="0.25">
      <c r="A102" s="13" t="s">
        <v>76</v>
      </c>
      <c r="B102" s="13" t="s">
        <v>77</v>
      </c>
      <c r="C102" s="14">
        <v>45628.722222222219</v>
      </c>
      <c r="D102" s="13" t="s">
        <v>78</v>
      </c>
      <c r="E102" s="15" t="s">
        <v>79</v>
      </c>
      <c r="F102" s="13" t="s">
        <v>80</v>
      </c>
      <c r="G102" s="15" t="s">
        <v>81</v>
      </c>
      <c r="H102" s="13" t="s">
        <v>280</v>
      </c>
      <c r="I102" s="15" t="s">
        <v>281</v>
      </c>
      <c r="J102" s="15" t="s">
        <v>83</v>
      </c>
      <c r="K102" s="15" t="s">
        <v>84</v>
      </c>
      <c r="L102" s="13" t="s">
        <v>282</v>
      </c>
      <c r="M102" s="15" t="s">
        <v>281</v>
      </c>
      <c r="N102" s="14" t="s">
        <v>87</v>
      </c>
      <c r="O102" s="15" t="s">
        <v>258</v>
      </c>
      <c r="P102" s="15" t="s">
        <v>283</v>
      </c>
      <c r="Q102" s="15" t="s">
        <v>236</v>
      </c>
      <c r="R102" s="13" t="s">
        <v>237</v>
      </c>
      <c r="S102" s="13" t="s">
        <v>193</v>
      </c>
      <c r="T102" s="13" t="s">
        <v>174</v>
      </c>
      <c r="U102" s="14">
        <v>40725</v>
      </c>
      <c r="V102" s="14">
        <v>40725</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3"/>
    </row>
    <row r="103" spans="1:45" ht="28.55" x14ac:dyDescent="0.25">
      <c r="A103" s="13" t="s">
        <v>76</v>
      </c>
      <c r="B103" s="13" t="s">
        <v>77</v>
      </c>
      <c r="C103" s="14">
        <v>45628.722916666666</v>
      </c>
      <c r="D103" s="13" t="s">
        <v>78</v>
      </c>
      <c r="E103" s="15" t="s">
        <v>79</v>
      </c>
      <c r="F103" s="13" t="s">
        <v>80</v>
      </c>
      <c r="G103" s="15" t="s">
        <v>81</v>
      </c>
      <c r="H103" s="13" t="s">
        <v>280</v>
      </c>
      <c r="I103" s="15" t="s">
        <v>281</v>
      </c>
      <c r="J103" s="15" t="s">
        <v>83</v>
      </c>
      <c r="K103" s="15" t="s">
        <v>84</v>
      </c>
      <c r="L103" s="13" t="s">
        <v>282</v>
      </c>
      <c r="M103" s="15" t="s">
        <v>281</v>
      </c>
      <c r="N103" s="14" t="s">
        <v>87</v>
      </c>
      <c r="O103" s="15" t="s">
        <v>258</v>
      </c>
      <c r="P103" s="15" t="s">
        <v>283</v>
      </c>
      <c r="Q103" s="15" t="s">
        <v>238</v>
      </c>
      <c r="R103" s="13" t="s">
        <v>239</v>
      </c>
      <c r="S103" s="13" t="s">
        <v>193</v>
      </c>
      <c r="T103" s="13" t="s">
        <v>174</v>
      </c>
      <c r="U103" s="14">
        <v>40725</v>
      </c>
      <c r="V103" s="14">
        <v>40725</v>
      </c>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3"/>
    </row>
    <row r="104" spans="1:45" x14ac:dyDescent="0.25">
      <c r="C104" s="16"/>
      <c r="N104" s="16"/>
      <c r="U104" s="16"/>
      <c r="V104" s="16"/>
    </row>
    <row r="105" spans="1:45" x14ac:dyDescent="0.25">
      <c r="C105" s="16"/>
      <c r="N105" s="16"/>
      <c r="U105" s="16"/>
      <c r="V105" s="16"/>
    </row>
    <row r="106" spans="1:45" x14ac:dyDescent="0.25">
      <c r="C106" s="16"/>
      <c r="N106" s="16"/>
      <c r="U106" s="16"/>
      <c r="V106" s="16"/>
    </row>
    <row r="107" spans="1:45" x14ac:dyDescent="0.25">
      <c r="C107" s="16"/>
      <c r="N107" s="16"/>
      <c r="U107" s="16"/>
      <c r="V107" s="16"/>
    </row>
    <row r="108" spans="1:45" x14ac:dyDescent="0.25">
      <c r="C108" s="16"/>
      <c r="N108" s="16"/>
      <c r="U108" s="16"/>
      <c r="V108" s="16"/>
    </row>
    <row r="109" spans="1:45" x14ac:dyDescent="0.25">
      <c r="C109" s="16"/>
      <c r="N109" s="16"/>
      <c r="U109" s="16"/>
      <c r="V109" s="16"/>
    </row>
    <row r="110" spans="1:45" x14ac:dyDescent="0.25">
      <c r="C110" s="16"/>
      <c r="N110" s="16"/>
      <c r="U110" s="16"/>
      <c r="V110" s="16"/>
    </row>
    <row r="111" spans="1:45" x14ac:dyDescent="0.25">
      <c r="C111" s="16"/>
      <c r="N111" s="16"/>
      <c r="U111" s="16"/>
      <c r="V111" s="16"/>
    </row>
    <row r="112" spans="1:45" x14ac:dyDescent="0.25">
      <c r="C112" s="16"/>
      <c r="N112" s="16"/>
      <c r="U112" s="16"/>
      <c r="V112" s="16"/>
    </row>
    <row r="113" spans="3:22" x14ac:dyDescent="0.25">
      <c r="C113" s="16"/>
      <c r="N113" s="16"/>
      <c r="U113" s="16"/>
      <c r="V113" s="16"/>
    </row>
    <row r="114" spans="3:22" x14ac:dyDescent="0.25">
      <c r="C114" s="16"/>
      <c r="N114" s="16"/>
      <c r="U114" s="16"/>
      <c r="V114" s="16"/>
    </row>
    <row r="115" spans="3:22" x14ac:dyDescent="0.25">
      <c r="C115" s="16"/>
      <c r="N115" s="16"/>
      <c r="U115" s="16"/>
      <c r="V115" s="16"/>
    </row>
    <row r="116" spans="3:22" x14ac:dyDescent="0.25">
      <c r="C116" s="16"/>
      <c r="N116" s="16"/>
      <c r="U116" s="16"/>
      <c r="V116" s="16"/>
    </row>
    <row r="117" spans="3:22" x14ac:dyDescent="0.25">
      <c r="C117" s="16"/>
      <c r="N117" s="16"/>
      <c r="U117" s="16"/>
      <c r="V117" s="16"/>
    </row>
    <row r="118" spans="3:22" x14ac:dyDescent="0.25">
      <c r="C118" s="16"/>
      <c r="N118" s="16"/>
      <c r="U118" s="16"/>
      <c r="V118" s="16"/>
    </row>
    <row r="119" spans="3:22" x14ac:dyDescent="0.25">
      <c r="C119" s="16"/>
      <c r="N119" s="16"/>
      <c r="U119" s="16"/>
      <c r="V119" s="16"/>
    </row>
    <row r="120" spans="3:22" x14ac:dyDescent="0.25">
      <c r="C120" s="16"/>
      <c r="N120" s="16"/>
      <c r="U120" s="16"/>
      <c r="V120" s="16"/>
    </row>
    <row r="121" spans="3:22" x14ac:dyDescent="0.25">
      <c r="C121" s="16"/>
      <c r="N121" s="16"/>
      <c r="U121" s="16"/>
      <c r="V121" s="16"/>
    </row>
    <row r="122" spans="3:22" x14ac:dyDescent="0.25">
      <c r="C122" s="16"/>
      <c r="N122" s="16"/>
      <c r="U122" s="16"/>
      <c r="V122" s="16"/>
    </row>
    <row r="123" spans="3:22" x14ac:dyDescent="0.25">
      <c r="C123" s="16"/>
      <c r="N123" s="16"/>
      <c r="U123" s="16"/>
      <c r="V123" s="16"/>
    </row>
    <row r="124" spans="3:22" x14ac:dyDescent="0.25">
      <c r="C124" s="16"/>
      <c r="N124" s="16"/>
      <c r="U124" s="16"/>
      <c r="V124" s="16"/>
    </row>
    <row r="125" spans="3:22" x14ac:dyDescent="0.25">
      <c r="C125" s="16"/>
      <c r="N125" s="16"/>
      <c r="U125" s="16"/>
      <c r="V125" s="16"/>
    </row>
    <row r="126" spans="3:22" x14ac:dyDescent="0.25">
      <c r="C126" s="16"/>
      <c r="N126" s="16"/>
      <c r="U126" s="16"/>
      <c r="V126" s="16"/>
    </row>
    <row r="127" spans="3:22" x14ac:dyDescent="0.25">
      <c r="C127" s="16"/>
      <c r="N127" s="16"/>
      <c r="U127" s="16"/>
      <c r="V127" s="16"/>
    </row>
    <row r="128" spans="3:22" x14ac:dyDescent="0.25">
      <c r="C128" s="16"/>
      <c r="N128" s="16"/>
      <c r="U128" s="16"/>
      <c r="V128" s="16"/>
    </row>
    <row r="129" spans="3:22" x14ac:dyDescent="0.25">
      <c r="C129" s="16"/>
      <c r="N129" s="16"/>
      <c r="U129" s="16"/>
      <c r="V129" s="16"/>
    </row>
    <row r="130" spans="3:22" x14ac:dyDescent="0.25">
      <c r="C130" s="16"/>
      <c r="N130" s="16"/>
      <c r="U130" s="16"/>
      <c r="V130" s="16"/>
    </row>
    <row r="131" spans="3:22" x14ac:dyDescent="0.25">
      <c r="C131" s="16"/>
      <c r="N131" s="16"/>
      <c r="U131" s="16"/>
      <c r="V131" s="16"/>
    </row>
    <row r="132" spans="3:22" x14ac:dyDescent="0.25">
      <c r="C132" s="16"/>
      <c r="N132" s="16"/>
      <c r="U132" s="16"/>
      <c r="V132" s="16"/>
    </row>
    <row r="133" spans="3:22" x14ac:dyDescent="0.25">
      <c r="C133" s="16"/>
      <c r="N133" s="16"/>
      <c r="U133" s="16"/>
      <c r="V133" s="16"/>
    </row>
    <row r="134" spans="3:22" x14ac:dyDescent="0.25">
      <c r="C134" s="16"/>
      <c r="N134" s="16"/>
      <c r="U134" s="16"/>
      <c r="V134" s="16"/>
    </row>
    <row r="135" spans="3:22" x14ac:dyDescent="0.25">
      <c r="C135" s="16"/>
      <c r="N135" s="16"/>
      <c r="U135" s="16"/>
      <c r="V135" s="16"/>
    </row>
    <row r="136" spans="3:22" x14ac:dyDescent="0.25">
      <c r="C136" s="16"/>
      <c r="N136" s="16"/>
      <c r="U136" s="16"/>
      <c r="V136" s="16"/>
    </row>
    <row r="137" spans="3:22" x14ac:dyDescent="0.25">
      <c r="C137" s="16"/>
      <c r="N137" s="16"/>
      <c r="U137" s="16"/>
      <c r="V137" s="16"/>
    </row>
    <row r="138" spans="3:22" x14ac:dyDescent="0.25">
      <c r="C138" s="16"/>
      <c r="N138" s="16"/>
      <c r="U138" s="16"/>
      <c r="V138" s="16"/>
    </row>
    <row r="139" spans="3:22" x14ac:dyDescent="0.25">
      <c r="C139" s="16"/>
      <c r="N139" s="16"/>
      <c r="U139" s="16"/>
      <c r="V139" s="16"/>
    </row>
    <row r="140" spans="3:22" x14ac:dyDescent="0.25">
      <c r="C140" s="16"/>
      <c r="N140" s="16"/>
      <c r="U140" s="16"/>
      <c r="V140" s="16"/>
    </row>
    <row r="141" spans="3:22" x14ac:dyDescent="0.25">
      <c r="C141" s="16"/>
      <c r="N141" s="16"/>
      <c r="U141" s="16"/>
      <c r="V141" s="16"/>
    </row>
    <row r="142" spans="3:22" x14ac:dyDescent="0.25">
      <c r="C142" s="16"/>
      <c r="N142" s="16"/>
      <c r="U142" s="16"/>
      <c r="V142" s="16"/>
    </row>
    <row r="143" spans="3:22" x14ac:dyDescent="0.25">
      <c r="C143" s="16"/>
      <c r="N143" s="16"/>
      <c r="U143" s="16"/>
      <c r="V143" s="16"/>
    </row>
    <row r="144" spans="3:22" x14ac:dyDescent="0.25">
      <c r="C144" s="16"/>
      <c r="N144" s="16"/>
      <c r="U144" s="16"/>
      <c r="V144" s="16"/>
    </row>
    <row r="145" spans="3:22" x14ac:dyDescent="0.25">
      <c r="C145" s="16"/>
      <c r="N145" s="16"/>
      <c r="U145" s="16"/>
      <c r="V145" s="16"/>
    </row>
    <row r="146" spans="3:22" x14ac:dyDescent="0.25">
      <c r="C146" s="16"/>
      <c r="N146" s="16"/>
      <c r="U146" s="16"/>
      <c r="V146" s="16"/>
    </row>
    <row r="147" spans="3:22" x14ac:dyDescent="0.25">
      <c r="C147" s="16"/>
      <c r="N147" s="16"/>
      <c r="U147" s="16"/>
      <c r="V147" s="16"/>
    </row>
    <row r="148" spans="3:22" x14ac:dyDescent="0.25">
      <c r="C148" s="16"/>
      <c r="N148" s="16"/>
      <c r="U148" s="16"/>
      <c r="V148" s="16"/>
    </row>
    <row r="149" spans="3:22" x14ac:dyDescent="0.25">
      <c r="C149" s="16"/>
      <c r="N149" s="16"/>
      <c r="U149" s="16"/>
      <c r="V149" s="16"/>
    </row>
    <row r="150" spans="3:22" x14ac:dyDescent="0.25">
      <c r="C150" s="16"/>
      <c r="N150" s="16"/>
      <c r="U150" s="16"/>
      <c r="V150" s="16"/>
    </row>
    <row r="151" spans="3:22" x14ac:dyDescent="0.25">
      <c r="C151" s="16"/>
      <c r="N151" s="16"/>
      <c r="U151" s="16"/>
      <c r="V151" s="16"/>
    </row>
    <row r="152" spans="3:22" x14ac:dyDescent="0.25">
      <c r="C152" s="16"/>
      <c r="N152" s="16"/>
      <c r="U152" s="16"/>
      <c r="V152" s="16"/>
    </row>
    <row r="153" spans="3:22" x14ac:dyDescent="0.25">
      <c r="C153" s="16"/>
      <c r="N153" s="16"/>
      <c r="U153" s="16"/>
      <c r="V153" s="16"/>
    </row>
    <row r="154" spans="3:22" x14ac:dyDescent="0.25">
      <c r="C154" s="16"/>
      <c r="N154" s="16"/>
      <c r="U154" s="16"/>
      <c r="V154" s="16"/>
    </row>
    <row r="155" spans="3:22" x14ac:dyDescent="0.25">
      <c r="C155" s="16"/>
      <c r="N155" s="16"/>
      <c r="U155" s="16"/>
      <c r="V155" s="16"/>
    </row>
    <row r="156" spans="3:22" x14ac:dyDescent="0.25">
      <c r="C156" s="16"/>
      <c r="N156" s="16"/>
      <c r="U156" s="16"/>
      <c r="V156" s="16"/>
    </row>
    <row r="157" spans="3:22" x14ac:dyDescent="0.25">
      <c r="C157" s="16"/>
      <c r="N157" s="16"/>
      <c r="U157" s="16"/>
      <c r="V157" s="16"/>
    </row>
    <row r="158" spans="3:22" x14ac:dyDescent="0.25">
      <c r="C158" s="16"/>
      <c r="N158" s="16"/>
      <c r="U158" s="16"/>
      <c r="V158" s="16"/>
    </row>
    <row r="159" spans="3:22" x14ac:dyDescent="0.25">
      <c r="C159" s="16"/>
      <c r="N159" s="16"/>
      <c r="U159" s="16"/>
      <c r="V159" s="16"/>
    </row>
    <row r="160" spans="3:22" x14ac:dyDescent="0.25">
      <c r="C160" s="16"/>
      <c r="N160" s="16"/>
      <c r="U160" s="16"/>
      <c r="V160" s="16"/>
    </row>
    <row r="161" spans="3:22" x14ac:dyDescent="0.25">
      <c r="C161" s="16"/>
      <c r="N161" s="16"/>
      <c r="U161" s="16"/>
      <c r="V161" s="16"/>
    </row>
    <row r="162" spans="3:22" x14ac:dyDescent="0.25">
      <c r="C162" s="16"/>
      <c r="N162" s="16"/>
      <c r="U162" s="16"/>
      <c r="V162" s="16"/>
    </row>
    <row r="163" spans="3:22" x14ac:dyDescent="0.25">
      <c r="C163" s="16"/>
      <c r="N163" s="16"/>
      <c r="U163" s="16"/>
      <c r="V163" s="16"/>
    </row>
    <row r="164" spans="3:22" x14ac:dyDescent="0.25">
      <c r="C164" s="16"/>
      <c r="N164" s="16"/>
      <c r="U164" s="16"/>
      <c r="V164" s="16"/>
    </row>
    <row r="165" spans="3:22" x14ac:dyDescent="0.25">
      <c r="C165" s="16"/>
      <c r="N165" s="16"/>
      <c r="U165" s="16"/>
      <c r="V165" s="16"/>
    </row>
    <row r="166" spans="3:22" x14ac:dyDescent="0.25">
      <c r="C166" s="16"/>
      <c r="N166" s="16"/>
      <c r="U166" s="16"/>
      <c r="V166" s="16"/>
    </row>
    <row r="167" spans="3:22" x14ac:dyDescent="0.25">
      <c r="C167" s="16"/>
      <c r="N167" s="16"/>
      <c r="U167" s="16"/>
      <c r="V167" s="16"/>
    </row>
    <row r="168" spans="3:22" x14ac:dyDescent="0.25">
      <c r="C168" s="16"/>
      <c r="N168" s="16"/>
      <c r="U168" s="16"/>
      <c r="V168" s="16"/>
    </row>
    <row r="169" spans="3:22" x14ac:dyDescent="0.25">
      <c r="C169" s="16"/>
      <c r="N169" s="16"/>
      <c r="U169" s="16"/>
      <c r="V169" s="16"/>
    </row>
    <row r="170" spans="3:22" x14ac:dyDescent="0.25">
      <c r="C170" s="16"/>
      <c r="N170" s="16"/>
      <c r="U170" s="16"/>
      <c r="V170" s="16"/>
    </row>
    <row r="171" spans="3:22" x14ac:dyDescent="0.25">
      <c r="C171" s="16"/>
      <c r="N171" s="16"/>
      <c r="U171" s="16"/>
      <c r="V171" s="16"/>
    </row>
    <row r="172" spans="3:22" x14ac:dyDescent="0.25">
      <c r="C172" s="16"/>
      <c r="N172" s="16"/>
      <c r="U172" s="16"/>
      <c r="V172" s="16"/>
    </row>
    <row r="173" spans="3:22" x14ac:dyDescent="0.25">
      <c r="C173" s="16"/>
      <c r="N173" s="16"/>
      <c r="U173" s="16"/>
      <c r="V173" s="16"/>
    </row>
    <row r="174" spans="3:22" x14ac:dyDescent="0.25">
      <c r="C174" s="16"/>
      <c r="N174" s="16"/>
      <c r="U174" s="16"/>
      <c r="V174" s="16"/>
    </row>
    <row r="175" spans="3:22" x14ac:dyDescent="0.25">
      <c r="C175" s="16"/>
      <c r="N175" s="16"/>
      <c r="U175" s="16"/>
      <c r="V175" s="16"/>
    </row>
    <row r="176" spans="3:22" x14ac:dyDescent="0.25">
      <c r="C176" s="16"/>
      <c r="N176" s="16"/>
      <c r="U176" s="16"/>
      <c r="V176" s="16"/>
    </row>
    <row r="177" spans="3:22" x14ac:dyDescent="0.25">
      <c r="C177" s="16"/>
      <c r="N177" s="16"/>
      <c r="U177" s="16"/>
      <c r="V177" s="16"/>
    </row>
    <row r="178" spans="3:22" x14ac:dyDescent="0.25">
      <c r="C178" s="16"/>
      <c r="N178" s="16"/>
      <c r="U178" s="16"/>
      <c r="V178" s="16"/>
    </row>
    <row r="179" spans="3:22" x14ac:dyDescent="0.25">
      <c r="C179" s="16"/>
      <c r="N179" s="16"/>
      <c r="U179" s="16"/>
      <c r="V179" s="16"/>
    </row>
    <row r="180" spans="3:22" x14ac:dyDescent="0.25">
      <c r="C180" s="16"/>
      <c r="N180" s="16"/>
      <c r="U180" s="16"/>
      <c r="V180" s="16"/>
    </row>
    <row r="181" spans="3:22" x14ac:dyDescent="0.25">
      <c r="C181" s="16"/>
      <c r="N181" s="16"/>
      <c r="U181" s="16"/>
      <c r="V181" s="16"/>
    </row>
    <row r="182" spans="3:22" x14ac:dyDescent="0.25">
      <c r="C182" s="16"/>
      <c r="N182" s="16"/>
      <c r="U182" s="16"/>
      <c r="V182" s="16"/>
    </row>
    <row r="183" spans="3:22" x14ac:dyDescent="0.25">
      <c r="C183" s="16"/>
      <c r="N183" s="16"/>
      <c r="U183" s="16"/>
      <c r="V183" s="16"/>
    </row>
    <row r="184" spans="3:22" x14ac:dyDescent="0.25">
      <c r="C184" s="16"/>
      <c r="N184" s="16"/>
      <c r="U184" s="16"/>
      <c r="V184" s="16"/>
    </row>
    <row r="185" spans="3:22" x14ac:dyDescent="0.25">
      <c r="C185" s="16"/>
      <c r="N185" s="16"/>
      <c r="U185" s="16"/>
      <c r="V185" s="16"/>
    </row>
    <row r="186" spans="3:22" x14ac:dyDescent="0.25">
      <c r="C186" s="16"/>
      <c r="N186" s="16"/>
      <c r="U186" s="16"/>
      <c r="V186" s="16"/>
    </row>
    <row r="187" spans="3:22" x14ac:dyDescent="0.25">
      <c r="C187" s="16"/>
      <c r="N187" s="16"/>
      <c r="U187" s="16"/>
      <c r="V187" s="16"/>
    </row>
    <row r="188" spans="3:22" x14ac:dyDescent="0.25">
      <c r="C188" s="16"/>
      <c r="N188" s="16"/>
      <c r="U188" s="16"/>
      <c r="V188" s="16"/>
    </row>
    <row r="189" spans="3:22" x14ac:dyDescent="0.25">
      <c r="C189" s="16"/>
      <c r="N189" s="16"/>
      <c r="U189" s="16"/>
      <c r="V189" s="16"/>
    </row>
    <row r="190" spans="3:22" x14ac:dyDescent="0.25">
      <c r="C190" s="16"/>
      <c r="N190" s="16"/>
      <c r="U190" s="16"/>
      <c r="V190" s="16"/>
    </row>
    <row r="191" spans="3:22" x14ac:dyDescent="0.25">
      <c r="C191" s="16"/>
      <c r="N191" s="16"/>
      <c r="U191" s="16"/>
      <c r="V191" s="16"/>
    </row>
    <row r="192" spans="3:22" x14ac:dyDescent="0.25">
      <c r="C192" s="16"/>
      <c r="N192" s="16"/>
      <c r="U192" s="16"/>
      <c r="V192" s="16"/>
    </row>
    <row r="193" spans="3:22" x14ac:dyDescent="0.25">
      <c r="C193" s="16"/>
      <c r="N193" s="16"/>
      <c r="U193" s="16"/>
      <c r="V193" s="16"/>
    </row>
    <row r="194" spans="3:22" x14ac:dyDescent="0.25">
      <c r="C194" s="16"/>
      <c r="N194" s="16"/>
      <c r="U194" s="16"/>
      <c r="V194" s="16"/>
    </row>
    <row r="195" spans="3:22" x14ac:dyDescent="0.25">
      <c r="C195" s="16"/>
      <c r="N195" s="16"/>
      <c r="U195" s="16"/>
      <c r="V195" s="16"/>
    </row>
    <row r="196" spans="3:22" x14ac:dyDescent="0.25">
      <c r="C196" s="16"/>
      <c r="N196" s="16"/>
      <c r="U196" s="16"/>
      <c r="V196" s="16"/>
    </row>
    <row r="197" spans="3:22" x14ac:dyDescent="0.25">
      <c r="C197" s="16"/>
      <c r="N197" s="16"/>
      <c r="U197" s="16"/>
      <c r="V197" s="16"/>
    </row>
    <row r="198" spans="3:22" x14ac:dyDescent="0.25">
      <c r="C198" s="16"/>
      <c r="N198" s="16"/>
      <c r="U198" s="16"/>
      <c r="V198" s="16"/>
    </row>
    <row r="199" spans="3:22" x14ac:dyDescent="0.25">
      <c r="C199" s="16"/>
      <c r="N199" s="16"/>
      <c r="U199" s="16"/>
      <c r="V199" s="16"/>
    </row>
    <row r="200" spans="3:22" x14ac:dyDescent="0.25">
      <c r="C200" s="16"/>
      <c r="N200" s="16"/>
      <c r="U200" s="16"/>
      <c r="V200" s="16"/>
    </row>
    <row r="201" spans="3:22" x14ac:dyDescent="0.25">
      <c r="C201" s="16"/>
      <c r="N201" s="16"/>
      <c r="U201" s="16"/>
      <c r="V201" s="16"/>
    </row>
    <row r="202" spans="3:22" x14ac:dyDescent="0.25">
      <c r="C202" s="16"/>
      <c r="N202" s="16"/>
      <c r="U202" s="16"/>
      <c r="V202" s="16"/>
    </row>
    <row r="203" spans="3:22" x14ac:dyDescent="0.25">
      <c r="C203" s="16"/>
      <c r="N203" s="16"/>
      <c r="U203" s="16"/>
      <c r="V203" s="16"/>
    </row>
    <row r="204" spans="3:22" x14ac:dyDescent="0.25">
      <c r="C204" s="16"/>
      <c r="N204" s="16"/>
      <c r="U204" s="16"/>
      <c r="V204" s="16"/>
    </row>
    <row r="205" spans="3:22" x14ac:dyDescent="0.25">
      <c r="C205" s="16"/>
      <c r="N205" s="16"/>
      <c r="U205" s="16"/>
      <c r="V205" s="16"/>
    </row>
    <row r="206" spans="3:22" x14ac:dyDescent="0.25">
      <c r="C206" s="16"/>
      <c r="N206" s="16"/>
      <c r="U206" s="16"/>
      <c r="V206" s="16"/>
    </row>
    <row r="207" spans="3:22" x14ac:dyDescent="0.25">
      <c r="C207" s="16"/>
      <c r="N207" s="16"/>
      <c r="U207" s="16"/>
      <c r="V207" s="16"/>
    </row>
    <row r="208" spans="3:22" x14ac:dyDescent="0.25">
      <c r="C208" s="16"/>
      <c r="N208" s="16"/>
      <c r="U208" s="16"/>
      <c r="V208" s="16"/>
    </row>
    <row r="209" spans="3:22" x14ac:dyDescent="0.25">
      <c r="C209" s="16"/>
      <c r="N209" s="16"/>
      <c r="U209" s="16"/>
      <c r="V209" s="16"/>
    </row>
    <row r="210" spans="3:22" x14ac:dyDescent="0.25">
      <c r="C210" s="16"/>
      <c r="N210" s="16"/>
      <c r="U210" s="16"/>
      <c r="V210" s="16"/>
    </row>
    <row r="211" spans="3:22" x14ac:dyDescent="0.25">
      <c r="C211" s="16"/>
      <c r="N211" s="16"/>
      <c r="U211" s="16"/>
      <c r="V211" s="16"/>
    </row>
    <row r="212" spans="3:22" x14ac:dyDescent="0.25">
      <c r="C212" s="16"/>
      <c r="N212" s="16"/>
      <c r="U212" s="16"/>
      <c r="V212" s="16"/>
    </row>
    <row r="213" spans="3:22" x14ac:dyDescent="0.25">
      <c r="C213" s="16"/>
      <c r="N213" s="16"/>
      <c r="U213" s="16"/>
      <c r="V213" s="16"/>
    </row>
    <row r="214" spans="3:22" x14ac:dyDescent="0.25">
      <c r="C214" s="16"/>
      <c r="N214" s="16"/>
      <c r="U214" s="16"/>
      <c r="V214" s="16"/>
    </row>
    <row r="215" spans="3:22" x14ac:dyDescent="0.25">
      <c r="C215" s="16"/>
      <c r="N215" s="16"/>
      <c r="U215" s="16"/>
      <c r="V215" s="16"/>
    </row>
    <row r="216" spans="3:22" x14ac:dyDescent="0.25">
      <c r="C216" s="16"/>
      <c r="N216" s="16"/>
      <c r="U216" s="16"/>
      <c r="V216" s="16"/>
    </row>
    <row r="217" spans="3:22" x14ac:dyDescent="0.25">
      <c r="C217" s="16"/>
      <c r="N217" s="16"/>
      <c r="U217" s="16"/>
      <c r="V217" s="16"/>
    </row>
    <row r="218" spans="3:22" x14ac:dyDescent="0.25">
      <c r="C218" s="16"/>
      <c r="N218" s="16"/>
      <c r="U218" s="16"/>
      <c r="V218" s="16"/>
    </row>
    <row r="219" spans="3:22" x14ac:dyDescent="0.25">
      <c r="C219" s="16"/>
      <c r="N219" s="16"/>
      <c r="U219" s="16"/>
      <c r="V219" s="16"/>
    </row>
    <row r="220" spans="3:22" x14ac:dyDescent="0.25">
      <c r="C220" s="16"/>
      <c r="N220" s="16"/>
      <c r="U220" s="16"/>
      <c r="V220" s="16"/>
    </row>
    <row r="221" spans="3:22" x14ac:dyDescent="0.25">
      <c r="C221" s="16"/>
      <c r="N221" s="16"/>
      <c r="U221" s="16"/>
      <c r="V221" s="16"/>
    </row>
    <row r="222" spans="3:22" x14ac:dyDescent="0.25">
      <c r="C222" s="16"/>
      <c r="N222" s="16"/>
      <c r="U222" s="16"/>
      <c r="V222" s="16"/>
    </row>
    <row r="223" spans="3:22" x14ac:dyDescent="0.25">
      <c r="C223" s="16"/>
      <c r="N223" s="16"/>
      <c r="U223" s="16"/>
      <c r="V223" s="16"/>
    </row>
    <row r="224" spans="3:22" x14ac:dyDescent="0.25">
      <c r="C224" s="16"/>
      <c r="N224" s="16"/>
      <c r="U224" s="16"/>
      <c r="V224" s="16"/>
    </row>
    <row r="225" spans="3:22" x14ac:dyDescent="0.25">
      <c r="C225" s="16"/>
      <c r="N225" s="16"/>
      <c r="U225" s="16"/>
      <c r="V225" s="16"/>
    </row>
    <row r="226" spans="3:22" x14ac:dyDescent="0.25">
      <c r="C226" s="16"/>
      <c r="N226" s="16"/>
      <c r="U226" s="16"/>
      <c r="V226" s="16"/>
    </row>
    <row r="227" spans="3:22" x14ac:dyDescent="0.25">
      <c r="C227" s="16"/>
      <c r="N227" s="16"/>
      <c r="U227" s="16"/>
      <c r="V227" s="16"/>
    </row>
    <row r="228" spans="3:22" x14ac:dyDescent="0.25">
      <c r="C228" s="16"/>
      <c r="N228" s="16"/>
      <c r="U228" s="16"/>
      <c r="V228" s="16"/>
    </row>
    <row r="229" spans="3:22" x14ac:dyDescent="0.25">
      <c r="C229" s="16"/>
      <c r="N229" s="16"/>
      <c r="U229" s="16"/>
      <c r="V229" s="16"/>
    </row>
    <row r="230" spans="3:22" x14ac:dyDescent="0.25">
      <c r="C230" s="16"/>
      <c r="N230" s="16"/>
      <c r="U230" s="16"/>
      <c r="V230" s="16"/>
    </row>
    <row r="231" spans="3:22" x14ac:dyDescent="0.25">
      <c r="C231" s="16"/>
      <c r="N231" s="16"/>
      <c r="U231" s="16"/>
      <c r="V231" s="16"/>
    </row>
    <row r="232" spans="3:22" x14ac:dyDescent="0.25">
      <c r="C232" s="16"/>
      <c r="N232" s="16"/>
      <c r="U232" s="16"/>
      <c r="V232" s="16"/>
    </row>
    <row r="233" spans="3:22" x14ac:dyDescent="0.25">
      <c r="C233" s="16"/>
      <c r="N233" s="16"/>
      <c r="U233" s="16"/>
      <c r="V233" s="16"/>
    </row>
    <row r="234" spans="3:22" x14ac:dyDescent="0.25">
      <c r="C234" s="16"/>
      <c r="N234" s="16"/>
      <c r="U234" s="16"/>
      <c r="V234" s="16"/>
    </row>
    <row r="235" spans="3:22" x14ac:dyDescent="0.25">
      <c r="C235" s="16"/>
      <c r="N235" s="16"/>
      <c r="U235" s="16"/>
      <c r="V235" s="16"/>
    </row>
    <row r="236" spans="3:22" x14ac:dyDescent="0.25">
      <c r="C236" s="16"/>
      <c r="N236" s="16"/>
      <c r="U236" s="16"/>
      <c r="V236" s="16"/>
    </row>
    <row r="237" spans="3:22" x14ac:dyDescent="0.25">
      <c r="C237" s="16"/>
      <c r="N237" s="16"/>
      <c r="U237" s="16"/>
      <c r="V237" s="16"/>
    </row>
    <row r="238" spans="3:22" x14ac:dyDescent="0.25">
      <c r="C238" s="16"/>
      <c r="N238" s="16"/>
      <c r="U238" s="16"/>
      <c r="V238" s="16"/>
    </row>
    <row r="239" spans="3:22" x14ac:dyDescent="0.25">
      <c r="C239" s="16"/>
      <c r="N239" s="16"/>
      <c r="U239" s="16"/>
      <c r="V239" s="16"/>
    </row>
    <row r="240" spans="3:22" x14ac:dyDescent="0.25">
      <c r="C240" s="16"/>
      <c r="N240" s="16"/>
      <c r="U240" s="16"/>
      <c r="V240" s="16"/>
    </row>
    <row r="241" spans="3:22" x14ac:dyDescent="0.25">
      <c r="C241" s="16"/>
      <c r="N241" s="16"/>
      <c r="U241" s="16"/>
      <c r="V241" s="16"/>
    </row>
    <row r="242" spans="3:22" x14ac:dyDescent="0.25">
      <c r="C242" s="16"/>
      <c r="N242" s="16"/>
      <c r="U242" s="16"/>
      <c r="V242" s="16"/>
    </row>
    <row r="243" spans="3:22" x14ac:dyDescent="0.25">
      <c r="C243" s="16"/>
      <c r="N243" s="16"/>
      <c r="U243" s="16"/>
      <c r="V243" s="16"/>
    </row>
    <row r="244" spans="3:22" x14ac:dyDescent="0.25">
      <c r="C244" s="16"/>
      <c r="N244" s="16"/>
      <c r="U244" s="16"/>
      <c r="V244" s="16"/>
    </row>
    <row r="245" spans="3:22" x14ac:dyDescent="0.25">
      <c r="C245" s="16"/>
      <c r="N245" s="16"/>
      <c r="U245" s="16"/>
      <c r="V245" s="16"/>
    </row>
    <row r="246" spans="3:22" x14ac:dyDescent="0.25">
      <c r="C246" s="16"/>
      <c r="N246" s="16"/>
      <c r="U246" s="16"/>
      <c r="V246" s="16"/>
    </row>
    <row r="247" spans="3:22" x14ac:dyDescent="0.25">
      <c r="C247" s="16"/>
      <c r="N247" s="16"/>
      <c r="U247" s="16"/>
      <c r="V247" s="16"/>
    </row>
    <row r="248" spans="3:22" x14ac:dyDescent="0.25">
      <c r="C248" s="16"/>
      <c r="N248" s="16"/>
      <c r="U248" s="16"/>
      <c r="V248" s="16"/>
    </row>
    <row r="249" spans="3:22" x14ac:dyDescent="0.25">
      <c r="C249" s="16"/>
      <c r="N249" s="16"/>
      <c r="U249" s="16"/>
      <c r="V249" s="16"/>
    </row>
    <row r="250" spans="3:22" x14ac:dyDescent="0.25">
      <c r="C250" s="16"/>
      <c r="N250" s="16"/>
      <c r="U250" s="16"/>
      <c r="V250" s="16"/>
    </row>
    <row r="251" spans="3:22" x14ac:dyDescent="0.25">
      <c r="C251" s="16"/>
      <c r="N251" s="16"/>
      <c r="U251" s="16"/>
      <c r="V251" s="16"/>
    </row>
    <row r="252" spans="3:22" x14ac:dyDescent="0.25">
      <c r="C252" s="16"/>
      <c r="N252" s="16"/>
      <c r="U252" s="16"/>
      <c r="V252" s="16"/>
    </row>
    <row r="253" spans="3:22" x14ac:dyDescent="0.25">
      <c r="C253" s="16"/>
      <c r="N253" s="16"/>
      <c r="U253" s="16"/>
      <c r="V253" s="16"/>
    </row>
    <row r="254" spans="3:22" x14ac:dyDescent="0.25">
      <c r="C254" s="16"/>
      <c r="N254" s="16"/>
      <c r="U254" s="16"/>
      <c r="V254" s="16"/>
    </row>
    <row r="255" spans="3:22" x14ac:dyDescent="0.25">
      <c r="C255" s="16"/>
      <c r="N255" s="16"/>
      <c r="U255" s="16"/>
      <c r="V255" s="16"/>
    </row>
    <row r="256" spans="3:22" x14ac:dyDescent="0.25">
      <c r="C256" s="16"/>
      <c r="N256" s="16"/>
      <c r="U256" s="16"/>
      <c r="V256" s="16"/>
    </row>
    <row r="257" spans="3:22" x14ac:dyDescent="0.25">
      <c r="C257" s="16"/>
      <c r="N257" s="16"/>
      <c r="U257" s="16"/>
      <c r="V257" s="16"/>
    </row>
    <row r="258" spans="3:22" x14ac:dyDescent="0.25">
      <c r="C258" s="16"/>
      <c r="N258" s="16"/>
      <c r="U258" s="16"/>
      <c r="V258" s="16"/>
    </row>
    <row r="259" spans="3:22" x14ac:dyDescent="0.25">
      <c r="C259" s="16"/>
      <c r="N259" s="16"/>
      <c r="U259" s="16"/>
      <c r="V259" s="16"/>
    </row>
    <row r="260" spans="3:22" x14ac:dyDescent="0.25">
      <c r="C260" s="16"/>
      <c r="N260" s="16"/>
      <c r="U260" s="16"/>
      <c r="V260" s="16"/>
    </row>
    <row r="261" spans="3:22" x14ac:dyDescent="0.25">
      <c r="C261" s="16"/>
      <c r="N261" s="16"/>
      <c r="U261" s="16"/>
      <c r="V261" s="16"/>
    </row>
    <row r="262" spans="3:22" x14ac:dyDescent="0.25">
      <c r="C262" s="16"/>
      <c r="N262" s="16"/>
      <c r="U262" s="16"/>
      <c r="V262" s="16"/>
    </row>
    <row r="263" spans="3:22" x14ac:dyDescent="0.25">
      <c r="C263" s="16"/>
      <c r="N263" s="16"/>
      <c r="U263" s="16"/>
      <c r="V263" s="16"/>
    </row>
    <row r="264" spans="3:22" x14ac:dyDescent="0.25">
      <c r="C264" s="16"/>
      <c r="N264" s="16"/>
      <c r="U264" s="16"/>
      <c r="V264" s="16"/>
    </row>
    <row r="265" spans="3:22" x14ac:dyDescent="0.25">
      <c r="C265" s="16"/>
      <c r="N265" s="16"/>
      <c r="U265" s="16"/>
      <c r="V265" s="16"/>
    </row>
    <row r="266" spans="3:22" x14ac:dyDescent="0.25">
      <c r="C266" s="16"/>
      <c r="N266" s="16"/>
      <c r="U266" s="16"/>
      <c r="V266" s="16"/>
    </row>
    <row r="267" spans="3:22" x14ac:dyDescent="0.25">
      <c r="C267" s="16"/>
      <c r="N267" s="16"/>
      <c r="U267" s="16"/>
      <c r="V267" s="16"/>
    </row>
    <row r="268" spans="3:22" x14ac:dyDescent="0.25">
      <c r="C268" s="16"/>
      <c r="N268" s="16"/>
      <c r="U268" s="16"/>
      <c r="V268" s="16"/>
    </row>
    <row r="269" spans="3:22" x14ac:dyDescent="0.25">
      <c r="C269" s="16"/>
      <c r="N269" s="16"/>
      <c r="U269" s="16"/>
      <c r="V269" s="16"/>
    </row>
    <row r="270" spans="3:22" x14ac:dyDescent="0.25">
      <c r="C270" s="16"/>
      <c r="N270" s="16"/>
      <c r="U270" s="16"/>
      <c r="V270" s="16"/>
    </row>
    <row r="271" spans="3:22" x14ac:dyDescent="0.25">
      <c r="C271" s="16"/>
      <c r="N271" s="16"/>
      <c r="U271" s="16"/>
      <c r="V271" s="16"/>
    </row>
    <row r="272" spans="3:22" x14ac:dyDescent="0.25">
      <c r="C272" s="16"/>
      <c r="N272" s="16"/>
      <c r="U272" s="16"/>
      <c r="V272" s="16"/>
    </row>
    <row r="273" spans="3:22" x14ac:dyDescent="0.25">
      <c r="C273" s="16"/>
      <c r="N273" s="16"/>
      <c r="U273" s="16"/>
      <c r="V273" s="16"/>
    </row>
    <row r="274" spans="3:22" x14ac:dyDescent="0.25">
      <c r="C274" s="16"/>
      <c r="N274" s="16"/>
      <c r="U274" s="16"/>
      <c r="V274" s="16"/>
    </row>
    <row r="275" spans="3:22" x14ac:dyDescent="0.25">
      <c r="C275" s="16"/>
      <c r="N275" s="16"/>
      <c r="U275" s="16"/>
      <c r="V275" s="16"/>
    </row>
    <row r="276" spans="3:22" x14ac:dyDescent="0.25">
      <c r="C276" s="16"/>
      <c r="N276" s="16"/>
      <c r="U276" s="16"/>
      <c r="V276" s="16"/>
    </row>
    <row r="277" spans="3:22" x14ac:dyDescent="0.25">
      <c r="C277" s="16"/>
      <c r="N277" s="16"/>
      <c r="U277" s="16"/>
      <c r="V277" s="16"/>
    </row>
    <row r="278" spans="3:22" x14ac:dyDescent="0.25">
      <c r="C278" s="16"/>
      <c r="N278" s="16"/>
      <c r="U278" s="16"/>
      <c r="V278" s="16"/>
    </row>
    <row r="279" spans="3:22" x14ac:dyDescent="0.25">
      <c r="C279" s="16"/>
      <c r="N279" s="16"/>
      <c r="U279" s="16"/>
      <c r="V279" s="16"/>
    </row>
    <row r="280" spans="3:22" x14ac:dyDescent="0.25">
      <c r="C280" s="16"/>
      <c r="N280" s="16"/>
      <c r="U280" s="16"/>
      <c r="V280" s="16"/>
    </row>
    <row r="281" spans="3:22" x14ac:dyDescent="0.25">
      <c r="C281" s="16"/>
      <c r="N281" s="16"/>
      <c r="U281" s="16"/>
      <c r="V281" s="16"/>
    </row>
    <row r="282" spans="3:22" x14ac:dyDescent="0.25">
      <c r="C282" s="16"/>
      <c r="N282" s="16"/>
      <c r="U282" s="16"/>
      <c r="V282" s="16"/>
    </row>
    <row r="283" spans="3:22" x14ac:dyDescent="0.25">
      <c r="C283" s="16"/>
      <c r="N283" s="16"/>
      <c r="U283" s="16"/>
      <c r="V283" s="16"/>
    </row>
    <row r="284" spans="3:22" x14ac:dyDescent="0.25">
      <c r="C284" s="16"/>
      <c r="N284" s="16"/>
      <c r="U284" s="16"/>
      <c r="V284" s="16"/>
    </row>
    <row r="285" spans="3:22" x14ac:dyDescent="0.25">
      <c r="C285" s="16"/>
      <c r="N285" s="16"/>
      <c r="U285" s="16"/>
      <c r="V285" s="16"/>
    </row>
    <row r="286" spans="3:22" x14ac:dyDescent="0.25">
      <c r="C286" s="16"/>
      <c r="N286" s="16"/>
      <c r="U286" s="16"/>
      <c r="V286" s="16"/>
    </row>
    <row r="287" spans="3:22" x14ac:dyDescent="0.25">
      <c r="C287" s="16"/>
      <c r="N287" s="16"/>
      <c r="U287" s="16"/>
      <c r="V287" s="16"/>
    </row>
    <row r="288" spans="3:22" x14ac:dyDescent="0.25">
      <c r="C288" s="16"/>
      <c r="N288" s="16"/>
      <c r="U288" s="16"/>
      <c r="V288" s="16"/>
    </row>
    <row r="289" spans="3:22" x14ac:dyDescent="0.25">
      <c r="C289" s="16"/>
      <c r="N289" s="16"/>
      <c r="U289" s="16"/>
      <c r="V289" s="16"/>
    </row>
    <row r="290" spans="3:22" x14ac:dyDescent="0.25">
      <c r="C290" s="16"/>
      <c r="N290" s="16"/>
      <c r="U290" s="16"/>
      <c r="V290" s="16"/>
    </row>
    <row r="291" spans="3:22" x14ac:dyDescent="0.25">
      <c r="C291" s="16"/>
      <c r="N291" s="16"/>
      <c r="U291" s="16"/>
      <c r="V291" s="16"/>
    </row>
    <row r="292" spans="3:22" x14ac:dyDescent="0.25">
      <c r="C292" s="16"/>
      <c r="N292" s="16"/>
      <c r="U292" s="16"/>
      <c r="V292" s="16"/>
    </row>
    <row r="293" spans="3:22" x14ac:dyDescent="0.25">
      <c r="C293" s="16"/>
      <c r="N293" s="16"/>
      <c r="U293" s="16"/>
      <c r="V293" s="16"/>
    </row>
    <row r="294" spans="3:22" x14ac:dyDescent="0.25">
      <c r="C294" s="16"/>
      <c r="N294" s="16"/>
      <c r="U294" s="16"/>
      <c r="V294" s="16"/>
    </row>
    <row r="295" spans="3:22" x14ac:dyDescent="0.25">
      <c r="C295" s="16"/>
      <c r="N295" s="16"/>
      <c r="U295" s="16"/>
      <c r="V295" s="16"/>
    </row>
    <row r="296" spans="3:22" x14ac:dyDescent="0.25">
      <c r="C296" s="16"/>
      <c r="N296" s="16"/>
      <c r="U296" s="16"/>
      <c r="V296" s="16"/>
    </row>
    <row r="297" spans="3:22" x14ac:dyDescent="0.25">
      <c r="C297" s="16"/>
      <c r="N297" s="16"/>
      <c r="U297" s="16"/>
      <c r="V297" s="16"/>
    </row>
    <row r="298" spans="3:22" x14ac:dyDescent="0.25">
      <c r="C298" s="16"/>
      <c r="N298" s="16"/>
      <c r="U298" s="16"/>
      <c r="V298" s="16"/>
    </row>
    <row r="299" spans="3:22" x14ac:dyDescent="0.25">
      <c r="C299" s="16"/>
      <c r="N299" s="16"/>
      <c r="U299" s="16"/>
      <c r="V299" s="16"/>
    </row>
    <row r="300" spans="3:22" x14ac:dyDescent="0.25">
      <c r="C300" s="16"/>
      <c r="N300" s="16"/>
      <c r="U300" s="16"/>
      <c r="V300" s="16"/>
    </row>
    <row r="301" spans="3:22" x14ac:dyDescent="0.25">
      <c r="C301" s="16"/>
      <c r="N301" s="16"/>
      <c r="U301" s="16"/>
      <c r="V301" s="16"/>
    </row>
    <row r="302" spans="3:22" x14ac:dyDescent="0.25">
      <c r="C302" s="16"/>
      <c r="N302" s="16"/>
      <c r="U302" s="16"/>
      <c r="V302" s="16"/>
    </row>
    <row r="303" spans="3:22" x14ac:dyDescent="0.25">
      <c r="C303" s="16"/>
      <c r="N303" s="16"/>
      <c r="U303" s="16"/>
      <c r="V303" s="16"/>
    </row>
    <row r="304" spans="3:22" x14ac:dyDescent="0.25">
      <c r="C304" s="16"/>
      <c r="N304" s="16"/>
      <c r="U304" s="16"/>
      <c r="V304" s="16"/>
    </row>
    <row r="305" spans="3:22" x14ac:dyDescent="0.25">
      <c r="C305" s="16"/>
      <c r="N305" s="16"/>
      <c r="U305" s="16"/>
      <c r="V305" s="16"/>
    </row>
    <row r="306" spans="3:22" x14ac:dyDescent="0.25">
      <c r="C306" s="16"/>
      <c r="N306" s="16"/>
      <c r="U306" s="16"/>
      <c r="V306" s="16"/>
    </row>
    <row r="307" spans="3:22" x14ac:dyDescent="0.25">
      <c r="C307" s="16"/>
      <c r="N307" s="16"/>
      <c r="U307" s="16"/>
      <c r="V307" s="16"/>
    </row>
    <row r="308" spans="3:22" x14ac:dyDescent="0.25">
      <c r="C308" s="16"/>
      <c r="N308" s="16"/>
      <c r="U308" s="16"/>
      <c r="V308" s="16"/>
    </row>
    <row r="309" spans="3:22" x14ac:dyDescent="0.25">
      <c r="C309" s="16"/>
      <c r="N309" s="16"/>
      <c r="U309" s="16"/>
      <c r="V309" s="16"/>
    </row>
    <row r="310" spans="3:22" x14ac:dyDescent="0.25">
      <c r="C310" s="16"/>
      <c r="N310" s="16"/>
      <c r="U310" s="16"/>
      <c r="V310" s="16"/>
    </row>
    <row r="311" spans="3:22" x14ac:dyDescent="0.25">
      <c r="C311" s="16"/>
      <c r="N311" s="16"/>
      <c r="U311" s="16"/>
      <c r="V311" s="16"/>
    </row>
    <row r="312" spans="3:22" x14ac:dyDescent="0.25">
      <c r="C312" s="16"/>
      <c r="N312" s="16"/>
      <c r="U312" s="16"/>
      <c r="V312" s="16"/>
    </row>
    <row r="313" spans="3:22" x14ac:dyDescent="0.25">
      <c r="C313" s="16"/>
      <c r="N313" s="16"/>
      <c r="U313" s="16"/>
      <c r="V313" s="16"/>
    </row>
    <row r="314" spans="3:22" x14ac:dyDescent="0.25">
      <c r="C314" s="16"/>
      <c r="N314" s="16"/>
      <c r="U314" s="16"/>
      <c r="V314" s="16"/>
    </row>
    <row r="315" spans="3:22" x14ac:dyDescent="0.25">
      <c r="C315" s="16"/>
      <c r="N315" s="16"/>
      <c r="U315" s="16"/>
      <c r="V315" s="16"/>
    </row>
  </sheetData>
  <autoFilter ref="A1:OJ1" xr:uid="{9911CD4E-90EB-47A5-9E7C-C8703A11D08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713C5-B1D9-4278-8FDA-F97C969ADA84}">
  <dimension ref="A1:AO103"/>
  <sheetViews>
    <sheetView workbookViewId="0">
      <pane ySplit="1" topLeftCell="A2" activePane="bottomLeft" state="frozenSplit"/>
      <selection pane="bottomLeft"/>
    </sheetView>
  </sheetViews>
  <sheetFormatPr baseColWidth="10" defaultRowHeight="14.3" x14ac:dyDescent="0.25"/>
  <cols>
    <col min="1" max="1" width="8.625" style="12" customWidth="1"/>
    <col min="2" max="2" width="7.625" style="12" customWidth="1"/>
    <col min="3" max="3" width="12.625" style="12" customWidth="1"/>
    <col min="4" max="4" width="13.625" style="12" customWidth="1"/>
    <col min="5" max="5" width="25.625" style="17" customWidth="1"/>
    <col min="6" max="6" width="13.625" style="12" customWidth="1"/>
    <col min="7" max="7" width="25.625" style="17" customWidth="1"/>
    <col min="8" max="8" width="13.625" style="12" customWidth="1"/>
    <col min="9" max="11" width="25.625" style="17" customWidth="1"/>
    <col min="12" max="12" width="8.625" style="12" customWidth="1"/>
    <col min="13" max="13" width="25.625" style="17" customWidth="1"/>
    <col min="14" max="14" width="13.625" style="12" customWidth="1"/>
    <col min="15" max="16" width="30.625" style="17" customWidth="1"/>
    <col min="17" max="17" width="25.625" style="17" customWidth="1"/>
    <col min="18" max="20" width="13.625" style="12" customWidth="1"/>
    <col min="21" max="22" width="12.625" style="12" customWidth="1"/>
    <col min="23" max="24" width="25.625" style="17" customWidth="1"/>
    <col min="25" max="25" width="15.625" style="12" customWidth="1"/>
    <col min="26" max="28" width="25.625" style="17" customWidth="1"/>
    <col min="29" max="29" width="15.625" style="12" customWidth="1"/>
    <col min="30" max="32" width="25.625" style="17" customWidth="1"/>
    <col min="33" max="33" width="15.625" style="12" customWidth="1"/>
    <col min="34" max="36" width="25.625" style="17" customWidth="1"/>
    <col min="37" max="37" width="15.625" style="12" customWidth="1"/>
    <col min="38" max="38" width="25.625" style="17" customWidth="1"/>
    <col min="39" max="39" width="40.625" style="17" customWidth="1"/>
    <col min="40" max="40" width="9.625" style="12" customWidth="1"/>
    <col min="41" max="41" width="15.625" style="12" customWidth="1"/>
    <col min="42" max="16384" width="11" style="12"/>
  </cols>
  <sheetData>
    <row r="1" spans="1:41" ht="57.1" x14ac:dyDescent="0.2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353</v>
      </c>
      <c r="X1" s="10" t="s">
        <v>354</v>
      </c>
      <c r="Y1" s="10" t="s">
        <v>355</v>
      </c>
      <c r="Z1" s="10" t="s">
        <v>356</v>
      </c>
      <c r="AA1" s="10" t="s">
        <v>357</v>
      </c>
      <c r="AB1" s="10" t="s">
        <v>358</v>
      </c>
      <c r="AC1" s="10" t="s">
        <v>359</v>
      </c>
      <c r="AD1" s="10" t="s">
        <v>360</v>
      </c>
      <c r="AE1" s="10" t="s">
        <v>361</v>
      </c>
      <c r="AF1" s="10" t="s">
        <v>362</v>
      </c>
      <c r="AG1" s="10" t="s">
        <v>363</v>
      </c>
      <c r="AH1" s="10" t="s">
        <v>364</v>
      </c>
      <c r="AI1" s="10" t="s">
        <v>365</v>
      </c>
      <c r="AJ1" s="10" t="s">
        <v>366</v>
      </c>
      <c r="AK1" s="10" t="s">
        <v>367</v>
      </c>
      <c r="AL1" s="10" t="s">
        <v>368</v>
      </c>
      <c r="AM1" s="10" t="s">
        <v>369</v>
      </c>
      <c r="AN1" s="10" t="s">
        <v>74</v>
      </c>
      <c r="AO1" s="10" t="s">
        <v>75</v>
      </c>
    </row>
    <row r="2" spans="1:41" ht="28.55" x14ac:dyDescent="0.25">
      <c r="A2" s="13" t="s">
        <v>76</v>
      </c>
      <c r="B2" s="13" t="s">
        <v>77</v>
      </c>
      <c r="C2" s="14">
        <v>45628.699305555558</v>
      </c>
      <c r="D2" s="13" t="s">
        <v>78</v>
      </c>
      <c r="E2" s="15" t="s">
        <v>79</v>
      </c>
      <c r="F2" s="13" t="s">
        <v>80</v>
      </c>
      <c r="G2" s="15" t="s">
        <v>81</v>
      </c>
      <c r="H2" s="13" t="s">
        <v>82</v>
      </c>
      <c r="I2" s="15" t="s">
        <v>81</v>
      </c>
      <c r="J2" s="15" t="s">
        <v>83</v>
      </c>
      <c r="K2" s="15" t="s">
        <v>84</v>
      </c>
      <c r="L2" s="13" t="s">
        <v>85</v>
      </c>
      <c r="M2" s="15" t="s">
        <v>86</v>
      </c>
      <c r="N2" s="14" t="s">
        <v>87</v>
      </c>
      <c r="O2" s="15" t="s">
        <v>88</v>
      </c>
      <c r="P2" s="15" t="s">
        <v>89</v>
      </c>
      <c r="Q2" s="15" t="s">
        <v>90</v>
      </c>
      <c r="R2" s="13" t="s">
        <v>91</v>
      </c>
      <c r="S2" s="13" t="s">
        <v>92</v>
      </c>
      <c r="T2" s="13" t="s">
        <v>93</v>
      </c>
      <c r="U2" s="14">
        <v>40725</v>
      </c>
      <c r="V2" s="14">
        <v>40725</v>
      </c>
      <c r="W2" s="15"/>
      <c r="X2" s="15"/>
      <c r="Y2" s="13"/>
      <c r="Z2" s="15"/>
      <c r="AA2" s="15"/>
      <c r="AB2" s="15"/>
      <c r="AC2" s="13"/>
      <c r="AD2" s="15"/>
      <c r="AE2" s="15"/>
      <c r="AF2" s="15"/>
      <c r="AG2" s="13"/>
      <c r="AH2" s="15"/>
      <c r="AI2" s="15"/>
      <c r="AJ2" s="15"/>
      <c r="AK2" s="13"/>
      <c r="AL2" s="15"/>
      <c r="AM2" s="15"/>
      <c r="AN2" s="13"/>
      <c r="AO2" s="13"/>
    </row>
    <row r="3" spans="1:41" ht="42.8" x14ac:dyDescent="0.25">
      <c r="A3" s="13" t="s">
        <v>117</v>
      </c>
      <c r="B3" s="13" t="s">
        <v>77</v>
      </c>
      <c r="C3" s="14">
        <v>44053.458333333336</v>
      </c>
      <c r="D3" s="13" t="s">
        <v>78</v>
      </c>
      <c r="E3" s="15" t="s">
        <v>79</v>
      </c>
      <c r="F3" s="13" t="s">
        <v>80</v>
      </c>
      <c r="G3" s="15" t="s">
        <v>81</v>
      </c>
      <c r="H3" s="13" t="s">
        <v>82</v>
      </c>
      <c r="I3" s="15" t="s">
        <v>81</v>
      </c>
      <c r="J3" s="15" t="s">
        <v>83</v>
      </c>
      <c r="K3" s="15" t="s">
        <v>84</v>
      </c>
      <c r="L3" s="13" t="s">
        <v>118</v>
      </c>
      <c r="M3" s="15" t="s">
        <v>119</v>
      </c>
      <c r="N3" s="14" t="s">
        <v>87</v>
      </c>
      <c r="O3" s="15" t="s">
        <v>120</v>
      </c>
      <c r="P3" s="15" t="s">
        <v>121</v>
      </c>
      <c r="Q3" s="15" t="s">
        <v>90</v>
      </c>
      <c r="R3" s="13" t="s">
        <v>91</v>
      </c>
      <c r="S3" s="13" t="s">
        <v>92</v>
      </c>
      <c r="T3" s="13" t="s">
        <v>93</v>
      </c>
      <c r="U3" s="14">
        <v>40725</v>
      </c>
      <c r="V3" s="14">
        <v>43435</v>
      </c>
      <c r="W3" s="15"/>
      <c r="X3" s="15"/>
      <c r="Y3" s="13"/>
      <c r="Z3" s="15"/>
      <c r="AA3" s="15"/>
      <c r="AB3" s="15"/>
      <c r="AC3" s="13"/>
      <c r="AD3" s="15"/>
      <c r="AE3" s="15"/>
      <c r="AF3" s="15"/>
      <c r="AG3" s="13"/>
      <c r="AH3" s="15"/>
      <c r="AI3" s="15"/>
      <c r="AJ3" s="15"/>
      <c r="AK3" s="13"/>
      <c r="AL3" s="15"/>
      <c r="AM3" s="15"/>
      <c r="AN3" s="13"/>
      <c r="AO3" s="13"/>
    </row>
    <row r="4" spans="1:41" ht="42.8" x14ac:dyDescent="0.25">
      <c r="A4" s="13" t="s">
        <v>76</v>
      </c>
      <c r="B4" s="13" t="s">
        <v>77</v>
      </c>
      <c r="C4" s="14">
        <v>45628.724305555559</v>
      </c>
      <c r="D4" s="13" t="s">
        <v>78</v>
      </c>
      <c r="E4" s="15" t="s">
        <v>79</v>
      </c>
      <c r="F4" s="13" t="s">
        <v>80</v>
      </c>
      <c r="G4" s="15" t="s">
        <v>81</v>
      </c>
      <c r="H4" s="13" t="s">
        <v>82</v>
      </c>
      <c r="I4" s="15" t="s">
        <v>81</v>
      </c>
      <c r="J4" s="15" t="s">
        <v>83</v>
      </c>
      <c r="K4" s="15" t="s">
        <v>84</v>
      </c>
      <c r="L4" s="13" t="s">
        <v>118</v>
      </c>
      <c r="M4" s="15" t="s">
        <v>119</v>
      </c>
      <c r="N4" s="14" t="s">
        <v>87</v>
      </c>
      <c r="O4" s="15" t="s">
        <v>120</v>
      </c>
      <c r="P4" s="15" t="s">
        <v>121</v>
      </c>
      <c r="Q4" s="15" t="s">
        <v>90</v>
      </c>
      <c r="R4" s="13" t="s">
        <v>91</v>
      </c>
      <c r="S4" s="13" t="s">
        <v>92</v>
      </c>
      <c r="T4" s="13" t="s">
        <v>93</v>
      </c>
      <c r="U4" s="14">
        <v>43436</v>
      </c>
      <c r="V4" s="14">
        <v>43436</v>
      </c>
      <c r="W4" s="15"/>
      <c r="X4" s="15"/>
      <c r="Y4" s="13"/>
      <c r="Z4" s="15"/>
      <c r="AA4" s="15"/>
      <c r="AB4" s="15"/>
      <c r="AC4" s="13"/>
      <c r="AD4" s="15"/>
      <c r="AE4" s="15"/>
      <c r="AF4" s="15"/>
      <c r="AG4" s="13"/>
      <c r="AH4" s="15"/>
      <c r="AI4" s="15"/>
      <c r="AJ4" s="15"/>
      <c r="AK4" s="13"/>
      <c r="AL4" s="15"/>
      <c r="AM4" s="15"/>
      <c r="AN4" s="13"/>
      <c r="AO4" s="13"/>
    </row>
    <row r="5" spans="1:41" ht="42.8" x14ac:dyDescent="0.25">
      <c r="A5" s="13" t="s">
        <v>142</v>
      </c>
      <c r="B5" s="13" t="s">
        <v>77</v>
      </c>
      <c r="C5" s="14">
        <v>43509.729861111111</v>
      </c>
      <c r="D5" s="13" t="s">
        <v>78</v>
      </c>
      <c r="E5" s="15" t="s">
        <v>79</v>
      </c>
      <c r="F5" s="13" t="s">
        <v>80</v>
      </c>
      <c r="G5" s="15" t="s">
        <v>81</v>
      </c>
      <c r="H5" s="13" t="s">
        <v>82</v>
      </c>
      <c r="I5" s="15" t="s">
        <v>81</v>
      </c>
      <c r="J5" s="15" t="s">
        <v>83</v>
      </c>
      <c r="K5" s="15" t="s">
        <v>84</v>
      </c>
      <c r="L5" s="13" t="s">
        <v>143</v>
      </c>
      <c r="M5" s="15" t="s">
        <v>144</v>
      </c>
      <c r="N5" s="14" t="s">
        <v>87</v>
      </c>
      <c r="O5" s="15" t="s">
        <v>145</v>
      </c>
      <c r="P5" s="15" t="s">
        <v>146</v>
      </c>
      <c r="Q5" s="15" t="s">
        <v>90</v>
      </c>
      <c r="R5" s="13" t="s">
        <v>91</v>
      </c>
      <c r="S5" s="13" t="s">
        <v>92</v>
      </c>
      <c r="T5" s="13" t="s">
        <v>93</v>
      </c>
      <c r="U5" s="14">
        <v>40725</v>
      </c>
      <c r="V5" s="14">
        <v>43435</v>
      </c>
      <c r="W5" s="15"/>
      <c r="X5" s="15"/>
      <c r="Y5" s="13"/>
      <c r="Z5" s="15"/>
      <c r="AA5" s="15"/>
      <c r="AB5" s="15"/>
      <c r="AC5" s="13"/>
      <c r="AD5" s="15"/>
      <c r="AE5" s="15"/>
      <c r="AF5" s="15"/>
      <c r="AG5" s="13"/>
      <c r="AH5" s="15"/>
      <c r="AI5" s="15"/>
      <c r="AJ5" s="15"/>
      <c r="AK5" s="13"/>
      <c r="AL5" s="15"/>
      <c r="AM5" s="15"/>
      <c r="AN5" s="13"/>
      <c r="AO5" s="13"/>
    </row>
    <row r="6" spans="1:41" ht="42.8" x14ac:dyDescent="0.25">
      <c r="A6" s="13" t="s">
        <v>76</v>
      </c>
      <c r="B6" s="13" t="s">
        <v>77</v>
      </c>
      <c r="C6" s="14">
        <v>45628.701388888891</v>
      </c>
      <c r="D6" s="13" t="s">
        <v>78</v>
      </c>
      <c r="E6" s="15" t="s">
        <v>79</v>
      </c>
      <c r="F6" s="13" t="s">
        <v>80</v>
      </c>
      <c r="G6" s="15" t="s">
        <v>81</v>
      </c>
      <c r="H6" s="13" t="s">
        <v>82</v>
      </c>
      <c r="I6" s="15" t="s">
        <v>81</v>
      </c>
      <c r="J6" s="15" t="s">
        <v>83</v>
      </c>
      <c r="K6" s="15" t="s">
        <v>84</v>
      </c>
      <c r="L6" s="13" t="s">
        <v>143</v>
      </c>
      <c r="M6" s="15" t="s">
        <v>144</v>
      </c>
      <c r="N6" s="14" t="s">
        <v>87</v>
      </c>
      <c r="O6" s="15" t="s">
        <v>145</v>
      </c>
      <c r="P6" s="15" t="s">
        <v>146</v>
      </c>
      <c r="Q6" s="15" t="s">
        <v>90</v>
      </c>
      <c r="R6" s="13" t="s">
        <v>91</v>
      </c>
      <c r="S6" s="13" t="s">
        <v>92</v>
      </c>
      <c r="T6" s="13" t="s">
        <v>93</v>
      </c>
      <c r="U6" s="14">
        <v>43436</v>
      </c>
      <c r="V6" s="14">
        <v>43436</v>
      </c>
      <c r="W6" s="15"/>
      <c r="X6" s="15"/>
      <c r="Y6" s="13"/>
      <c r="Z6" s="15"/>
      <c r="AA6" s="15"/>
      <c r="AB6" s="15"/>
      <c r="AC6" s="13"/>
      <c r="AD6" s="15"/>
      <c r="AE6" s="15"/>
      <c r="AF6" s="15"/>
      <c r="AG6" s="13"/>
      <c r="AH6" s="15"/>
      <c r="AI6" s="15"/>
      <c r="AJ6" s="15"/>
      <c r="AK6" s="13"/>
      <c r="AL6" s="15"/>
      <c r="AM6" s="15"/>
      <c r="AN6" s="13"/>
      <c r="AO6" s="13"/>
    </row>
    <row r="7" spans="1:41" ht="28.55" x14ac:dyDescent="0.25">
      <c r="A7" s="13" t="s">
        <v>76</v>
      </c>
      <c r="B7" s="13" t="s">
        <v>77</v>
      </c>
      <c r="C7" s="14">
        <v>45628.701388888891</v>
      </c>
      <c r="D7" s="13" t="s">
        <v>78</v>
      </c>
      <c r="E7" s="15" t="s">
        <v>79</v>
      </c>
      <c r="F7" s="13" t="s">
        <v>80</v>
      </c>
      <c r="G7" s="15" t="s">
        <v>81</v>
      </c>
      <c r="H7" s="13" t="s">
        <v>82</v>
      </c>
      <c r="I7" s="15" t="s">
        <v>81</v>
      </c>
      <c r="J7" s="15" t="s">
        <v>83</v>
      </c>
      <c r="K7" s="15" t="s">
        <v>84</v>
      </c>
      <c r="L7" s="13" t="s">
        <v>85</v>
      </c>
      <c r="M7" s="15" t="s">
        <v>86</v>
      </c>
      <c r="N7" s="14" t="s">
        <v>87</v>
      </c>
      <c r="O7" s="15" t="s">
        <v>88</v>
      </c>
      <c r="P7" s="15" t="s">
        <v>89</v>
      </c>
      <c r="Q7" s="15" t="s">
        <v>172</v>
      </c>
      <c r="R7" s="13" t="s">
        <v>173</v>
      </c>
      <c r="S7" s="13" t="s">
        <v>92</v>
      </c>
      <c r="T7" s="13" t="s">
        <v>174</v>
      </c>
      <c r="U7" s="14">
        <v>43831</v>
      </c>
      <c r="V7" s="14">
        <v>43831</v>
      </c>
      <c r="W7" s="15"/>
      <c r="X7" s="15"/>
      <c r="Y7" s="13"/>
      <c r="Z7" s="15"/>
      <c r="AA7" s="15"/>
      <c r="AB7" s="15"/>
      <c r="AC7" s="13"/>
      <c r="AD7" s="15"/>
      <c r="AE7" s="15"/>
      <c r="AF7" s="15"/>
      <c r="AG7" s="13"/>
      <c r="AH7" s="15"/>
      <c r="AI7" s="15"/>
      <c r="AJ7" s="15"/>
      <c r="AK7" s="13"/>
      <c r="AL7" s="15"/>
      <c r="AM7" s="15"/>
      <c r="AN7" s="13"/>
      <c r="AO7" s="13"/>
    </row>
    <row r="8" spans="1:41" ht="42.8" x14ac:dyDescent="0.25">
      <c r="A8" s="13" t="s">
        <v>76</v>
      </c>
      <c r="B8" s="13" t="s">
        <v>77</v>
      </c>
      <c r="C8" s="14">
        <v>45628.702777777777</v>
      </c>
      <c r="D8" s="13" t="s">
        <v>78</v>
      </c>
      <c r="E8" s="15" t="s">
        <v>79</v>
      </c>
      <c r="F8" s="13" t="s">
        <v>80</v>
      </c>
      <c r="G8" s="15" t="s">
        <v>81</v>
      </c>
      <c r="H8" s="13" t="s">
        <v>82</v>
      </c>
      <c r="I8" s="15" t="s">
        <v>81</v>
      </c>
      <c r="J8" s="15" t="s">
        <v>83</v>
      </c>
      <c r="K8" s="15" t="s">
        <v>84</v>
      </c>
      <c r="L8" s="13" t="s">
        <v>118</v>
      </c>
      <c r="M8" s="15" t="s">
        <v>119</v>
      </c>
      <c r="N8" s="14" t="s">
        <v>87</v>
      </c>
      <c r="O8" s="15" t="s">
        <v>120</v>
      </c>
      <c r="P8" s="15" t="s">
        <v>121</v>
      </c>
      <c r="Q8" s="15" t="s">
        <v>172</v>
      </c>
      <c r="R8" s="13" t="s">
        <v>173</v>
      </c>
      <c r="S8" s="13" t="s">
        <v>92</v>
      </c>
      <c r="T8" s="13" t="s">
        <v>174</v>
      </c>
      <c r="U8" s="14">
        <v>43831</v>
      </c>
      <c r="V8" s="14">
        <v>43831</v>
      </c>
      <c r="W8" s="15"/>
      <c r="X8" s="15"/>
      <c r="Y8" s="13"/>
      <c r="Z8" s="15"/>
      <c r="AA8" s="15"/>
      <c r="AB8" s="15"/>
      <c r="AC8" s="13"/>
      <c r="AD8" s="15"/>
      <c r="AE8" s="15"/>
      <c r="AF8" s="15"/>
      <c r="AG8" s="13"/>
      <c r="AH8" s="15"/>
      <c r="AI8" s="15"/>
      <c r="AJ8" s="15"/>
      <c r="AK8" s="13"/>
      <c r="AL8" s="15"/>
      <c r="AM8" s="15"/>
      <c r="AN8" s="13"/>
      <c r="AO8" s="13"/>
    </row>
    <row r="9" spans="1:41" ht="42.8" x14ac:dyDescent="0.25">
      <c r="A9" s="13" t="s">
        <v>76</v>
      </c>
      <c r="B9" s="13" t="s">
        <v>77</v>
      </c>
      <c r="C9" s="14">
        <v>45628.703472222223</v>
      </c>
      <c r="D9" s="13" t="s">
        <v>78</v>
      </c>
      <c r="E9" s="15" t="s">
        <v>79</v>
      </c>
      <c r="F9" s="13" t="s">
        <v>80</v>
      </c>
      <c r="G9" s="15" t="s">
        <v>81</v>
      </c>
      <c r="H9" s="13" t="s">
        <v>82</v>
      </c>
      <c r="I9" s="15" t="s">
        <v>81</v>
      </c>
      <c r="J9" s="15" t="s">
        <v>83</v>
      </c>
      <c r="K9" s="15" t="s">
        <v>84</v>
      </c>
      <c r="L9" s="13" t="s">
        <v>143</v>
      </c>
      <c r="M9" s="15" t="s">
        <v>144</v>
      </c>
      <c r="N9" s="14" t="s">
        <v>87</v>
      </c>
      <c r="O9" s="15" t="s">
        <v>145</v>
      </c>
      <c r="P9" s="15" t="s">
        <v>146</v>
      </c>
      <c r="Q9" s="15" t="s">
        <v>172</v>
      </c>
      <c r="R9" s="13" t="s">
        <v>173</v>
      </c>
      <c r="S9" s="13" t="s">
        <v>92</v>
      </c>
      <c r="T9" s="13" t="s">
        <v>174</v>
      </c>
      <c r="U9" s="14">
        <v>43831</v>
      </c>
      <c r="V9" s="14">
        <v>43831</v>
      </c>
      <c r="W9" s="15"/>
      <c r="X9" s="15"/>
      <c r="Y9" s="13"/>
      <c r="Z9" s="15"/>
      <c r="AA9" s="15"/>
      <c r="AB9" s="15"/>
      <c r="AC9" s="13"/>
      <c r="AD9" s="15"/>
      <c r="AE9" s="15"/>
      <c r="AF9" s="15"/>
      <c r="AG9" s="13"/>
      <c r="AH9" s="15"/>
      <c r="AI9" s="15"/>
      <c r="AJ9" s="15"/>
      <c r="AK9" s="13"/>
      <c r="AL9" s="15"/>
      <c r="AM9" s="15"/>
      <c r="AN9" s="13"/>
      <c r="AO9" s="13"/>
    </row>
    <row r="10" spans="1:41" ht="28.55" x14ac:dyDescent="0.25">
      <c r="A10" s="13" t="s">
        <v>76</v>
      </c>
      <c r="B10" s="13" t="s">
        <v>77</v>
      </c>
      <c r="C10" s="14">
        <v>45628.699305555558</v>
      </c>
      <c r="D10" s="13" t="s">
        <v>78</v>
      </c>
      <c r="E10" s="15" t="s">
        <v>79</v>
      </c>
      <c r="F10" s="13" t="s">
        <v>80</v>
      </c>
      <c r="G10" s="15" t="s">
        <v>81</v>
      </c>
      <c r="H10" s="13" t="s">
        <v>82</v>
      </c>
      <c r="I10" s="15" t="s">
        <v>81</v>
      </c>
      <c r="J10" s="15" t="s">
        <v>83</v>
      </c>
      <c r="K10" s="15" t="s">
        <v>84</v>
      </c>
      <c r="L10" s="13" t="s">
        <v>85</v>
      </c>
      <c r="M10" s="15" t="s">
        <v>86</v>
      </c>
      <c r="N10" s="14" t="s">
        <v>87</v>
      </c>
      <c r="O10" s="15" t="s">
        <v>88</v>
      </c>
      <c r="P10" s="15" t="s">
        <v>89</v>
      </c>
      <c r="Q10" s="15" t="s">
        <v>175</v>
      </c>
      <c r="R10" s="13" t="s">
        <v>176</v>
      </c>
      <c r="S10" s="13" t="s">
        <v>92</v>
      </c>
      <c r="T10" s="13" t="s">
        <v>93</v>
      </c>
      <c r="U10" s="14">
        <v>40725</v>
      </c>
      <c r="V10" s="14">
        <v>40725</v>
      </c>
      <c r="W10" s="15"/>
      <c r="X10" s="15"/>
      <c r="Y10" s="13"/>
      <c r="Z10" s="15"/>
      <c r="AA10" s="15"/>
      <c r="AB10" s="15"/>
      <c r="AC10" s="13"/>
      <c r="AD10" s="15"/>
      <c r="AE10" s="15"/>
      <c r="AF10" s="15"/>
      <c r="AG10" s="13"/>
      <c r="AH10" s="15"/>
      <c r="AI10" s="15"/>
      <c r="AJ10" s="15"/>
      <c r="AK10" s="13"/>
      <c r="AL10" s="15"/>
      <c r="AM10" s="15"/>
      <c r="AN10" s="13"/>
      <c r="AO10" s="13"/>
    </row>
    <row r="11" spans="1:41" ht="42.8" x14ac:dyDescent="0.25">
      <c r="A11" s="13" t="s">
        <v>117</v>
      </c>
      <c r="B11" s="13" t="s">
        <v>77</v>
      </c>
      <c r="C11" s="14">
        <v>44053.457638888889</v>
      </c>
      <c r="D11" s="13" t="s">
        <v>78</v>
      </c>
      <c r="E11" s="15" t="s">
        <v>79</v>
      </c>
      <c r="F11" s="13" t="s">
        <v>80</v>
      </c>
      <c r="G11" s="15" t="s">
        <v>81</v>
      </c>
      <c r="H11" s="13" t="s">
        <v>82</v>
      </c>
      <c r="I11" s="15" t="s">
        <v>81</v>
      </c>
      <c r="J11" s="15" t="s">
        <v>83</v>
      </c>
      <c r="K11" s="15" t="s">
        <v>84</v>
      </c>
      <c r="L11" s="13" t="s">
        <v>118</v>
      </c>
      <c r="M11" s="15" t="s">
        <v>119</v>
      </c>
      <c r="N11" s="14" t="s">
        <v>87</v>
      </c>
      <c r="O11" s="15" t="s">
        <v>120</v>
      </c>
      <c r="P11" s="15" t="s">
        <v>121</v>
      </c>
      <c r="Q11" s="15" t="s">
        <v>175</v>
      </c>
      <c r="R11" s="13" t="s">
        <v>176</v>
      </c>
      <c r="S11" s="13" t="s">
        <v>92</v>
      </c>
      <c r="T11" s="13" t="s">
        <v>93</v>
      </c>
      <c r="U11" s="14">
        <v>40725</v>
      </c>
      <c r="V11" s="14">
        <v>43435</v>
      </c>
      <c r="W11" s="15"/>
      <c r="X11" s="15"/>
      <c r="Y11" s="13"/>
      <c r="Z11" s="15"/>
      <c r="AA11" s="15"/>
      <c r="AB11" s="15"/>
      <c r="AC11" s="13"/>
      <c r="AD11" s="15"/>
      <c r="AE11" s="15"/>
      <c r="AF11" s="15"/>
      <c r="AG11" s="13"/>
      <c r="AH11" s="15"/>
      <c r="AI11" s="15"/>
      <c r="AJ11" s="15"/>
      <c r="AK11" s="13"/>
      <c r="AL11" s="15"/>
      <c r="AM11" s="15"/>
      <c r="AN11" s="13"/>
      <c r="AO11" s="13"/>
    </row>
    <row r="12" spans="1:41" ht="42.8" x14ac:dyDescent="0.25">
      <c r="A12" s="13" t="s">
        <v>76</v>
      </c>
      <c r="B12" s="13" t="s">
        <v>77</v>
      </c>
      <c r="C12" s="14">
        <v>45677.426388888889</v>
      </c>
      <c r="D12" s="13" t="s">
        <v>78</v>
      </c>
      <c r="E12" s="15" t="s">
        <v>79</v>
      </c>
      <c r="F12" s="13" t="s">
        <v>80</v>
      </c>
      <c r="G12" s="15" t="s">
        <v>81</v>
      </c>
      <c r="H12" s="13" t="s">
        <v>82</v>
      </c>
      <c r="I12" s="15" t="s">
        <v>81</v>
      </c>
      <c r="J12" s="15" t="s">
        <v>83</v>
      </c>
      <c r="K12" s="15" t="s">
        <v>84</v>
      </c>
      <c r="L12" s="13" t="s">
        <v>118</v>
      </c>
      <c r="M12" s="15" t="s">
        <v>119</v>
      </c>
      <c r="N12" s="14" t="s">
        <v>87</v>
      </c>
      <c r="O12" s="15" t="s">
        <v>120</v>
      </c>
      <c r="P12" s="15" t="s">
        <v>121</v>
      </c>
      <c r="Q12" s="15" t="s">
        <v>175</v>
      </c>
      <c r="R12" s="13" t="s">
        <v>176</v>
      </c>
      <c r="S12" s="13" t="s">
        <v>92</v>
      </c>
      <c r="T12" s="13" t="s">
        <v>93</v>
      </c>
      <c r="U12" s="14">
        <v>43436</v>
      </c>
      <c r="V12" s="14">
        <v>43436</v>
      </c>
      <c r="W12" s="15"/>
      <c r="X12" s="15"/>
      <c r="Y12" s="13"/>
      <c r="Z12" s="15"/>
      <c r="AA12" s="15"/>
      <c r="AB12" s="15"/>
      <c r="AC12" s="13"/>
      <c r="AD12" s="15"/>
      <c r="AE12" s="15"/>
      <c r="AF12" s="15"/>
      <c r="AG12" s="13"/>
      <c r="AH12" s="15"/>
      <c r="AI12" s="15"/>
      <c r="AJ12" s="15"/>
      <c r="AK12" s="13"/>
      <c r="AL12" s="15"/>
      <c r="AM12" s="15"/>
      <c r="AN12" s="13"/>
      <c r="AO12" s="13"/>
    </row>
    <row r="13" spans="1:41" ht="42.8" x14ac:dyDescent="0.25">
      <c r="A13" s="13" t="s">
        <v>117</v>
      </c>
      <c r="B13" s="13" t="s">
        <v>77</v>
      </c>
      <c r="C13" s="14">
        <v>44053.462500000001</v>
      </c>
      <c r="D13" s="13" t="s">
        <v>78</v>
      </c>
      <c r="E13" s="15" t="s">
        <v>79</v>
      </c>
      <c r="F13" s="13" t="s">
        <v>80</v>
      </c>
      <c r="G13" s="15" t="s">
        <v>81</v>
      </c>
      <c r="H13" s="13" t="s">
        <v>82</v>
      </c>
      <c r="I13" s="15" t="s">
        <v>81</v>
      </c>
      <c r="J13" s="15" t="s">
        <v>83</v>
      </c>
      <c r="K13" s="15" t="s">
        <v>84</v>
      </c>
      <c r="L13" s="13" t="s">
        <v>143</v>
      </c>
      <c r="M13" s="15" t="s">
        <v>144</v>
      </c>
      <c r="N13" s="14" t="s">
        <v>87</v>
      </c>
      <c r="O13" s="15" t="s">
        <v>145</v>
      </c>
      <c r="P13" s="15" t="s">
        <v>146</v>
      </c>
      <c r="Q13" s="15" t="s">
        <v>175</v>
      </c>
      <c r="R13" s="13" t="s">
        <v>176</v>
      </c>
      <c r="S13" s="13" t="s">
        <v>92</v>
      </c>
      <c r="T13" s="13" t="s">
        <v>93</v>
      </c>
      <c r="U13" s="14">
        <v>40725</v>
      </c>
      <c r="V13" s="14">
        <v>43435</v>
      </c>
      <c r="W13" s="15"/>
      <c r="X13" s="15"/>
      <c r="Y13" s="13"/>
      <c r="Z13" s="15"/>
      <c r="AA13" s="15"/>
      <c r="AB13" s="15"/>
      <c r="AC13" s="13"/>
      <c r="AD13" s="15"/>
      <c r="AE13" s="15"/>
      <c r="AF13" s="15"/>
      <c r="AG13" s="13"/>
      <c r="AH13" s="15"/>
      <c r="AI13" s="15"/>
      <c r="AJ13" s="15"/>
      <c r="AK13" s="13"/>
      <c r="AL13" s="15"/>
      <c r="AM13" s="15"/>
      <c r="AN13" s="13"/>
      <c r="AO13" s="13"/>
    </row>
    <row r="14" spans="1:41" ht="42.8" x14ac:dyDescent="0.25">
      <c r="A14" s="13" t="s">
        <v>76</v>
      </c>
      <c r="B14" s="13" t="s">
        <v>77</v>
      </c>
      <c r="C14" s="14">
        <v>45628.726388888892</v>
      </c>
      <c r="D14" s="13" t="s">
        <v>78</v>
      </c>
      <c r="E14" s="15" t="s">
        <v>79</v>
      </c>
      <c r="F14" s="13" t="s">
        <v>80</v>
      </c>
      <c r="G14" s="15" t="s">
        <v>81</v>
      </c>
      <c r="H14" s="13" t="s">
        <v>82</v>
      </c>
      <c r="I14" s="15" t="s">
        <v>81</v>
      </c>
      <c r="J14" s="15" t="s">
        <v>83</v>
      </c>
      <c r="K14" s="15" t="s">
        <v>84</v>
      </c>
      <c r="L14" s="13" t="s">
        <v>143</v>
      </c>
      <c r="M14" s="15" t="s">
        <v>144</v>
      </c>
      <c r="N14" s="14" t="s">
        <v>87</v>
      </c>
      <c r="O14" s="15" t="s">
        <v>145</v>
      </c>
      <c r="P14" s="15" t="s">
        <v>146</v>
      </c>
      <c r="Q14" s="15" t="s">
        <v>175</v>
      </c>
      <c r="R14" s="13" t="s">
        <v>176</v>
      </c>
      <c r="S14" s="13" t="s">
        <v>92</v>
      </c>
      <c r="T14" s="13" t="s">
        <v>93</v>
      </c>
      <c r="U14" s="14">
        <v>43436</v>
      </c>
      <c r="V14" s="14">
        <v>43436</v>
      </c>
      <c r="W14" s="15"/>
      <c r="X14" s="15"/>
      <c r="Y14" s="13"/>
      <c r="Z14" s="15"/>
      <c r="AA14" s="15"/>
      <c r="AB14" s="15"/>
      <c r="AC14" s="13"/>
      <c r="AD14" s="15"/>
      <c r="AE14" s="15"/>
      <c r="AF14" s="15"/>
      <c r="AG14" s="13"/>
      <c r="AH14" s="15"/>
      <c r="AI14" s="15"/>
      <c r="AJ14" s="15"/>
      <c r="AK14" s="13"/>
      <c r="AL14" s="15"/>
      <c r="AM14" s="15"/>
      <c r="AN14" s="13"/>
      <c r="AO14" s="13"/>
    </row>
    <row r="15" spans="1:41" ht="28.55" x14ac:dyDescent="0.25">
      <c r="A15" s="13" t="s">
        <v>76</v>
      </c>
      <c r="B15" s="13" t="s">
        <v>77</v>
      </c>
      <c r="C15" s="14">
        <v>45628.70208333333</v>
      </c>
      <c r="D15" s="13" t="s">
        <v>78</v>
      </c>
      <c r="E15" s="15" t="s">
        <v>79</v>
      </c>
      <c r="F15" s="13" t="s">
        <v>80</v>
      </c>
      <c r="G15" s="15" t="s">
        <v>81</v>
      </c>
      <c r="H15" s="13" t="s">
        <v>82</v>
      </c>
      <c r="I15" s="15" t="s">
        <v>81</v>
      </c>
      <c r="J15" s="15" t="s">
        <v>83</v>
      </c>
      <c r="K15" s="15" t="s">
        <v>84</v>
      </c>
      <c r="L15" s="13" t="s">
        <v>85</v>
      </c>
      <c r="M15" s="15" t="s">
        <v>86</v>
      </c>
      <c r="N15" s="14" t="s">
        <v>87</v>
      </c>
      <c r="O15" s="15" t="s">
        <v>88</v>
      </c>
      <c r="P15" s="15" t="s">
        <v>89</v>
      </c>
      <c r="Q15" s="15" t="s">
        <v>187</v>
      </c>
      <c r="R15" s="13" t="s">
        <v>188</v>
      </c>
      <c r="S15" s="13" t="s">
        <v>92</v>
      </c>
      <c r="T15" s="13" t="s">
        <v>174</v>
      </c>
      <c r="U15" s="14">
        <v>40725</v>
      </c>
      <c r="V15" s="14">
        <v>40725</v>
      </c>
      <c r="W15" s="15"/>
      <c r="X15" s="15"/>
      <c r="Y15" s="13"/>
      <c r="Z15" s="15"/>
      <c r="AA15" s="15"/>
      <c r="AB15" s="15"/>
      <c r="AC15" s="13"/>
      <c r="AD15" s="15"/>
      <c r="AE15" s="15"/>
      <c r="AF15" s="15"/>
      <c r="AG15" s="13"/>
      <c r="AH15" s="15"/>
      <c r="AI15" s="15"/>
      <c r="AJ15" s="15"/>
      <c r="AK15" s="13"/>
      <c r="AL15" s="15"/>
      <c r="AM15" s="15"/>
      <c r="AN15" s="13"/>
      <c r="AO15" s="13"/>
    </row>
    <row r="16" spans="1:41" ht="42.8" x14ac:dyDescent="0.25">
      <c r="A16" s="13" t="s">
        <v>76</v>
      </c>
      <c r="B16" s="13" t="s">
        <v>77</v>
      </c>
      <c r="C16" s="14">
        <v>45628.703472222223</v>
      </c>
      <c r="D16" s="13" t="s">
        <v>78</v>
      </c>
      <c r="E16" s="15" t="s">
        <v>79</v>
      </c>
      <c r="F16" s="13" t="s">
        <v>80</v>
      </c>
      <c r="G16" s="15" t="s">
        <v>81</v>
      </c>
      <c r="H16" s="13" t="s">
        <v>82</v>
      </c>
      <c r="I16" s="15" t="s">
        <v>81</v>
      </c>
      <c r="J16" s="15" t="s">
        <v>83</v>
      </c>
      <c r="K16" s="15" t="s">
        <v>84</v>
      </c>
      <c r="L16" s="13" t="s">
        <v>118</v>
      </c>
      <c r="M16" s="15" t="s">
        <v>119</v>
      </c>
      <c r="N16" s="14" t="s">
        <v>87</v>
      </c>
      <c r="O16" s="15" t="s">
        <v>120</v>
      </c>
      <c r="P16" s="15" t="s">
        <v>121</v>
      </c>
      <c r="Q16" s="15" t="s">
        <v>187</v>
      </c>
      <c r="R16" s="13" t="s">
        <v>188</v>
      </c>
      <c r="S16" s="13" t="s">
        <v>92</v>
      </c>
      <c r="T16" s="13" t="s">
        <v>174</v>
      </c>
      <c r="U16" s="14">
        <v>40725</v>
      </c>
      <c r="V16" s="14">
        <v>40725</v>
      </c>
      <c r="W16" s="15"/>
      <c r="X16" s="15"/>
      <c r="Y16" s="13"/>
      <c r="Z16" s="15"/>
      <c r="AA16" s="15"/>
      <c r="AB16" s="15"/>
      <c r="AC16" s="13"/>
      <c r="AD16" s="15"/>
      <c r="AE16" s="15"/>
      <c r="AF16" s="15"/>
      <c r="AG16" s="13"/>
      <c r="AH16" s="15"/>
      <c r="AI16" s="15"/>
      <c r="AJ16" s="15"/>
      <c r="AK16" s="13"/>
      <c r="AL16" s="15"/>
      <c r="AM16" s="15"/>
      <c r="AN16" s="13"/>
      <c r="AO16" s="13"/>
    </row>
    <row r="17" spans="1:41" ht="42.8" x14ac:dyDescent="0.25">
      <c r="A17" s="13" t="s">
        <v>76</v>
      </c>
      <c r="B17" s="13" t="s">
        <v>77</v>
      </c>
      <c r="C17" s="14">
        <v>45628.704861111109</v>
      </c>
      <c r="D17" s="13" t="s">
        <v>78</v>
      </c>
      <c r="E17" s="15" t="s">
        <v>79</v>
      </c>
      <c r="F17" s="13" t="s">
        <v>80</v>
      </c>
      <c r="G17" s="15" t="s">
        <v>81</v>
      </c>
      <c r="H17" s="13" t="s">
        <v>82</v>
      </c>
      <c r="I17" s="15" t="s">
        <v>81</v>
      </c>
      <c r="J17" s="15" t="s">
        <v>83</v>
      </c>
      <c r="K17" s="15" t="s">
        <v>84</v>
      </c>
      <c r="L17" s="13" t="s">
        <v>143</v>
      </c>
      <c r="M17" s="15" t="s">
        <v>144</v>
      </c>
      <c r="N17" s="14" t="s">
        <v>87</v>
      </c>
      <c r="O17" s="15" t="s">
        <v>145</v>
      </c>
      <c r="P17" s="15" t="s">
        <v>146</v>
      </c>
      <c r="Q17" s="15" t="s">
        <v>187</v>
      </c>
      <c r="R17" s="13" t="s">
        <v>188</v>
      </c>
      <c r="S17" s="13" t="s">
        <v>92</v>
      </c>
      <c r="T17" s="13" t="s">
        <v>174</v>
      </c>
      <c r="U17" s="14">
        <v>40725</v>
      </c>
      <c r="V17" s="14">
        <v>40725</v>
      </c>
      <c r="W17" s="15"/>
      <c r="X17" s="15"/>
      <c r="Y17" s="13"/>
      <c r="Z17" s="15"/>
      <c r="AA17" s="15"/>
      <c r="AB17" s="15"/>
      <c r="AC17" s="13"/>
      <c r="AD17" s="15"/>
      <c r="AE17" s="15"/>
      <c r="AF17" s="15"/>
      <c r="AG17" s="13"/>
      <c r="AH17" s="15"/>
      <c r="AI17" s="15"/>
      <c r="AJ17" s="15"/>
      <c r="AK17" s="13"/>
      <c r="AL17" s="15"/>
      <c r="AM17" s="15"/>
      <c r="AN17" s="13"/>
      <c r="AO17" s="13"/>
    </row>
    <row r="18" spans="1:41" ht="28.55" x14ac:dyDescent="0.25">
      <c r="A18" s="13" t="s">
        <v>76</v>
      </c>
      <c r="B18" s="13" t="s">
        <v>77</v>
      </c>
      <c r="C18" s="14">
        <v>45628.70208333333</v>
      </c>
      <c r="D18" s="13" t="s">
        <v>78</v>
      </c>
      <c r="E18" s="15" t="s">
        <v>79</v>
      </c>
      <c r="F18" s="13" t="s">
        <v>80</v>
      </c>
      <c r="G18" s="15" t="s">
        <v>81</v>
      </c>
      <c r="H18" s="13" t="s">
        <v>82</v>
      </c>
      <c r="I18" s="15" t="s">
        <v>81</v>
      </c>
      <c r="J18" s="15" t="s">
        <v>83</v>
      </c>
      <c r="K18" s="15" t="s">
        <v>84</v>
      </c>
      <c r="L18" s="13" t="s">
        <v>85</v>
      </c>
      <c r="M18" s="15" t="s">
        <v>86</v>
      </c>
      <c r="N18" s="14" t="s">
        <v>87</v>
      </c>
      <c r="O18" s="15" t="s">
        <v>88</v>
      </c>
      <c r="P18" s="15" t="s">
        <v>89</v>
      </c>
      <c r="Q18" s="15" t="s">
        <v>189</v>
      </c>
      <c r="R18" s="13" t="s">
        <v>190</v>
      </c>
      <c r="S18" s="13" t="s">
        <v>92</v>
      </c>
      <c r="T18" s="13" t="s">
        <v>174</v>
      </c>
      <c r="U18" s="14">
        <v>40725</v>
      </c>
      <c r="V18" s="14">
        <v>40725</v>
      </c>
      <c r="W18" s="15"/>
      <c r="X18" s="15"/>
      <c r="Y18" s="13"/>
      <c r="Z18" s="15"/>
      <c r="AA18" s="15"/>
      <c r="AB18" s="15"/>
      <c r="AC18" s="13"/>
      <c r="AD18" s="15"/>
      <c r="AE18" s="15"/>
      <c r="AF18" s="15"/>
      <c r="AG18" s="13"/>
      <c r="AH18" s="15"/>
      <c r="AI18" s="15"/>
      <c r="AJ18" s="15"/>
      <c r="AK18" s="13"/>
      <c r="AL18" s="15"/>
      <c r="AM18" s="15"/>
      <c r="AN18" s="13"/>
      <c r="AO18" s="13"/>
    </row>
    <row r="19" spans="1:41" ht="42.8" x14ac:dyDescent="0.25">
      <c r="A19" s="13" t="s">
        <v>76</v>
      </c>
      <c r="B19" s="13" t="s">
        <v>77</v>
      </c>
      <c r="C19" s="14">
        <v>45628.702777777777</v>
      </c>
      <c r="D19" s="13" t="s">
        <v>78</v>
      </c>
      <c r="E19" s="15" t="s">
        <v>79</v>
      </c>
      <c r="F19" s="13" t="s">
        <v>80</v>
      </c>
      <c r="G19" s="15" t="s">
        <v>81</v>
      </c>
      <c r="H19" s="13" t="s">
        <v>82</v>
      </c>
      <c r="I19" s="15" t="s">
        <v>81</v>
      </c>
      <c r="J19" s="15" t="s">
        <v>83</v>
      </c>
      <c r="K19" s="15" t="s">
        <v>84</v>
      </c>
      <c r="L19" s="13" t="s">
        <v>118</v>
      </c>
      <c r="M19" s="15" t="s">
        <v>119</v>
      </c>
      <c r="N19" s="14" t="s">
        <v>87</v>
      </c>
      <c r="O19" s="15" t="s">
        <v>120</v>
      </c>
      <c r="P19" s="15" t="s">
        <v>121</v>
      </c>
      <c r="Q19" s="15" t="s">
        <v>189</v>
      </c>
      <c r="R19" s="13" t="s">
        <v>190</v>
      </c>
      <c r="S19" s="13" t="s">
        <v>92</v>
      </c>
      <c r="T19" s="13" t="s">
        <v>174</v>
      </c>
      <c r="U19" s="14">
        <v>40725</v>
      </c>
      <c r="V19" s="14">
        <v>40725</v>
      </c>
      <c r="W19" s="15"/>
      <c r="X19" s="15"/>
      <c r="Y19" s="13"/>
      <c r="Z19" s="15"/>
      <c r="AA19" s="15"/>
      <c r="AB19" s="15"/>
      <c r="AC19" s="13"/>
      <c r="AD19" s="15"/>
      <c r="AE19" s="15"/>
      <c r="AF19" s="15"/>
      <c r="AG19" s="13"/>
      <c r="AH19" s="15"/>
      <c r="AI19" s="15"/>
      <c r="AJ19" s="15"/>
      <c r="AK19" s="13"/>
      <c r="AL19" s="15"/>
      <c r="AM19" s="15"/>
      <c r="AN19" s="13"/>
      <c r="AO19" s="13"/>
    </row>
    <row r="20" spans="1:41" ht="42.8" x14ac:dyDescent="0.25">
      <c r="A20" s="13" t="s">
        <v>76</v>
      </c>
      <c r="B20" s="13" t="s">
        <v>77</v>
      </c>
      <c r="C20" s="14">
        <v>45628.704861111109</v>
      </c>
      <c r="D20" s="13" t="s">
        <v>78</v>
      </c>
      <c r="E20" s="15" t="s">
        <v>79</v>
      </c>
      <c r="F20" s="13" t="s">
        <v>80</v>
      </c>
      <c r="G20" s="15" t="s">
        <v>81</v>
      </c>
      <c r="H20" s="13" t="s">
        <v>82</v>
      </c>
      <c r="I20" s="15" t="s">
        <v>81</v>
      </c>
      <c r="J20" s="15" t="s">
        <v>83</v>
      </c>
      <c r="K20" s="15" t="s">
        <v>84</v>
      </c>
      <c r="L20" s="13" t="s">
        <v>143</v>
      </c>
      <c r="M20" s="15" t="s">
        <v>144</v>
      </c>
      <c r="N20" s="14" t="s">
        <v>87</v>
      </c>
      <c r="O20" s="15" t="s">
        <v>145</v>
      </c>
      <c r="P20" s="15" t="s">
        <v>146</v>
      </c>
      <c r="Q20" s="15" t="s">
        <v>189</v>
      </c>
      <c r="R20" s="13" t="s">
        <v>190</v>
      </c>
      <c r="S20" s="13" t="s">
        <v>92</v>
      </c>
      <c r="T20" s="13" t="s">
        <v>174</v>
      </c>
      <c r="U20" s="14">
        <v>40725</v>
      </c>
      <c r="V20" s="14">
        <v>40725</v>
      </c>
      <c r="W20" s="15"/>
      <c r="X20" s="15"/>
      <c r="Y20" s="13"/>
      <c r="Z20" s="15"/>
      <c r="AA20" s="15"/>
      <c r="AB20" s="15"/>
      <c r="AC20" s="13"/>
      <c r="AD20" s="15"/>
      <c r="AE20" s="15"/>
      <c r="AF20" s="15"/>
      <c r="AG20" s="13"/>
      <c r="AH20" s="15"/>
      <c r="AI20" s="15"/>
      <c r="AJ20" s="15"/>
      <c r="AK20" s="13"/>
      <c r="AL20" s="15"/>
      <c r="AM20" s="15"/>
      <c r="AN20" s="13"/>
      <c r="AO20" s="13"/>
    </row>
    <row r="21" spans="1:41" ht="28.55" x14ac:dyDescent="0.25">
      <c r="A21" s="13" t="s">
        <v>76</v>
      </c>
      <c r="B21" s="13" t="s">
        <v>77</v>
      </c>
      <c r="C21" s="14">
        <v>45628.705555555556</v>
      </c>
      <c r="D21" s="13" t="s">
        <v>78</v>
      </c>
      <c r="E21" s="15" t="s">
        <v>79</v>
      </c>
      <c r="F21" s="13" t="s">
        <v>80</v>
      </c>
      <c r="G21" s="15" t="s">
        <v>81</v>
      </c>
      <c r="H21" s="13" t="s">
        <v>82</v>
      </c>
      <c r="I21" s="15" t="s">
        <v>81</v>
      </c>
      <c r="J21" s="15" t="s">
        <v>83</v>
      </c>
      <c r="K21" s="15" t="s">
        <v>84</v>
      </c>
      <c r="L21" s="13" t="s">
        <v>85</v>
      </c>
      <c r="M21" s="15" t="s">
        <v>86</v>
      </c>
      <c r="N21" s="14" t="s">
        <v>87</v>
      </c>
      <c r="O21" s="15" t="s">
        <v>88</v>
      </c>
      <c r="P21" s="15" t="s">
        <v>89</v>
      </c>
      <c r="Q21" s="15" t="s">
        <v>191</v>
      </c>
      <c r="R21" s="13" t="s">
        <v>192</v>
      </c>
      <c r="S21" s="13" t="s">
        <v>193</v>
      </c>
      <c r="T21" s="13" t="s">
        <v>174</v>
      </c>
      <c r="U21" s="14">
        <v>40725</v>
      </c>
      <c r="V21" s="14">
        <v>40725</v>
      </c>
      <c r="W21" s="15"/>
      <c r="X21" s="15"/>
      <c r="Y21" s="13"/>
      <c r="Z21" s="15"/>
      <c r="AA21" s="15"/>
      <c r="AB21" s="15"/>
      <c r="AC21" s="13"/>
      <c r="AD21" s="15"/>
      <c r="AE21" s="15"/>
      <c r="AF21" s="15"/>
      <c r="AG21" s="13"/>
      <c r="AH21" s="15"/>
      <c r="AI21" s="15"/>
      <c r="AJ21" s="15"/>
      <c r="AK21" s="13"/>
      <c r="AL21" s="15"/>
      <c r="AM21" s="15"/>
      <c r="AN21" s="13"/>
      <c r="AO21" s="13"/>
    </row>
    <row r="22" spans="1:41" ht="42.8" x14ac:dyDescent="0.25">
      <c r="A22" s="13" t="s">
        <v>76</v>
      </c>
      <c r="B22" s="13" t="s">
        <v>77</v>
      </c>
      <c r="C22" s="14">
        <v>45628.706944444442</v>
      </c>
      <c r="D22" s="13" t="s">
        <v>78</v>
      </c>
      <c r="E22" s="15" t="s">
        <v>79</v>
      </c>
      <c r="F22" s="13" t="s">
        <v>80</v>
      </c>
      <c r="G22" s="15" t="s">
        <v>81</v>
      </c>
      <c r="H22" s="13" t="s">
        <v>82</v>
      </c>
      <c r="I22" s="15" t="s">
        <v>81</v>
      </c>
      <c r="J22" s="15" t="s">
        <v>83</v>
      </c>
      <c r="K22" s="15" t="s">
        <v>84</v>
      </c>
      <c r="L22" s="13" t="s">
        <v>118</v>
      </c>
      <c r="M22" s="15" t="s">
        <v>119</v>
      </c>
      <c r="N22" s="14" t="s">
        <v>87</v>
      </c>
      <c r="O22" s="15" t="s">
        <v>120</v>
      </c>
      <c r="P22" s="15" t="s">
        <v>121</v>
      </c>
      <c r="Q22" s="15" t="s">
        <v>191</v>
      </c>
      <c r="R22" s="13" t="s">
        <v>192</v>
      </c>
      <c r="S22" s="13" t="s">
        <v>193</v>
      </c>
      <c r="T22" s="13" t="s">
        <v>174</v>
      </c>
      <c r="U22" s="14">
        <v>40725</v>
      </c>
      <c r="V22" s="14">
        <v>40725</v>
      </c>
      <c r="W22" s="15"/>
      <c r="X22" s="15"/>
      <c r="Y22" s="13"/>
      <c r="Z22" s="15"/>
      <c r="AA22" s="15"/>
      <c r="AB22" s="15"/>
      <c r="AC22" s="13"/>
      <c r="AD22" s="15"/>
      <c r="AE22" s="15"/>
      <c r="AF22" s="15"/>
      <c r="AG22" s="13"/>
      <c r="AH22" s="15"/>
      <c r="AI22" s="15"/>
      <c r="AJ22" s="15"/>
      <c r="AK22" s="13"/>
      <c r="AL22" s="15"/>
      <c r="AM22" s="15"/>
      <c r="AN22" s="13"/>
      <c r="AO22" s="13"/>
    </row>
    <row r="23" spans="1:41" ht="42.8" x14ac:dyDescent="0.25">
      <c r="A23" s="13" t="s">
        <v>76</v>
      </c>
      <c r="B23" s="13" t="s">
        <v>77</v>
      </c>
      <c r="C23" s="14">
        <v>45628.708333333336</v>
      </c>
      <c r="D23" s="13" t="s">
        <v>78</v>
      </c>
      <c r="E23" s="15" t="s">
        <v>79</v>
      </c>
      <c r="F23" s="13" t="s">
        <v>80</v>
      </c>
      <c r="G23" s="15" t="s">
        <v>81</v>
      </c>
      <c r="H23" s="13" t="s">
        <v>82</v>
      </c>
      <c r="I23" s="15" t="s">
        <v>81</v>
      </c>
      <c r="J23" s="15" t="s">
        <v>83</v>
      </c>
      <c r="K23" s="15" t="s">
        <v>84</v>
      </c>
      <c r="L23" s="13" t="s">
        <v>143</v>
      </c>
      <c r="M23" s="15" t="s">
        <v>144</v>
      </c>
      <c r="N23" s="14" t="s">
        <v>87</v>
      </c>
      <c r="O23" s="15" t="s">
        <v>145</v>
      </c>
      <c r="P23" s="15" t="s">
        <v>146</v>
      </c>
      <c r="Q23" s="15" t="s">
        <v>191</v>
      </c>
      <c r="R23" s="13" t="s">
        <v>192</v>
      </c>
      <c r="S23" s="13" t="s">
        <v>193</v>
      </c>
      <c r="T23" s="13" t="s">
        <v>174</v>
      </c>
      <c r="U23" s="14">
        <v>40725</v>
      </c>
      <c r="V23" s="14">
        <v>40725</v>
      </c>
      <c r="W23" s="15"/>
      <c r="X23" s="15"/>
      <c r="Y23" s="13"/>
      <c r="Z23" s="15"/>
      <c r="AA23" s="15"/>
      <c r="AB23" s="15"/>
      <c r="AC23" s="13"/>
      <c r="AD23" s="15"/>
      <c r="AE23" s="15"/>
      <c r="AF23" s="15"/>
      <c r="AG23" s="13"/>
      <c r="AH23" s="15"/>
      <c r="AI23" s="15"/>
      <c r="AJ23" s="15"/>
      <c r="AK23" s="13"/>
      <c r="AL23" s="15"/>
      <c r="AM23" s="15"/>
      <c r="AN23" s="13"/>
      <c r="AO23" s="13"/>
    </row>
    <row r="24" spans="1:41" ht="28.55" x14ac:dyDescent="0.25">
      <c r="A24" s="13" t="s">
        <v>76</v>
      </c>
      <c r="B24" s="13" t="s">
        <v>77</v>
      </c>
      <c r="C24" s="14">
        <v>45628.705555555556</v>
      </c>
      <c r="D24" s="13" t="s">
        <v>78</v>
      </c>
      <c r="E24" s="15" t="s">
        <v>79</v>
      </c>
      <c r="F24" s="13" t="s">
        <v>80</v>
      </c>
      <c r="G24" s="15" t="s">
        <v>81</v>
      </c>
      <c r="H24" s="13" t="s">
        <v>82</v>
      </c>
      <c r="I24" s="15" t="s">
        <v>81</v>
      </c>
      <c r="J24" s="15" t="s">
        <v>83</v>
      </c>
      <c r="K24" s="15" t="s">
        <v>84</v>
      </c>
      <c r="L24" s="13" t="s">
        <v>85</v>
      </c>
      <c r="M24" s="15" t="s">
        <v>86</v>
      </c>
      <c r="N24" s="14" t="s">
        <v>87</v>
      </c>
      <c r="O24" s="15" t="s">
        <v>88</v>
      </c>
      <c r="P24" s="15" t="s">
        <v>89</v>
      </c>
      <c r="Q24" s="15" t="s">
        <v>194</v>
      </c>
      <c r="R24" s="13" t="s">
        <v>195</v>
      </c>
      <c r="S24" s="13" t="s">
        <v>193</v>
      </c>
      <c r="T24" s="13" t="s">
        <v>174</v>
      </c>
      <c r="U24" s="14">
        <v>40725</v>
      </c>
      <c r="V24" s="14">
        <v>40725</v>
      </c>
      <c r="W24" s="15"/>
      <c r="X24" s="15"/>
      <c r="Y24" s="13"/>
      <c r="Z24" s="15"/>
      <c r="AA24" s="15"/>
      <c r="AB24" s="15"/>
      <c r="AC24" s="13"/>
      <c r="AD24" s="15"/>
      <c r="AE24" s="15"/>
      <c r="AF24" s="15"/>
      <c r="AG24" s="13"/>
      <c r="AH24" s="15"/>
      <c r="AI24" s="15"/>
      <c r="AJ24" s="15"/>
      <c r="AK24" s="13"/>
      <c r="AL24" s="15"/>
      <c r="AM24" s="15"/>
      <c r="AN24" s="13"/>
      <c r="AO24" s="13"/>
    </row>
    <row r="25" spans="1:41" ht="42.8" x14ac:dyDescent="0.25">
      <c r="A25" s="13" t="s">
        <v>76</v>
      </c>
      <c r="B25" s="13" t="s">
        <v>77</v>
      </c>
      <c r="C25" s="14">
        <v>45628.706944444442</v>
      </c>
      <c r="D25" s="13" t="s">
        <v>78</v>
      </c>
      <c r="E25" s="15" t="s">
        <v>79</v>
      </c>
      <c r="F25" s="13" t="s">
        <v>80</v>
      </c>
      <c r="G25" s="15" t="s">
        <v>81</v>
      </c>
      <c r="H25" s="13" t="s">
        <v>82</v>
      </c>
      <c r="I25" s="15" t="s">
        <v>81</v>
      </c>
      <c r="J25" s="15" t="s">
        <v>83</v>
      </c>
      <c r="K25" s="15" t="s">
        <v>84</v>
      </c>
      <c r="L25" s="13" t="s">
        <v>118</v>
      </c>
      <c r="M25" s="15" t="s">
        <v>119</v>
      </c>
      <c r="N25" s="14" t="s">
        <v>87</v>
      </c>
      <c r="O25" s="15" t="s">
        <v>120</v>
      </c>
      <c r="P25" s="15" t="s">
        <v>121</v>
      </c>
      <c r="Q25" s="15" t="s">
        <v>194</v>
      </c>
      <c r="R25" s="13" t="s">
        <v>195</v>
      </c>
      <c r="S25" s="13" t="s">
        <v>193</v>
      </c>
      <c r="T25" s="13" t="s">
        <v>174</v>
      </c>
      <c r="U25" s="14">
        <v>40725</v>
      </c>
      <c r="V25" s="14">
        <v>40725</v>
      </c>
      <c r="W25" s="15"/>
      <c r="X25" s="15"/>
      <c r="Y25" s="13"/>
      <c r="Z25" s="15"/>
      <c r="AA25" s="15"/>
      <c r="AB25" s="15"/>
      <c r="AC25" s="13"/>
      <c r="AD25" s="15"/>
      <c r="AE25" s="15"/>
      <c r="AF25" s="15"/>
      <c r="AG25" s="13"/>
      <c r="AH25" s="15"/>
      <c r="AI25" s="15"/>
      <c r="AJ25" s="15"/>
      <c r="AK25" s="13"/>
      <c r="AL25" s="15"/>
      <c r="AM25" s="15"/>
      <c r="AN25" s="13"/>
      <c r="AO25" s="13"/>
    </row>
    <row r="26" spans="1:41" ht="42.8" x14ac:dyDescent="0.25">
      <c r="A26" s="13" t="s">
        <v>76</v>
      </c>
      <c r="B26" s="13" t="s">
        <v>77</v>
      </c>
      <c r="C26" s="14">
        <v>45628.709027777775</v>
      </c>
      <c r="D26" s="13" t="s">
        <v>78</v>
      </c>
      <c r="E26" s="15" t="s">
        <v>79</v>
      </c>
      <c r="F26" s="13" t="s">
        <v>80</v>
      </c>
      <c r="G26" s="15" t="s">
        <v>81</v>
      </c>
      <c r="H26" s="13" t="s">
        <v>82</v>
      </c>
      <c r="I26" s="15" t="s">
        <v>81</v>
      </c>
      <c r="J26" s="15" t="s">
        <v>83</v>
      </c>
      <c r="K26" s="15" t="s">
        <v>84</v>
      </c>
      <c r="L26" s="13" t="s">
        <v>143</v>
      </c>
      <c r="M26" s="15" t="s">
        <v>144</v>
      </c>
      <c r="N26" s="14" t="s">
        <v>87</v>
      </c>
      <c r="O26" s="15" t="s">
        <v>145</v>
      </c>
      <c r="P26" s="15" t="s">
        <v>146</v>
      </c>
      <c r="Q26" s="15" t="s">
        <v>194</v>
      </c>
      <c r="R26" s="13" t="s">
        <v>195</v>
      </c>
      <c r="S26" s="13" t="s">
        <v>193</v>
      </c>
      <c r="T26" s="13" t="s">
        <v>174</v>
      </c>
      <c r="U26" s="14">
        <v>40725</v>
      </c>
      <c r="V26" s="14">
        <v>40725</v>
      </c>
      <c r="W26" s="15"/>
      <c r="X26" s="15"/>
      <c r="Y26" s="13"/>
      <c r="Z26" s="15"/>
      <c r="AA26" s="15"/>
      <c r="AB26" s="15"/>
      <c r="AC26" s="13"/>
      <c r="AD26" s="15"/>
      <c r="AE26" s="15"/>
      <c r="AF26" s="15"/>
      <c r="AG26" s="13"/>
      <c r="AH26" s="15"/>
      <c r="AI26" s="15"/>
      <c r="AJ26" s="15"/>
      <c r="AK26" s="13"/>
      <c r="AL26" s="15"/>
      <c r="AM26" s="15"/>
      <c r="AN26" s="13"/>
      <c r="AO26" s="13"/>
    </row>
    <row r="27" spans="1:41" ht="28.55" x14ac:dyDescent="0.25">
      <c r="A27" s="13" t="s">
        <v>76</v>
      </c>
      <c r="B27" s="13" t="s">
        <v>77</v>
      </c>
      <c r="C27" s="14">
        <v>45628.706250000003</v>
      </c>
      <c r="D27" s="13" t="s">
        <v>78</v>
      </c>
      <c r="E27" s="15" t="s">
        <v>79</v>
      </c>
      <c r="F27" s="13" t="s">
        <v>80</v>
      </c>
      <c r="G27" s="15" t="s">
        <v>81</v>
      </c>
      <c r="H27" s="13" t="s">
        <v>82</v>
      </c>
      <c r="I27" s="15" t="s">
        <v>81</v>
      </c>
      <c r="J27" s="15" t="s">
        <v>83</v>
      </c>
      <c r="K27" s="15" t="s">
        <v>84</v>
      </c>
      <c r="L27" s="13" t="s">
        <v>85</v>
      </c>
      <c r="M27" s="15" t="s">
        <v>86</v>
      </c>
      <c r="N27" s="14" t="s">
        <v>87</v>
      </c>
      <c r="O27" s="15" t="s">
        <v>88</v>
      </c>
      <c r="P27" s="15" t="s">
        <v>89</v>
      </c>
      <c r="Q27" s="15" t="s">
        <v>196</v>
      </c>
      <c r="R27" s="13" t="s">
        <v>197</v>
      </c>
      <c r="S27" s="13" t="s">
        <v>193</v>
      </c>
      <c r="T27" s="13" t="s">
        <v>174</v>
      </c>
      <c r="U27" s="14">
        <v>40725</v>
      </c>
      <c r="V27" s="14">
        <v>40725</v>
      </c>
      <c r="W27" s="15"/>
      <c r="X27" s="15"/>
      <c r="Y27" s="13"/>
      <c r="Z27" s="15"/>
      <c r="AA27" s="15"/>
      <c r="AB27" s="15"/>
      <c r="AC27" s="13"/>
      <c r="AD27" s="15"/>
      <c r="AE27" s="15"/>
      <c r="AF27" s="15"/>
      <c r="AG27" s="13"/>
      <c r="AH27" s="15"/>
      <c r="AI27" s="15"/>
      <c r="AJ27" s="15"/>
      <c r="AK27" s="13"/>
      <c r="AL27" s="15"/>
      <c r="AM27" s="15"/>
      <c r="AN27" s="13"/>
      <c r="AO27" s="13"/>
    </row>
    <row r="28" spans="1:41" ht="42.8" x14ac:dyDescent="0.25">
      <c r="A28" s="13" t="s">
        <v>76</v>
      </c>
      <c r="B28" s="13" t="s">
        <v>77</v>
      </c>
      <c r="C28" s="14">
        <v>45628.707638888889</v>
      </c>
      <c r="D28" s="13" t="s">
        <v>78</v>
      </c>
      <c r="E28" s="15" t="s">
        <v>79</v>
      </c>
      <c r="F28" s="13" t="s">
        <v>80</v>
      </c>
      <c r="G28" s="15" t="s">
        <v>81</v>
      </c>
      <c r="H28" s="13" t="s">
        <v>82</v>
      </c>
      <c r="I28" s="15" t="s">
        <v>81</v>
      </c>
      <c r="J28" s="15" t="s">
        <v>83</v>
      </c>
      <c r="K28" s="15" t="s">
        <v>84</v>
      </c>
      <c r="L28" s="13" t="s">
        <v>118</v>
      </c>
      <c r="M28" s="15" t="s">
        <v>119</v>
      </c>
      <c r="N28" s="14" t="s">
        <v>87</v>
      </c>
      <c r="O28" s="15" t="s">
        <v>120</v>
      </c>
      <c r="P28" s="15" t="s">
        <v>121</v>
      </c>
      <c r="Q28" s="15" t="s">
        <v>196</v>
      </c>
      <c r="R28" s="13" t="s">
        <v>197</v>
      </c>
      <c r="S28" s="13" t="s">
        <v>193</v>
      </c>
      <c r="T28" s="13" t="s">
        <v>174</v>
      </c>
      <c r="U28" s="14">
        <v>40725</v>
      </c>
      <c r="V28" s="14">
        <v>40725</v>
      </c>
      <c r="W28" s="15"/>
      <c r="X28" s="15"/>
      <c r="Y28" s="13"/>
      <c r="Z28" s="15"/>
      <c r="AA28" s="15"/>
      <c r="AB28" s="15"/>
      <c r="AC28" s="13"/>
      <c r="AD28" s="15"/>
      <c r="AE28" s="15"/>
      <c r="AF28" s="15"/>
      <c r="AG28" s="13"/>
      <c r="AH28" s="15"/>
      <c r="AI28" s="15"/>
      <c r="AJ28" s="15"/>
      <c r="AK28" s="13"/>
      <c r="AL28" s="15"/>
      <c r="AM28" s="15"/>
      <c r="AN28" s="13"/>
      <c r="AO28" s="13"/>
    </row>
    <row r="29" spans="1:41" ht="42.8" x14ac:dyDescent="0.25">
      <c r="A29" s="13" t="s">
        <v>76</v>
      </c>
      <c r="B29" s="13" t="s">
        <v>77</v>
      </c>
      <c r="C29" s="14">
        <v>45628.709027777775</v>
      </c>
      <c r="D29" s="13" t="s">
        <v>78</v>
      </c>
      <c r="E29" s="15" t="s">
        <v>79</v>
      </c>
      <c r="F29" s="13" t="s">
        <v>80</v>
      </c>
      <c r="G29" s="15" t="s">
        <v>81</v>
      </c>
      <c r="H29" s="13" t="s">
        <v>82</v>
      </c>
      <c r="I29" s="15" t="s">
        <v>81</v>
      </c>
      <c r="J29" s="15" t="s">
        <v>83</v>
      </c>
      <c r="K29" s="15" t="s">
        <v>84</v>
      </c>
      <c r="L29" s="13" t="s">
        <v>143</v>
      </c>
      <c r="M29" s="15" t="s">
        <v>144</v>
      </c>
      <c r="N29" s="14" t="s">
        <v>87</v>
      </c>
      <c r="O29" s="15" t="s">
        <v>145</v>
      </c>
      <c r="P29" s="15" t="s">
        <v>146</v>
      </c>
      <c r="Q29" s="15" t="s">
        <v>196</v>
      </c>
      <c r="R29" s="13" t="s">
        <v>197</v>
      </c>
      <c r="S29" s="13" t="s">
        <v>193</v>
      </c>
      <c r="T29" s="13" t="s">
        <v>174</v>
      </c>
      <c r="U29" s="14">
        <v>40725</v>
      </c>
      <c r="V29" s="14">
        <v>40725</v>
      </c>
      <c r="W29" s="15"/>
      <c r="X29" s="15"/>
      <c r="Y29" s="13"/>
      <c r="Z29" s="15"/>
      <c r="AA29" s="15"/>
      <c r="AB29" s="15"/>
      <c r="AC29" s="13"/>
      <c r="AD29" s="15"/>
      <c r="AE29" s="15"/>
      <c r="AF29" s="15"/>
      <c r="AG29" s="13"/>
      <c r="AH29" s="15"/>
      <c r="AI29" s="15"/>
      <c r="AJ29" s="15"/>
      <c r="AK29" s="13"/>
      <c r="AL29" s="15"/>
      <c r="AM29" s="15"/>
      <c r="AN29" s="13"/>
      <c r="AO29" s="13"/>
    </row>
    <row r="30" spans="1:41" ht="28.55" x14ac:dyDescent="0.25">
      <c r="A30" s="13" t="s">
        <v>142</v>
      </c>
      <c r="B30" s="13" t="s">
        <v>77</v>
      </c>
      <c r="C30" s="14">
        <v>43152.5</v>
      </c>
      <c r="D30" s="13" t="s">
        <v>78</v>
      </c>
      <c r="E30" s="15" t="s">
        <v>79</v>
      </c>
      <c r="F30" s="13" t="s">
        <v>80</v>
      </c>
      <c r="G30" s="15" t="s">
        <v>81</v>
      </c>
      <c r="H30" s="13" t="s">
        <v>82</v>
      </c>
      <c r="I30" s="15" t="s">
        <v>81</v>
      </c>
      <c r="J30" s="15" t="s">
        <v>83</v>
      </c>
      <c r="K30" s="15" t="s">
        <v>84</v>
      </c>
      <c r="L30" s="13" t="s">
        <v>85</v>
      </c>
      <c r="M30" s="15" t="s">
        <v>86</v>
      </c>
      <c r="N30" s="14" t="s">
        <v>87</v>
      </c>
      <c r="O30" s="15" t="s">
        <v>88</v>
      </c>
      <c r="P30" s="15" t="s">
        <v>89</v>
      </c>
      <c r="Q30" s="15" t="s">
        <v>198</v>
      </c>
      <c r="R30" s="13" t="s">
        <v>199</v>
      </c>
      <c r="S30" s="13" t="s">
        <v>193</v>
      </c>
      <c r="T30" s="13" t="s">
        <v>93</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42.8" x14ac:dyDescent="0.25">
      <c r="A31" s="13" t="s">
        <v>207</v>
      </c>
      <c r="B31" s="13" t="s">
        <v>77</v>
      </c>
      <c r="C31" s="14">
        <v>43633.713888888888</v>
      </c>
      <c r="D31" s="13" t="s">
        <v>78</v>
      </c>
      <c r="E31" s="15" t="s">
        <v>79</v>
      </c>
      <c r="F31" s="13" t="s">
        <v>80</v>
      </c>
      <c r="G31" s="15" t="s">
        <v>81</v>
      </c>
      <c r="H31" s="13" t="s">
        <v>82</v>
      </c>
      <c r="I31" s="15" t="s">
        <v>81</v>
      </c>
      <c r="J31" s="15" t="s">
        <v>83</v>
      </c>
      <c r="K31" s="15" t="s">
        <v>84</v>
      </c>
      <c r="L31" s="13" t="s">
        <v>118</v>
      </c>
      <c r="M31" s="15" t="s">
        <v>119</v>
      </c>
      <c r="N31" s="14" t="s">
        <v>87</v>
      </c>
      <c r="O31" s="15" t="s">
        <v>120</v>
      </c>
      <c r="P31" s="15" t="s">
        <v>121</v>
      </c>
      <c r="Q31" s="15" t="s">
        <v>198</v>
      </c>
      <c r="R31" s="13" t="s">
        <v>199</v>
      </c>
      <c r="S31" s="13" t="s">
        <v>193</v>
      </c>
      <c r="T31" s="13" t="s">
        <v>93</v>
      </c>
      <c r="U31" s="14">
        <v>40725</v>
      </c>
      <c r="V31" s="14">
        <v>43435</v>
      </c>
      <c r="W31" s="15"/>
      <c r="X31" s="15"/>
      <c r="Y31" s="13"/>
      <c r="Z31" s="15"/>
      <c r="AA31" s="15"/>
      <c r="AB31" s="15"/>
      <c r="AC31" s="13"/>
      <c r="AD31" s="15"/>
      <c r="AE31" s="15"/>
      <c r="AF31" s="15"/>
      <c r="AG31" s="13"/>
      <c r="AH31" s="15"/>
      <c r="AI31" s="15"/>
      <c r="AJ31" s="15"/>
      <c r="AK31" s="13"/>
      <c r="AL31" s="15"/>
      <c r="AM31" s="15"/>
      <c r="AN31" s="13"/>
      <c r="AO31" s="13"/>
    </row>
    <row r="32" spans="1:41" ht="42.8" x14ac:dyDescent="0.25">
      <c r="A32" s="13" t="s">
        <v>207</v>
      </c>
      <c r="B32" s="13" t="s">
        <v>77</v>
      </c>
      <c r="C32" s="14">
        <v>43633.714583333334</v>
      </c>
      <c r="D32" s="13" t="s">
        <v>78</v>
      </c>
      <c r="E32" s="15" t="s">
        <v>79</v>
      </c>
      <c r="F32" s="13" t="s">
        <v>80</v>
      </c>
      <c r="G32" s="15" t="s">
        <v>81</v>
      </c>
      <c r="H32" s="13" t="s">
        <v>82</v>
      </c>
      <c r="I32" s="15" t="s">
        <v>81</v>
      </c>
      <c r="J32" s="15" t="s">
        <v>83</v>
      </c>
      <c r="K32" s="15" t="s">
        <v>84</v>
      </c>
      <c r="L32" s="13" t="s">
        <v>118</v>
      </c>
      <c r="M32" s="15" t="s">
        <v>119</v>
      </c>
      <c r="N32" s="14" t="s">
        <v>87</v>
      </c>
      <c r="O32" s="15" t="s">
        <v>120</v>
      </c>
      <c r="P32" s="15" t="s">
        <v>121</v>
      </c>
      <c r="Q32" s="15" t="s">
        <v>198</v>
      </c>
      <c r="R32" s="13" t="s">
        <v>199</v>
      </c>
      <c r="S32" s="13" t="s">
        <v>193</v>
      </c>
      <c r="T32" s="13" t="s">
        <v>93</v>
      </c>
      <c r="U32" s="14">
        <v>43436</v>
      </c>
      <c r="V32" s="14"/>
      <c r="W32" s="15"/>
      <c r="X32" s="15"/>
      <c r="Y32" s="13"/>
      <c r="Z32" s="15"/>
      <c r="AA32" s="15"/>
      <c r="AB32" s="15"/>
      <c r="AC32" s="13"/>
      <c r="AD32" s="15"/>
      <c r="AE32" s="15"/>
      <c r="AF32" s="15"/>
      <c r="AG32" s="13"/>
      <c r="AH32" s="15"/>
      <c r="AI32" s="15"/>
      <c r="AJ32" s="15"/>
      <c r="AK32" s="13"/>
      <c r="AL32" s="15"/>
      <c r="AM32" s="15"/>
      <c r="AN32" s="13"/>
      <c r="AO32" s="13"/>
    </row>
    <row r="33" spans="1:41" ht="42.8" x14ac:dyDescent="0.25">
      <c r="A33" s="13" t="s">
        <v>142</v>
      </c>
      <c r="B33" s="13" t="s">
        <v>77</v>
      </c>
      <c r="C33" s="14">
        <v>43509.739583333336</v>
      </c>
      <c r="D33" s="13" t="s">
        <v>78</v>
      </c>
      <c r="E33" s="15" t="s">
        <v>79</v>
      </c>
      <c r="F33" s="13" t="s">
        <v>80</v>
      </c>
      <c r="G33" s="15" t="s">
        <v>81</v>
      </c>
      <c r="H33" s="13" t="s">
        <v>82</v>
      </c>
      <c r="I33" s="15" t="s">
        <v>81</v>
      </c>
      <c r="J33" s="15" t="s">
        <v>83</v>
      </c>
      <c r="K33" s="15" t="s">
        <v>84</v>
      </c>
      <c r="L33" s="13" t="s">
        <v>143</v>
      </c>
      <c r="M33" s="15" t="s">
        <v>144</v>
      </c>
      <c r="N33" s="14" t="s">
        <v>87</v>
      </c>
      <c r="O33" s="15" t="s">
        <v>145</v>
      </c>
      <c r="P33" s="15" t="s">
        <v>146</v>
      </c>
      <c r="Q33" s="15" t="s">
        <v>198</v>
      </c>
      <c r="R33" s="13" t="s">
        <v>199</v>
      </c>
      <c r="S33" s="13" t="s">
        <v>193</v>
      </c>
      <c r="T33" s="13" t="s">
        <v>93</v>
      </c>
      <c r="U33" s="14">
        <v>40725</v>
      </c>
      <c r="V33" s="14">
        <v>43435</v>
      </c>
      <c r="W33" s="15"/>
      <c r="X33" s="15"/>
      <c r="Y33" s="13"/>
      <c r="Z33" s="15"/>
      <c r="AA33" s="15"/>
      <c r="AB33" s="15"/>
      <c r="AC33" s="13"/>
      <c r="AD33" s="15"/>
      <c r="AE33" s="15"/>
      <c r="AF33" s="15"/>
      <c r="AG33" s="13"/>
      <c r="AH33" s="15"/>
      <c r="AI33" s="15"/>
      <c r="AJ33" s="15"/>
      <c r="AK33" s="13"/>
      <c r="AL33" s="15"/>
      <c r="AM33" s="15"/>
      <c r="AN33" s="13"/>
      <c r="AO33" s="13"/>
    </row>
    <row r="34" spans="1:41" ht="42.8" x14ac:dyDescent="0.25">
      <c r="A34" s="13" t="s">
        <v>142</v>
      </c>
      <c r="B34" s="13" t="s">
        <v>222</v>
      </c>
      <c r="C34" s="14">
        <v>43509.740277777775</v>
      </c>
      <c r="D34" s="13" t="s">
        <v>78</v>
      </c>
      <c r="E34" s="15" t="s">
        <v>79</v>
      </c>
      <c r="F34" s="13" t="s">
        <v>80</v>
      </c>
      <c r="G34" s="15" t="s">
        <v>81</v>
      </c>
      <c r="H34" s="13" t="s">
        <v>82</v>
      </c>
      <c r="I34" s="15" t="s">
        <v>81</v>
      </c>
      <c r="J34" s="15" t="s">
        <v>83</v>
      </c>
      <c r="K34" s="15" t="s">
        <v>84</v>
      </c>
      <c r="L34" s="13" t="s">
        <v>143</v>
      </c>
      <c r="M34" s="15" t="s">
        <v>144</v>
      </c>
      <c r="N34" s="14" t="s">
        <v>87</v>
      </c>
      <c r="O34" s="15" t="s">
        <v>145</v>
      </c>
      <c r="P34" s="15" t="s">
        <v>146</v>
      </c>
      <c r="Q34" s="15" t="s">
        <v>198</v>
      </c>
      <c r="R34" s="13" t="s">
        <v>199</v>
      </c>
      <c r="S34" s="13" t="s">
        <v>193</v>
      </c>
      <c r="T34" s="13" t="s">
        <v>93</v>
      </c>
      <c r="U34" s="14">
        <v>43436</v>
      </c>
      <c r="V34" s="14"/>
      <c r="W34" s="15"/>
      <c r="X34" s="15"/>
      <c r="Y34" s="13"/>
      <c r="Z34" s="15"/>
      <c r="AA34" s="15"/>
      <c r="AB34" s="15"/>
      <c r="AC34" s="13"/>
      <c r="AD34" s="15"/>
      <c r="AE34" s="15"/>
      <c r="AF34" s="15"/>
      <c r="AG34" s="13"/>
      <c r="AH34" s="15"/>
      <c r="AI34" s="15"/>
      <c r="AJ34" s="15"/>
      <c r="AK34" s="13"/>
      <c r="AL34" s="15"/>
      <c r="AM34" s="15"/>
      <c r="AN34" s="13"/>
      <c r="AO34" s="13"/>
    </row>
    <row r="35" spans="1:41" ht="28.55" x14ac:dyDescent="0.25">
      <c r="A35" s="13" t="s">
        <v>117</v>
      </c>
      <c r="B35" s="13" t="s">
        <v>77</v>
      </c>
      <c r="C35" s="14">
        <v>44053.427083333336</v>
      </c>
      <c r="D35" s="13" t="s">
        <v>78</v>
      </c>
      <c r="E35" s="15" t="s">
        <v>79</v>
      </c>
      <c r="F35" s="13" t="s">
        <v>80</v>
      </c>
      <c r="G35" s="15" t="s">
        <v>81</v>
      </c>
      <c r="H35" s="13" t="s">
        <v>82</v>
      </c>
      <c r="I35" s="15" t="s">
        <v>81</v>
      </c>
      <c r="J35" s="15" t="s">
        <v>83</v>
      </c>
      <c r="K35" s="15" t="s">
        <v>84</v>
      </c>
      <c r="L35" s="13" t="s">
        <v>85</v>
      </c>
      <c r="M35" s="15" t="s">
        <v>86</v>
      </c>
      <c r="N35" s="14" t="s">
        <v>87</v>
      </c>
      <c r="O35" s="15" t="s">
        <v>88</v>
      </c>
      <c r="P35" s="15" t="s">
        <v>89</v>
      </c>
      <c r="Q35" s="15" t="s">
        <v>226</v>
      </c>
      <c r="R35" s="13" t="s">
        <v>227</v>
      </c>
      <c r="S35" s="13" t="s">
        <v>193</v>
      </c>
      <c r="T35" s="13" t="s">
        <v>93</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42.8" x14ac:dyDescent="0.25">
      <c r="A36" s="13" t="s">
        <v>117</v>
      </c>
      <c r="B36" s="13" t="s">
        <v>77</v>
      </c>
      <c r="C36" s="14">
        <v>44053.459027777775</v>
      </c>
      <c r="D36" s="13" t="s">
        <v>78</v>
      </c>
      <c r="E36" s="15" t="s">
        <v>79</v>
      </c>
      <c r="F36" s="13" t="s">
        <v>80</v>
      </c>
      <c r="G36" s="15" t="s">
        <v>81</v>
      </c>
      <c r="H36" s="13" t="s">
        <v>82</v>
      </c>
      <c r="I36" s="15" t="s">
        <v>81</v>
      </c>
      <c r="J36" s="15" t="s">
        <v>83</v>
      </c>
      <c r="K36" s="15" t="s">
        <v>84</v>
      </c>
      <c r="L36" s="13" t="s">
        <v>118</v>
      </c>
      <c r="M36" s="15" t="s">
        <v>119</v>
      </c>
      <c r="N36" s="14" t="s">
        <v>87</v>
      </c>
      <c r="O36" s="15" t="s">
        <v>120</v>
      </c>
      <c r="P36" s="15" t="s">
        <v>121</v>
      </c>
      <c r="Q36" s="15" t="s">
        <v>226</v>
      </c>
      <c r="R36" s="13" t="s">
        <v>227</v>
      </c>
      <c r="S36" s="13" t="s">
        <v>193</v>
      </c>
      <c r="T36" s="13" t="s">
        <v>93</v>
      </c>
      <c r="U36" s="14">
        <v>40725</v>
      </c>
      <c r="V36" s="14">
        <v>43435</v>
      </c>
      <c r="W36" s="15"/>
      <c r="X36" s="15"/>
      <c r="Y36" s="13"/>
      <c r="Z36" s="15"/>
      <c r="AA36" s="15"/>
      <c r="AB36" s="15"/>
      <c r="AC36" s="13"/>
      <c r="AD36" s="15"/>
      <c r="AE36" s="15"/>
      <c r="AF36" s="15"/>
      <c r="AG36" s="13"/>
      <c r="AH36" s="15"/>
      <c r="AI36" s="15"/>
      <c r="AJ36" s="15"/>
      <c r="AK36" s="13"/>
      <c r="AL36" s="15"/>
      <c r="AM36" s="15"/>
      <c r="AN36" s="13"/>
      <c r="AO36" s="13"/>
    </row>
    <row r="37" spans="1:41" ht="42.8" x14ac:dyDescent="0.25">
      <c r="A37" s="13" t="s">
        <v>117</v>
      </c>
      <c r="B37" s="13" t="s">
        <v>77</v>
      </c>
      <c r="C37" s="14">
        <v>44053.42083333333</v>
      </c>
      <c r="D37" s="13" t="s">
        <v>78</v>
      </c>
      <c r="E37" s="15" t="s">
        <v>79</v>
      </c>
      <c r="F37" s="13" t="s">
        <v>80</v>
      </c>
      <c r="G37" s="15" t="s">
        <v>81</v>
      </c>
      <c r="H37" s="13" t="s">
        <v>82</v>
      </c>
      <c r="I37" s="15" t="s">
        <v>81</v>
      </c>
      <c r="J37" s="15" t="s">
        <v>83</v>
      </c>
      <c r="K37" s="15" t="s">
        <v>84</v>
      </c>
      <c r="L37" s="13" t="s">
        <v>118</v>
      </c>
      <c r="M37" s="15" t="s">
        <v>119</v>
      </c>
      <c r="N37" s="14" t="s">
        <v>87</v>
      </c>
      <c r="O37" s="15" t="s">
        <v>120</v>
      </c>
      <c r="P37" s="15" t="s">
        <v>121</v>
      </c>
      <c r="Q37" s="15" t="s">
        <v>226</v>
      </c>
      <c r="R37" s="13" t="s">
        <v>227</v>
      </c>
      <c r="S37" s="13" t="s">
        <v>193</v>
      </c>
      <c r="T37" s="13" t="s">
        <v>93</v>
      </c>
      <c r="U37" s="14">
        <v>43436</v>
      </c>
      <c r="V37" s="14"/>
      <c r="W37" s="15"/>
      <c r="X37" s="15"/>
      <c r="Y37" s="13"/>
      <c r="Z37" s="15"/>
      <c r="AA37" s="15"/>
      <c r="AB37" s="15"/>
      <c r="AC37" s="13"/>
      <c r="AD37" s="15"/>
      <c r="AE37" s="15"/>
      <c r="AF37" s="15"/>
      <c r="AG37" s="13"/>
      <c r="AH37" s="15"/>
      <c r="AI37" s="15"/>
      <c r="AJ37" s="15"/>
      <c r="AK37" s="13"/>
      <c r="AL37" s="15"/>
      <c r="AM37" s="15"/>
      <c r="AN37" s="13"/>
      <c r="AO37" s="13"/>
    </row>
    <row r="38" spans="1:41" ht="42.8" x14ac:dyDescent="0.25">
      <c r="A38" s="13" t="s">
        <v>117</v>
      </c>
      <c r="B38" s="13" t="s">
        <v>77</v>
      </c>
      <c r="C38" s="14">
        <v>44053.463194444441</v>
      </c>
      <c r="D38" s="13" t="s">
        <v>78</v>
      </c>
      <c r="E38" s="15" t="s">
        <v>79</v>
      </c>
      <c r="F38" s="13" t="s">
        <v>80</v>
      </c>
      <c r="G38" s="15" t="s">
        <v>81</v>
      </c>
      <c r="H38" s="13" t="s">
        <v>82</v>
      </c>
      <c r="I38" s="15" t="s">
        <v>81</v>
      </c>
      <c r="J38" s="15" t="s">
        <v>83</v>
      </c>
      <c r="K38" s="15" t="s">
        <v>84</v>
      </c>
      <c r="L38" s="13" t="s">
        <v>143</v>
      </c>
      <c r="M38" s="15" t="s">
        <v>144</v>
      </c>
      <c r="N38" s="14" t="s">
        <v>87</v>
      </c>
      <c r="O38" s="15" t="s">
        <v>145</v>
      </c>
      <c r="P38" s="15" t="s">
        <v>146</v>
      </c>
      <c r="Q38" s="15" t="s">
        <v>226</v>
      </c>
      <c r="R38" s="13" t="s">
        <v>227</v>
      </c>
      <c r="S38" s="13" t="s">
        <v>193</v>
      </c>
      <c r="T38" s="13" t="s">
        <v>93</v>
      </c>
      <c r="U38" s="14">
        <v>40725</v>
      </c>
      <c r="V38" s="14">
        <v>43435</v>
      </c>
      <c r="W38" s="15"/>
      <c r="X38" s="15"/>
      <c r="Y38" s="13"/>
      <c r="Z38" s="15"/>
      <c r="AA38" s="15"/>
      <c r="AB38" s="15"/>
      <c r="AC38" s="13"/>
      <c r="AD38" s="15"/>
      <c r="AE38" s="15"/>
      <c r="AF38" s="15"/>
      <c r="AG38" s="13"/>
      <c r="AH38" s="15"/>
      <c r="AI38" s="15"/>
      <c r="AJ38" s="15"/>
      <c r="AK38" s="13"/>
      <c r="AL38" s="15"/>
      <c r="AM38" s="15"/>
      <c r="AN38" s="13"/>
      <c r="AO38" s="13"/>
    </row>
    <row r="39" spans="1:41" ht="42.8" x14ac:dyDescent="0.25">
      <c r="A39" s="13" t="s">
        <v>117</v>
      </c>
      <c r="B39" s="13" t="s">
        <v>77</v>
      </c>
      <c r="C39" s="14">
        <v>44053.438194444447</v>
      </c>
      <c r="D39" s="13" t="s">
        <v>78</v>
      </c>
      <c r="E39" s="15" t="s">
        <v>79</v>
      </c>
      <c r="F39" s="13" t="s">
        <v>80</v>
      </c>
      <c r="G39" s="15" t="s">
        <v>81</v>
      </c>
      <c r="H39" s="13" t="s">
        <v>82</v>
      </c>
      <c r="I39" s="15" t="s">
        <v>81</v>
      </c>
      <c r="J39" s="15" t="s">
        <v>83</v>
      </c>
      <c r="K39" s="15" t="s">
        <v>84</v>
      </c>
      <c r="L39" s="13" t="s">
        <v>143</v>
      </c>
      <c r="M39" s="15" t="s">
        <v>144</v>
      </c>
      <c r="N39" s="14" t="s">
        <v>87</v>
      </c>
      <c r="O39" s="15" t="s">
        <v>145</v>
      </c>
      <c r="P39" s="15" t="s">
        <v>146</v>
      </c>
      <c r="Q39" s="15" t="s">
        <v>226</v>
      </c>
      <c r="R39" s="13" t="s">
        <v>227</v>
      </c>
      <c r="S39" s="13" t="s">
        <v>193</v>
      </c>
      <c r="T39" s="13" t="s">
        <v>93</v>
      </c>
      <c r="U39" s="14">
        <v>43436</v>
      </c>
      <c r="V39" s="14"/>
      <c r="W39" s="15"/>
      <c r="X39" s="15"/>
      <c r="Y39" s="13"/>
      <c r="Z39" s="15"/>
      <c r="AA39" s="15"/>
      <c r="AB39" s="15"/>
      <c r="AC39" s="13"/>
      <c r="AD39" s="15"/>
      <c r="AE39" s="15"/>
      <c r="AF39" s="15"/>
      <c r="AG39" s="13"/>
      <c r="AH39" s="15"/>
      <c r="AI39" s="15"/>
      <c r="AJ39" s="15"/>
      <c r="AK39" s="13"/>
      <c r="AL39" s="15"/>
      <c r="AM39" s="15"/>
      <c r="AN39" s="13"/>
      <c r="AO39" s="13"/>
    </row>
    <row r="40" spans="1:41" ht="28.55" x14ac:dyDescent="0.25">
      <c r="A40" s="13" t="s">
        <v>117</v>
      </c>
      <c r="B40" s="13" t="s">
        <v>77</v>
      </c>
      <c r="C40" s="14">
        <v>44053.427083333336</v>
      </c>
      <c r="D40" s="13" t="s">
        <v>78</v>
      </c>
      <c r="E40" s="15" t="s">
        <v>79</v>
      </c>
      <c r="F40" s="13" t="s">
        <v>80</v>
      </c>
      <c r="G40" s="15" t="s">
        <v>81</v>
      </c>
      <c r="H40" s="13" t="s">
        <v>82</v>
      </c>
      <c r="I40" s="15" t="s">
        <v>81</v>
      </c>
      <c r="J40" s="15" t="s">
        <v>83</v>
      </c>
      <c r="K40" s="15" t="s">
        <v>84</v>
      </c>
      <c r="L40" s="13" t="s">
        <v>85</v>
      </c>
      <c r="M40" s="15" t="s">
        <v>86</v>
      </c>
      <c r="N40" s="14" t="s">
        <v>87</v>
      </c>
      <c r="O40" s="15" t="s">
        <v>88</v>
      </c>
      <c r="P40" s="15" t="s">
        <v>89</v>
      </c>
      <c r="Q40" s="15" t="s">
        <v>230</v>
      </c>
      <c r="R40" s="13" t="s">
        <v>231</v>
      </c>
      <c r="S40" s="13" t="s">
        <v>193</v>
      </c>
      <c r="T40" s="13" t="s">
        <v>93</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42.8" x14ac:dyDescent="0.25">
      <c r="A41" s="13" t="s">
        <v>117</v>
      </c>
      <c r="B41" s="13" t="s">
        <v>77</v>
      </c>
      <c r="C41" s="14">
        <v>44053.459722222222</v>
      </c>
      <c r="D41" s="13" t="s">
        <v>78</v>
      </c>
      <c r="E41" s="15" t="s">
        <v>79</v>
      </c>
      <c r="F41" s="13" t="s">
        <v>80</v>
      </c>
      <c r="G41" s="15" t="s">
        <v>81</v>
      </c>
      <c r="H41" s="13" t="s">
        <v>82</v>
      </c>
      <c r="I41" s="15" t="s">
        <v>81</v>
      </c>
      <c r="J41" s="15" t="s">
        <v>83</v>
      </c>
      <c r="K41" s="15" t="s">
        <v>84</v>
      </c>
      <c r="L41" s="13" t="s">
        <v>118</v>
      </c>
      <c r="M41" s="15" t="s">
        <v>119</v>
      </c>
      <c r="N41" s="14" t="s">
        <v>87</v>
      </c>
      <c r="O41" s="15" t="s">
        <v>120</v>
      </c>
      <c r="P41" s="15" t="s">
        <v>121</v>
      </c>
      <c r="Q41" s="15" t="s">
        <v>230</v>
      </c>
      <c r="R41" s="13" t="s">
        <v>231</v>
      </c>
      <c r="S41" s="13" t="s">
        <v>193</v>
      </c>
      <c r="T41" s="13" t="s">
        <v>93</v>
      </c>
      <c r="U41" s="14">
        <v>40725</v>
      </c>
      <c r="V41" s="14">
        <v>43435</v>
      </c>
      <c r="W41" s="15"/>
      <c r="X41" s="15"/>
      <c r="Y41" s="13"/>
      <c r="Z41" s="15"/>
      <c r="AA41" s="15"/>
      <c r="AB41" s="15"/>
      <c r="AC41" s="13"/>
      <c r="AD41" s="15"/>
      <c r="AE41" s="15"/>
      <c r="AF41" s="15"/>
      <c r="AG41" s="13"/>
      <c r="AH41" s="15"/>
      <c r="AI41" s="15"/>
      <c r="AJ41" s="15"/>
      <c r="AK41" s="13"/>
      <c r="AL41" s="15"/>
      <c r="AM41" s="15"/>
      <c r="AN41" s="13"/>
      <c r="AO41" s="13"/>
    </row>
    <row r="42" spans="1:41" ht="42.8" x14ac:dyDescent="0.25">
      <c r="A42" s="13" t="s">
        <v>117</v>
      </c>
      <c r="B42" s="13" t="s">
        <v>77</v>
      </c>
      <c r="C42" s="14">
        <v>44053.422222222223</v>
      </c>
      <c r="D42" s="13" t="s">
        <v>78</v>
      </c>
      <c r="E42" s="15" t="s">
        <v>79</v>
      </c>
      <c r="F42" s="13" t="s">
        <v>80</v>
      </c>
      <c r="G42" s="15" t="s">
        <v>81</v>
      </c>
      <c r="H42" s="13" t="s">
        <v>82</v>
      </c>
      <c r="I42" s="15" t="s">
        <v>81</v>
      </c>
      <c r="J42" s="15" t="s">
        <v>83</v>
      </c>
      <c r="K42" s="15" t="s">
        <v>84</v>
      </c>
      <c r="L42" s="13" t="s">
        <v>118</v>
      </c>
      <c r="M42" s="15" t="s">
        <v>119</v>
      </c>
      <c r="N42" s="14" t="s">
        <v>87</v>
      </c>
      <c r="O42" s="15" t="s">
        <v>120</v>
      </c>
      <c r="P42" s="15" t="s">
        <v>121</v>
      </c>
      <c r="Q42" s="15" t="s">
        <v>230</v>
      </c>
      <c r="R42" s="13" t="s">
        <v>231</v>
      </c>
      <c r="S42" s="13" t="s">
        <v>193</v>
      </c>
      <c r="T42" s="13" t="s">
        <v>93</v>
      </c>
      <c r="U42" s="14">
        <v>43436</v>
      </c>
      <c r="V42" s="14"/>
      <c r="W42" s="15"/>
      <c r="X42" s="15"/>
      <c r="Y42" s="13"/>
      <c r="Z42" s="15"/>
      <c r="AA42" s="15"/>
      <c r="AB42" s="15"/>
      <c r="AC42" s="13"/>
      <c r="AD42" s="15"/>
      <c r="AE42" s="15"/>
      <c r="AF42" s="15"/>
      <c r="AG42" s="13"/>
      <c r="AH42" s="15"/>
      <c r="AI42" s="15"/>
      <c r="AJ42" s="15"/>
      <c r="AK42" s="13"/>
      <c r="AL42" s="15"/>
      <c r="AM42" s="15"/>
      <c r="AN42" s="13"/>
      <c r="AO42" s="13"/>
    </row>
    <row r="43" spans="1:41" ht="42.8" x14ac:dyDescent="0.25">
      <c r="A43" s="13" t="s">
        <v>117</v>
      </c>
      <c r="B43" s="13" t="s">
        <v>77</v>
      </c>
      <c r="C43" s="14">
        <v>44053.463888888888</v>
      </c>
      <c r="D43" s="13" t="s">
        <v>78</v>
      </c>
      <c r="E43" s="15" t="s">
        <v>79</v>
      </c>
      <c r="F43" s="13" t="s">
        <v>80</v>
      </c>
      <c r="G43" s="15" t="s">
        <v>81</v>
      </c>
      <c r="H43" s="13" t="s">
        <v>82</v>
      </c>
      <c r="I43" s="15" t="s">
        <v>81</v>
      </c>
      <c r="J43" s="15" t="s">
        <v>83</v>
      </c>
      <c r="K43" s="15" t="s">
        <v>84</v>
      </c>
      <c r="L43" s="13" t="s">
        <v>143</v>
      </c>
      <c r="M43" s="15" t="s">
        <v>144</v>
      </c>
      <c r="N43" s="14" t="s">
        <v>87</v>
      </c>
      <c r="O43" s="15" t="s">
        <v>145</v>
      </c>
      <c r="P43" s="15" t="s">
        <v>146</v>
      </c>
      <c r="Q43" s="15" t="s">
        <v>230</v>
      </c>
      <c r="R43" s="13" t="s">
        <v>231</v>
      </c>
      <c r="S43" s="13" t="s">
        <v>193</v>
      </c>
      <c r="T43" s="13" t="s">
        <v>93</v>
      </c>
      <c r="U43" s="14">
        <v>40725</v>
      </c>
      <c r="V43" s="14">
        <v>43435</v>
      </c>
      <c r="W43" s="15"/>
      <c r="X43" s="15"/>
      <c r="Y43" s="13"/>
      <c r="Z43" s="15"/>
      <c r="AA43" s="15"/>
      <c r="AB43" s="15"/>
      <c r="AC43" s="13"/>
      <c r="AD43" s="15"/>
      <c r="AE43" s="15"/>
      <c r="AF43" s="15"/>
      <c r="AG43" s="13"/>
      <c r="AH43" s="15"/>
      <c r="AI43" s="15"/>
      <c r="AJ43" s="15"/>
      <c r="AK43" s="13"/>
      <c r="AL43" s="15"/>
      <c r="AM43" s="15"/>
      <c r="AN43" s="13"/>
      <c r="AO43" s="13"/>
    </row>
    <row r="44" spans="1:41" ht="42.8" x14ac:dyDescent="0.25">
      <c r="A44" s="13" t="s">
        <v>117</v>
      </c>
      <c r="B44" s="13" t="s">
        <v>77</v>
      </c>
      <c r="C44" s="14">
        <v>44053.438888888886</v>
      </c>
      <c r="D44" s="13" t="s">
        <v>78</v>
      </c>
      <c r="E44" s="15" t="s">
        <v>79</v>
      </c>
      <c r="F44" s="13" t="s">
        <v>80</v>
      </c>
      <c r="G44" s="15" t="s">
        <v>81</v>
      </c>
      <c r="H44" s="13" t="s">
        <v>82</v>
      </c>
      <c r="I44" s="15" t="s">
        <v>81</v>
      </c>
      <c r="J44" s="15" t="s">
        <v>83</v>
      </c>
      <c r="K44" s="15" t="s">
        <v>84</v>
      </c>
      <c r="L44" s="13" t="s">
        <v>143</v>
      </c>
      <c r="M44" s="15" t="s">
        <v>144</v>
      </c>
      <c r="N44" s="14" t="s">
        <v>87</v>
      </c>
      <c r="O44" s="15" t="s">
        <v>145</v>
      </c>
      <c r="P44" s="15" t="s">
        <v>146</v>
      </c>
      <c r="Q44" s="15" t="s">
        <v>230</v>
      </c>
      <c r="R44" s="13" t="s">
        <v>231</v>
      </c>
      <c r="S44" s="13" t="s">
        <v>193</v>
      </c>
      <c r="T44" s="13" t="s">
        <v>93</v>
      </c>
      <c r="U44" s="14">
        <v>43436</v>
      </c>
      <c r="V44" s="14"/>
      <c r="W44" s="15"/>
      <c r="X44" s="15"/>
      <c r="Y44" s="13"/>
      <c r="Z44" s="15"/>
      <c r="AA44" s="15"/>
      <c r="AB44" s="15"/>
      <c r="AC44" s="13"/>
      <c r="AD44" s="15"/>
      <c r="AE44" s="15"/>
      <c r="AF44" s="15"/>
      <c r="AG44" s="13"/>
      <c r="AH44" s="15"/>
      <c r="AI44" s="15"/>
      <c r="AJ44" s="15"/>
      <c r="AK44" s="13"/>
      <c r="AL44" s="15"/>
      <c r="AM44" s="15"/>
      <c r="AN44" s="13"/>
      <c r="AO44" s="13"/>
    </row>
    <row r="45" spans="1:41" ht="28.55" x14ac:dyDescent="0.25">
      <c r="A45" s="13" t="s">
        <v>232</v>
      </c>
      <c r="B45" s="13" t="s">
        <v>77</v>
      </c>
      <c r="C45" s="14">
        <v>45994.431250000001</v>
      </c>
      <c r="D45" s="13" t="s">
        <v>78</v>
      </c>
      <c r="E45" s="15" t="s">
        <v>79</v>
      </c>
      <c r="F45" s="13" t="s">
        <v>80</v>
      </c>
      <c r="G45" s="15" t="s">
        <v>81</v>
      </c>
      <c r="H45" s="13" t="s">
        <v>82</v>
      </c>
      <c r="I45" s="15" t="s">
        <v>81</v>
      </c>
      <c r="J45" s="15" t="s">
        <v>83</v>
      </c>
      <c r="K45" s="15" t="s">
        <v>84</v>
      </c>
      <c r="L45" s="13" t="s">
        <v>85</v>
      </c>
      <c r="M45" s="15" t="s">
        <v>86</v>
      </c>
      <c r="N45" s="14" t="s">
        <v>87</v>
      </c>
      <c r="O45" s="15" t="s">
        <v>88</v>
      </c>
      <c r="P45" s="15" t="s">
        <v>89</v>
      </c>
      <c r="Q45" s="15" t="s">
        <v>233</v>
      </c>
      <c r="R45" s="13" t="s">
        <v>234</v>
      </c>
      <c r="S45" s="13" t="s">
        <v>193</v>
      </c>
      <c r="T45" s="13" t="s">
        <v>93</v>
      </c>
      <c r="U45" s="14">
        <v>40725</v>
      </c>
      <c r="V45" s="14">
        <v>45900</v>
      </c>
      <c r="W45" s="15"/>
      <c r="X45" s="15"/>
      <c r="Y45" s="13"/>
      <c r="Z45" s="15"/>
      <c r="AA45" s="15"/>
      <c r="AB45" s="15"/>
      <c r="AC45" s="13"/>
      <c r="AD45" s="15"/>
      <c r="AE45" s="15"/>
      <c r="AF45" s="15"/>
      <c r="AG45" s="13"/>
      <c r="AH45" s="15"/>
      <c r="AI45" s="15"/>
      <c r="AJ45" s="15"/>
      <c r="AK45" s="13"/>
      <c r="AL45" s="15"/>
      <c r="AM45" s="15"/>
      <c r="AN45" s="13"/>
      <c r="AO45" s="13"/>
    </row>
    <row r="46" spans="1:41" ht="42.8" x14ac:dyDescent="0.25">
      <c r="A46" s="13" t="s">
        <v>117</v>
      </c>
      <c r="B46" s="13" t="s">
        <v>77</v>
      </c>
      <c r="C46" s="14">
        <v>44053.461111111108</v>
      </c>
      <c r="D46" s="13" t="s">
        <v>78</v>
      </c>
      <c r="E46" s="15" t="s">
        <v>79</v>
      </c>
      <c r="F46" s="13" t="s">
        <v>80</v>
      </c>
      <c r="G46" s="15" t="s">
        <v>81</v>
      </c>
      <c r="H46" s="13" t="s">
        <v>82</v>
      </c>
      <c r="I46" s="15" t="s">
        <v>81</v>
      </c>
      <c r="J46" s="15" t="s">
        <v>83</v>
      </c>
      <c r="K46" s="15" t="s">
        <v>84</v>
      </c>
      <c r="L46" s="13" t="s">
        <v>118</v>
      </c>
      <c r="M46" s="15" t="s">
        <v>119</v>
      </c>
      <c r="N46" s="14" t="s">
        <v>87</v>
      </c>
      <c r="O46" s="15" t="s">
        <v>120</v>
      </c>
      <c r="P46" s="15" t="s">
        <v>121</v>
      </c>
      <c r="Q46" s="15" t="s">
        <v>233</v>
      </c>
      <c r="R46" s="13" t="s">
        <v>234</v>
      </c>
      <c r="S46" s="13" t="s">
        <v>193</v>
      </c>
      <c r="T46" s="13" t="s">
        <v>93</v>
      </c>
      <c r="U46" s="14">
        <v>40725</v>
      </c>
      <c r="V46" s="14">
        <v>43435</v>
      </c>
      <c r="W46" s="15"/>
      <c r="X46" s="15"/>
      <c r="Y46" s="13"/>
      <c r="Z46" s="15"/>
      <c r="AA46" s="15"/>
      <c r="AB46" s="15"/>
      <c r="AC46" s="13"/>
      <c r="AD46" s="15"/>
      <c r="AE46" s="15"/>
      <c r="AF46" s="15"/>
      <c r="AG46" s="13"/>
      <c r="AH46" s="15"/>
      <c r="AI46" s="15"/>
      <c r="AJ46" s="15"/>
      <c r="AK46" s="13"/>
      <c r="AL46" s="15"/>
      <c r="AM46" s="15"/>
      <c r="AN46" s="13"/>
      <c r="AO46" s="13"/>
    </row>
    <row r="47" spans="1:41" ht="42.8" x14ac:dyDescent="0.25">
      <c r="A47" s="13" t="s">
        <v>232</v>
      </c>
      <c r="B47" s="13" t="s">
        <v>77</v>
      </c>
      <c r="C47" s="14">
        <v>45994.431944444441</v>
      </c>
      <c r="D47" s="13" t="s">
        <v>78</v>
      </c>
      <c r="E47" s="15" t="s">
        <v>79</v>
      </c>
      <c r="F47" s="13" t="s">
        <v>80</v>
      </c>
      <c r="G47" s="15" t="s">
        <v>81</v>
      </c>
      <c r="H47" s="13" t="s">
        <v>82</v>
      </c>
      <c r="I47" s="15" t="s">
        <v>81</v>
      </c>
      <c r="J47" s="15" t="s">
        <v>83</v>
      </c>
      <c r="K47" s="15" t="s">
        <v>84</v>
      </c>
      <c r="L47" s="13" t="s">
        <v>118</v>
      </c>
      <c r="M47" s="15" t="s">
        <v>119</v>
      </c>
      <c r="N47" s="14" t="s">
        <v>87</v>
      </c>
      <c r="O47" s="15" t="s">
        <v>120</v>
      </c>
      <c r="P47" s="15" t="s">
        <v>121</v>
      </c>
      <c r="Q47" s="15" t="s">
        <v>233</v>
      </c>
      <c r="R47" s="13" t="s">
        <v>234</v>
      </c>
      <c r="S47" s="13" t="s">
        <v>193</v>
      </c>
      <c r="T47" s="13" t="s">
        <v>93</v>
      </c>
      <c r="U47" s="14">
        <v>43436</v>
      </c>
      <c r="V47" s="14">
        <v>45900</v>
      </c>
      <c r="W47" s="15"/>
      <c r="X47" s="15"/>
      <c r="Y47" s="13"/>
      <c r="Z47" s="15"/>
      <c r="AA47" s="15"/>
      <c r="AB47" s="15"/>
      <c r="AC47" s="13"/>
      <c r="AD47" s="15"/>
      <c r="AE47" s="15"/>
      <c r="AF47" s="15"/>
      <c r="AG47" s="13"/>
      <c r="AH47" s="15"/>
      <c r="AI47" s="15"/>
      <c r="AJ47" s="15"/>
      <c r="AK47" s="13"/>
      <c r="AL47" s="15"/>
      <c r="AM47" s="15"/>
      <c r="AN47" s="13"/>
      <c r="AO47" s="13"/>
    </row>
    <row r="48" spans="1:41" ht="42.8" x14ac:dyDescent="0.25">
      <c r="A48" s="13" t="s">
        <v>117</v>
      </c>
      <c r="B48" s="13" t="s">
        <v>77</v>
      </c>
      <c r="C48" s="14">
        <v>44053.464583333334</v>
      </c>
      <c r="D48" s="13" t="s">
        <v>78</v>
      </c>
      <c r="E48" s="15" t="s">
        <v>79</v>
      </c>
      <c r="F48" s="13" t="s">
        <v>80</v>
      </c>
      <c r="G48" s="15" t="s">
        <v>81</v>
      </c>
      <c r="H48" s="13" t="s">
        <v>82</v>
      </c>
      <c r="I48" s="15" t="s">
        <v>81</v>
      </c>
      <c r="J48" s="15" t="s">
        <v>83</v>
      </c>
      <c r="K48" s="15" t="s">
        <v>84</v>
      </c>
      <c r="L48" s="13" t="s">
        <v>143</v>
      </c>
      <c r="M48" s="15" t="s">
        <v>144</v>
      </c>
      <c r="N48" s="14" t="s">
        <v>87</v>
      </c>
      <c r="O48" s="15" t="s">
        <v>145</v>
      </c>
      <c r="P48" s="15" t="s">
        <v>146</v>
      </c>
      <c r="Q48" s="15" t="s">
        <v>233</v>
      </c>
      <c r="R48" s="13" t="s">
        <v>234</v>
      </c>
      <c r="S48" s="13" t="s">
        <v>193</v>
      </c>
      <c r="T48" s="13" t="s">
        <v>93</v>
      </c>
      <c r="U48" s="14">
        <v>40725</v>
      </c>
      <c r="V48" s="14">
        <v>43435</v>
      </c>
      <c r="W48" s="15"/>
      <c r="X48" s="15"/>
      <c r="Y48" s="13"/>
      <c r="Z48" s="15"/>
      <c r="AA48" s="15"/>
      <c r="AB48" s="15"/>
      <c r="AC48" s="13"/>
      <c r="AD48" s="15"/>
      <c r="AE48" s="15"/>
      <c r="AF48" s="15"/>
      <c r="AG48" s="13"/>
      <c r="AH48" s="15"/>
      <c r="AI48" s="15"/>
      <c r="AJ48" s="15"/>
      <c r="AK48" s="13"/>
      <c r="AL48" s="15"/>
      <c r="AM48" s="15"/>
      <c r="AN48" s="13"/>
      <c r="AO48" s="13"/>
    </row>
    <row r="49" spans="1:41" ht="42.8" x14ac:dyDescent="0.25">
      <c r="A49" s="13" t="s">
        <v>232</v>
      </c>
      <c r="B49" s="13" t="s">
        <v>77</v>
      </c>
      <c r="C49" s="14">
        <v>45994.432638888888</v>
      </c>
      <c r="D49" s="13" t="s">
        <v>78</v>
      </c>
      <c r="E49" s="15" t="s">
        <v>79</v>
      </c>
      <c r="F49" s="13" t="s">
        <v>80</v>
      </c>
      <c r="G49" s="15" t="s">
        <v>81</v>
      </c>
      <c r="H49" s="13" t="s">
        <v>82</v>
      </c>
      <c r="I49" s="15" t="s">
        <v>81</v>
      </c>
      <c r="J49" s="15" t="s">
        <v>83</v>
      </c>
      <c r="K49" s="15" t="s">
        <v>84</v>
      </c>
      <c r="L49" s="13" t="s">
        <v>143</v>
      </c>
      <c r="M49" s="15" t="s">
        <v>144</v>
      </c>
      <c r="N49" s="14" t="s">
        <v>87</v>
      </c>
      <c r="O49" s="15" t="s">
        <v>145</v>
      </c>
      <c r="P49" s="15" t="s">
        <v>146</v>
      </c>
      <c r="Q49" s="15" t="s">
        <v>233</v>
      </c>
      <c r="R49" s="13" t="s">
        <v>234</v>
      </c>
      <c r="S49" s="13" t="s">
        <v>193</v>
      </c>
      <c r="T49" s="13" t="s">
        <v>93</v>
      </c>
      <c r="U49" s="14">
        <v>43436</v>
      </c>
      <c r="V49" s="14">
        <v>45900</v>
      </c>
      <c r="W49" s="15"/>
      <c r="X49" s="15"/>
      <c r="Y49" s="13"/>
      <c r="Z49" s="15"/>
      <c r="AA49" s="15"/>
      <c r="AB49" s="15"/>
      <c r="AC49" s="13"/>
      <c r="AD49" s="15"/>
      <c r="AE49" s="15"/>
      <c r="AF49" s="15"/>
      <c r="AG49" s="13"/>
      <c r="AH49" s="15"/>
      <c r="AI49" s="15"/>
      <c r="AJ49" s="15"/>
      <c r="AK49" s="13"/>
      <c r="AL49" s="15"/>
      <c r="AM49" s="15"/>
      <c r="AN49" s="13"/>
      <c r="AO49" s="13"/>
    </row>
    <row r="50" spans="1:41" ht="28.55" x14ac:dyDescent="0.25">
      <c r="A50" s="13" t="s">
        <v>76</v>
      </c>
      <c r="B50" s="13" t="s">
        <v>77</v>
      </c>
      <c r="C50" s="14">
        <v>45628.706250000003</v>
      </c>
      <c r="D50" s="13" t="s">
        <v>78</v>
      </c>
      <c r="E50" s="15" t="s">
        <v>79</v>
      </c>
      <c r="F50" s="13" t="s">
        <v>80</v>
      </c>
      <c r="G50" s="15" t="s">
        <v>81</v>
      </c>
      <c r="H50" s="13" t="s">
        <v>82</v>
      </c>
      <c r="I50" s="15" t="s">
        <v>81</v>
      </c>
      <c r="J50" s="15" t="s">
        <v>83</v>
      </c>
      <c r="K50" s="15" t="s">
        <v>84</v>
      </c>
      <c r="L50" s="13" t="s">
        <v>85</v>
      </c>
      <c r="M50" s="15" t="s">
        <v>86</v>
      </c>
      <c r="N50" s="14" t="s">
        <v>87</v>
      </c>
      <c r="O50" s="15" t="s">
        <v>88</v>
      </c>
      <c r="P50" s="15" t="s">
        <v>89</v>
      </c>
      <c r="Q50" s="15" t="s">
        <v>236</v>
      </c>
      <c r="R50" s="13" t="s">
        <v>237</v>
      </c>
      <c r="S50" s="13" t="s">
        <v>193</v>
      </c>
      <c r="T50" s="13" t="s">
        <v>174</v>
      </c>
      <c r="U50" s="14">
        <v>40725</v>
      </c>
      <c r="V50" s="14">
        <v>40725</v>
      </c>
      <c r="W50" s="15"/>
      <c r="X50" s="15"/>
      <c r="Y50" s="13"/>
      <c r="Z50" s="15"/>
      <c r="AA50" s="15"/>
      <c r="AB50" s="15"/>
      <c r="AC50" s="13"/>
      <c r="AD50" s="15"/>
      <c r="AE50" s="15"/>
      <c r="AF50" s="15"/>
      <c r="AG50" s="13"/>
      <c r="AH50" s="15"/>
      <c r="AI50" s="15"/>
      <c r="AJ50" s="15"/>
      <c r="AK50" s="13"/>
      <c r="AL50" s="15"/>
      <c r="AM50" s="15"/>
      <c r="AN50" s="13"/>
      <c r="AO50" s="13"/>
    </row>
    <row r="51" spans="1:41" ht="42.8" x14ac:dyDescent="0.25">
      <c r="A51" s="13" t="s">
        <v>76</v>
      </c>
      <c r="B51" s="13" t="s">
        <v>77</v>
      </c>
      <c r="C51" s="14">
        <v>45628.707638888889</v>
      </c>
      <c r="D51" s="13" t="s">
        <v>78</v>
      </c>
      <c r="E51" s="15" t="s">
        <v>79</v>
      </c>
      <c r="F51" s="13" t="s">
        <v>80</v>
      </c>
      <c r="G51" s="15" t="s">
        <v>81</v>
      </c>
      <c r="H51" s="13" t="s">
        <v>82</v>
      </c>
      <c r="I51" s="15" t="s">
        <v>81</v>
      </c>
      <c r="J51" s="15" t="s">
        <v>83</v>
      </c>
      <c r="K51" s="15" t="s">
        <v>84</v>
      </c>
      <c r="L51" s="13" t="s">
        <v>118</v>
      </c>
      <c r="M51" s="15" t="s">
        <v>119</v>
      </c>
      <c r="N51" s="14" t="s">
        <v>87</v>
      </c>
      <c r="O51" s="15" t="s">
        <v>120</v>
      </c>
      <c r="P51" s="15" t="s">
        <v>121</v>
      </c>
      <c r="Q51" s="15" t="s">
        <v>236</v>
      </c>
      <c r="R51" s="13" t="s">
        <v>237</v>
      </c>
      <c r="S51" s="13" t="s">
        <v>193</v>
      </c>
      <c r="T51" s="13" t="s">
        <v>174</v>
      </c>
      <c r="U51" s="14">
        <v>40725</v>
      </c>
      <c r="V51" s="14">
        <v>40725</v>
      </c>
      <c r="W51" s="15"/>
      <c r="X51" s="15"/>
      <c r="Y51" s="13"/>
      <c r="Z51" s="15"/>
      <c r="AA51" s="15"/>
      <c r="AB51" s="15"/>
      <c r="AC51" s="13"/>
      <c r="AD51" s="15"/>
      <c r="AE51" s="15"/>
      <c r="AF51" s="15"/>
      <c r="AG51" s="13"/>
      <c r="AH51" s="15"/>
      <c r="AI51" s="15"/>
      <c r="AJ51" s="15"/>
      <c r="AK51" s="13"/>
      <c r="AL51" s="15"/>
      <c r="AM51" s="15"/>
      <c r="AN51" s="13"/>
      <c r="AO51" s="13"/>
    </row>
    <row r="52" spans="1:41" ht="42.8" x14ac:dyDescent="0.25">
      <c r="A52" s="13" t="s">
        <v>76</v>
      </c>
      <c r="B52" s="13" t="s">
        <v>77</v>
      </c>
      <c r="C52" s="14">
        <v>45628.709722222222</v>
      </c>
      <c r="D52" s="13" t="s">
        <v>78</v>
      </c>
      <c r="E52" s="15" t="s">
        <v>79</v>
      </c>
      <c r="F52" s="13" t="s">
        <v>80</v>
      </c>
      <c r="G52" s="15" t="s">
        <v>81</v>
      </c>
      <c r="H52" s="13" t="s">
        <v>82</v>
      </c>
      <c r="I52" s="15" t="s">
        <v>81</v>
      </c>
      <c r="J52" s="15" t="s">
        <v>83</v>
      </c>
      <c r="K52" s="15" t="s">
        <v>84</v>
      </c>
      <c r="L52" s="13" t="s">
        <v>143</v>
      </c>
      <c r="M52" s="15" t="s">
        <v>144</v>
      </c>
      <c r="N52" s="14" t="s">
        <v>87</v>
      </c>
      <c r="O52" s="15" t="s">
        <v>145</v>
      </c>
      <c r="P52" s="15" t="s">
        <v>146</v>
      </c>
      <c r="Q52" s="15" t="s">
        <v>236</v>
      </c>
      <c r="R52" s="13" t="s">
        <v>237</v>
      </c>
      <c r="S52" s="13" t="s">
        <v>193</v>
      </c>
      <c r="T52" s="13" t="s">
        <v>174</v>
      </c>
      <c r="U52" s="14">
        <v>40725</v>
      </c>
      <c r="V52" s="14">
        <v>40725</v>
      </c>
      <c r="W52" s="15"/>
      <c r="X52" s="15"/>
      <c r="Y52" s="13"/>
      <c r="Z52" s="15"/>
      <c r="AA52" s="15"/>
      <c r="AB52" s="15"/>
      <c r="AC52" s="13"/>
      <c r="AD52" s="15"/>
      <c r="AE52" s="15"/>
      <c r="AF52" s="15"/>
      <c r="AG52" s="13"/>
      <c r="AH52" s="15"/>
      <c r="AI52" s="15"/>
      <c r="AJ52" s="15"/>
      <c r="AK52" s="13"/>
      <c r="AL52" s="15"/>
      <c r="AM52" s="15"/>
      <c r="AN52" s="13"/>
      <c r="AO52" s="13"/>
    </row>
    <row r="53" spans="1:41" ht="28.55" x14ac:dyDescent="0.25">
      <c r="A53" s="13" t="s">
        <v>76</v>
      </c>
      <c r="B53" s="13" t="s">
        <v>77</v>
      </c>
      <c r="C53" s="14">
        <v>45628.706944444442</v>
      </c>
      <c r="D53" s="13" t="s">
        <v>78</v>
      </c>
      <c r="E53" s="15" t="s">
        <v>79</v>
      </c>
      <c r="F53" s="13" t="s">
        <v>80</v>
      </c>
      <c r="G53" s="15" t="s">
        <v>81</v>
      </c>
      <c r="H53" s="13" t="s">
        <v>82</v>
      </c>
      <c r="I53" s="15" t="s">
        <v>81</v>
      </c>
      <c r="J53" s="15" t="s">
        <v>83</v>
      </c>
      <c r="K53" s="15" t="s">
        <v>84</v>
      </c>
      <c r="L53" s="13" t="s">
        <v>85</v>
      </c>
      <c r="M53" s="15" t="s">
        <v>86</v>
      </c>
      <c r="N53" s="14" t="s">
        <v>87</v>
      </c>
      <c r="O53" s="15" t="s">
        <v>88</v>
      </c>
      <c r="P53" s="15" t="s">
        <v>89</v>
      </c>
      <c r="Q53" s="15" t="s">
        <v>238</v>
      </c>
      <c r="R53" s="13" t="s">
        <v>239</v>
      </c>
      <c r="S53" s="13" t="s">
        <v>193</v>
      </c>
      <c r="T53" s="13" t="s">
        <v>174</v>
      </c>
      <c r="U53" s="14">
        <v>40725</v>
      </c>
      <c r="V53" s="14">
        <v>40725</v>
      </c>
      <c r="W53" s="15"/>
      <c r="X53" s="15"/>
      <c r="Y53" s="13"/>
      <c r="Z53" s="15"/>
      <c r="AA53" s="15"/>
      <c r="AB53" s="15"/>
      <c r="AC53" s="13"/>
      <c r="AD53" s="15"/>
      <c r="AE53" s="15"/>
      <c r="AF53" s="15"/>
      <c r="AG53" s="13"/>
      <c r="AH53" s="15"/>
      <c r="AI53" s="15"/>
      <c r="AJ53" s="15"/>
      <c r="AK53" s="13"/>
      <c r="AL53" s="15"/>
      <c r="AM53" s="15"/>
      <c r="AN53" s="13"/>
      <c r="AO53" s="13"/>
    </row>
    <row r="54" spans="1:41" ht="42.8" x14ac:dyDescent="0.25">
      <c r="A54" s="13" t="s">
        <v>76</v>
      </c>
      <c r="B54" s="13" t="s">
        <v>77</v>
      </c>
      <c r="C54" s="14">
        <v>45628.708333333336</v>
      </c>
      <c r="D54" s="13" t="s">
        <v>78</v>
      </c>
      <c r="E54" s="15" t="s">
        <v>79</v>
      </c>
      <c r="F54" s="13" t="s">
        <v>80</v>
      </c>
      <c r="G54" s="15" t="s">
        <v>81</v>
      </c>
      <c r="H54" s="13" t="s">
        <v>82</v>
      </c>
      <c r="I54" s="15" t="s">
        <v>81</v>
      </c>
      <c r="J54" s="15" t="s">
        <v>83</v>
      </c>
      <c r="K54" s="15" t="s">
        <v>84</v>
      </c>
      <c r="L54" s="13" t="s">
        <v>118</v>
      </c>
      <c r="M54" s="15" t="s">
        <v>119</v>
      </c>
      <c r="N54" s="14" t="s">
        <v>87</v>
      </c>
      <c r="O54" s="15" t="s">
        <v>120</v>
      </c>
      <c r="P54" s="15" t="s">
        <v>121</v>
      </c>
      <c r="Q54" s="15" t="s">
        <v>238</v>
      </c>
      <c r="R54" s="13" t="s">
        <v>239</v>
      </c>
      <c r="S54" s="13" t="s">
        <v>193</v>
      </c>
      <c r="T54" s="13" t="s">
        <v>174</v>
      </c>
      <c r="U54" s="14">
        <v>40725</v>
      </c>
      <c r="V54" s="14">
        <v>40725</v>
      </c>
      <c r="W54" s="15"/>
      <c r="X54" s="15"/>
      <c r="Y54" s="13"/>
      <c r="Z54" s="15"/>
      <c r="AA54" s="15"/>
      <c r="AB54" s="15"/>
      <c r="AC54" s="13"/>
      <c r="AD54" s="15"/>
      <c r="AE54" s="15"/>
      <c r="AF54" s="15"/>
      <c r="AG54" s="13"/>
      <c r="AH54" s="15"/>
      <c r="AI54" s="15"/>
      <c r="AJ54" s="15"/>
      <c r="AK54" s="13"/>
      <c r="AL54" s="15"/>
      <c r="AM54" s="15"/>
      <c r="AN54" s="13"/>
      <c r="AO54" s="13"/>
    </row>
    <row r="55" spans="1:41" ht="42.8" x14ac:dyDescent="0.25">
      <c r="A55" s="13" t="s">
        <v>76</v>
      </c>
      <c r="B55" s="13" t="s">
        <v>77</v>
      </c>
      <c r="C55" s="14">
        <v>45628.709722222222</v>
      </c>
      <c r="D55" s="13" t="s">
        <v>78</v>
      </c>
      <c r="E55" s="15" t="s">
        <v>79</v>
      </c>
      <c r="F55" s="13" t="s">
        <v>80</v>
      </c>
      <c r="G55" s="15" t="s">
        <v>81</v>
      </c>
      <c r="H55" s="13" t="s">
        <v>82</v>
      </c>
      <c r="I55" s="15" t="s">
        <v>81</v>
      </c>
      <c r="J55" s="15" t="s">
        <v>83</v>
      </c>
      <c r="K55" s="15" t="s">
        <v>84</v>
      </c>
      <c r="L55" s="13" t="s">
        <v>143</v>
      </c>
      <c r="M55" s="15" t="s">
        <v>144</v>
      </c>
      <c r="N55" s="14" t="s">
        <v>87</v>
      </c>
      <c r="O55" s="15" t="s">
        <v>145</v>
      </c>
      <c r="P55" s="15" t="s">
        <v>146</v>
      </c>
      <c r="Q55" s="15" t="s">
        <v>238</v>
      </c>
      <c r="R55" s="13" t="s">
        <v>239</v>
      </c>
      <c r="S55" s="13" t="s">
        <v>193</v>
      </c>
      <c r="T55" s="13" t="s">
        <v>174</v>
      </c>
      <c r="U55" s="14">
        <v>40725</v>
      </c>
      <c r="V55" s="14">
        <v>40725</v>
      </c>
      <c r="W55" s="15"/>
      <c r="X55" s="15"/>
      <c r="Y55" s="13"/>
      <c r="Z55" s="15"/>
      <c r="AA55" s="15"/>
      <c r="AB55" s="15"/>
      <c r="AC55" s="13"/>
      <c r="AD55" s="15"/>
      <c r="AE55" s="15"/>
      <c r="AF55" s="15"/>
      <c r="AG55" s="13"/>
      <c r="AH55" s="15"/>
      <c r="AI55" s="15"/>
      <c r="AJ55" s="15"/>
      <c r="AK55" s="13"/>
      <c r="AL55" s="15"/>
      <c r="AM55" s="15"/>
      <c r="AN55" s="13"/>
      <c r="AO55" s="13"/>
    </row>
    <row r="56" spans="1:41" ht="42.8" x14ac:dyDescent="0.25">
      <c r="A56" s="13" t="s">
        <v>76</v>
      </c>
      <c r="B56" s="13" t="s">
        <v>77</v>
      </c>
      <c r="C56" s="14">
        <v>45628.715277777781</v>
      </c>
      <c r="D56" s="13" t="s">
        <v>78</v>
      </c>
      <c r="E56" s="15" t="s">
        <v>79</v>
      </c>
      <c r="F56" s="13" t="s">
        <v>80</v>
      </c>
      <c r="G56" s="15" t="s">
        <v>81</v>
      </c>
      <c r="H56" s="13" t="s">
        <v>240</v>
      </c>
      <c r="I56" s="15" t="s">
        <v>241</v>
      </c>
      <c r="J56" s="15" t="s">
        <v>83</v>
      </c>
      <c r="K56" s="15" t="s">
        <v>242</v>
      </c>
      <c r="L56" s="13" t="s">
        <v>243</v>
      </c>
      <c r="M56" s="15" t="s">
        <v>244</v>
      </c>
      <c r="N56" s="14" t="s">
        <v>87</v>
      </c>
      <c r="O56" s="15" t="s">
        <v>88</v>
      </c>
      <c r="P56" s="15" t="s">
        <v>89</v>
      </c>
      <c r="Q56" s="15" t="s">
        <v>90</v>
      </c>
      <c r="R56" s="13" t="s">
        <v>91</v>
      </c>
      <c r="S56" s="13" t="s">
        <v>92</v>
      </c>
      <c r="T56" s="13" t="s">
        <v>93</v>
      </c>
      <c r="U56" s="14">
        <v>40725</v>
      </c>
      <c r="V56" s="14">
        <v>40725</v>
      </c>
      <c r="W56" s="15"/>
      <c r="X56" s="15"/>
      <c r="Y56" s="13"/>
      <c r="Z56" s="15"/>
      <c r="AA56" s="15"/>
      <c r="AB56" s="15"/>
      <c r="AC56" s="13"/>
      <c r="AD56" s="15"/>
      <c r="AE56" s="15"/>
      <c r="AF56" s="15"/>
      <c r="AG56" s="13"/>
      <c r="AH56" s="15"/>
      <c r="AI56" s="15"/>
      <c r="AJ56" s="15"/>
      <c r="AK56" s="13"/>
      <c r="AL56" s="15"/>
      <c r="AM56" s="15"/>
      <c r="AN56" s="13"/>
      <c r="AO56" s="13"/>
    </row>
    <row r="57" spans="1:41" ht="42.8" x14ac:dyDescent="0.25">
      <c r="A57" s="13" t="s">
        <v>142</v>
      </c>
      <c r="B57" s="13" t="s">
        <v>77</v>
      </c>
      <c r="C57" s="14">
        <v>43509.742361111108</v>
      </c>
      <c r="D57" s="13" t="s">
        <v>78</v>
      </c>
      <c r="E57" s="15" t="s">
        <v>79</v>
      </c>
      <c r="F57" s="13" t="s">
        <v>80</v>
      </c>
      <c r="G57" s="15" t="s">
        <v>81</v>
      </c>
      <c r="H57" s="13" t="s">
        <v>240</v>
      </c>
      <c r="I57" s="15" t="s">
        <v>241</v>
      </c>
      <c r="J57" s="15" t="s">
        <v>83</v>
      </c>
      <c r="K57" s="15" t="s">
        <v>242</v>
      </c>
      <c r="L57" s="13" t="s">
        <v>256</v>
      </c>
      <c r="M57" s="15" t="s">
        <v>257</v>
      </c>
      <c r="N57" s="14" t="s">
        <v>87</v>
      </c>
      <c r="O57" s="15" t="s">
        <v>258</v>
      </c>
      <c r="P57" s="15" t="s">
        <v>259</v>
      </c>
      <c r="Q57" s="15" t="s">
        <v>90</v>
      </c>
      <c r="R57" s="13" t="s">
        <v>91</v>
      </c>
      <c r="S57" s="13" t="s">
        <v>92</v>
      </c>
      <c r="T57" s="13" t="s">
        <v>93</v>
      </c>
      <c r="U57" s="14">
        <v>40725</v>
      </c>
      <c r="V57" s="14">
        <v>43435</v>
      </c>
      <c r="W57" s="15"/>
      <c r="X57" s="15"/>
      <c r="Y57" s="13"/>
      <c r="Z57" s="15"/>
      <c r="AA57" s="15"/>
      <c r="AB57" s="15"/>
      <c r="AC57" s="13"/>
      <c r="AD57" s="15"/>
      <c r="AE57" s="15"/>
      <c r="AF57" s="15"/>
      <c r="AG57" s="13"/>
      <c r="AH57" s="15"/>
      <c r="AI57" s="15"/>
      <c r="AJ57" s="15"/>
      <c r="AK57" s="13"/>
      <c r="AL57" s="15"/>
      <c r="AM57" s="15"/>
      <c r="AN57" s="13"/>
      <c r="AO57" s="13"/>
    </row>
    <row r="58" spans="1:41" ht="42.8" x14ac:dyDescent="0.25">
      <c r="A58" s="13" t="s">
        <v>76</v>
      </c>
      <c r="B58" s="13" t="s">
        <v>77</v>
      </c>
      <c r="C58" s="14">
        <v>45628.717361111114</v>
      </c>
      <c r="D58" s="13" t="s">
        <v>78</v>
      </c>
      <c r="E58" s="15" t="s">
        <v>79</v>
      </c>
      <c r="F58" s="13" t="s">
        <v>80</v>
      </c>
      <c r="G58" s="15" t="s">
        <v>81</v>
      </c>
      <c r="H58" s="13" t="s">
        <v>240</v>
      </c>
      <c r="I58" s="15" t="s">
        <v>241</v>
      </c>
      <c r="J58" s="15" t="s">
        <v>83</v>
      </c>
      <c r="K58" s="15" t="s">
        <v>242</v>
      </c>
      <c r="L58" s="13" t="s">
        <v>256</v>
      </c>
      <c r="M58" s="15" t="s">
        <v>257</v>
      </c>
      <c r="N58" s="14" t="s">
        <v>87</v>
      </c>
      <c r="O58" s="15" t="s">
        <v>258</v>
      </c>
      <c r="P58" s="15" t="s">
        <v>259</v>
      </c>
      <c r="Q58" s="15" t="s">
        <v>90</v>
      </c>
      <c r="R58" s="13" t="s">
        <v>91</v>
      </c>
      <c r="S58" s="13" t="s">
        <v>92</v>
      </c>
      <c r="T58" s="13" t="s">
        <v>93</v>
      </c>
      <c r="U58" s="14">
        <v>43436</v>
      </c>
      <c r="V58" s="14">
        <v>43436</v>
      </c>
      <c r="W58" s="15"/>
      <c r="X58" s="15"/>
      <c r="Y58" s="13"/>
      <c r="Z58" s="15"/>
      <c r="AA58" s="15"/>
      <c r="AB58" s="15"/>
      <c r="AC58" s="13"/>
      <c r="AD58" s="15"/>
      <c r="AE58" s="15"/>
      <c r="AF58" s="15"/>
      <c r="AG58" s="13"/>
      <c r="AH58" s="15"/>
      <c r="AI58" s="15"/>
      <c r="AJ58" s="15"/>
      <c r="AK58" s="13"/>
      <c r="AL58" s="15"/>
      <c r="AM58" s="15"/>
      <c r="AN58" s="13"/>
      <c r="AO58" s="13"/>
    </row>
    <row r="59" spans="1:41" ht="42.8" x14ac:dyDescent="0.25">
      <c r="A59" s="13" t="s">
        <v>76</v>
      </c>
      <c r="B59" s="13" t="s">
        <v>77</v>
      </c>
      <c r="C59" s="14">
        <v>45628.713888888888</v>
      </c>
      <c r="D59" s="13" t="s">
        <v>78</v>
      </c>
      <c r="E59" s="15" t="s">
        <v>79</v>
      </c>
      <c r="F59" s="13" t="s">
        <v>80</v>
      </c>
      <c r="G59" s="15" t="s">
        <v>81</v>
      </c>
      <c r="H59" s="13" t="s">
        <v>240</v>
      </c>
      <c r="I59" s="15" t="s">
        <v>241</v>
      </c>
      <c r="J59" s="15" t="s">
        <v>83</v>
      </c>
      <c r="K59" s="15" t="s">
        <v>242</v>
      </c>
      <c r="L59" s="13" t="s">
        <v>243</v>
      </c>
      <c r="M59" s="15" t="s">
        <v>244</v>
      </c>
      <c r="N59" s="14" t="s">
        <v>87</v>
      </c>
      <c r="O59" s="15" t="s">
        <v>88</v>
      </c>
      <c r="P59" s="15" t="s">
        <v>89</v>
      </c>
      <c r="Q59" s="15" t="s">
        <v>172</v>
      </c>
      <c r="R59" s="13" t="s">
        <v>173</v>
      </c>
      <c r="S59" s="13" t="s">
        <v>92</v>
      </c>
      <c r="T59" s="13" t="s">
        <v>174</v>
      </c>
      <c r="U59" s="14">
        <v>43831</v>
      </c>
      <c r="V59" s="14">
        <v>43831</v>
      </c>
      <c r="W59" s="15"/>
      <c r="X59" s="15"/>
      <c r="Y59" s="13"/>
      <c r="Z59" s="15"/>
      <c r="AA59" s="15"/>
      <c r="AB59" s="15"/>
      <c r="AC59" s="13"/>
      <c r="AD59" s="15"/>
      <c r="AE59" s="15"/>
      <c r="AF59" s="15"/>
      <c r="AG59" s="13"/>
      <c r="AH59" s="15"/>
      <c r="AI59" s="15"/>
      <c r="AJ59" s="15"/>
      <c r="AK59" s="13"/>
      <c r="AL59" s="15"/>
      <c r="AM59" s="15"/>
      <c r="AN59" s="13"/>
      <c r="AO59" s="13"/>
    </row>
    <row r="60" spans="1:41" ht="42.8" x14ac:dyDescent="0.25">
      <c r="A60" s="13" t="s">
        <v>76</v>
      </c>
      <c r="B60" s="13" t="s">
        <v>77</v>
      </c>
      <c r="C60" s="14">
        <v>45628.71597222222</v>
      </c>
      <c r="D60" s="13" t="s">
        <v>78</v>
      </c>
      <c r="E60" s="15" t="s">
        <v>79</v>
      </c>
      <c r="F60" s="13" t="s">
        <v>80</v>
      </c>
      <c r="G60" s="15" t="s">
        <v>81</v>
      </c>
      <c r="H60" s="13" t="s">
        <v>240</v>
      </c>
      <c r="I60" s="15" t="s">
        <v>241</v>
      </c>
      <c r="J60" s="15" t="s">
        <v>83</v>
      </c>
      <c r="K60" s="15" t="s">
        <v>242</v>
      </c>
      <c r="L60" s="13" t="s">
        <v>256</v>
      </c>
      <c r="M60" s="15" t="s">
        <v>257</v>
      </c>
      <c r="N60" s="14" t="s">
        <v>87</v>
      </c>
      <c r="O60" s="15" t="s">
        <v>258</v>
      </c>
      <c r="P60" s="15" t="s">
        <v>259</v>
      </c>
      <c r="Q60" s="15" t="s">
        <v>172</v>
      </c>
      <c r="R60" s="13" t="s">
        <v>173</v>
      </c>
      <c r="S60" s="13" t="s">
        <v>92</v>
      </c>
      <c r="T60" s="13" t="s">
        <v>174</v>
      </c>
      <c r="U60" s="14">
        <v>43831</v>
      </c>
      <c r="V60" s="14">
        <v>43831</v>
      </c>
      <c r="W60" s="15"/>
      <c r="X60" s="15"/>
      <c r="Y60" s="13"/>
      <c r="Z60" s="15"/>
      <c r="AA60" s="15"/>
      <c r="AB60" s="15"/>
      <c r="AC60" s="13"/>
      <c r="AD60" s="15"/>
      <c r="AE60" s="15"/>
      <c r="AF60" s="15"/>
      <c r="AG60" s="13"/>
      <c r="AH60" s="15"/>
      <c r="AI60" s="15"/>
      <c r="AJ60" s="15"/>
      <c r="AK60" s="13"/>
      <c r="AL60" s="15"/>
      <c r="AM60" s="15"/>
      <c r="AN60" s="13"/>
      <c r="AO60" s="13"/>
    </row>
    <row r="61" spans="1:41" ht="42.8" x14ac:dyDescent="0.25">
      <c r="A61" s="13" t="s">
        <v>76</v>
      </c>
      <c r="B61" s="13" t="s">
        <v>77</v>
      </c>
      <c r="C61" s="14">
        <v>45628.713888888888</v>
      </c>
      <c r="D61" s="13" t="s">
        <v>78</v>
      </c>
      <c r="E61" s="15" t="s">
        <v>79</v>
      </c>
      <c r="F61" s="13" t="s">
        <v>80</v>
      </c>
      <c r="G61" s="15" t="s">
        <v>81</v>
      </c>
      <c r="H61" s="13" t="s">
        <v>240</v>
      </c>
      <c r="I61" s="15" t="s">
        <v>241</v>
      </c>
      <c r="J61" s="15" t="s">
        <v>83</v>
      </c>
      <c r="K61" s="15" t="s">
        <v>242</v>
      </c>
      <c r="L61" s="13" t="s">
        <v>243</v>
      </c>
      <c r="M61" s="15" t="s">
        <v>244</v>
      </c>
      <c r="N61" s="14" t="s">
        <v>87</v>
      </c>
      <c r="O61" s="15" t="s">
        <v>88</v>
      </c>
      <c r="P61" s="15" t="s">
        <v>89</v>
      </c>
      <c r="Q61" s="15" t="s">
        <v>175</v>
      </c>
      <c r="R61" s="13" t="s">
        <v>176</v>
      </c>
      <c r="S61" s="13" t="s">
        <v>92</v>
      </c>
      <c r="T61" s="13" t="s">
        <v>93</v>
      </c>
      <c r="U61" s="14">
        <v>40725</v>
      </c>
      <c r="V61" s="14">
        <v>40725</v>
      </c>
      <c r="W61" s="15"/>
      <c r="X61" s="15"/>
      <c r="Y61" s="13"/>
      <c r="Z61" s="15"/>
      <c r="AA61" s="15"/>
      <c r="AB61" s="15"/>
      <c r="AC61" s="13"/>
      <c r="AD61" s="15"/>
      <c r="AE61" s="15"/>
      <c r="AF61" s="15"/>
      <c r="AG61" s="13"/>
      <c r="AH61" s="15"/>
      <c r="AI61" s="15"/>
      <c r="AJ61" s="15"/>
      <c r="AK61" s="13"/>
      <c r="AL61" s="15"/>
      <c r="AM61" s="15"/>
      <c r="AN61" s="13"/>
      <c r="AO61" s="13"/>
    </row>
    <row r="62" spans="1:41" ht="42.8" x14ac:dyDescent="0.25">
      <c r="A62" s="13" t="s">
        <v>142</v>
      </c>
      <c r="B62" s="13" t="s">
        <v>77</v>
      </c>
      <c r="C62" s="14">
        <v>43509.746527777781</v>
      </c>
      <c r="D62" s="13" t="s">
        <v>78</v>
      </c>
      <c r="E62" s="15" t="s">
        <v>79</v>
      </c>
      <c r="F62" s="13" t="s">
        <v>80</v>
      </c>
      <c r="G62" s="15" t="s">
        <v>81</v>
      </c>
      <c r="H62" s="13" t="s">
        <v>240</v>
      </c>
      <c r="I62" s="15" t="s">
        <v>241</v>
      </c>
      <c r="J62" s="15" t="s">
        <v>83</v>
      </c>
      <c r="K62" s="15" t="s">
        <v>242</v>
      </c>
      <c r="L62" s="13" t="s">
        <v>256</v>
      </c>
      <c r="M62" s="15" t="s">
        <v>257</v>
      </c>
      <c r="N62" s="14" t="s">
        <v>87</v>
      </c>
      <c r="O62" s="15" t="s">
        <v>258</v>
      </c>
      <c r="P62" s="15" t="s">
        <v>259</v>
      </c>
      <c r="Q62" s="15" t="s">
        <v>175</v>
      </c>
      <c r="R62" s="13" t="s">
        <v>176</v>
      </c>
      <c r="S62" s="13" t="s">
        <v>92</v>
      </c>
      <c r="T62" s="13" t="s">
        <v>93</v>
      </c>
      <c r="U62" s="14">
        <v>40725</v>
      </c>
      <c r="V62" s="14">
        <v>43435</v>
      </c>
      <c r="W62" s="15"/>
      <c r="X62" s="15"/>
      <c r="Y62" s="13"/>
      <c r="Z62" s="15"/>
      <c r="AA62" s="15"/>
      <c r="AB62" s="15"/>
      <c r="AC62" s="13"/>
      <c r="AD62" s="15"/>
      <c r="AE62" s="15"/>
      <c r="AF62" s="15"/>
      <c r="AG62" s="13"/>
      <c r="AH62" s="15"/>
      <c r="AI62" s="15"/>
      <c r="AJ62" s="15"/>
      <c r="AK62" s="13"/>
      <c r="AL62" s="15"/>
      <c r="AM62" s="15"/>
      <c r="AN62" s="13"/>
      <c r="AO62" s="13"/>
    </row>
    <row r="63" spans="1:41" ht="42.8" x14ac:dyDescent="0.25">
      <c r="A63" s="13" t="s">
        <v>76</v>
      </c>
      <c r="B63" s="13" t="s">
        <v>77</v>
      </c>
      <c r="C63" s="14">
        <v>45628.71597222222</v>
      </c>
      <c r="D63" s="13" t="s">
        <v>78</v>
      </c>
      <c r="E63" s="15" t="s">
        <v>79</v>
      </c>
      <c r="F63" s="13" t="s">
        <v>80</v>
      </c>
      <c r="G63" s="15" t="s">
        <v>81</v>
      </c>
      <c r="H63" s="13" t="s">
        <v>240</v>
      </c>
      <c r="I63" s="15" t="s">
        <v>241</v>
      </c>
      <c r="J63" s="15" t="s">
        <v>83</v>
      </c>
      <c r="K63" s="15" t="s">
        <v>242</v>
      </c>
      <c r="L63" s="13" t="s">
        <v>256</v>
      </c>
      <c r="M63" s="15" t="s">
        <v>257</v>
      </c>
      <c r="N63" s="14" t="s">
        <v>87</v>
      </c>
      <c r="O63" s="15" t="s">
        <v>258</v>
      </c>
      <c r="P63" s="15" t="s">
        <v>259</v>
      </c>
      <c r="Q63" s="15" t="s">
        <v>175</v>
      </c>
      <c r="R63" s="13" t="s">
        <v>176</v>
      </c>
      <c r="S63" s="13" t="s">
        <v>92</v>
      </c>
      <c r="T63" s="13" t="s">
        <v>93</v>
      </c>
      <c r="U63" s="14">
        <v>43436</v>
      </c>
      <c r="V63" s="14">
        <v>43436</v>
      </c>
      <c r="W63" s="15"/>
      <c r="X63" s="15"/>
      <c r="Y63" s="13"/>
      <c r="Z63" s="15"/>
      <c r="AA63" s="15"/>
      <c r="AB63" s="15"/>
      <c r="AC63" s="13"/>
      <c r="AD63" s="15"/>
      <c r="AE63" s="15"/>
      <c r="AF63" s="15"/>
      <c r="AG63" s="13"/>
      <c r="AH63" s="15"/>
      <c r="AI63" s="15"/>
      <c r="AJ63" s="15"/>
      <c r="AK63" s="13"/>
      <c r="AL63" s="15"/>
      <c r="AM63" s="15"/>
      <c r="AN63" s="13"/>
      <c r="AO63" s="13"/>
    </row>
    <row r="64" spans="1:41" ht="42.8" x14ac:dyDescent="0.25">
      <c r="A64" s="13" t="s">
        <v>76</v>
      </c>
      <c r="B64" s="13" t="s">
        <v>77</v>
      </c>
      <c r="C64" s="14">
        <v>45628.715277777781</v>
      </c>
      <c r="D64" s="13" t="s">
        <v>78</v>
      </c>
      <c r="E64" s="15" t="s">
        <v>79</v>
      </c>
      <c r="F64" s="13" t="s">
        <v>80</v>
      </c>
      <c r="G64" s="15" t="s">
        <v>81</v>
      </c>
      <c r="H64" s="13" t="s">
        <v>240</v>
      </c>
      <c r="I64" s="15" t="s">
        <v>241</v>
      </c>
      <c r="J64" s="15" t="s">
        <v>83</v>
      </c>
      <c r="K64" s="15" t="s">
        <v>242</v>
      </c>
      <c r="L64" s="13" t="s">
        <v>243</v>
      </c>
      <c r="M64" s="15" t="s">
        <v>244</v>
      </c>
      <c r="N64" s="14" t="s">
        <v>87</v>
      </c>
      <c r="O64" s="15" t="s">
        <v>88</v>
      </c>
      <c r="P64" s="15" t="s">
        <v>89</v>
      </c>
      <c r="Q64" s="15" t="s">
        <v>187</v>
      </c>
      <c r="R64" s="13" t="s">
        <v>188</v>
      </c>
      <c r="S64" s="13" t="s">
        <v>92</v>
      </c>
      <c r="T64" s="13" t="s">
        <v>174</v>
      </c>
      <c r="U64" s="14">
        <v>40725</v>
      </c>
      <c r="V64" s="14">
        <v>40725</v>
      </c>
      <c r="W64" s="15"/>
      <c r="X64" s="15"/>
      <c r="Y64" s="13"/>
      <c r="Z64" s="15"/>
      <c r="AA64" s="15"/>
      <c r="AB64" s="15"/>
      <c r="AC64" s="13"/>
      <c r="AD64" s="15"/>
      <c r="AE64" s="15"/>
      <c r="AF64" s="15"/>
      <c r="AG64" s="13"/>
      <c r="AH64" s="15"/>
      <c r="AI64" s="15"/>
      <c r="AJ64" s="15"/>
      <c r="AK64" s="13"/>
      <c r="AL64" s="15"/>
      <c r="AM64" s="15"/>
      <c r="AN64" s="13"/>
      <c r="AO64" s="13"/>
    </row>
    <row r="65" spans="1:41" ht="42.8" x14ac:dyDescent="0.25">
      <c r="A65" s="13" t="s">
        <v>76</v>
      </c>
      <c r="B65" s="13" t="s">
        <v>77</v>
      </c>
      <c r="C65" s="14">
        <v>45628.717361111114</v>
      </c>
      <c r="D65" s="13" t="s">
        <v>78</v>
      </c>
      <c r="E65" s="15" t="s">
        <v>79</v>
      </c>
      <c r="F65" s="13" t="s">
        <v>80</v>
      </c>
      <c r="G65" s="15" t="s">
        <v>81</v>
      </c>
      <c r="H65" s="13" t="s">
        <v>240</v>
      </c>
      <c r="I65" s="15" t="s">
        <v>241</v>
      </c>
      <c r="J65" s="15" t="s">
        <v>83</v>
      </c>
      <c r="K65" s="15" t="s">
        <v>242</v>
      </c>
      <c r="L65" s="13" t="s">
        <v>256</v>
      </c>
      <c r="M65" s="15" t="s">
        <v>257</v>
      </c>
      <c r="N65" s="14" t="s">
        <v>87</v>
      </c>
      <c r="O65" s="15" t="s">
        <v>258</v>
      </c>
      <c r="P65" s="15" t="s">
        <v>259</v>
      </c>
      <c r="Q65" s="15" t="s">
        <v>187</v>
      </c>
      <c r="R65" s="13" t="s">
        <v>188</v>
      </c>
      <c r="S65" s="13" t="s">
        <v>92</v>
      </c>
      <c r="T65" s="13" t="s">
        <v>174</v>
      </c>
      <c r="U65" s="14">
        <v>40725</v>
      </c>
      <c r="V65" s="14">
        <v>40725</v>
      </c>
      <c r="W65" s="15"/>
      <c r="X65" s="15"/>
      <c r="Y65" s="13"/>
      <c r="Z65" s="15"/>
      <c r="AA65" s="15"/>
      <c r="AB65" s="15"/>
      <c r="AC65" s="13"/>
      <c r="AD65" s="15"/>
      <c r="AE65" s="15"/>
      <c r="AF65" s="15"/>
      <c r="AG65" s="13"/>
      <c r="AH65" s="15"/>
      <c r="AI65" s="15"/>
      <c r="AJ65" s="15"/>
      <c r="AK65" s="13"/>
      <c r="AL65" s="15"/>
      <c r="AM65" s="15"/>
      <c r="AN65" s="13"/>
      <c r="AO65" s="13"/>
    </row>
    <row r="66" spans="1:41" ht="42.8" x14ac:dyDescent="0.25">
      <c r="A66" s="13" t="s">
        <v>76</v>
      </c>
      <c r="B66" s="13" t="s">
        <v>77</v>
      </c>
      <c r="C66" s="14">
        <v>45628.714583333334</v>
      </c>
      <c r="D66" s="13" t="s">
        <v>78</v>
      </c>
      <c r="E66" s="15" t="s">
        <v>79</v>
      </c>
      <c r="F66" s="13" t="s">
        <v>80</v>
      </c>
      <c r="G66" s="15" t="s">
        <v>81</v>
      </c>
      <c r="H66" s="13" t="s">
        <v>240</v>
      </c>
      <c r="I66" s="15" t="s">
        <v>241</v>
      </c>
      <c r="J66" s="15" t="s">
        <v>83</v>
      </c>
      <c r="K66" s="15" t="s">
        <v>242</v>
      </c>
      <c r="L66" s="13" t="s">
        <v>243</v>
      </c>
      <c r="M66" s="15" t="s">
        <v>244</v>
      </c>
      <c r="N66" s="14" t="s">
        <v>87</v>
      </c>
      <c r="O66" s="15" t="s">
        <v>88</v>
      </c>
      <c r="P66" s="15" t="s">
        <v>89</v>
      </c>
      <c r="Q66" s="15" t="s">
        <v>189</v>
      </c>
      <c r="R66" s="13" t="s">
        <v>190</v>
      </c>
      <c r="S66" s="13" t="s">
        <v>92</v>
      </c>
      <c r="T66" s="13" t="s">
        <v>174</v>
      </c>
      <c r="U66" s="14">
        <v>40725</v>
      </c>
      <c r="V66" s="14">
        <v>40725</v>
      </c>
      <c r="W66" s="15"/>
      <c r="X66" s="15"/>
      <c r="Y66" s="13"/>
      <c r="Z66" s="15"/>
      <c r="AA66" s="15"/>
      <c r="AB66" s="15"/>
      <c r="AC66" s="13"/>
      <c r="AD66" s="15"/>
      <c r="AE66" s="15"/>
      <c r="AF66" s="15"/>
      <c r="AG66" s="13"/>
      <c r="AH66" s="15"/>
      <c r="AI66" s="15"/>
      <c r="AJ66" s="15"/>
      <c r="AK66" s="13"/>
      <c r="AL66" s="15"/>
      <c r="AM66" s="15"/>
      <c r="AN66" s="13"/>
      <c r="AO66" s="13"/>
    </row>
    <row r="67" spans="1:41" ht="42.8" x14ac:dyDescent="0.25">
      <c r="A67" s="13" t="s">
        <v>76</v>
      </c>
      <c r="B67" s="13" t="s">
        <v>77</v>
      </c>
      <c r="C67" s="14">
        <v>45628.716666666667</v>
      </c>
      <c r="D67" s="13" t="s">
        <v>78</v>
      </c>
      <c r="E67" s="15" t="s">
        <v>79</v>
      </c>
      <c r="F67" s="13" t="s">
        <v>80</v>
      </c>
      <c r="G67" s="15" t="s">
        <v>81</v>
      </c>
      <c r="H67" s="13" t="s">
        <v>240</v>
      </c>
      <c r="I67" s="15" t="s">
        <v>241</v>
      </c>
      <c r="J67" s="15" t="s">
        <v>83</v>
      </c>
      <c r="K67" s="15" t="s">
        <v>242</v>
      </c>
      <c r="L67" s="13" t="s">
        <v>256</v>
      </c>
      <c r="M67" s="15" t="s">
        <v>257</v>
      </c>
      <c r="N67" s="14" t="s">
        <v>87</v>
      </c>
      <c r="O67" s="15" t="s">
        <v>258</v>
      </c>
      <c r="P67" s="15" t="s">
        <v>259</v>
      </c>
      <c r="Q67" s="15" t="s">
        <v>189</v>
      </c>
      <c r="R67" s="13" t="s">
        <v>190</v>
      </c>
      <c r="S67" s="13" t="s">
        <v>92</v>
      </c>
      <c r="T67" s="13" t="s">
        <v>174</v>
      </c>
      <c r="U67" s="14">
        <v>40725</v>
      </c>
      <c r="V67" s="14">
        <v>40725</v>
      </c>
      <c r="W67" s="15"/>
      <c r="X67" s="15"/>
      <c r="Y67" s="13"/>
      <c r="Z67" s="15"/>
      <c r="AA67" s="15"/>
      <c r="AB67" s="15"/>
      <c r="AC67" s="13"/>
      <c r="AD67" s="15"/>
      <c r="AE67" s="15"/>
      <c r="AF67" s="15"/>
      <c r="AG67" s="13"/>
      <c r="AH67" s="15"/>
      <c r="AI67" s="15"/>
      <c r="AJ67" s="15"/>
      <c r="AK67" s="13"/>
      <c r="AL67" s="15"/>
      <c r="AM67" s="15"/>
      <c r="AN67" s="13"/>
      <c r="AO67" s="13"/>
    </row>
    <row r="68" spans="1:41" ht="42.8" x14ac:dyDescent="0.25">
      <c r="A68" s="13" t="s">
        <v>76</v>
      </c>
      <c r="B68" s="13" t="s">
        <v>77</v>
      </c>
      <c r="C68" s="14">
        <v>45628.717361111114</v>
      </c>
      <c r="D68" s="13" t="s">
        <v>78</v>
      </c>
      <c r="E68" s="15" t="s">
        <v>79</v>
      </c>
      <c r="F68" s="13" t="s">
        <v>80</v>
      </c>
      <c r="G68" s="15" t="s">
        <v>81</v>
      </c>
      <c r="H68" s="13" t="s">
        <v>240</v>
      </c>
      <c r="I68" s="15" t="s">
        <v>241</v>
      </c>
      <c r="J68" s="15" t="s">
        <v>83</v>
      </c>
      <c r="K68" s="15" t="s">
        <v>242</v>
      </c>
      <c r="L68" s="13" t="s">
        <v>243</v>
      </c>
      <c r="M68" s="15" t="s">
        <v>244</v>
      </c>
      <c r="N68" s="14" t="s">
        <v>87</v>
      </c>
      <c r="O68" s="15" t="s">
        <v>88</v>
      </c>
      <c r="P68" s="15" t="s">
        <v>89</v>
      </c>
      <c r="Q68" s="15" t="s">
        <v>191</v>
      </c>
      <c r="R68" s="13" t="s">
        <v>192</v>
      </c>
      <c r="S68" s="13" t="s">
        <v>193</v>
      </c>
      <c r="T68" s="13" t="s">
        <v>174</v>
      </c>
      <c r="U68" s="14">
        <v>40725</v>
      </c>
      <c r="V68" s="14">
        <v>40725</v>
      </c>
      <c r="W68" s="15"/>
      <c r="X68" s="15"/>
      <c r="Y68" s="13"/>
      <c r="Z68" s="15"/>
      <c r="AA68" s="15"/>
      <c r="AB68" s="15"/>
      <c r="AC68" s="13"/>
      <c r="AD68" s="15"/>
      <c r="AE68" s="15"/>
      <c r="AF68" s="15"/>
      <c r="AG68" s="13"/>
      <c r="AH68" s="15"/>
      <c r="AI68" s="15"/>
      <c r="AJ68" s="15"/>
      <c r="AK68" s="13"/>
      <c r="AL68" s="15"/>
      <c r="AM68" s="15"/>
      <c r="AN68" s="13"/>
      <c r="AO68" s="13"/>
    </row>
    <row r="69" spans="1:41" ht="42.8" x14ac:dyDescent="0.25">
      <c r="A69" s="13" t="s">
        <v>76</v>
      </c>
      <c r="B69" s="13" t="s">
        <v>77</v>
      </c>
      <c r="C69" s="14">
        <v>45628.71875</v>
      </c>
      <c r="D69" s="13" t="s">
        <v>78</v>
      </c>
      <c r="E69" s="15" t="s">
        <v>79</v>
      </c>
      <c r="F69" s="13" t="s">
        <v>80</v>
      </c>
      <c r="G69" s="15" t="s">
        <v>81</v>
      </c>
      <c r="H69" s="13" t="s">
        <v>240</v>
      </c>
      <c r="I69" s="15" t="s">
        <v>241</v>
      </c>
      <c r="J69" s="15" t="s">
        <v>83</v>
      </c>
      <c r="K69" s="15" t="s">
        <v>242</v>
      </c>
      <c r="L69" s="13" t="s">
        <v>256</v>
      </c>
      <c r="M69" s="15" t="s">
        <v>257</v>
      </c>
      <c r="N69" s="14" t="s">
        <v>87</v>
      </c>
      <c r="O69" s="15" t="s">
        <v>258</v>
      </c>
      <c r="P69" s="15" t="s">
        <v>259</v>
      </c>
      <c r="Q69" s="15" t="s">
        <v>191</v>
      </c>
      <c r="R69" s="13" t="s">
        <v>192</v>
      </c>
      <c r="S69" s="13" t="s">
        <v>193</v>
      </c>
      <c r="T69" s="13" t="s">
        <v>174</v>
      </c>
      <c r="U69" s="14">
        <v>40725</v>
      </c>
      <c r="V69" s="14">
        <v>40725</v>
      </c>
      <c r="W69" s="15"/>
      <c r="X69" s="15"/>
      <c r="Y69" s="13"/>
      <c r="Z69" s="15"/>
      <c r="AA69" s="15"/>
      <c r="AB69" s="15"/>
      <c r="AC69" s="13"/>
      <c r="AD69" s="15"/>
      <c r="AE69" s="15"/>
      <c r="AF69" s="15"/>
      <c r="AG69" s="13"/>
      <c r="AH69" s="15"/>
      <c r="AI69" s="15"/>
      <c r="AJ69" s="15"/>
      <c r="AK69" s="13"/>
      <c r="AL69" s="15"/>
      <c r="AM69" s="15"/>
      <c r="AN69" s="13"/>
      <c r="AO69" s="13"/>
    </row>
    <row r="70" spans="1:41" ht="42.8" x14ac:dyDescent="0.25">
      <c r="A70" s="13" t="s">
        <v>76</v>
      </c>
      <c r="B70" s="13" t="s">
        <v>77</v>
      </c>
      <c r="C70" s="14">
        <v>45628.718055555553</v>
      </c>
      <c r="D70" s="13" t="s">
        <v>78</v>
      </c>
      <c r="E70" s="15" t="s">
        <v>79</v>
      </c>
      <c r="F70" s="13" t="s">
        <v>80</v>
      </c>
      <c r="G70" s="15" t="s">
        <v>81</v>
      </c>
      <c r="H70" s="13" t="s">
        <v>240</v>
      </c>
      <c r="I70" s="15" t="s">
        <v>241</v>
      </c>
      <c r="J70" s="15" t="s">
        <v>83</v>
      </c>
      <c r="K70" s="15" t="s">
        <v>242</v>
      </c>
      <c r="L70" s="13" t="s">
        <v>243</v>
      </c>
      <c r="M70" s="15" t="s">
        <v>244</v>
      </c>
      <c r="N70" s="14" t="s">
        <v>87</v>
      </c>
      <c r="O70" s="15" t="s">
        <v>88</v>
      </c>
      <c r="P70" s="15" t="s">
        <v>89</v>
      </c>
      <c r="Q70" s="15" t="s">
        <v>194</v>
      </c>
      <c r="R70" s="13" t="s">
        <v>195</v>
      </c>
      <c r="S70" s="13" t="s">
        <v>193</v>
      </c>
      <c r="T70" s="13" t="s">
        <v>174</v>
      </c>
      <c r="U70" s="14">
        <v>40725</v>
      </c>
      <c r="V70" s="14">
        <v>40725</v>
      </c>
      <c r="W70" s="15"/>
      <c r="X70" s="15"/>
      <c r="Y70" s="13"/>
      <c r="Z70" s="15"/>
      <c r="AA70" s="15"/>
      <c r="AB70" s="15"/>
      <c r="AC70" s="13"/>
      <c r="AD70" s="15"/>
      <c r="AE70" s="15"/>
      <c r="AF70" s="15"/>
      <c r="AG70" s="13"/>
      <c r="AH70" s="15"/>
      <c r="AI70" s="15"/>
      <c r="AJ70" s="15"/>
      <c r="AK70" s="13"/>
      <c r="AL70" s="15"/>
      <c r="AM70" s="15"/>
      <c r="AN70" s="13"/>
      <c r="AO70" s="13"/>
    </row>
    <row r="71" spans="1:41" ht="42.8" x14ac:dyDescent="0.25">
      <c r="A71" s="13" t="s">
        <v>76</v>
      </c>
      <c r="B71" s="13" t="s">
        <v>77</v>
      </c>
      <c r="C71" s="14">
        <v>45628.719444444447</v>
      </c>
      <c r="D71" s="13" t="s">
        <v>78</v>
      </c>
      <c r="E71" s="15" t="s">
        <v>79</v>
      </c>
      <c r="F71" s="13" t="s">
        <v>80</v>
      </c>
      <c r="G71" s="15" t="s">
        <v>81</v>
      </c>
      <c r="H71" s="13" t="s">
        <v>240</v>
      </c>
      <c r="I71" s="15" t="s">
        <v>241</v>
      </c>
      <c r="J71" s="15" t="s">
        <v>83</v>
      </c>
      <c r="K71" s="15" t="s">
        <v>242</v>
      </c>
      <c r="L71" s="13" t="s">
        <v>256</v>
      </c>
      <c r="M71" s="15" t="s">
        <v>257</v>
      </c>
      <c r="N71" s="14" t="s">
        <v>87</v>
      </c>
      <c r="O71" s="15" t="s">
        <v>258</v>
      </c>
      <c r="P71" s="15" t="s">
        <v>259</v>
      </c>
      <c r="Q71" s="15" t="s">
        <v>194</v>
      </c>
      <c r="R71" s="13" t="s">
        <v>195</v>
      </c>
      <c r="S71" s="13" t="s">
        <v>193</v>
      </c>
      <c r="T71" s="13" t="s">
        <v>174</v>
      </c>
      <c r="U71" s="14">
        <v>40725</v>
      </c>
      <c r="V71" s="14">
        <v>40725</v>
      </c>
      <c r="W71" s="15"/>
      <c r="X71" s="15"/>
      <c r="Y71" s="13"/>
      <c r="Z71" s="15"/>
      <c r="AA71" s="15"/>
      <c r="AB71" s="15"/>
      <c r="AC71" s="13"/>
      <c r="AD71" s="15"/>
      <c r="AE71" s="15"/>
      <c r="AF71" s="15"/>
      <c r="AG71" s="13"/>
      <c r="AH71" s="15"/>
      <c r="AI71" s="15"/>
      <c r="AJ71" s="15"/>
      <c r="AK71" s="13"/>
      <c r="AL71" s="15"/>
      <c r="AM71" s="15"/>
      <c r="AN71" s="13"/>
      <c r="AO71" s="13"/>
    </row>
    <row r="72" spans="1:41" ht="42.8" x14ac:dyDescent="0.25">
      <c r="A72" s="13" t="s">
        <v>76</v>
      </c>
      <c r="B72" s="13" t="s">
        <v>77</v>
      </c>
      <c r="C72" s="14">
        <v>45628.718055555553</v>
      </c>
      <c r="D72" s="13" t="s">
        <v>78</v>
      </c>
      <c r="E72" s="15" t="s">
        <v>79</v>
      </c>
      <c r="F72" s="13" t="s">
        <v>80</v>
      </c>
      <c r="G72" s="15" t="s">
        <v>81</v>
      </c>
      <c r="H72" s="13" t="s">
        <v>240</v>
      </c>
      <c r="I72" s="15" t="s">
        <v>241</v>
      </c>
      <c r="J72" s="15" t="s">
        <v>83</v>
      </c>
      <c r="K72" s="15" t="s">
        <v>242</v>
      </c>
      <c r="L72" s="13" t="s">
        <v>243</v>
      </c>
      <c r="M72" s="15" t="s">
        <v>244</v>
      </c>
      <c r="N72" s="14" t="s">
        <v>87</v>
      </c>
      <c r="O72" s="15" t="s">
        <v>88</v>
      </c>
      <c r="P72" s="15" t="s">
        <v>89</v>
      </c>
      <c r="Q72" s="15" t="s">
        <v>196</v>
      </c>
      <c r="R72" s="13" t="s">
        <v>197</v>
      </c>
      <c r="S72" s="13" t="s">
        <v>193</v>
      </c>
      <c r="T72" s="13" t="s">
        <v>174</v>
      </c>
      <c r="U72" s="14">
        <v>40725</v>
      </c>
      <c r="V72" s="14">
        <v>40725</v>
      </c>
      <c r="W72" s="15"/>
      <c r="X72" s="15"/>
      <c r="Y72" s="13"/>
      <c r="Z72" s="15"/>
      <c r="AA72" s="15"/>
      <c r="AB72" s="15"/>
      <c r="AC72" s="13"/>
      <c r="AD72" s="15"/>
      <c r="AE72" s="15"/>
      <c r="AF72" s="15"/>
      <c r="AG72" s="13"/>
      <c r="AH72" s="15"/>
      <c r="AI72" s="15"/>
      <c r="AJ72" s="15"/>
      <c r="AK72" s="13"/>
      <c r="AL72" s="15"/>
      <c r="AM72" s="15"/>
      <c r="AN72" s="13"/>
      <c r="AO72" s="13"/>
    </row>
    <row r="73" spans="1:41" ht="42.8" x14ac:dyDescent="0.25">
      <c r="A73" s="13" t="s">
        <v>76</v>
      </c>
      <c r="B73" s="13" t="s">
        <v>77</v>
      </c>
      <c r="C73" s="14">
        <v>45628.719444444447</v>
      </c>
      <c r="D73" s="13" t="s">
        <v>78</v>
      </c>
      <c r="E73" s="15" t="s">
        <v>79</v>
      </c>
      <c r="F73" s="13" t="s">
        <v>80</v>
      </c>
      <c r="G73" s="15" t="s">
        <v>81</v>
      </c>
      <c r="H73" s="13" t="s">
        <v>240</v>
      </c>
      <c r="I73" s="15" t="s">
        <v>241</v>
      </c>
      <c r="J73" s="15" t="s">
        <v>83</v>
      </c>
      <c r="K73" s="15" t="s">
        <v>242</v>
      </c>
      <c r="L73" s="13" t="s">
        <v>256</v>
      </c>
      <c r="M73" s="15" t="s">
        <v>257</v>
      </c>
      <c r="N73" s="14" t="s">
        <v>87</v>
      </c>
      <c r="O73" s="15" t="s">
        <v>258</v>
      </c>
      <c r="P73" s="15" t="s">
        <v>259</v>
      </c>
      <c r="Q73" s="15" t="s">
        <v>196</v>
      </c>
      <c r="R73" s="13" t="s">
        <v>197</v>
      </c>
      <c r="S73" s="13" t="s">
        <v>193</v>
      </c>
      <c r="T73" s="13" t="s">
        <v>174</v>
      </c>
      <c r="U73" s="14">
        <v>40725</v>
      </c>
      <c r="V73" s="14">
        <v>40725</v>
      </c>
      <c r="W73" s="15"/>
      <c r="X73" s="15"/>
      <c r="Y73" s="13"/>
      <c r="Z73" s="15"/>
      <c r="AA73" s="15"/>
      <c r="AB73" s="15"/>
      <c r="AC73" s="13"/>
      <c r="AD73" s="15"/>
      <c r="AE73" s="15"/>
      <c r="AF73" s="15"/>
      <c r="AG73" s="13"/>
      <c r="AH73" s="15"/>
      <c r="AI73" s="15"/>
      <c r="AJ73" s="15"/>
      <c r="AK73" s="13"/>
      <c r="AL73" s="15"/>
      <c r="AM73" s="15"/>
      <c r="AN73" s="13"/>
      <c r="AO73" s="13"/>
    </row>
    <row r="74" spans="1:41" ht="42.8" x14ac:dyDescent="0.25">
      <c r="A74" s="13" t="s">
        <v>142</v>
      </c>
      <c r="B74" s="13" t="s">
        <v>77</v>
      </c>
      <c r="C74" s="14">
        <v>43152.5</v>
      </c>
      <c r="D74" s="13" t="s">
        <v>78</v>
      </c>
      <c r="E74" s="15" t="s">
        <v>79</v>
      </c>
      <c r="F74" s="13" t="s">
        <v>80</v>
      </c>
      <c r="G74" s="15" t="s">
        <v>81</v>
      </c>
      <c r="H74" s="13" t="s">
        <v>240</v>
      </c>
      <c r="I74" s="15" t="s">
        <v>241</v>
      </c>
      <c r="J74" s="15" t="s">
        <v>83</v>
      </c>
      <c r="K74" s="15" t="s">
        <v>242</v>
      </c>
      <c r="L74" s="13" t="s">
        <v>243</v>
      </c>
      <c r="M74" s="15" t="s">
        <v>244</v>
      </c>
      <c r="N74" s="14" t="s">
        <v>87</v>
      </c>
      <c r="O74" s="15" t="s">
        <v>88</v>
      </c>
      <c r="P74" s="15" t="s">
        <v>89</v>
      </c>
      <c r="Q74" s="15" t="s">
        <v>198</v>
      </c>
      <c r="R74" s="13" t="s">
        <v>199</v>
      </c>
      <c r="S74" s="13" t="s">
        <v>193</v>
      </c>
      <c r="T74" s="13" t="s">
        <v>93</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42.8" x14ac:dyDescent="0.25">
      <c r="A75" s="13" t="s">
        <v>142</v>
      </c>
      <c r="B75" s="13" t="s">
        <v>77</v>
      </c>
      <c r="C75" s="14">
        <v>43545.809027777781</v>
      </c>
      <c r="D75" s="13" t="s">
        <v>78</v>
      </c>
      <c r="E75" s="15" t="s">
        <v>79</v>
      </c>
      <c r="F75" s="13" t="s">
        <v>80</v>
      </c>
      <c r="G75" s="15" t="s">
        <v>81</v>
      </c>
      <c r="H75" s="13" t="s">
        <v>240</v>
      </c>
      <c r="I75" s="15" t="s">
        <v>241</v>
      </c>
      <c r="J75" s="15" t="s">
        <v>83</v>
      </c>
      <c r="K75" s="15" t="s">
        <v>242</v>
      </c>
      <c r="L75" s="13" t="s">
        <v>256</v>
      </c>
      <c r="M75" s="15" t="s">
        <v>257</v>
      </c>
      <c r="N75" s="14" t="s">
        <v>87</v>
      </c>
      <c r="O75" s="15" t="s">
        <v>258</v>
      </c>
      <c r="P75" s="15" t="s">
        <v>259</v>
      </c>
      <c r="Q75" s="15" t="s">
        <v>198</v>
      </c>
      <c r="R75" s="13" t="s">
        <v>199</v>
      </c>
      <c r="S75" s="13" t="s">
        <v>193</v>
      </c>
      <c r="T75" s="13" t="s">
        <v>93</v>
      </c>
      <c r="U75" s="14">
        <v>40725</v>
      </c>
      <c r="V75" s="14">
        <v>43435</v>
      </c>
      <c r="W75" s="15"/>
      <c r="X75" s="15"/>
      <c r="Y75" s="13"/>
      <c r="Z75" s="15"/>
      <c r="AA75" s="15"/>
      <c r="AB75" s="15"/>
      <c r="AC75" s="13"/>
      <c r="AD75" s="15"/>
      <c r="AE75" s="15"/>
      <c r="AF75" s="15"/>
      <c r="AG75" s="13"/>
      <c r="AH75" s="15"/>
      <c r="AI75" s="15"/>
      <c r="AJ75" s="15"/>
      <c r="AK75" s="13"/>
      <c r="AL75" s="15"/>
      <c r="AM75" s="15"/>
      <c r="AN75" s="13"/>
      <c r="AO75" s="13"/>
    </row>
    <row r="76" spans="1:41" ht="42.8" x14ac:dyDescent="0.25">
      <c r="A76" s="13" t="s">
        <v>142</v>
      </c>
      <c r="B76" s="13" t="s">
        <v>222</v>
      </c>
      <c r="C76" s="14">
        <v>43545.809027777781</v>
      </c>
      <c r="D76" s="13" t="s">
        <v>78</v>
      </c>
      <c r="E76" s="15" t="s">
        <v>79</v>
      </c>
      <c r="F76" s="13" t="s">
        <v>80</v>
      </c>
      <c r="G76" s="15" t="s">
        <v>81</v>
      </c>
      <c r="H76" s="13" t="s">
        <v>240</v>
      </c>
      <c r="I76" s="15" t="s">
        <v>241</v>
      </c>
      <c r="J76" s="15" t="s">
        <v>83</v>
      </c>
      <c r="K76" s="15" t="s">
        <v>242</v>
      </c>
      <c r="L76" s="13" t="s">
        <v>256</v>
      </c>
      <c r="M76" s="15" t="s">
        <v>257</v>
      </c>
      <c r="N76" s="14" t="s">
        <v>87</v>
      </c>
      <c r="O76" s="15" t="s">
        <v>258</v>
      </c>
      <c r="P76" s="15" t="s">
        <v>259</v>
      </c>
      <c r="Q76" s="15" t="s">
        <v>198</v>
      </c>
      <c r="R76" s="13" t="s">
        <v>199</v>
      </c>
      <c r="S76" s="13" t="s">
        <v>193</v>
      </c>
      <c r="T76" s="13" t="s">
        <v>93</v>
      </c>
      <c r="U76" s="14">
        <v>43436</v>
      </c>
      <c r="V76" s="14"/>
      <c r="W76" s="15"/>
      <c r="X76" s="15"/>
      <c r="Y76" s="13"/>
      <c r="Z76" s="15"/>
      <c r="AA76" s="15"/>
      <c r="AB76" s="15"/>
      <c r="AC76" s="13"/>
      <c r="AD76" s="15"/>
      <c r="AE76" s="15"/>
      <c r="AF76" s="15"/>
      <c r="AG76" s="13"/>
      <c r="AH76" s="15"/>
      <c r="AI76" s="15"/>
      <c r="AJ76" s="15"/>
      <c r="AK76" s="13"/>
      <c r="AL76" s="15"/>
      <c r="AM76" s="15"/>
      <c r="AN76" s="13"/>
      <c r="AO76" s="13"/>
    </row>
    <row r="77" spans="1:41" ht="42.8" x14ac:dyDescent="0.25">
      <c r="A77" s="13" t="s">
        <v>142</v>
      </c>
      <c r="B77" s="13" t="s">
        <v>77</v>
      </c>
      <c r="C77" s="14">
        <v>43152.5</v>
      </c>
      <c r="D77" s="13" t="s">
        <v>78</v>
      </c>
      <c r="E77" s="15" t="s">
        <v>79</v>
      </c>
      <c r="F77" s="13" t="s">
        <v>80</v>
      </c>
      <c r="G77" s="15" t="s">
        <v>81</v>
      </c>
      <c r="H77" s="13" t="s">
        <v>240</v>
      </c>
      <c r="I77" s="15" t="s">
        <v>241</v>
      </c>
      <c r="J77" s="15" t="s">
        <v>83</v>
      </c>
      <c r="K77" s="15" t="s">
        <v>242</v>
      </c>
      <c r="L77" s="13" t="s">
        <v>243</v>
      </c>
      <c r="M77" s="15" t="s">
        <v>244</v>
      </c>
      <c r="N77" s="14" t="s">
        <v>87</v>
      </c>
      <c r="O77" s="15" t="s">
        <v>88</v>
      </c>
      <c r="P77" s="15" t="s">
        <v>89</v>
      </c>
      <c r="Q77" s="15" t="s">
        <v>226</v>
      </c>
      <c r="R77" s="13" t="s">
        <v>227</v>
      </c>
      <c r="S77" s="13" t="s">
        <v>193</v>
      </c>
      <c r="T77" s="13" t="s">
        <v>93</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42.8" x14ac:dyDescent="0.25">
      <c r="A78" s="13" t="s">
        <v>142</v>
      </c>
      <c r="B78" s="13" t="s">
        <v>77</v>
      </c>
      <c r="C78" s="14">
        <v>43509.748611111114</v>
      </c>
      <c r="D78" s="13" t="s">
        <v>78</v>
      </c>
      <c r="E78" s="15" t="s">
        <v>79</v>
      </c>
      <c r="F78" s="13" t="s">
        <v>80</v>
      </c>
      <c r="G78" s="15" t="s">
        <v>81</v>
      </c>
      <c r="H78" s="13" t="s">
        <v>240</v>
      </c>
      <c r="I78" s="15" t="s">
        <v>241</v>
      </c>
      <c r="J78" s="15" t="s">
        <v>83</v>
      </c>
      <c r="K78" s="15" t="s">
        <v>242</v>
      </c>
      <c r="L78" s="13" t="s">
        <v>256</v>
      </c>
      <c r="M78" s="15" t="s">
        <v>257</v>
      </c>
      <c r="N78" s="14" t="s">
        <v>87</v>
      </c>
      <c r="O78" s="15" t="s">
        <v>258</v>
      </c>
      <c r="P78" s="15" t="s">
        <v>259</v>
      </c>
      <c r="Q78" s="15" t="s">
        <v>226</v>
      </c>
      <c r="R78" s="13" t="s">
        <v>227</v>
      </c>
      <c r="S78" s="13" t="s">
        <v>193</v>
      </c>
      <c r="T78" s="13" t="s">
        <v>93</v>
      </c>
      <c r="U78" s="14">
        <v>40725</v>
      </c>
      <c r="V78" s="14">
        <v>43435</v>
      </c>
      <c r="W78" s="15"/>
      <c r="X78" s="15"/>
      <c r="Y78" s="13"/>
      <c r="Z78" s="15"/>
      <c r="AA78" s="15"/>
      <c r="AB78" s="15"/>
      <c r="AC78" s="13"/>
      <c r="AD78" s="15"/>
      <c r="AE78" s="15"/>
      <c r="AF78" s="15"/>
      <c r="AG78" s="13"/>
      <c r="AH78" s="15"/>
      <c r="AI78" s="15"/>
      <c r="AJ78" s="15"/>
      <c r="AK78" s="13"/>
      <c r="AL78" s="15"/>
      <c r="AM78" s="15"/>
      <c r="AN78" s="13"/>
      <c r="AO78" s="13"/>
    </row>
    <row r="79" spans="1:41" ht="42.8" x14ac:dyDescent="0.25">
      <c r="A79" s="13" t="s">
        <v>142</v>
      </c>
      <c r="B79" s="13" t="s">
        <v>222</v>
      </c>
      <c r="C79" s="14">
        <v>43509.749305555553</v>
      </c>
      <c r="D79" s="13" t="s">
        <v>78</v>
      </c>
      <c r="E79" s="15" t="s">
        <v>79</v>
      </c>
      <c r="F79" s="13" t="s">
        <v>80</v>
      </c>
      <c r="G79" s="15" t="s">
        <v>81</v>
      </c>
      <c r="H79" s="13" t="s">
        <v>240</v>
      </c>
      <c r="I79" s="15" t="s">
        <v>241</v>
      </c>
      <c r="J79" s="15" t="s">
        <v>83</v>
      </c>
      <c r="K79" s="15" t="s">
        <v>242</v>
      </c>
      <c r="L79" s="13" t="s">
        <v>256</v>
      </c>
      <c r="M79" s="15" t="s">
        <v>257</v>
      </c>
      <c r="N79" s="14" t="s">
        <v>87</v>
      </c>
      <c r="O79" s="15" t="s">
        <v>258</v>
      </c>
      <c r="P79" s="15" t="s">
        <v>259</v>
      </c>
      <c r="Q79" s="15" t="s">
        <v>226</v>
      </c>
      <c r="R79" s="13" t="s">
        <v>227</v>
      </c>
      <c r="S79" s="13" t="s">
        <v>193</v>
      </c>
      <c r="T79" s="13" t="s">
        <v>93</v>
      </c>
      <c r="U79" s="14">
        <v>43436</v>
      </c>
      <c r="V79" s="14"/>
      <c r="W79" s="15"/>
      <c r="X79" s="15"/>
      <c r="Y79" s="13"/>
      <c r="Z79" s="15"/>
      <c r="AA79" s="15"/>
      <c r="AB79" s="15"/>
      <c r="AC79" s="13"/>
      <c r="AD79" s="15"/>
      <c r="AE79" s="15"/>
      <c r="AF79" s="15"/>
      <c r="AG79" s="13"/>
      <c r="AH79" s="15"/>
      <c r="AI79" s="15"/>
      <c r="AJ79" s="15"/>
      <c r="AK79" s="13"/>
      <c r="AL79" s="15"/>
      <c r="AM79" s="15"/>
      <c r="AN79" s="13"/>
      <c r="AO79" s="13"/>
    </row>
    <row r="80" spans="1:41" ht="42.8" x14ac:dyDescent="0.25">
      <c r="A80" s="13" t="s">
        <v>142</v>
      </c>
      <c r="B80" s="13" t="s">
        <v>77</v>
      </c>
      <c r="C80" s="14">
        <v>43152.5</v>
      </c>
      <c r="D80" s="13" t="s">
        <v>78</v>
      </c>
      <c r="E80" s="15" t="s">
        <v>79</v>
      </c>
      <c r="F80" s="13" t="s">
        <v>80</v>
      </c>
      <c r="G80" s="15" t="s">
        <v>81</v>
      </c>
      <c r="H80" s="13" t="s">
        <v>240</v>
      </c>
      <c r="I80" s="15" t="s">
        <v>241</v>
      </c>
      <c r="J80" s="15" t="s">
        <v>83</v>
      </c>
      <c r="K80" s="15" t="s">
        <v>242</v>
      </c>
      <c r="L80" s="13" t="s">
        <v>243</v>
      </c>
      <c r="M80" s="15" t="s">
        <v>244</v>
      </c>
      <c r="N80" s="14" t="s">
        <v>87</v>
      </c>
      <c r="O80" s="15" t="s">
        <v>88</v>
      </c>
      <c r="P80" s="15" t="s">
        <v>89</v>
      </c>
      <c r="Q80" s="15" t="s">
        <v>230</v>
      </c>
      <c r="R80" s="13" t="s">
        <v>231</v>
      </c>
      <c r="S80" s="13" t="s">
        <v>193</v>
      </c>
      <c r="T80" s="13" t="s">
        <v>93</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42.8" x14ac:dyDescent="0.25">
      <c r="A81" s="13" t="s">
        <v>142</v>
      </c>
      <c r="B81" s="13" t="s">
        <v>77</v>
      </c>
      <c r="C81" s="14">
        <v>43509.75</v>
      </c>
      <c r="D81" s="13" t="s">
        <v>78</v>
      </c>
      <c r="E81" s="15" t="s">
        <v>79</v>
      </c>
      <c r="F81" s="13" t="s">
        <v>80</v>
      </c>
      <c r="G81" s="15" t="s">
        <v>81</v>
      </c>
      <c r="H81" s="13" t="s">
        <v>240</v>
      </c>
      <c r="I81" s="15" t="s">
        <v>241</v>
      </c>
      <c r="J81" s="15" t="s">
        <v>83</v>
      </c>
      <c r="K81" s="15" t="s">
        <v>242</v>
      </c>
      <c r="L81" s="13" t="s">
        <v>256</v>
      </c>
      <c r="M81" s="15" t="s">
        <v>257</v>
      </c>
      <c r="N81" s="14" t="s">
        <v>87</v>
      </c>
      <c r="O81" s="15" t="s">
        <v>258</v>
      </c>
      <c r="P81" s="15" t="s">
        <v>259</v>
      </c>
      <c r="Q81" s="15" t="s">
        <v>230</v>
      </c>
      <c r="R81" s="13" t="s">
        <v>231</v>
      </c>
      <c r="S81" s="13" t="s">
        <v>193</v>
      </c>
      <c r="T81" s="13" t="s">
        <v>93</v>
      </c>
      <c r="U81" s="14">
        <v>40725</v>
      </c>
      <c r="V81" s="14">
        <v>43435</v>
      </c>
      <c r="W81" s="15"/>
      <c r="X81" s="15"/>
      <c r="Y81" s="13"/>
      <c r="Z81" s="15"/>
      <c r="AA81" s="15"/>
      <c r="AB81" s="15"/>
      <c r="AC81" s="13"/>
      <c r="AD81" s="15"/>
      <c r="AE81" s="15"/>
      <c r="AF81" s="15"/>
      <c r="AG81" s="13"/>
      <c r="AH81" s="15"/>
      <c r="AI81" s="15"/>
      <c r="AJ81" s="15"/>
      <c r="AK81" s="13"/>
      <c r="AL81" s="15"/>
      <c r="AM81" s="15"/>
      <c r="AN81" s="13"/>
      <c r="AO81" s="13"/>
    </row>
    <row r="82" spans="1:41" ht="42.8" x14ac:dyDescent="0.25">
      <c r="A82" s="13" t="s">
        <v>142</v>
      </c>
      <c r="B82" s="13" t="s">
        <v>222</v>
      </c>
      <c r="C82" s="14">
        <v>43509.750694444447</v>
      </c>
      <c r="D82" s="13" t="s">
        <v>78</v>
      </c>
      <c r="E82" s="15" t="s">
        <v>79</v>
      </c>
      <c r="F82" s="13" t="s">
        <v>80</v>
      </c>
      <c r="G82" s="15" t="s">
        <v>81</v>
      </c>
      <c r="H82" s="13" t="s">
        <v>240</v>
      </c>
      <c r="I82" s="15" t="s">
        <v>241</v>
      </c>
      <c r="J82" s="15" t="s">
        <v>83</v>
      </c>
      <c r="K82" s="15" t="s">
        <v>242</v>
      </c>
      <c r="L82" s="13" t="s">
        <v>256</v>
      </c>
      <c r="M82" s="15" t="s">
        <v>257</v>
      </c>
      <c r="N82" s="14" t="s">
        <v>87</v>
      </c>
      <c r="O82" s="15" t="s">
        <v>258</v>
      </c>
      <c r="P82" s="15" t="s">
        <v>259</v>
      </c>
      <c r="Q82" s="15" t="s">
        <v>230</v>
      </c>
      <c r="R82" s="13" t="s">
        <v>231</v>
      </c>
      <c r="S82" s="13" t="s">
        <v>193</v>
      </c>
      <c r="T82" s="13" t="s">
        <v>93</v>
      </c>
      <c r="U82" s="14">
        <v>43436</v>
      </c>
      <c r="V82" s="14"/>
      <c r="W82" s="15"/>
      <c r="X82" s="15"/>
      <c r="Y82" s="13"/>
      <c r="Z82" s="15"/>
      <c r="AA82" s="15"/>
      <c r="AB82" s="15"/>
      <c r="AC82" s="13"/>
      <c r="AD82" s="15"/>
      <c r="AE82" s="15"/>
      <c r="AF82" s="15"/>
      <c r="AG82" s="13"/>
      <c r="AH82" s="15"/>
      <c r="AI82" s="15"/>
      <c r="AJ82" s="15"/>
      <c r="AK82" s="13"/>
      <c r="AL82" s="15"/>
      <c r="AM82" s="15"/>
      <c r="AN82" s="13"/>
      <c r="AO82" s="13"/>
    </row>
    <row r="83" spans="1:41" ht="42.8" x14ac:dyDescent="0.25">
      <c r="A83" s="13" t="s">
        <v>232</v>
      </c>
      <c r="B83" s="13" t="s">
        <v>77</v>
      </c>
      <c r="C83" s="14">
        <v>45994.433333333334</v>
      </c>
      <c r="D83" s="13" t="s">
        <v>78</v>
      </c>
      <c r="E83" s="15" t="s">
        <v>79</v>
      </c>
      <c r="F83" s="13" t="s">
        <v>80</v>
      </c>
      <c r="G83" s="15" t="s">
        <v>81</v>
      </c>
      <c r="H83" s="13" t="s">
        <v>240</v>
      </c>
      <c r="I83" s="15" t="s">
        <v>241</v>
      </c>
      <c r="J83" s="15" t="s">
        <v>83</v>
      </c>
      <c r="K83" s="15" t="s">
        <v>242</v>
      </c>
      <c r="L83" s="13" t="s">
        <v>243</v>
      </c>
      <c r="M83" s="15" t="s">
        <v>244</v>
      </c>
      <c r="N83" s="14" t="s">
        <v>87</v>
      </c>
      <c r="O83" s="15" t="s">
        <v>88</v>
      </c>
      <c r="P83" s="15" t="s">
        <v>89</v>
      </c>
      <c r="Q83" s="15" t="s">
        <v>233</v>
      </c>
      <c r="R83" s="13" t="s">
        <v>234</v>
      </c>
      <c r="S83" s="13" t="s">
        <v>193</v>
      </c>
      <c r="T83" s="13" t="s">
        <v>93</v>
      </c>
      <c r="U83" s="14">
        <v>40725</v>
      </c>
      <c r="V83" s="14">
        <v>45900</v>
      </c>
      <c r="W83" s="15"/>
      <c r="X83" s="15"/>
      <c r="Y83" s="13"/>
      <c r="Z83" s="15"/>
      <c r="AA83" s="15"/>
      <c r="AB83" s="15"/>
      <c r="AC83" s="13"/>
      <c r="AD83" s="15"/>
      <c r="AE83" s="15"/>
      <c r="AF83" s="15"/>
      <c r="AG83" s="13"/>
      <c r="AH83" s="15"/>
      <c r="AI83" s="15"/>
      <c r="AJ83" s="15"/>
      <c r="AK83" s="13"/>
      <c r="AL83" s="15"/>
      <c r="AM83" s="15"/>
      <c r="AN83" s="13"/>
      <c r="AO83" s="13"/>
    </row>
    <row r="84" spans="1:41" ht="42.8" x14ac:dyDescent="0.25">
      <c r="A84" s="13" t="s">
        <v>142</v>
      </c>
      <c r="B84" s="13" t="s">
        <v>77</v>
      </c>
      <c r="C84" s="14">
        <v>43509.751388888886</v>
      </c>
      <c r="D84" s="13" t="s">
        <v>78</v>
      </c>
      <c r="E84" s="15" t="s">
        <v>79</v>
      </c>
      <c r="F84" s="13" t="s">
        <v>80</v>
      </c>
      <c r="G84" s="15" t="s">
        <v>81</v>
      </c>
      <c r="H84" s="13" t="s">
        <v>240</v>
      </c>
      <c r="I84" s="15" t="s">
        <v>241</v>
      </c>
      <c r="J84" s="15" t="s">
        <v>83</v>
      </c>
      <c r="K84" s="15" t="s">
        <v>242</v>
      </c>
      <c r="L84" s="13" t="s">
        <v>256</v>
      </c>
      <c r="M84" s="15" t="s">
        <v>257</v>
      </c>
      <c r="N84" s="14" t="s">
        <v>87</v>
      </c>
      <c r="O84" s="15" t="s">
        <v>258</v>
      </c>
      <c r="P84" s="15" t="s">
        <v>259</v>
      </c>
      <c r="Q84" s="15" t="s">
        <v>233</v>
      </c>
      <c r="R84" s="13" t="s">
        <v>234</v>
      </c>
      <c r="S84" s="13" t="s">
        <v>193</v>
      </c>
      <c r="T84" s="13" t="s">
        <v>93</v>
      </c>
      <c r="U84" s="14">
        <v>40725</v>
      </c>
      <c r="V84" s="14">
        <v>43435</v>
      </c>
      <c r="W84" s="15"/>
      <c r="X84" s="15"/>
      <c r="Y84" s="13"/>
      <c r="Z84" s="15"/>
      <c r="AA84" s="15"/>
      <c r="AB84" s="15"/>
      <c r="AC84" s="13"/>
      <c r="AD84" s="15"/>
      <c r="AE84" s="15"/>
      <c r="AF84" s="15"/>
      <c r="AG84" s="13"/>
      <c r="AH84" s="15"/>
      <c r="AI84" s="15"/>
      <c r="AJ84" s="15"/>
      <c r="AK84" s="13"/>
      <c r="AL84" s="15"/>
      <c r="AM84" s="15"/>
      <c r="AN84" s="13"/>
      <c r="AO84" s="13"/>
    </row>
    <row r="85" spans="1:41" ht="42.8" x14ac:dyDescent="0.25">
      <c r="A85" s="13" t="s">
        <v>232</v>
      </c>
      <c r="B85" s="13" t="s">
        <v>77</v>
      </c>
      <c r="C85" s="14">
        <v>45994.433333333334</v>
      </c>
      <c r="D85" s="13" t="s">
        <v>78</v>
      </c>
      <c r="E85" s="15" t="s">
        <v>79</v>
      </c>
      <c r="F85" s="13" t="s">
        <v>80</v>
      </c>
      <c r="G85" s="15" t="s">
        <v>81</v>
      </c>
      <c r="H85" s="13" t="s">
        <v>240</v>
      </c>
      <c r="I85" s="15" t="s">
        <v>241</v>
      </c>
      <c r="J85" s="15" t="s">
        <v>83</v>
      </c>
      <c r="K85" s="15" t="s">
        <v>242</v>
      </c>
      <c r="L85" s="13" t="s">
        <v>256</v>
      </c>
      <c r="M85" s="15" t="s">
        <v>257</v>
      </c>
      <c r="N85" s="14" t="s">
        <v>87</v>
      </c>
      <c r="O85" s="15" t="s">
        <v>258</v>
      </c>
      <c r="P85" s="15" t="s">
        <v>259</v>
      </c>
      <c r="Q85" s="15" t="s">
        <v>233</v>
      </c>
      <c r="R85" s="13" t="s">
        <v>234</v>
      </c>
      <c r="S85" s="13" t="s">
        <v>193</v>
      </c>
      <c r="T85" s="13" t="s">
        <v>93</v>
      </c>
      <c r="U85" s="14">
        <v>43436</v>
      </c>
      <c r="V85" s="14">
        <v>45900</v>
      </c>
      <c r="W85" s="15"/>
      <c r="X85" s="15"/>
      <c r="Y85" s="13"/>
      <c r="Z85" s="15"/>
      <c r="AA85" s="15"/>
      <c r="AB85" s="15"/>
      <c r="AC85" s="13"/>
      <c r="AD85" s="15"/>
      <c r="AE85" s="15"/>
      <c r="AF85" s="15"/>
      <c r="AG85" s="13"/>
      <c r="AH85" s="15"/>
      <c r="AI85" s="15"/>
      <c r="AJ85" s="15"/>
      <c r="AK85" s="13"/>
      <c r="AL85" s="15"/>
      <c r="AM85" s="15"/>
      <c r="AN85" s="13"/>
      <c r="AO85" s="13"/>
    </row>
    <row r="86" spans="1:41" ht="42.8" x14ac:dyDescent="0.25">
      <c r="A86" s="13" t="s">
        <v>76</v>
      </c>
      <c r="B86" s="13" t="s">
        <v>77</v>
      </c>
      <c r="C86" s="14">
        <v>45628.71875</v>
      </c>
      <c r="D86" s="13" t="s">
        <v>78</v>
      </c>
      <c r="E86" s="15" t="s">
        <v>79</v>
      </c>
      <c r="F86" s="13" t="s">
        <v>80</v>
      </c>
      <c r="G86" s="15" t="s">
        <v>81</v>
      </c>
      <c r="H86" s="13" t="s">
        <v>240</v>
      </c>
      <c r="I86" s="15" t="s">
        <v>241</v>
      </c>
      <c r="J86" s="15" t="s">
        <v>83</v>
      </c>
      <c r="K86" s="15" t="s">
        <v>242</v>
      </c>
      <c r="L86" s="13" t="s">
        <v>243</v>
      </c>
      <c r="M86" s="15" t="s">
        <v>244</v>
      </c>
      <c r="N86" s="14" t="s">
        <v>87</v>
      </c>
      <c r="O86" s="15" t="s">
        <v>88</v>
      </c>
      <c r="P86" s="15" t="s">
        <v>89</v>
      </c>
      <c r="Q86" s="15" t="s">
        <v>236</v>
      </c>
      <c r="R86" s="13" t="s">
        <v>237</v>
      </c>
      <c r="S86" s="13" t="s">
        <v>193</v>
      </c>
      <c r="T86" s="13" t="s">
        <v>174</v>
      </c>
      <c r="U86" s="14">
        <v>40725</v>
      </c>
      <c r="V86" s="14">
        <v>40725</v>
      </c>
      <c r="W86" s="15"/>
      <c r="X86" s="15"/>
      <c r="Y86" s="13"/>
      <c r="Z86" s="15"/>
      <c r="AA86" s="15"/>
      <c r="AB86" s="15"/>
      <c r="AC86" s="13"/>
      <c r="AD86" s="15"/>
      <c r="AE86" s="15"/>
      <c r="AF86" s="15"/>
      <c r="AG86" s="13"/>
      <c r="AH86" s="15"/>
      <c r="AI86" s="15"/>
      <c r="AJ86" s="15"/>
      <c r="AK86" s="13"/>
      <c r="AL86" s="15"/>
      <c r="AM86" s="15"/>
      <c r="AN86" s="13"/>
      <c r="AO86" s="13"/>
    </row>
    <row r="87" spans="1:41" ht="42.8" x14ac:dyDescent="0.25">
      <c r="A87" s="13" t="s">
        <v>76</v>
      </c>
      <c r="B87" s="13" t="s">
        <v>77</v>
      </c>
      <c r="C87" s="14">
        <v>45628.720138888886</v>
      </c>
      <c r="D87" s="13" t="s">
        <v>78</v>
      </c>
      <c r="E87" s="15" t="s">
        <v>79</v>
      </c>
      <c r="F87" s="13" t="s">
        <v>80</v>
      </c>
      <c r="G87" s="15" t="s">
        <v>81</v>
      </c>
      <c r="H87" s="13" t="s">
        <v>240</v>
      </c>
      <c r="I87" s="15" t="s">
        <v>241</v>
      </c>
      <c r="J87" s="15" t="s">
        <v>83</v>
      </c>
      <c r="K87" s="15" t="s">
        <v>242</v>
      </c>
      <c r="L87" s="13" t="s">
        <v>256</v>
      </c>
      <c r="M87" s="15" t="s">
        <v>257</v>
      </c>
      <c r="N87" s="14" t="s">
        <v>87</v>
      </c>
      <c r="O87" s="15" t="s">
        <v>258</v>
      </c>
      <c r="P87" s="15" t="s">
        <v>259</v>
      </c>
      <c r="Q87" s="15" t="s">
        <v>236</v>
      </c>
      <c r="R87" s="13" t="s">
        <v>237</v>
      </c>
      <c r="S87" s="13" t="s">
        <v>193</v>
      </c>
      <c r="T87" s="13" t="s">
        <v>174</v>
      </c>
      <c r="U87" s="14">
        <v>40725</v>
      </c>
      <c r="V87" s="14">
        <v>40725</v>
      </c>
      <c r="W87" s="15"/>
      <c r="X87" s="15"/>
      <c r="Y87" s="13"/>
      <c r="Z87" s="15"/>
      <c r="AA87" s="15"/>
      <c r="AB87" s="15"/>
      <c r="AC87" s="13"/>
      <c r="AD87" s="15"/>
      <c r="AE87" s="15"/>
      <c r="AF87" s="15"/>
      <c r="AG87" s="13"/>
      <c r="AH87" s="15"/>
      <c r="AI87" s="15"/>
      <c r="AJ87" s="15"/>
      <c r="AK87" s="13"/>
      <c r="AL87" s="15"/>
      <c r="AM87" s="15"/>
      <c r="AN87" s="13"/>
      <c r="AO87" s="13"/>
    </row>
    <row r="88" spans="1:41" ht="42.8" x14ac:dyDescent="0.25">
      <c r="A88" s="13" t="s">
        <v>76</v>
      </c>
      <c r="B88" s="13" t="s">
        <v>77</v>
      </c>
      <c r="C88" s="14">
        <v>45628.71875</v>
      </c>
      <c r="D88" s="13" t="s">
        <v>78</v>
      </c>
      <c r="E88" s="15" t="s">
        <v>79</v>
      </c>
      <c r="F88" s="13" t="s">
        <v>80</v>
      </c>
      <c r="G88" s="15" t="s">
        <v>81</v>
      </c>
      <c r="H88" s="13" t="s">
        <v>240</v>
      </c>
      <c r="I88" s="15" t="s">
        <v>241</v>
      </c>
      <c r="J88" s="15" t="s">
        <v>83</v>
      </c>
      <c r="K88" s="15" t="s">
        <v>242</v>
      </c>
      <c r="L88" s="13" t="s">
        <v>243</v>
      </c>
      <c r="M88" s="15" t="s">
        <v>244</v>
      </c>
      <c r="N88" s="14" t="s">
        <v>87</v>
      </c>
      <c r="O88" s="15" t="s">
        <v>88</v>
      </c>
      <c r="P88" s="15" t="s">
        <v>89</v>
      </c>
      <c r="Q88" s="15" t="s">
        <v>238</v>
      </c>
      <c r="R88" s="13" t="s">
        <v>239</v>
      </c>
      <c r="S88" s="13" t="s">
        <v>193</v>
      </c>
      <c r="T88" s="13" t="s">
        <v>174</v>
      </c>
      <c r="U88" s="14">
        <v>40725</v>
      </c>
      <c r="V88" s="14">
        <v>40725</v>
      </c>
      <c r="W88" s="15"/>
      <c r="X88" s="15"/>
      <c r="Y88" s="13"/>
      <c r="Z88" s="15"/>
      <c r="AA88" s="15"/>
      <c r="AB88" s="15"/>
      <c r="AC88" s="13"/>
      <c r="AD88" s="15"/>
      <c r="AE88" s="15"/>
      <c r="AF88" s="15"/>
      <c r="AG88" s="13"/>
      <c r="AH88" s="15"/>
      <c r="AI88" s="15"/>
      <c r="AJ88" s="15"/>
      <c r="AK88" s="13"/>
      <c r="AL88" s="15"/>
      <c r="AM88" s="15"/>
      <c r="AN88" s="13"/>
      <c r="AO88" s="13"/>
    </row>
    <row r="89" spans="1:41" ht="42.8" x14ac:dyDescent="0.25">
      <c r="A89" s="13" t="s">
        <v>76</v>
      </c>
      <c r="B89" s="13" t="s">
        <v>77</v>
      </c>
      <c r="C89" s="14">
        <v>45628.720138888886</v>
      </c>
      <c r="D89" s="13" t="s">
        <v>78</v>
      </c>
      <c r="E89" s="15" t="s">
        <v>79</v>
      </c>
      <c r="F89" s="13" t="s">
        <v>80</v>
      </c>
      <c r="G89" s="15" t="s">
        <v>81</v>
      </c>
      <c r="H89" s="13" t="s">
        <v>240</v>
      </c>
      <c r="I89" s="15" t="s">
        <v>241</v>
      </c>
      <c r="J89" s="15" t="s">
        <v>83</v>
      </c>
      <c r="K89" s="15" t="s">
        <v>242</v>
      </c>
      <c r="L89" s="13" t="s">
        <v>256</v>
      </c>
      <c r="M89" s="15" t="s">
        <v>257</v>
      </c>
      <c r="N89" s="14" t="s">
        <v>87</v>
      </c>
      <c r="O89" s="15" t="s">
        <v>258</v>
      </c>
      <c r="P89" s="15" t="s">
        <v>259</v>
      </c>
      <c r="Q89" s="15" t="s">
        <v>238</v>
      </c>
      <c r="R89" s="13" t="s">
        <v>239</v>
      </c>
      <c r="S89" s="13" t="s">
        <v>193</v>
      </c>
      <c r="T89" s="13" t="s">
        <v>174</v>
      </c>
      <c r="U89" s="14">
        <v>40725</v>
      </c>
      <c r="V89" s="14">
        <v>40725</v>
      </c>
      <c r="W89" s="15"/>
      <c r="X89" s="15"/>
      <c r="Y89" s="13"/>
      <c r="Z89" s="15"/>
      <c r="AA89" s="15"/>
      <c r="AB89" s="15"/>
      <c r="AC89" s="13"/>
      <c r="AD89" s="15"/>
      <c r="AE89" s="15"/>
      <c r="AF89" s="15"/>
      <c r="AG89" s="13"/>
      <c r="AH89" s="15"/>
      <c r="AI89" s="15"/>
      <c r="AJ89" s="15"/>
      <c r="AK89" s="13"/>
      <c r="AL89" s="15"/>
      <c r="AM89" s="15"/>
      <c r="AN89" s="13"/>
      <c r="AO89" s="13"/>
    </row>
    <row r="90" spans="1:41" ht="28.55" x14ac:dyDescent="0.25">
      <c r="A90" s="13" t="s">
        <v>76</v>
      </c>
      <c r="B90" s="13" t="s">
        <v>77</v>
      </c>
      <c r="C90" s="14">
        <v>45628.72152777778</v>
      </c>
      <c r="D90" s="13" t="s">
        <v>78</v>
      </c>
      <c r="E90" s="15" t="s">
        <v>79</v>
      </c>
      <c r="F90" s="13" t="s">
        <v>80</v>
      </c>
      <c r="G90" s="15" t="s">
        <v>81</v>
      </c>
      <c r="H90" s="13" t="s">
        <v>280</v>
      </c>
      <c r="I90" s="15" t="s">
        <v>281</v>
      </c>
      <c r="J90" s="15" t="s">
        <v>83</v>
      </c>
      <c r="K90" s="15" t="s">
        <v>84</v>
      </c>
      <c r="L90" s="13" t="s">
        <v>282</v>
      </c>
      <c r="M90" s="15" t="s">
        <v>281</v>
      </c>
      <c r="N90" s="14" t="s">
        <v>87</v>
      </c>
      <c r="O90" s="15" t="s">
        <v>258</v>
      </c>
      <c r="P90" s="15" t="s">
        <v>283</v>
      </c>
      <c r="Q90" s="15" t="s">
        <v>90</v>
      </c>
      <c r="R90" s="13" t="s">
        <v>91</v>
      </c>
      <c r="S90" s="13" t="s">
        <v>92</v>
      </c>
      <c r="T90" s="13" t="s">
        <v>93</v>
      </c>
      <c r="U90" s="14">
        <v>40725</v>
      </c>
      <c r="V90" s="14">
        <v>40725</v>
      </c>
      <c r="W90" s="15"/>
      <c r="X90" s="15"/>
      <c r="Y90" s="13"/>
      <c r="Z90" s="15"/>
      <c r="AA90" s="15"/>
      <c r="AB90" s="15"/>
      <c r="AC90" s="13"/>
      <c r="AD90" s="15"/>
      <c r="AE90" s="15"/>
      <c r="AF90" s="15"/>
      <c r="AG90" s="13"/>
      <c r="AH90" s="15"/>
      <c r="AI90" s="15"/>
      <c r="AJ90" s="15"/>
      <c r="AK90" s="13"/>
      <c r="AL90" s="15"/>
      <c r="AM90" s="15"/>
      <c r="AN90" s="13"/>
      <c r="AO90" s="13"/>
    </row>
    <row r="91" spans="1:41" ht="28.55" x14ac:dyDescent="0.25">
      <c r="A91" s="13" t="s">
        <v>76</v>
      </c>
      <c r="B91" s="13" t="s">
        <v>77</v>
      </c>
      <c r="C91" s="14">
        <v>45628.720833333333</v>
      </c>
      <c r="D91" s="13" t="s">
        <v>78</v>
      </c>
      <c r="E91" s="15" t="s">
        <v>79</v>
      </c>
      <c r="F91" s="13" t="s">
        <v>80</v>
      </c>
      <c r="G91" s="15" t="s">
        <v>81</v>
      </c>
      <c r="H91" s="13" t="s">
        <v>280</v>
      </c>
      <c r="I91" s="15" t="s">
        <v>281</v>
      </c>
      <c r="J91" s="15" t="s">
        <v>83</v>
      </c>
      <c r="K91" s="15" t="s">
        <v>84</v>
      </c>
      <c r="L91" s="13" t="s">
        <v>282</v>
      </c>
      <c r="M91" s="15" t="s">
        <v>281</v>
      </c>
      <c r="N91" s="14" t="s">
        <v>87</v>
      </c>
      <c r="O91" s="15" t="s">
        <v>258</v>
      </c>
      <c r="P91" s="15" t="s">
        <v>283</v>
      </c>
      <c r="Q91" s="15" t="s">
        <v>172</v>
      </c>
      <c r="R91" s="13" t="s">
        <v>173</v>
      </c>
      <c r="S91" s="13" t="s">
        <v>92</v>
      </c>
      <c r="T91" s="13" t="s">
        <v>174</v>
      </c>
      <c r="U91" s="14">
        <v>43831</v>
      </c>
      <c r="V91" s="14">
        <v>43831</v>
      </c>
      <c r="W91" s="15"/>
      <c r="X91" s="15"/>
      <c r="Y91" s="13"/>
      <c r="Z91" s="15"/>
      <c r="AA91" s="15"/>
      <c r="AB91" s="15"/>
      <c r="AC91" s="13"/>
      <c r="AD91" s="15"/>
      <c r="AE91" s="15"/>
      <c r="AF91" s="15"/>
      <c r="AG91" s="13"/>
      <c r="AH91" s="15"/>
      <c r="AI91" s="15"/>
      <c r="AJ91" s="15"/>
      <c r="AK91" s="13"/>
      <c r="AL91" s="15"/>
      <c r="AM91" s="15"/>
      <c r="AN91" s="13"/>
      <c r="AO91" s="13"/>
    </row>
    <row r="92" spans="1:41" ht="28.55" x14ac:dyDescent="0.25">
      <c r="A92" s="13" t="s">
        <v>76</v>
      </c>
      <c r="B92" s="13" t="s">
        <v>77</v>
      </c>
      <c r="C92" s="14">
        <v>45628.720833333333</v>
      </c>
      <c r="D92" s="13" t="s">
        <v>78</v>
      </c>
      <c r="E92" s="15" t="s">
        <v>79</v>
      </c>
      <c r="F92" s="13" t="s">
        <v>80</v>
      </c>
      <c r="G92" s="15" t="s">
        <v>81</v>
      </c>
      <c r="H92" s="13" t="s">
        <v>280</v>
      </c>
      <c r="I92" s="15" t="s">
        <v>281</v>
      </c>
      <c r="J92" s="15" t="s">
        <v>83</v>
      </c>
      <c r="K92" s="15" t="s">
        <v>84</v>
      </c>
      <c r="L92" s="13" t="s">
        <v>282</v>
      </c>
      <c r="M92" s="15" t="s">
        <v>281</v>
      </c>
      <c r="N92" s="14" t="s">
        <v>87</v>
      </c>
      <c r="O92" s="15" t="s">
        <v>258</v>
      </c>
      <c r="P92" s="15" t="s">
        <v>283</v>
      </c>
      <c r="Q92" s="15" t="s">
        <v>175</v>
      </c>
      <c r="R92" s="13" t="s">
        <v>176</v>
      </c>
      <c r="S92" s="13" t="s">
        <v>92</v>
      </c>
      <c r="T92" s="13" t="s">
        <v>93</v>
      </c>
      <c r="U92" s="14">
        <v>40725</v>
      </c>
      <c r="V92" s="14">
        <v>40725</v>
      </c>
      <c r="W92" s="15"/>
      <c r="X92" s="15"/>
      <c r="Y92" s="13"/>
      <c r="Z92" s="15"/>
      <c r="AA92" s="15"/>
      <c r="AB92" s="15"/>
      <c r="AC92" s="13"/>
      <c r="AD92" s="15"/>
      <c r="AE92" s="15"/>
      <c r="AF92" s="15"/>
      <c r="AG92" s="13"/>
      <c r="AH92" s="15"/>
      <c r="AI92" s="15"/>
      <c r="AJ92" s="15"/>
      <c r="AK92" s="13"/>
      <c r="AL92" s="15"/>
      <c r="AM92" s="15"/>
      <c r="AN92" s="13"/>
      <c r="AO92" s="13"/>
    </row>
    <row r="93" spans="1:41" ht="28.55" x14ac:dyDescent="0.25">
      <c r="A93" s="13" t="s">
        <v>76</v>
      </c>
      <c r="B93" s="13" t="s">
        <v>77</v>
      </c>
      <c r="C93" s="14">
        <v>45628.72152777778</v>
      </c>
      <c r="D93" s="13" t="s">
        <v>78</v>
      </c>
      <c r="E93" s="15" t="s">
        <v>79</v>
      </c>
      <c r="F93" s="13" t="s">
        <v>80</v>
      </c>
      <c r="G93" s="15" t="s">
        <v>81</v>
      </c>
      <c r="H93" s="13" t="s">
        <v>280</v>
      </c>
      <c r="I93" s="15" t="s">
        <v>281</v>
      </c>
      <c r="J93" s="15" t="s">
        <v>83</v>
      </c>
      <c r="K93" s="15" t="s">
        <v>84</v>
      </c>
      <c r="L93" s="13" t="s">
        <v>282</v>
      </c>
      <c r="M93" s="15" t="s">
        <v>281</v>
      </c>
      <c r="N93" s="14" t="s">
        <v>87</v>
      </c>
      <c r="O93" s="15" t="s">
        <v>258</v>
      </c>
      <c r="P93" s="15" t="s">
        <v>283</v>
      </c>
      <c r="Q93" s="15" t="s">
        <v>187</v>
      </c>
      <c r="R93" s="13" t="s">
        <v>188</v>
      </c>
      <c r="S93" s="13" t="s">
        <v>92</v>
      </c>
      <c r="T93" s="13" t="s">
        <v>174</v>
      </c>
      <c r="U93" s="14">
        <v>40725</v>
      </c>
      <c r="V93" s="14">
        <v>40725</v>
      </c>
      <c r="W93" s="15"/>
      <c r="X93" s="15"/>
      <c r="Y93" s="13"/>
      <c r="Z93" s="15"/>
      <c r="AA93" s="15"/>
      <c r="AB93" s="15"/>
      <c r="AC93" s="13"/>
      <c r="AD93" s="15"/>
      <c r="AE93" s="15"/>
      <c r="AF93" s="15"/>
      <c r="AG93" s="13"/>
      <c r="AH93" s="15"/>
      <c r="AI93" s="15"/>
      <c r="AJ93" s="15"/>
      <c r="AK93" s="13"/>
      <c r="AL93" s="15"/>
      <c r="AM93" s="15"/>
      <c r="AN93" s="13"/>
      <c r="AO93" s="13"/>
    </row>
    <row r="94" spans="1:41" ht="28.55" x14ac:dyDescent="0.25">
      <c r="A94" s="13" t="s">
        <v>76</v>
      </c>
      <c r="B94" s="13" t="s">
        <v>77</v>
      </c>
      <c r="C94" s="14">
        <v>45628.720833333333</v>
      </c>
      <c r="D94" s="13" t="s">
        <v>78</v>
      </c>
      <c r="E94" s="15" t="s">
        <v>79</v>
      </c>
      <c r="F94" s="13" t="s">
        <v>80</v>
      </c>
      <c r="G94" s="15" t="s">
        <v>81</v>
      </c>
      <c r="H94" s="13" t="s">
        <v>280</v>
      </c>
      <c r="I94" s="15" t="s">
        <v>281</v>
      </c>
      <c r="J94" s="15" t="s">
        <v>83</v>
      </c>
      <c r="K94" s="15" t="s">
        <v>84</v>
      </c>
      <c r="L94" s="13" t="s">
        <v>282</v>
      </c>
      <c r="M94" s="15" t="s">
        <v>281</v>
      </c>
      <c r="N94" s="14" t="s">
        <v>87</v>
      </c>
      <c r="O94" s="15" t="s">
        <v>258</v>
      </c>
      <c r="P94" s="15" t="s">
        <v>283</v>
      </c>
      <c r="Q94" s="15" t="s">
        <v>189</v>
      </c>
      <c r="R94" s="13" t="s">
        <v>190</v>
      </c>
      <c r="S94" s="13" t="s">
        <v>92</v>
      </c>
      <c r="T94" s="13" t="s">
        <v>174</v>
      </c>
      <c r="U94" s="14">
        <v>40725</v>
      </c>
      <c r="V94" s="14">
        <v>40725</v>
      </c>
      <c r="W94" s="15"/>
      <c r="X94" s="15"/>
      <c r="Y94" s="13"/>
      <c r="Z94" s="15"/>
      <c r="AA94" s="15"/>
      <c r="AB94" s="15"/>
      <c r="AC94" s="13"/>
      <c r="AD94" s="15"/>
      <c r="AE94" s="15"/>
      <c r="AF94" s="15"/>
      <c r="AG94" s="13"/>
      <c r="AH94" s="15"/>
      <c r="AI94" s="15"/>
      <c r="AJ94" s="15"/>
      <c r="AK94" s="13"/>
      <c r="AL94" s="15"/>
      <c r="AM94" s="15"/>
      <c r="AN94" s="13"/>
      <c r="AO94" s="13"/>
    </row>
    <row r="95" spans="1:41" ht="28.55" x14ac:dyDescent="0.25">
      <c r="A95" s="13" t="s">
        <v>76</v>
      </c>
      <c r="B95" s="13" t="s">
        <v>77</v>
      </c>
      <c r="C95" s="14">
        <v>45628.72152777778</v>
      </c>
      <c r="D95" s="13" t="s">
        <v>78</v>
      </c>
      <c r="E95" s="15" t="s">
        <v>79</v>
      </c>
      <c r="F95" s="13" t="s">
        <v>80</v>
      </c>
      <c r="G95" s="15" t="s">
        <v>81</v>
      </c>
      <c r="H95" s="13" t="s">
        <v>280</v>
      </c>
      <c r="I95" s="15" t="s">
        <v>281</v>
      </c>
      <c r="J95" s="15" t="s">
        <v>83</v>
      </c>
      <c r="K95" s="15" t="s">
        <v>84</v>
      </c>
      <c r="L95" s="13" t="s">
        <v>282</v>
      </c>
      <c r="M95" s="15" t="s">
        <v>281</v>
      </c>
      <c r="N95" s="14" t="s">
        <v>87</v>
      </c>
      <c r="O95" s="15" t="s">
        <v>258</v>
      </c>
      <c r="P95" s="15" t="s">
        <v>283</v>
      </c>
      <c r="Q95" s="15" t="s">
        <v>191</v>
      </c>
      <c r="R95" s="13" t="s">
        <v>192</v>
      </c>
      <c r="S95" s="13" t="s">
        <v>193</v>
      </c>
      <c r="T95" s="13" t="s">
        <v>174</v>
      </c>
      <c r="U95" s="14">
        <v>40725</v>
      </c>
      <c r="V95" s="14">
        <v>40725</v>
      </c>
      <c r="W95" s="15"/>
      <c r="X95" s="15"/>
      <c r="Y95" s="13"/>
      <c r="Z95" s="15"/>
      <c r="AA95" s="15"/>
      <c r="AB95" s="15"/>
      <c r="AC95" s="13"/>
      <c r="AD95" s="15"/>
      <c r="AE95" s="15"/>
      <c r="AF95" s="15"/>
      <c r="AG95" s="13"/>
      <c r="AH95" s="15"/>
      <c r="AI95" s="15"/>
      <c r="AJ95" s="15"/>
      <c r="AK95" s="13"/>
      <c r="AL95" s="15"/>
      <c r="AM95" s="15"/>
      <c r="AN95" s="13"/>
      <c r="AO95" s="13"/>
    </row>
    <row r="96" spans="1:41" ht="28.55" x14ac:dyDescent="0.25">
      <c r="A96" s="13" t="s">
        <v>76</v>
      </c>
      <c r="B96" s="13" t="s">
        <v>77</v>
      </c>
      <c r="C96" s="14">
        <v>45628.722222222219</v>
      </c>
      <c r="D96" s="13" t="s">
        <v>78</v>
      </c>
      <c r="E96" s="15" t="s">
        <v>79</v>
      </c>
      <c r="F96" s="13" t="s">
        <v>80</v>
      </c>
      <c r="G96" s="15" t="s">
        <v>81</v>
      </c>
      <c r="H96" s="13" t="s">
        <v>280</v>
      </c>
      <c r="I96" s="15" t="s">
        <v>281</v>
      </c>
      <c r="J96" s="15" t="s">
        <v>83</v>
      </c>
      <c r="K96" s="15" t="s">
        <v>84</v>
      </c>
      <c r="L96" s="13" t="s">
        <v>282</v>
      </c>
      <c r="M96" s="15" t="s">
        <v>281</v>
      </c>
      <c r="N96" s="14" t="s">
        <v>87</v>
      </c>
      <c r="O96" s="15" t="s">
        <v>258</v>
      </c>
      <c r="P96" s="15" t="s">
        <v>283</v>
      </c>
      <c r="Q96" s="15" t="s">
        <v>194</v>
      </c>
      <c r="R96" s="13" t="s">
        <v>195</v>
      </c>
      <c r="S96" s="13" t="s">
        <v>193</v>
      </c>
      <c r="T96" s="13" t="s">
        <v>174</v>
      </c>
      <c r="U96" s="14">
        <v>40725</v>
      </c>
      <c r="V96" s="14">
        <v>40725</v>
      </c>
      <c r="W96" s="15"/>
      <c r="X96" s="15"/>
      <c r="Y96" s="13"/>
      <c r="Z96" s="15"/>
      <c r="AA96" s="15"/>
      <c r="AB96" s="15"/>
      <c r="AC96" s="13"/>
      <c r="AD96" s="15"/>
      <c r="AE96" s="15"/>
      <c r="AF96" s="15"/>
      <c r="AG96" s="13"/>
      <c r="AH96" s="15"/>
      <c r="AI96" s="15"/>
      <c r="AJ96" s="15"/>
      <c r="AK96" s="13"/>
      <c r="AL96" s="15"/>
      <c r="AM96" s="15"/>
      <c r="AN96" s="13"/>
      <c r="AO96" s="13"/>
    </row>
    <row r="97" spans="1:41" ht="28.55" x14ac:dyDescent="0.25">
      <c r="A97" s="13" t="s">
        <v>76</v>
      </c>
      <c r="B97" s="13" t="s">
        <v>77</v>
      </c>
      <c r="C97" s="14">
        <v>45628.722222222219</v>
      </c>
      <c r="D97" s="13" t="s">
        <v>78</v>
      </c>
      <c r="E97" s="15" t="s">
        <v>79</v>
      </c>
      <c r="F97" s="13" t="s">
        <v>80</v>
      </c>
      <c r="G97" s="15" t="s">
        <v>81</v>
      </c>
      <c r="H97" s="13" t="s">
        <v>280</v>
      </c>
      <c r="I97" s="15" t="s">
        <v>281</v>
      </c>
      <c r="J97" s="15" t="s">
        <v>83</v>
      </c>
      <c r="K97" s="15" t="s">
        <v>84</v>
      </c>
      <c r="L97" s="13" t="s">
        <v>282</v>
      </c>
      <c r="M97" s="15" t="s">
        <v>281</v>
      </c>
      <c r="N97" s="14" t="s">
        <v>87</v>
      </c>
      <c r="O97" s="15" t="s">
        <v>258</v>
      </c>
      <c r="P97" s="15" t="s">
        <v>283</v>
      </c>
      <c r="Q97" s="15" t="s">
        <v>196</v>
      </c>
      <c r="R97" s="13" t="s">
        <v>197</v>
      </c>
      <c r="S97" s="13" t="s">
        <v>193</v>
      </c>
      <c r="T97" s="13" t="s">
        <v>174</v>
      </c>
      <c r="U97" s="14">
        <v>40725</v>
      </c>
      <c r="V97" s="14">
        <v>40725</v>
      </c>
      <c r="W97" s="15"/>
      <c r="X97" s="15"/>
      <c r="Y97" s="13"/>
      <c r="Z97" s="15"/>
      <c r="AA97" s="15"/>
      <c r="AB97" s="15"/>
      <c r="AC97" s="13"/>
      <c r="AD97" s="15"/>
      <c r="AE97" s="15"/>
      <c r="AF97" s="15"/>
      <c r="AG97" s="13"/>
      <c r="AH97" s="15"/>
      <c r="AI97" s="15"/>
      <c r="AJ97" s="15"/>
      <c r="AK97" s="13"/>
      <c r="AL97" s="15"/>
      <c r="AM97" s="15"/>
      <c r="AN97" s="13"/>
      <c r="AO97" s="13"/>
    </row>
    <row r="98" spans="1:41" ht="28.55" x14ac:dyDescent="0.25">
      <c r="A98" s="13" t="s">
        <v>142</v>
      </c>
      <c r="B98" s="13" t="s">
        <v>77</v>
      </c>
      <c r="C98" s="14">
        <v>43152.5</v>
      </c>
      <c r="D98" s="13" t="s">
        <v>78</v>
      </c>
      <c r="E98" s="15" t="s">
        <v>79</v>
      </c>
      <c r="F98" s="13" t="s">
        <v>80</v>
      </c>
      <c r="G98" s="15" t="s">
        <v>81</v>
      </c>
      <c r="H98" s="13" t="s">
        <v>280</v>
      </c>
      <c r="I98" s="15" t="s">
        <v>281</v>
      </c>
      <c r="J98" s="15" t="s">
        <v>83</v>
      </c>
      <c r="K98" s="15" t="s">
        <v>84</v>
      </c>
      <c r="L98" s="13" t="s">
        <v>282</v>
      </c>
      <c r="M98" s="15" t="s">
        <v>281</v>
      </c>
      <c r="N98" s="14" t="s">
        <v>87</v>
      </c>
      <c r="O98" s="15" t="s">
        <v>258</v>
      </c>
      <c r="P98" s="15" t="s">
        <v>283</v>
      </c>
      <c r="Q98" s="15" t="s">
        <v>198</v>
      </c>
      <c r="R98" s="13" t="s">
        <v>199</v>
      </c>
      <c r="S98" s="13" t="s">
        <v>193</v>
      </c>
      <c r="T98" s="13" t="s">
        <v>93</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28.55" x14ac:dyDescent="0.25">
      <c r="A99" s="13" t="s">
        <v>142</v>
      </c>
      <c r="B99" s="13" t="s">
        <v>77</v>
      </c>
      <c r="C99" s="14">
        <v>43152.5</v>
      </c>
      <c r="D99" s="13" t="s">
        <v>78</v>
      </c>
      <c r="E99" s="15" t="s">
        <v>79</v>
      </c>
      <c r="F99" s="13" t="s">
        <v>80</v>
      </c>
      <c r="G99" s="15" t="s">
        <v>81</v>
      </c>
      <c r="H99" s="13" t="s">
        <v>280</v>
      </c>
      <c r="I99" s="15" t="s">
        <v>281</v>
      </c>
      <c r="J99" s="15" t="s">
        <v>83</v>
      </c>
      <c r="K99" s="15" t="s">
        <v>84</v>
      </c>
      <c r="L99" s="13" t="s">
        <v>282</v>
      </c>
      <c r="M99" s="15" t="s">
        <v>281</v>
      </c>
      <c r="N99" s="14" t="s">
        <v>87</v>
      </c>
      <c r="O99" s="15" t="s">
        <v>258</v>
      </c>
      <c r="P99" s="15" t="s">
        <v>283</v>
      </c>
      <c r="Q99" s="15" t="s">
        <v>226</v>
      </c>
      <c r="R99" s="13" t="s">
        <v>227</v>
      </c>
      <c r="S99" s="13" t="s">
        <v>193</v>
      </c>
      <c r="T99" s="13" t="s">
        <v>93</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28.55" x14ac:dyDescent="0.25">
      <c r="A100" s="13" t="s">
        <v>142</v>
      </c>
      <c r="B100" s="13" t="s">
        <v>77</v>
      </c>
      <c r="C100" s="14">
        <v>43152.5</v>
      </c>
      <c r="D100" s="13" t="s">
        <v>78</v>
      </c>
      <c r="E100" s="15" t="s">
        <v>79</v>
      </c>
      <c r="F100" s="13" t="s">
        <v>80</v>
      </c>
      <c r="G100" s="15" t="s">
        <v>81</v>
      </c>
      <c r="H100" s="13" t="s">
        <v>280</v>
      </c>
      <c r="I100" s="15" t="s">
        <v>281</v>
      </c>
      <c r="J100" s="15" t="s">
        <v>83</v>
      </c>
      <c r="K100" s="15" t="s">
        <v>84</v>
      </c>
      <c r="L100" s="13" t="s">
        <v>282</v>
      </c>
      <c r="M100" s="15" t="s">
        <v>281</v>
      </c>
      <c r="N100" s="14" t="s">
        <v>87</v>
      </c>
      <c r="O100" s="15" t="s">
        <v>258</v>
      </c>
      <c r="P100" s="15" t="s">
        <v>283</v>
      </c>
      <c r="Q100" s="15" t="s">
        <v>230</v>
      </c>
      <c r="R100" s="13" t="s">
        <v>231</v>
      </c>
      <c r="S100" s="13" t="s">
        <v>193</v>
      </c>
      <c r="T100" s="13" t="s">
        <v>93</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28.55" x14ac:dyDescent="0.25">
      <c r="A101" s="13" t="s">
        <v>232</v>
      </c>
      <c r="B101" s="13" t="s">
        <v>77</v>
      </c>
      <c r="C101" s="14">
        <v>45994.434027777781</v>
      </c>
      <c r="D101" s="13" t="s">
        <v>78</v>
      </c>
      <c r="E101" s="15" t="s">
        <v>79</v>
      </c>
      <c r="F101" s="13" t="s">
        <v>80</v>
      </c>
      <c r="G101" s="15" t="s">
        <v>81</v>
      </c>
      <c r="H101" s="13" t="s">
        <v>280</v>
      </c>
      <c r="I101" s="15" t="s">
        <v>281</v>
      </c>
      <c r="J101" s="15" t="s">
        <v>83</v>
      </c>
      <c r="K101" s="15" t="s">
        <v>84</v>
      </c>
      <c r="L101" s="13" t="s">
        <v>282</v>
      </c>
      <c r="M101" s="15" t="s">
        <v>281</v>
      </c>
      <c r="N101" s="14" t="s">
        <v>87</v>
      </c>
      <c r="O101" s="15" t="s">
        <v>258</v>
      </c>
      <c r="P101" s="15" t="s">
        <v>283</v>
      </c>
      <c r="Q101" s="15" t="s">
        <v>233</v>
      </c>
      <c r="R101" s="13" t="s">
        <v>234</v>
      </c>
      <c r="S101" s="13" t="s">
        <v>193</v>
      </c>
      <c r="T101" s="13" t="s">
        <v>93</v>
      </c>
      <c r="U101" s="14">
        <v>40725</v>
      </c>
      <c r="V101" s="14">
        <v>45900</v>
      </c>
      <c r="W101" s="15"/>
      <c r="X101" s="15"/>
      <c r="Y101" s="13"/>
      <c r="Z101" s="15"/>
      <c r="AA101" s="15"/>
      <c r="AB101" s="15"/>
      <c r="AC101" s="13"/>
      <c r="AD101" s="15"/>
      <c r="AE101" s="15"/>
      <c r="AF101" s="15"/>
      <c r="AG101" s="13"/>
      <c r="AH101" s="15"/>
      <c r="AI101" s="15"/>
      <c r="AJ101" s="15"/>
      <c r="AK101" s="13"/>
      <c r="AL101" s="15"/>
      <c r="AM101" s="15"/>
      <c r="AN101" s="13"/>
      <c r="AO101" s="13"/>
    </row>
    <row r="102" spans="1:41" ht="28.55" x14ac:dyDescent="0.25">
      <c r="A102" s="13" t="s">
        <v>76</v>
      </c>
      <c r="B102" s="13" t="s">
        <v>77</v>
      </c>
      <c r="C102" s="14">
        <v>45628.722222222219</v>
      </c>
      <c r="D102" s="13" t="s">
        <v>78</v>
      </c>
      <c r="E102" s="15" t="s">
        <v>79</v>
      </c>
      <c r="F102" s="13" t="s">
        <v>80</v>
      </c>
      <c r="G102" s="15" t="s">
        <v>81</v>
      </c>
      <c r="H102" s="13" t="s">
        <v>280</v>
      </c>
      <c r="I102" s="15" t="s">
        <v>281</v>
      </c>
      <c r="J102" s="15" t="s">
        <v>83</v>
      </c>
      <c r="K102" s="15" t="s">
        <v>84</v>
      </c>
      <c r="L102" s="13" t="s">
        <v>282</v>
      </c>
      <c r="M102" s="15" t="s">
        <v>281</v>
      </c>
      <c r="N102" s="14" t="s">
        <v>87</v>
      </c>
      <c r="O102" s="15" t="s">
        <v>258</v>
      </c>
      <c r="P102" s="15" t="s">
        <v>283</v>
      </c>
      <c r="Q102" s="15" t="s">
        <v>236</v>
      </c>
      <c r="R102" s="13" t="s">
        <v>237</v>
      </c>
      <c r="S102" s="13" t="s">
        <v>193</v>
      </c>
      <c r="T102" s="13" t="s">
        <v>174</v>
      </c>
      <c r="U102" s="14">
        <v>40725</v>
      </c>
      <c r="V102" s="14">
        <v>40725</v>
      </c>
      <c r="W102" s="15"/>
      <c r="X102" s="15"/>
      <c r="Y102" s="13"/>
      <c r="Z102" s="15"/>
      <c r="AA102" s="15"/>
      <c r="AB102" s="15"/>
      <c r="AC102" s="13"/>
      <c r="AD102" s="15"/>
      <c r="AE102" s="15"/>
      <c r="AF102" s="15"/>
      <c r="AG102" s="13"/>
      <c r="AH102" s="15"/>
      <c r="AI102" s="15"/>
      <c r="AJ102" s="15"/>
      <c r="AK102" s="13"/>
      <c r="AL102" s="15"/>
      <c r="AM102" s="15"/>
      <c r="AN102" s="13"/>
      <c r="AO102" s="13"/>
    </row>
    <row r="103" spans="1:41" ht="28.55" x14ac:dyDescent="0.25">
      <c r="A103" s="13" t="s">
        <v>76</v>
      </c>
      <c r="B103" s="13" t="s">
        <v>77</v>
      </c>
      <c r="C103" s="14">
        <v>45628.722916666666</v>
      </c>
      <c r="D103" s="13" t="s">
        <v>78</v>
      </c>
      <c r="E103" s="15" t="s">
        <v>79</v>
      </c>
      <c r="F103" s="13" t="s">
        <v>80</v>
      </c>
      <c r="G103" s="15" t="s">
        <v>81</v>
      </c>
      <c r="H103" s="13" t="s">
        <v>280</v>
      </c>
      <c r="I103" s="15" t="s">
        <v>281</v>
      </c>
      <c r="J103" s="15" t="s">
        <v>83</v>
      </c>
      <c r="K103" s="15" t="s">
        <v>84</v>
      </c>
      <c r="L103" s="13" t="s">
        <v>282</v>
      </c>
      <c r="M103" s="15" t="s">
        <v>281</v>
      </c>
      <c r="N103" s="14" t="s">
        <v>87</v>
      </c>
      <c r="O103" s="15" t="s">
        <v>258</v>
      </c>
      <c r="P103" s="15" t="s">
        <v>283</v>
      </c>
      <c r="Q103" s="15" t="s">
        <v>238</v>
      </c>
      <c r="R103" s="13" t="s">
        <v>239</v>
      </c>
      <c r="S103" s="13" t="s">
        <v>193</v>
      </c>
      <c r="T103" s="13" t="s">
        <v>174</v>
      </c>
      <c r="U103" s="14">
        <v>40725</v>
      </c>
      <c r="V103" s="14">
        <v>40725</v>
      </c>
      <c r="W103" s="15"/>
      <c r="X103" s="15"/>
      <c r="Y103" s="13"/>
      <c r="Z103" s="15"/>
      <c r="AA103" s="15"/>
      <c r="AB103" s="15"/>
      <c r="AC103" s="13"/>
      <c r="AD103" s="15"/>
      <c r="AE103" s="15"/>
      <c r="AF103" s="15"/>
      <c r="AG103" s="13"/>
      <c r="AH103" s="15"/>
      <c r="AI103" s="15"/>
      <c r="AJ103" s="15"/>
      <c r="AK103" s="13"/>
      <c r="AL103" s="15"/>
      <c r="AM103" s="15"/>
      <c r="AN103" s="13"/>
      <c r="AO103" s="13"/>
    </row>
  </sheetData>
  <autoFilter ref="A1:AS1" xr:uid="{1CD713C5-B1D9-4278-8FDA-F97C969ADA8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602E-AF29-4797-85CB-A50415E673E6}">
  <dimension ref="A1:U103"/>
  <sheetViews>
    <sheetView tabSelected="1" workbookViewId="0">
      <pane ySplit="1" topLeftCell="A2" activePane="bottomLeft" state="frozenSplit"/>
      <selection pane="bottomLeft" activeCell="D3" sqref="D3"/>
    </sheetView>
  </sheetViews>
  <sheetFormatPr baseColWidth="10" defaultRowHeight="14.3" x14ac:dyDescent="0.25"/>
  <cols>
    <col min="1" max="1" width="8.625" style="12" customWidth="1"/>
    <col min="2" max="2" width="7.625" style="12" customWidth="1"/>
    <col min="3" max="4" width="12.625" style="12" customWidth="1"/>
    <col min="5" max="5" width="14.625" style="12" customWidth="1"/>
    <col min="6" max="6" width="40.625" style="17" customWidth="1"/>
    <col min="7" max="7" width="25.625" style="12" customWidth="1"/>
    <col min="8" max="9" width="12.625" style="12" customWidth="1"/>
    <col min="10" max="11" width="40.625" style="17" customWidth="1"/>
    <col min="12" max="12" width="14.625" style="12" customWidth="1"/>
    <col min="13" max="13" width="25.625" style="17" customWidth="1"/>
    <col min="14" max="17" width="25.625" style="12" customWidth="1"/>
    <col min="18" max="18" width="9.625" style="12" customWidth="1"/>
    <col min="19" max="20" width="15.625" style="12" customWidth="1"/>
    <col min="21" max="21" width="40.625" style="17" customWidth="1"/>
    <col min="22" max="16384" width="11" style="12"/>
  </cols>
  <sheetData>
    <row r="1" spans="1:21" ht="42.8" x14ac:dyDescent="0.25">
      <c r="A1" s="10" t="s">
        <v>2</v>
      </c>
      <c r="B1" s="10" t="s">
        <v>3</v>
      </c>
      <c r="C1" s="11" t="s">
        <v>4</v>
      </c>
      <c r="D1" s="10" t="s">
        <v>370</v>
      </c>
      <c r="E1" s="10" t="s">
        <v>371</v>
      </c>
      <c r="F1" s="10" t="s">
        <v>372</v>
      </c>
      <c r="G1" s="10" t="s">
        <v>373</v>
      </c>
      <c r="H1" s="11" t="s">
        <v>21</v>
      </c>
      <c r="I1" s="11" t="s">
        <v>22</v>
      </c>
      <c r="J1" s="10" t="s">
        <v>374</v>
      </c>
      <c r="K1" s="10" t="s">
        <v>375</v>
      </c>
      <c r="L1" s="10" t="s">
        <v>376</v>
      </c>
      <c r="M1" s="10" t="s">
        <v>369</v>
      </c>
      <c r="N1" s="10" t="s">
        <v>377</v>
      </c>
      <c r="O1" s="10" t="s">
        <v>378</v>
      </c>
      <c r="P1" s="10" t="s">
        <v>379</v>
      </c>
      <c r="Q1" s="10" t="s">
        <v>380</v>
      </c>
      <c r="R1" s="10" t="s">
        <v>74</v>
      </c>
      <c r="S1" s="10" t="s">
        <v>75</v>
      </c>
      <c r="T1" s="10" t="s">
        <v>381</v>
      </c>
      <c r="U1" s="10" t="s">
        <v>382</v>
      </c>
    </row>
    <row r="2" spans="1:21" ht="71.349999999999994" x14ac:dyDescent="0.25">
      <c r="A2" s="13" t="s">
        <v>142</v>
      </c>
      <c r="B2" s="13" t="s">
        <v>77</v>
      </c>
      <c r="C2" s="14">
        <v>43650.44027777778</v>
      </c>
      <c r="D2" s="13" t="s">
        <v>152</v>
      </c>
      <c r="E2" s="13" t="s">
        <v>374</v>
      </c>
      <c r="F2" s="15" t="s">
        <v>153</v>
      </c>
      <c r="G2" s="13" t="s">
        <v>383</v>
      </c>
      <c r="H2" s="14">
        <v>40725</v>
      </c>
      <c r="I2" s="14"/>
      <c r="J2" s="15"/>
      <c r="K2" s="15" t="s">
        <v>384</v>
      </c>
      <c r="L2" s="13" t="s">
        <v>385</v>
      </c>
      <c r="M2" s="15"/>
      <c r="N2" s="13" t="s">
        <v>386</v>
      </c>
      <c r="O2" s="13"/>
      <c r="P2" s="13"/>
      <c r="Q2" s="13"/>
      <c r="R2" s="13"/>
      <c r="S2" s="13"/>
      <c r="T2" s="13" t="s">
        <v>387</v>
      </c>
      <c r="U2" s="15" t="s">
        <v>153</v>
      </c>
    </row>
    <row r="3" spans="1:21" ht="71.349999999999994" x14ac:dyDescent="0.25">
      <c r="A3" s="13" t="s">
        <v>142</v>
      </c>
      <c r="B3" s="13" t="s">
        <v>77</v>
      </c>
      <c r="C3" s="14">
        <v>43650.44027777778</v>
      </c>
      <c r="D3" s="13" t="s">
        <v>156</v>
      </c>
      <c r="E3" s="13" t="s">
        <v>374</v>
      </c>
      <c r="F3" s="15" t="s">
        <v>157</v>
      </c>
      <c r="G3" s="13" t="s">
        <v>383</v>
      </c>
      <c r="H3" s="14">
        <v>40725</v>
      </c>
      <c r="I3" s="14"/>
      <c r="J3" s="15"/>
      <c r="K3" s="15" t="s">
        <v>388</v>
      </c>
      <c r="L3" s="13" t="s">
        <v>385</v>
      </c>
      <c r="M3" s="15"/>
      <c r="N3" s="13" t="s">
        <v>386</v>
      </c>
      <c r="O3" s="13"/>
      <c r="P3" s="13"/>
      <c r="Q3" s="13"/>
      <c r="R3" s="13"/>
      <c r="S3" s="13"/>
      <c r="T3" s="13" t="s">
        <v>387</v>
      </c>
      <c r="U3" s="15" t="s">
        <v>157</v>
      </c>
    </row>
    <row r="4" spans="1:21" ht="57.1" x14ac:dyDescent="0.25">
      <c r="A4" s="13" t="s">
        <v>117</v>
      </c>
      <c r="B4" s="13" t="s">
        <v>222</v>
      </c>
      <c r="C4" s="14">
        <v>44055.46875</v>
      </c>
      <c r="D4" s="13" t="s">
        <v>101</v>
      </c>
      <c r="E4" s="13" t="s">
        <v>374</v>
      </c>
      <c r="F4" s="15" t="s">
        <v>102</v>
      </c>
      <c r="G4" s="13" t="s">
        <v>389</v>
      </c>
      <c r="H4" s="14">
        <v>40725</v>
      </c>
      <c r="I4" s="14"/>
      <c r="J4" s="15"/>
      <c r="K4" s="15" t="s">
        <v>390</v>
      </c>
      <c r="L4" s="13" t="s">
        <v>385</v>
      </c>
      <c r="M4" s="15"/>
      <c r="N4" s="13" t="s">
        <v>386</v>
      </c>
      <c r="O4" s="13"/>
      <c r="P4" s="13"/>
      <c r="Q4" s="13"/>
      <c r="R4" s="13"/>
      <c r="S4" s="13"/>
      <c r="T4" s="13" t="s">
        <v>387</v>
      </c>
      <c r="U4" s="15" t="s">
        <v>102</v>
      </c>
    </row>
    <row r="5" spans="1:21" ht="57.1" x14ac:dyDescent="0.25">
      <c r="A5" s="13" t="s">
        <v>207</v>
      </c>
      <c r="B5" s="13" t="s">
        <v>77</v>
      </c>
      <c r="C5" s="14">
        <v>43686.727083333331</v>
      </c>
      <c r="D5" s="13" t="s">
        <v>129</v>
      </c>
      <c r="E5" s="13" t="s">
        <v>374</v>
      </c>
      <c r="F5" s="15" t="s">
        <v>130</v>
      </c>
      <c r="G5" s="13" t="s">
        <v>391</v>
      </c>
      <c r="H5" s="14">
        <v>40725</v>
      </c>
      <c r="I5" s="14">
        <v>43435</v>
      </c>
      <c r="J5" s="15" t="s">
        <v>392</v>
      </c>
      <c r="K5" s="15" t="s">
        <v>393</v>
      </c>
      <c r="L5" s="13" t="s">
        <v>385</v>
      </c>
      <c r="M5" s="15"/>
      <c r="N5" s="13" t="s">
        <v>394</v>
      </c>
      <c r="O5" s="13"/>
      <c r="P5" s="13"/>
      <c r="Q5" s="13"/>
      <c r="R5" s="13"/>
      <c r="S5" s="13"/>
      <c r="T5" s="13" t="s">
        <v>387</v>
      </c>
      <c r="U5" s="15" t="s">
        <v>130</v>
      </c>
    </row>
    <row r="6" spans="1:21" ht="57.1" x14ac:dyDescent="0.25">
      <c r="A6" s="13" t="s">
        <v>207</v>
      </c>
      <c r="B6" s="13" t="s">
        <v>77</v>
      </c>
      <c r="C6" s="14">
        <v>43633.757638888892</v>
      </c>
      <c r="D6" s="13" t="s">
        <v>138</v>
      </c>
      <c r="E6" s="13" t="s">
        <v>374</v>
      </c>
      <c r="F6" s="15" t="s">
        <v>139</v>
      </c>
      <c r="G6" s="13" t="s">
        <v>391</v>
      </c>
      <c r="H6" s="14">
        <v>43436</v>
      </c>
      <c r="I6" s="14"/>
      <c r="J6" s="15" t="s">
        <v>392</v>
      </c>
      <c r="K6" s="15" t="s">
        <v>395</v>
      </c>
      <c r="L6" s="13" t="s">
        <v>385</v>
      </c>
      <c r="M6" s="15"/>
      <c r="N6" s="13" t="s">
        <v>394</v>
      </c>
      <c r="O6" s="13"/>
      <c r="P6" s="13"/>
      <c r="Q6" s="13"/>
      <c r="R6" s="13"/>
      <c r="S6" s="13"/>
      <c r="T6" s="13" t="s">
        <v>387</v>
      </c>
      <c r="U6" s="15" t="s">
        <v>139</v>
      </c>
    </row>
    <row r="7" spans="1:21" ht="57.1" x14ac:dyDescent="0.25">
      <c r="A7" s="13" t="s">
        <v>396</v>
      </c>
      <c r="B7" s="13" t="s">
        <v>77</v>
      </c>
      <c r="C7" s="14">
        <v>44955.833333333336</v>
      </c>
      <c r="D7" s="13" t="s">
        <v>103</v>
      </c>
      <c r="E7" s="13" t="s">
        <v>374</v>
      </c>
      <c r="F7" s="15" t="s">
        <v>104</v>
      </c>
      <c r="G7" s="13" t="s">
        <v>397</v>
      </c>
      <c r="H7" s="14">
        <v>40725</v>
      </c>
      <c r="I7" s="14"/>
      <c r="J7" s="15"/>
      <c r="K7" s="15" t="s">
        <v>398</v>
      </c>
      <c r="L7" s="13" t="s">
        <v>399</v>
      </c>
      <c r="M7" s="15" t="s">
        <v>400</v>
      </c>
      <c r="N7" s="13" t="s">
        <v>386</v>
      </c>
      <c r="O7" s="13"/>
      <c r="P7" s="13"/>
      <c r="Q7" s="13"/>
      <c r="R7" s="13"/>
      <c r="S7" s="13"/>
      <c r="T7" s="13" t="s">
        <v>387</v>
      </c>
      <c r="U7" s="15" t="s">
        <v>104</v>
      </c>
    </row>
    <row r="8" spans="1:21" ht="99.85" x14ac:dyDescent="0.25">
      <c r="A8" s="13" t="s">
        <v>142</v>
      </c>
      <c r="B8" s="13" t="s">
        <v>77</v>
      </c>
      <c r="C8" s="14">
        <v>43411.424305555556</v>
      </c>
      <c r="D8" s="13" t="s">
        <v>217</v>
      </c>
      <c r="E8" s="13" t="s">
        <v>374</v>
      </c>
      <c r="F8" s="15" t="s">
        <v>218</v>
      </c>
      <c r="G8" s="13" t="s">
        <v>401</v>
      </c>
      <c r="H8" s="14">
        <v>40725</v>
      </c>
      <c r="I8" s="14"/>
      <c r="J8" s="15"/>
      <c r="K8" s="15" t="s">
        <v>384</v>
      </c>
      <c r="L8" s="13" t="s">
        <v>385</v>
      </c>
      <c r="M8" s="15"/>
      <c r="N8" s="13" t="s">
        <v>402</v>
      </c>
      <c r="O8" s="13"/>
      <c r="P8" s="13"/>
      <c r="Q8" s="13"/>
      <c r="R8" s="13"/>
      <c r="S8" s="13"/>
      <c r="T8" s="13" t="s">
        <v>387</v>
      </c>
      <c r="U8" s="15" t="s">
        <v>403</v>
      </c>
    </row>
    <row r="9" spans="1:21" ht="57.1" x14ac:dyDescent="0.25">
      <c r="A9" s="13" t="s">
        <v>207</v>
      </c>
      <c r="B9" s="13" t="s">
        <v>77</v>
      </c>
      <c r="C9" s="14">
        <v>43633.759027777778</v>
      </c>
      <c r="D9" s="13" t="s">
        <v>211</v>
      </c>
      <c r="E9" s="13" t="s">
        <v>374</v>
      </c>
      <c r="F9" s="15" t="s">
        <v>130</v>
      </c>
      <c r="G9" s="13" t="s">
        <v>404</v>
      </c>
      <c r="H9" s="14">
        <v>40725</v>
      </c>
      <c r="I9" s="14">
        <v>43435</v>
      </c>
      <c r="J9" s="15" t="s">
        <v>392</v>
      </c>
      <c r="K9" s="15" t="s">
        <v>393</v>
      </c>
      <c r="L9" s="13" t="s">
        <v>385</v>
      </c>
      <c r="M9" s="15"/>
      <c r="N9" s="13" t="s">
        <v>405</v>
      </c>
      <c r="O9" s="13"/>
      <c r="P9" s="13"/>
      <c r="Q9" s="13"/>
      <c r="R9" s="13"/>
      <c r="S9" s="13"/>
      <c r="T9" s="13" t="s">
        <v>387</v>
      </c>
      <c r="U9" s="15" t="s">
        <v>130</v>
      </c>
    </row>
    <row r="10" spans="1:21" ht="57.1" x14ac:dyDescent="0.25">
      <c r="A10" s="13" t="s">
        <v>207</v>
      </c>
      <c r="B10" s="13" t="s">
        <v>77</v>
      </c>
      <c r="C10" s="14">
        <v>43690.394444444442</v>
      </c>
      <c r="D10" s="13" t="s">
        <v>213</v>
      </c>
      <c r="E10" s="13" t="s">
        <v>374</v>
      </c>
      <c r="F10" s="15" t="s">
        <v>139</v>
      </c>
      <c r="G10" s="13" t="s">
        <v>404</v>
      </c>
      <c r="H10" s="14">
        <v>43436</v>
      </c>
      <c r="I10" s="14"/>
      <c r="J10" s="15" t="s">
        <v>392</v>
      </c>
      <c r="K10" s="15" t="s">
        <v>406</v>
      </c>
      <c r="L10" s="13" t="s">
        <v>385</v>
      </c>
      <c r="M10" s="15"/>
      <c r="N10" s="13" t="s">
        <v>405</v>
      </c>
      <c r="O10" s="13"/>
      <c r="P10" s="13"/>
      <c r="Q10" s="13"/>
      <c r="R10" s="13"/>
      <c r="S10" s="13"/>
      <c r="T10" s="13" t="s">
        <v>387</v>
      </c>
      <c r="U10" s="15" t="s">
        <v>139</v>
      </c>
    </row>
    <row r="11" spans="1:21" ht="57.1" x14ac:dyDescent="0.25">
      <c r="A11" s="13" t="s">
        <v>396</v>
      </c>
      <c r="B11" s="13" t="s">
        <v>77</v>
      </c>
      <c r="C11" s="14">
        <v>44955.834722222222</v>
      </c>
      <c r="D11" s="13" t="s">
        <v>206</v>
      </c>
      <c r="E11" s="13" t="s">
        <v>374</v>
      </c>
      <c r="F11" s="15" t="s">
        <v>104</v>
      </c>
      <c r="G11" s="13" t="s">
        <v>407</v>
      </c>
      <c r="H11" s="14">
        <v>40725</v>
      </c>
      <c r="I11" s="14"/>
      <c r="J11" s="15"/>
      <c r="K11" s="15" t="s">
        <v>398</v>
      </c>
      <c r="L11" s="13" t="s">
        <v>399</v>
      </c>
      <c r="M11" s="15" t="s">
        <v>400</v>
      </c>
      <c r="N11" s="13" t="s">
        <v>402</v>
      </c>
      <c r="O11" s="13"/>
      <c r="P11" s="13"/>
      <c r="Q11" s="13"/>
      <c r="R11" s="13"/>
      <c r="S11" s="13"/>
      <c r="T11" s="13" t="s">
        <v>387</v>
      </c>
      <c r="U11" s="15" t="s">
        <v>104</v>
      </c>
    </row>
    <row r="12" spans="1:21" ht="57.1" x14ac:dyDescent="0.25">
      <c r="A12" s="13" t="s">
        <v>142</v>
      </c>
      <c r="B12" s="13" t="s">
        <v>77</v>
      </c>
      <c r="C12" s="14">
        <v>43411.422222222223</v>
      </c>
      <c r="D12" s="13" t="s">
        <v>154</v>
      </c>
      <c r="E12" s="13" t="s">
        <v>374</v>
      </c>
      <c r="F12" s="15" t="s">
        <v>155</v>
      </c>
      <c r="G12" s="13" t="s">
        <v>408</v>
      </c>
      <c r="H12" s="14">
        <v>40725</v>
      </c>
      <c r="I12" s="14"/>
      <c r="J12" s="15"/>
      <c r="K12" s="15" t="s">
        <v>384</v>
      </c>
      <c r="L12" s="13" t="s">
        <v>385</v>
      </c>
      <c r="M12" s="15"/>
      <c r="N12" s="13" t="s">
        <v>386</v>
      </c>
      <c r="O12" s="13"/>
      <c r="P12" s="13"/>
      <c r="Q12" s="13"/>
      <c r="R12" s="13"/>
      <c r="S12" s="13"/>
      <c r="T12" s="13" t="s">
        <v>387</v>
      </c>
      <c r="U12" s="15" t="s">
        <v>155</v>
      </c>
    </row>
    <row r="13" spans="1:21" ht="71.349999999999994" x14ac:dyDescent="0.25">
      <c r="A13" s="13" t="s">
        <v>409</v>
      </c>
      <c r="B13" s="13" t="s">
        <v>77</v>
      </c>
      <c r="C13" s="14">
        <v>43873.634027777778</v>
      </c>
      <c r="D13" s="13" t="s">
        <v>158</v>
      </c>
      <c r="E13" s="13" t="s">
        <v>374</v>
      </c>
      <c r="F13" s="15" t="s">
        <v>157</v>
      </c>
      <c r="G13" s="13" t="s">
        <v>408</v>
      </c>
      <c r="H13" s="14">
        <v>40725</v>
      </c>
      <c r="I13" s="14"/>
      <c r="J13" s="15"/>
      <c r="K13" s="15" t="s">
        <v>388</v>
      </c>
      <c r="L13" s="13" t="s">
        <v>385</v>
      </c>
      <c r="M13" s="15"/>
      <c r="N13" s="13" t="s">
        <v>386</v>
      </c>
      <c r="O13" s="13"/>
      <c r="P13" s="13"/>
      <c r="Q13" s="13"/>
      <c r="R13" s="13"/>
      <c r="S13" s="13"/>
      <c r="T13" s="13" t="s">
        <v>387</v>
      </c>
      <c r="U13" s="15" t="s">
        <v>410</v>
      </c>
    </row>
    <row r="14" spans="1:21" ht="71.349999999999994" x14ac:dyDescent="0.25">
      <c r="A14" s="13" t="s">
        <v>142</v>
      </c>
      <c r="B14" s="13" t="s">
        <v>77</v>
      </c>
      <c r="C14" s="14">
        <v>43411.40902777778</v>
      </c>
      <c r="D14" s="13" t="s">
        <v>219</v>
      </c>
      <c r="E14" s="13" t="s">
        <v>374</v>
      </c>
      <c r="F14" s="15" t="s">
        <v>157</v>
      </c>
      <c r="G14" s="13" t="s">
        <v>401</v>
      </c>
      <c r="H14" s="14">
        <v>40725</v>
      </c>
      <c r="I14" s="14"/>
      <c r="J14" s="15"/>
      <c r="K14" s="15" t="s">
        <v>411</v>
      </c>
      <c r="L14" s="13" t="s">
        <v>385</v>
      </c>
      <c r="M14" s="15"/>
      <c r="N14" s="13" t="s">
        <v>402</v>
      </c>
      <c r="O14" s="13"/>
      <c r="P14" s="13"/>
      <c r="Q14" s="13"/>
      <c r="R14" s="13"/>
      <c r="S14" s="13"/>
      <c r="T14" s="13" t="s">
        <v>387</v>
      </c>
      <c r="U14" s="15" t="s">
        <v>157</v>
      </c>
    </row>
    <row r="15" spans="1:21" ht="71.349999999999994" x14ac:dyDescent="0.25">
      <c r="A15" s="13" t="s">
        <v>207</v>
      </c>
      <c r="B15" s="13" t="s">
        <v>77</v>
      </c>
      <c r="C15" s="14">
        <v>43633.615972222222</v>
      </c>
      <c r="D15" s="13" t="s">
        <v>220</v>
      </c>
      <c r="E15" s="13" t="s">
        <v>374</v>
      </c>
      <c r="F15" s="15" t="s">
        <v>162</v>
      </c>
      <c r="G15" s="13" t="s">
        <v>404</v>
      </c>
      <c r="H15" s="14">
        <v>40725</v>
      </c>
      <c r="I15" s="14">
        <v>43435</v>
      </c>
      <c r="J15" s="15" t="s">
        <v>412</v>
      </c>
      <c r="K15" s="15" t="s">
        <v>413</v>
      </c>
      <c r="L15" s="13" t="s">
        <v>385</v>
      </c>
      <c r="M15" s="15"/>
      <c r="N15" s="13" t="s">
        <v>402</v>
      </c>
      <c r="O15" s="13"/>
      <c r="P15" s="13"/>
      <c r="Q15" s="13"/>
      <c r="R15" s="13"/>
      <c r="S15" s="13"/>
      <c r="T15" s="13" t="s">
        <v>387</v>
      </c>
      <c r="U15" s="15" t="s">
        <v>162</v>
      </c>
    </row>
    <row r="16" spans="1:21" ht="71.349999999999994" x14ac:dyDescent="0.25">
      <c r="A16" s="13" t="s">
        <v>207</v>
      </c>
      <c r="B16" s="13" t="s">
        <v>77</v>
      </c>
      <c r="C16" s="14">
        <v>43690.376388888886</v>
      </c>
      <c r="D16" s="13" t="s">
        <v>221</v>
      </c>
      <c r="E16" s="13" t="s">
        <v>374</v>
      </c>
      <c r="F16" s="15" t="s">
        <v>160</v>
      </c>
      <c r="G16" s="13" t="s">
        <v>414</v>
      </c>
      <c r="H16" s="14">
        <v>40725</v>
      </c>
      <c r="I16" s="14">
        <v>43435</v>
      </c>
      <c r="J16" s="15" t="s">
        <v>415</v>
      </c>
      <c r="K16" s="15" t="s">
        <v>416</v>
      </c>
      <c r="L16" s="13" t="s">
        <v>385</v>
      </c>
      <c r="M16" s="15"/>
      <c r="N16" s="13" t="s">
        <v>402</v>
      </c>
      <c r="O16" s="13"/>
      <c r="P16" s="13"/>
      <c r="Q16" s="13"/>
      <c r="R16" s="13"/>
      <c r="S16" s="13"/>
      <c r="T16" s="13" t="s">
        <v>387</v>
      </c>
      <c r="U16" s="15" t="s">
        <v>160</v>
      </c>
    </row>
    <row r="17" spans="1:21" ht="71.349999999999994" x14ac:dyDescent="0.25">
      <c r="A17" s="13" t="s">
        <v>396</v>
      </c>
      <c r="B17" s="13" t="s">
        <v>77</v>
      </c>
      <c r="C17" s="14">
        <v>44955.836805555555</v>
      </c>
      <c r="D17" s="13" t="s">
        <v>224</v>
      </c>
      <c r="E17" s="13" t="s">
        <v>374</v>
      </c>
      <c r="F17" s="15" t="s">
        <v>171</v>
      </c>
      <c r="G17" s="13" t="s">
        <v>414</v>
      </c>
      <c r="H17" s="14">
        <v>43436</v>
      </c>
      <c r="I17" s="14"/>
      <c r="J17" s="15" t="s">
        <v>417</v>
      </c>
      <c r="K17" s="15" t="s">
        <v>413</v>
      </c>
      <c r="L17" s="13" t="s">
        <v>385</v>
      </c>
      <c r="M17" s="15"/>
      <c r="N17" s="13" t="s">
        <v>402</v>
      </c>
      <c r="O17" s="13"/>
      <c r="P17" s="13"/>
      <c r="Q17" s="13"/>
      <c r="R17" s="13"/>
      <c r="S17" s="13"/>
      <c r="T17" s="13" t="s">
        <v>387</v>
      </c>
      <c r="U17" s="15" t="s">
        <v>171</v>
      </c>
    </row>
    <row r="18" spans="1:21" ht="71.349999999999994" x14ac:dyDescent="0.25">
      <c r="A18" s="13" t="s">
        <v>207</v>
      </c>
      <c r="B18" s="13" t="s">
        <v>77</v>
      </c>
      <c r="C18" s="14">
        <v>43690.374305555553</v>
      </c>
      <c r="D18" s="13" t="s">
        <v>225</v>
      </c>
      <c r="E18" s="13" t="s">
        <v>374</v>
      </c>
      <c r="F18" s="15" t="s">
        <v>169</v>
      </c>
      <c r="G18" s="13" t="s">
        <v>418</v>
      </c>
      <c r="H18" s="14">
        <v>43436</v>
      </c>
      <c r="I18" s="14"/>
      <c r="J18" s="15" t="s">
        <v>419</v>
      </c>
      <c r="K18" s="15" t="s">
        <v>420</v>
      </c>
      <c r="L18" s="13" t="s">
        <v>385</v>
      </c>
      <c r="M18" s="15"/>
      <c r="N18" s="13" t="s">
        <v>402</v>
      </c>
      <c r="O18" s="13"/>
      <c r="P18" s="13"/>
      <c r="Q18" s="13"/>
      <c r="R18" s="13"/>
      <c r="S18" s="13"/>
      <c r="T18" s="13" t="s">
        <v>387</v>
      </c>
      <c r="U18" s="15" t="s">
        <v>169</v>
      </c>
    </row>
    <row r="19" spans="1:21" ht="57.1" x14ac:dyDescent="0.25">
      <c r="A19" s="13" t="s">
        <v>207</v>
      </c>
      <c r="B19" s="13" t="s">
        <v>77</v>
      </c>
      <c r="C19" s="14">
        <v>43633.618750000001</v>
      </c>
      <c r="D19" s="13" t="s">
        <v>131</v>
      </c>
      <c r="E19" s="13" t="s">
        <v>374</v>
      </c>
      <c r="F19" s="15" t="s">
        <v>132</v>
      </c>
      <c r="G19" s="13" t="s">
        <v>421</v>
      </c>
      <c r="H19" s="14">
        <v>40725</v>
      </c>
      <c r="I19" s="14">
        <v>43435</v>
      </c>
      <c r="J19" s="15" t="s">
        <v>422</v>
      </c>
      <c r="K19" s="15" t="s">
        <v>423</v>
      </c>
      <c r="L19" s="13" t="s">
        <v>385</v>
      </c>
      <c r="M19" s="15"/>
      <c r="N19" s="13" t="s">
        <v>424</v>
      </c>
      <c r="O19" s="13"/>
      <c r="P19" s="13"/>
      <c r="Q19" s="13"/>
      <c r="R19" s="13"/>
      <c r="S19" s="13"/>
      <c r="T19" s="13" t="s">
        <v>387</v>
      </c>
      <c r="U19" s="15" t="s">
        <v>132</v>
      </c>
    </row>
    <row r="20" spans="1:21" ht="57.1" x14ac:dyDescent="0.25">
      <c r="A20" s="13" t="s">
        <v>76</v>
      </c>
      <c r="B20" s="13" t="s">
        <v>77</v>
      </c>
      <c r="C20" s="14">
        <v>45628.725694444445</v>
      </c>
      <c r="D20" s="13" t="s">
        <v>140</v>
      </c>
      <c r="E20" s="13" t="s">
        <v>374</v>
      </c>
      <c r="F20" s="15" t="s">
        <v>141</v>
      </c>
      <c r="G20" s="13" t="s">
        <v>421</v>
      </c>
      <c r="H20" s="14">
        <v>43436</v>
      </c>
      <c r="I20" s="14">
        <v>43436</v>
      </c>
      <c r="J20" s="15" t="s">
        <v>422</v>
      </c>
      <c r="K20" s="15" t="s">
        <v>425</v>
      </c>
      <c r="L20" s="13" t="s">
        <v>385</v>
      </c>
      <c r="M20" s="15"/>
      <c r="N20" s="13" t="s">
        <v>424</v>
      </c>
      <c r="O20" s="13"/>
      <c r="P20" s="13"/>
      <c r="Q20" s="13"/>
      <c r="R20" s="13"/>
      <c r="S20" s="13"/>
      <c r="T20" s="13" t="s">
        <v>387</v>
      </c>
      <c r="U20" s="15" t="s">
        <v>141</v>
      </c>
    </row>
    <row r="21" spans="1:21" ht="71.349999999999994" x14ac:dyDescent="0.25">
      <c r="A21" s="13" t="s">
        <v>207</v>
      </c>
      <c r="B21" s="13" t="s">
        <v>77</v>
      </c>
      <c r="C21" s="14">
        <v>43690.379166666666</v>
      </c>
      <c r="D21" s="13" t="s">
        <v>159</v>
      </c>
      <c r="E21" s="13" t="s">
        <v>374</v>
      </c>
      <c r="F21" s="15" t="s">
        <v>160</v>
      </c>
      <c r="G21" s="13" t="s">
        <v>397</v>
      </c>
      <c r="H21" s="14">
        <v>40725</v>
      </c>
      <c r="I21" s="14">
        <v>43435</v>
      </c>
      <c r="J21" s="15" t="s">
        <v>415</v>
      </c>
      <c r="K21" s="15" t="s">
        <v>416</v>
      </c>
      <c r="L21" s="13" t="s">
        <v>385</v>
      </c>
      <c r="M21" s="15"/>
      <c r="N21" s="13" t="s">
        <v>426</v>
      </c>
      <c r="O21" s="13"/>
      <c r="P21" s="13"/>
      <c r="Q21" s="13"/>
      <c r="R21" s="13"/>
      <c r="S21" s="13"/>
      <c r="T21" s="13" t="s">
        <v>387</v>
      </c>
      <c r="U21" s="15" t="s">
        <v>160</v>
      </c>
    </row>
    <row r="22" spans="1:21" ht="71.349999999999994" x14ac:dyDescent="0.25">
      <c r="A22" s="13" t="s">
        <v>207</v>
      </c>
      <c r="B22" s="13" t="s">
        <v>77</v>
      </c>
      <c r="C22" s="14">
        <v>43690.380555555559</v>
      </c>
      <c r="D22" s="13" t="s">
        <v>168</v>
      </c>
      <c r="E22" s="13" t="s">
        <v>374</v>
      </c>
      <c r="F22" s="15" t="s">
        <v>169</v>
      </c>
      <c r="G22" s="13" t="s">
        <v>427</v>
      </c>
      <c r="H22" s="14">
        <v>43436</v>
      </c>
      <c r="I22" s="14"/>
      <c r="J22" s="15" t="s">
        <v>419</v>
      </c>
      <c r="K22" s="15" t="s">
        <v>420</v>
      </c>
      <c r="L22" s="13" t="s">
        <v>385</v>
      </c>
      <c r="M22" s="15"/>
      <c r="N22" s="13" t="s">
        <v>386</v>
      </c>
      <c r="O22" s="13"/>
      <c r="P22" s="13"/>
      <c r="Q22" s="13"/>
      <c r="R22" s="13"/>
      <c r="S22" s="13"/>
      <c r="T22" s="13" t="s">
        <v>387</v>
      </c>
      <c r="U22" s="15" t="s">
        <v>169</v>
      </c>
    </row>
    <row r="23" spans="1:21" ht="71.349999999999994" x14ac:dyDescent="0.25">
      <c r="A23" s="13" t="s">
        <v>207</v>
      </c>
      <c r="B23" s="13" t="s">
        <v>77</v>
      </c>
      <c r="C23" s="14">
        <v>43633.624305555553</v>
      </c>
      <c r="D23" s="13" t="s">
        <v>161</v>
      </c>
      <c r="E23" s="13" t="s">
        <v>374</v>
      </c>
      <c r="F23" s="15" t="s">
        <v>162</v>
      </c>
      <c r="G23" s="13" t="s">
        <v>397</v>
      </c>
      <c r="H23" s="14">
        <v>40725</v>
      </c>
      <c r="I23" s="14">
        <v>43435</v>
      </c>
      <c r="J23" s="15" t="s">
        <v>412</v>
      </c>
      <c r="K23" s="15" t="s">
        <v>413</v>
      </c>
      <c r="L23" s="13" t="s">
        <v>385</v>
      </c>
      <c r="M23" s="15"/>
      <c r="N23" s="13" t="s">
        <v>386</v>
      </c>
      <c r="O23" s="13"/>
      <c r="P23" s="13"/>
      <c r="Q23" s="13"/>
      <c r="R23" s="13"/>
      <c r="S23" s="13"/>
      <c r="T23" s="13" t="s">
        <v>387</v>
      </c>
      <c r="U23" s="15" t="s">
        <v>162</v>
      </c>
    </row>
    <row r="24" spans="1:21" ht="71.349999999999994" x14ac:dyDescent="0.25">
      <c r="A24" s="13" t="s">
        <v>396</v>
      </c>
      <c r="B24" s="13" t="s">
        <v>77</v>
      </c>
      <c r="C24" s="14">
        <v>44955.836111111108</v>
      </c>
      <c r="D24" s="13" t="s">
        <v>170</v>
      </c>
      <c r="E24" s="13" t="s">
        <v>374</v>
      </c>
      <c r="F24" s="15" t="s">
        <v>171</v>
      </c>
      <c r="G24" s="13" t="s">
        <v>397</v>
      </c>
      <c r="H24" s="14">
        <v>43436</v>
      </c>
      <c r="I24" s="14"/>
      <c r="J24" s="15" t="s">
        <v>417</v>
      </c>
      <c r="K24" s="15" t="s">
        <v>413</v>
      </c>
      <c r="L24" s="13" t="s">
        <v>385</v>
      </c>
      <c r="M24" s="15"/>
      <c r="N24" s="13" t="s">
        <v>386</v>
      </c>
      <c r="O24" s="13"/>
      <c r="P24" s="13"/>
      <c r="Q24" s="13"/>
      <c r="R24" s="13"/>
      <c r="S24" s="13"/>
      <c r="T24" s="13" t="s">
        <v>387</v>
      </c>
      <c r="U24" s="15" t="s">
        <v>171</v>
      </c>
    </row>
    <row r="25" spans="1:21" ht="42.8" x14ac:dyDescent="0.25">
      <c r="A25" s="13" t="s">
        <v>428</v>
      </c>
      <c r="B25" s="13" t="s">
        <v>222</v>
      </c>
      <c r="C25" s="14">
        <v>43152.5</v>
      </c>
      <c r="D25" s="13" t="s">
        <v>105</v>
      </c>
      <c r="E25" s="13" t="s">
        <v>429</v>
      </c>
      <c r="F25" s="15" t="s">
        <v>106</v>
      </c>
      <c r="G25" s="13"/>
      <c r="H25" s="14">
        <v>40725</v>
      </c>
      <c r="I25" s="14"/>
      <c r="J25" s="15"/>
      <c r="K25" s="15" t="s">
        <v>430</v>
      </c>
      <c r="L25" s="13" t="s">
        <v>385</v>
      </c>
      <c r="M25" s="15"/>
      <c r="N25" s="13"/>
      <c r="O25" s="13"/>
      <c r="P25" s="13"/>
      <c r="Q25" s="13"/>
      <c r="R25" s="13"/>
      <c r="S25" s="13"/>
      <c r="T25" s="13"/>
      <c r="U25" s="15"/>
    </row>
    <row r="26" spans="1:21" ht="42.8" x14ac:dyDescent="0.25">
      <c r="A26" s="13" t="s">
        <v>428</v>
      </c>
      <c r="B26" s="13" t="s">
        <v>222</v>
      </c>
      <c r="C26" s="14">
        <v>43152.5</v>
      </c>
      <c r="D26" s="13" t="s">
        <v>107</v>
      </c>
      <c r="E26" s="13" t="s">
        <v>429</v>
      </c>
      <c r="F26" s="15" t="s">
        <v>108</v>
      </c>
      <c r="G26" s="13"/>
      <c r="H26" s="14">
        <v>40725</v>
      </c>
      <c r="I26" s="14"/>
      <c r="J26" s="15" t="s">
        <v>431</v>
      </c>
      <c r="K26" s="15" t="s">
        <v>432</v>
      </c>
      <c r="L26" s="13" t="s">
        <v>399</v>
      </c>
      <c r="M26" s="15"/>
      <c r="N26" s="13"/>
      <c r="O26" s="13"/>
      <c r="P26" s="13"/>
      <c r="Q26" s="13"/>
      <c r="R26" s="13"/>
      <c r="S26" s="13"/>
      <c r="T26" s="13"/>
      <c r="U26" s="15"/>
    </row>
    <row r="27" spans="1:21" ht="42.8" x14ac:dyDescent="0.25">
      <c r="A27" s="13" t="s">
        <v>428</v>
      </c>
      <c r="B27" s="13" t="s">
        <v>222</v>
      </c>
      <c r="C27" s="14">
        <v>43152.5</v>
      </c>
      <c r="D27" s="13" t="s">
        <v>109</v>
      </c>
      <c r="E27" s="13" t="s">
        <v>429</v>
      </c>
      <c r="F27" s="15" t="s">
        <v>110</v>
      </c>
      <c r="G27" s="13"/>
      <c r="H27" s="14">
        <v>40725</v>
      </c>
      <c r="I27" s="14"/>
      <c r="J27" s="15" t="s">
        <v>431</v>
      </c>
      <c r="K27" s="15" t="s">
        <v>433</v>
      </c>
      <c r="L27" s="13" t="s">
        <v>385</v>
      </c>
      <c r="M27" s="15"/>
      <c r="N27" s="13"/>
      <c r="O27" s="13"/>
      <c r="P27" s="13"/>
      <c r="Q27" s="13"/>
      <c r="R27" s="13"/>
      <c r="S27" s="13"/>
      <c r="T27" s="13"/>
      <c r="U27" s="15"/>
    </row>
    <row r="28" spans="1:21" ht="42.8" x14ac:dyDescent="0.25">
      <c r="A28" s="13" t="s">
        <v>428</v>
      </c>
      <c r="B28" s="13" t="s">
        <v>222</v>
      </c>
      <c r="C28" s="14">
        <v>43152.5</v>
      </c>
      <c r="D28" s="13" t="s">
        <v>248</v>
      </c>
      <c r="E28" s="13" t="s">
        <v>429</v>
      </c>
      <c r="F28" s="15" t="s">
        <v>249</v>
      </c>
      <c r="G28" s="13"/>
      <c r="H28" s="14">
        <v>40725</v>
      </c>
      <c r="I28" s="14"/>
      <c r="J28" s="15"/>
      <c r="K28" s="15" t="s">
        <v>434</v>
      </c>
      <c r="L28" s="13" t="s">
        <v>385</v>
      </c>
      <c r="M28" s="15"/>
      <c r="N28" s="13"/>
      <c r="O28" s="13"/>
      <c r="P28" s="13"/>
      <c r="Q28" s="13"/>
      <c r="R28" s="13"/>
      <c r="S28" s="13"/>
      <c r="T28" s="13"/>
      <c r="U28" s="15"/>
    </row>
    <row r="29" spans="1:21" ht="42.8" x14ac:dyDescent="0.25">
      <c r="A29" s="13" t="s">
        <v>428</v>
      </c>
      <c r="B29" s="13" t="s">
        <v>222</v>
      </c>
      <c r="C29" s="14">
        <v>43152.5</v>
      </c>
      <c r="D29" s="13" t="s">
        <v>250</v>
      </c>
      <c r="E29" s="13" t="s">
        <v>429</v>
      </c>
      <c r="F29" s="15" t="s">
        <v>251</v>
      </c>
      <c r="G29" s="13"/>
      <c r="H29" s="14">
        <v>40725</v>
      </c>
      <c r="I29" s="14"/>
      <c r="J29" s="15" t="s">
        <v>435</v>
      </c>
      <c r="K29" s="15" t="s">
        <v>436</v>
      </c>
      <c r="L29" s="13" t="s">
        <v>399</v>
      </c>
      <c r="M29" s="15"/>
      <c r="N29" s="13"/>
      <c r="O29" s="13"/>
      <c r="P29" s="13"/>
      <c r="Q29" s="13"/>
      <c r="R29" s="13"/>
      <c r="S29" s="13"/>
      <c r="T29" s="13"/>
      <c r="U29" s="15"/>
    </row>
    <row r="30" spans="1:21" ht="42.8" x14ac:dyDescent="0.25">
      <c r="A30" s="13" t="s">
        <v>428</v>
      </c>
      <c r="B30" s="13" t="s">
        <v>222</v>
      </c>
      <c r="C30" s="14">
        <v>43152.5</v>
      </c>
      <c r="D30" s="13" t="s">
        <v>252</v>
      </c>
      <c r="E30" s="13" t="s">
        <v>429</v>
      </c>
      <c r="F30" s="15" t="s">
        <v>253</v>
      </c>
      <c r="G30" s="13"/>
      <c r="H30" s="14">
        <v>40725</v>
      </c>
      <c r="I30" s="14"/>
      <c r="J30" s="15" t="s">
        <v>435</v>
      </c>
      <c r="K30" s="15" t="s">
        <v>437</v>
      </c>
      <c r="L30" s="13" t="s">
        <v>385</v>
      </c>
      <c r="M30" s="15"/>
      <c r="N30" s="13"/>
      <c r="O30" s="13"/>
      <c r="P30" s="13"/>
      <c r="Q30" s="13"/>
      <c r="R30" s="13"/>
      <c r="S30" s="13"/>
      <c r="T30" s="13"/>
      <c r="U30" s="15"/>
    </row>
    <row r="31" spans="1:21" ht="57.1" x14ac:dyDescent="0.25">
      <c r="A31" s="13" t="s">
        <v>428</v>
      </c>
      <c r="B31" s="13" t="s">
        <v>222</v>
      </c>
      <c r="C31" s="14">
        <v>43691.751388888886</v>
      </c>
      <c r="D31" s="13" t="s">
        <v>111</v>
      </c>
      <c r="E31" s="13" t="s">
        <v>429</v>
      </c>
      <c r="F31" s="15" t="s">
        <v>112</v>
      </c>
      <c r="G31" s="13"/>
      <c r="H31" s="14">
        <v>40725</v>
      </c>
      <c r="I31" s="14"/>
      <c r="J31" s="15"/>
      <c r="K31" s="15" t="s">
        <v>438</v>
      </c>
      <c r="L31" s="13" t="s">
        <v>399</v>
      </c>
      <c r="M31" s="15" t="s">
        <v>439</v>
      </c>
      <c r="N31" s="13"/>
      <c r="O31" s="13"/>
      <c r="P31" s="13"/>
      <c r="Q31" s="13"/>
      <c r="R31" s="13"/>
      <c r="S31" s="13"/>
      <c r="T31" s="13"/>
      <c r="U31" s="15"/>
    </row>
    <row r="32" spans="1:21" ht="57.1" x14ac:dyDescent="0.25">
      <c r="A32" s="13" t="s">
        <v>428</v>
      </c>
      <c r="B32" s="13" t="s">
        <v>222</v>
      </c>
      <c r="C32" s="14">
        <v>43152.5</v>
      </c>
      <c r="D32" s="13" t="s">
        <v>254</v>
      </c>
      <c r="E32" s="13" t="s">
        <v>429</v>
      </c>
      <c r="F32" s="15" t="s">
        <v>255</v>
      </c>
      <c r="G32" s="13"/>
      <c r="H32" s="14">
        <v>40725</v>
      </c>
      <c r="I32" s="14"/>
      <c r="J32" s="15"/>
      <c r="K32" s="15" t="s">
        <v>440</v>
      </c>
      <c r="L32" s="13" t="s">
        <v>399</v>
      </c>
      <c r="M32" s="15" t="s">
        <v>439</v>
      </c>
      <c r="N32" s="13"/>
      <c r="O32" s="13"/>
      <c r="P32" s="13"/>
      <c r="Q32" s="13"/>
      <c r="R32" s="13"/>
      <c r="S32" s="13"/>
      <c r="T32" s="13"/>
      <c r="U32" s="15"/>
    </row>
    <row r="33" spans="1:21" ht="28.55" x14ac:dyDescent="0.25">
      <c r="A33" s="13" t="s">
        <v>428</v>
      </c>
      <c r="B33" s="13" t="s">
        <v>222</v>
      </c>
      <c r="C33" s="14">
        <v>43152.5</v>
      </c>
      <c r="D33" s="13" t="s">
        <v>113</v>
      </c>
      <c r="E33" s="13" t="s">
        <v>429</v>
      </c>
      <c r="F33" s="15" t="s">
        <v>114</v>
      </c>
      <c r="G33" s="13"/>
      <c r="H33" s="14">
        <v>40725</v>
      </c>
      <c r="I33" s="14"/>
      <c r="J33" s="15"/>
      <c r="K33" s="15" t="s">
        <v>441</v>
      </c>
      <c r="L33" s="13" t="s">
        <v>385</v>
      </c>
      <c r="M33" s="15"/>
      <c r="N33" s="13"/>
      <c r="O33" s="13"/>
      <c r="P33" s="13"/>
      <c r="Q33" s="13"/>
      <c r="R33" s="13"/>
      <c r="S33" s="13"/>
      <c r="T33" s="13"/>
      <c r="U33" s="15"/>
    </row>
    <row r="34" spans="1:21" ht="28.55" x14ac:dyDescent="0.25">
      <c r="A34" s="13" t="s">
        <v>428</v>
      </c>
      <c r="B34" s="13" t="s">
        <v>222</v>
      </c>
      <c r="C34" s="14">
        <v>43690.381944444445</v>
      </c>
      <c r="D34" s="13" t="s">
        <v>246</v>
      </c>
      <c r="E34" s="13" t="s">
        <v>429</v>
      </c>
      <c r="F34" s="15" t="s">
        <v>247</v>
      </c>
      <c r="G34" s="13"/>
      <c r="H34" s="14">
        <v>40725</v>
      </c>
      <c r="I34" s="14"/>
      <c r="J34" s="15"/>
      <c r="K34" s="15" t="s">
        <v>442</v>
      </c>
      <c r="L34" s="13" t="s">
        <v>385</v>
      </c>
      <c r="M34" s="15"/>
      <c r="N34" s="13"/>
      <c r="O34" s="13"/>
      <c r="P34" s="13"/>
      <c r="Q34" s="13"/>
      <c r="R34" s="13"/>
      <c r="S34" s="13"/>
      <c r="T34" s="13" t="s">
        <v>387</v>
      </c>
      <c r="U34" s="15" t="s">
        <v>247</v>
      </c>
    </row>
    <row r="35" spans="1:21" ht="42.8" x14ac:dyDescent="0.25">
      <c r="A35" s="13" t="s">
        <v>428</v>
      </c>
      <c r="B35" s="13" t="s">
        <v>222</v>
      </c>
      <c r="C35" s="14">
        <v>43152.5</v>
      </c>
      <c r="D35" s="13" t="s">
        <v>182</v>
      </c>
      <c r="E35" s="13" t="s">
        <v>429</v>
      </c>
      <c r="F35" s="15" t="s">
        <v>183</v>
      </c>
      <c r="G35" s="13"/>
      <c r="H35" s="14">
        <v>40725</v>
      </c>
      <c r="I35" s="14"/>
      <c r="J35" s="15"/>
      <c r="K35" s="15" t="s">
        <v>443</v>
      </c>
      <c r="L35" s="13" t="s">
        <v>385</v>
      </c>
      <c r="M35" s="15"/>
      <c r="N35" s="13"/>
      <c r="O35" s="13"/>
      <c r="P35" s="13"/>
      <c r="Q35" s="13"/>
      <c r="R35" s="13"/>
      <c r="S35" s="13"/>
      <c r="T35" s="13"/>
      <c r="U35" s="15"/>
    </row>
    <row r="36" spans="1:21" ht="57.1" x14ac:dyDescent="0.25">
      <c r="A36" s="13" t="s">
        <v>428</v>
      </c>
      <c r="B36" s="13" t="s">
        <v>222</v>
      </c>
      <c r="C36" s="14">
        <v>43152.5</v>
      </c>
      <c r="D36" s="13" t="s">
        <v>163</v>
      </c>
      <c r="E36" s="13" t="s">
        <v>429</v>
      </c>
      <c r="F36" s="15" t="s">
        <v>164</v>
      </c>
      <c r="G36" s="13"/>
      <c r="H36" s="14">
        <v>40725</v>
      </c>
      <c r="I36" s="14"/>
      <c r="J36" s="15"/>
      <c r="K36" s="15" t="s">
        <v>444</v>
      </c>
      <c r="L36" s="13" t="s">
        <v>385</v>
      </c>
      <c r="M36" s="15"/>
      <c r="N36" s="13"/>
      <c r="O36" s="13"/>
      <c r="P36" s="13"/>
      <c r="Q36" s="13"/>
      <c r="R36" s="13"/>
      <c r="S36" s="13"/>
      <c r="T36" s="13"/>
      <c r="U36" s="15"/>
    </row>
    <row r="37" spans="1:21" ht="85.6" x14ac:dyDescent="0.25">
      <c r="A37" s="13" t="s">
        <v>428</v>
      </c>
      <c r="B37" s="13" t="s">
        <v>222</v>
      </c>
      <c r="C37" s="14">
        <v>43152.5</v>
      </c>
      <c r="D37" s="13" t="s">
        <v>133</v>
      </c>
      <c r="E37" s="13" t="s">
        <v>429</v>
      </c>
      <c r="F37" s="15" t="s">
        <v>134</v>
      </c>
      <c r="G37" s="13"/>
      <c r="H37" s="14">
        <v>40725</v>
      </c>
      <c r="I37" s="14"/>
      <c r="J37" s="15"/>
      <c r="K37" s="15" t="s">
        <v>445</v>
      </c>
      <c r="L37" s="13" t="s">
        <v>385</v>
      </c>
      <c r="M37" s="15"/>
      <c r="N37" s="13"/>
      <c r="O37" s="13"/>
      <c r="P37" s="13"/>
      <c r="Q37" s="13"/>
      <c r="R37" s="13"/>
      <c r="S37" s="13"/>
      <c r="T37" s="13"/>
      <c r="U37" s="15"/>
    </row>
    <row r="38" spans="1:21" ht="71.349999999999994" x14ac:dyDescent="0.25">
      <c r="A38" s="13" t="s">
        <v>428</v>
      </c>
      <c r="B38" s="13" t="s">
        <v>222</v>
      </c>
      <c r="C38" s="14">
        <v>43152.5</v>
      </c>
      <c r="D38" s="13" t="s">
        <v>269</v>
      </c>
      <c r="E38" s="13" t="s">
        <v>429</v>
      </c>
      <c r="F38" s="15" t="s">
        <v>270</v>
      </c>
      <c r="G38" s="13"/>
      <c r="H38" s="14">
        <v>40725</v>
      </c>
      <c r="I38" s="14"/>
      <c r="J38" s="15"/>
      <c r="K38" s="15" t="s">
        <v>446</v>
      </c>
      <c r="L38" s="13" t="s">
        <v>385</v>
      </c>
      <c r="M38" s="15"/>
      <c r="N38" s="13"/>
      <c r="O38" s="13"/>
      <c r="P38" s="13"/>
      <c r="Q38" s="13"/>
      <c r="R38" s="13"/>
      <c r="S38" s="13"/>
      <c r="T38" s="13"/>
      <c r="U38" s="15"/>
    </row>
    <row r="39" spans="1:21" ht="57.1" x14ac:dyDescent="0.25">
      <c r="A39" s="13" t="s">
        <v>428</v>
      </c>
      <c r="B39" s="13" t="s">
        <v>222</v>
      </c>
      <c r="C39" s="14">
        <v>43152.5</v>
      </c>
      <c r="D39" s="13" t="s">
        <v>165</v>
      </c>
      <c r="E39" s="13" t="s">
        <v>429</v>
      </c>
      <c r="F39" s="15" t="s">
        <v>166</v>
      </c>
      <c r="G39" s="13"/>
      <c r="H39" s="14">
        <v>40725</v>
      </c>
      <c r="I39" s="14"/>
      <c r="J39" s="15"/>
      <c r="K39" s="15" t="s">
        <v>447</v>
      </c>
      <c r="L39" s="13" t="s">
        <v>385</v>
      </c>
      <c r="M39" s="15"/>
      <c r="N39" s="13"/>
      <c r="O39" s="13"/>
      <c r="P39" s="13"/>
      <c r="Q39" s="13"/>
      <c r="R39" s="13"/>
      <c r="S39" s="13"/>
      <c r="T39" s="13"/>
      <c r="U39" s="15"/>
    </row>
    <row r="40" spans="1:21" ht="42.8" x14ac:dyDescent="0.25">
      <c r="A40" s="13" t="s">
        <v>428</v>
      </c>
      <c r="B40" s="13" t="s">
        <v>222</v>
      </c>
      <c r="C40" s="14">
        <v>43152.5</v>
      </c>
      <c r="D40" s="13" t="s">
        <v>135</v>
      </c>
      <c r="E40" s="13" t="s">
        <v>429</v>
      </c>
      <c r="F40" s="15" t="s">
        <v>136</v>
      </c>
      <c r="G40" s="13"/>
      <c r="H40" s="14">
        <v>40725</v>
      </c>
      <c r="I40" s="14"/>
      <c r="J40" s="15"/>
      <c r="K40" s="15" t="s">
        <v>448</v>
      </c>
      <c r="L40" s="13" t="s">
        <v>385</v>
      </c>
      <c r="M40" s="15"/>
      <c r="N40" s="13"/>
      <c r="O40" s="13"/>
      <c r="P40" s="13"/>
      <c r="Q40" s="13"/>
      <c r="R40" s="13"/>
      <c r="S40" s="13"/>
      <c r="T40" s="13"/>
      <c r="U40" s="15"/>
    </row>
    <row r="41" spans="1:21" ht="85.6" x14ac:dyDescent="0.25">
      <c r="A41" s="13" t="s">
        <v>428</v>
      </c>
      <c r="B41" s="13" t="s">
        <v>222</v>
      </c>
      <c r="C41" s="14">
        <v>43152.5</v>
      </c>
      <c r="D41" s="13" t="s">
        <v>271</v>
      </c>
      <c r="E41" s="13" t="s">
        <v>429</v>
      </c>
      <c r="F41" s="15" t="s">
        <v>272</v>
      </c>
      <c r="G41" s="13"/>
      <c r="H41" s="14">
        <v>40725</v>
      </c>
      <c r="I41" s="14"/>
      <c r="J41" s="15"/>
      <c r="K41" s="15" t="s">
        <v>449</v>
      </c>
      <c r="L41" s="13" t="s">
        <v>385</v>
      </c>
      <c r="M41" s="15"/>
      <c r="N41" s="13"/>
      <c r="O41" s="13"/>
      <c r="P41" s="13"/>
      <c r="Q41" s="13"/>
      <c r="R41" s="13"/>
      <c r="S41" s="13"/>
      <c r="T41" s="13"/>
      <c r="U41" s="15"/>
    </row>
    <row r="42" spans="1:21" ht="57.1" x14ac:dyDescent="0.25">
      <c r="A42" s="13" t="s">
        <v>428</v>
      </c>
      <c r="B42" s="13" t="s">
        <v>222</v>
      </c>
      <c r="C42" s="14">
        <v>43152.5</v>
      </c>
      <c r="D42" s="13" t="s">
        <v>293</v>
      </c>
      <c r="E42" s="13" t="s">
        <v>429</v>
      </c>
      <c r="F42" s="15" t="s">
        <v>294</v>
      </c>
      <c r="G42" s="13"/>
      <c r="H42" s="14">
        <v>40725</v>
      </c>
      <c r="I42" s="14"/>
      <c r="J42" s="15"/>
      <c r="K42" s="15" t="s">
        <v>450</v>
      </c>
      <c r="L42" s="13" t="s">
        <v>385</v>
      </c>
      <c r="M42" s="15"/>
      <c r="N42" s="13"/>
      <c r="O42" s="13"/>
      <c r="P42" s="13"/>
      <c r="Q42" s="13"/>
      <c r="R42" s="13"/>
      <c r="S42" s="13"/>
      <c r="T42" s="13"/>
      <c r="U42" s="15"/>
    </row>
    <row r="43" spans="1:21" x14ac:dyDescent="0.25">
      <c r="A43" s="13" t="s">
        <v>428</v>
      </c>
      <c r="B43" s="13" t="s">
        <v>222</v>
      </c>
      <c r="C43" s="14">
        <v>43152.5</v>
      </c>
      <c r="D43" s="13" t="s">
        <v>273</v>
      </c>
      <c r="E43" s="13" t="s">
        <v>429</v>
      </c>
      <c r="F43" s="15" t="s">
        <v>274</v>
      </c>
      <c r="G43" s="13"/>
      <c r="H43" s="14">
        <v>40725</v>
      </c>
      <c r="I43" s="14"/>
      <c r="J43" s="15"/>
      <c r="K43" s="15" t="s">
        <v>451</v>
      </c>
      <c r="L43" s="13" t="s">
        <v>385</v>
      </c>
      <c r="M43" s="15"/>
      <c r="N43" s="13"/>
      <c r="O43" s="13"/>
      <c r="P43" s="13"/>
      <c r="Q43" s="13"/>
      <c r="R43" s="13"/>
      <c r="S43" s="13"/>
      <c r="T43" s="13"/>
      <c r="U43" s="15"/>
    </row>
    <row r="44" spans="1:21" ht="57.1" x14ac:dyDescent="0.25">
      <c r="A44" s="13" t="s">
        <v>428</v>
      </c>
      <c r="B44" s="13" t="s">
        <v>222</v>
      </c>
      <c r="C44" s="14">
        <v>43152.5</v>
      </c>
      <c r="D44" s="13" t="s">
        <v>115</v>
      </c>
      <c r="E44" s="13" t="s">
        <v>429</v>
      </c>
      <c r="F44" s="15" t="s">
        <v>116</v>
      </c>
      <c r="G44" s="13"/>
      <c r="H44" s="14">
        <v>40725</v>
      </c>
      <c r="I44" s="14"/>
      <c r="J44" s="15"/>
      <c r="K44" s="15" t="s">
        <v>452</v>
      </c>
      <c r="L44" s="13" t="s">
        <v>385</v>
      </c>
      <c r="M44" s="15"/>
      <c r="N44" s="13"/>
      <c r="O44" s="13"/>
      <c r="P44" s="13"/>
      <c r="Q44" s="13"/>
      <c r="R44" s="13"/>
      <c r="S44" s="13"/>
      <c r="T44" s="13"/>
      <c r="U44" s="15"/>
    </row>
    <row r="45" spans="1:21" ht="57.1" x14ac:dyDescent="0.25">
      <c r="A45" s="13" t="s">
        <v>76</v>
      </c>
      <c r="B45" s="13" t="s">
        <v>77</v>
      </c>
      <c r="C45" s="14">
        <v>45635.722222222219</v>
      </c>
      <c r="D45" s="13" t="s">
        <v>326</v>
      </c>
      <c r="E45" s="13" t="s">
        <v>479</v>
      </c>
      <c r="F45" s="15" t="s">
        <v>327</v>
      </c>
      <c r="G45" s="13" t="s">
        <v>462</v>
      </c>
      <c r="H45" s="14">
        <v>40725</v>
      </c>
      <c r="I45" s="14"/>
      <c r="J45" s="15"/>
      <c r="K45" s="15"/>
      <c r="L45" s="13" t="s">
        <v>399</v>
      </c>
      <c r="M45" s="15"/>
      <c r="N45" s="13"/>
      <c r="O45" s="13"/>
      <c r="P45" s="13"/>
      <c r="Q45" s="13" t="s">
        <v>480</v>
      </c>
      <c r="R45" s="13"/>
      <c r="S45" s="13"/>
      <c r="T45" s="13" t="s">
        <v>387</v>
      </c>
      <c r="U45" s="15" t="s">
        <v>327</v>
      </c>
    </row>
    <row r="46" spans="1:21" ht="85.6" x14ac:dyDescent="0.25">
      <c r="A46" s="13" t="s">
        <v>207</v>
      </c>
      <c r="B46" s="13" t="s">
        <v>77</v>
      </c>
      <c r="C46" s="14">
        <v>43570.695833333331</v>
      </c>
      <c r="D46" s="13" t="s">
        <v>347</v>
      </c>
      <c r="E46" s="13" t="s">
        <v>479</v>
      </c>
      <c r="F46" s="15" t="s">
        <v>348</v>
      </c>
      <c r="G46" s="13"/>
      <c r="H46" s="14">
        <v>40725</v>
      </c>
      <c r="I46" s="14"/>
      <c r="J46" s="15"/>
      <c r="K46" s="15"/>
      <c r="L46" s="13" t="s">
        <v>399</v>
      </c>
      <c r="M46" s="15"/>
      <c r="N46" s="13"/>
      <c r="O46" s="13"/>
      <c r="P46" s="13"/>
      <c r="Q46" s="13" t="s">
        <v>481</v>
      </c>
      <c r="R46" s="13"/>
      <c r="S46" s="13"/>
      <c r="T46" s="13" t="s">
        <v>387</v>
      </c>
      <c r="U46" s="15" t="s">
        <v>482</v>
      </c>
    </row>
    <row r="47" spans="1:21" ht="85.6" x14ac:dyDescent="0.25">
      <c r="A47" s="13" t="s">
        <v>76</v>
      </c>
      <c r="B47" s="13" t="s">
        <v>77</v>
      </c>
      <c r="C47" s="14">
        <v>45629.418749999997</v>
      </c>
      <c r="D47" s="13" t="s">
        <v>328</v>
      </c>
      <c r="E47" s="13" t="s">
        <v>479</v>
      </c>
      <c r="F47" s="15" t="s">
        <v>329</v>
      </c>
      <c r="G47" s="13"/>
      <c r="H47" s="14">
        <v>40725</v>
      </c>
      <c r="I47" s="14">
        <v>43436</v>
      </c>
      <c r="J47" s="15"/>
      <c r="K47" s="15"/>
      <c r="L47" s="13" t="s">
        <v>399</v>
      </c>
      <c r="M47" s="15"/>
      <c r="N47" s="13"/>
      <c r="O47" s="13"/>
      <c r="P47" s="13"/>
      <c r="Q47" s="13" t="s">
        <v>483</v>
      </c>
      <c r="R47" s="13"/>
      <c r="S47" s="13"/>
      <c r="T47" s="13" t="s">
        <v>387</v>
      </c>
      <c r="U47" s="15" t="s">
        <v>484</v>
      </c>
    </row>
    <row r="48" spans="1:21" ht="71.349999999999994" x14ac:dyDescent="0.25">
      <c r="A48" s="13" t="s">
        <v>142</v>
      </c>
      <c r="B48" s="13" t="s">
        <v>222</v>
      </c>
      <c r="C48" s="14">
        <v>43384.738194444442</v>
      </c>
      <c r="D48" s="13" t="s">
        <v>349</v>
      </c>
      <c r="E48" s="13" t="s">
        <v>479</v>
      </c>
      <c r="F48" s="15" t="s">
        <v>350</v>
      </c>
      <c r="G48" s="13"/>
      <c r="H48" s="14">
        <v>40725</v>
      </c>
      <c r="I48" s="14"/>
      <c r="J48" s="15"/>
      <c r="K48" s="15"/>
      <c r="L48" s="13" t="s">
        <v>399</v>
      </c>
      <c r="M48" s="15"/>
      <c r="N48" s="13"/>
      <c r="O48" s="13"/>
      <c r="P48" s="13"/>
      <c r="Q48" s="13" t="s">
        <v>485</v>
      </c>
      <c r="R48" s="13"/>
      <c r="S48" s="13"/>
      <c r="T48" s="13" t="s">
        <v>387</v>
      </c>
      <c r="U48" s="15" t="s">
        <v>350</v>
      </c>
    </row>
    <row r="49" spans="1:21" ht="42.8" x14ac:dyDescent="0.25">
      <c r="A49" s="13" t="s">
        <v>76</v>
      </c>
      <c r="B49" s="13" t="s">
        <v>77</v>
      </c>
      <c r="C49" s="14">
        <v>45628.629861111112</v>
      </c>
      <c r="D49" s="13" t="s">
        <v>330</v>
      </c>
      <c r="E49" s="13" t="s">
        <v>479</v>
      </c>
      <c r="F49" s="15" t="s">
        <v>331</v>
      </c>
      <c r="G49" s="13" t="s">
        <v>389</v>
      </c>
      <c r="H49" s="14">
        <v>40725</v>
      </c>
      <c r="I49" s="14"/>
      <c r="J49" s="15"/>
      <c r="K49" s="15"/>
      <c r="L49" s="13" t="s">
        <v>399</v>
      </c>
      <c r="M49" s="15"/>
      <c r="N49" s="13"/>
      <c r="O49" s="13"/>
      <c r="P49" s="13"/>
      <c r="Q49" s="13" t="s">
        <v>486</v>
      </c>
      <c r="R49" s="13"/>
      <c r="S49" s="13"/>
      <c r="T49" s="13" t="s">
        <v>387</v>
      </c>
      <c r="U49" s="15" t="s">
        <v>331</v>
      </c>
    </row>
    <row r="50" spans="1:21" ht="42.8" x14ac:dyDescent="0.25">
      <c r="A50" s="13" t="s">
        <v>76</v>
      </c>
      <c r="B50" s="13" t="s">
        <v>77</v>
      </c>
      <c r="C50" s="14">
        <v>45628.629861111112</v>
      </c>
      <c r="D50" s="13" t="s">
        <v>332</v>
      </c>
      <c r="E50" s="13" t="s">
        <v>479</v>
      </c>
      <c r="F50" s="15" t="s">
        <v>333</v>
      </c>
      <c r="G50" s="13" t="s">
        <v>462</v>
      </c>
      <c r="H50" s="14">
        <v>40725</v>
      </c>
      <c r="I50" s="14"/>
      <c r="J50" s="15"/>
      <c r="K50" s="15"/>
      <c r="L50" s="13" t="s">
        <v>399</v>
      </c>
      <c r="M50" s="15"/>
      <c r="N50" s="13"/>
      <c r="O50" s="13"/>
      <c r="P50" s="13"/>
      <c r="Q50" s="13" t="s">
        <v>487</v>
      </c>
      <c r="R50" s="13"/>
      <c r="S50" s="13"/>
      <c r="T50" s="13" t="s">
        <v>387</v>
      </c>
      <c r="U50" s="15" t="s">
        <v>333</v>
      </c>
    </row>
    <row r="51" spans="1:21" ht="71.349999999999994" x14ac:dyDescent="0.25">
      <c r="A51" s="13" t="s">
        <v>142</v>
      </c>
      <c r="B51" s="13" t="s">
        <v>222</v>
      </c>
      <c r="C51" s="14">
        <v>43384.738888888889</v>
      </c>
      <c r="D51" s="13" t="s">
        <v>334</v>
      </c>
      <c r="E51" s="13" t="s">
        <v>479</v>
      </c>
      <c r="F51" s="15" t="s">
        <v>335</v>
      </c>
      <c r="G51" s="13"/>
      <c r="H51" s="14">
        <v>40725</v>
      </c>
      <c r="I51" s="14"/>
      <c r="J51" s="15"/>
      <c r="K51" s="15"/>
      <c r="L51" s="13" t="s">
        <v>399</v>
      </c>
      <c r="M51" s="15"/>
      <c r="N51" s="13"/>
      <c r="O51" s="13"/>
      <c r="P51" s="13"/>
      <c r="Q51" s="13" t="s">
        <v>488</v>
      </c>
      <c r="R51" s="13"/>
      <c r="S51" s="13"/>
      <c r="T51" s="13" t="s">
        <v>387</v>
      </c>
      <c r="U51" s="15" t="s">
        <v>335</v>
      </c>
    </row>
    <row r="52" spans="1:21" ht="85.6" x14ac:dyDescent="0.25">
      <c r="A52" s="13" t="s">
        <v>142</v>
      </c>
      <c r="B52" s="13" t="s">
        <v>222</v>
      </c>
      <c r="C52" s="14">
        <v>43384.738888888889</v>
      </c>
      <c r="D52" s="13" t="s">
        <v>336</v>
      </c>
      <c r="E52" s="13" t="s">
        <v>479</v>
      </c>
      <c r="F52" s="15" t="s">
        <v>337</v>
      </c>
      <c r="G52" s="13"/>
      <c r="H52" s="14">
        <v>40725</v>
      </c>
      <c r="I52" s="14"/>
      <c r="J52" s="15"/>
      <c r="K52" s="15"/>
      <c r="L52" s="13" t="s">
        <v>399</v>
      </c>
      <c r="M52" s="15"/>
      <c r="N52" s="13"/>
      <c r="O52" s="13"/>
      <c r="P52" s="13"/>
      <c r="Q52" s="13" t="s">
        <v>489</v>
      </c>
      <c r="R52" s="13"/>
      <c r="S52" s="13"/>
      <c r="T52" s="13" t="s">
        <v>387</v>
      </c>
      <c r="U52" s="15" t="s">
        <v>337</v>
      </c>
    </row>
    <row r="53" spans="1:21" ht="85.6" x14ac:dyDescent="0.25">
      <c r="A53" s="13" t="s">
        <v>76</v>
      </c>
      <c r="B53" s="13" t="s">
        <v>77</v>
      </c>
      <c r="C53" s="14">
        <v>45629.419444444444</v>
      </c>
      <c r="D53" s="13" t="s">
        <v>338</v>
      </c>
      <c r="E53" s="13" t="s">
        <v>479</v>
      </c>
      <c r="F53" s="15" t="s">
        <v>339</v>
      </c>
      <c r="G53" s="13"/>
      <c r="H53" s="14">
        <v>40725</v>
      </c>
      <c r="I53" s="14">
        <v>43436</v>
      </c>
      <c r="J53" s="15"/>
      <c r="K53" s="15"/>
      <c r="L53" s="13" t="s">
        <v>399</v>
      </c>
      <c r="M53" s="15"/>
      <c r="N53" s="13"/>
      <c r="O53" s="13"/>
      <c r="P53" s="13"/>
      <c r="Q53" s="13" t="s">
        <v>490</v>
      </c>
      <c r="R53" s="13"/>
      <c r="S53" s="13"/>
      <c r="T53" s="13" t="s">
        <v>387</v>
      </c>
      <c r="U53" s="15" t="s">
        <v>339</v>
      </c>
    </row>
    <row r="54" spans="1:21" ht="71.349999999999994" x14ac:dyDescent="0.25">
      <c r="A54" s="13" t="s">
        <v>76</v>
      </c>
      <c r="B54" s="13" t="s">
        <v>77</v>
      </c>
      <c r="C54" s="14">
        <v>45629.419444444444</v>
      </c>
      <c r="D54" s="13" t="s">
        <v>340</v>
      </c>
      <c r="E54" s="13" t="s">
        <v>479</v>
      </c>
      <c r="F54" s="15" t="s">
        <v>341</v>
      </c>
      <c r="G54" s="13"/>
      <c r="H54" s="14">
        <v>40725</v>
      </c>
      <c r="I54" s="14">
        <v>43436</v>
      </c>
      <c r="J54" s="15"/>
      <c r="K54" s="15"/>
      <c r="L54" s="13" t="s">
        <v>399</v>
      </c>
      <c r="M54" s="15"/>
      <c r="N54" s="13"/>
      <c r="O54" s="13"/>
      <c r="P54" s="13"/>
      <c r="Q54" s="13" t="s">
        <v>491</v>
      </c>
      <c r="R54" s="13"/>
      <c r="S54" s="13"/>
      <c r="T54" s="13" t="s">
        <v>387</v>
      </c>
      <c r="U54" s="15" t="s">
        <v>492</v>
      </c>
    </row>
    <row r="55" spans="1:21" ht="57.1" x14ac:dyDescent="0.25">
      <c r="A55" s="13" t="s">
        <v>142</v>
      </c>
      <c r="B55" s="13" t="s">
        <v>222</v>
      </c>
      <c r="C55" s="14">
        <v>43384.738888888889</v>
      </c>
      <c r="D55" s="13" t="s">
        <v>342</v>
      </c>
      <c r="E55" s="13" t="s">
        <v>479</v>
      </c>
      <c r="F55" s="15" t="s">
        <v>343</v>
      </c>
      <c r="G55" s="13"/>
      <c r="H55" s="14">
        <v>40725</v>
      </c>
      <c r="I55" s="14"/>
      <c r="J55" s="15"/>
      <c r="K55" s="15"/>
      <c r="L55" s="13" t="s">
        <v>399</v>
      </c>
      <c r="M55" s="15"/>
      <c r="N55" s="13"/>
      <c r="O55" s="13"/>
      <c r="P55" s="13"/>
      <c r="Q55" s="13" t="s">
        <v>493</v>
      </c>
      <c r="R55" s="13"/>
      <c r="S55" s="13"/>
      <c r="T55" s="13" t="s">
        <v>387</v>
      </c>
      <c r="U55" s="15" t="s">
        <v>343</v>
      </c>
    </row>
    <row r="56" spans="1:21" ht="71.349999999999994" x14ac:dyDescent="0.25">
      <c r="A56" s="13" t="s">
        <v>76</v>
      </c>
      <c r="B56" s="13" t="s">
        <v>77</v>
      </c>
      <c r="C56" s="14">
        <v>45629.420138888891</v>
      </c>
      <c r="D56" s="13" t="s">
        <v>344</v>
      </c>
      <c r="E56" s="13" t="s">
        <v>479</v>
      </c>
      <c r="F56" s="15" t="s">
        <v>345</v>
      </c>
      <c r="G56" s="13"/>
      <c r="H56" s="14">
        <v>40725</v>
      </c>
      <c r="I56" s="14">
        <v>43436</v>
      </c>
      <c r="J56" s="15"/>
      <c r="K56" s="15"/>
      <c r="L56" s="13" t="s">
        <v>399</v>
      </c>
      <c r="M56" s="15"/>
      <c r="N56" s="13"/>
      <c r="O56" s="13"/>
      <c r="P56" s="13"/>
      <c r="Q56" s="13" t="s">
        <v>494</v>
      </c>
      <c r="R56" s="13"/>
      <c r="S56" s="13"/>
      <c r="T56" s="13" t="s">
        <v>387</v>
      </c>
      <c r="U56" s="15" t="s">
        <v>495</v>
      </c>
    </row>
    <row r="57" spans="1:21" ht="42.8" x14ac:dyDescent="0.25">
      <c r="A57" s="13" t="s">
        <v>142</v>
      </c>
      <c r="B57" s="13" t="s">
        <v>222</v>
      </c>
      <c r="C57" s="14">
        <v>43385.345138888886</v>
      </c>
      <c r="D57" s="13" t="s">
        <v>351</v>
      </c>
      <c r="E57" s="13" t="s">
        <v>479</v>
      </c>
      <c r="F57" s="15" t="s">
        <v>352</v>
      </c>
      <c r="G57" s="13"/>
      <c r="H57" s="14">
        <v>40725</v>
      </c>
      <c r="I57" s="14"/>
      <c r="J57" s="15"/>
      <c r="K57" s="15"/>
      <c r="L57" s="13" t="s">
        <v>399</v>
      </c>
      <c r="M57" s="15"/>
      <c r="N57" s="13"/>
      <c r="O57" s="13"/>
      <c r="P57" s="13"/>
      <c r="Q57" s="13" t="s">
        <v>496</v>
      </c>
      <c r="R57" s="13"/>
      <c r="S57" s="13"/>
      <c r="T57" s="13" t="s">
        <v>387</v>
      </c>
      <c r="U57" s="15" t="s">
        <v>352</v>
      </c>
    </row>
    <row r="58" spans="1:21" ht="28.55" x14ac:dyDescent="0.25">
      <c r="A58" s="13" t="s">
        <v>142</v>
      </c>
      <c r="B58" s="13" t="s">
        <v>222</v>
      </c>
      <c r="C58" s="14">
        <v>43410.398611111108</v>
      </c>
      <c r="D58" s="13" t="s">
        <v>97</v>
      </c>
      <c r="E58" s="13" t="s">
        <v>453</v>
      </c>
      <c r="F58" s="15" t="s">
        <v>98</v>
      </c>
      <c r="G58" s="13" t="s">
        <v>454</v>
      </c>
      <c r="H58" s="14">
        <v>40725</v>
      </c>
      <c r="I58" s="14"/>
      <c r="J58" s="15"/>
      <c r="K58" s="15"/>
      <c r="L58" s="13" t="s">
        <v>399</v>
      </c>
      <c r="M58" s="15"/>
      <c r="N58" s="13"/>
      <c r="O58" s="13"/>
      <c r="P58" s="13" t="s">
        <v>386</v>
      </c>
      <c r="Q58" s="13"/>
      <c r="R58" s="13"/>
      <c r="S58" s="13"/>
      <c r="T58" s="13" t="s">
        <v>387</v>
      </c>
      <c r="U58" s="15" t="s">
        <v>98</v>
      </c>
    </row>
    <row r="59" spans="1:21" ht="28.55" x14ac:dyDescent="0.25">
      <c r="A59" s="13" t="s">
        <v>142</v>
      </c>
      <c r="B59" s="13" t="s">
        <v>222</v>
      </c>
      <c r="C59" s="14">
        <v>43410.402083333334</v>
      </c>
      <c r="D59" s="13" t="s">
        <v>95</v>
      </c>
      <c r="E59" s="13" t="s">
        <v>453</v>
      </c>
      <c r="F59" s="15" t="s">
        <v>96</v>
      </c>
      <c r="G59" s="13" t="s">
        <v>389</v>
      </c>
      <c r="H59" s="14">
        <v>40725</v>
      </c>
      <c r="I59" s="14"/>
      <c r="J59" s="15"/>
      <c r="K59" s="15"/>
      <c r="L59" s="13" t="s">
        <v>399</v>
      </c>
      <c r="M59" s="15"/>
      <c r="N59" s="13"/>
      <c r="O59" s="13"/>
      <c r="P59" s="13" t="s">
        <v>386</v>
      </c>
      <c r="Q59" s="13"/>
      <c r="R59" s="13"/>
      <c r="S59" s="13"/>
      <c r="T59" s="13" t="s">
        <v>387</v>
      </c>
      <c r="U59" s="15" t="s">
        <v>96</v>
      </c>
    </row>
    <row r="60" spans="1:21" ht="57.1" x14ac:dyDescent="0.25">
      <c r="A60" s="13" t="s">
        <v>142</v>
      </c>
      <c r="B60" s="13" t="s">
        <v>222</v>
      </c>
      <c r="C60" s="14">
        <v>43410.405555555553</v>
      </c>
      <c r="D60" s="13" t="s">
        <v>201</v>
      </c>
      <c r="E60" s="13" t="s">
        <v>453</v>
      </c>
      <c r="F60" s="15" t="s">
        <v>202</v>
      </c>
      <c r="G60" s="13" t="s">
        <v>455</v>
      </c>
      <c r="H60" s="14">
        <v>40725</v>
      </c>
      <c r="I60" s="14"/>
      <c r="J60" s="15"/>
      <c r="K60" s="15"/>
      <c r="L60" s="13" t="s">
        <v>399</v>
      </c>
      <c r="M60" s="15"/>
      <c r="N60" s="13"/>
      <c r="O60" s="13"/>
      <c r="P60" s="13" t="s">
        <v>402</v>
      </c>
      <c r="Q60" s="13"/>
      <c r="R60" s="13"/>
      <c r="S60" s="13"/>
      <c r="T60" s="13" t="s">
        <v>387</v>
      </c>
      <c r="U60" s="15" t="s">
        <v>202</v>
      </c>
    </row>
    <row r="61" spans="1:21" ht="71.349999999999994" x14ac:dyDescent="0.25">
      <c r="A61" s="13" t="s">
        <v>142</v>
      </c>
      <c r="B61" s="13" t="s">
        <v>222</v>
      </c>
      <c r="C61" s="14">
        <v>43410.40902777778</v>
      </c>
      <c r="D61" s="13" t="s">
        <v>99</v>
      </c>
      <c r="E61" s="13" t="s">
        <v>453</v>
      </c>
      <c r="F61" s="15" t="s">
        <v>100</v>
      </c>
      <c r="G61" s="13" t="s">
        <v>456</v>
      </c>
      <c r="H61" s="14">
        <v>40725</v>
      </c>
      <c r="I61" s="14"/>
      <c r="J61" s="15"/>
      <c r="K61" s="15"/>
      <c r="L61" s="13" t="s">
        <v>399</v>
      </c>
      <c r="M61" s="15"/>
      <c r="N61" s="13"/>
      <c r="O61" s="13"/>
      <c r="P61" s="13" t="s">
        <v>386</v>
      </c>
      <c r="Q61" s="13"/>
      <c r="R61" s="13"/>
      <c r="S61" s="13"/>
      <c r="T61" s="13" t="s">
        <v>387</v>
      </c>
      <c r="U61" s="15" t="s">
        <v>100</v>
      </c>
    </row>
    <row r="62" spans="1:21" ht="85.6" x14ac:dyDescent="0.25">
      <c r="A62" s="13" t="s">
        <v>142</v>
      </c>
      <c r="B62" s="13" t="s">
        <v>222</v>
      </c>
      <c r="C62" s="14">
        <v>43410.411805555559</v>
      </c>
      <c r="D62" s="13" t="s">
        <v>204</v>
      </c>
      <c r="E62" s="13" t="s">
        <v>453</v>
      </c>
      <c r="F62" s="15" t="s">
        <v>205</v>
      </c>
      <c r="G62" s="13" t="s">
        <v>455</v>
      </c>
      <c r="H62" s="14">
        <v>40725</v>
      </c>
      <c r="I62" s="14"/>
      <c r="J62" s="15"/>
      <c r="K62" s="15"/>
      <c r="L62" s="13" t="s">
        <v>399</v>
      </c>
      <c r="M62" s="15"/>
      <c r="N62" s="13"/>
      <c r="O62" s="13"/>
      <c r="P62" s="13" t="s">
        <v>402</v>
      </c>
      <c r="Q62" s="13"/>
      <c r="R62" s="13"/>
      <c r="S62" s="13"/>
      <c r="T62" s="13" t="s">
        <v>387</v>
      </c>
      <c r="U62" s="15" t="s">
        <v>205</v>
      </c>
    </row>
    <row r="63" spans="1:21" ht="85.6" x14ac:dyDescent="0.25">
      <c r="A63" s="13" t="s">
        <v>76</v>
      </c>
      <c r="B63" s="13" t="s">
        <v>77</v>
      </c>
      <c r="C63" s="14">
        <v>45629.417361111111</v>
      </c>
      <c r="D63" s="13" t="s">
        <v>148</v>
      </c>
      <c r="E63" s="13" t="s">
        <v>453</v>
      </c>
      <c r="F63" s="15" t="s">
        <v>149</v>
      </c>
      <c r="G63" s="13" t="s">
        <v>457</v>
      </c>
      <c r="H63" s="14">
        <v>40725</v>
      </c>
      <c r="I63" s="14">
        <v>43436</v>
      </c>
      <c r="J63" s="15"/>
      <c r="K63" s="15"/>
      <c r="L63" s="13" t="s">
        <v>399</v>
      </c>
      <c r="M63" s="15"/>
      <c r="N63" s="13"/>
      <c r="O63" s="13"/>
      <c r="P63" s="13" t="s">
        <v>458</v>
      </c>
      <c r="Q63" s="13"/>
      <c r="R63" s="13"/>
      <c r="S63" s="13"/>
      <c r="T63" s="13" t="s">
        <v>387</v>
      </c>
      <c r="U63" s="15" t="s">
        <v>149</v>
      </c>
    </row>
    <row r="64" spans="1:21" ht="28.55" x14ac:dyDescent="0.25">
      <c r="A64" s="13" t="s">
        <v>142</v>
      </c>
      <c r="B64" s="13" t="s">
        <v>222</v>
      </c>
      <c r="C64" s="14">
        <v>43410.503472222219</v>
      </c>
      <c r="D64" s="13" t="s">
        <v>285</v>
      </c>
      <c r="E64" s="13" t="s">
        <v>453</v>
      </c>
      <c r="F64" s="15" t="s">
        <v>286</v>
      </c>
      <c r="G64" s="13" t="s">
        <v>454</v>
      </c>
      <c r="H64" s="14">
        <v>40725</v>
      </c>
      <c r="I64" s="14"/>
      <c r="J64" s="15"/>
      <c r="K64" s="15"/>
      <c r="L64" s="13" t="s">
        <v>399</v>
      </c>
      <c r="M64" s="15"/>
      <c r="N64" s="13"/>
      <c r="O64" s="13"/>
      <c r="P64" s="13" t="s">
        <v>459</v>
      </c>
      <c r="Q64" s="13"/>
      <c r="R64" s="13"/>
      <c r="S64" s="13"/>
      <c r="T64" s="13" t="s">
        <v>387</v>
      </c>
      <c r="U64" s="15" t="s">
        <v>286</v>
      </c>
    </row>
    <row r="65" spans="1:21" ht="28.55" x14ac:dyDescent="0.25">
      <c r="A65" s="13" t="s">
        <v>142</v>
      </c>
      <c r="B65" s="13" t="s">
        <v>222</v>
      </c>
      <c r="C65" s="14">
        <v>43410.506249999999</v>
      </c>
      <c r="D65" s="13" t="s">
        <v>299</v>
      </c>
      <c r="E65" s="13" t="s">
        <v>453</v>
      </c>
      <c r="F65" s="15" t="s">
        <v>286</v>
      </c>
      <c r="G65" s="13" t="s">
        <v>460</v>
      </c>
      <c r="H65" s="14">
        <v>40725</v>
      </c>
      <c r="I65" s="14"/>
      <c r="J65" s="15"/>
      <c r="K65" s="15"/>
      <c r="L65" s="13" t="s">
        <v>399</v>
      </c>
      <c r="M65" s="15"/>
      <c r="N65" s="13"/>
      <c r="O65" s="13"/>
      <c r="P65" s="13" t="s">
        <v>461</v>
      </c>
      <c r="Q65" s="13"/>
      <c r="R65" s="13"/>
      <c r="S65" s="13"/>
      <c r="T65" s="13" t="s">
        <v>387</v>
      </c>
      <c r="U65" s="15" t="s">
        <v>286</v>
      </c>
    </row>
    <row r="66" spans="1:21" ht="42.8" x14ac:dyDescent="0.25">
      <c r="A66" s="13" t="s">
        <v>142</v>
      </c>
      <c r="B66" s="13" t="s">
        <v>222</v>
      </c>
      <c r="C66" s="14">
        <v>43410.572916666664</v>
      </c>
      <c r="D66" s="13" t="s">
        <v>150</v>
      </c>
      <c r="E66" s="13" t="s">
        <v>453</v>
      </c>
      <c r="F66" s="15" t="s">
        <v>151</v>
      </c>
      <c r="G66" s="13" t="s">
        <v>462</v>
      </c>
      <c r="H66" s="14">
        <v>40725</v>
      </c>
      <c r="I66" s="14"/>
      <c r="J66" s="15"/>
      <c r="K66" s="15"/>
      <c r="L66" s="13" t="s">
        <v>399</v>
      </c>
      <c r="M66" s="15"/>
      <c r="N66" s="13"/>
      <c r="O66" s="13"/>
      <c r="P66" s="13" t="s">
        <v>386</v>
      </c>
      <c r="Q66" s="13"/>
      <c r="R66" s="13"/>
      <c r="S66" s="13"/>
      <c r="T66" s="13" t="s">
        <v>387</v>
      </c>
      <c r="U66" s="15" t="s">
        <v>151</v>
      </c>
    </row>
    <row r="67" spans="1:21" ht="42.8" x14ac:dyDescent="0.25">
      <c r="A67" s="13" t="s">
        <v>142</v>
      </c>
      <c r="B67" s="13" t="s">
        <v>222</v>
      </c>
      <c r="C67" s="14">
        <v>43410.575694444444</v>
      </c>
      <c r="D67" s="13" t="s">
        <v>123</v>
      </c>
      <c r="E67" s="13" t="s">
        <v>453</v>
      </c>
      <c r="F67" s="15" t="s">
        <v>124</v>
      </c>
      <c r="G67" s="13" t="s">
        <v>463</v>
      </c>
      <c r="H67" s="14">
        <v>40725</v>
      </c>
      <c r="I67" s="14"/>
      <c r="J67" s="15"/>
      <c r="K67" s="15"/>
      <c r="L67" s="13" t="s">
        <v>399</v>
      </c>
      <c r="M67" s="15"/>
      <c r="N67" s="13"/>
      <c r="O67" s="13"/>
      <c r="P67" s="13" t="s">
        <v>464</v>
      </c>
      <c r="Q67" s="13"/>
      <c r="R67" s="13"/>
      <c r="S67" s="13"/>
      <c r="T67" s="13" t="s">
        <v>387</v>
      </c>
      <c r="U67" s="15" t="s">
        <v>124</v>
      </c>
    </row>
    <row r="68" spans="1:21" ht="71.349999999999994" x14ac:dyDescent="0.25">
      <c r="A68" s="13" t="s">
        <v>142</v>
      </c>
      <c r="B68" s="13" t="s">
        <v>222</v>
      </c>
      <c r="C68" s="14">
        <v>43410.579861111109</v>
      </c>
      <c r="D68" s="13" t="s">
        <v>125</v>
      </c>
      <c r="E68" s="13" t="s">
        <v>453</v>
      </c>
      <c r="F68" s="15" t="s">
        <v>126</v>
      </c>
      <c r="G68" s="13" t="s">
        <v>463</v>
      </c>
      <c r="H68" s="14">
        <v>40725</v>
      </c>
      <c r="I68" s="14"/>
      <c r="J68" s="15"/>
      <c r="K68" s="15"/>
      <c r="L68" s="13" t="s">
        <v>399</v>
      </c>
      <c r="M68" s="15"/>
      <c r="N68" s="13"/>
      <c r="O68" s="13"/>
      <c r="P68" s="13" t="s">
        <v>465</v>
      </c>
      <c r="Q68" s="13"/>
      <c r="R68" s="13"/>
      <c r="S68" s="13"/>
      <c r="T68" s="13" t="s">
        <v>387</v>
      </c>
      <c r="U68" s="15" t="s">
        <v>126</v>
      </c>
    </row>
    <row r="69" spans="1:21" ht="71.349999999999994" x14ac:dyDescent="0.25">
      <c r="A69" s="13" t="s">
        <v>142</v>
      </c>
      <c r="B69" s="13" t="s">
        <v>222</v>
      </c>
      <c r="C69" s="14">
        <v>43633.712500000001</v>
      </c>
      <c r="D69" s="13" t="s">
        <v>178</v>
      </c>
      <c r="E69" s="13" t="s">
        <v>453</v>
      </c>
      <c r="F69" s="15" t="s">
        <v>179</v>
      </c>
      <c r="G69" s="13" t="s">
        <v>463</v>
      </c>
      <c r="H69" s="14">
        <v>40725</v>
      </c>
      <c r="I69" s="14"/>
      <c r="J69" s="15"/>
      <c r="K69" s="15"/>
      <c r="L69" s="13" t="s">
        <v>399</v>
      </c>
      <c r="M69" s="15"/>
      <c r="N69" s="13"/>
      <c r="O69" s="13"/>
      <c r="P69" s="13" t="s">
        <v>466</v>
      </c>
      <c r="Q69" s="13"/>
      <c r="R69" s="13"/>
      <c r="S69" s="13"/>
      <c r="T69" s="13" t="s">
        <v>387</v>
      </c>
      <c r="U69" s="15" t="s">
        <v>179</v>
      </c>
    </row>
    <row r="70" spans="1:21" ht="57.1" x14ac:dyDescent="0.25">
      <c r="A70" s="13" t="s">
        <v>76</v>
      </c>
      <c r="B70" s="13" t="s">
        <v>77</v>
      </c>
      <c r="C70" s="14">
        <v>45629.418055555558</v>
      </c>
      <c r="D70" s="13" t="s">
        <v>127</v>
      </c>
      <c r="E70" s="13" t="s">
        <v>453</v>
      </c>
      <c r="F70" s="15" t="s">
        <v>128</v>
      </c>
      <c r="G70" s="13" t="s">
        <v>467</v>
      </c>
      <c r="H70" s="14">
        <v>40725</v>
      </c>
      <c r="I70" s="14">
        <v>43436</v>
      </c>
      <c r="J70" s="15"/>
      <c r="K70" s="15"/>
      <c r="L70" s="13" t="s">
        <v>399</v>
      </c>
      <c r="M70" s="15"/>
      <c r="N70" s="13"/>
      <c r="O70" s="13"/>
      <c r="P70" s="13" t="s">
        <v>458</v>
      </c>
      <c r="Q70" s="13"/>
      <c r="R70" s="13"/>
      <c r="S70" s="13"/>
      <c r="T70" s="13" t="s">
        <v>387</v>
      </c>
      <c r="U70" s="15" t="s">
        <v>128</v>
      </c>
    </row>
    <row r="71" spans="1:21" ht="42.8" x14ac:dyDescent="0.25">
      <c r="A71" s="13" t="s">
        <v>207</v>
      </c>
      <c r="B71" s="13" t="s">
        <v>77</v>
      </c>
      <c r="C71" s="14">
        <v>43690.387499999997</v>
      </c>
      <c r="D71" s="13" t="s">
        <v>180</v>
      </c>
      <c r="E71" s="13" t="s">
        <v>453</v>
      </c>
      <c r="F71" s="15" t="s">
        <v>181</v>
      </c>
      <c r="G71" s="13" t="s">
        <v>467</v>
      </c>
      <c r="H71" s="14">
        <v>40725</v>
      </c>
      <c r="I71" s="14"/>
      <c r="J71" s="15"/>
      <c r="K71" s="15"/>
      <c r="L71" s="13" t="s">
        <v>399</v>
      </c>
      <c r="M71" s="15"/>
      <c r="N71" s="13"/>
      <c r="O71" s="13"/>
      <c r="P71" s="13" t="s">
        <v>466</v>
      </c>
      <c r="Q71" s="13"/>
      <c r="R71" s="13"/>
      <c r="S71" s="13"/>
      <c r="T71" s="13" t="s">
        <v>387</v>
      </c>
      <c r="U71" s="15" t="s">
        <v>181</v>
      </c>
    </row>
    <row r="72" spans="1:21" ht="71.349999999999994" x14ac:dyDescent="0.25">
      <c r="A72" s="13" t="s">
        <v>76</v>
      </c>
      <c r="B72" s="13" t="s">
        <v>77</v>
      </c>
      <c r="C72" s="14">
        <v>45628.729166666664</v>
      </c>
      <c r="D72" s="13" t="s">
        <v>289</v>
      </c>
      <c r="E72" s="13" t="s">
        <v>453</v>
      </c>
      <c r="F72" s="15" t="s">
        <v>290</v>
      </c>
      <c r="G72" s="13" t="s">
        <v>468</v>
      </c>
      <c r="H72" s="14">
        <v>40725</v>
      </c>
      <c r="I72" s="14">
        <v>40725</v>
      </c>
      <c r="J72" s="15"/>
      <c r="K72" s="15"/>
      <c r="L72" s="13" t="s">
        <v>399</v>
      </c>
      <c r="M72" s="15"/>
      <c r="N72" s="13"/>
      <c r="O72" s="13"/>
      <c r="P72" s="13" t="s">
        <v>469</v>
      </c>
      <c r="Q72" s="13"/>
      <c r="R72" s="13"/>
      <c r="S72" s="13"/>
      <c r="T72" s="13" t="s">
        <v>387</v>
      </c>
      <c r="U72" s="15" t="s">
        <v>290</v>
      </c>
    </row>
    <row r="73" spans="1:21" ht="71.349999999999994" x14ac:dyDescent="0.25">
      <c r="A73" s="13" t="s">
        <v>76</v>
      </c>
      <c r="B73" s="13" t="s">
        <v>77</v>
      </c>
      <c r="C73" s="14">
        <v>45628.729166666664</v>
      </c>
      <c r="D73" s="13" t="s">
        <v>287</v>
      </c>
      <c r="E73" s="13" t="s">
        <v>453</v>
      </c>
      <c r="F73" s="15" t="s">
        <v>288</v>
      </c>
      <c r="G73" s="13" t="s">
        <v>456</v>
      </c>
      <c r="H73" s="14">
        <v>40725</v>
      </c>
      <c r="I73" s="14">
        <v>40725</v>
      </c>
      <c r="J73" s="15"/>
      <c r="K73" s="15"/>
      <c r="L73" s="13" t="s">
        <v>399</v>
      </c>
      <c r="M73" s="15"/>
      <c r="N73" s="13"/>
      <c r="O73" s="13"/>
      <c r="P73" s="13" t="s">
        <v>469</v>
      </c>
      <c r="Q73" s="13"/>
      <c r="R73" s="13"/>
      <c r="S73" s="13"/>
      <c r="T73" s="13" t="s">
        <v>387</v>
      </c>
      <c r="U73" s="15" t="s">
        <v>288</v>
      </c>
    </row>
    <row r="74" spans="1:21" ht="85.6" x14ac:dyDescent="0.25">
      <c r="A74" s="13" t="s">
        <v>142</v>
      </c>
      <c r="B74" s="13" t="s">
        <v>222</v>
      </c>
      <c r="C74" s="14">
        <v>43410.65</v>
      </c>
      <c r="D74" s="13" t="s">
        <v>296</v>
      </c>
      <c r="E74" s="13" t="s">
        <v>453</v>
      </c>
      <c r="F74" s="15" t="s">
        <v>297</v>
      </c>
      <c r="G74" s="13" t="s">
        <v>456</v>
      </c>
      <c r="H74" s="14">
        <v>40725</v>
      </c>
      <c r="I74" s="14"/>
      <c r="J74" s="15"/>
      <c r="K74" s="15"/>
      <c r="L74" s="13" t="s">
        <v>399</v>
      </c>
      <c r="M74" s="15"/>
      <c r="N74" s="13"/>
      <c r="O74" s="13"/>
      <c r="P74" s="13" t="s">
        <v>470</v>
      </c>
      <c r="Q74" s="13"/>
      <c r="R74" s="13"/>
      <c r="S74" s="13"/>
      <c r="T74" s="13" t="s">
        <v>387</v>
      </c>
      <c r="U74" s="15" t="s">
        <v>297</v>
      </c>
    </row>
    <row r="75" spans="1:21" ht="42.8" x14ac:dyDescent="0.25">
      <c r="A75" s="13" t="s">
        <v>142</v>
      </c>
      <c r="B75" s="13" t="s">
        <v>222</v>
      </c>
      <c r="C75" s="14">
        <v>43410.686805555553</v>
      </c>
      <c r="D75" s="13" t="s">
        <v>265</v>
      </c>
      <c r="E75" s="13" t="s">
        <v>453</v>
      </c>
      <c r="F75" s="15" t="s">
        <v>266</v>
      </c>
      <c r="G75" s="13" t="s">
        <v>471</v>
      </c>
      <c r="H75" s="14">
        <v>40725</v>
      </c>
      <c r="I75" s="14"/>
      <c r="J75" s="15"/>
      <c r="K75" s="15"/>
      <c r="L75" s="13" t="s">
        <v>399</v>
      </c>
      <c r="M75" s="15"/>
      <c r="N75" s="13"/>
      <c r="O75" s="13"/>
      <c r="P75" s="13" t="s">
        <v>472</v>
      </c>
      <c r="Q75" s="13"/>
      <c r="R75" s="13"/>
      <c r="S75" s="13"/>
      <c r="T75" s="13" t="s">
        <v>387</v>
      </c>
      <c r="U75" s="15" t="s">
        <v>266</v>
      </c>
    </row>
    <row r="76" spans="1:21" ht="42.8" x14ac:dyDescent="0.25">
      <c r="A76" s="13" t="s">
        <v>142</v>
      </c>
      <c r="B76" s="13" t="s">
        <v>222</v>
      </c>
      <c r="C76" s="14">
        <v>43711.730555555558</v>
      </c>
      <c r="D76" s="13" t="s">
        <v>267</v>
      </c>
      <c r="E76" s="13" t="s">
        <v>453</v>
      </c>
      <c r="F76" s="15" t="s">
        <v>268</v>
      </c>
      <c r="G76" s="13" t="s">
        <v>471</v>
      </c>
      <c r="H76" s="14">
        <v>40725</v>
      </c>
      <c r="I76" s="14"/>
      <c r="J76" s="15"/>
      <c r="K76" s="15"/>
      <c r="L76" s="13" t="s">
        <v>399</v>
      </c>
      <c r="M76" s="15"/>
      <c r="N76" s="13"/>
      <c r="O76" s="13"/>
      <c r="P76" s="13" t="s">
        <v>473</v>
      </c>
      <c r="Q76" s="13"/>
      <c r="R76" s="13"/>
      <c r="S76" s="13"/>
      <c r="T76" s="13" t="s">
        <v>387</v>
      </c>
      <c r="U76" s="15" t="s">
        <v>268</v>
      </c>
    </row>
    <row r="77" spans="1:21" ht="42.8" x14ac:dyDescent="0.25">
      <c r="A77" s="13" t="s">
        <v>142</v>
      </c>
      <c r="B77" s="13" t="s">
        <v>222</v>
      </c>
      <c r="C77" s="14">
        <v>43410.670138888891</v>
      </c>
      <c r="D77" s="13" t="s">
        <v>291</v>
      </c>
      <c r="E77" s="13" t="s">
        <v>453</v>
      </c>
      <c r="F77" s="15" t="s">
        <v>292</v>
      </c>
      <c r="G77" s="13" t="s">
        <v>471</v>
      </c>
      <c r="H77" s="14">
        <v>40725</v>
      </c>
      <c r="I77" s="14"/>
      <c r="J77" s="15"/>
      <c r="K77" s="15"/>
      <c r="L77" s="13" t="s">
        <v>399</v>
      </c>
      <c r="M77" s="15"/>
      <c r="N77" s="13"/>
      <c r="O77" s="13"/>
      <c r="P77" s="13" t="s">
        <v>474</v>
      </c>
      <c r="Q77" s="13"/>
      <c r="R77" s="13"/>
      <c r="S77" s="13"/>
      <c r="T77" s="13" t="s">
        <v>387</v>
      </c>
      <c r="U77" s="15" t="s">
        <v>292</v>
      </c>
    </row>
    <row r="78" spans="1:21" ht="71.349999999999994" x14ac:dyDescent="0.25">
      <c r="A78" s="13" t="s">
        <v>76</v>
      </c>
      <c r="B78" s="13" t="s">
        <v>77</v>
      </c>
      <c r="C78" s="14">
        <v>45629.418055555558</v>
      </c>
      <c r="D78" s="13" t="s">
        <v>261</v>
      </c>
      <c r="E78" s="13" t="s">
        <v>453</v>
      </c>
      <c r="F78" s="15" t="s">
        <v>262</v>
      </c>
      <c r="G78" s="13" t="s">
        <v>471</v>
      </c>
      <c r="H78" s="14">
        <v>40725</v>
      </c>
      <c r="I78" s="14">
        <v>43436</v>
      </c>
      <c r="J78" s="15"/>
      <c r="K78" s="15"/>
      <c r="L78" s="13" t="s">
        <v>399</v>
      </c>
      <c r="M78" s="15"/>
      <c r="N78" s="13"/>
      <c r="O78" s="13"/>
      <c r="P78" s="13" t="s">
        <v>475</v>
      </c>
      <c r="Q78" s="13"/>
      <c r="R78" s="13"/>
      <c r="S78" s="13"/>
      <c r="T78" s="13" t="s">
        <v>387</v>
      </c>
      <c r="U78" s="15" t="s">
        <v>262</v>
      </c>
    </row>
    <row r="79" spans="1:21" ht="71.349999999999994" x14ac:dyDescent="0.25">
      <c r="A79" s="13" t="s">
        <v>142</v>
      </c>
      <c r="B79" s="13" t="s">
        <v>222</v>
      </c>
      <c r="C79" s="14">
        <v>43410.674305555556</v>
      </c>
      <c r="D79" s="13" t="s">
        <v>263</v>
      </c>
      <c r="E79" s="13" t="s">
        <v>453</v>
      </c>
      <c r="F79" s="15" t="s">
        <v>264</v>
      </c>
      <c r="G79" s="13" t="s">
        <v>471</v>
      </c>
      <c r="H79" s="14">
        <v>40725</v>
      </c>
      <c r="I79" s="14"/>
      <c r="J79" s="15"/>
      <c r="K79" s="15"/>
      <c r="L79" s="13" t="s">
        <v>399</v>
      </c>
      <c r="M79" s="15"/>
      <c r="N79" s="13"/>
      <c r="O79" s="13"/>
      <c r="P79" s="13" t="s">
        <v>473</v>
      </c>
      <c r="Q79" s="13"/>
      <c r="R79" s="13"/>
      <c r="S79" s="13"/>
      <c r="T79" s="13" t="s">
        <v>387</v>
      </c>
      <c r="U79" s="15" t="s">
        <v>264</v>
      </c>
    </row>
    <row r="80" spans="1:21" ht="28.55" x14ac:dyDescent="0.25">
      <c r="A80" s="13" t="s">
        <v>142</v>
      </c>
      <c r="B80" s="13" t="s">
        <v>222</v>
      </c>
      <c r="C80" s="14">
        <v>43410.676388888889</v>
      </c>
      <c r="D80" s="13" t="s">
        <v>203</v>
      </c>
      <c r="E80" s="13" t="s">
        <v>453</v>
      </c>
      <c r="F80" s="15" t="s">
        <v>98</v>
      </c>
      <c r="G80" s="13" t="s">
        <v>460</v>
      </c>
      <c r="H80" s="14">
        <v>40725</v>
      </c>
      <c r="I80" s="14"/>
      <c r="J80" s="15"/>
      <c r="K80" s="15"/>
      <c r="L80" s="13" t="s">
        <v>399</v>
      </c>
      <c r="M80" s="15"/>
      <c r="N80" s="13"/>
      <c r="O80" s="13"/>
      <c r="P80" s="13" t="s">
        <v>402</v>
      </c>
      <c r="Q80" s="13"/>
      <c r="R80" s="13"/>
      <c r="S80" s="13"/>
      <c r="T80" s="13" t="s">
        <v>387</v>
      </c>
      <c r="U80" s="15" t="s">
        <v>98</v>
      </c>
    </row>
    <row r="81" spans="1:21" ht="42.8" x14ac:dyDescent="0.25">
      <c r="A81" s="13" t="s">
        <v>142</v>
      </c>
      <c r="B81" s="13" t="s">
        <v>222</v>
      </c>
      <c r="C81" s="14">
        <v>43410.678472222222</v>
      </c>
      <c r="D81" s="13" t="s">
        <v>215</v>
      </c>
      <c r="E81" s="13" t="s">
        <v>453</v>
      </c>
      <c r="F81" s="15" t="s">
        <v>216</v>
      </c>
      <c r="G81" s="13" t="s">
        <v>476</v>
      </c>
      <c r="H81" s="14">
        <v>40725</v>
      </c>
      <c r="I81" s="14"/>
      <c r="J81" s="15"/>
      <c r="K81" s="15"/>
      <c r="L81" s="13" t="s">
        <v>399</v>
      </c>
      <c r="M81" s="15"/>
      <c r="N81" s="13"/>
      <c r="O81" s="13"/>
      <c r="P81" s="13" t="s">
        <v>402</v>
      </c>
      <c r="Q81" s="13"/>
      <c r="R81" s="13"/>
      <c r="S81" s="13"/>
      <c r="T81" s="13" t="s">
        <v>387</v>
      </c>
      <c r="U81" s="15" t="s">
        <v>216</v>
      </c>
    </row>
    <row r="82" spans="1:21" ht="57.1" x14ac:dyDescent="0.25">
      <c r="A82" s="13" t="s">
        <v>142</v>
      </c>
      <c r="B82" s="13" t="s">
        <v>222</v>
      </c>
      <c r="C82" s="14">
        <v>43410.681250000001</v>
      </c>
      <c r="D82" s="13" t="s">
        <v>300</v>
      </c>
      <c r="E82" s="13" t="s">
        <v>453</v>
      </c>
      <c r="F82" s="15" t="s">
        <v>301</v>
      </c>
      <c r="G82" s="13" t="s">
        <v>476</v>
      </c>
      <c r="H82" s="14">
        <v>40725</v>
      </c>
      <c r="I82" s="14"/>
      <c r="J82" s="15"/>
      <c r="K82" s="15"/>
      <c r="L82" s="13" t="s">
        <v>399</v>
      </c>
      <c r="M82" s="15"/>
      <c r="N82" s="13"/>
      <c r="O82" s="13"/>
      <c r="P82" s="13" t="s">
        <v>461</v>
      </c>
      <c r="Q82" s="13"/>
      <c r="R82" s="13"/>
      <c r="S82" s="13"/>
      <c r="T82" s="13" t="s">
        <v>387</v>
      </c>
      <c r="U82" s="15" t="s">
        <v>301</v>
      </c>
    </row>
    <row r="83" spans="1:21" ht="85.6" x14ac:dyDescent="0.25">
      <c r="A83" s="13" t="s">
        <v>142</v>
      </c>
      <c r="B83" s="13" t="s">
        <v>222</v>
      </c>
      <c r="C83" s="14">
        <v>43410.683333333334</v>
      </c>
      <c r="D83" s="13" t="s">
        <v>209</v>
      </c>
      <c r="E83" s="13" t="s">
        <v>453</v>
      </c>
      <c r="F83" s="15" t="s">
        <v>210</v>
      </c>
      <c r="G83" s="13" t="s">
        <v>477</v>
      </c>
      <c r="H83" s="14">
        <v>40725</v>
      </c>
      <c r="I83" s="14"/>
      <c r="J83" s="15"/>
      <c r="K83" s="15"/>
      <c r="L83" s="13" t="s">
        <v>399</v>
      </c>
      <c r="M83" s="15"/>
      <c r="N83" s="13"/>
      <c r="O83" s="13"/>
      <c r="P83" s="13" t="s">
        <v>402</v>
      </c>
      <c r="Q83" s="13"/>
      <c r="R83" s="13"/>
      <c r="S83" s="13"/>
      <c r="T83" s="13" t="s">
        <v>387</v>
      </c>
      <c r="U83" s="15" t="s">
        <v>210</v>
      </c>
    </row>
    <row r="84" spans="1:21" ht="71.349999999999994" x14ac:dyDescent="0.25">
      <c r="A84" s="13" t="s">
        <v>142</v>
      </c>
      <c r="B84" s="13" t="s">
        <v>222</v>
      </c>
      <c r="C84" s="14">
        <v>43410.68472222222</v>
      </c>
      <c r="D84" s="13" t="s">
        <v>302</v>
      </c>
      <c r="E84" s="13" t="s">
        <v>453</v>
      </c>
      <c r="F84" s="15" t="s">
        <v>303</v>
      </c>
      <c r="G84" s="13" t="s">
        <v>478</v>
      </c>
      <c r="H84" s="14">
        <v>40725</v>
      </c>
      <c r="I84" s="14"/>
      <c r="J84" s="15"/>
      <c r="K84" s="15"/>
      <c r="L84" s="13" t="s">
        <v>399</v>
      </c>
      <c r="M84" s="15"/>
      <c r="N84" s="13"/>
      <c r="O84" s="13"/>
      <c r="P84" s="13" t="s">
        <v>461</v>
      </c>
      <c r="Q84" s="13"/>
      <c r="R84" s="13"/>
      <c r="S84" s="13"/>
      <c r="T84" s="13" t="s">
        <v>387</v>
      </c>
      <c r="U84" s="15" t="s">
        <v>303</v>
      </c>
    </row>
    <row r="85" spans="1:21" x14ac:dyDescent="0.25">
      <c r="C85" s="16"/>
      <c r="H85" s="16"/>
      <c r="I85" s="16"/>
    </row>
    <row r="86" spans="1:21" x14ac:dyDescent="0.25">
      <c r="C86" s="16"/>
      <c r="H86" s="16"/>
      <c r="I86" s="16"/>
    </row>
    <row r="87" spans="1:21" x14ac:dyDescent="0.25">
      <c r="C87" s="16"/>
      <c r="H87" s="16"/>
      <c r="I87" s="16"/>
    </row>
    <row r="88" spans="1:21" x14ac:dyDescent="0.25">
      <c r="C88" s="16"/>
      <c r="H88" s="16"/>
      <c r="I88" s="16"/>
    </row>
    <row r="89" spans="1:21" x14ac:dyDescent="0.25">
      <c r="C89" s="16"/>
      <c r="H89" s="16"/>
      <c r="I89" s="16"/>
    </row>
    <row r="90" spans="1:21" x14ac:dyDescent="0.25">
      <c r="C90" s="16"/>
      <c r="H90" s="16"/>
      <c r="I90" s="16"/>
    </row>
    <row r="91" spans="1:21" x14ac:dyDescent="0.25">
      <c r="C91" s="16"/>
      <c r="H91" s="16"/>
      <c r="I91" s="16"/>
    </row>
    <row r="92" spans="1:21" x14ac:dyDescent="0.25">
      <c r="C92" s="16"/>
      <c r="H92" s="16"/>
      <c r="I92" s="16"/>
    </row>
    <row r="93" spans="1:21" x14ac:dyDescent="0.25">
      <c r="C93" s="16"/>
      <c r="H93" s="16"/>
      <c r="I93" s="16"/>
    </row>
    <row r="94" spans="1:21" x14ac:dyDescent="0.25">
      <c r="C94" s="16"/>
      <c r="H94" s="16"/>
      <c r="I94" s="16"/>
    </row>
    <row r="95" spans="1:21" x14ac:dyDescent="0.25">
      <c r="C95" s="16"/>
      <c r="H95" s="16"/>
      <c r="I95" s="16"/>
    </row>
    <row r="96" spans="1:21" x14ac:dyDescent="0.25">
      <c r="C96" s="16"/>
      <c r="H96" s="16"/>
      <c r="I96" s="16"/>
    </row>
    <row r="97" spans="3:9" x14ac:dyDescent="0.25">
      <c r="C97" s="16"/>
      <c r="H97" s="16"/>
      <c r="I97" s="16"/>
    </row>
    <row r="98" spans="3:9" x14ac:dyDescent="0.25">
      <c r="C98" s="16"/>
      <c r="H98" s="16"/>
      <c r="I98" s="16"/>
    </row>
    <row r="99" spans="3:9" x14ac:dyDescent="0.25">
      <c r="C99" s="16"/>
      <c r="H99" s="16"/>
      <c r="I99" s="16"/>
    </row>
    <row r="100" spans="3:9" x14ac:dyDescent="0.25">
      <c r="C100" s="16"/>
      <c r="H100" s="16"/>
      <c r="I100" s="16"/>
    </row>
    <row r="101" spans="3:9" x14ac:dyDescent="0.25">
      <c r="C101" s="16"/>
      <c r="H101" s="16"/>
      <c r="I101" s="16"/>
    </row>
    <row r="102" spans="3:9" x14ac:dyDescent="0.25">
      <c r="C102" s="16"/>
      <c r="H102" s="16"/>
      <c r="I102" s="16"/>
    </row>
    <row r="103" spans="3:9" x14ac:dyDescent="0.25">
      <c r="C103" s="16"/>
      <c r="H103" s="16"/>
      <c r="I103" s="16"/>
    </row>
  </sheetData>
  <autoFilter ref="A1:Z1" xr:uid="{124C602E-AF29-4797-85CB-A50415E673E6}">
    <sortState xmlns:xlrd2="http://schemas.microsoft.com/office/spreadsheetml/2017/richdata2" ref="A2:U84">
      <sortCondition ref="E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BADOY Alexane</dc:creator>
  <cp:lastModifiedBy>BADOY Alexane</cp:lastModifiedBy>
  <dcterms:created xsi:type="dcterms:W3CDTF">2025-12-04T15:28:07Z</dcterms:created>
  <dcterms:modified xsi:type="dcterms:W3CDTF">2025-12-05T08:59:44Z</dcterms:modified>
</cp:coreProperties>
</file>