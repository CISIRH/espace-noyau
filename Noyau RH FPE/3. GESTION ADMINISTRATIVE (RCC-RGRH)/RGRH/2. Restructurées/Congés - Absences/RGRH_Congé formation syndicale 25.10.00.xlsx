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823833E9-AAB3-4E42-935A-CE4E3C7ADF33}" xr6:coauthVersionLast="47" xr6:coauthVersionMax="47" xr10:uidLastSave="{00000000-0000-0000-0000-000000000000}"/>
  <bookViews>
    <workbookView xWindow="25080" yWindow="-90" windowWidth="25440" windowHeight="15270" xr2:uid="{C4373CA4-F36D-47AF-AB53-A7385B3758F2}"/>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RG'!$A$1:$OJ$48</definedName>
    <definedName name="_xlnm._FilterDatabase" localSheetId="2" hidden="1">'Axe 1 Enchaînement RG Impact'!$A$1:$OJ$48</definedName>
    <definedName name="_xlnm._FilterDatabase" localSheetId="3" hidden="1">'Axe 1 Rattachement des actes'!$A$1:$AS$1</definedName>
    <definedName name="_xlnm._FilterDatabase" localSheetId="4" hidden="1">'Axe 2 Règles de gestion'!$A$1:$Z$51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9" i="4" l="1"/>
  <c r="AE9" i="4"/>
  <c r="AE2" i="4"/>
  <c r="AC9" i="4"/>
  <c r="AC2" i="4"/>
  <c r="AA11" i="4"/>
  <c r="AA9" i="4"/>
  <c r="AA7" i="4"/>
  <c r="AA6" i="4"/>
  <c r="AA2" i="4"/>
  <c r="Y11" i="4"/>
  <c r="Y9" i="4"/>
  <c r="Y7" i="4"/>
  <c r="Y6" i="4"/>
  <c r="Y2" i="4"/>
  <c r="BS44" i="5"/>
  <c r="BS43" i="5"/>
  <c r="BQ44" i="5"/>
  <c r="BQ43" i="5"/>
  <c r="BQ11" i="5"/>
  <c r="BQ7" i="5"/>
  <c r="BQ6" i="5"/>
  <c r="BO44" i="5"/>
  <c r="BO43" i="5"/>
  <c r="BO11" i="5"/>
  <c r="BO7" i="5"/>
  <c r="BO6" i="5"/>
  <c r="BM44" i="5"/>
  <c r="BM43" i="5"/>
  <c r="BM27" i="5"/>
  <c r="BM11" i="5"/>
  <c r="BM9" i="5"/>
  <c r="BM7" i="5"/>
  <c r="BM6" i="5"/>
  <c r="BM2" i="5"/>
  <c r="BK46" i="5"/>
  <c r="BK45" i="5"/>
  <c r="BK44" i="5"/>
  <c r="BK43" i="5"/>
  <c r="BK27" i="5"/>
  <c r="BK12" i="5"/>
  <c r="BK11" i="5"/>
  <c r="BK9" i="5"/>
  <c r="BK8" i="5"/>
  <c r="BK7" i="5"/>
  <c r="BK6" i="5"/>
  <c r="BK2" i="5"/>
  <c r="BI46" i="5"/>
  <c r="BI45" i="5"/>
  <c r="BI44" i="5"/>
  <c r="BI43" i="5"/>
  <c r="BI27" i="5"/>
  <c r="BI12" i="5"/>
  <c r="BI11" i="5"/>
  <c r="BI9" i="5"/>
  <c r="BI8" i="5"/>
  <c r="BI7" i="5"/>
  <c r="BI6" i="5"/>
  <c r="BI2" i="5"/>
  <c r="BG46" i="5"/>
  <c r="BG45" i="5"/>
  <c r="BG44" i="5"/>
  <c r="BG43" i="5"/>
  <c r="BG28" i="5"/>
  <c r="BG27" i="5"/>
  <c r="BG12" i="5"/>
  <c r="BG11" i="5"/>
  <c r="BG10" i="5"/>
  <c r="BG9" i="5"/>
  <c r="BG8" i="5"/>
  <c r="BG7" i="5"/>
  <c r="BG6" i="5"/>
  <c r="BG3" i="5"/>
  <c r="BG2" i="5"/>
  <c r="BE46" i="5"/>
  <c r="BE45" i="5"/>
  <c r="BE44" i="5"/>
  <c r="BE43" i="5"/>
  <c r="BE28" i="5"/>
  <c r="BE27" i="5"/>
  <c r="BE12" i="5"/>
  <c r="BE11" i="5"/>
  <c r="BE10" i="5"/>
  <c r="BE9" i="5"/>
  <c r="BE8" i="5"/>
  <c r="BE7" i="5"/>
  <c r="BE6" i="5"/>
  <c r="BE3" i="5"/>
  <c r="BE2" i="5"/>
  <c r="BC46" i="5"/>
  <c r="BC45" i="5"/>
  <c r="BC44" i="5"/>
  <c r="BC43" i="5"/>
  <c r="BC28" i="5"/>
  <c r="BC27" i="5"/>
  <c r="BC12" i="5"/>
  <c r="BC11" i="5"/>
  <c r="BC10" i="5"/>
  <c r="BC9" i="5"/>
  <c r="BC8" i="5"/>
  <c r="BC7" i="5"/>
  <c r="BC6" i="5"/>
  <c r="BC3" i="5"/>
  <c r="BC2" i="5"/>
  <c r="BA46" i="5"/>
  <c r="BA45" i="5"/>
  <c r="BA44" i="5"/>
  <c r="BA43" i="5"/>
  <c r="BA28" i="5"/>
  <c r="BA27" i="5"/>
  <c r="BA12" i="5"/>
  <c r="BA11" i="5"/>
  <c r="BA10" i="5"/>
  <c r="BA9" i="5"/>
  <c r="BA8" i="5"/>
  <c r="BA7" i="5"/>
  <c r="BA6" i="5"/>
  <c r="BA3" i="5"/>
  <c r="BA2" i="5"/>
  <c r="AY46" i="5"/>
  <c r="AY45" i="5"/>
  <c r="AY44" i="5"/>
  <c r="AY43" i="5"/>
  <c r="AY28" i="5"/>
  <c r="AY27" i="5"/>
  <c r="AY12" i="5"/>
  <c r="AY11" i="5"/>
  <c r="AY10" i="5"/>
  <c r="AY9" i="5"/>
  <c r="AY8" i="5"/>
  <c r="AY7" i="5"/>
  <c r="AY6" i="5"/>
  <c r="AY3" i="5"/>
  <c r="AY2" i="5"/>
  <c r="AW46" i="5"/>
  <c r="AW45" i="5"/>
  <c r="AW44" i="5"/>
  <c r="AW43" i="5"/>
  <c r="AW28" i="5"/>
  <c r="AW27" i="5"/>
  <c r="AW12" i="5"/>
  <c r="AW11" i="5"/>
  <c r="AW10" i="5"/>
  <c r="AW9" i="5"/>
  <c r="AW8" i="5"/>
  <c r="AW7" i="5"/>
  <c r="AW6" i="5"/>
  <c r="AW3" i="5"/>
  <c r="AW2" i="5"/>
  <c r="AU46" i="5"/>
  <c r="AU45" i="5"/>
  <c r="AU44" i="5"/>
  <c r="AU43" i="5"/>
  <c r="AU28" i="5"/>
  <c r="AU27" i="5"/>
  <c r="AU12" i="5"/>
  <c r="AU11" i="5"/>
  <c r="AU10" i="5"/>
  <c r="AU9" i="5"/>
  <c r="AU8" i="5"/>
  <c r="AU7" i="5"/>
  <c r="AU6" i="5"/>
  <c r="AU3" i="5"/>
  <c r="AU2" i="5"/>
  <c r="AS46" i="5"/>
  <c r="AS44" i="5"/>
  <c r="AQ46" i="5"/>
  <c r="AQ45" i="5"/>
  <c r="AQ44" i="5"/>
  <c r="AQ43" i="5"/>
  <c r="AO46" i="5"/>
  <c r="AO45" i="5"/>
  <c r="AO44" i="5"/>
  <c r="AO43" i="5"/>
  <c r="AO27" i="5"/>
  <c r="AO11" i="5"/>
  <c r="AO9" i="5"/>
  <c r="AO7" i="5"/>
  <c r="AO6" i="5"/>
  <c r="AO2" i="5"/>
  <c r="AM46" i="5"/>
  <c r="AM45" i="5"/>
  <c r="AM44" i="5"/>
  <c r="AM43" i="5"/>
  <c r="AM28" i="5"/>
  <c r="AM27" i="5"/>
  <c r="AM12" i="5"/>
  <c r="AM11" i="5"/>
  <c r="AM10" i="5"/>
  <c r="AM9" i="5"/>
  <c r="AM8" i="5"/>
  <c r="AM7" i="5"/>
  <c r="AM6" i="5"/>
  <c r="AM3" i="5"/>
  <c r="AM2" i="5"/>
  <c r="AK46" i="5"/>
  <c r="AK45" i="5"/>
  <c r="AK44" i="5"/>
  <c r="AK43" i="5"/>
  <c r="AK28" i="5"/>
  <c r="AK27" i="5"/>
  <c r="AK12" i="5"/>
  <c r="AK11" i="5"/>
  <c r="AK10" i="5"/>
  <c r="AK9" i="5"/>
  <c r="AK8" i="5"/>
  <c r="AK7" i="5"/>
  <c r="AK6" i="5"/>
  <c r="AK3" i="5"/>
  <c r="AK2" i="5"/>
  <c r="AI27" i="5"/>
  <c r="AG27" i="5"/>
  <c r="AG11" i="5"/>
  <c r="AG9" i="5"/>
  <c r="AG7" i="5"/>
  <c r="AG6" i="5"/>
  <c r="AG2" i="5"/>
  <c r="AE44" i="5"/>
  <c r="AE27" i="5"/>
  <c r="AE11" i="5"/>
  <c r="AE9" i="5"/>
  <c r="AE7" i="5"/>
  <c r="AE6" i="5"/>
  <c r="AE2" i="5"/>
  <c r="AC44" i="5"/>
  <c r="AC27" i="5"/>
  <c r="AC11" i="5"/>
  <c r="AC9" i="5"/>
  <c r="AC7" i="5"/>
  <c r="AC6" i="5"/>
  <c r="AC2" i="5"/>
  <c r="AA44" i="5"/>
  <c r="AA28" i="5"/>
  <c r="AA27" i="5"/>
  <c r="AA11" i="5"/>
  <c r="AA9" i="5"/>
  <c r="AA7" i="5"/>
  <c r="AA6" i="5"/>
  <c r="AA2" i="5"/>
  <c r="Y46" i="5"/>
  <c r="Y44" i="5"/>
  <c r="Y28" i="5"/>
  <c r="Y27" i="5"/>
  <c r="Y12" i="5"/>
  <c r="Y11" i="5"/>
  <c r="Y10" i="5"/>
  <c r="Y9" i="5"/>
  <c r="Y8" i="5"/>
  <c r="Y7" i="5"/>
  <c r="Y6" i="5"/>
  <c r="Y3" i="5"/>
  <c r="Y2" i="5"/>
</calcChain>
</file>

<file path=xl/sharedStrings.xml><?xml version="1.0" encoding="utf-8"?>
<sst xmlns="http://schemas.openxmlformats.org/spreadsheetml/2006/main" count="3352" uniqueCount="390">
  <si>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</si>
  <si>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</si>
  <si>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</si>
  <si>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</si>
  <si>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</si>
  <si>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</si>
  <si>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</si>
  <si>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</si>
  <si>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</si>
  <si>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</si>
  <si>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</si>
  <si>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</si>
  <si>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</si>
  <si>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</si>
  <si>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</si>
  <si>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</si>
  <si>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</si>
  <si>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</si>
  <si>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</si>
  <si>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</si>
  <si>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</si>
  <si>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</si>
  <si>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</si>
  <si>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</si>
  <si>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</si>
  <si>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</si>
  <si>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</si>
  <si>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</si>
  <si>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</si>
  <si>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</si>
  <si>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</si>
  <si>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</si>
  <si>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</si>
  <si>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</si>
  <si>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</si>
  <si>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</si>
  <si>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</si>
  <si>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</si>
  <si>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</si>
  <si>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</si>
  <si>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</si>
  <si>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</si>
  <si>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</si>
  <si>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</si>
  <si>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</si>
  <si>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</si>
  <si>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</si>
  <si>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</si>
  <si>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</si>
  <si>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</si>
  <si>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</si>
  <si>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</si>
  <si>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</si>
  <si>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</si>
  <si>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</si>
  <si>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</si>
  <si>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</si>
  <si>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</si>
  <si>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</si>
  <si>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</si>
  <si>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</si>
  <si>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</si>
  <si>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</si>
  <si>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</si>
  <si>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</si>
  <si>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</si>
  <si>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</si>
  <si>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</si>
  <si>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</si>
  <si>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</si>
  <si>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</si>
  <si>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</si>
  <si>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FIME</t>
  </si>
  <si>
    <t>Statut de travail</t>
  </si>
  <si>
    <t>19.00.00</t>
  </si>
  <si>
    <t>M</t>
  </si>
  <si>
    <t>D0007</t>
  </si>
  <si>
    <t>Congés/Absence</t>
  </si>
  <si>
    <t>S0060</t>
  </si>
  <si>
    <t>Congé formation syndicale</t>
  </si>
  <si>
    <t>E0484</t>
  </si>
  <si>
    <t>Congé pour formation syndicale</t>
  </si>
  <si>
    <t>Type de congé/absence saisi = 'Congé pour formation syndicale'</t>
  </si>
  <si>
    <t>A_COA_TYCOAB [Saisi] = 'CF005'</t>
  </si>
  <si>
    <t>T1177</t>
  </si>
  <si>
    <t>Congé pour formation syndicale - Demande</t>
  </si>
  <si>
    <t>Création</t>
  </si>
  <si>
    <t>Titulaire ou magistrat</t>
  </si>
  <si>
    <t>P0001</t>
  </si>
  <si>
    <t>Général</t>
  </si>
  <si>
    <t>Passant</t>
  </si>
  <si>
    <t>CFS_I_002 ET CFS_I_001 ET CFS_I_003 ET CFS_I_004 ET CFS_I_005 ET CFS_D_002 ET CDI_D_045 ET CFS_D_001 ET ABS_C_041 ET ABS_C_001 ET ABS_C_003 ET ABS_C_004 ET ABS_C_007 ET ABS_C_008 ET ABS_C_019 ET ABS_C_020 ET ABS_C_009 ET ABS_C_026</t>
  </si>
  <si>
    <t>CFS_I_002</t>
  </si>
  <si>
    <t>Le congé est accordé pour effectuer un stage ou suivre une session dans l'un des centres ou instituts qui figurent sur une liste arrêtée tous les 3 ans par le ministre chargé de la fonction publique.</t>
  </si>
  <si>
    <t>CFS_I_001</t>
  </si>
  <si>
    <t>L'agent doit formuler sa demande par écrit au chef de service au moins 1 mois à l'avance.</t>
  </si>
  <si>
    <t>CFS_I_003</t>
  </si>
  <si>
    <t>Le congé est réputé accordé, à défaut de réponse expresse de l'administration au plus tard le 15ème jour qui précède le début du stage ou de la session.</t>
  </si>
  <si>
    <t>CFS_I_004</t>
  </si>
  <si>
    <t>L'administration ne peut refuser le bénéfice du congé que pour des raisons liées aux nécessités du service.</t>
  </si>
  <si>
    <t>CFS_I_005</t>
  </si>
  <si>
    <t>La commission administrative paritaire ou la commission d'avancement est informée de la décision de rejet ainsi que des motifs de refus.</t>
  </si>
  <si>
    <t>CFS_D_002</t>
  </si>
  <si>
    <t>Le congé de formation syndicale est d'une durée maximale de 12 jours ouvrables par an.</t>
  </si>
  <si>
    <t>CDI_D_045</t>
  </si>
  <si>
    <t>Les congés "Congé de citoyenneté", "Congé pour siéger auprès d'une association, d'une mutuelle ou d'une instance de l'Etat ou d'une collectivité territoriale" et "Congé pour formation syndicale" ne peuvent se cumuler qu'à concurrence de 12 jours ouvrables pour une même année.</t>
  </si>
  <si>
    <t>CFS_D_001</t>
  </si>
  <si>
    <t>L'agent doit être en activité.</t>
  </si>
  <si>
    <t>ABS_C_041</t>
  </si>
  <si>
    <t>La période de référence du compteur de suivi du cumul total du congé saisi doit être initialisée sur une période allant du 01/01 au 31/12 de la même année.</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</si>
  <si>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</si>
  <si>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</si>
  <si>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</si>
  <si>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</si>
  <si>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</si>
  <si>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</si>
  <si>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</si>
  <si>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</si>
  <si>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</si>
  <si>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</si>
  <si>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</si>
  <si>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</si>
  <si>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</si>
  <si>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</si>
  <si>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ABS_C_009</t>
  </si>
  <si>
    <t>La date de fin réelle ou la date de fin prévisionnelle du congé/absence doit être saisie.</t>
  </si>
  <si>
    <t>ABS_C_026</t>
  </si>
  <si>
    <t>Dans le cas d'un congé autre que CLM, CLD, CGM et CITIS, l'indicateur de requalification doit être à non et les impacts spécifiques à la requalification ne doivent pas être mobilisés ou l'impact rémunération est vide.</t>
  </si>
  <si>
    <t>T1636</t>
  </si>
  <si>
    <t>Congé pour formation syndicale - Fin</t>
  </si>
  <si>
    <t>Modification</t>
  </si>
  <si>
    <t>CFS_I_006 ET CFS_D_002 ET CDI_D_045 ET ABS_C_003 ET ABS_C_004 ET ABS_C_007 ET ABS_C_008 ET ABS_C_009 ET ABS_C_026 ET ABS_C_041</t>
  </si>
  <si>
    <t>CFS_I_006</t>
  </si>
  <si>
    <t>Lors de la reprise de fonctions, l'agent remet à son chef de service l'attestation d'assiduité délivrée à l'issue de son stage.</t>
  </si>
  <si>
    <t>22.10.00</t>
  </si>
  <si>
    <t>A</t>
  </si>
  <si>
    <t>Militaire</t>
  </si>
  <si>
    <t>P0002</t>
  </si>
  <si>
    <t>Exclu</t>
  </si>
  <si>
    <t>Contractuel</t>
  </si>
  <si>
    <t>P0003</t>
  </si>
  <si>
    <t>CFS_I_002 ET CFS_I_001 ET CFS_I_003 ET CFS_I_004 ET CFS_I_005 ET CFS_D_004 ET CDI_D_047 ET CFS_D_003 ET ABS_C_002 ET ABS_C_003 ET ABS_C_004 ET ABS_C_005 ET ABS_C_006 ET ABS_C_007 ET ABS_C_008 ET ABS_C_009 ET ABS_C_019 ET ABS_C_020 ET ABS_C_026 ET ABS_C_041</t>
  </si>
  <si>
    <t>CFS_D_004</t>
  </si>
  <si>
    <t>Le congé est d'une durée maximale de 12 jours ouvrables par an.</t>
  </si>
  <si>
    <t>CDI_D_047</t>
  </si>
  <si>
    <t>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t>
  </si>
  <si>
    <t>CFS_D_003</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</si>
  <si>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</si>
  <si>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</si>
  <si>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</si>
  <si>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</si>
  <si>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</si>
  <si>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</si>
  <si>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CFS_I_002 ET CFS_I_001 ET CFS_I_003 ET CFS_I_004 ET CFS_I_015 ET CFS_D_004 ET CDI_D_047 ET CFS_D_003 ET ABS_C_002 ET ABS_C_003 ET ABS_C_004 ET ABS_C_005 ET ABS_C_006 ET ABS_C_007 ET ABS_C_008 ET ABS_C_009 ET ABS_C_019 ET ABS_C_020 ET ABS_C_026 ET ABS_C_041</t>
  </si>
  <si>
    <t>CFS_I_015</t>
  </si>
  <si>
    <t>La décision de refus d'octroi du congé fait l'objet d'une saisie pour avis de la commission consultative paritaire.</t>
  </si>
  <si>
    <t>CFS_I_006 ET CFS_D_004 ET CDI_D_047 ET ABS_C_003 ET ABS_C_004 ET ABS_C_005 ET ABS_C_006 ET ABS_C_007 ET ABS_C_008 ET ABS_C_009 ET ABS_C_026 ET ABS_C_041</t>
  </si>
  <si>
    <t>Stagiaire ou auditeur ou élève</t>
  </si>
  <si>
    <t>P0004</t>
  </si>
  <si>
    <t>CFS_I_002 ET CFS_I_001 ET CFS_I_003 ET CFS_I_004 ET CFS_I_005 ET CFS_D_002 ET CDI_D_045 ET CFS_D_001 ET ABS_C_001 ET ABS_C_003 ET ABS_C_004 ET ABS_C_007 ET ABS_C_008 ET ABS_C_009 ET ABS_C_019 ET ABS_C_020 ET ABS_C_026 ET ABS_C_041</t>
  </si>
  <si>
    <t>Ouvrier d'état</t>
  </si>
  <si>
    <t>P0005</t>
  </si>
  <si>
    <t>CFS_I_002 ET CFS_I_001 ET CFS_I_003 ET CFS_I_004 ET CFS_I_005 ET CFS_D_004 ET CDI_D_047 ET CFS_D_014 ET ABS_C_002 ET ABS_C_003 ET ABS_C_004 ET ABS_C_005 ET ABS_C_006 ET ABS_C_007 ET ABS_C_008 ET ABS_C_009 ET ABS_C_019 ET ABS_C_020 ET ABS_C_026 ET ABS_C_041</t>
  </si>
  <si>
    <t>CFS_D_014</t>
  </si>
  <si>
    <t>17.10.00</t>
  </si>
  <si>
    <t>Magistrat de l'ordre judiciaire</t>
  </si>
  <si>
    <t>P0007</t>
  </si>
  <si>
    <t>Particulier</t>
  </si>
  <si>
    <t>Auditeur de justice</t>
  </si>
  <si>
    <t>P0009</t>
  </si>
  <si>
    <t>Préfet ou sous-préfet</t>
  </si>
  <si>
    <t>P0016</t>
  </si>
  <si>
    <t>Contractuel sous contrat PACTE ou contractuel en situation de handicap avant titularisation</t>
  </si>
  <si>
    <t>P0037</t>
  </si>
  <si>
    <t>Conseiller ou avocat général à la Cour de cassation en service extraordinaire</t>
  </si>
  <si>
    <t>P0046</t>
  </si>
  <si>
    <t>Personnel civil payé à l'acte ou à la tâche</t>
  </si>
  <si>
    <t>P0054</t>
  </si>
  <si>
    <t>Contractuel de droit privé</t>
  </si>
  <si>
    <t>P0072</t>
  </si>
  <si>
    <t>25.10.00</t>
  </si>
  <si>
    <t>Ouvrier des parcs et ateliers confirmé ou stagiaire</t>
  </si>
  <si>
    <t>P0143</t>
  </si>
  <si>
    <t>CFS_I_012 ET CFS_I_002 ET CFS_I_001 ET CFS_I_003 ET CFS_I_004 ET CFS_I_005 ET CFS_D_002 ET CDI_D_045 ET CFS_D_001 ET ABS_C_041 ET ABS_C_001 ET ABS_C_003 ET ABS_C_004 ET ABS_C_007 ET ABS_C_008 ET ABS_C_019 ET ABS_C_020 ET ABS_C_009 ET ABS_C_026</t>
  </si>
  <si>
    <t>CFS_I_012</t>
  </si>
  <si>
    <t>L'agent bénéficie des dispositions applicables aux agents titulaires pour le congé pour formation syndicale.</t>
  </si>
  <si>
    <t>2025-119</t>
  </si>
  <si>
    <t>CFS_I_012 ET CFS_I_006 ET CFS_D_002 ET CDI_D_045 ET ABS_C_003 ET ABS_C_004 ET ABS_C_007 ET ABS_C_008 ET ABS_C_009 ET ABS_C_026 ET ABS_C_041</t>
  </si>
  <si>
    <t>Préfet contractuel</t>
  </si>
  <si>
    <t>P0188</t>
  </si>
  <si>
    <t>Contractuel recruté pour présenter un concours administratif pour accéder à un corps ou cadre d'emplois de la fonction publique de l'Etat</t>
  </si>
  <si>
    <t>P0225</t>
  </si>
  <si>
    <t>E0485</t>
  </si>
  <si>
    <t>Congé de formation économique, sociale et environnementale et de formation syndicale</t>
  </si>
  <si>
    <t>Type de congé/absence saisi égal 'Congé de formation économique, sociale et environnementale et de formation syndicale'</t>
  </si>
  <si>
    <t>A_COA_TYCOAB [Saisi] = 'CF012'</t>
  </si>
  <si>
    <t>T1178</t>
  </si>
  <si>
    <t>Congé de formation économique, sociale et environnementale et de formation syndicale - Demande</t>
  </si>
  <si>
    <t>T1744</t>
  </si>
  <si>
    <t>Congé de formation économique, sociale et environnementale et de formation syndicale - Fin</t>
  </si>
  <si>
    <t>18.10.00</t>
  </si>
  <si>
    <t>ABS_C_010 ET CFS_D_027 ET CFS_D_028 ET CFS_D_029 ET CFS_D_405 ET ABS_C_041 ET ABS_C_003 ET ABS_C_004 ET ABS_C_002 ET ABS_C_005 ET ABS_C_006 ET ABS_C_019 ET ABS_C_020 ET ABS_C_009 ET ABS_C_026 ET ABS_C_007 ET ABS_C_008</t>
  </si>
  <si>
    <t>CFS_D_027</t>
  </si>
  <si>
    <t>La durée totale des congés de formation économique et social et de formation syndicale pris dans l'année ne peut excéder 12 jours.</t>
  </si>
  <si>
    <t>CFS_D_028</t>
  </si>
  <si>
    <t>La durée totale des congés de formation économique et social et de formation syndicale ne peut excéder 18 jours pour les animateurs des stages et sessions.</t>
  </si>
  <si>
    <t>CFS_D_029</t>
  </si>
  <si>
    <t>La durée de chaque congé ne peut être inférieure à 2 jours (date de fin réelle de l'absence).</t>
  </si>
  <si>
    <t>CFS_D_405</t>
  </si>
  <si>
    <t>La durée de chaque congé ne peut être inférieure à 2 jours (date de fin prévisionnelle de l'absence).</t>
  </si>
  <si>
    <t>ABS_C_010</t>
  </si>
  <si>
    <t>CFS_I_009 ET CFS_I_008 ET CFS_I_007 ET CFS_I_010 ET CFS_D_502 ET CFS_D_500 ET CFS_D_501 ET CFS_D_503 ET CDI_D_708 ET ABS_C_010 ET ABS_C_002 ET ABS_C_003 ET ABS_C_004 ET ABS_C_005 ET ABS_C_006 ET ABS_C_007 ET ABS_C_008 ET ABS_C_009 ET ABS_C_019 ET ABS_C_020 ET ABS_C_026 ET ABS_C_041</t>
  </si>
  <si>
    <t>CFS_I_009</t>
  </si>
  <si>
    <t>L'agent informe son employeur au moins 30 jours avant le début du congé. Il précise la date et la durée de l'absence sollicitée ainsi que le nom de l'organisme responsable du stage ou de la session.</t>
  </si>
  <si>
    <t>CFS_I_008</t>
  </si>
  <si>
    <t>La liste des centres et instituts dont les stages et sessions ouvrant droit à ce congé est établie par arrêté du ministre chargé du travail pris après avis des organisations syndicales de salariés.</t>
  </si>
  <si>
    <t>CFS_I_007</t>
  </si>
  <si>
    <t>L'administration ne peut refuser le bénéfice du congé que pour des raisons liées aux nécessités du service. Le refus doit être motivé.</t>
  </si>
  <si>
    <t>CFS_I_010</t>
  </si>
  <si>
    <t>Le refus est notifié à l'agent dans un délai de 8 jours à compter de la réception de sa demande.</t>
  </si>
  <si>
    <t>CFS_D_502</t>
  </si>
  <si>
    <t>La durée de chaque congé ne peut être inférieure à 1/2 journée (date de fin réelle de l'absence).</t>
  </si>
  <si>
    <t>CFS_D_500</t>
  </si>
  <si>
    <t>La durée totale des congés de formation économique, sociale et environnementale et de formation syndicale pris dans l'année ne peut excéder 12 jours.</t>
  </si>
  <si>
    <t>CFS_D_501</t>
  </si>
  <si>
    <t>La durée totale des congés de formation économique, sociale et environnementale et de formation syndicale ne peut excéder 18 jours pour les animateurs des stages et sessions.</t>
  </si>
  <si>
    <t>CFS_D_503</t>
  </si>
  <si>
    <t>La durée de chaque congé ne peut être inférieure à 1/2 jour (date de fin prévisionnelle de l'absence).</t>
  </si>
  <si>
    <t>CDI_D_708</t>
  </si>
  <si>
    <t>Les congés "Congé de citoyenneté ou de formation de cadres et d'animateurs pour la jeunesse" et "Congé de formation économique, sociale, environnementale et syndicale" ne peuvent se cumuler qu'à concurrence de 12 jours ouvrables pour une même année.</t>
  </si>
  <si>
    <t>CFS_D_027 ET CFS_D_028 ET CFS_D_029 ET CFS_D_405 ET ABS_C_041 ET ABS_C_003 ET ABS_C_004 ET ABS_C_005 ET ABS_C_006 ET ABS_C_009 ET ABS_C_007 ET ABS_C_008 ET ABS_C_026</t>
  </si>
  <si>
    <t>CFS_I_011 ET CFS_D_502 ET CFS_D_500 ET CFS_D_501 ET CFS_D_503 ET CDI_D_708 ET ABS_C_003 ET ABS_C_004 ET ABS_C_005 ET ABS_C_006 ET ABS_C_007 ET ABS_C_008 ET ABS_C_009 ET ABS_C_026 ET ABS_C_041</t>
  </si>
  <si>
    <t>CFS_I_011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</si>
  <si>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</si>
  <si>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</si>
  <si>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</si>
  <si>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</si>
  <si>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</si>
  <si>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</si>
  <si>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</si>
  <si>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</si>
  <si>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</si>
  <si>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</si>
  <si>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</si>
  <si>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CFS_P_001 ET CFS_P_002 ET CFS_P_006 ET CFS_P_007</t>
  </si>
  <si>
    <t>CFS_P_001</t>
  </si>
  <si>
    <t>Rémunération : L'agent continue de percevoir sa rémunération.</t>
  </si>
  <si>
    <t>CFS_P_002</t>
  </si>
  <si>
    <t>Carrière : L'agent conserve ses droits à l'avancement d'échelon et à l'avancement de grade en totalité.</t>
  </si>
  <si>
    <t>CFS_P_006</t>
  </si>
  <si>
    <t>Congés annuels : L'agent conserve son droit à congé annuel.</t>
  </si>
  <si>
    <t>CFS_P_007</t>
  </si>
  <si>
    <t>Retraite : Le congé est considéré comme une période d'activité pour la retraite.</t>
  </si>
  <si>
    <t>CFS_P_001 ET CFS_P_006</t>
  </si>
  <si>
    <t>CFS_P_001 ET CFS_P_003 ET CFS_P_004 ET CFS_P_005 ET CFS_P_006</t>
  </si>
  <si>
    <t>CFS_P_003</t>
  </si>
  <si>
    <t>Carrière : L'agent conserve ses droits à l'avancement d'échelon.</t>
  </si>
  <si>
    <t>CFS_P_004</t>
  </si>
  <si>
    <t>Stage : La date de fin de stage est reportée du nombre de jours de congé que l'agent a utilisés.</t>
  </si>
  <si>
    <t>CFS_P_005</t>
  </si>
  <si>
    <t>Titularisation : La date de la titularisation prend effet au lendemain de la date de fin de stage ; date repoussée du nombre de jours utilisés de congé.</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</si>
  <si>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</si>
  <si>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</si>
  <si>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</si>
  <si>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</si>
  <si>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</si>
  <si>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</si>
  <si>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</si>
  <si>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</si>
  <si>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</si>
  <si>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</si>
  <si>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</si>
  <si>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</si>
  <si>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</si>
  <si>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</si>
  <si>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</si>
  <si>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</si>
  <si>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</si>
  <si>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</si>
  <si>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</si>
  <si>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INTABS0093</t>
  </si>
  <si>
    <t>Reprise fonctions suite congé sans impact (T)</t>
  </si>
  <si>
    <t>INTABS0046</t>
  </si>
  <si>
    <t>Congé de formation syndicale (T)</t>
  </si>
  <si>
    <t>En cours</t>
  </si>
  <si>
    <t>INTABS0036</t>
  </si>
  <si>
    <t>Congé de formation syndicale (C)</t>
  </si>
  <si>
    <t>INTABS0090</t>
  </si>
  <si>
    <t>Reprise fonctions suite congé sans impact (C)</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</si>
  <si>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</si>
  <si>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</si>
  <si>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</si>
  <si>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</si>
  <si>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</si>
  <si>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</si>
  <si>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</si>
  <si>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</si>
  <si>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</si>
  <si>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</si>
  <si>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</si>
  <si>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</si>
  <si>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</si>
  <si>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L642-2</t>
  </si>
  <si>
    <t># La somme des occurrences de tous les compteurs (A_COA_DTOCOF) tels que A_COA_TYPCOF DANS ('CD002', 'CD003', 'CF005') doit être &lt;= 00/00/12 OUVRABLE#</t>
  </si>
  <si>
    <t>Bloquant</t>
  </si>
  <si>
    <t>Pour cette règle, il est nécessaire d'additionner les compteurs des absences CD002, CD003 et CF005.
Le fonctionnement du compteur tient compte de la date (réelle ou prévisionnelle) qui a été saisie.</t>
  </si>
  <si>
    <t>P0143 / P0078 / P0079 - P0001 / P0004 - E0501 / E0502 / E0484 - Demande / Fin</t>
  </si>
  <si>
    <t>x</t>
  </si>
  <si>
    <t>Les Congé de citoyenneté, Congé pour siéger auprès d'une association ou mutuelle ou instance de l'Etat ou collectivité territoriale et Congé pour formation syndicale peuvent se cumuler dans la limite de 12 jours ouvrables pour 1 année.</t>
  </si>
  <si>
    <t>Décret 86-83 A11</t>
  </si>
  <si>
    <t>Il faut additionner les compteurs des absences CD002, CD003 et CF005. Le compteur tient compte de la date réelle/prévisionnelle saisie. Il cumule les jours calendaires. Une évolution doit permettre de faire le calcul en jours ouvrés/ouvrables.</t>
  </si>
  <si>
    <t>P0003 - E0484 / E0501 / E0502 - Demande / Fin</t>
  </si>
  <si>
    <t>Les congés "organisation de jeunesse", "pour siéger auprès d'une association, d'une mutuelle, d'une instance de l'Etat, d'une collectivité territoriale", "pour formation syndicale" ne peuvent se cumuler qu'à concurrence de 12 jours ouvrables par an.</t>
  </si>
  <si>
    <t>Code du travail L3142-59</t>
  </si>
  <si>
    <t># La somme des occurrences de tous les compteurs (A_COA_DTOCOF) tels que A_COA_TYPCOF DANS ('CD002', 'CF012') doit être &lt;= 00/00/12 OUVRABLE#</t>
  </si>
  <si>
    <t>Il faut additionner les compteurs des absences CD002 et CF012. Le compteur tient compte de la date réelle/prévisionnelle saisie. Il cumule les jours calendaires. Une évolution doit permettre de faire le calcul en jours ouvrés/ouvrables.</t>
  </si>
  <si>
    <t>P0072 - E0501 / E0485 - Demande / Fin</t>
  </si>
  <si>
    <t>Code général de la fonction publique L215-1</t>
  </si>
  <si>
    <t>A_POS_POSIAD [Dossier] = POSITION_SITUATION.R_FOR_IDEN05 ET (POSITION_SITUATION.R_REL_PSSAG2 DANS ('ACI','HCA','MAD','DEL','MDE','MLD')) OU (POSITION_SITUATION.R_REL_PSSAG1 DANS ('DEE00',?'DES00'))</t>
  </si>
  <si>
    <t>P0143 - P0001 / P0004 - E0484</t>
  </si>
  <si>
    <t>2025-70</t>
  </si>
  <si>
    <t>22.00.00</t>
  </si>
  <si>
    <t>A_COA_TYPCOF [Saisi] = 'CF005' ET A_COA_DTOCOF [Saisi] &lt;= 00/00/12 OUVRABLE</t>
  </si>
  <si>
    <t>Le fonctionnement du compteur tient compte de la date réelle ou prévisionnelle qui a été saisie.
Actuellement, les compteurs cumulent les jours en calendaire. Une évolution future doit permettre de calculer ces cumuls en jours ouvrés / ouvrables.</t>
  </si>
  <si>
    <t>Code général de la fonction publique L215-1 / Décret 86-83 A11</t>
  </si>
  <si>
    <t>A_POS_POSIAD [Dossier] = POSITION_SITUATION.R_FOR_IDEN05 ET (POSITION_SITUATION.R_REL_PSSAG2 DANS ('ACI','HCA','MAD','DEL','MDE','MLD')) OU (POSITION_SITUATION.R_REL_PSSAG1 DANS ('DEE00','?DES00'?))</t>
  </si>
  <si>
    <t>P0003 - E0484</t>
  </si>
  <si>
    <t>P0003 / P0005 - E0484</t>
  </si>
  <si>
    <t>A_POS_POSIAD [Dossier] = POSITION_SITUATION.R_FOR_IDEN05 ET (POSITION_SITUATION.R_REL_PSSAG2 DANS ('ACI','HCA','MAD','DEL','MDE','MLD') OU (POSITION_SITUATION.R_REL_PSSAG1 DANS ('DEE00', 'DES00'))</t>
  </si>
  <si>
    <t>P0005 - E0484</t>
  </si>
  <si>
    <t>Code du travail L3142-9</t>
  </si>
  <si>
    <t>A_COA_TYPCOF [Saisi] = 'CF012' ET A_COA_DTOCOF [Saisi] &lt;= 00/00/12 OUVRABLE</t>
  </si>
  <si>
    <t>Non Bloquant</t>
  </si>
  <si>
    <t>A_COA_TYPCOF [Saisi] = 'CF012' ET A_COA_DTOCOF [Saisi] &lt;= 00/00/18 OUVRABLE</t>
  </si>
  <si>
    <t>SI A_COA_DFRECA [Saisi] &lt;&gt; Vide</t>
  </si>
  <si>
    <t>A_COA_DFRECA [saisi] - A_COA_DADBCA [Saisi] &gt;= 2 OUVRABLE</t>
  </si>
  <si>
    <t>SI A_COA_DAFIPR [Saisi] &lt;&gt; Vide ET A_COA_DFRECA [Saisi] = Vide</t>
  </si>
  <si>
    <t>A_COA_DAFIPR [Saisi] - A_COA_DADBCA [Saisi] &gt;= 2 OUVRABLE</t>
  </si>
  <si>
    <t>23.10.00</t>
  </si>
  <si>
    <t>Code du travail L2145-7</t>
  </si>
  <si>
    <t>P0072 - E0485</t>
  </si>
  <si>
    <t>A_COA_DFRECA [saisi] - A_COA_DADBCA [Saisi] &gt;= 0,5 OUVRABLE</t>
  </si>
  <si>
    <t>La durée de chaque congé ne peut être inférieure à 1/2 journée.</t>
  </si>
  <si>
    <t>A_COA_DAFIPR [Saisi] - A_COA_DADBCA [Saisi] &gt;= 0,5 OUVRABLE</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</si>
  <si>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</si>
  <si>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</si>
  <si>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</si>
  <si>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</si>
  <si>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</si>
  <si>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</si>
  <si>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</si>
  <si>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</si>
  <si>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</si>
  <si>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</si>
  <si>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</si>
  <si>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</si>
  <si>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18.00.00</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</si>
  <si>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</si>
  <si>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</si>
  <si>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</si>
  <si>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</si>
  <si>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</si>
  <si>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</si>
  <si>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A_COA_TYPCOF [Saisi] = A_COA_TYCOAB [Saisi] ET ( [ANNEE(A_COA_DADBCA [Saisi])] = [ANNEE(A_COA_DDICOF [Saisi])] OU [ANNEE(A_COA_DFRECA [Saisi])] = [ANNEE(A_COA_DDICOF [Saisi])] OU [ANNEE(A_COA_DAFIPR [Saisi])] = [ANNEE(A_COA_DDICOF [Saisi])] ) ET A_COA_DDICOF [Saisi] = '01/01/[ANNEE(A_COA_DDICOF [Saisi])]' ET A_COA_DFUCOF [Saisi] = '31/12/[ANNEE(A_COA_DDICOF [Saisi])]'</t>
  </si>
  <si>
    <t>Dans le cas d'un congé en cours d'année ou à cheval sur 2 années, l'objectif est de contrôler que le gestionnaire a initialisé la période de référence du compteur sur l'année civile du 01/01/AAAA au 31/12/AAAA (AAAA: année date de début/fin du congé).</t>
  </si>
  <si>
    <t>25.00.00</t>
  </si>
  <si>
    <t>Intellectuel</t>
  </si>
  <si>
    <t>Code général de la fonction publique R215-3</t>
  </si>
  <si>
    <t>P0143 - P0001 / P0003 / P0004 / P0005 - E0484</t>
  </si>
  <si>
    <t>Code général de la fonction publique R215-1</t>
  </si>
  <si>
    <t>Code général de la fonction publique R215-4</t>
  </si>
  <si>
    <t>Code général de la fonction publique R215-4 / Circulaire 302661</t>
  </si>
  <si>
    <t>Code général de la fonction publique R215-5</t>
  </si>
  <si>
    <t>Code du travail L2145-11</t>
  </si>
  <si>
    <t>Code du travail R2145-3</t>
  </si>
  <si>
    <t>Code du travail R2145-4</t>
  </si>
  <si>
    <t>Code du travail R2145-5</t>
  </si>
  <si>
    <t>Code du travail R2145-6</t>
  </si>
  <si>
    <t>Code général de la fonction publique R215-1 / Code général de la fonction publique L215-1 / Décret 65-382 A19</t>
  </si>
  <si>
    <t>P0143 - E0484 - Demande / Fin</t>
  </si>
  <si>
    <t>Code général de la fonction publique R271-11</t>
  </si>
  <si>
    <t>P0003 - E0484 - Demande</t>
  </si>
  <si>
    <t>Impact</t>
  </si>
  <si>
    <t>P0001 / P0003 / P0004 / P0005 - E0484 - Rémunération</t>
  </si>
  <si>
    <t>P0001 - E0484 - Carrière</t>
  </si>
  <si>
    <t>P0004 - E0484 - Carrière</t>
  </si>
  <si>
    <t>P0004 - Stage</t>
  </si>
  <si>
    <t>P0004 - E0484 - Titularisation</t>
  </si>
  <si>
    <t>P0001 / P0003 / P0004 / P0005 - E0484 - Congés annuels</t>
  </si>
  <si>
    <t>P0001 - E0484 -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</si>
</sst>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3191E-4119-48A7-8861-88086374F486}">
  <sheetPr codeName="Feuil2"/>
  <dimension ref="A1:AG425"/>
  <sheetViews>
    <sheetView tabSelected="1" zoomScaleNormal="100" workbookViewId="0"/>
  </sheetViews>
  <sheetFormatPr baseColWidth="10" defaultRowHeight="15" x14ac:dyDescent="0.25"/>
  <cols>
    <col min="2" max="2" width="144.28515625" style="9" customWidth="1"/>
    <col min="3" max="3" width="64.85546875" style="2" bestFit="1" customWidth="1"/>
    <col min="18" max="19" width="11.42578125" style="2"/>
  </cols>
  <sheetData>
    <row r="1" spans="1:33" x14ac:dyDescent="0.25">
      <c r="B1" s="1" t="s">
        <v>0</v>
      </c>
    </row>
    <row r="2" spans="1:33" ht="90" x14ac:dyDescent="0.25">
      <c r="B2" s="3" t="s">
        <v>1</v>
      </c>
    </row>
    <row r="3" spans="1:33" x14ac:dyDescent="0.25">
      <c r="B3" s="4"/>
    </row>
    <row r="4" spans="1:33" x14ac:dyDescent="0.25">
      <c r="B4" s="4"/>
    </row>
    <row r="5" spans="1:33" x14ac:dyDescent="0.25">
      <c r="B5" s="4"/>
    </row>
    <row r="6" spans="1:33" x14ac:dyDescent="0.25">
      <c r="B6" s="4"/>
    </row>
    <row r="7" spans="1:33" x14ac:dyDescent="0.25">
      <c r="B7" s="4"/>
    </row>
    <row r="8" spans="1:33" x14ac:dyDescent="0.25">
      <c r="B8" s="4"/>
    </row>
    <row r="9" spans="1:33" x14ac:dyDescent="0.25">
      <c r="B9" s="4"/>
    </row>
    <row r="10" spans="1:33" x14ac:dyDescent="0.25">
      <c r="B10" s="4"/>
    </row>
    <row r="11" spans="1:33" x14ac:dyDescent="0.2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2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2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2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25">
      <c r="B15" s="4"/>
      <c r="C15"/>
      <c r="R15"/>
      <c r="S15"/>
    </row>
    <row r="16" spans="1:33"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2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2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2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2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2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2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2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2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2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2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2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2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2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2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2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2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2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2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2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2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2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2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2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2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2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2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2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2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2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2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26886-1332-4AEE-A53C-62FE93C87171}">
  <dimension ref="A1:BU1491"/>
  <sheetViews>
    <sheetView workbookViewId="0">
      <pane ySplit="1" topLeftCell="A2" activePane="bottomLeft" state="frozenSplit"/>
      <selection pane="bottomLeft" activeCell="A2" sqref="A2"/>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13.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3" width="40.7109375" style="17" customWidth="1"/>
    <col min="24" max="24" width="15.7109375" style="18" customWidth="1"/>
    <col min="25" max="25" width="25.7109375" style="17" customWidth="1"/>
    <col min="26" max="26" width="15.7109375" style="18" customWidth="1"/>
    <col min="27" max="27" width="25.7109375" style="17" customWidth="1"/>
    <col min="28" max="28" width="15.7109375" style="18" customWidth="1"/>
    <col min="29" max="29" width="25.7109375" style="17" customWidth="1"/>
    <col min="30" max="30" width="15.7109375" style="18" customWidth="1"/>
    <col min="31" max="31" width="25.7109375" style="17" customWidth="1"/>
    <col min="32" max="32" width="15.7109375" style="18" customWidth="1"/>
    <col min="33" max="33" width="25.7109375" style="17" customWidth="1"/>
    <col min="34" max="34" width="15.7109375" style="18" customWidth="1"/>
    <col min="35" max="35" width="25.7109375" style="17" customWidth="1"/>
    <col min="36" max="36" width="15.7109375" style="18" customWidth="1"/>
    <col min="37" max="37" width="25.7109375" style="17" customWidth="1"/>
    <col min="38" max="38" width="15.7109375" style="18" customWidth="1"/>
    <col min="39" max="39" width="25.7109375" style="17" customWidth="1"/>
    <col min="40" max="40" width="15.7109375" style="18" customWidth="1"/>
    <col min="41" max="41" width="25.7109375" style="17" customWidth="1"/>
    <col min="42" max="42" width="15.7109375" style="18" customWidth="1"/>
    <col min="43" max="43" width="25.7109375" style="17" customWidth="1"/>
    <col min="44" max="44" width="15.7109375" style="18" customWidth="1"/>
    <col min="45" max="45" width="25.7109375" style="17" customWidth="1"/>
    <col min="46" max="46" width="15.7109375" style="18" customWidth="1"/>
    <col min="47" max="47" width="25.7109375" style="17" customWidth="1"/>
    <col min="48" max="48" width="15.7109375" style="18" customWidth="1"/>
    <col min="49" max="49" width="25.7109375" style="17" customWidth="1"/>
    <col min="50" max="50" width="15.7109375" style="18" customWidth="1"/>
    <col min="51" max="51" width="25.7109375" style="17" customWidth="1"/>
    <col min="52" max="52" width="15.7109375" style="18" customWidth="1"/>
    <col min="53" max="53" width="25.7109375" style="17" customWidth="1"/>
    <col min="54" max="54" width="15.7109375" style="18" customWidth="1"/>
    <col min="55" max="55" width="25.7109375" style="17" customWidth="1"/>
    <col min="56" max="56" width="15.7109375" style="18" customWidth="1"/>
    <col min="57" max="57" width="25.7109375" style="17" customWidth="1"/>
    <col min="58" max="58" width="15.7109375" style="18" customWidth="1"/>
    <col min="59" max="59" width="25.7109375" style="17" customWidth="1"/>
    <col min="60" max="60" width="15.7109375" style="18" customWidth="1"/>
    <col min="61" max="61" width="25.7109375" style="17" customWidth="1"/>
    <col min="62" max="62" width="15.7109375" style="18" customWidth="1"/>
    <col min="63" max="63" width="25.7109375" style="17" customWidth="1"/>
    <col min="64" max="64" width="15.7109375" style="18" customWidth="1"/>
    <col min="65" max="65" width="25.7109375" style="17" customWidth="1"/>
    <col min="66" max="66" width="15.7109375" style="18" customWidth="1"/>
    <col min="67" max="67" width="25.7109375" style="17" customWidth="1"/>
    <col min="68" max="68" width="15.7109375" style="18" customWidth="1"/>
    <col min="69" max="69" width="25.7109375" style="17" customWidth="1"/>
    <col min="70" max="70" width="15.7109375" style="18" customWidth="1"/>
    <col min="71" max="71" width="25.7109375" style="17" customWidth="1"/>
    <col min="72" max="72" width="9.7109375" style="18" customWidth="1"/>
    <col min="73" max="73" width="15.7109375" style="12" customWidth="1"/>
    <col min="74" max="16384" width="11.42578125" style="12"/>
  </cols>
  <sheetData>
    <row r="1" spans="1:73"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row>
    <row r="2" spans="1:73" ht="180" x14ac:dyDescent="0.25">
      <c r="A2" s="13" t="s">
        <v>74</v>
      </c>
      <c r="B2" s="13" t="s">
        <v>75</v>
      </c>
      <c r="C2" s="14">
        <v>43571.724305555559</v>
      </c>
      <c r="D2" s="13" t="s">
        <v>76</v>
      </c>
      <c r="E2" s="15" t="s">
        <v>77</v>
      </c>
      <c r="F2" s="13" t="s">
        <v>78</v>
      </c>
      <c r="G2" s="15" t="s">
        <v>79</v>
      </c>
      <c r="H2" s="13" t="s">
        <v>80</v>
      </c>
      <c r="I2" s="15" t="s">
        <v>81</v>
      </c>
      <c r="J2" s="15" t="s">
        <v>82</v>
      </c>
      <c r="K2" s="15" t="s">
        <v>83</v>
      </c>
      <c r="L2" s="13" t="s">
        <v>84</v>
      </c>
      <c r="M2" s="15" t="s">
        <v>85</v>
      </c>
      <c r="N2" s="13" t="s">
        <v>86</v>
      </c>
      <c r="O2" s="15"/>
      <c r="P2" s="15"/>
      <c r="Q2" s="15" t="s">
        <v>87</v>
      </c>
      <c r="R2" s="13" t="s">
        <v>88</v>
      </c>
      <c r="S2" s="13" t="s">
        <v>89</v>
      </c>
      <c r="T2" s="13" t="s">
        <v>90</v>
      </c>
      <c r="U2" s="14">
        <v>40725</v>
      </c>
      <c r="V2" s="14"/>
      <c r="W2" s="15" t="s">
        <v>91</v>
      </c>
      <c r="X2" s="13" t="s">
        <v>92</v>
      </c>
      <c r="Y2" s="15" t="str">
        <f>VLOOKUP(X2,'Axe 2 Règles de gestion'!$D$2:$F$51,3, FALSE)</f>
        <v>Le congé est accordé pour effectuer un stage ou suivre une session dans l'un des centres ou instituts qui figurent sur une liste arrêtée tous les 3 ans par le ministre chargé de la fonction publique.</v>
      </c>
      <c r="Z2" s="13" t="s">
        <v>94</v>
      </c>
      <c r="AA2" s="15" t="str">
        <f>VLOOKUP(Z2,'Axe 2 Règles de gestion'!$D$2:$F$51,3, FALSE)</f>
        <v>L'agent doit formuler sa demande par écrit au chef de service au moins 1 mois à l'avance.</v>
      </c>
      <c r="AB2" s="13" t="s">
        <v>96</v>
      </c>
      <c r="AC2" s="15" t="str">
        <f>VLOOKUP(AB2,'Axe 2 Règles de gestion'!$D$2:$F$51,3, FALSE)</f>
        <v>Le congé est réputé accordé, à défaut de réponse expresse de l'administration au plus tard le 15ème jour qui précède le début du stage ou de la session.</v>
      </c>
      <c r="AD2" s="13" t="s">
        <v>98</v>
      </c>
      <c r="AE2" s="15" t="str">
        <f>VLOOKUP(AD2,'Axe 2 Règles de gestion'!$D$2:$F$51,3, FALSE)</f>
        <v>L'administration ne peut refuser le bénéfice du congé que pour des raisons liées aux nécessités du service.</v>
      </c>
      <c r="AF2" s="13" t="s">
        <v>100</v>
      </c>
      <c r="AG2" s="15" t="str">
        <f>VLOOKUP(AF2,'Axe 2 Règles de gestion'!$D$2:$F$51,3, FALSE)</f>
        <v>La commission administrative paritaire ou la commission d'avancement est informée de la décision de rejet ainsi que des motifs de refus.</v>
      </c>
      <c r="AH2" s="13"/>
      <c r="AI2" s="15"/>
      <c r="AJ2" s="13" t="s">
        <v>102</v>
      </c>
      <c r="AK2" s="15" t="str">
        <f>VLOOKUP(AJ2,'Axe 2 Règles de gestion'!$D$2:$F$51,3, FALSE)</f>
        <v>Le congé de formation syndicale est d'une durée maximale de 12 jours ouvrables par an.</v>
      </c>
      <c r="AL2" s="13" t="s">
        <v>104</v>
      </c>
      <c r="AM2" s="15" t="str">
        <f>VLOOKUP(AL2,'Axe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N2" s="13" t="s">
        <v>106</v>
      </c>
      <c r="AO2" s="15" t="str">
        <f>VLOOKUP(AN2,'Axe 2 Règles de gestion'!$D$2:$F$51,3, FALSE)</f>
        <v>L'agent doit être en activité.</v>
      </c>
      <c r="AP2" s="13"/>
      <c r="AQ2" s="15"/>
      <c r="AR2" s="13"/>
      <c r="AS2" s="15"/>
      <c r="AT2" s="13" t="s">
        <v>108</v>
      </c>
      <c r="AU2" s="15" t="str">
        <f>VLOOKUP(AT2,'Axe 2 Règles de gestion'!$D$2:$F$51,3, FALSE)</f>
        <v>La période de référence du compteur de suivi du cumul total du congé saisi doit être initialisée sur une période allant du 01/01 au 31/12 de la même année.</v>
      </c>
      <c r="AV2" s="13" t="s">
        <v>110</v>
      </c>
      <c r="AW2" s="15" t="str">
        <f>VLOOKUP(AV2,'Axe 2 Règles de gestion'!$D$2:$F$51,3, FALSE)</f>
        <v>La date de début du congé/absence doit être postérieure ou égale à la date de recrutement dans la FPE ou dans la carrière militaire.</v>
      </c>
      <c r="AX2" s="13" t="s">
        <v>112</v>
      </c>
      <c r="AY2" s="15" t="str">
        <f>VLOOKUP(AX2,'Axe 2 Règles de gestion'!$D$2:$F$51,3, FALSE)</f>
        <v>La date de début du congé/absence doit être antérieure ou égale à la date de fin réelle du congé/absence.</v>
      </c>
      <c r="AZ2" s="13" t="s">
        <v>114</v>
      </c>
      <c r="BA2" s="15" t="str">
        <f>VLOOKUP(AZ2,'Axe 2 Règles de gestion'!$D$2:$F$51,3, FALSE)</f>
        <v>La date de début du congé/absence doit être antérieure ou égale à la date de fin prévisionnelle du congé/absence.</v>
      </c>
      <c r="BB2" s="13" t="s">
        <v>116</v>
      </c>
      <c r="BC2" s="15" t="str">
        <f>VLOOKUP(BB2,'Axe 2 Règles de gestion'!$D$2:$F$51,3, FALSE)</f>
        <v>La date de fin réelle du congé/absence doit être antérieure à la date limite de départ à la retraite.</v>
      </c>
      <c r="BD2" s="13" t="s">
        <v>118</v>
      </c>
      <c r="BE2" s="15" t="str">
        <f>VLOOKUP(BD2,'Axe 2 Règles de gestion'!$D$2:$F$51,3, FALSE)</f>
        <v>La date de fin prévisionnelle du congé/absence doit être antérieure à la date limite de départ à la retraite.</v>
      </c>
      <c r="BF2" s="13" t="s">
        <v>120</v>
      </c>
      <c r="BG2" s="15" t="str">
        <f>VLOOKUP(BF2,'Axe 2 Règles de gestion'!$D$2:$F$51,3, FALSE)</f>
        <v>Si l'absence ne commence pas par une demi-journée et si l'absence précédente ne finit pas par une demi journée, la date de début de l'absence saisie est postérieure à la date de fin réelle de l'absence précédente.</v>
      </c>
      <c r="BH2" s="13" t="s">
        <v>122</v>
      </c>
      <c r="BI2" s="15" t="str">
        <f>VLOOKUP(BH2,'Axe 2 Règles de gestion'!$D$2:$F$51,3, FALSE)</f>
        <v>Si l'absence ne commence pas par une demi-journée et si l'absence précédente ne finit pas par une demi journée, la date de début de l'absence saisie est postérieure à la date de fin prévisionnelle de l'absence précédente.</v>
      </c>
      <c r="BJ2" s="13" t="s">
        <v>124</v>
      </c>
      <c r="BK2" s="15" t="str">
        <f>VLOOKUP(BJ2,'Axe 2 Règles de gestion'!$D$2:$F$51,3, FALSE)</f>
        <v>La date de fin réelle ou la date de fin prévisionnelle du congé/absence doit être saisie.</v>
      </c>
      <c r="BL2" s="13" t="s">
        <v>126</v>
      </c>
      <c r="BM2" s="15" t="str">
        <f>VLOOKUP(BL2,'Axe 2 Règles de gestion'!$D$2:$F$51,3, FALSE)</f>
        <v>Dans le cas d'un congé autre que CLM, CLD, CGM et CITIS, l'indicateur de requalification doit être à non et les impacts spécifiques à la requalification ne doivent pas être mobilisés ou l'impact rémunération est vide.</v>
      </c>
      <c r="BN2" s="13"/>
      <c r="BO2" s="15"/>
      <c r="BP2" s="13"/>
      <c r="BQ2" s="15"/>
      <c r="BR2" s="13"/>
      <c r="BS2" s="15"/>
      <c r="BT2" s="13"/>
      <c r="BU2" s="13"/>
    </row>
    <row r="3" spans="1:73" ht="180" x14ac:dyDescent="0.25">
      <c r="A3" s="13" t="s">
        <v>74</v>
      </c>
      <c r="B3" s="13" t="s">
        <v>75</v>
      </c>
      <c r="C3" s="14">
        <v>43571.649305555555</v>
      </c>
      <c r="D3" s="13" t="s">
        <v>76</v>
      </c>
      <c r="E3" s="15" t="s">
        <v>77</v>
      </c>
      <c r="F3" s="13" t="s">
        <v>78</v>
      </c>
      <c r="G3" s="15" t="s">
        <v>79</v>
      </c>
      <c r="H3" s="13" t="s">
        <v>80</v>
      </c>
      <c r="I3" s="15" t="s">
        <v>81</v>
      </c>
      <c r="J3" s="15" t="s">
        <v>82</v>
      </c>
      <c r="K3" s="15" t="s">
        <v>83</v>
      </c>
      <c r="L3" s="13" t="s">
        <v>128</v>
      </c>
      <c r="M3" s="15" t="s">
        <v>129</v>
      </c>
      <c r="N3" s="13" t="s">
        <v>130</v>
      </c>
      <c r="O3" s="15"/>
      <c r="P3" s="15"/>
      <c r="Q3" s="15" t="s">
        <v>87</v>
      </c>
      <c r="R3" s="13" t="s">
        <v>88</v>
      </c>
      <c r="S3" s="13" t="s">
        <v>89</v>
      </c>
      <c r="T3" s="13" t="s">
        <v>90</v>
      </c>
      <c r="U3" s="14">
        <v>40725</v>
      </c>
      <c r="V3" s="14"/>
      <c r="W3" s="15" t="s">
        <v>131</v>
      </c>
      <c r="X3" s="13" t="s">
        <v>132</v>
      </c>
      <c r="Y3" s="15" t="str">
        <f>VLOOKUP(X3,'Axe 2 Règles de gestion'!$D$2:$F$51,3, FALSE)</f>
        <v>Lors de la reprise de fonctions, l'agent remet à son chef de service l'attestation d'assiduité délivrée à l'issue de son stage.</v>
      </c>
      <c r="Z3" s="13"/>
      <c r="AA3" s="15"/>
      <c r="AB3" s="13"/>
      <c r="AC3" s="15"/>
      <c r="AD3" s="13"/>
      <c r="AE3" s="15"/>
      <c r="AF3" s="13"/>
      <c r="AG3" s="15"/>
      <c r="AH3" s="13"/>
      <c r="AI3" s="15"/>
      <c r="AJ3" s="13" t="s">
        <v>102</v>
      </c>
      <c r="AK3" s="15" t="str">
        <f>VLOOKUP(AJ3,'Axe 2 Règles de gestion'!$D$2:$F$51,3, FALSE)</f>
        <v>Le congé de formation syndicale est d'une durée maximale de 12 jours ouvrables par an.</v>
      </c>
      <c r="AL3" s="13" t="s">
        <v>104</v>
      </c>
      <c r="AM3" s="15" t="str">
        <f>VLOOKUP(AL3,'Axe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N3" s="13"/>
      <c r="AO3" s="15"/>
      <c r="AP3" s="13"/>
      <c r="AQ3" s="15"/>
      <c r="AR3" s="13"/>
      <c r="AS3" s="15"/>
      <c r="AT3" s="13" t="s">
        <v>112</v>
      </c>
      <c r="AU3" s="15" t="str">
        <f>VLOOKUP(AT3,'Axe 2 Règles de gestion'!$D$2:$F$51,3, FALSE)</f>
        <v>La date de début du congé/absence doit être antérieure ou égale à la date de fin réelle du congé/absence.</v>
      </c>
      <c r="AV3" s="13" t="s">
        <v>114</v>
      </c>
      <c r="AW3" s="15" t="str">
        <f>VLOOKUP(AV3,'Axe 2 Règles de gestion'!$D$2:$F$51,3, FALSE)</f>
        <v>La date de début du congé/absence doit être antérieure ou égale à la date de fin prévisionnelle du congé/absence.</v>
      </c>
      <c r="AX3" s="13" t="s">
        <v>116</v>
      </c>
      <c r="AY3" s="15" t="str">
        <f>VLOOKUP(AX3,'Axe 2 Règles de gestion'!$D$2:$F$51,3, FALSE)</f>
        <v>La date de fin réelle du congé/absence doit être antérieure à la date limite de départ à la retraite.</v>
      </c>
      <c r="AZ3" s="13" t="s">
        <v>118</v>
      </c>
      <c r="BA3" s="15" t="str">
        <f>VLOOKUP(AZ3,'Axe 2 Règles de gestion'!$D$2:$F$51,3, FALSE)</f>
        <v>La date de fin prévisionnelle du congé/absence doit être antérieure à la date limite de départ à la retraite.</v>
      </c>
      <c r="BB3" s="13" t="s">
        <v>124</v>
      </c>
      <c r="BC3" s="15" t="str">
        <f>VLOOKUP(BB3,'Axe 2 Règles de gestion'!$D$2:$F$51,3, FALSE)</f>
        <v>La date de fin réelle ou la date de fin prévisionnelle du congé/absence doit être saisie.</v>
      </c>
      <c r="BD3" s="13" t="s">
        <v>126</v>
      </c>
      <c r="BE3" s="15" t="str">
        <f>VLOOKUP(BD3,'Axe 2 Règles de gestion'!$D$2:$F$51,3, FALSE)</f>
        <v>Dans le cas d'un congé autre que CLM, CLD, CGM et CITIS, l'indicateur de requalification doit être à non et les impacts spécifiques à la requalification ne doivent pas être mobilisés ou l'impact rémunération est vide.</v>
      </c>
      <c r="BF3" s="13" t="s">
        <v>108</v>
      </c>
      <c r="BG3" s="15" t="str">
        <f>VLOOKUP(BF3,'Axe 2 Règles de gestion'!$D$2:$F$51,3, FALSE)</f>
        <v>La période de référence du compteur de suivi du cumul total du congé saisi doit être initialisée sur une période allant du 01/01 au 31/12 de la même année.</v>
      </c>
      <c r="BH3" s="13"/>
      <c r="BI3" s="15"/>
      <c r="BJ3" s="13"/>
      <c r="BK3" s="15"/>
      <c r="BL3" s="13"/>
      <c r="BM3" s="15"/>
      <c r="BN3" s="13"/>
      <c r="BO3" s="15"/>
      <c r="BP3" s="13"/>
      <c r="BQ3" s="15"/>
      <c r="BR3" s="13"/>
      <c r="BS3" s="15"/>
      <c r="BT3" s="13"/>
      <c r="BU3" s="13"/>
    </row>
    <row r="4" spans="1:73" ht="45" x14ac:dyDescent="0.25">
      <c r="A4" s="13" t="s">
        <v>134</v>
      </c>
      <c r="B4" s="13" t="s">
        <v>135</v>
      </c>
      <c r="C4" s="14">
        <v>44886.486805555556</v>
      </c>
      <c r="D4" s="13" t="s">
        <v>76</v>
      </c>
      <c r="E4" s="15" t="s">
        <v>77</v>
      </c>
      <c r="F4" s="13" t="s">
        <v>78</v>
      </c>
      <c r="G4" s="15" t="s">
        <v>79</v>
      </c>
      <c r="H4" s="13" t="s">
        <v>80</v>
      </c>
      <c r="I4" s="15" t="s">
        <v>81</v>
      </c>
      <c r="J4" s="15" t="s">
        <v>82</v>
      </c>
      <c r="K4" s="15" t="s">
        <v>83</v>
      </c>
      <c r="L4" s="13" t="s">
        <v>84</v>
      </c>
      <c r="M4" s="15" t="s">
        <v>85</v>
      </c>
      <c r="N4" s="13" t="s">
        <v>86</v>
      </c>
      <c r="O4" s="15"/>
      <c r="P4" s="15"/>
      <c r="Q4" s="15" t="s">
        <v>136</v>
      </c>
      <c r="R4" s="13" t="s">
        <v>137</v>
      </c>
      <c r="S4" s="13" t="s">
        <v>89</v>
      </c>
      <c r="T4" s="13" t="s">
        <v>138</v>
      </c>
      <c r="U4" s="14">
        <v>43831</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3"/>
    </row>
    <row r="5" spans="1:73" ht="45" x14ac:dyDescent="0.25">
      <c r="A5" s="13" t="s">
        <v>134</v>
      </c>
      <c r="B5" s="13" t="s">
        <v>135</v>
      </c>
      <c r="C5" s="14">
        <v>44886.486805555556</v>
      </c>
      <c r="D5" s="13" t="s">
        <v>76</v>
      </c>
      <c r="E5" s="15" t="s">
        <v>77</v>
      </c>
      <c r="F5" s="13" t="s">
        <v>78</v>
      </c>
      <c r="G5" s="15" t="s">
        <v>79</v>
      </c>
      <c r="H5" s="13" t="s">
        <v>80</v>
      </c>
      <c r="I5" s="15" t="s">
        <v>81</v>
      </c>
      <c r="J5" s="15" t="s">
        <v>82</v>
      </c>
      <c r="K5" s="15" t="s">
        <v>83</v>
      </c>
      <c r="L5" s="13" t="s">
        <v>128</v>
      </c>
      <c r="M5" s="15" t="s">
        <v>129</v>
      </c>
      <c r="N5" s="13" t="s">
        <v>130</v>
      </c>
      <c r="O5" s="15"/>
      <c r="P5" s="15"/>
      <c r="Q5" s="15" t="s">
        <v>136</v>
      </c>
      <c r="R5" s="13" t="s">
        <v>137</v>
      </c>
      <c r="S5" s="13" t="s">
        <v>89</v>
      </c>
      <c r="T5" s="13" t="s">
        <v>138</v>
      </c>
      <c r="U5" s="14">
        <v>43831</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3"/>
    </row>
    <row r="6" spans="1:73" ht="210" x14ac:dyDescent="0.25">
      <c r="A6" s="13" t="s">
        <v>134</v>
      </c>
      <c r="B6" s="13" t="s">
        <v>75</v>
      </c>
      <c r="C6" s="14">
        <v>44832.520138888889</v>
      </c>
      <c r="D6" s="13" t="s">
        <v>76</v>
      </c>
      <c r="E6" s="15" t="s">
        <v>77</v>
      </c>
      <c r="F6" s="13" t="s">
        <v>78</v>
      </c>
      <c r="G6" s="15" t="s">
        <v>79</v>
      </c>
      <c r="H6" s="13" t="s">
        <v>80</v>
      </c>
      <c r="I6" s="15" t="s">
        <v>81</v>
      </c>
      <c r="J6" s="15" t="s">
        <v>82</v>
      </c>
      <c r="K6" s="15" t="s">
        <v>83</v>
      </c>
      <c r="L6" s="13" t="s">
        <v>84</v>
      </c>
      <c r="M6" s="15" t="s">
        <v>85</v>
      </c>
      <c r="N6" s="13" t="s">
        <v>86</v>
      </c>
      <c r="O6" s="15"/>
      <c r="P6" s="15"/>
      <c r="Q6" s="15" t="s">
        <v>139</v>
      </c>
      <c r="R6" s="13" t="s">
        <v>140</v>
      </c>
      <c r="S6" s="13" t="s">
        <v>89</v>
      </c>
      <c r="T6" s="13" t="s">
        <v>90</v>
      </c>
      <c r="U6" s="14">
        <v>40725</v>
      </c>
      <c r="V6" s="14">
        <v>44677</v>
      </c>
      <c r="W6" s="15" t="s">
        <v>141</v>
      </c>
      <c r="X6" s="13" t="s">
        <v>92</v>
      </c>
      <c r="Y6" s="15" t="str">
        <f>VLOOKUP(X6,'Axe 2 Règles de gestion'!$D$2:$F$51,3, FALSE)</f>
        <v>Le congé est accordé pour effectuer un stage ou suivre une session dans l'un des centres ou instituts qui figurent sur une liste arrêtée tous les 3 ans par le ministre chargé de la fonction publique.</v>
      </c>
      <c r="Z6" s="13" t="s">
        <v>94</v>
      </c>
      <c r="AA6" s="15" t="str">
        <f>VLOOKUP(Z6,'Axe 2 Règles de gestion'!$D$2:$F$51,3, FALSE)</f>
        <v>L'agent doit formuler sa demande par écrit au chef de service au moins 1 mois à l'avance.</v>
      </c>
      <c r="AB6" s="13" t="s">
        <v>96</v>
      </c>
      <c r="AC6" s="15" t="str">
        <f>VLOOKUP(AB6,'Axe 2 Règles de gestion'!$D$2:$F$51,3, FALSE)</f>
        <v>Le congé est réputé accordé, à défaut de réponse expresse de l'administration au plus tard le 15ème jour qui précède le début du stage ou de la session.</v>
      </c>
      <c r="AD6" s="13" t="s">
        <v>98</v>
      </c>
      <c r="AE6" s="15" t="str">
        <f>VLOOKUP(AD6,'Axe 2 Règles de gestion'!$D$2:$F$51,3, FALSE)</f>
        <v>L'administration ne peut refuser le bénéfice du congé que pour des raisons liées aux nécessités du service.</v>
      </c>
      <c r="AF6" s="13" t="s">
        <v>100</v>
      </c>
      <c r="AG6" s="15" t="str">
        <f>VLOOKUP(AF6,'Axe 2 Règles de gestion'!$D$2:$F$51,3, FALSE)</f>
        <v>La commission administrative paritaire ou la commission d'avancement est informée de la décision de rejet ainsi que des motifs de refus.</v>
      </c>
      <c r="AH6" s="13"/>
      <c r="AI6" s="15"/>
      <c r="AJ6" s="13" t="s">
        <v>142</v>
      </c>
      <c r="AK6" s="15" t="str">
        <f>VLOOKUP(AJ6,'Axe 2 Règles de gestion'!$D$2:$F$51,3, FALSE)</f>
        <v>Le congé est d'une durée maximale de 12 jours ouvrables par an.</v>
      </c>
      <c r="AL6" s="13" t="s">
        <v>144</v>
      </c>
      <c r="AM6" s="15" t="str">
        <f>VLOOKUP(AL6,'Axe 2 Règles de gestion'!$D$2:$F$51,3,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N6" s="13" t="s">
        <v>146</v>
      </c>
      <c r="AO6" s="15" t="str">
        <f>VLOOKUP(AN6,'Axe 2 Règles de gestion'!$D$2:$F$51,3, FALSE)</f>
        <v>L'agent doit être en activité.</v>
      </c>
      <c r="AP6" s="13"/>
      <c r="AQ6" s="15"/>
      <c r="AR6" s="13"/>
      <c r="AS6" s="15"/>
      <c r="AT6" s="13" t="s">
        <v>147</v>
      </c>
      <c r="AU6" s="15" t="str">
        <f>VLOOKUP(AT6,'Axe 2 Règles de gestion'!$D$2:$F$51,3, FALSE)</f>
        <v>La date de début du congé/absence doit être postérieure ou égale à la date de début du lien juridique.</v>
      </c>
      <c r="AV6" s="13" t="s">
        <v>112</v>
      </c>
      <c r="AW6" s="15" t="str">
        <f>VLOOKUP(AV6,'Axe 2 Règles de gestion'!$D$2:$F$51,3, FALSE)</f>
        <v>La date de début du congé/absence doit être antérieure ou égale à la date de fin réelle du congé/absence.</v>
      </c>
      <c r="AX6" s="13" t="s">
        <v>114</v>
      </c>
      <c r="AY6" s="15" t="str">
        <f>VLOOKUP(AX6,'Axe 2 Règles de gestion'!$D$2:$F$51,3, FALSE)</f>
        <v>La date de début du congé/absence doit être antérieure ou égale à la date de fin prévisionnelle du congé/absence.</v>
      </c>
      <c r="AZ6" s="13" t="s">
        <v>149</v>
      </c>
      <c r="BA6" s="15" t="str">
        <f>VLOOKUP(AZ6,'Axe 2 Règles de gestion'!$D$2:$F$51,3, FALSE)</f>
        <v>La date de fin réelle du congé/absence doit être antérieure ou égale à la date limite de fin réelle ou prévisionnelle du lien juridique.</v>
      </c>
      <c r="BB6" s="13" t="s">
        <v>151</v>
      </c>
      <c r="BC6" s="15" t="str">
        <f>VLOOKUP(BB6,'Axe 2 Règles de gestion'!$D$2:$F$51,3, FALSE)</f>
        <v>La date de fin prévisionnelle du congé/absence doit être antérieure ou égale à la date limite de fin réelle ou prévisionnelle du lien juridique.</v>
      </c>
      <c r="BD6" s="13" t="s">
        <v>116</v>
      </c>
      <c r="BE6" s="15" t="str">
        <f>VLOOKUP(BD6,'Axe 2 Règles de gestion'!$D$2:$F$51,3, FALSE)</f>
        <v>La date de fin réelle du congé/absence doit être antérieure à la date limite de départ à la retraite.</v>
      </c>
      <c r="BF6" s="13" t="s">
        <v>118</v>
      </c>
      <c r="BG6" s="15" t="str">
        <f>VLOOKUP(BF6,'Axe 2 Règles de gestion'!$D$2:$F$51,3, FALSE)</f>
        <v>La date de fin prévisionnelle du congé/absence doit être antérieure à la date limite de départ à la retraite.</v>
      </c>
      <c r="BH6" s="13" t="s">
        <v>124</v>
      </c>
      <c r="BI6" s="15" t="str">
        <f>VLOOKUP(BH6,'Axe 2 Règles de gestion'!$D$2:$F$51,3, FALSE)</f>
        <v>La date de fin réelle ou la date de fin prévisionnelle du congé/absence doit être saisie.</v>
      </c>
      <c r="BJ6" s="13" t="s">
        <v>120</v>
      </c>
      <c r="BK6" s="15" t="str">
        <f>VLOOKUP(BJ6,'Axe 2 Règles de gestion'!$D$2:$F$51,3, FALSE)</f>
        <v>Si l'absence ne commence pas par une demi-journée et si l'absence précédente ne finit pas par une demi journée, la date de début de l'absence saisie est postérieure à la date de fin réelle de l'absence précédente.</v>
      </c>
      <c r="BL6" s="13" t="s">
        <v>122</v>
      </c>
      <c r="BM6" s="15" t="str">
        <f>VLOOKUP(BL6,'Axe 2 Règles de gestion'!$D$2:$F$51,3, FALSE)</f>
        <v>Si l'absence ne commence pas par une demi-journée et si l'absence précédente ne finit pas par une demi journée, la date de début de l'absence saisie est postérieure à la date de fin prévisionnelle de l'absence précédente.</v>
      </c>
      <c r="BN6" s="13" t="s">
        <v>126</v>
      </c>
      <c r="BO6" s="15" t="str">
        <f>VLOOKUP(BN6,'Axe 2 Règles de gestion'!$D$2:$F$51,3, FALSE)</f>
        <v>Dans le cas d'un congé autre que CLM, CLD, CGM et CITIS, l'indicateur de requalification doit être à non et les impacts spécifiques à la requalification ne doivent pas être mobilisés ou l'impact rémunération est vide.</v>
      </c>
      <c r="BP6" s="13" t="s">
        <v>108</v>
      </c>
      <c r="BQ6" s="15" t="str">
        <f>VLOOKUP(BP6,'Axe 2 Règles de gestion'!$D$2:$F$51,3, FALSE)</f>
        <v>La période de référence du compteur de suivi du cumul total du congé saisi doit être initialisée sur une période allant du 01/01 au 31/12 de la même année.</v>
      </c>
      <c r="BR6" s="13"/>
      <c r="BS6" s="15"/>
      <c r="BT6" s="13"/>
      <c r="BU6" s="13"/>
    </row>
    <row r="7" spans="1:73" ht="210" x14ac:dyDescent="0.25">
      <c r="A7" s="13" t="s">
        <v>134</v>
      </c>
      <c r="B7" s="13" t="s">
        <v>135</v>
      </c>
      <c r="C7" s="14">
        <v>44832.520833333336</v>
      </c>
      <c r="D7" s="13" t="s">
        <v>76</v>
      </c>
      <c r="E7" s="15" t="s">
        <v>77</v>
      </c>
      <c r="F7" s="13" t="s">
        <v>78</v>
      </c>
      <c r="G7" s="15" t="s">
        <v>79</v>
      </c>
      <c r="H7" s="13" t="s">
        <v>80</v>
      </c>
      <c r="I7" s="15" t="s">
        <v>81</v>
      </c>
      <c r="J7" s="15" t="s">
        <v>82</v>
      </c>
      <c r="K7" s="15" t="s">
        <v>83</v>
      </c>
      <c r="L7" s="13" t="s">
        <v>84</v>
      </c>
      <c r="M7" s="15" t="s">
        <v>85</v>
      </c>
      <c r="N7" s="13" t="s">
        <v>86</v>
      </c>
      <c r="O7" s="15"/>
      <c r="P7" s="15"/>
      <c r="Q7" s="15" t="s">
        <v>139</v>
      </c>
      <c r="R7" s="13" t="s">
        <v>140</v>
      </c>
      <c r="S7" s="13" t="s">
        <v>89</v>
      </c>
      <c r="T7" s="13" t="s">
        <v>90</v>
      </c>
      <c r="U7" s="14">
        <v>44678</v>
      </c>
      <c r="V7" s="14"/>
      <c r="W7" s="15" t="s">
        <v>153</v>
      </c>
      <c r="X7" s="13" t="s">
        <v>92</v>
      </c>
      <c r="Y7" s="15" t="str">
        <f>VLOOKUP(X7,'Axe 2 Règles de gestion'!$D$2:$F$51,3, FALSE)</f>
        <v>Le congé est accordé pour effectuer un stage ou suivre une session dans l'un des centres ou instituts qui figurent sur une liste arrêtée tous les 3 ans par le ministre chargé de la fonction publique.</v>
      </c>
      <c r="Z7" s="13" t="s">
        <v>94</v>
      </c>
      <c r="AA7" s="15" t="str">
        <f>VLOOKUP(Z7,'Axe 2 Règles de gestion'!$D$2:$F$51,3, FALSE)</f>
        <v>L'agent doit formuler sa demande par écrit au chef de service au moins 1 mois à l'avance.</v>
      </c>
      <c r="AB7" s="13" t="s">
        <v>96</v>
      </c>
      <c r="AC7" s="15" t="str">
        <f>VLOOKUP(AB7,'Axe 2 Règles de gestion'!$D$2:$F$51,3, FALSE)</f>
        <v>Le congé est réputé accordé, à défaut de réponse expresse de l'administration au plus tard le 15ème jour qui précède le début du stage ou de la session.</v>
      </c>
      <c r="AD7" s="13" t="s">
        <v>98</v>
      </c>
      <c r="AE7" s="15" t="str">
        <f>VLOOKUP(AD7,'Axe 2 Règles de gestion'!$D$2:$F$51,3, FALSE)</f>
        <v>L'administration ne peut refuser le bénéfice du congé que pour des raisons liées aux nécessités du service.</v>
      </c>
      <c r="AF7" s="13" t="s">
        <v>154</v>
      </c>
      <c r="AG7" s="15" t="str">
        <f>VLOOKUP(AF7,'Axe 2 Règles de gestion'!$D$2:$F$51,3, FALSE)</f>
        <v>La décision de refus d'octroi du congé fait l'objet d'une saisie pour avis de la commission consultative paritaire.</v>
      </c>
      <c r="AH7" s="13"/>
      <c r="AI7" s="15"/>
      <c r="AJ7" s="13" t="s">
        <v>142</v>
      </c>
      <c r="AK7" s="15" t="str">
        <f>VLOOKUP(AJ7,'Axe 2 Règles de gestion'!$D$2:$F$51,3, FALSE)</f>
        <v>Le congé est d'une durée maximale de 12 jours ouvrables par an.</v>
      </c>
      <c r="AL7" s="13" t="s">
        <v>144</v>
      </c>
      <c r="AM7" s="15" t="str">
        <f>VLOOKUP(AL7,'Axe 2 Règles de gestion'!$D$2:$F$51,3,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N7" s="13" t="s">
        <v>146</v>
      </c>
      <c r="AO7" s="15" t="str">
        <f>VLOOKUP(AN7,'Axe 2 Règles de gestion'!$D$2:$F$51,3, FALSE)</f>
        <v>L'agent doit être en activité.</v>
      </c>
      <c r="AP7" s="13"/>
      <c r="AQ7" s="15"/>
      <c r="AR7" s="13"/>
      <c r="AS7" s="15"/>
      <c r="AT7" s="13" t="s">
        <v>147</v>
      </c>
      <c r="AU7" s="15" t="str">
        <f>VLOOKUP(AT7,'Axe 2 Règles de gestion'!$D$2:$F$51,3, FALSE)</f>
        <v>La date de début du congé/absence doit être postérieure ou égale à la date de début du lien juridique.</v>
      </c>
      <c r="AV7" s="13" t="s">
        <v>112</v>
      </c>
      <c r="AW7" s="15" t="str">
        <f>VLOOKUP(AV7,'Axe 2 Règles de gestion'!$D$2:$F$51,3, FALSE)</f>
        <v>La date de début du congé/absence doit être antérieure ou égale à la date de fin réelle du congé/absence.</v>
      </c>
      <c r="AX7" s="13" t="s">
        <v>114</v>
      </c>
      <c r="AY7" s="15" t="str">
        <f>VLOOKUP(AX7,'Axe 2 Règles de gestion'!$D$2:$F$51,3, FALSE)</f>
        <v>La date de début du congé/absence doit être antérieure ou égale à la date de fin prévisionnelle du congé/absence.</v>
      </c>
      <c r="AZ7" s="13" t="s">
        <v>149</v>
      </c>
      <c r="BA7" s="15" t="str">
        <f>VLOOKUP(AZ7,'Axe 2 Règles de gestion'!$D$2:$F$51,3, FALSE)</f>
        <v>La date de fin réelle du congé/absence doit être antérieure ou égale à la date limite de fin réelle ou prévisionnelle du lien juridique.</v>
      </c>
      <c r="BB7" s="13" t="s">
        <v>151</v>
      </c>
      <c r="BC7" s="15" t="str">
        <f>VLOOKUP(BB7,'Axe 2 Règles de gestion'!$D$2:$F$51,3, FALSE)</f>
        <v>La date de fin prévisionnelle du congé/absence doit être antérieure ou égale à la date limite de fin réelle ou prévisionnelle du lien juridique.</v>
      </c>
      <c r="BD7" s="13" t="s">
        <v>116</v>
      </c>
      <c r="BE7" s="15" t="str">
        <f>VLOOKUP(BD7,'Axe 2 Règles de gestion'!$D$2:$F$51,3, FALSE)</f>
        <v>La date de fin réelle du congé/absence doit être antérieure à la date limite de départ à la retraite.</v>
      </c>
      <c r="BF7" s="13" t="s">
        <v>118</v>
      </c>
      <c r="BG7" s="15" t="str">
        <f>VLOOKUP(BF7,'Axe 2 Règles de gestion'!$D$2:$F$51,3, FALSE)</f>
        <v>La date de fin prévisionnelle du congé/absence doit être antérieure à la date limite de départ à la retraite.</v>
      </c>
      <c r="BH7" s="13" t="s">
        <v>124</v>
      </c>
      <c r="BI7" s="15" t="str">
        <f>VLOOKUP(BH7,'Axe 2 Règles de gestion'!$D$2:$F$51,3, FALSE)</f>
        <v>La date de fin réelle ou la date de fin prévisionnelle du congé/absence doit être saisie.</v>
      </c>
      <c r="BJ7" s="13" t="s">
        <v>120</v>
      </c>
      <c r="BK7" s="15" t="str">
        <f>VLOOKUP(BJ7,'Axe 2 Règles de gestion'!$D$2:$F$51,3, FALSE)</f>
        <v>Si l'absence ne commence pas par une demi-journée et si l'absence précédente ne finit pas par une demi journée, la date de début de l'absence saisie est postérieure à la date de fin réelle de l'absence précédente.</v>
      </c>
      <c r="BL7" s="13" t="s">
        <v>122</v>
      </c>
      <c r="BM7" s="15" t="str">
        <f>VLOOKUP(BL7,'Axe 2 Règles de gestion'!$D$2:$F$51,3, FALSE)</f>
        <v>Si l'absence ne commence pas par une demi-journée et si l'absence précédente ne finit pas par une demi journée, la date de début de l'absence saisie est postérieure à la date de fin prévisionnelle de l'absence précédente.</v>
      </c>
      <c r="BN7" s="13" t="s">
        <v>126</v>
      </c>
      <c r="BO7" s="15" t="str">
        <f>VLOOKUP(BN7,'Axe 2 Règles de gestion'!$D$2:$F$51,3, FALSE)</f>
        <v>Dans le cas d'un congé autre que CLM, CLD, CGM et CITIS, l'indicateur de requalification doit être à non et les impacts spécifiques à la requalification ne doivent pas être mobilisés ou l'impact rémunération est vide.</v>
      </c>
      <c r="BP7" s="13" t="s">
        <v>108</v>
      </c>
      <c r="BQ7" s="15" t="str">
        <f>VLOOKUP(BP7,'Axe 2 Règles de gestion'!$D$2:$F$51,3, FALSE)</f>
        <v>La période de référence du compteur de suivi du cumul total du congé saisi doit être initialisée sur une période allant du 01/01 au 31/12 de la même année.</v>
      </c>
      <c r="BR7" s="13"/>
      <c r="BS7" s="15"/>
      <c r="BT7" s="13"/>
      <c r="BU7" s="13"/>
    </row>
    <row r="8" spans="1:73" ht="210" x14ac:dyDescent="0.25">
      <c r="A8" s="13" t="s">
        <v>74</v>
      </c>
      <c r="B8" s="13" t="s">
        <v>75</v>
      </c>
      <c r="C8" s="14">
        <v>43572.461805555555</v>
      </c>
      <c r="D8" s="13" t="s">
        <v>76</v>
      </c>
      <c r="E8" s="15" t="s">
        <v>77</v>
      </c>
      <c r="F8" s="13" t="s">
        <v>78</v>
      </c>
      <c r="G8" s="15" t="s">
        <v>79</v>
      </c>
      <c r="H8" s="13" t="s">
        <v>80</v>
      </c>
      <c r="I8" s="15" t="s">
        <v>81</v>
      </c>
      <c r="J8" s="15" t="s">
        <v>82</v>
      </c>
      <c r="K8" s="15" t="s">
        <v>83</v>
      </c>
      <c r="L8" s="13" t="s">
        <v>128</v>
      </c>
      <c r="M8" s="15" t="s">
        <v>129</v>
      </c>
      <c r="N8" s="13" t="s">
        <v>130</v>
      </c>
      <c r="O8" s="15"/>
      <c r="P8" s="15"/>
      <c r="Q8" s="15" t="s">
        <v>139</v>
      </c>
      <c r="R8" s="13" t="s">
        <v>140</v>
      </c>
      <c r="S8" s="13" t="s">
        <v>89</v>
      </c>
      <c r="T8" s="13" t="s">
        <v>90</v>
      </c>
      <c r="U8" s="14">
        <v>40725</v>
      </c>
      <c r="V8" s="14"/>
      <c r="W8" s="15" t="s">
        <v>156</v>
      </c>
      <c r="X8" s="13" t="s">
        <v>132</v>
      </c>
      <c r="Y8" s="15" t="str">
        <f>VLOOKUP(X8,'Axe 2 Règles de gestion'!$D$2:$F$51,3, FALSE)</f>
        <v>Lors de la reprise de fonctions, l'agent remet à son chef de service l'attestation d'assiduité délivrée à l'issue de son stage.</v>
      </c>
      <c r="Z8" s="13"/>
      <c r="AA8" s="15"/>
      <c r="AB8" s="13"/>
      <c r="AC8" s="15"/>
      <c r="AD8" s="13"/>
      <c r="AE8" s="15"/>
      <c r="AF8" s="13"/>
      <c r="AG8" s="15"/>
      <c r="AH8" s="13"/>
      <c r="AI8" s="15"/>
      <c r="AJ8" s="13" t="s">
        <v>142</v>
      </c>
      <c r="AK8" s="15" t="str">
        <f>VLOOKUP(AJ8,'Axe 2 Règles de gestion'!$D$2:$F$51,3, FALSE)</f>
        <v>Le congé est d'une durée maximale de 12 jours ouvrables par an.</v>
      </c>
      <c r="AL8" s="13" t="s">
        <v>144</v>
      </c>
      <c r="AM8" s="15" t="str">
        <f>VLOOKUP(AL8,'Axe 2 Règles de gestion'!$D$2:$F$51,3,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N8" s="13"/>
      <c r="AO8" s="15"/>
      <c r="AP8" s="13"/>
      <c r="AQ8" s="15"/>
      <c r="AR8" s="13"/>
      <c r="AS8" s="15"/>
      <c r="AT8" s="13" t="s">
        <v>112</v>
      </c>
      <c r="AU8" s="15" t="str">
        <f>VLOOKUP(AT8,'Axe 2 Règles de gestion'!$D$2:$F$51,3, FALSE)</f>
        <v>La date de début du congé/absence doit être antérieure ou égale à la date de fin réelle du congé/absence.</v>
      </c>
      <c r="AV8" s="13" t="s">
        <v>114</v>
      </c>
      <c r="AW8" s="15" t="str">
        <f>VLOOKUP(AV8,'Axe 2 Règles de gestion'!$D$2:$F$51,3, FALSE)</f>
        <v>La date de début du congé/absence doit être antérieure ou égale à la date de fin prévisionnelle du congé/absence.</v>
      </c>
      <c r="AX8" s="13" t="s">
        <v>149</v>
      </c>
      <c r="AY8" s="15" t="str">
        <f>VLOOKUP(AX8,'Axe 2 Règles de gestion'!$D$2:$F$51,3, FALSE)</f>
        <v>La date de fin réelle du congé/absence doit être antérieure ou égale à la date limite de fin réelle ou prévisionnelle du lien juridique.</v>
      </c>
      <c r="AZ8" s="13" t="s">
        <v>151</v>
      </c>
      <c r="BA8" s="15" t="str">
        <f>VLOOKUP(AZ8,'Axe 2 Règles de gestion'!$D$2:$F$51,3, FALSE)</f>
        <v>La date de fin prévisionnelle du congé/absence doit être antérieure ou égale à la date limite de fin réelle ou prévisionnelle du lien juridique.</v>
      </c>
      <c r="BB8" s="13" t="s">
        <v>116</v>
      </c>
      <c r="BC8" s="15" t="str">
        <f>VLOOKUP(BB8,'Axe 2 Règles de gestion'!$D$2:$F$51,3, FALSE)</f>
        <v>La date de fin réelle du congé/absence doit être antérieure à la date limite de départ à la retraite.</v>
      </c>
      <c r="BD8" s="13" t="s">
        <v>118</v>
      </c>
      <c r="BE8" s="15" t="str">
        <f>VLOOKUP(BD8,'Axe 2 Règles de gestion'!$D$2:$F$51,3, FALSE)</f>
        <v>La date de fin prévisionnelle du congé/absence doit être antérieure à la date limite de départ à la retraite.</v>
      </c>
      <c r="BF8" s="13" t="s">
        <v>124</v>
      </c>
      <c r="BG8" s="15" t="str">
        <f>VLOOKUP(BF8,'Axe 2 Règles de gestion'!$D$2:$F$51,3, FALSE)</f>
        <v>La date de fin réelle ou la date de fin prévisionnelle du congé/absence doit être saisie.</v>
      </c>
      <c r="BH8" s="13" t="s">
        <v>126</v>
      </c>
      <c r="BI8" s="15" t="str">
        <f>VLOOKUP(BH8,'Axe 2 Règles de gestion'!$D$2:$F$51,3, FALSE)</f>
        <v>Dans le cas d'un congé autre que CLM, CLD, CGM et CITIS, l'indicateur de requalification doit être à non et les impacts spécifiques à la requalification ne doivent pas être mobilisés ou l'impact rémunération est vide.</v>
      </c>
      <c r="BJ8" s="13" t="s">
        <v>108</v>
      </c>
      <c r="BK8" s="15" t="str">
        <f>VLOOKUP(BJ8,'Axe 2 Règles de gestion'!$D$2:$F$51,3, FALSE)</f>
        <v>La période de référence du compteur de suivi du cumul total du congé saisi doit être initialisée sur une période allant du 01/01 au 31/12 de la même année.</v>
      </c>
      <c r="BL8" s="13"/>
      <c r="BM8" s="15"/>
      <c r="BN8" s="13"/>
      <c r="BO8" s="15"/>
      <c r="BP8" s="13"/>
      <c r="BQ8" s="15"/>
      <c r="BR8" s="13"/>
      <c r="BS8" s="15"/>
      <c r="BT8" s="13"/>
      <c r="BU8" s="13"/>
    </row>
    <row r="9" spans="1:73" ht="180" x14ac:dyDescent="0.25">
      <c r="A9" s="13" t="s">
        <v>74</v>
      </c>
      <c r="B9" s="13" t="s">
        <v>75</v>
      </c>
      <c r="C9" s="14">
        <v>43571.724999999999</v>
      </c>
      <c r="D9" s="13" t="s">
        <v>76</v>
      </c>
      <c r="E9" s="15" t="s">
        <v>77</v>
      </c>
      <c r="F9" s="13" t="s">
        <v>78</v>
      </c>
      <c r="G9" s="15" t="s">
        <v>79</v>
      </c>
      <c r="H9" s="13" t="s">
        <v>80</v>
      </c>
      <c r="I9" s="15" t="s">
        <v>81</v>
      </c>
      <c r="J9" s="15" t="s">
        <v>82</v>
      </c>
      <c r="K9" s="15" t="s">
        <v>83</v>
      </c>
      <c r="L9" s="13" t="s">
        <v>84</v>
      </c>
      <c r="M9" s="15" t="s">
        <v>85</v>
      </c>
      <c r="N9" s="13" t="s">
        <v>86</v>
      </c>
      <c r="O9" s="15"/>
      <c r="P9" s="15"/>
      <c r="Q9" s="15" t="s">
        <v>157</v>
      </c>
      <c r="R9" s="13" t="s">
        <v>158</v>
      </c>
      <c r="S9" s="13" t="s">
        <v>89</v>
      </c>
      <c r="T9" s="13" t="s">
        <v>90</v>
      </c>
      <c r="U9" s="14">
        <v>40725</v>
      </c>
      <c r="V9" s="14"/>
      <c r="W9" s="15" t="s">
        <v>159</v>
      </c>
      <c r="X9" s="13" t="s">
        <v>92</v>
      </c>
      <c r="Y9" s="15" t="str">
        <f>VLOOKUP(X9,'Axe 2 Règles de gestion'!$D$2:$F$51,3, FALSE)</f>
        <v>Le congé est accordé pour effectuer un stage ou suivre une session dans l'un des centres ou instituts qui figurent sur une liste arrêtée tous les 3 ans par le ministre chargé de la fonction publique.</v>
      </c>
      <c r="Z9" s="13" t="s">
        <v>94</v>
      </c>
      <c r="AA9" s="15" t="str">
        <f>VLOOKUP(Z9,'Axe 2 Règles de gestion'!$D$2:$F$51,3, FALSE)</f>
        <v>L'agent doit formuler sa demande par écrit au chef de service au moins 1 mois à l'avance.</v>
      </c>
      <c r="AB9" s="13" t="s">
        <v>96</v>
      </c>
      <c r="AC9" s="15" t="str">
        <f>VLOOKUP(AB9,'Axe 2 Règles de gestion'!$D$2:$F$51,3, FALSE)</f>
        <v>Le congé est réputé accordé, à défaut de réponse expresse de l'administration au plus tard le 15ème jour qui précède le début du stage ou de la session.</v>
      </c>
      <c r="AD9" s="13" t="s">
        <v>98</v>
      </c>
      <c r="AE9" s="15" t="str">
        <f>VLOOKUP(AD9,'Axe 2 Règles de gestion'!$D$2:$F$51,3, FALSE)</f>
        <v>L'administration ne peut refuser le bénéfice du congé que pour des raisons liées aux nécessités du service.</v>
      </c>
      <c r="AF9" s="13" t="s">
        <v>100</v>
      </c>
      <c r="AG9" s="15" t="str">
        <f>VLOOKUP(AF9,'Axe 2 Règles de gestion'!$D$2:$F$51,3, FALSE)</f>
        <v>La commission administrative paritaire ou la commission d'avancement est informée de la décision de rejet ainsi que des motifs de refus.</v>
      </c>
      <c r="AH9" s="13"/>
      <c r="AI9" s="15"/>
      <c r="AJ9" s="13" t="s">
        <v>102</v>
      </c>
      <c r="AK9" s="15" t="str">
        <f>VLOOKUP(AJ9,'Axe 2 Règles de gestion'!$D$2:$F$51,3, FALSE)</f>
        <v>Le congé de formation syndicale est d'une durée maximale de 12 jours ouvrables par an.</v>
      </c>
      <c r="AL9" s="13" t="s">
        <v>104</v>
      </c>
      <c r="AM9" s="15" t="str">
        <f>VLOOKUP(AL9,'Axe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N9" s="13" t="s">
        <v>106</v>
      </c>
      <c r="AO9" s="15" t="str">
        <f>VLOOKUP(AN9,'Axe 2 Règles de gestion'!$D$2:$F$51,3, FALSE)</f>
        <v>L'agent doit être en activité.</v>
      </c>
      <c r="AP9" s="13"/>
      <c r="AQ9" s="15"/>
      <c r="AR9" s="13"/>
      <c r="AS9" s="15"/>
      <c r="AT9" s="13" t="s">
        <v>110</v>
      </c>
      <c r="AU9" s="15" t="str">
        <f>VLOOKUP(AT9,'Axe 2 Règles de gestion'!$D$2:$F$51,3, FALSE)</f>
        <v>La date de début du congé/absence doit être postérieure ou égale à la date de recrutement dans la FPE ou dans la carrière militaire.</v>
      </c>
      <c r="AV9" s="13" t="s">
        <v>112</v>
      </c>
      <c r="AW9" s="15" t="str">
        <f>VLOOKUP(AV9,'Axe 2 Règles de gestion'!$D$2:$F$51,3, FALSE)</f>
        <v>La date de début du congé/absence doit être antérieure ou égale à la date de fin réelle du congé/absence.</v>
      </c>
      <c r="AX9" s="13" t="s">
        <v>114</v>
      </c>
      <c r="AY9" s="15" t="str">
        <f>VLOOKUP(AX9,'Axe 2 Règles de gestion'!$D$2:$F$51,3, FALSE)</f>
        <v>La date de début du congé/absence doit être antérieure ou égale à la date de fin prévisionnelle du congé/absence.</v>
      </c>
      <c r="AZ9" s="13" t="s">
        <v>116</v>
      </c>
      <c r="BA9" s="15" t="str">
        <f>VLOOKUP(AZ9,'Axe 2 Règles de gestion'!$D$2:$F$51,3, FALSE)</f>
        <v>La date de fin réelle du congé/absence doit être antérieure à la date limite de départ à la retraite.</v>
      </c>
      <c r="BB9" s="13" t="s">
        <v>118</v>
      </c>
      <c r="BC9" s="15" t="str">
        <f>VLOOKUP(BB9,'Axe 2 Règles de gestion'!$D$2:$F$51,3, FALSE)</f>
        <v>La date de fin prévisionnelle du congé/absence doit être antérieure à la date limite de départ à la retraite.</v>
      </c>
      <c r="BD9" s="13" t="s">
        <v>124</v>
      </c>
      <c r="BE9" s="15" t="str">
        <f>VLOOKUP(BD9,'Axe 2 Règles de gestion'!$D$2:$F$51,3, FALSE)</f>
        <v>La date de fin réelle ou la date de fin prévisionnelle du congé/absence doit être saisie.</v>
      </c>
      <c r="BF9" s="13" t="s">
        <v>120</v>
      </c>
      <c r="BG9" s="15" t="str">
        <f>VLOOKUP(BF9,'Axe 2 Règles de gestion'!$D$2:$F$51,3, FALSE)</f>
        <v>Si l'absence ne commence pas par une demi-journée et si l'absence précédente ne finit pas par une demi journée, la date de début de l'absence saisie est postérieure à la date de fin réelle de l'absence précédente.</v>
      </c>
      <c r="BH9" s="13" t="s">
        <v>122</v>
      </c>
      <c r="BI9" s="15" t="str">
        <f>VLOOKUP(BH9,'Axe 2 Règles de gestion'!$D$2:$F$51,3, FALSE)</f>
        <v>Si l'absence ne commence pas par une demi-journée et si l'absence précédente ne finit pas par une demi journée, la date de début de l'absence saisie est postérieure à la date de fin prévisionnelle de l'absence précédente.</v>
      </c>
      <c r="BJ9" s="13" t="s">
        <v>126</v>
      </c>
      <c r="BK9" s="15" t="str">
        <f>VLOOKUP(BJ9,'Axe 2 Règles de gestion'!$D$2:$F$51,3, FALSE)</f>
        <v>Dans le cas d'un congé autre que CLM, CLD, CGM et CITIS, l'indicateur de requalification doit être à non et les impacts spécifiques à la requalification ne doivent pas être mobilisés ou l'impact rémunération est vide.</v>
      </c>
      <c r="BL9" s="13" t="s">
        <v>108</v>
      </c>
      <c r="BM9" s="15" t="str">
        <f>VLOOKUP(BL9,'Axe 2 Règles de gestion'!$D$2:$F$51,3, FALSE)</f>
        <v>La période de référence du compteur de suivi du cumul total du congé saisi doit être initialisée sur une période allant du 01/01 au 31/12 de la même année.</v>
      </c>
      <c r="BN9" s="13"/>
      <c r="BO9" s="15"/>
      <c r="BP9" s="13"/>
      <c r="BQ9" s="15"/>
      <c r="BR9" s="13"/>
      <c r="BS9" s="15"/>
      <c r="BT9" s="13"/>
      <c r="BU9" s="13"/>
    </row>
    <row r="10" spans="1:73" ht="180" x14ac:dyDescent="0.25">
      <c r="A10" s="13" t="s">
        <v>74</v>
      </c>
      <c r="B10" s="13" t="s">
        <v>75</v>
      </c>
      <c r="C10" s="14">
        <v>43572.461111111108</v>
      </c>
      <c r="D10" s="13" t="s">
        <v>76</v>
      </c>
      <c r="E10" s="15" t="s">
        <v>77</v>
      </c>
      <c r="F10" s="13" t="s">
        <v>78</v>
      </c>
      <c r="G10" s="15" t="s">
        <v>79</v>
      </c>
      <c r="H10" s="13" t="s">
        <v>80</v>
      </c>
      <c r="I10" s="15" t="s">
        <v>81</v>
      </c>
      <c r="J10" s="15" t="s">
        <v>82</v>
      </c>
      <c r="K10" s="15" t="s">
        <v>83</v>
      </c>
      <c r="L10" s="13" t="s">
        <v>128</v>
      </c>
      <c r="M10" s="15" t="s">
        <v>129</v>
      </c>
      <c r="N10" s="13" t="s">
        <v>130</v>
      </c>
      <c r="O10" s="15"/>
      <c r="P10" s="15"/>
      <c r="Q10" s="15" t="s">
        <v>157</v>
      </c>
      <c r="R10" s="13" t="s">
        <v>158</v>
      </c>
      <c r="S10" s="13" t="s">
        <v>89</v>
      </c>
      <c r="T10" s="13" t="s">
        <v>90</v>
      </c>
      <c r="U10" s="14">
        <v>40725</v>
      </c>
      <c r="V10" s="14"/>
      <c r="W10" s="15" t="s">
        <v>131</v>
      </c>
      <c r="X10" s="13" t="s">
        <v>132</v>
      </c>
      <c r="Y10" s="15" t="str">
        <f>VLOOKUP(X10,'Axe 2 Règles de gestion'!$D$2:$F$51,3, FALSE)</f>
        <v>Lors de la reprise de fonctions, l'agent remet à son chef de service l'attestation d'assiduité délivrée à l'issue de son stage.</v>
      </c>
      <c r="Z10" s="13"/>
      <c r="AA10" s="15"/>
      <c r="AB10" s="13"/>
      <c r="AC10" s="15"/>
      <c r="AD10" s="13"/>
      <c r="AE10" s="15"/>
      <c r="AF10" s="13"/>
      <c r="AG10" s="15"/>
      <c r="AH10" s="13"/>
      <c r="AI10" s="15"/>
      <c r="AJ10" s="13" t="s">
        <v>102</v>
      </c>
      <c r="AK10" s="15" t="str">
        <f>VLOOKUP(AJ10,'Axe 2 Règles de gestion'!$D$2:$F$51,3, FALSE)</f>
        <v>Le congé de formation syndicale est d'une durée maximale de 12 jours ouvrables par an.</v>
      </c>
      <c r="AL10" s="13" t="s">
        <v>104</v>
      </c>
      <c r="AM10" s="15" t="str">
        <f>VLOOKUP(AL10,'Axe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N10" s="13"/>
      <c r="AO10" s="15"/>
      <c r="AP10" s="13"/>
      <c r="AQ10" s="15"/>
      <c r="AR10" s="13"/>
      <c r="AS10" s="15"/>
      <c r="AT10" s="13" t="s">
        <v>112</v>
      </c>
      <c r="AU10" s="15" t="str">
        <f>VLOOKUP(AT10,'Axe 2 Règles de gestion'!$D$2:$F$51,3, FALSE)</f>
        <v>La date de début du congé/absence doit être antérieure ou égale à la date de fin réelle du congé/absence.</v>
      </c>
      <c r="AV10" s="13" t="s">
        <v>114</v>
      </c>
      <c r="AW10" s="15" t="str">
        <f>VLOOKUP(AV10,'Axe 2 Règles de gestion'!$D$2:$F$51,3, FALSE)</f>
        <v>La date de début du congé/absence doit être antérieure ou égale à la date de fin prévisionnelle du congé/absence.</v>
      </c>
      <c r="AX10" s="13" t="s">
        <v>116</v>
      </c>
      <c r="AY10" s="15" t="str">
        <f>VLOOKUP(AX10,'Axe 2 Règles de gestion'!$D$2:$F$51,3, FALSE)</f>
        <v>La date de fin réelle du congé/absence doit être antérieure à la date limite de départ à la retraite.</v>
      </c>
      <c r="AZ10" s="13" t="s">
        <v>118</v>
      </c>
      <c r="BA10" s="15" t="str">
        <f>VLOOKUP(AZ10,'Axe 2 Règles de gestion'!$D$2:$F$51,3, FALSE)</f>
        <v>La date de fin prévisionnelle du congé/absence doit être antérieure à la date limite de départ à la retraite.</v>
      </c>
      <c r="BB10" s="13" t="s">
        <v>124</v>
      </c>
      <c r="BC10" s="15" t="str">
        <f>VLOOKUP(BB10,'Axe 2 Règles de gestion'!$D$2:$F$51,3, FALSE)</f>
        <v>La date de fin réelle ou la date de fin prévisionnelle du congé/absence doit être saisie.</v>
      </c>
      <c r="BD10" s="13" t="s">
        <v>126</v>
      </c>
      <c r="BE10" s="15" t="str">
        <f>VLOOKUP(BD10,'Axe 2 Règles de gestion'!$D$2:$F$51,3, FALSE)</f>
        <v>Dans le cas d'un congé autre que CLM, CLD, CGM et CITIS, l'indicateur de requalification doit être à non et les impacts spécifiques à la requalification ne doivent pas être mobilisés ou l'impact rémunération est vide.</v>
      </c>
      <c r="BF10" s="13" t="s">
        <v>108</v>
      </c>
      <c r="BG10" s="15" t="str">
        <f>VLOOKUP(BF10,'Axe 2 Règles de gestion'!$D$2:$F$51,3, FALSE)</f>
        <v>La période de référence du compteur de suivi du cumul total du congé saisi doit être initialisée sur une période allant du 01/01 au 31/12 de la même année.</v>
      </c>
      <c r="BH10" s="13"/>
      <c r="BI10" s="15"/>
      <c r="BJ10" s="13"/>
      <c r="BK10" s="15"/>
      <c r="BL10" s="13"/>
      <c r="BM10" s="15"/>
      <c r="BN10" s="13"/>
      <c r="BO10" s="15"/>
      <c r="BP10" s="13"/>
      <c r="BQ10" s="15"/>
      <c r="BR10" s="13"/>
      <c r="BS10" s="15"/>
      <c r="BT10" s="13"/>
      <c r="BU10" s="13"/>
    </row>
    <row r="11" spans="1:73" ht="210" x14ac:dyDescent="0.25">
      <c r="A11" s="13" t="s">
        <v>74</v>
      </c>
      <c r="B11" s="13" t="s">
        <v>75</v>
      </c>
      <c r="C11" s="14">
        <v>43571.732638888891</v>
      </c>
      <c r="D11" s="13" t="s">
        <v>76</v>
      </c>
      <c r="E11" s="15" t="s">
        <v>77</v>
      </c>
      <c r="F11" s="13" t="s">
        <v>78</v>
      </c>
      <c r="G11" s="15" t="s">
        <v>79</v>
      </c>
      <c r="H11" s="13" t="s">
        <v>80</v>
      </c>
      <c r="I11" s="15" t="s">
        <v>81</v>
      </c>
      <c r="J11" s="15" t="s">
        <v>82</v>
      </c>
      <c r="K11" s="15" t="s">
        <v>83</v>
      </c>
      <c r="L11" s="13" t="s">
        <v>84</v>
      </c>
      <c r="M11" s="15" t="s">
        <v>85</v>
      </c>
      <c r="N11" s="13" t="s">
        <v>86</v>
      </c>
      <c r="O11" s="15"/>
      <c r="P11" s="15"/>
      <c r="Q11" s="15" t="s">
        <v>160</v>
      </c>
      <c r="R11" s="13" t="s">
        <v>161</v>
      </c>
      <c r="S11" s="13" t="s">
        <v>89</v>
      </c>
      <c r="T11" s="13" t="s">
        <v>90</v>
      </c>
      <c r="U11" s="14">
        <v>40725</v>
      </c>
      <c r="V11" s="14"/>
      <c r="W11" s="15" t="s">
        <v>162</v>
      </c>
      <c r="X11" s="13" t="s">
        <v>92</v>
      </c>
      <c r="Y11" s="15" t="str">
        <f>VLOOKUP(X11,'Axe 2 Règles de gestion'!$D$2:$F$51,3, FALSE)</f>
        <v>Le congé est accordé pour effectuer un stage ou suivre une session dans l'un des centres ou instituts qui figurent sur une liste arrêtée tous les 3 ans par le ministre chargé de la fonction publique.</v>
      </c>
      <c r="Z11" s="13" t="s">
        <v>94</v>
      </c>
      <c r="AA11" s="15" t="str">
        <f>VLOOKUP(Z11,'Axe 2 Règles de gestion'!$D$2:$F$51,3, FALSE)</f>
        <v>L'agent doit formuler sa demande par écrit au chef de service au moins 1 mois à l'avance.</v>
      </c>
      <c r="AB11" s="13" t="s">
        <v>96</v>
      </c>
      <c r="AC11" s="15" t="str">
        <f>VLOOKUP(AB11,'Axe 2 Règles de gestion'!$D$2:$F$51,3, FALSE)</f>
        <v>Le congé est réputé accordé, à défaut de réponse expresse de l'administration au plus tard le 15ème jour qui précède le début du stage ou de la session.</v>
      </c>
      <c r="AD11" s="13" t="s">
        <v>98</v>
      </c>
      <c r="AE11" s="15" t="str">
        <f>VLOOKUP(AD11,'Axe 2 Règles de gestion'!$D$2:$F$51,3, FALSE)</f>
        <v>L'administration ne peut refuser le bénéfice du congé que pour des raisons liées aux nécessités du service.</v>
      </c>
      <c r="AF11" s="13" t="s">
        <v>100</v>
      </c>
      <c r="AG11" s="15" t="str">
        <f>VLOOKUP(AF11,'Axe 2 Règles de gestion'!$D$2:$F$51,3, FALSE)</f>
        <v>La commission administrative paritaire ou la commission d'avancement est informée de la décision de rejet ainsi que des motifs de refus.</v>
      </c>
      <c r="AH11" s="13"/>
      <c r="AI11" s="15"/>
      <c r="AJ11" s="13" t="s">
        <v>142</v>
      </c>
      <c r="AK11" s="15" t="str">
        <f>VLOOKUP(AJ11,'Axe 2 Règles de gestion'!$D$2:$F$51,3, FALSE)</f>
        <v>Le congé est d'une durée maximale de 12 jours ouvrables par an.</v>
      </c>
      <c r="AL11" s="13" t="s">
        <v>144</v>
      </c>
      <c r="AM11" s="15" t="str">
        <f>VLOOKUP(AL11,'Axe 2 Règles de gestion'!$D$2:$F$51,3,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N11" s="13" t="s">
        <v>163</v>
      </c>
      <c r="AO11" s="15" t="str">
        <f>VLOOKUP(AN11,'Axe 2 Règles de gestion'!$D$2:$F$51,3, FALSE)</f>
        <v>L'agent doit être en activité.</v>
      </c>
      <c r="AP11" s="13"/>
      <c r="AQ11" s="15"/>
      <c r="AR11" s="13"/>
      <c r="AS11" s="15"/>
      <c r="AT11" s="13" t="s">
        <v>147</v>
      </c>
      <c r="AU11" s="15" t="str">
        <f>VLOOKUP(AT11,'Axe 2 Règles de gestion'!$D$2:$F$51,3, FALSE)</f>
        <v>La date de début du congé/absence doit être postérieure ou égale à la date de début du lien juridique.</v>
      </c>
      <c r="AV11" s="13" t="s">
        <v>112</v>
      </c>
      <c r="AW11" s="15" t="str">
        <f>VLOOKUP(AV11,'Axe 2 Règles de gestion'!$D$2:$F$51,3, FALSE)</f>
        <v>La date de début du congé/absence doit être antérieure ou égale à la date de fin réelle du congé/absence.</v>
      </c>
      <c r="AX11" s="13" t="s">
        <v>114</v>
      </c>
      <c r="AY11" s="15" t="str">
        <f>VLOOKUP(AX11,'Axe 2 Règles de gestion'!$D$2:$F$51,3, FALSE)</f>
        <v>La date de début du congé/absence doit être antérieure ou égale à la date de fin prévisionnelle du congé/absence.</v>
      </c>
      <c r="AZ11" s="13" t="s">
        <v>149</v>
      </c>
      <c r="BA11" s="15" t="str">
        <f>VLOOKUP(AZ11,'Axe 2 Règles de gestion'!$D$2:$F$51,3, FALSE)</f>
        <v>La date de fin réelle du congé/absence doit être antérieure ou égale à la date limite de fin réelle ou prévisionnelle du lien juridique.</v>
      </c>
      <c r="BB11" s="13" t="s">
        <v>151</v>
      </c>
      <c r="BC11" s="15" t="str">
        <f>VLOOKUP(BB11,'Axe 2 Règles de gestion'!$D$2:$F$51,3, FALSE)</f>
        <v>La date de fin prévisionnelle du congé/absence doit être antérieure ou égale à la date limite de fin réelle ou prévisionnelle du lien juridique.</v>
      </c>
      <c r="BD11" s="13" t="s">
        <v>116</v>
      </c>
      <c r="BE11" s="15" t="str">
        <f>VLOOKUP(BD11,'Axe 2 Règles de gestion'!$D$2:$F$51,3, FALSE)</f>
        <v>La date de fin réelle du congé/absence doit être antérieure à la date limite de départ à la retraite.</v>
      </c>
      <c r="BF11" s="13" t="s">
        <v>118</v>
      </c>
      <c r="BG11" s="15" t="str">
        <f>VLOOKUP(BF11,'Axe 2 Règles de gestion'!$D$2:$F$51,3, FALSE)</f>
        <v>La date de fin prévisionnelle du congé/absence doit être antérieure à la date limite de départ à la retraite.</v>
      </c>
      <c r="BH11" s="13" t="s">
        <v>124</v>
      </c>
      <c r="BI11" s="15" t="str">
        <f>VLOOKUP(BH11,'Axe 2 Règles de gestion'!$D$2:$F$51,3, FALSE)</f>
        <v>La date de fin réelle ou la date de fin prévisionnelle du congé/absence doit être saisie.</v>
      </c>
      <c r="BJ11" s="13" t="s">
        <v>120</v>
      </c>
      <c r="BK11" s="15" t="str">
        <f>VLOOKUP(BJ11,'Axe 2 Règles de gestion'!$D$2:$F$51,3, FALSE)</f>
        <v>Si l'absence ne commence pas par une demi-journée et si l'absence précédente ne finit pas par une demi journée, la date de début de l'absence saisie est postérieure à la date de fin réelle de l'absence précédente.</v>
      </c>
      <c r="BL11" s="13" t="s">
        <v>122</v>
      </c>
      <c r="BM11" s="15" t="str">
        <f>VLOOKUP(BL11,'Axe 2 Règles de gestion'!$D$2:$F$51,3, FALSE)</f>
        <v>Si l'absence ne commence pas par une demi-journée et si l'absence précédente ne finit pas par une demi journée, la date de début de l'absence saisie est postérieure à la date de fin prévisionnelle de l'absence précédente.</v>
      </c>
      <c r="BN11" s="13" t="s">
        <v>126</v>
      </c>
      <c r="BO11" s="15" t="str">
        <f>VLOOKUP(BN11,'Axe 2 Règles de gestion'!$D$2:$F$51,3, FALSE)</f>
        <v>Dans le cas d'un congé autre que CLM, CLD, CGM et CITIS, l'indicateur de requalification doit être à non et les impacts spécifiques à la requalification ne doivent pas être mobilisés ou l'impact rémunération est vide.</v>
      </c>
      <c r="BP11" s="13" t="s">
        <v>108</v>
      </c>
      <c r="BQ11" s="15" t="str">
        <f>VLOOKUP(BP11,'Axe 2 Règles de gestion'!$D$2:$F$51,3, FALSE)</f>
        <v>La période de référence du compteur de suivi du cumul total du congé saisi doit être initialisée sur une période allant du 01/01 au 31/12 de la même année.</v>
      </c>
      <c r="BR11" s="13"/>
      <c r="BS11" s="15"/>
      <c r="BT11" s="13"/>
      <c r="BU11" s="13"/>
    </row>
    <row r="12" spans="1:73" ht="210" x14ac:dyDescent="0.25">
      <c r="A12" s="13" t="s">
        <v>74</v>
      </c>
      <c r="B12" s="13" t="s">
        <v>75</v>
      </c>
      <c r="C12" s="14">
        <v>43572.461805555555</v>
      </c>
      <c r="D12" s="13" t="s">
        <v>76</v>
      </c>
      <c r="E12" s="15" t="s">
        <v>77</v>
      </c>
      <c r="F12" s="13" t="s">
        <v>78</v>
      </c>
      <c r="G12" s="15" t="s">
        <v>79</v>
      </c>
      <c r="H12" s="13" t="s">
        <v>80</v>
      </c>
      <c r="I12" s="15" t="s">
        <v>81</v>
      </c>
      <c r="J12" s="15" t="s">
        <v>82</v>
      </c>
      <c r="K12" s="15" t="s">
        <v>83</v>
      </c>
      <c r="L12" s="13" t="s">
        <v>128</v>
      </c>
      <c r="M12" s="15" t="s">
        <v>129</v>
      </c>
      <c r="N12" s="13" t="s">
        <v>130</v>
      </c>
      <c r="O12" s="15"/>
      <c r="P12" s="15"/>
      <c r="Q12" s="15" t="s">
        <v>160</v>
      </c>
      <c r="R12" s="13" t="s">
        <v>161</v>
      </c>
      <c r="S12" s="13" t="s">
        <v>89</v>
      </c>
      <c r="T12" s="13" t="s">
        <v>90</v>
      </c>
      <c r="U12" s="14">
        <v>40725</v>
      </c>
      <c r="V12" s="14"/>
      <c r="W12" s="15" t="s">
        <v>156</v>
      </c>
      <c r="X12" s="13" t="s">
        <v>132</v>
      </c>
      <c r="Y12" s="15" t="str">
        <f>VLOOKUP(X12,'Axe 2 Règles de gestion'!$D$2:$F$51,3, FALSE)</f>
        <v>Lors de la reprise de fonctions, l'agent remet à son chef de service l'attestation d'assiduité délivrée à l'issue de son stage.</v>
      </c>
      <c r="Z12" s="13"/>
      <c r="AA12" s="15"/>
      <c r="AB12" s="13"/>
      <c r="AC12" s="15"/>
      <c r="AD12" s="13"/>
      <c r="AE12" s="15"/>
      <c r="AF12" s="13"/>
      <c r="AG12" s="15"/>
      <c r="AH12" s="13"/>
      <c r="AI12" s="15"/>
      <c r="AJ12" s="13" t="s">
        <v>142</v>
      </c>
      <c r="AK12" s="15" t="str">
        <f>VLOOKUP(AJ12,'Axe 2 Règles de gestion'!$D$2:$F$51,3, FALSE)</f>
        <v>Le congé est d'une durée maximale de 12 jours ouvrables par an.</v>
      </c>
      <c r="AL12" s="13" t="s">
        <v>144</v>
      </c>
      <c r="AM12" s="15" t="str">
        <f>VLOOKUP(AL12,'Axe 2 Règles de gestion'!$D$2:$F$51,3,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N12" s="13"/>
      <c r="AO12" s="15"/>
      <c r="AP12" s="13"/>
      <c r="AQ12" s="15"/>
      <c r="AR12" s="13"/>
      <c r="AS12" s="15"/>
      <c r="AT12" s="13" t="s">
        <v>112</v>
      </c>
      <c r="AU12" s="15" t="str">
        <f>VLOOKUP(AT12,'Axe 2 Règles de gestion'!$D$2:$F$51,3, FALSE)</f>
        <v>La date de début du congé/absence doit être antérieure ou égale à la date de fin réelle du congé/absence.</v>
      </c>
      <c r="AV12" s="13" t="s">
        <v>114</v>
      </c>
      <c r="AW12" s="15" t="str">
        <f>VLOOKUP(AV12,'Axe 2 Règles de gestion'!$D$2:$F$51,3, FALSE)</f>
        <v>La date de début du congé/absence doit être antérieure ou égale à la date de fin prévisionnelle du congé/absence.</v>
      </c>
      <c r="AX12" s="13" t="s">
        <v>149</v>
      </c>
      <c r="AY12" s="15" t="str">
        <f>VLOOKUP(AX12,'Axe 2 Règles de gestion'!$D$2:$F$51,3, FALSE)</f>
        <v>La date de fin réelle du congé/absence doit être antérieure ou égale à la date limite de fin réelle ou prévisionnelle du lien juridique.</v>
      </c>
      <c r="AZ12" s="13" t="s">
        <v>151</v>
      </c>
      <c r="BA12" s="15" t="str">
        <f>VLOOKUP(AZ12,'Axe 2 Règles de gestion'!$D$2:$F$51,3, FALSE)</f>
        <v>La date de fin prévisionnelle du congé/absence doit être antérieure ou égale à la date limite de fin réelle ou prévisionnelle du lien juridique.</v>
      </c>
      <c r="BB12" s="13" t="s">
        <v>116</v>
      </c>
      <c r="BC12" s="15" t="str">
        <f>VLOOKUP(BB12,'Axe 2 Règles de gestion'!$D$2:$F$51,3, FALSE)</f>
        <v>La date de fin réelle du congé/absence doit être antérieure à la date limite de départ à la retraite.</v>
      </c>
      <c r="BD12" s="13" t="s">
        <v>118</v>
      </c>
      <c r="BE12" s="15" t="str">
        <f>VLOOKUP(BD12,'Axe 2 Règles de gestion'!$D$2:$F$51,3, FALSE)</f>
        <v>La date de fin prévisionnelle du congé/absence doit être antérieure à la date limite de départ à la retraite.</v>
      </c>
      <c r="BF12" s="13" t="s">
        <v>124</v>
      </c>
      <c r="BG12" s="15" t="str">
        <f>VLOOKUP(BF12,'Axe 2 Règles de gestion'!$D$2:$F$51,3, FALSE)</f>
        <v>La date de fin réelle ou la date de fin prévisionnelle du congé/absence doit être saisie.</v>
      </c>
      <c r="BH12" s="13" t="s">
        <v>126</v>
      </c>
      <c r="BI12" s="15" t="str">
        <f>VLOOKUP(BH12,'Axe 2 Règles de gestion'!$D$2:$F$51,3, FALSE)</f>
        <v>Dans le cas d'un congé autre que CLM, CLD, CGM et CITIS, l'indicateur de requalification doit être à non et les impacts spécifiques à la requalification ne doivent pas être mobilisés ou l'impact rémunération est vide.</v>
      </c>
      <c r="BJ12" s="13" t="s">
        <v>108</v>
      </c>
      <c r="BK12" s="15" t="str">
        <f>VLOOKUP(BJ12,'Axe 2 Règles de gestion'!$D$2:$F$51,3, FALSE)</f>
        <v>La période de référence du compteur de suivi du cumul total du congé saisi doit être initialisée sur une période allant du 01/01 au 31/12 de la même année.</v>
      </c>
      <c r="BL12" s="13"/>
      <c r="BM12" s="15"/>
      <c r="BN12" s="13"/>
      <c r="BO12" s="15"/>
      <c r="BP12" s="13"/>
      <c r="BQ12" s="15"/>
      <c r="BR12" s="13"/>
      <c r="BS12" s="15"/>
      <c r="BT12" s="13"/>
      <c r="BU12" s="13"/>
    </row>
    <row r="13" spans="1:73" ht="45" x14ac:dyDescent="0.25">
      <c r="A13" s="13" t="s">
        <v>164</v>
      </c>
      <c r="B13" s="13" t="s">
        <v>135</v>
      </c>
      <c r="C13" s="14">
        <v>43152.5</v>
      </c>
      <c r="D13" s="13" t="s">
        <v>76</v>
      </c>
      <c r="E13" s="15" t="s">
        <v>77</v>
      </c>
      <c r="F13" s="13" t="s">
        <v>78</v>
      </c>
      <c r="G13" s="15" t="s">
        <v>79</v>
      </c>
      <c r="H13" s="13" t="s">
        <v>80</v>
      </c>
      <c r="I13" s="15" t="s">
        <v>81</v>
      </c>
      <c r="J13" s="15" t="s">
        <v>82</v>
      </c>
      <c r="K13" s="15" t="s">
        <v>83</v>
      </c>
      <c r="L13" s="13" t="s">
        <v>84</v>
      </c>
      <c r="M13" s="15" t="s">
        <v>85</v>
      </c>
      <c r="N13" s="13" t="s">
        <v>86</v>
      </c>
      <c r="O13" s="15"/>
      <c r="P13" s="15"/>
      <c r="Q13" s="15" t="s">
        <v>165</v>
      </c>
      <c r="R13" s="13" t="s">
        <v>166</v>
      </c>
      <c r="S13" s="13" t="s">
        <v>167</v>
      </c>
      <c r="T13" s="13" t="s">
        <v>138</v>
      </c>
      <c r="U13" s="14">
        <v>40725</v>
      </c>
      <c r="V13" s="14"/>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3"/>
    </row>
    <row r="14" spans="1:73" ht="45" x14ac:dyDescent="0.25">
      <c r="A14" s="13" t="s">
        <v>164</v>
      </c>
      <c r="B14" s="13" t="s">
        <v>135</v>
      </c>
      <c r="C14" s="14">
        <v>43152.5</v>
      </c>
      <c r="D14" s="13" t="s">
        <v>76</v>
      </c>
      <c r="E14" s="15" t="s">
        <v>77</v>
      </c>
      <c r="F14" s="13" t="s">
        <v>78</v>
      </c>
      <c r="G14" s="15" t="s">
        <v>79</v>
      </c>
      <c r="H14" s="13" t="s">
        <v>80</v>
      </c>
      <c r="I14" s="15" t="s">
        <v>81</v>
      </c>
      <c r="J14" s="15" t="s">
        <v>82</v>
      </c>
      <c r="K14" s="15" t="s">
        <v>83</v>
      </c>
      <c r="L14" s="13" t="s">
        <v>128</v>
      </c>
      <c r="M14" s="15" t="s">
        <v>129</v>
      </c>
      <c r="N14" s="13" t="s">
        <v>130</v>
      </c>
      <c r="O14" s="15"/>
      <c r="P14" s="15"/>
      <c r="Q14" s="15" t="s">
        <v>165</v>
      </c>
      <c r="R14" s="13" t="s">
        <v>166</v>
      </c>
      <c r="S14" s="13" t="s">
        <v>167</v>
      </c>
      <c r="T14" s="13" t="s">
        <v>138</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3"/>
    </row>
    <row r="15" spans="1:73" ht="45" x14ac:dyDescent="0.25">
      <c r="A15" s="13" t="s">
        <v>164</v>
      </c>
      <c r="B15" s="13" t="s">
        <v>135</v>
      </c>
      <c r="C15" s="14">
        <v>43152.5</v>
      </c>
      <c r="D15" s="13" t="s">
        <v>76</v>
      </c>
      <c r="E15" s="15" t="s">
        <v>77</v>
      </c>
      <c r="F15" s="13" t="s">
        <v>78</v>
      </c>
      <c r="G15" s="15" t="s">
        <v>79</v>
      </c>
      <c r="H15" s="13" t="s">
        <v>80</v>
      </c>
      <c r="I15" s="15" t="s">
        <v>81</v>
      </c>
      <c r="J15" s="15" t="s">
        <v>82</v>
      </c>
      <c r="K15" s="15" t="s">
        <v>83</v>
      </c>
      <c r="L15" s="13" t="s">
        <v>84</v>
      </c>
      <c r="M15" s="15" t="s">
        <v>85</v>
      </c>
      <c r="N15" s="13" t="s">
        <v>86</v>
      </c>
      <c r="O15" s="15"/>
      <c r="P15" s="15"/>
      <c r="Q15" s="15" t="s">
        <v>168</v>
      </c>
      <c r="R15" s="13" t="s">
        <v>169</v>
      </c>
      <c r="S15" s="13" t="s">
        <v>167</v>
      </c>
      <c r="T15" s="13" t="s">
        <v>138</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3"/>
    </row>
    <row r="16" spans="1:73" ht="45" x14ac:dyDescent="0.25">
      <c r="A16" s="13" t="s">
        <v>164</v>
      </c>
      <c r="B16" s="13" t="s">
        <v>135</v>
      </c>
      <c r="C16" s="14">
        <v>43152.5</v>
      </c>
      <c r="D16" s="13" t="s">
        <v>76</v>
      </c>
      <c r="E16" s="15" t="s">
        <v>77</v>
      </c>
      <c r="F16" s="13" t="s">
        <v>78</v>
      </c>
      <c r="G16" s="15" t="s">
        <v>79</v>
      </c>
      <c r="H16" s="13" t="s">
        <v>80</v>
      </c>
      <c r="I16" s="15" t="s">
        <v>81</v>
      </c>
      <c r="J16" s="15" t="s">
        <v>82</v>
      </c>
      <c r="K16" s="15" t="s">
        <v>83</v>
      </c>
      <c r="L16" s="13" t="s">
        <v>128</v>
      </c>
      <c r="M16" s="15" t="s">
        <v>129</v>
      </c>
      <c r="N16" s="13" t="s">
        <v>130</v>
      </c>
      <c r="O16" s="15"/>
      <c r="P16" s="15"/>
      <c r="Q16" s="15" t="s">
        <v>168</v>
      </c>
      <c r="R16" s="13" t="s">
        <v>169</v>
      </c>
      <c r="S16" s="13" t="s">
        <v>167</v>
      </c>
      <c r="T16" s="13" t="s">
        <v>138</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3"/>
    </row>
    <row r="17" spans="1:73" ht="45" x14ac:dyDescent="0.25">
      <c r="A17" s="13" t="s">
        <v>164</v>
      </c>
      <c r="B17" s="13" t="s">
        <v>135</v>
      </c>
      <c r="C17" s="14">
        <v>43152.5</v>
      </c>
      <c r="D17" s="13" t="s">
        <v>76</v>
      </c>
      <c r="E17" s="15" t="s">
        <v>77</v>
      </c>
      <c r="F17" s="13" t="s">
        <v>78</v>
      </c>
      <c r="G17" s="15" t="s">
        <v>79</v>
      </c>
      <c r="H17" s="13" t="s">
        <v>80</v>
      </c>
      <c r="I17" s="15" t="s">
        <v>81</v>
      </c>
      <c r="J17" s="15" t="s">
        <v>82</v>
      </c>
      <c r="K17" s="15" t="s">
        <v>83</v>
      </c>
      <c r="L17" s="13" t="s">
        <v>84</v>
      </c>
      <c r="M17" s="15" t="s">
        <v>85</v>
      </c>
      <c r="N17" s="13" t="s">
        <v>86</v>
      </c>
      <c r="O17" s="15"/>
      <c r="P17" s="15"/>
      <c r="Q17" s="15" t="s">
        <v>170</v>
      </c>
      <c r="R17" s="13" t="s">
        <v>171</v>
      </c>
      <c r="S17" s="13" t="s">
        <v>167</v>
      </c>
      <c r="T17" s="13" t="s">
        <v>138</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3"/>
    </row>
    <row r="18" spans="1:73" ht="45" x14ac:dyDescent="0.25">
      <c r="A18" s="13" t="s">
        <v>164</v>
      </c>
      <c r="B18" s="13" t="s">
        <v>135</v>
      </c>
      <c r="C18" s="14">
        <v>43152.5</v>
      </c>
      <c r="D18" s="13" t="s">
        <v>76</v>
      </c>
      <c r="E18" s="15" t="s">
        <v>77</v>
      </c>
      <c r="F18" s="13" t="s">
        <v>78</v>
      </c>
      <c r="G18" s="15" t="s">
        <v>79</v>
      </c>
      <c r="H18" s="13" t="s">
        <v>80</v>
      </c>
      <c r="I18" s="15" t="s">
        <v>81</v>
      </c>
      <c r="J18" s="15" t="s">
        <v>82</v>
      </c>
      <c r="K18" s="15" t="s">
        <v>83</v>
      </c>
      <c r="L18" s="13" t="s">
        <v>128</v>
      </c>
      <c r="M18" s="15" t="s">
        <v>129</v>
      </c>
      <c r="N18" s="13" t="s">
        <v>130</v>
      </c>
      <c r="O18" s="15"/>
      <c r="P18" s="15"/>
      <c r="Q18" s="15" t="s">
        <v>170</v>
      </c>
      <c r="R18" s="13" t="s">
        <v>171</v>
      </c>
      <c r="S18" s="13" t="s">
        <v>167</v>
      </c>
      <c r="T18" s="13" t="s">
        <v>138</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3"/>
    </row>
    <row r="19" spans="1:73" ht="60" x14ac:dyDescent="0.25">
      <c r="A19" s="13" t="s">
        <v>164</v>
      </c>
      <c r="B19" s="13" t="s">
        <v>135</v>
      </c>
      <c r="C19" s="14">
        <v>43152.5</v>
      </c>
      <c r="D19" s="13" t="s">
        <v>76</v>
      </c>
      <c r="E19" s="15" t="s">
        <v>77</v>
      </c>
      <c r="F19" s="13" t="s">
        <v>78</v>
      </c>
      <c r="G19" s="15" t="s">
        <v>79</v>
      </c>
      <c r="H19" s="13" t="s">
        <v>80</v>
      </c>
      <c r="I19" s="15" t="s">
        <v>81</v>
      </c>
      <c r="J19" s="15" t="s">
        <v>82</v>
      </c>
      <c r="K19" s="15" t="s">
        <v>83</v>
      </c>
      <c r="L19" s="13" t="s">
        <v>84</v>
      </c>
      <c r="M19" s="15" t="s">
        <v>85</v>
      </c>
      <c r="N19" s="13" t="s">
        <v>86</v>
      </c>
      <c r="O19" s="15"/>
      <c r="P19" s="15"/>
      <c r="Q19" s="15" t="s">
        <v>172</v>
      </c>
      <c r="R19" s="13" t="s">
        <v>173</v>
      </c>
      <c r="S19" s="13" t="s">
        <v>167</v>
      </c>
      <c r="T19" s="13" t="s">
        <v>138</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3"/>
    </row>
    <row r="20" spans="1:73" ht="60" x14ac:dyDescent="0.25">
      <c r="A20" s="13" t="s">
        <v>164</v>
      </c>
      <c r="B20" s="13" t="s">
        <v>135</v>
      </c>
      <c r="C20" s="14">
        <v>43152.5</v>
      </c>
      <c r="D20" s="13" t="s">
        <v>76</v>
      </c>
      <c r="E20" s="15" t="s">
        <v>77</v>
      </c>
      <c r="F20" s="13" t="s">
        <v>78</v>
      </c>
      <c r="G20" s="15" t="s">
        <v>79</v>
      </c>
      <c r="H20" s="13" t="s">
        <v>80</v>
      </c>
      <c r="I20" s="15" t="s">
        <v>81</v>
      </c>
      <c r="J20" s="15" t="s">
        <v>82</v>
      </c>
      <c r="K20" s="15" t="s">
        <v>83</v>
      </c>
      <c r="L20" s="13" t="s">
        <v>128</v>
      </c>
      <c r="M20" s="15" t="s">
        <v>129</v>
      </c>
      <c r="N20" s="13" t="s">
        <v>130</v>
      </c>
      <c r="O20" s="15"/>
      <c r="P20" s="15"/>
      <c r="Q20" s="15" t="s">
        <v>172</v>
      </c>
      <c r="R20" s="13" t="s">
        <v>173</v>
      </c>
      <c r="S20" s="13" t="s">
        <v>167</v>
      </c>
      <c r="T20" s="13" t="s">
        <v>138</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3"/>
    </row>
    <row r="21" spans="1:73" ht="60" x14ac:dyDescent="0.25">
      <c r="A21" s="13" t="s">
        <v>164</v>
      </c>
      <c r="B21" s="13" t="s">
        <v>135</v>
      </c>
      <c r="C21" s="14">
        <v>43152.5</v>
      </c>
      <c r="D21" s="13" t="s">
        <v>76</v>
      </c>
      <c r="E21" s="15" t="s">
        <v>77</v>
      </c>
      <c r="F21" s="13" t="s">
        <v>78</v>
      </c>
      <c r="G21" s="15" t="s">
        <v>79</v>
      </c>
      <c r="H21" s="13" t="s">
        <v>80</v>
      </c>
      <c r="I21" s="15" t="s">
        <v>81</v>
      </c>
      <c r="J21" s="15" t="s">
        <v>82</v>
      </c>
      <c r="K21" s="15" t="s">
        <v>83</v>
      </c>
      <c r="L21" s="13" t="s">
        <v>84</v>
      </c>
      <c r="M21" s="15" t="s">
        <v>85</v>
      </c>
      <c r="N21" s="13" t="s">
        <v>86</v>
      </c>
      <c r="O21" s="15"/>
      <c r="P21" s="15"/>
      <c r="Q21" s="15" t="s">
        <v>174</v>
      </c>
      <c r="R21" s="13" t="s">
        <v>175</v>
      </c>
      <c r="S21" s="13" t="s">
        <v>167</v>
      </c>
      <c r="T21" s="13" t="s">
        <v>138</v>
      </c>
      <c r="U21" s="14">
        <v>40725</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3"/>
    </row>
    <row r="22" spans="1:73" ht="60" x14ac:dyDescent="0.25">
      <c r="A22" s="13" t="s">
        <v>164</v>
      </c>
      <c r="B22" s="13" t="s">
        <v>135</v>
      </c>
      <c r="C22" s="14">
        <v>43152.5</v>
      </c>
      <c r="D22" s="13" t="s">
        <v>76</v>
      </c>
      <c r="E22" s="15" t="s">
        <v>77</v>
      </c>
      <c r="F22" s="13" t="s">
        <v>78</v>
      </c>
      <c r="G22" s="15" t="s">
        <v>79</v>
      </c>
      <c r="H22" s="13" t="s">
        <v>80</v>
      </c>
      <c r="I22" s="15" t="s">
        <v>81</v>
      </c>
      <c r="J22" s="15" t="s">
        <v>82</v>
      </c>
      <c r="K22" s="15" t="s">
        <v>83</v>
      </c>
      <c r="L22" s="13" t="s">
        <v>128</v>
      </c>
      <c r="M22" s="15" t="s">
        <v>129</v>
      </c>
      <c r="N22" s="13" t="s">
        <v>130</v>
      </c>
      <c r="O22" s="15"/>
      <c r="P22" s="15"/>
      <c r="Q22" s="15" t="s">
        <v>174</v>
      </c>
      <c r="R22" s="13" t="s">
        <v>175</v>
      </c>
      <c r="S22" s="13" t="s">
        <v>167</v>
      </c>
      <c r="T22" s="13" t="s">
        <v>138</v>
      </c>
      <c r="U22" s="14">
        <v>40725</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3"/>
    </row>
    <row r="23" spans="1:73" ht="45" x14ac:dyDescent="0.25">
      <c r="A23" s="13" t="s">
        <v>164</v>
      </c>
      <c r="B23" s="13" t="s">
        <v>135</v>
      </c>
      <c r="C23" s="14">
        <v>43152.5</v>
      </c>
      <c r="D23" s="13" t="s">
        <v>76</v>
      </c>
      <c r="E23" s="15" t="s">
        <v>77</v>
      </c>
      <c r="F23" s="13" t="s">
        <v>78</v>
      </c>
      <c r="G23" s="15" t="s">
        <v>79</v>
      </c>
      <c r="H23" s="13" t="s">
        <v>80</v>
      </c>
      <c r="I23" s="15" t="s">
        <v>81</v>
      </c>
      <c r="J23" s="15" t="s">
        <v>82</v>
      </c>
      <c r="K23" s="15" t="s">
        <v>83</v>
      </c>
      <c r="L23" s="13" t="s">
        <v>84</v>
      </c>
      <c r="M23" s="15" t="s">
        <v>85</v>
      </c>
      <c r="N23" s="13" t="s">
        <v>86</v>
      </c>
      <c r="O23" s="15"/>
      <c r="P23" s="15"/>
      <c r="Q23" s="15" t="s">
        <v>176</v>
      </c>
      <c r="R23" s="13" t="s">
        <v>177</v>
      </c>
      <c r="S23" s="13" t="s">
        <v>167</v>
      </c>
      <c r="T23" s="13" t="s">
        <v>138</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3"/>
    </row>
    <row r="24" spans="1:73" ht="45" x14ac:dyDescent="0.25">
      <c r="A24" s="13" t="s">
        <v>164</v>
      </c>
      <c r="B24" s="13" t="s">
        <v>135</v>
      </c>
      <c r="C24" s="14">
        <v>43152.5</v>
      </c>
      <c r="D24" s="13" t="s">
        <v>76</v>
      </c>
      <c r="E24" s="15" t="s">
        <v>77</v>
      </c>
      <c r="F24" s="13" t="s">
        <v>78</v>
      </c>
      <c r="G24" s="15" t="s">
        <v>79</v>
      </c>
      <c r="H24" s="13" t="s">
        <v>80</v>
      </c>
      <c r="I24" s="15" t="s">
        <v>81</v>
      </c>
      <c r="J24" s="15" t="s">
        <v>82</v>
      </c>
      <c r="K24" s="15" t="s">
        <v>83</v>
      </c>
      <c r="L24" s="13" t="s">
        <v>128</v>
      </c>
      <c r="M24" s="15" t="s">
        <v>129</v>
      </c>
      <c r="N24" s="13" t="s">
        <v>130</v>
      </c>
      <c r="O24" s="15"/>
      <c r="P24" s="15"/>
      <c r="Q24" s="15" t="s">
        <v>176</v>
      </c>
      <c r="R24" s="13" t="s">
        <v>177</v>
      </c>
      <c r="S24" s="13" t="s">
        <v>167</v>
      </c>
      <c r="T24" s="13" t="s">
        <v>138</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3"/>
    </row>
    <row r="25" spans="1:73" ht="45" x14ac:dyDescent="0.25">
      <c r="A25" s="13" t="s">
        <v>74</v>
      </c>
      <c r="B25" s="13" t="s">
        <v>135</v>
      </c>
      <c r="C25" s="14">
        <v>43572.472222222219</v>
      </c>
      <c r="D25" s="13" t="s">
        <v>76</v>
      </c>
      <c r="E25" s="15" t="s">
        <v>77</v>
      </c>
      <c r="F25" s="13" t="s">
        <v>78</v>
      </c>
      <c r="G25" s="15" t="s">
        <v>79</v>
      </c>
      <c r="H25" s="13" t="s">
        <v>80</v>
      </c>
      <c r="I25" s="15" t="s">
        <v>81</v>
      </c>
      <c r="J25" s="15" t="s">
        <v>82</v>
      </c>
      <c r="K25" s="15" t="s">
        <v>83</v>
      </c>
      <c r="L25" s="13" t="s">
        <v>84</v>
      </c>
      <c r="M25" s="15" t="s">
        <v>85</v>
      </c>
      <c r="N25" s="13" t="s">
        <v>86</v>
      </c>
      <c r="O25" s="15"/>
      <c r="P25" s="15"/>
      <c r="Q25" s="15" t="s">
        <v>178</v>
      </c>
      <c r="R25" s="13" t="s">
        <v>179</v>
      </c>
      <c r="S25" s="13" t="s">
        <v>167</v>
      </c>
      <c r="T25" s="13" t="s">
        <v>138</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3"/>
    </row>
    <row r="26" spans="1:73" ht="45" x14ac:dyDescent="0.25">
      <c r="A26" s="13" t="s">
        <v>74</v>
      </c>
      <c r="B26" s="13" t="s">
        <v>135</v>
      </c>
      <c r="C26" s="14">
        <v>43572.474305555559</v>
      </c>
      <c r="D26" s="13" t="s">
        <v>76</v>
      </c>
      <c r="E26" s="15" t="s">
        <v>77</v>
      </c>
      <c r="F26" s="13" t="s">
        <v>78</v>
      </c>
      <c r="G26" s="15" t="s">
        <v>79</v>
      </c>
      <c r="H26" s="13" t="s">
        <v>80</v>
      </c>
      <c r="I26" s="15" t="s">
        <v>81</v>
      </c>
      <c r="J26" s="15" t="s">
        <v>82</v>
      </c>
      <c r="K26" s="15" t="s">
        <v>83</v>
      </c>
      <c r="L26" s="13" t="s">
        <v>128</v>
      </c>
      <c r="M26" s="15" t="s">
        <v>129</v>
      </c>
      <c r="N26" s="13" t="s">
        <v>130</v>
      </c>
      <c r="O26" s="15"/>
      <c r="P26" s="15"/>
      <c r="Q26" s="15" t="s">
        <v>178</v>
      </c>
      <c r="R26" s="13" t="s">
        <v>179</v>
      </c>
      <c r="S26" s="13" t="s">
        <v>167</v>
      </c>
      <c r="T26" s="13" t="s">
        <v>138</v>
      </c>
      <c r="U26" s="14">
        <v>40725</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3"/>
    </row>
    <row r="27" spans="1:73" s="22" customFormat="1" ht="180" x14ac:dyDescent="0.25">
      <c r="A27" s="19" t="s">
        <v>180</v>
      </c>
      <c r="B27" s="19" t="s">
        <v>135</v>
      </c>
      <c r="C27" s="20">
        <v>45995.67083333333</v>
      </c>
      <c r="D27" s="19" t="s">
        <v>76</v>
      </c>
      <c r="E27" s="21" t="s">
        <v>77</v>
      </c>
      <c r="F27" s="19" t="s">
        <v>78</v>
      </c>
      <c r="G27" s="21" t="s">
        <v>79</v>
      </c>
      <c r="H27" s="19" t="s">
        <v>80</v>
      </c>
      <c r="I27" s="21" t="s">
        <v>81</v>
      </c>
      <c r="J27" s="21" t="s">
        <v>82</v>
      </c>
      <c r="K27" s="21" t="s">
        <v>83</v>
      </c>
      <c r="L27" s="19" t="s">
        <v>84</v>
      </c>
      <c r="M27" s="21" t="s">
        <v>85</v>
      </c>
      <c r="N27" s="19" t="s">
        <v>86</v>
      </c>
      <c r="O27" s="21"/>
      <c r="P27" s="21"/>
      <c r="Q27" s="21" t="s">
        <v>181</v>
      </c>
      <c r="R27" s="19" t="s">
        <v>182</v>
      </c>
      <c r="S27" s="19" t="s">
        <v>167</v>
      </c>
      <c r="T27" s="19" t="s">
        <v>90</v>
      </c>
      <c r="U27" s="20">
        <v>45901</v>
      </c>
      <c r="V27" s="20"/>
      <c r="W27" s="21" t="s">
        <v>183</v>
      </c>
      <c r="X27" s="19" t="s">
        <v>184</v>
      </c>
      <c r="Y27" s="21" t="str">
        <f>VLOOKUP(X27,'Axe 2 Règles de gestion'!$D$2:$F$51,3, FALSE)</f>
        <v>L'agent bénéficie des dispositions applicables aux agents titulaires pour le congé pour formation syndicale.</v>
      </c>
      <c r="Z27" s="19" t="s">
        <v>92</v>
      </c>
      <c r="AA27" s="21" t="str">
        <f>VLOOKUP(Z27,'Axe 2 Règles de gestion'!$D$2:$F$51,3, FALSE)</f>
        <v>Le congé est accordé pour effectuer un stage ou suivre une session dans l'un des centres ou instituts qui figurent sur une liste arrêtée tous les 3 ans par le ministre chargé de la fonction publique.</v>
      </c>
      <c r="AB27" s="19" t="s">
        <v>94</v>
      </c>
      <c r="AC27" s="21" t="str">
        <f>VLOOKUP(AB27,'Axe 2 Règles de gestion'!$D$2:$F$51,3, FALSE)</f>
        <v>L'agent doit formuler sa demande par écrit au chef de service au moins 1 mois à l'avance.</v>
      </c>
      <c r="AD27" s="19" t="s">
        <v>96</v>
      </c>
      <c r="AE27" s="21" t="str">
        <f>VLOOKUP(AD27,'Axe 2 Règles de gestion'!$D$2:$F$51,3, FALSE)</f>
        <v>Le congé est réputé accordé, à défaut de réponse expresse de l'administration au plus tard le 15ème jour qui précède le début du stage ou de la session.</v>
      </c>
      <c r="AF27" s="19" t="s">
        <v>98</v>
      </c>
      <c r="AG27" s="21" t="str">
        <f>VLOOKUP(AF27,'Axe 2 Règles de gestion'!$D$2:$F$51,3, FALSE)</f>
        <v>L'administration ne peut refuser le bénéfice du congé que pour des raisons liées aux nécessités du service.</v>
      </c>
      <c r="AH27" s="19" t="s">
        <v>100</v>
      </c>
      <c r="AI27" s="21" t="str">
        <f>VLOOKUP(AH27,'Axe 2 Règles de gestion'!$D$2:$F$51,3, FALSE)</f>
        <v>La commission administrative paritaire ou la commission d'avancement est informée de la décision de rejet ainsi que des motifs de refus.</v>
      </c>
      <c r="AJ27" s="19" t="s">
        <v>102</v>
      </c>
      <c r="AK27" s="21" t="str">
        <f>VLOOKUP(AJ27,'Axe 2 Règles de gestion'!$D$2:$F$51,3, FALSE)</f>
        <v>Le congé de formation syndicale est d'une durée maximale de 12 jours ouvrables par an.</v>
      </c>
      <c r="AL27" s="19" t="s">
        <v>104</v>
      </c>
      <c r="AM27" s="21" t="str">
        <f>VLOOKUP(AL27,'Axe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N27" s="19" t="s">
        <v>106</v>
      </c>
      <c r="AO27" s="21" t="str">
        <f>VLOOKUP(AN27,'Axe 2 Règles de gestion'!$D$2:$F$51,3, FALSE)</f>
        <v>L'agent doit être en activité.</v>
      </c>
      <c r="AP27" s="19"/>
      <c r="AQ27" s="21"/>
      <c r="AR27" s="19"/>
      <c r="AS27" s="21"/>
      <c r="AT27" s="19" t="s">
        <v>108</v>
      </c>
      <c r="AU27" s="21" t="str">
        <f>VLOOKUP(AT27,'Axe 2 Règles de gestion'!$D$2:$F$51,3, FALSE)</f>
        <v>La période de référence du compteur de suivi du cumul total du congé saisi doit être initialisée sur une période allant du 01/01 au 31/12 de la même année.</v>
      </c>
      <c r="AV27" s="19" t="s">
        <v>110</v>
      </c>
      <c r="AW27" s="21" t="str">
        <f>VLOOKUP(AV27,'Axe 2 Règles de gestion'!$D$2:$F$51,3, FALSE)</f>
        <v>La date de début du congé/absence doit être postérieure ou égale à la date de recrutement dans la FPE ou dans la carrière militaire.</v>
      </c>
      <c r="AX27" s="19" t="s">
        <v>112</v>
      </c>
      <c r="AY27" s="21" t="str">
        <f>VLOOKUP(AX27,'Axe 2 Règles de gestion'!$D$2:$F$51,3, FALSE)</f>
        <v>La date de début du congé/absence doit être antérieure ou égale à la date de fin réelle du congé/absence.</v>
      </c>
      <c r="AZ27" s="19" t="s">
        <v>114</v>
      </c>
      <c r="BA27" s="21" t="str">
        <f>VLOOKUP(AZ27,'Axe 2 Règles de gestion'!$D$2:$F$51,3, FALSE)</f>
        <v>La date de début du congé/absence doit être antérieure ou égale à la date de fin prévisionnelle du congé/absence.</v>
      </c>
      <c r="BB27" s="19" t="s">
        <v>116</v>
      </c>
      <c r="BC27" s="21" t="str">
        <f>VLOOKUP(BB27,'Axe 2 Règles de gestion'!$D$2:$F$51,3, FALSE)</f>
        <v>La date de fin réelle du congé/absence doit être antérieure à la date limite de départ à la retraite.</v>
      </c>
      <c r="BD27" s="19" t="s">
        <v>118</v>
      </c>
      <c r="BE27" s="21" t="str">
        <f>VLOOKUP(BD27,'Axe 2 Règles de gestion'!$D$2:$F$51,3, FALSE)</f>
        <v>La date de fin prévisionnelle du congé/absence doit être antérieure à la date limite de départ à la retraite.</v>
      </c>
      <c r="BF27" s="19" t="s">
        <v>120</v>
      </c>
      <c r="BG27" s="21" t="str">
        <f>VLOOKUP(BF27,'Axe 2 Règles de gestion'!$D$2:$F$51,3, FALSE)</f>
        <v>Si l'absence ne commence pas par une demi-journée et si l'absence précédente ne finit pas par une demi journée, la date de début de l'absence saisie est postérieure à la date de fin réelle de l'absence précédente.</v>
      </c>
      <c r="BH27" s="19" t="s">
        <v>122</v>
      </c>
      <c r="BI27" s="21" t="str">
        <f>VLOOKUP(BH27,'Axe 2 Règles de gestion'!$D$2:$F$51,3, FALSE)</f>
        <v>Si l'absence ne commence pas par une demi-journée et si l'absence précédente ne finit pas par une demi journée, la date de début de l'absence saisie est postérieure à la date de fin prévisionnelle de l'absence précédente.</v>
      </c>
      <c r="BJ27" s="19" t="s">
        <v>124</v>
      </c>
      <c r="BK27" s="21" t="str">
        <f>VLOOKUP(BJ27,'Axe 2 Règles de gestion'!$D$2:$F$51,3, FALSE)</f>
        <v>La date de fin réelle ou la date de fin prévisionnelle du congé/absence doit être saisie.</v>
      </c>
      <c r="BL27" s="19" t="s">
        <v>126</v>
      </c>
      <c r="BM27" s="21" t="str">
        <f>VLOOKUP(BL27,'Axe 2 Règles de gestion'!$D$2:$F$51,3, FALSE)</f>
        <v>Dans le cas d'un congé autre que CLM, CLD, CGM et CITIS, l'indicateur de requalification doit être à non et les impacts spécifiques à la requalification ne doivent pas être mobilisés ou l'impact rémunération est vide.</v>
      </c>
      <c r="BN27" s="19"/>
      <c r="BO27" s="21"/>
      <c r="BP27" s="19"/>
      <c r="BQ27" s="21"/>
      <c r="BR27" s="19"/>
      <c r="BS27" s="21"/>
      <c r="BT27" s="19" t="s">
        <v>186</v>
      </c>
      <c r="BU27" s="19"/>
    </row>
    <row r="28" spans="1:73" s="22" customFormat="1" ht="180" x14ac:dyDescent="0.25">
      <c r="A28" s="19" t="s">
        <v>180</v>
      </c>
      <c r="B28" s="19" t="s">
        <v>135</v>
      </c>
      <c r="C28" s="20">
        <v>45995.670138888891</v>
      </c>
      <c r="D28" s="19" t="s">
        <v>76</v>
      </c>
      <c r="E28" s="21" t="s">
        <v>77</v>
      </c>
      <c r="F28" s="19" t="s">
        <v>78</v>
      </c>
      <c r="G28" s="21" t="s">
        <v>79</v>
      </c>
      <c r="H28" s="19" t="s">
        <v>80</v>
      </c>
      <c r="I28" s="21" t="s">
        <v>81</v>
      </c>
      <c r="J28" s="21" t="s">
        <v>82</v>
      </c>
      <c r="K28" s="21" t="s">
        <v>83</v>
      </c>
      <c r="L28" s="19" t="s">
        <v>128</v>
      </c>
      <c r="M28" s="21" t="s">
        <v>129</v>
      </c>
      <c r="N28" s="19" t="s">
        <v>130</v>
      </c>
      <c r="O28" s="21"/>
      <c r="P28" s="21"/>
      <c r="Q28" s="21" t="s">
        <v>181</v>
      </c>
      <c r="R28" s="19" t="s">
        <v>182</v>
      </c>
      <c r="S28" s="19" t="s">
        <v>167</v>
      </c>
      <c r="T28" s="19" t="s">
        <v>90</v>
      </c>
      <c r="U28" s="20">
        <v>45901</v>
      </c>
      <c r="V28" s="20"/>
      <c r="W28" s="21" t="s">
        <v>187</v>
      </c>
      <c r="X28" s="19" t="s">
        <v>184</v>
      </c>
      <c r="Y28" s="21" t="str">
        <f>VLOOKUP(X28,'Axe 2 Règles de gestion'!$D$2:$F$51,3, FALSE)</f>
        <v>L'agent bénéficie des dispositions applicables aux agents titulaires pour le congé pour formation syndicale.</v>
      </c>
      <c r="Z28" s="19" t="s">
        <v>132</v>
      </c>
      <c r="AA28" s="21" t="str">
        <f>VLOOKUP(Z28,'Axe 2 Règles de gestion'!$D$2:$F$51,3, FALSE)</f>
        <v>Lors de la reprise de fonctions, l'agent remet à son chef de service l'attestation d'assiduité délivrée à l'issue de son stage.</v>
      </c>
      <c r="AB28" s="19"/>
      <c r="AC28" s="21"/>
      <c r="AD28" s="19"/>
      <c r="AE28" s="21"/>
      <c r="AF28" s="19"/>
      <c r="AG28" s="21"/>
      <c r="AH28" s="19"/>
      <c r="AI28" s="21"/>
      <c r="AJ28" s="19" t="s">
        <v>102</v>
      </c>
      <c r="AK28" s="21" t="str">
        <f>VLOOKUP(AJ28,'Axe 2 Règles de gestion'!$D$2:$F$51,3, FALSE)</f>
        <v>Le congé de formation syndicale est d'une durée maximale de 12 jours ouvrables par an.</v>
      </c>
      <c r="AL28" s="19" t="s">
        <v>104</v>
      </c>
      <c r="AM28" s="21" t="str">
        <f>VLOOKUP(AL28,'Axe 2 Règles de gestion'!$D$2:$F$51,3,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N28" s="19"/>
      <c r="AO28" s="21"/>
      <c r="AP28" s="19"/>
      <c r="AQ28" s="21"/>
      <c r="AR28" s="19"/>
      <c r="AS28" s="21"/>
      <c r="AT28" s="19" t="s">
        <v>112</v>
      </c>
      <c r="AU28" s="21" t="str">
        <f>VLOOKUP(AT28,'Axe 2 Règles de gestion'!$D$2:$F$51,3, FALSE)</f>
        <v>La date de début du congé/absence doit être antérieure ou égale à la date de fin réelle du congé/absence.</v>
      </c>
      <c r="AV28" s="19" t="s">
        <v>114</v>
      </c>
      <c r="AW28" s="21" t="str">
        <f>VLOOKUP(AV28,'Axe 2 Règles de gestion'!$D$2:$F$51,3, FALSE)</f>
        <v>La date de début du congé/absence doit être antérieure ou égale à la date de fin prévisionnelle du congé/absence.</v>
      </c>
      <c r="AX28" s="19" t="s">
        <v>116</v>
      </c>
      <c r="AY28" s="21" t="str">
        <f>VLOOKUP(AX28,'Axe 2 Règles de gestion'!$D$2:$F$51,3, FALSE)</f>
        <v>La date de fin réelle du congé/absence doit être antérieure à la date limite de départ à la retraite.</v>
      </c>
      <c r="AZ28" s="19" t="s">
        <v>118</v>
      </c>
      <c r="BA28" s="21" t="str">
        <f>VLOOKUP(AZ28,'Axe 2 Règles de gestion'!$D$2:$F$51,3, FALSE)</f>
        <v>La date de fin prévisionnelle du congé/absence doit être antérieure à la date limite de départ à la retraite.</v>
      </c>
      <c r="BB28" s="19" t="s">
        <v>124</v>
      </c>
      <c r="BC28" s="21" t="str">
        <f>VLOOKUP(BB28,'Axe 2 Règles de gestion'!$D$2:$F$51,3, FALSE)</f>
        <v>La date de fin réelle ou la date de fin prévisionnelle du congé/absence doit être saisie.</v>
      </c>
      <c r="BD28" s="19" t="s">
        <v>126</v>
      </c>
      <c r="BE28" s="21" t="str">
        <f>VLOOKUP(BD28,'Axe 2 Règles de gestion'!$D$2:$F$51,3, FALSE)</f>
        <v>Dans le cas d'un congé autre que CLM, CLD, CGM et CITIS, l'indicateur de requalification doit être à non et les impacts spécifiques à la requalification ne doivent pas être mobilisés ou l'impact rémunération est vide.</v>
      </c>
      <c r="BF28" s="19" t="s">
        <v>108</v>
      </c>
      <c r="BG28" s="21" t="str">
        <f>VLOOKUP(BF28,'Axe 2 Règles de gestion'!$D$2:$F$51,3, FALSE)</f>
        <v>La période de référence du compteur de suivi du cumul total du congé saisi doit être initialisée sur une période allant du 01/01 au 31/12 de la même année.</v>
      </c>
      <c r="BH28" s="19"/>
      <c r="BI28" s="21"/>
      <c r="BJ28" s="19"/>
      <c r="BK28" s="21"/>
      <c r="BL28" s="19"/>
      <c r="BM28" s="21"/>
      <c r="BN28" s="19"/>
      <c r="BO28" s="21"/>
      <c r="BP28" s="19"/>
      <c r="BQ28" s="21"/>
      <c r="BR28" s="19"/>
      <c r="BS28" s="21"/>
      <c r="BT28" s="19" t="s">
        <v>186</v>
      </c>
      <c r="BU28" s="19"/>
    </row>
    <row r="29" spans="1:73" ht="45" x14ac:dyDescent="0.25">
      <c r="A29" s="13" t="s">
        <v>164</v>
      </c>
      <c r="B29" s="13" t="s">
        <v>135</v>
      </c>
      <c r="C29" s="14">
        <v>43152.5</v>
      </c>
      <c r="D29" s="13" t="s">
        <v>76</v>
      </c>
      <c r="E29" s="15" t="s">
        <v>77</v>
      </c>
      <c r="F29" s="13" t="s">
        <v>78</v>
      </c>
      <c r="G29" s="15" t="s">
        <v>79</v>
      </c>
      <c r="H29" s="13" t="s">
        <v>80</v>
      </c>
      <c r="I29" s="15" t="s">
        <v>81</v>
      </c>
      <c r="J29" s="15" t="s">
        <v>82</v>
      </c>
      <c r="K29" s="15" t="s">
        <v>83</v>
      </c>
      <c r="L29" s="13" t="s">
        <v>84</v>
      </c>
      <c r="M29" s="15" t="s">
        <v>85</v>
      </c>
      <c r="N29" s="13" t="s">
        <v>86</v>
      </c>
      <c r="O29" s="15"/>
      <c r="P29" s="15"/>
      <c r="Q29" s="15" t="s">
        <v>188</v>
      </c>
      <c r="R29" s="13" t="s">
        <v>189</v>
      </c>
      <c r="S29" s="13" t="s">
        <v>167</v>
      </c>
      <c r="T29" s="13" t="s">
        <v>138</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3"/>
    </row>
    <row r="30" spans="1:73" ht="45" x14ac:dyDescent="0.25">
      <c r="A30" s="13" t="s">
        <v>164</v>
      </c>
      <c r="B30" s="13" t="s">
        <v>135</v>
      </c>
      <c r="C30" s="14">
        <v>43152.5</v>
      </c>
      <c r="D30" s="13" t="s">
        <v>76</v>
      </c>
      <c r="E30" s="15" t="s">
        <v>77</v>
      </c>
      <c r="F30" s="13" t="s">
        <v>78</v>
      </c>
      <c r="G30" s="15" t="s">
        <v>79</v>
      </c>
      <c r="H30" s="13" t="s">
        <v>80</v>
      </c>
      <c r="I30" s="15" t="s">
        <v>81</v>
      </c>
      <c r="J30" s="15" t="s">
        <v>82</v>
      </c>
      <c r="K30" s="15" t="s">
        <v>83</v>
      </c>
      <c r="L30" s="13" t="s">
        <v>128</v>
      </c>
      <c r="M30" s="15" t="s">
        <v>129</v>
      </c>
      <c r="N30" s="13" t="s">
        <v>130</v>
      </c>
      <c r="O30" s="15"/>
      <c r="P30" s="15"/>
      <c r="Q30" s="15" t="s">
        <v>188</v>
      </c>
      <c r="R30" s="13" t="s">
        <v>189</v>
      </c>
      <c r="S30" s="13" t="s">
        <v>167</v>
      </c>
      <c r="T30" s="13" t="s">
        <v>138</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3"/>
    </row>
    <row r="31" spans="1:73" ht="90" x14ac:dyDescent="0.25">
      <c r="A31" s="13" t="s">
        <v>164</v>
      </c>
      <c r="B31" s="13" t="s">
        <v>135</v>
      </c>
      <c r="C31" s="14">
        <v>43165.487500000003</v>
      </c>
      <c r="D31" s="13" t="s">
        <v>76</v>
      </c>
      <c r="E31" s="15" t="s">
        <v>77</v>
      </c>
      <c r="F31" s="13" t="s">
        <v>78</v>
      </c>
      <c r="G31" s="15" t="s">
        <v>79</v>
      </c>
      <c r="H31" s="13" t="s">
        <v>80</v>
      </c>
      <c r="I31" s="15" t="s">
        <v>81</v>
      </c>
      <c r="J31" s="15" t="s">
        <v>82</v>
      </c>
      <c r="K31" s="15" t="s">
        <v>83</v>
      </c>
      <c r="L31" s="13" t="s">
        <v>84</v>
      </c>
      <c r="M31" s="15" t="s">
        <v>85</v>
      </c>
      <c r="N31" s="13" t="s">
        <v>86</v>
      </c>
      <c r="O31" s="15"/>
      <c r="P31" s="15"/>
      <c r="Q31" s="15" t="s">
        <v>190</v>
      </c>
      <c r="R31" s="13" t="s">
        <v>191</v>
      </c>
      <c r="S31" s="13" t="s">
        <v>167</v>
      </c>
      <c r="T31" s="13" t="s">
        <v>138</v>
      </c>
      <c r="U31" s="14">
        <v>43101</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3"/>
    </row>
    <row r="32" spans="1:73" ht="90" x14ac:dyDescent="0.25">
      <c r="A32" s="13" t="s">
        <v>164</v>
      </c>
      <c r="B32" s="13" t="s">
        <v>135</v>
      </c>
      <c r="C32" s="14">
        <v>43165.488194444442</v>
      </c>
      <c r="D32" s="13" t="s">
        <v>76</v>
      </c>
      <c r="E32" s="15" t="s">
        <v>77</v>
      </c>
      <c r="F32" s="13" t="s">
        <v>78</v>
      </c>
      <c r="G32" s="15" t="s">
        <v>79</v>
      </c>
      <c r="H32" s="13" t="s">
        <v>80</v>
      </c>
      <c r="I32" s="15" t="s">
        <v>81</v>
      </c>
      <c r="J32" s="15" t="s">
        <v>82</v>
      </c>
      <c r="K32" s="15" t="s">
        <v>83</v>
      </c>
      <c r="L32" s="13" t="s">
        <v>128</v>
      </c>
      <c r="M32" s="15" t="s">
        <v>129</v>
      </c>
      <c r="N32" s="13" t="s">
        <v>130</v>
      </c>
      <c r="O32" s="15"/>
      <c r="P32" s="15"/>
      <c r="Q32" s="15" t="s">
        <v>190</v>
      </c>
      <c r="R32" s="13" t="s">
        <v>191</v>
      </c>
      <c r="S32" s="13" t="s">
        <v>167</v>
      </c>
      <c r="T32" s="13" t="s">
        <v>138</v>
      </c>
      <c r="U32" s="14">
        <v>43101</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3"/>
    </row>
    <row r="33" spans="1:73" ht="90" x14ac:dyDescent="0.25">
      <c r="A33" s="13" t="s">
        <v>164</v>
      </c>
      <c r="B33" s="13" t="s">
        <v>135</v>
      </c>
      <c r="C33" s="14">
        <v>43152.5</v>
      </c>
      <c r="D33" s="13" t="s">
        <v>76</v>
      </c>
      <c r="E33" s="15" t="s">
        <v>77</v>
      </c>
      <c r="F33" s="13" t="s">
        <v>78</v>
      </c>
      <c r="G33" s="15" t="s">
        <v>79</v>
      </c>
      <c r="H33" s="13" t="s">
        <v>192</v>
      </c>
      <c r="I33" s="15" t="s">
        <v>193</v>
      </c>
      <c r="J33" s="15" t="s">
        <v>194</v>
      </c>
      <c r="K33" s="15" t="s">
        <v>195</v>
      </c>
      <c r="L33" s="13" t="s">
        <v>196</v>
      </c>
      <c r="M33" s="15" t="s">
        <v>197</v>
      </c>
      <c r="N33" s="13" t="s">
        <v>86</v>
      </c>
      <c r="O33" s="15"/>
      <c r="P33" s="15"/>
      <c r="Q33" s="15" t="s">
        <v>87</v>
      </c>
      <c r="R33" s="13" t="s">
        <v>88</v>
      </c>
      <c r="S33" s="13" t="s">
        <v>89</v>
      </c>
      <c r="T33" s="13" t="s">
        <v>138</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3"/>
    </row>
    <row r="34" spans="1:73" ht="90" x14ac:dyDescent="0.25">
      <c r="A34" s="13" t="s">
        <v>164</v>
      </c>
      <c r="B34" s="13" t="s">
        <v>135</v>
      </c>
      <c r="C34" s="14">
        <v>43152.5</v>
      </c>
      <c r="D34" s="13" t="s">
        <v>76</v>
      </c>
      <c r="E34" s="15" t="s">
        <v>77</v>
      </c>
      <c r="F34" s="13" t="s">
        <v>78</v>
      </c>
      <c r="G34" s="15" t="s">
        <v>79</v>
      </c>
      <c r="H34" s="13" t="s">
        <v>192</v>
      </c>
      <c r="I34" s="15" t="s">
        <v>193</v>
      </c>
      <c r="J34" s="15" t="s">
        <v>194</v>
      </c>
      <c r="K34" s="15" t="s">
        <v>195</v>
      </c>
      <c r="L34" s="13" t="s">
        <v>198</v>
      </c>
      <c r="M34" s="15" t="s">
        <v>199</v>
      </c>
      <c r="N34" s="13" t="s">
        <v>130</v>
      </c>
      <c r="O34" s="15"/>
      <c r="P34" s="15"/>
      <c r="Q34" s="15" t="s">
        <v>87</v>
      </c>
      <c r="R34" s="13" t="s">
        <v>88</v>
      </c>
      <c r="S34" s="13" t="s">
        <v>89</v>
      </c>
      <c r="T34" s="13" t="s">
        <v>138</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3"/>
    </row>
    <row r="35" spans="1:73" ht="90" x14ac:dyDescent="0.25">
      <c r="A35" s="13" t="s">
        <v>134</v>
      </c>
      <c r="B35" s="13" t="s">
        <v>135</v>
      </c>
      <c r="C35" s="14">
        <v>44886.486805555556</v>
      </c>
      <c r="D35" s="13" t="s">
        <v>76</v>
      </c>
      <c r="E35" s="15" t="s">
        <v>77</v>
      </c>
      <c r="F35" s="13" t="s">
        <v>78</v>
      </c>
      <c r="G35" s="15" t="s">
        <v>79</v>
      </c>
      <c r="H35" s="13" t="s">
        <v>192</v>
      </c>
      <c r="I35" s="15" t="s">
        <v>193</v>
      </c>
      <c r="J35" s="15" t="s">
        <v>194</v>
      </c>
      <c r="K35" s="15" t="s">
        <v>195</v>
      </c>
      <c r="L35" s="13" t="s">
        <v>196</v>
      </c>
      <c r="M35" s="15" t="s">
        <v>197</v>
      </c>
      <c r="N35" s="13" t="s">
        <v>86</v>
      </c>
      <c r="O35" s="15"/>
      <c r="P35" s="15"/>
      <c r="Q35" s="15" t="s">
        <v>136</v>
      </c>
      <c r="R35" s="13" t="s">
        <v>137</v>
      </c>
      <c r="S35" s="13" t="s">
        <v>89</v>
      </c>
      <c r="T35" s="13" t="s">
        <v>138</v>
      </c>
      <c r="U35" s="14">
        <v>43831</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3"/>
    </row>
    <row r="36" spans="1:73" ht="90" x14ac:dyDescent="0.25">
      <c r="A36" s="13" t="s">
        <v>134</v>
      </c>
      <c r="B36" s="13" t="s">
        <v>135</v>
      </c>
      <c r="C36" s="14">
        <v>44886.486805555556</v>
      </c>
      <c r="D36" s="13" t="s">
        <v>76</v>
      </c>
      <c r="E36" s="15" t="s">
        <v>77</v>
      </c>
      <c r="F36" s="13" t="s">
        <v>78</v>
      </c>
      <c r="G36" s="15" t="s">
        <v>79</v>
      </c>
      <c r="H36" s="13" t="s">
        <v>192</v>
      </c>
      <c r="I36" s="15" t="s">
        <v>193</v>
      </c>
      <c r="J36" s="15" t="s">
        <v>194</v>
      </c>
      <c r="K36" s="15" t="s">
        <v>195</v>
      </c>
      <c r="L36" s="13" t="s">
        <v>198</v>
      </c>
      <c r="M36" s="15" t="s">
        <v>199</v>
      </c>
      <c r="N36" s="13" t="s">
        <v>130</v>
      </c>
      <c r="O36" s="15"/>
      <c r="P36" s="15"/>
      <c r="Q36" s="15" t="s">
        <v>136</v>
      </c>
      <c r="R36" s="13" t="s">
        <v>137</v>
      </c>
      <c r="S36" s="13" t="s">
        <v>89</v>
      </c>
      <c r="T36" s="13" t="s">
        <v>138</v>
      </c>
      <c r="U36" s="14">
        <v>43831</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3"/>
    </row>
    <row r="37" spans="1:73" ht="90" x14ac:dyDescent="0.25">
      <c r="A37" s="13" t="s">
        <v>164</v>
      </c>
      <c r="B37" s="13" t="s">
        <v>135</v>
      </c>
      <c r="C37" s="14">
        <v>43152.5</v>
      </c>
      <c r="D37" s="13" t="s">
        <v>76</v>
      </c>
      <c r="E37" s="15" t="s">
        <v>77</v>
      </c>
      <c r="F37" s="13" t="s">
        <v>78</v>
      </c>
      <c r="G37" s="15" t="s">
        <v>79</v>
      </c>
      <c r="H37" s="13" t="s">
        <v>192</v>
      </c>
      <c r="I37" s="15" t="s">
        <v>193</v>
      </c>
      <c r="J37" s="15" t="s">
        <v>194</v>
      </c>
      <c r="K37" s="15" t="s">
        <v>195</v>
      </c>
      <c r="L37" s="13" t="s">
        <v>196</v>
      </c>
      <c r="M37" s="15" t="s">
        <v>197</v>
      </c>
      <c r="N37" s="13" t="s">
        <v>86</v>
      </c>
      <c r="O37" s="15"/>
      <c r="P37" s="15"/>
      <c r="Q37" s="15" t="s">
        <v>139</v>
      </c>
      <c r="R37" s="13" t="s">
        <v>140</v>
      </c>
      <c r="S37" s="13" t="s">
        <v>89</v>
      </c>
      <c r="T37" s="13" t="s">
        <v>138</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3"/>
    </row>
    <row r="38" spans="1:73" ht="90" x14ac:dyDescent="0.25">
      <c r="A38" s="13" t="s">
        <v>164</v>
      </c>
      <c r="B38" s="13" t="s">
        <v>135</v>
      </c>
      <c r="C38" s="14">
        <v>43152.5</v>
      </c>
      <c r="D38" s="13" t="s">
        <v>76</v>
      </c>
      <c r="E38" s="15" t="s">
        <v>77</v>
      </c>
      <c r="F38" s="13" t="s">
        <v>78</v>
      </c>
      <c r="G38" s="15" t="s">
        <v>79</v>
      </c>
      <c r="H38" s="13" t="s">
        <v>192</v>
      </c>
      <c r="I38" s="15" t="s">
        <v>193</v>
      </c>
      <c r="J38" s="15" t="s">
        <v>194</v>
      </c>
      <c r="K38" s="15" t="s">
        <v>195</v>
      </c>
      <c r="L38" s="13" t="s">
        <v>198</v>
      </c>
      <c r="M38" s="15" t="s">
        <v>199</v>
      </c>
      <c r="N38" s="13" t="s">
        <v>130</v>
      </c>
      <c r="O38" s="15"/>
      <c r="P38" s="15"/>
      <c r="Q38" s="15" t="s">
        <v>139</v>
      </c>
      <c r="R38" s="13" t="s">
        <v>140</v>
      </c>
      <c r="S38" s="13" t="s">
        <v>89</v>
      </c>
      <c r="T38" s="13" t="s">
        <v>138</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3"/>
    </row>
    <row r="39" spans="1:73" ht="90" x14ac:dyDescent="0.25">
      <c r="A39" s="13" t="s">
        <v>164</v>
      </c>
      <c r="B39" s="13" t="s">
        <v>135</v>
      </c>
      <c r="C39" s="14">
        <v>43152.5</v>
      </c>
      <c r="D39" s="13" t="s">
        <v>76</v>
      </c>
      <c r="E39" s="15" t="s">
        <v>77</v>
      </c>
      <c r="F39" s="13" t="s">
        <v>78</v>
      </c>
      <c r="G39" s="15" t="s">
        <v>79</v>
      </c>
      <c r="H39" s="13" t="s">
        <v>192</v>
      </c>
      <c r="I39" s="15" t="s">
        <v>193</v>
      </c>
      <c r="J39" s="15" t="s">
        <v>194</v>
      </c>
      <c r="K39" s="15" t="s">
        <v>195</v>
      </c>
      <c r="L39" s="13" t="s">
        <v>196</v>
      </c>
      <c r="M39" s="15" t="s">
        <v>197</v>
      </c>
      <c r="N39" s="13" t="s">
        <v>86</v>
      </c>
      <c r="O39" s="15"/>
      <c r="P39" s="15"/>
      <c r="Q39" s="15" t="s">
        <v>157</v>
      </c>
      <c r="R39" s="13" t="s">
        <v>158</v>
      </c>
      <c r="S39" s="13" t="s">
        <v>89</v>
      </c>
      <c r="T39" s="13" t="s">
        <v>138</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3"/>
    </row>
    <row r="40" spans="1:73" ht="90" x14ac:dyDescent="0.25">
      <c r="A40" s="13" t="s">
        <v>164</v>
      </c>
      <c r="B40" s="13" t="s">
        <v>135</v>
      </c>
      <c r="C40" s="14">
        <v>43152.5</v>
      </c>
      <c r="D40" s="13" t="s">
        <v>76</v>
      </c>
      <c r="E40" s="15" t="s">
        <v>77</v>
      </c>
      <c r="F40" s="13" t="s">
        <v>78</v>
      </c>
      <c r="G40" s="15" t="s">
        <v>79</v>
      </c>
      <c r="H40" s="13" t="s">
        <v>192</v>
      </c>
      <c r="I40" s="15" t="s">
        <v>193</v>
      </c>
      <c r="J40" s="15" t="s">
        <v>194</v>
      </c>
      <c r="K40" s="15" t="s">
        <v>195</v>
      </c>
      <c r="L40" s="13" t="s">
        <v>198</v>
      </c>
      <c r="M40" s="15" t="s">
        <v>199</v>
      </c>
      <c r="N40" s="13" t="s">
        <v>130</v>
      </c>
      <c r="O40" s="15"/>
      <c r="P40" s="15"/>
      <c r="Q40" s="15" t="s">
        <v>157</v>
      </c>
      <c r="R40" s="13" t="s">
        <v>158</v>
      </c>
      <c r="S40" s="13" t="s">
        <v>89</v>
      </c>
      <c r="T40" s="13" t="s">
        <v>138</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3"/>
    </row>
    <row r="41" spans="1:73" ht="90" x14ac:dyDescent="0.25">
      <c r="A41" s="13" t="s">
        <v>164</v>
      </c>
      <c r="B41" s="13" t="s">
        <v>135</v>
      </c>
      <c r="C41" s="14">
        <v>43189.5</v>
      </c>
      <c r="D41" s="13" t="s">
        <v>76</v>
      </c>
      <c r="E41" s="15" t="s">
        <v>77</v>
      </c>
      <c r="F41" s="13" t="s">
        <v>78</v>
      </c>
      <c r="G41" s="15" t="s">
        <v>79</v>
      </c>
      <c r="H41" s="13" t="s">
        <v>192</v>
      </c>
      <c r="I41" s="15" t="s">
        <v>193</v>
      </c>
      <c r="J41" s="15" t="s">
        <v>194</v>
      </c>
      <c r="K41" s="15" t="s">
        <v>195</v>
      </c>
      <c r="L41" s="13" t="s">
        <v>196</v>
      </c>
      <c r="M41" s="15" t="s">
        <v>197</v>
      </c>
      <c r="N41" s="13" t="s">
        <v>86</v>
      </c>
      <c r="O41" s="15"/>
      <c r="P41" s="15"/>
      <c r="Q41" s="15" t="s">
        <v>160</v>
      </c>
      <c r="R41" s="13" t="s">
        <v>161</v>
      </c>
      <c r="S41" s="13" t="s">
        <v>89</v>
      </c>
      <c r="T41" s="13" t="s">
        <v>138</v>
      </c>
      <c r="U41" s="14">
        <v>40725</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3"/>
    </row>
    <row r="42" spans="1:73" ht="90" x14ac:dyDescent="0.25">
      <c r="A42" s="13" t="s">
        <v>164</v>
      </c>
      <c r="B42" s="13" t="s">
        <v>135</v>
      </c>
      <c r="C42" s="14">
        <v>43189.5</v>
      </c>
      <c r="D42" s="13" t="s">
        <v>76</v>
      </c>
      <c r="E42" s="15" t="s">
        <v>77</v>
      </c>
      <c r="F42" s="13" t="s">
        <v>78</v>
      </c>
      <c r="G42" s="15" t="s">
        <v>79</v>
      </c>
      <c r="H42" s="13" t="s">
        <v>192</v>
      </c>
      <c r="I42" s="15" t="s">
        <v>193</v>
      </c>
      <c r="J42" s="15" t="s">
        <v>194</v>
      </c>
      <c r="K42" s="15" t="s">
        <v>195</v>
      </c>
      <c r="L42" s="13" t="s">
        <v>198</v>
      </c>
      <c r="M42" s="15" t="s">
        <v>199</v>
      </c>
      <c r="N42" s="13" t="s">
        <v>130</v>
      </c>
      <c r="O42" s="15"/>
      <c r="P42" s="15"/>
      <c r="Q42" s="15" t="s">
        <v>160</v>
      </c>
      <c r="R42" s="13" t="s">
        <v>161</v>
      </c>
      <c r="S42" s="13" t="s">
        <v>89</v>
      </c>
      <c r="T42" s="13" t="s">
        <v>138</v>
      </c>
      <c r="U42" s="14">
        <v>40725</v>
      </c>
      <c r="V42" s="14"/>
      <c r="W42" s="15"/>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3"/>
    </row>
    <row r="43" spans="1:73" ht="150" x14ac:dyDescent="0.25">
      <c r="A43" s="13" t="s">
        <v>200</v>
      </c>
      <c r="B43" s="13" t="s">
        <v>75</v>
      </c>
      <c r="C43" s="14">
        <v>43538.742361111108</v>
      </c>
      <c r="D43" s="13" t="s">
        <v>76</v>
      </c>
      <c r="E43" s="15" t="s">
        <v>77</v>
      </c>
      <c r="F43" s="13" t="s">
        <v>78</v>
      </c>
      <c r="G43" s="15" t="s">
        <v>79</v>
      </c>
      <c r="H43" s="13" t="s">
        <v>192</v>
      </c>
      <c r="I43" s="15" t="s">
        <v>193</v>
      </c>
      <c r="J43" s="15" t="s">
        <v>194</v>
      </c>
      <c r="K43" s="15" t="s">
        <v>195</v>
      </c>
      <c r="L43" s="13" t="s">
        <v>196</v>
      </c>
      <c r="M43" s="15" t="s">
        <v>197</v>
      </c>
      <c r="N43" s="13" t="s">
        <v>86</v>
      </c>
      <c r="O43" s="15"/>
      <c r="P43" s="15"/>
      <c r="Q43" s="15" t="s">
        <v>178</v>
      </c>
      <c r="R43" s="13" t="s">
        <v>179</v>
      </c>
      <c r="S43" s="13" t="s">
        <v>167</v>
      </c>
      <c r="T43" s="13" t="s">
        <v>90</v>
      </c>
      <c r="U43" s="14">
        <v>40725</v>
      </c>
      <c r="V43" s="14">
        <v>41705</v>
      </c>
      <c r="W43" s="15" t="s">
        <v>201</v>
      </c>
      <c r="X43" s="13"/>
      <c r="Y43" s="15"/>
      <c r="Z43" s="13"/>
      <c r="AA43" s="15"/>
      <c r="AB43" s="13"/>
      <c r="AC43" s="15"/>
      <c r="AD43" s="13"/>
      <c r="AE43" s="15"/>
      <c r="AF43" s="13"/>
      <c r="AG43" s="15"/>
      <c r="AH43" s="13"/>
      <c r="AI43" s="15"/>
      <c r="AJ43" s="13" t="s">
        <v>202</v>
      </c>
      <c r="AK43" s="15" t="str">
        <f>VLOOKUP(AJ43,'Axe 2 Règles de gestion'!$D$2:$F$51,3, FALSE)</f>
        <v>La durée totale des congés de formation économique et social et de formation syndicale pris dans l'année ne peut excéder 12 jours.</v>
      </c>
      <c r="AL43" s="13" t="s">
        <v>204</v>
      </c>
      <c r="AM43" s="15" t="str">
        <f>VLOOKUP(AL43,'Axe 2 Règles de gestion'!$D$2:$F$51,3, FALSE)</f>
        <v>La durée totale des congés de formation économique et social et de formation syndicale ne peut excéder 18 jours pour les animateurs des stages et sessions.</v>
      </c>
      <c r="AN43" s="13" t="s">
        <v>206</v>
      </c>
      <c r="AO43" s="15" t="str">
        <f>VLOOKUP(AN43,'Axe 2 Règles de gestion'!$D$2:$F$51,3, FALSE)</f>
        <v>La durée de chaque congé ne peut être inférieure à 2 jours (date de fin réelle de l'absence).</v>
      </c>
      <c r="AP43" s="13" t="s">
        <v>208</v>
      </c>
      <c r="AQ43" s="15" t="str">
        <f>VLOOKUP(AP43,'Axe 2 Règles de gestion'!$D$2:$F$51,3, FALSE)</f>
        <v>La durée de chaque congé ne peut être inférieure à 2 jours (date de fin prévisionnelle de l'absence).</v>
      </c>
      <c r="AR43" s="13"/>
      <c r="AS43" s="15"/>
      <c r="AT43" s="13" t="s">
        <v>210</v>
      </c>
      <c r="AU43" s="15" t="str">
        <f>VLOOKUP(AT43,'Axe 2 Règles de gestion'!$D$2:$F$51,3, FALSE)</f>
        <v>L'agent doit être en activité.</v>
      </c>
      <c r="AV43" s="13" t="s">
        <v>108</v>
      </c>
      <c r="AW43" s="15" t="str">
        <f>VLOOKUP(AV43,'Axe 2 Règles de gestion'!$D$2:$F$51,3, FALSE)</f>
        <v>La période de référence du compteur de suivi du cumul total du congé saisi doit être initialisée sur une période allant du 01/01 au 31/12 de la même année.</v>
      </c>
      <c r="AX43" s="13" t="s">
        <v>112</v>
      </c>
      <c r="AY43" s="15" t="str">
        <f>VLOOKUP(AX43,'Axe 2 Règles de gestion'!$D$2:$F$51,3, FALSE)</f>
        <v>La date de début du congé/absence doit être antérieure ou égale à la date de fin réelle du congé/absence.</v>
      </c>
      <c r="AZ43" s="13" t="s">
        <v>114</v>
      </c>
      <c r="BA43" s="15" t="str">
        <f>VLOOKUP(AZ43,'Axe 2 Règles de gestion'!$D$2:$F$51,3, FALSE)</f>
        <v>La date de début du congé/absence doit être antérieure ou égale à la date de fin prévisionnelle du congé/absence.</v>
      </c>
      <c r="BB43" s="13" t="s">
        <v>147</v>
      </c>
      <c r="BC43" s="15" t="str">
        <f>VLOOKUP(BB43,'Axe 2 Règles de gestion'!$D$2:$F$51,3, FALSE)</f>
        <v>La date de début du congé/absence doit être postérieure ou égale à la date de début du lien juridique.</v>
      </c>
      <c r="BD43" s="13" t="s">
        <v>149</v>
      </c>
      <c r="BE43" s="15" t="str">
        <f>VLOOKUP(BD43,'Axe 2 Règles de gestion'!$D$2:$F$51,3, FALSE)</f>
        <v>La date de fin réelle du congé/absence doit être antérieure ou égale à la date limite de fin réelle ou prévisionnelle du lien juridique.</v>
      </c>
      <c r="BF43" s="13" t="s">
        <v>151</v>
      </c>
      <c r="BG43" s="15" t="str">
        <f>VLOOKUP(BF43,'Axe 2 Règles de gestion'!$D$2:$F$51,3, FALSE)</f>
        <v>La date de fin prévisionnelle du congé/absence doit être antérieure ou égale à la date limite de fin réelle ou prévisionnelle du lien juridique.</v>
      </c>
      <c r="BH43" s="13" t="s">
        <v>120</v>
      </c>
      <c r="BI43" s="15" t="str">
        <f>VLOOKUP(BH43,'Axe 2 Règles de gestion'!$D$2:$F$51,3, FALSE)</f>
        <v>Si l'absence ne commence pas par une demi-journée et si l'absence précédente ne finit pas par une demi journée, la date de début de l'absence saisie est postérieure à la date de fin réelle de l'absence précédente.</v>
      </c>
      <c r="BJ43" s="13" t="s">
        <v>122</v>
      </c>
      <c r="BK43" s="15" t="str">
        <f>VLOOKUP(BJ43,'Axe 2 Règles de gestion'!$D$2:$F$51,3, FALSE)</f>
        <v>Si l'absence ne commence pas par une demi-journée et si l'absence précédente ne finit pas par une demi journée, la date de début de l'absence saisie est postérieure à la date de fin prévisionnelle de l'absence précédente.</v>
      </c>
      <c r="BL43" s="13" t="s">
        <v>124</v>
      </c>
      <c r="BM43" s="15" t="str">
        <f>VLOOKUP(BL43,'Axe 2 Règles de gestion'!$D$2:$F$51,3, FALSE)</f>
        <v>La date de fin réelle ou la date de fin prévisionnelle du congé/absence doit être saisie.</v>
      </c>
      <c r="BN43" s="13" t="s">
        <v>126</v>
      </c>
      <c r="BO43" s="15" t="str">
        <f>VLOOKUP(BN43,'Axe 2 Règles de gestion'!$D$2:$F$51,3, FALSE)</f>
        <v>Dans le cas d'un congé autre que CLM, CLD, CGM et CITIS, l'indicateur de requalification doit être à non et les impacts spécifiques à la requalification ne doivent pas être mobilisés ou l'impact rémunération est vide.</v>
      </c>
      <c r="BP43" s="13" t="s">
        <v>116</v>
      </c>
      <c r="BQ43" s="15" t="str">
        <f>VLOOKUP(BP43,'Axe 2 Règles de gestion'!$D$2:$F$51,3, FALSE)</f>
        <v>La date de fin réelle du congé/absence doit être antérieure à la date limite de départ à la retraite.</v>
      </c>
      <c r="BR43" s="13" t="s">
        <v>118</v>
      </c>
      <c r="BS43" s="15" t="str">
        <f>VLOOKUP(BR43,'Axe 2 Règles de gestion'!$D$2:$F$51,3, FALSE)</f>
        <v>La date de fin prévisionnelle du congé/absence doit être antérieure à la date limite de départ à la retraite.</v>
      </c>
      <c r="BT43" s="13"/>
      <c r="BU43" s="13"/>
    </row>
    <row r="44" spans="1:73" ht="165" x14ac:dyDescent="0.25">
      <c r="A44" s="13" t="s">
        <v>134</v>
      </c>
      <c r="B44" s="13" t="s">
        <v>75</v>
      </c>
      <c r="C44" s="14">
        <v>44934.823611111111</v>
      </c>
      <c r="D44" s="13" t="s">
        <v>76</v>
      </c>
      <c r="E44" s="15" t="s">
        <v>77</v>
      </c>
      <c r="F44" s="13" t="s">
        <v>78</v>
      </c>
      <c r="G44" s="15" t="s">
        <v>79</v>
      </c>
      <c r="H44" s="13" t="s">
        <v>192</v>
      </c>
      <c r="I44" s="15" t="s">
        <v>193</v>
      </c>
      <c r="J44" s="15" t="s">
        <v>194</v>
      </c>
      <c r="K44" s="15" t="s">
        <v>195</v>
      </c>
      <c r="L44" s="13" t="s">
        <v>196</v>
      </c>
      <c r="M44" s="15" t="s">
        <v>197</v>
      </c>
      <c r="N44" s="13" t="s">
        <v>86</v>
      </c>
      <c r="O44" s="15"/>
      <c r="P44" s="15"/>
      <c r="Q44" s="15" t="s">
        <v>178</v>
      </c>
      <c r="R44" s="13" t="s">
        <v>179</v>
      </c>
      <c r="S44" s="13" t="s">
        <v>167</v>
      </c>
      <c r="T44" s="13" t="s">
        <v>90</v>
      </c>
      <c r="U44" s="14">
        <v>41706</v>
      </c>
      <c r="V44" s="14"/>
      <c r="W44" s="15" t="s">
        <v>211</v>
      </c>
      <c r="X44" s="13" t="s">
        <v>212</v>
      </c>
      <c r="Y44" s="15" t="str">
        <f>VLOOKUP(X44,'Axe 2 Règles de gestion'!$D$2:$F$51,3, FALSE)</f>
        <v>L'agent informe son employeur au moins 30 jours avant le début du congé. Il précise la date et la durée de l'absence sollicitée ainsi que le nom de l'organisme responsable du stage ou de la session.</v>
      </c>
      <c r="Z44" s="13" t="s">
        <v>214</v>
      </c>
      <c r="AA44" s="15" t="str">
        <f>VLOOKUP(Z44,'Axe 2 Règles de gestion'!$D$2:$F$51,3, FALSE)</f>
        <v>La liste des centres et instituts dont les stages et sessions ouvrant droit à ce congé est établie par arrêté du ministre chargé du travail pris après avis des organisations syndicales de salariés.</v>
      </c>
      <c r="AB44" s="13" t="s">
        <v>216</v>
      </c>
      <c r="AC44" s="15" t="str">
        <f>VLOOKUP(AB44,'Axe 2 Règles de gestion'!$D$2:$F$51,3, FALSE)</f>
        <v>L'administration ne peut refuser le bénéfice du congé que pour des raisons liées aux nécessités du service. Le refus doit être motivé.</v>
      </c>
      <c r="AD44" s="13" t="s">
        <v>218</v>
      </c>
      <c r="AE44" s="15" t="str">
        <f>VLOOKUP(AD44,'Axe 2 Règles de gestion'!$D$2:$F$51,3, FALSE)</f>
        <v>Le refus est notifié à l'agent dans un délai de 8 jours à compter de la réception de sa demande.</v>
      </c>
      <c r="AF44" s="13"/>
      <c r="AG44" s="15"/>
      <c r="AH44" s="13"/>
      <c r="AI44" s="15"/>
      <c r="AJ44" s="13" t="s">
        <v>220</v>
      </c>
      <c r="AK44" s="15" t="str">
        <f>VLOOKUP(AJ44,'Axe 2 Règles de gestion'!$D$2:$F$51,3, FALSE)</f>
        <v>La durée de chaque congé ne peut être inférieure à 1/2 journée (date de fin réelle de l'absence).</v>
      </c>
      <c r="AL44" s="13" t="s">
        <v>222</v>
      </c>
      <c r="AM44" s="15" t="str">
        <f>VLOOKUP(AL44,'Axe 2 Règles de gestion'!$D$2:$F$51,3, FALSE)</f>
        <v>La durée totale des congés de formation économique, sociale et environnementale et de formation syndicale pris dans l'année ne peut excéder 12 jours.</v>
      </c>
      <c r="AN44" s="13" t="s">
        <v>224</v>
      </c>
      <c r="AO44" s="15" t="str">
        <f>VLOOKUP(AN44,'Axe 2 Règles de gestion'!$D$2:$F$51,3, FALSE)</f>
        <v>La durée totale des congés de formation économique, sociale et environnementale et de formation syndicale ne peut excéder 18 jours pour les animateurs des stages et sessions.</v>
      </c>
      <c r="AP44" s="13" t="s">
        <v>226</v>
      </c>
      <c r="AQ44" s="15" t="str">
        <f>VLOOKUP(AP44,'Axe 2 Règles de gestion'!$D$2:$F$51,3, FALSE)</f>
        <v>La durée de chaque congé ne peut être inférieure à 1/2 jour (date de fin prévisionnelle de l'absence).</v>
      </c>
      <c r="AR44" s="13" t="s">
        <v>228</v>
      </c>
      <c r="AS44" s="15" t="str">
        <f>VLOOKUP(AR44,'Axe 2 Règles de gestion'!$D$2:$F$51,3, FALSE)</f>
        <v>Les congés "Congé de citoyenneté ou de formation de cadres et d'animateurs pour la jeunesse" et "Congé de formation économique, sociale, environnementale et syndicale" ne peuvent se cumuler qu'à concurrence de 12 jours ouvrables pour une même année.</v>
      </c>
      <c r="AT44" s="13" t="s">
        <v>210</v>
      </c>
      <c r="AU44" s="15" t="str">
        <f>VLOOKUP(AT44,'Axe 2 Règles de gestion'!$D$2:$F$51,3, FALSE)</f>
        <v>L'agent doit être en activité.</v>
      </c>
      <c r="AV44" s="13" t="s">
        <v>147</v>
      </c>
      <c r="AW44" s="15" t="str">
        <f>VLOOKUP(AV44,'Axe 2 Règles de gestion'!$D$2:$F$51,3, FALSE)</f>
        <v>La date de début du congé/absence doit être postérieure ou égale à la date de début du lien juridique.</v>
      </c>
      <c r="AX44" s="13" t="s">
        <v>112</v>
      </c>
      <c r="AY44" s="15" t="str">
        <f>VLOOKUP(AX44,'Axe 2 Règles de gestion'!$D$2:$F$51,3, FALSE)</f>
        <v>La date de début du congé/absence doit être antérieure ou égale à la date de fin réelle du congé/absence.</v>
      </c>
      <c r="AZ44" s="13" t="s">
        <v>114</v>
      </c>
      <c r="BA44" s="15" t="str">
        <f>VLOOKUP(AZ44,'Axe 2 Règles de gestion'!$D$2:$F$51,3, FALSE)</f>
        <v>La date de début du congé/absence doit être antérieure ou égale à la date de fin prévisionnelle du congé/absence.</v>
      </c>
      <c r="BB44" s="13" t="s">
        <v>149</v>
      </c>
      <c r="BC44" s="15" t="str">
        <f>VLOOKUP(BB44,'Axe 2 Règles de gestion'!$D$2:$F$51,3, FALSE)</f>
        <v>La date de fin réelle du congé/absence doit être antérieure ou égale à la date limite de fin réelle ou prévisionnelle du lien juridique.</v>
      </c>
      <c r="BD44" s="13" t="s">
        <v>151</v>
      </c>
      <c r="BE44" s="15" t="str">
        <f>VLOOKUP(BD44,'Axe 2 Règles de gestion'!$D$2:$F$51,3, FALSE)</f>
        <v>La date de fin prévisionnelle du congé/absence doit être antérieure ou égale à la date limite de fin réelle ou prévisionnelle du lien juridique.</v>
      </c>
      <c r="BF44" s="13" t="s">
        <v>116</v>
      </c>
      <c r="BG44" s="15" t="str">
        <f>VLOOKUP(BF44,'Axe 2 Règles de gestion'!$D$2:$F$51,3, FALSE)</f>
        <v>La date de fin réelle du congé/absence doit être antérieure à la date limite de départ à la retraite.</v>
      </c>
      <c r="BH44" s="13" t="s">
        <v>118</v>
      </c>
      <c r="BI44" s="15" t="str">
        <f>VLOOKUP(BH44,'Axe 2 Règles de gestion'!$D$2:$F$51,3, FALSE)</f>
        <v>La date de fin prévisionnelle du congé/absence doit être antérieure à la date limite de départ à la retraite.</v>
      </c>
      <c r="BJ44" s="13" t="s">
        <v>124</v>
      </c>
      <c r="BK44" s="15" t="str">
        <f>VLOOKUP(BJ44,'Axe 2 Règles de gestion'!$D$2:$F$51,3, FALSE)</f>
        <v>La date de fin réelle ou la date de fin prévisionnelle du congé/absence doit être saisie.</v>
      </c>
      <c r="BL44" s="13" t="s">
        <v>120</v>
      </c>
      <c r="BM44" s="15" t="str">
        <f>VLOOKUP(BL44,'Axe 2 Règles de gestion'!$D$2:$F$51,3, FALSE)</f>
        <v>Si l'absence ne commence pas par une demi-journée et si l'absence précédente ne finit pas par une demi journée, la date de début de l'absence saisie est postérieure à la date de fin réelle de l'absence précédente.</v>
      </c>
      <c r="BN44" s="13" t="s">
        <v>122</v>
      </c>
      <c r="BO44" s="15" t="str">
        <f>VLOOKUP(BN44,'Axe 2 Règles de gestion'!$D$2:$F$51,3, FALSE)</f>
        <v>Si l'absence ne commence pas par une demi-journée et si l'absence précédente ne finit pas par une demi journée, la date de début de l'absence saisie est postérieure à la date de fin prévisionnelle de l'absence précédente.</v>
      </c>
      <c r="BP44" s="13" t="s">
        <v>126</v>
      </c>
      <c r="BQ44" s="15" t="str">
        <f>VLOOKUP(BP44,'Axe 2 Règles de gestion'!$D$2:$F$51,3, FALSE)</f>
        <v>Dans le cas d'un congé autre que CLM, CLD, CGM et CITIS, l'indicateur de requalification doit être à non et les impacts spécifiques à la requalification ne doivent pas être mobilisés ou l'impact rémunération est vide.</v>
      </c>
      <c r="BR44" s="13" t="s">
        <v>108</v>
      </c>
      <c r="BS44" s="15" t="str">
        <f>VLOOKUP(BR44,'Axe 2 Règles de gestion'!$D$2:$F$51,3, FALSE)</f>
        <v>La période de référence du compteur de suivi du cumul total du congé saisi doit être initialisée sur une période allant du 01/01 au 31/12 de la même année.</v>
      </c>
      <c r="BT44" s="13"/>
      <c r="BU44" s="13"/>
    </row>
    <row r="45" spans="1:73" ht="150" x14ac:dyDescent="0.25">
      <c r="A45" s="13" t="s">
        <v>200</v>
      </c>
      <c r="B45" s="13" t="s">
        <v>75</v>
      </c>
      <c r="C45" s="14">
        <v>43538.747916666667</v>
      </c>
      <c r="D45" s="13" t="s">
        <v>76</v>
      </c>
      <c r="E45" s="15" t="s">
        <v>77</v>
      </c>
      <c r="F45" s="13" t="s">
        <v>78</v>
      </c>
      <c r="G45" s="15" t="s">
        <v>79</v>
      </c>
      <c r="H45" s="13" t="s">
        <v>192</v>
      </c>
      <c r="I45" s="15" t="s">
        <v>193</v>
      </c>
      <c r="J45" s="15" t="s">
        <v>194</v>
      </c>
      <c r="K45" s="15" t="s">
        <v>195</v>
      </c>
      <c r="L45" s="13" t="s">
        <v>198</v>
      </c>
      <c r="M45" s="15" t="s">
        <v>199</v>
      </c>
      <c r="N45" s="13" t="s">
        <v>130</v>
      </c>
      <c r="O45" s="15"/>
      <c r="P45" s="15"/>
      <c r="Q45" s="15" t="s">
        <v>178</v>
      </c>
      <c r="R45" s="13" t="s">
        <v>179</v>
      </c>
      <c r="S45" s="13" t="s">
        <v>167</v>
      </c>
      <c r="T45" s="13" t="s">
        <v>90</v>
      </c>
      <c r="U45" s="14">
        <v>40725</v>
      </c>
      <c r="V45" s="14">
        <v>41705</v>
      </c>
      <c r="W45" s="15" t="s">
        <v>230</v>
      </c>
      <c r="X45" s="13"/>
      <c r="Y45" s="15"/>
      <c r="Z45" s="13"/>
      <c r="AA45" s="15"/>
      <c r="AB45" s="13"/>
      <c r="AC45" s="15"/>
      <c r="AD45" s="13"/>
      <c r="AE45" s="15"/>
      <c r="AF45" s="13"/>
      <c r="AG45" s="15"/>
      <c r="AH45" s="13"/>
      <c r="AI45" s="15"/>
      <c r="AJ45" s="13" t="s">
        <v>202</v>
      </c>
      <c r="AK45" s="15" t="str">
        <f>VLOOKUP(AJ45,'Axe 2 Règles de gestion'!$D$2:$F$51,3, FALSE)</f>
        <v>La durée totale des congés de formation économique et social et de formation syndicale pris dans l'année ne peut excéder 12 jours.</v>
      </c>
      <c r="AL45" s="13" t="s">
        <v>204</v>
      </c>
      <c r="AM45" s="15" t="str">
        <f>VLOOKUP(AL45,'Axe 2 Règles de gestion'!$D$2:$F$51,3, FALSE)</f>
        <v>La durée totale des congés de formation économique et social et de formation syndicale ne peut excéder 18 jours pour les animateurs des stages et sessions.</v>
      </c>
      <c r="AN45" s="13" t="s">
        <v>206</v>
      </c>
      <c r="AO45" s="15" t="str">
        <f>VLOOKUP(AN45,'Axe 2 Règles de gestion'!$D$2:$F$51,3, FALSE)</f>
        <v>La durée de chaque congé ne peut être inférieure à 2 jours (date de fin réelle de l'absence).</v>
      </c>
      <c r="AP45" s="13" t="s">
        <v>208</v>
      </c>
      <c r="AQ45" s="15" t="str">
        <f>VLOOKUP(AP45,'Axe 2 Règles de gestion'!$D$2:$F$51,3, FALSE)</f>
        <v>La durée de chaque congé ne peut être inférieure à 2 jours (date de fin prévisionnelle de l'absence).</v>
      </c>
      <c r="AR45" s="13"/>
      <c r="AS45" s="15"/>
      <c r="AT45" s="13" t="s">
        <v>108</v>
      </c>
      <c r="AU45" s="15" t="str">
        <f>VLOOKUP(AT45,'Axe 2 Règles de gestion'!$D$2:$F$51,3, FALSE)</f>
        <v>La période de référence du compteur de suivi du cumul total du congé saisi doit être initialisée sur une période allant du 01/01 au 31/12 de la même année.</v>
      </c>
      <c r="AV45" s="13" t="s">
        <v>112</v>
      </c>
      <c r="AW45" s="15" t="str">
        <f>VLOOKUP(AV45,'Axe 2 Règles de gestion'!$D$2:$F$51,3, FALSE)</f>
        <v>La date de début du congé/absence doit être antérieure ou égale à la date de fin réelle du congé/absence.</v>
      </c>
      <c r="AX45" s="13" t="s">
        <v>114</v>
      </c>
      <c r="AY45" s="15" t="str">
        <f>VLOOKUP(AX45,'Axe 2 Règles de gestion'!$D$2:$F$51,3, FALSE)</f>
        <v>La date de début du congé/absence doit être antérieure ou égale à la date de fin prévisionnelle du congé/absence.</v>
      </c>
      <c r="AZ45" s="13" t="s">
        <v>149</v>
      </c>
      <c r="BA45" s="15" t="str">
        <f>VLOOKUP(AZ45,'Axe 2 Règles de gestion'!$D$2:$F$51,3, FALSE)</f>
        <v>La date de fin réelle du congé/absence doit être antérieure ou égale à la date limite de fin réelle ou prévisionnelle du lien juridique.</v>
      </c>
      <c r="BB45" s="13" t="s">
        <v>151</v>
      </c>
      <c r="BC45" s="15" t="str">
        <f>VLOOKUP(BB45,'Axe 2 Règles de gestion'!$D$2:$F$51,3, FALSE)</f>
        <v>La date de fin prévisionnelle du congé/absence doit être antérieure ou égale à la date limite de fin réelle ou prévisionnelle du lien juridique.</v>
      </c>
      <c r="BD45" s="13" t="s">
        <v>124</v>
      </c>
      <c r="BE45" s="15" t="str">
        <f>VLOOKUP(BD45,'Axe 2 Règles de gestion'!$D$2:$F$51,3, FALSE)</f>
        <v>La date de fin réelle ou la date de fin prévisionnelle du congé/absence doit être saisie.</v>
      </c>
      <c r="BF45" s="13" t="s">
        <v>116</v>
      </c>
      <c r="BG45" s="15" t="str">
        <f>VLOOKUP(BF45,'Axe 2 Règles de gestion'!$D$2:$F$51,3, FALSE)</f>
        <v>La date de fin réelle du congé/absence doit être antérieure à la date limite de départ à la retraite.</v>
      </c>
      <c r="BH45" s="13" t="s">
        <v>118</v>
      </c>
      <c r="BI45" s="15" t="str">
        <f>VLOOKUP(BH45,'Axe 2 Règles de gestion'!$D$2:$F$51,3, FALSE)</f>
        <v>La date de fin prévisionnelle du congé/absence doit être antérieure à la date limite de départ à la retraite.</v>
      </c>
      <c r="BJ45" s="13" t="s">
        <v>126</v>
      </c>
      <c r="BK45" s="15" t="str">
        <f>VLOOKUP(BJ45,'Axe 2 Règles de gestion'!$D$2:$F$51,3, FALSE)</f>
        <v>Dans le cas d'un congé autre que CLM, CLD, CGM et CITIS, l'indicateur de requalification doit être à non et les impacts spécifiques à la requalification ne doivent pas être mobilisés ou l'impact rémunération est vide.</v>
      </c>
      <c r="BL45" s="13"/>
      <c r="BM45" s="15"/>
      <c r="BN45" s="13"/>
      <c r="BO45" s="15"/>
      <c r="BP45" s="13"/>
      <c r="BQ45" s="15"/>
      <c r="BR45" s="13"/>
      <c r="BS45" s="15"/>
      <c r="BT45" s="13"/>
      <c r="BU45" s="13"/>
    </row>
    <row r="46" spans="1:73" ht="165" x14ac:dyDescent="0.25">
      <c r="A46" s="13" t="s">
        <v>134</v>
      </c>
      <c r="B46" s="13" t="s">
        <v>75</v>
      </c>
      <c r="C46" s="14">
        <v>44934.824305555558</v>
      </c>
      <c r="D46" s="13" t="s">
        <v>76</v>
      </c>
      <c r="E46" s="15" t="s">
        <v>77</v>
      </c>
      <c r="F46" s="13" t="s">
        <v>78</v>
      </c>
      <c r="G46" s="15" t="s">
        <v>79</v>
      </c>
      <c r="H46" s="13" t="s">
        <v>192</v>
      </c>
      <c r="I46" s="15" t="s">
        <v>193</v>
      </c>
      <c r="J46" s="15" t="s">
        <v>194</v>
      </c>
      <c r="K46" s="15" t="s">
        <v>195</v>
      </c>
      <c r="L46" s="13" t="s">
        <v>198</v>
      </c>
      <c r="M46" s="15" t="s">
        <v>199</v>
      </c>
      <c r="N46" s="13" t="s">
        <v>130</v>
      </c>
      <c r="O46" s="15"/>
      <c r="P46" s="15"/>
      <c r="Q46" s="15" t="s">
        <v>178</v>
      </c>
      <c r="R46" s="13" t="s">
        <v>179</v>
      </c>
      <c r="S46" s="13" t="s">
        <v>167</v>
      </c>
      <c r="T46" s="13" t="s">
        <v>90</v>
      </c>
      <c r="U46" s="14">
        <v>41706</v>
      </c>
      <c r="V46" s="14"/>
      <c r="W46" s="15" t="s">
        <v>231</v>
      </c>
      <c r="X46" s="13" t="s">
        <v>232</v>
      </c>
      <c r="Y46" s="15" t="str">
        <f>VLOOKUP(X46,'Axe 2 Règles de gestion'!$D$2:$F$51,3, FALSE)</f>
        <v>Lors de la reprise de fonctions, l'agent remet à son chef de service l'attestation d'assiduité délivrée à l'issue de son stage.</v>
      </c>
      <c r="Z46" s="13"/>
      <c r="AA46" s="15"/>
      <c r="AB46" s="13"/>
      <c r="AC46" s="15"/>
      <c r="AD46" s="13"/>
      <c r="AE46" s="15"/>
      <c r="AF46" s="13"/>
      <c r="AG46" s="15"/>
      <c r="AH46" s="13"/>
      <c r="AI46" s="15"/>
      <c r="AJ46" s="13" t="s">
        <v>220</v>
      </c>
      <c r="AK46" s="15" t="str">
        <f>VLOOKUP(AJ46,'Axe 2 Règles de gestion'!$D$2:$F$51,3, FALSE)</f>
        <v>La durée de chaque congé ne peut être inférieure à 1/2 journée (date de fin réelle de l'absence).</v>
      </c>
      <c r="AL46" s="13" t="s">
        <v>222</v>
      </c>
      <c r="AM46" s="15" t="str">
        <f>VLOOKUP(AL46,'Axe 2 Règles de gestion'!$D$2:$F$51,3, FALSE)</f>
        <v>La durée totale des congés de formation économique, sociale et environnementale et de formation syndicale pris dans l'année ne peut excéder 12 jours.</v>
      </c>
      <c r="AN46" s="13" t="s">
        <v>224</v>
      </c>
      <c r="AO46" s="15" t="str">
        <f>VLOOKUP(AN46,'Axe 2 Règles de gestion'!$D$2:$F$51,3, FALSE)</f>
        <v>La durée totale des congés de formation économique, sociale et environnementale et de formation syndicale ne peut excéder 18 jours pour les animateurs des stages et sessions.</v>
      </c>
      <c r="AP46" s="13" t="s">
        <v>226</v>
      </c>
      <c r="AQ46" s="15" t="str">
        <f>VLOOKUP(AP46,'Axe 2 Règles de gestion'!$D$2:$F$51,3, FALSE)</f>
        <v>La durée de chaque congé ne peut être inférieure à 1/2 jour (date de fin prévisionnelle de l'absence).</v>
      </c>
      <c r="AR46" s="13" t="s">
        <v>228</v>
      </c>
      <c r="AS46" s="15" t="str">
        <f>VLOOKUP(AR46,'Axe 2 Règles de gestion'!$D$2:$F$51,3, FALSE)</f>
        <v>Les congés "Congé de citoyenneté ou de formation de cadres et d'animateurs pour la jeunesse" et "Congé de formation économique, sociale, environnementale et syndicale" ne peuvent se cumuler qu'à concurrence de 12 jours ouvrables pour une même année.</v>
      </c>
      <c r="AT46" s="13" t="s">
        <v>112</v>
      </c>
      <c r="AU46" s="15" t="str">
        <f>VLOOKUP(AT46,'Axe 2 Règles de gestion'!$D$2:$F$51,3, FALSE)</f>
        <v>La date de début du congé/absence doit être antérieure ou égale à la date de fin réelle du congé/absence.</v>
      </c>
      <c r="AV46" s="13" t="s">
        <v>114</v>
      </c>
      <c r="AW46" s="15" t="str">
        <f>VLOOKUP(AV46,'Axe 2 Règles de gestion'!$D$2:$F$51,3, FALSE)</f>
        <v>La date de début du congé/absence doit être antérieure ou égale à la date de fin prévisionnelle du congé/absence.</v>
      </c>
      <c r="AX46" s="13" t="s">
        <v>149</v>
      </c>
      <c r="AY46" s="15" t="str">
        <f>VLOOKUP(AX46,'Axe 2 Règles de gestion'!$D$2:$F$51,3, FALSE)</f>
        <v>La date de fin réelle du congé/absence doit être antérieure ou égale à la date limite de fin réelle ou prévisionnelle du lien juridique.</v>
      </c>
      <c r="AZ46" s="13" t="s">
        <v>151</v>
      </c>
      <c r="BA46" s="15" t="str">
        <f>VLOOKUP(AZ46,'Axe 2 Règles de gestion'!$D$2:$F$51,3, FALSE)</f>
        <v>La date de fin prévisionnelle du congé/absence doit être antérieure ou égale à la date limite de fin réelle ou prévisionnelle du lien juridique.</v>
      </c>
      <c r="BB46" s="13" t="s">
        <v>116</v>
      </c>
      <c r="BC46" s="15" t="str">
        <f>VLOOKUP(BB46,'Axe 2 Règles de gestion'!$D$2:$F$51,3, FALSE)</f>
        <v>La date de fin réelle du congé/absence doit être antérieure à la date limite de départ à la retraite.</v>
      </c>
      <c r="BD46" s="13" t="s">
        <v>118</v>
      </c>
      <c r="BE46" s="15" t="str">
        <f>VLOOKUP(BD46,'Axe 2 Règles de gestion'!$D$2:$F$51,3, FALSE)</f>
        <v>La date de fin prévisionnelle du congé/absence doit être antérieure à la date limite de départ à la retraite.</v>
      </c>
      <c r="BF46" s="13" t="s">
        <v>124</v>
      </c>
      <c r="BG46" s="15" t="str">
        <f>VLOOKUP(BF46,'Axe 2 Règles de gestion'!$D$2:$F$51,3, FALSE)</f>
        <v>La date de fin réelle ou la date de fin prévisionnelle du congé/absence doit être saisie.</v>
      </c>
      <c r="BH46" s="13" t="s">
        <v>126</v>
      </c>
      <c r="BI46" s="15" t="str">
        <f>VLOOKUP(BH46,'Axe 2 Règles de gestion'!$D$2:$F$51,3, FALSE)</f>
        <v>Dans le cas d'un congé autre que CLM, CLD, CGM et CITIS, l'indicateur de requalification doit être à non et les impacts spécifiques à la requalification ne doivent pas être mobilisés ou l'impact rémunération est vide.</v>
      </c>
      <c r="BJ46" s="13" t="s">
        <v>108</v>
      </c>
      <c r="BK46" s="15" t="str">
        <f>VLOOKUP(BJ46,'Axe 2 Règles de gestion'!$D$2:$F$51,3, FALSE)</f>
        <v>La période de référence du compteur de suivi du cumul total du congé saisi doit être initialisée sur une période allant du 01/01 au 31/12 de la même année.</v>
      </c>
      <c r="BL46" s="13"/>
      <c r="BM46" s="15"/>
      <c r="BN46" s="13"/>
      <c r="BO46" s="15"/>
      <c r="BP46" s="13"/>
      <c r="BQ46" s="15"/>
      <c r="BR46" s="13"/>
      <c r="BS46" s="15"/>
      <c r="BT46" s="13"/>
      <c r="BU46" s="13"/>
    </row>
    <row r="47" spans="1:73" ht="90" x14ac:dyDescent="0.25">
      <c r="A47" s="13" t="s">
        <v>164</v>
      </c>
      <c r="B47" s="13" t="s">
        <v>135</v>
      </c>
      <c r="C47" s="14">
        <v>43165.488888888889</v>
      </c>
      <c r="D47" s="13" t="s">
        <v>76</v>
      </c>
      <c r="E47" s="15" t="s">
        <v>77</v>
      </c>
      <c r="F47" s="13" t="s">
        <v>78</v>
      </c>
      <c r="G47" s="15" t="s">
        <v>79</v>
      </c>
      <c r="H47" s="13" t="s">
        <v>192</v>
      </c>
      <c r="I47" s="15" t="s">
        <v>193</v>
      </c>
      <c r="J47" s="15" t="s">
        <v>194</v>
      </c>
      <c r="K47" s="15" t="s">
        <v>195</v>
      </c>
      <c r="L47" s="13" t="s">
        <v>196</v>
      </c>
      <c r="M47" s="15" t="s">
        <v>197</v>
      </c>
      <c r="N47" s="13" t="s">
        <v>86</v>
      </c>
      <c r="O47" s="15"/>
      <c r="P47" s="15"/>
      <c r="Q47" s="15" t="s">
        <v>190</v>
      </c>
      <c r="R47" s="13" t="s">
        <v>191</v>
      </c>
      <c r="S47" s="13" t="s">
        <v>167</v>
      </c>
      <c r="T47" s="13" t="s">
        <v>138</v>
      </c>
      <c r="U47" s="14">
        <v>43101</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3"/>
    </row>
    <row r="48" spans="1:73" ht="90" x14ac:dyDescent="0.25">
      <c r="A48" s="13" t="s">
        <v>164</v>
      </c>
      <c r="B48" s="13" t="s">
        <v>135</v>
      </c>
      <c r="C48" s="14">
        <v>43165.488888888889</v>
      </c>
      <c r="D48" s="13" t="s">
        <v>76</v>
      </c>
      <c r="E48" s="15" t="s">
        <v>77</v>
      </c>
      <c r="F48" s="13" t="s">
        <v>78</v>
      </c>
      <c r="G48" s="15" t="s">
        <v>79</v>
      </c>
      <c r="H48" s="13" t="s">
        <v>192</v>
      </c>
      <c r="I48" s="15" t="s">
        <v>193</v>
      </c>
      <c r="J48" s="15" t="s">
        <v>194</v>
      </c>
      <c r="K48" s="15" t="s">
        <v>195</v>
      </c>
      <c r="L48" s="13" t="s">
        <v>198</v>
      </c>
      <c r="M48" s="15" t="s">
        <v>199</v>
      </c>
      <c r="N48" s="13" t="s">
        <v>130</v>
      </c>
      <c r="O48" s="15"/>
      <c r="P48" s="15"/>
      <c r="Q48" s="15" t="s">
        <v>190</v>
      </c>
      <c r="R48" s="13" t="s">
        <v>191</v>
      </c>
      <c r="S48" s="13" t="s">
        <v>167</v>
      </c>
      <c r="T48" s="13" t="s">
        <v>138</v>
      </c>
      <c r="U48" s="14">
        <v>43101</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3"/>
    </row>
    <row r="49" spans="3:22" x14ac:dyDescent="0.25">
      <c r="C49" s="16"/>
      <c r="U49" s="16"/>
      <c r="V49" s="16"/>
    </row>
    <row r="50" spans="3:22" x14ac:dyDescent="0.25">
      <c r="C50" s="16"/>
      <c r="U50" s="16"/>
      <c r="V50" s="16"/>
    </row>
    <row r="51" spans="3:22" x14ac:dyDescent="0.25">
      <c r="C51" s="16"/>
      <c r="U51" s="16"/>
      <c r="V51" s="16"/>
    </row>
    <row r="52" spans="3:22" x14ac:dyDescent="0.25">
      <c r="C52" s="16"/>
      <c r="U52" s="16"/>
      <c r="V52" s="16"/>
    </row>
    <row r="53" spans="3:22" x14ac:dyDescent="0.25">
      <c r="C53" s="16"/>
      <c r="U53" s="16"/>
      <c r="V53" s="16"/>
    </row>
    <row r="54" spans="3:22" x14ac:dyDescent="0.25">
      <c r="C54" s="16"/>
      <c r="U54" s="16"/>
      <c r="V54" s="16"/>
    </row>
    <row r="55" spans="3:22" x14ac:dyDescent="0.25">
      <c r="C55" s="16"/>
      <c r="U55" s="16"/>
      <c r="V55" s="16"/>
    </row>
    <row r="56" spans="3:22" x14ac:dyDescent="0.25">
      <c r="C56" s="16"/>
      <c r="U56" s="16"/>
      <c r="V56" s="16"/>
    </row>
    <row r="57" spans="3:22" x14ac:dyDescent="0.25">
      <c r="C57" s="16"/>
      <c r="U57" s="16"/>
      <c r="V57" s="16"/>
    </row>
    <row r="58" spans="3:22" x14ac:dyDescent="0.25">
      <c r="C58" s="16"/>
      <c r="U58" s="16"/>
      <c r="V58" s="16"/>
    </row>
    <row r="59" spans="3:22" x14ac:dyDescent="0.25">
      <c r="C59" s="16"/>
      <c r="U59" s="16"/>
      <c r="V59" s="16"/>
    </row>
    <row r="60" spans="3:22" x14ac:dyDescent="0.25">
      <c r="C60" s="16"/>
      <c r="U60" s="16"/>
      <c r="V60" s="16"/>
    </row>
    <row r="61" spans="3:22" x14ac:dyDescent="0.25">
      <c r="C61" s="16"/>
      <c r="U61" s="16"/>
      <c r="V61" s="16"/>
    </row>
    <row r="62" spans="3:22" x14ac:dyDescent="0.25">
      <c r="C62" s="16"/>
      <c r="U62" s="16"/>
      <c r="V62" s="16"/>
    </row>
    <row r="63" spans="3:22" x14ac:dyDescent="0.25">
      <c r="C63" s="16"/>
      <c r="U63" s="16"/>
      <c r="V63" s="16"/>
    </row>
    <row r="64" spans="3:22" x14ac:dyDescent="0.25">
      <c r="C64" s="16"/>
      <c r="U64" s="16"/>
      <c r="V64" s="16"/>
    </row>
    <row r="65" spans="3:22" x14ac:dyDescent="0.25">
      <c r="C65" s="16"/>
      <c r="U65" s="16"/>
      <c r="V65" s="16"/>
    </row>
    <row r="66" spans="3:22" x14ac:dyDescent="0.25">
      <c r="C66" s="16"/>
      <c r="U66" s="16"/>
      <c r="V66" s="16"/>
    </row>
    <row r="67" spans="3:22" x14ac:dyDescent="0.25">
      <c r="C67" s="16"/>
      <c r="U67" s="16"/>
      <c r="V67" s="16"/>
    </row>
    <row r="68" spans="3:22" x14ac:dyDescent="0.25">
      <c r="C68" s="16"/>
      <c r="U68" s="16"/>
      <c r="V68" s="16"/>
    </row>
    <row r="69" spans="3:22" x14ac:dyDescent="0.25">
      <c r="C69" s="16"/>
      <c r="U69" s="16"/>
      <c r="V69" s="16"/>
    </row>
    <row r="70" spans="3:22" x14ac:dyDescent="0.25">
      <c r="C70" s="16"/>
      <c r="U70" s="16"/>
      <c r="V70" s="16"/>
    </row>
    <row r="71" spans="3:22" x14ac:dyDescent="0.25">
      <c r="C71" s="16"/>
      <c r="U71" s="16"/>
      <c r="V71" s="16"/>
    </row>
    <row r="72" spans="3:22" x14ac:dyDescent="0.25">
      <c r="C72" s="16"/>
      <c r="U72" s="16"/>
      <c r="V72" s="16"/>
    </row>
    <row r="73" spans="3:22" x14ac:dyDescent="0.25">
      <c r="C73" s="16"/>
      <c r="U73" s="16"/>
      <c r="V73" s="16"/>
    </row>
    <row r="74" spans="3:22" x14ac:dyDescent="0.25">
      <c r="C74" s="16"/>
      <c r="U74" s="16"/>
      <c r="V74" s="16"/>
    </row>
    <row r="75" spans="3:22" x14ac:dyDescent="0.25">
      <c r="C75" s="16"/>
      <c r="U75" s="16"/>
      <c r="V75" s="16"/>
    </row>
    <row r="76" spans="3:22" x14ac:dyDescent="0.25">
      <c r="C76" s="16"/>
      <c r="U76" s="16"/>
      <c r="V76" s="16"/>
    </row>
    <row r="77" spans="3:22" x14ac:dyDescent="0.25">
      <c r="C77" s="16"/>
      <c r="U77" s="16"/>
      <c r="V77" s="16"/>
    </row>
    <row r="78" spans="3:22" x14ac:dyDescent="0.25">
      <c r="C78" s="16"/>
      <c r="U78" s="16"/>
      <c r="V78" s="16"/>
    </row>
    <row r="79" spans="3:22" x14ac:dyDescent="0.25">
      <c r="C79" s="16"/>
      <c r="U79" s="16"/>
      <c r="V79" s="16"/>
    </row>
    <row r="80" spans="3:22" x14ac:dyDescent="0.25">
      <c r="C80" s="16"/>
      <c r="U80" s="16"/>
      <c r="V80" s="16"/>
    </row>
    <row r="81" spans="3:22" x14ac:dyDescent="0.25">
      <c r="C81" s="16"/>
      <c r="U81" s="16"/>
      <c r="V81" s="16"/>
    </row>
    <row r="82" spans="3:22" x14ac:dyDescent="0.25">
      <c r="C82" s="16"/>
      <c r="U82" s="16"/>
      <c r="V82" s="16"/>
    </row>
    <row r="83" spans="3:22" x14ac:dyDescent="0.25">
      <c r="C83" s="16"/>
      <c r="U83" s="16"/>
      <c r="V83" s="16"/>
    </row>
    <row r="84" spans="3:22" x14ac:dyDescent="0.25">
      <c r="C84" s="16"/>
      <c r="U84" s="16"/>
      <c r="V84" s="16"/>
    </row>
    <row r="85" spans="3:22" x14ac:dyDescent="0.25">
      <c r="C85" s="16"/>
      <c r="U85" s="16"/>
      <c r="V85" s="16"/>
    </row>
    <row r="86" spans="3:22" x14ac:dyDescent="0.25">
      <c r="C86" s="16"/>
      <c r="U86" s="16"/>
      <c r="V86" s="16"/>
    </row>
    <row r="87" spans="3:22" x14ac:dyDescent="0.25">
      <c r="C87" s="16"/>
      <c r="U87" s="16"/>
      <c r="V87" s="16"/>
    </row>
    <row r="88" spans="3:22" x14ac:dyDescent="0.25">
      <c r="C88" s="16"/>
      <c r="U88" s="16"/>
      <c r="V88" s="16"/>
    </row>
    <row r="89" spans="3:22" x14ac:dyDescent="0.25">
      <c r="C89" s="16"/>
      <c r="U89" s="16"/>
      <c r="V89" s="16"/>
    </row>
    <row r="90" spans="3:22" x14ac:dyDescent="0.25">
      <c r="C90" s="16"/>
      <c r="U90" s="16"/>
      <c r="V90" s="16"/>
    </row>
    <row r="91" spans="3:22" x14ac:dyDescent="0.25">
      <c r="C91" s="16"/>
      <c r="U91" s="16"/>
      <c r="V91" s="16"/>
    </row>
    <row r="92" spans="3:22" x14ac:dyDescent="0.25">
      <c r="C92" s="16"/>
      <c r="U92" s="16"/>
      <c r="V92" s="16"/>
    </row>
    <row r="93" spans="3:22" x14ac:dyDescent="0.25">
      <c r="C93" s="16"/>
      <c r="U93" s="16"/>
      <c r="V93" s="16"/>
    </row>
    <row r="94" spans="3:22" x14ac:dyDescent="0.25">
      <c r="C94" s="16"/>
      <c r="U94" s="16"/>
      <c r="V94" s="16"/>
    </row>
    <row r="95" spans="3:22" x14ac:dyDescent="0.25">
      <c r="C95" s="16"/>
      <c r="U95" s="16"/>
      <c r="V95" s="16"/>
    </row>
    <row r="96" spans="3:22" x14ac:dyDescent="0.25">
      <c r="C96" s="16"/>
      <c r="U96" s="16"/>
      <c r="V96" s="16"/>
    </row>
    <row r="97" spans="3:22" x14ac:dyDescent="0.25">
      <c r="C97" s="16"/>
      <c r="U97" s="16"/>
      <c r="V97" s="16"/>
    </row>
    <row r="98" spans="3:22" x14ac:dyDescent="0.25">
      <c r="C98" s="16"/>
      <c r="U98" s="16"/>
      <c r="V98" s="16"/>
    </row>
    <row r="99" spans="3:22" x14ac:dyDescent="0.25">
      <c r="C99" s="16"/>
      <c r="U99" s="16"/>
      <c r="V99" s="16"/>
    </row>
    <row r="100" spans="3:22" x14ac:dyDescent="0.25">
      <c r="C100" s="16"/>
      <c r="U100" s="16"/>
      <c r="V100" s="16"/>
    </row>
    <row r="101" spans="3:22" x14ac:dyDescent="0.25">
      <c r="C101" s="16"/>
      <c r="U101" s="16"/>
      <c r="V101" s="16"/>
    </row>
    <row r="102" spans="3:22" x14ac:dyDescent="0.25">
      <c r="C102" s="16"/>
      <c r="U102" s="16"/>
      <c r="V102" s="16"/>
    </row>
    <row r="103" spans="3:22" x14ac:dyDescent="0.25">
      <c r="C103" s="16"/>
      <c r="U103" s="16"/>
      <c r="V103" s="16"/>
    </row>
    <row r="104" spans="3:22" x14ac:dyDescent="0.25">
      <c r="C104" s="16"/>
      <c r="U104" s="16"/>
      <c r="V104" s="16"/>
    </row>
    <row r="105" spans="3:22" x14ac:dyDescent="0.25">
      <c r="C105" s="16"/>
      <c r="U105" s="16"/>
      <c r="V105" s="16"/>
    </row>
    <row r="106" spans="3:22" x14ac:dyDescent="0.25">
      <c r="C106" s="16"/>
      <c r="U106" s="16"/>
      <c r="V106" s="16"/>
    </row>
    <row r="107" spans="3:22" x14ac:dyDescent="0.25">
      <c r="C107" s="16"/>
      <c r="U107" s="16"/>
      <c r="V107" s="16"/>
    </row>
    <row r="108" spans="3:22" x14ac:dyDescent="0.25">
      <c r="C108" s="16"/>
      <c r="U108" s="16"/>
      <c r="V108" s="16"/>
    </row>
    <row r="109" spans="3:22" x14ac:dyDescent="0.25">
      <c r="C109" s="16"/>
      <c r="U109" s="16"/>
      <c r="V109" s="16"/>
    </row>
    <row r="110" spans="3:22" x14ac:dyDescent="0.25">
      <c r="C110" s="16"/>
      <c r="U110" s="16"/>
      <c r="V110" s="16"/>
    </row>
    <row r="111" spans="3:22" x14ac:dyDescent="0.25">
      <c r="C111" s="16"/>
      <c r="U111" s="16"/>
      <c r="V111" s="16"/>
    </row>
    <row r="112" spans="3:22" x14ac:dyDescent="0.25">
      <c r="C112" s="16"/>
      <c r="U112" s="16"/>
      <c r="V112" s="16"/>
    </row>
    <row r="113" spans="3:22" x14ac:dyDescent="0.25">
      <c r="C113" s="16"/>
      <c r="U113" s="16"/>
      <c r="V113" s="16"/>
    </row>
    <row r="114" spans="3:22" x14ac:dyDescent="0.25">
      <c r="C114" s="16"/>
      <c r="U114" s="16"/>
      <c r="V114" s="16"/>
    </row>
    <row r="115" spans="3:22" x14ac:dyDescent="0.25">
      <c r="C115" s="16"/>
      <c r="U115" s="16"/>
      <c r="V115" s="16"/>
    </row>
    <row r="116" spans="3:22" x14ac:dyDescent="0.25">
      <c r="C116" s="16"/>
      <c r="U116" s="16"/>
      <c r="V116" s="16"/>
    </row>
    <row r="117" spans="3:22" x14ac:dyDescent="0.25">
      <c r="C117" s="16"/>
      <c r="U117" s="16"/>
      <c r="V117" s="16"/>
    </row>
    <row r="118" spans="3:22" x14ac:dyDescent="0.25">
      <c r="C118" s="16"/>
      <c r="U118" s="16"/>
      <c r="V118" s="16"/>
    </row>
    <row r="119" spans="3:22" x14ac:dyDescent="0.25">
      <c r="C119" s="16"/>
      <c r="U119" s="16"/>
      <c r="V119" s="16"/>
    </row>
    <row r="120" spans="3:22" x14ac:dyDescent="0.25">
      <c r="C120" s="16"/>
      <c r="U120" s="16"/>
      <c r="V120" s="16"/>
    </row>
    <row r="121" spans="3:22" x14ac:dyDescent="0.25">
      <c r="C121" s="16"/>
      <c r="U121" s="16"/>
      <c r="V121" s="16"/>
    </row>
    <row r="122" spans="3:22" x14ac:dyDescent="0.25">
      <c r="C122" s="16"/>
      <c r="U122" s="16"/>
      <c r="V122" s="16"/>
    </row>
    <row r="123" spans="3:22" x14ac:dyDescent="0.25">
      <c r="C123" s="16"/>
      <c r="U123" s="16"/>
      <c r="V123" s="16"/>
    </row>
    <row r="124" spans="3:22" x14ac:dyDescent="0.25">
      <c r="C124" s="16"/>
      <c r="U124" s="16"/>
      <c r="V124" s="16"/>
    </row>
    <row r="125" spans="3:22" x14ac:dyDescent="0.25">
      <c r="C125" s="16"/>
      <c r="U125" s="16"/>
      <c r="V125" s="16"/>
    </row>
    <row r="126" spans="3:22" x14ac:dyDescent="0.25">
      <c r="C126" s="16"/>
      <c r="U126" s="16"/>
      <c r="V126" s="16"/>
    </row>
    <row r="127" spans="3:22" x14ac:dyDescent="0.25">
      <c r="C127" s="16"/>
      <c r="U127" s="16"/>
      <c r="V127" s="16"/>
    </row>
    <row r="128" spans="3:22" x14ac:dyDescent="0.25">
      <c r="C128" s="16"/>
      <c r="U128" s="16"/>
      <c r="V128" s="16"/>
    </row>
    <row r="129" spans="3:22" x14ac:dyDescent="0.25">
      <c r="C129" s="16"/>
      <c r="U129" s="16"/>
      <c r="V129" s="16"/>
    </row>
    <row r="130" spans="3:22" x14ac:dyDescent="0.25">
      <c r="C130" s="16"/>
      <c r="U130" s="16"/>
      <c r="V130" s="16"/>
    </row>
    <row r="131" spans="3:22" x14ac:dyDescent="0.25">
      <c r="C131" s="16"/>
      <c r="U131" s="16"/>
      <c r="V131" s="16"/>
    </row>
    <row r="132" spans="3:22" x14ac:dyDescent="0.25">
      <c r="C132" s="16"/>
      <c r="U132" s="16"/>
      <c r="V132" s="16"/>
    </row>
    <row r="133" spans="3:22" x14ac:dyDescent="0.25">
      <c r="C133" s="16"/>
      <c r="U133" s="16"/>
      <c r="V133" s="16"/>
    </row>
    <row r="134" spans="3:22" x14ac:dyDescent="0.25">
      <c r="C134" s="16"/>
      <c r="U134" s="16"/>
      <c r="V134" s="16"/>
    </row>
    <row r="135" spans="3:22" x14ac:dyDescent="0.25">
      <c r="C135" s="16"/>
      <c r="U135" s="16"/>
      <c r="V135" s="16"/>
    </row>
    <row r="136" spans="3:22" x14ac:dyDescent="0.25">
      <c r="C136" s="16"/>
      <c r="U136" s="16"/>
      <c r="V136" s="16"/>
    </row>
    <row r="137" spans="3:22" x14ac:dyDescent="0.25">
      <c r="C137" s="16"/>
      <c r="U137" s="16"/>
      <c r="V137" s="16"/>
    </row>
    <row r="138" spans="3:22" x14ac:dyDescent="0.25">
      <c r="C138" s="16"/>
      <c r="U138" s="16"/>
      <c r="V138" s="16"/>
    </row>
    <row r="139" spans="3:22" x14ac:dyDescent="0.25">
      <c r="C139" s="16"/>
      <c r="U139" s="16"/>
      <c r="V139" s="16"/>
    </row>
    <row r="140" spans="3:22" x14ac:dyDescent="0.25">
      <c r="C140" s="16"/>
      <c r="U140" s="16"/>
      <c r="V140" s="16"/>
    </row>
    <row r="141" spans="3:22" x14ac:dyDescent="0.25">
      <c r="C141" s="16"/>
      <c r="U141" s="16"/>
      <c r="V141" s="16"/>
    </row>
    <row r="142" spans="3:22" x14ac:dyDescent="0.25">
      <c r="C142" s="16"/>
      <c r="U142" s="16"/>
      <c r="V142" s="16"/>
    </row>
    <row r="143" spans="3:22" x14ac:dyDescent="0.25">
      <c r="C143" s="16"/>
      <c r="U143" s="16"/>
      <c r="V143" s="16"/>
    </row>
    <row r="144" spans="3:22" x14ac:dyDescent="0.25">
      <c r="C144" s="16"/>
      <c r="U144" s="16"/>
      <c r="V144" s="16"/>
    </row>
    <row r="145" spans="3:22" x14ac:dyDescent="0.25">
      <c r="C145" s="16"/>
      <c r="U145" s="16"/>
      <c r="V145" s="16"/>
    </row>
    <row r="146" spans="3:22" x14ac:dyDescent="0.25">
      <c r="C146" s="16"/>
      <c r="U146" s="16"/>
      <c r="V146" s="16"/>
    </row>
    <row r="147" spans="3:22" x14ac:dyDescent="0.25">
      <c r="C147" s="16"/>
      <c r="U147" s="16"/>
      <c r="V147" s="16"/>
    </row>
    <row r="148" spans="3:22" x14ac:dyDescent="0.25">
      <c r="C148" s="16"/>
      <c r="U148" s="16"/>
      <c r="V148" s="16"/>
    </row>
    <row r="149" spans="3:22" x14ac:dyDescent="0.25">
      <c r="C149" s="16"/>
      <c r="U149" s="16"/>
      <c r="V149" s="16"/>
    </row>
    <row r="150" spans="3:22" x14ac:dyDescent="0.25">
      <c r="C150" s="16"/>
      <c r="U150" s="16"/>
      <c r="V150" s="16"/>
    </row>
    <row r="151" spans="3:22" x14ac:dyDescent="0.25">
      <c r="C151" s="16"/>
      <c r="U151" s="16"/>
      <c r="V151" s="16"/>
    </row>
    <row r="152" spans="3:22" x14ac:dyDescent="0.25">
      <c r="C152" s="16"/>
      <c r="U152" s="16"/>
      <c r="V152" s="16"/>
    </row>
    <row r="153" spans="3:22" x14ac:dyDescent="0.25">
      <c r="C153" s="16"/>
      <c r="U153" s="16"/>
      <c r="V153" s="16"/>
    </row>
    <row r="154" spans="3:22" x14ac:dyDescent="0.25">
      <c r="C154" s="16"/>
      <c r="U154" s="16"/>
      <c r="V154" s="16"/>
    </row>
    <row r="155" spans="3:22" x14ac:dyDescent="0.25">
      <c r="C155" s="16"/>
      <c r="U155" s="16"/>
      <c r="V155" s="16"/>
    </row>
    <row r="156" spans="3:22" x14ac:dyDescent="0.25">
      <c r="C156" s="16"/>
      <c r="U156" s="16"/>
      <c r="V156" s="16"/>
    </row>
    <row r="157" spans="3:22" x14ac:dyDescent="0.25">
      <c r="C157" s="16"/>
      <c r="U157" s="16"/>
      <c r="V157" s="16"/>
    </row>
    <row r="158" spans="3:22" x14ac:dyDescent="0.25">
      <c r="C158" s="16"/>
      <c r="U158" s="16"/>
      <c r="V158" s="16"/>
    </row>
    <row r="159" spans="3:22" x14ac:dyDescent="0.25">
      <c r="C159" s="16"/>
      <c r="U159" s="16"/>
      <c r="V159" s="16"/>
    </row>
    <row r="160" spans="3:22" x14ac:dyDescent="0.25">
      <c r="C160" s="16"/>
      <c r="U160" s="16"/>
      <c r="V160" s="16"/>
    </row>
    <row r="161" spans="3:22" x14ac:dyDescent="0.25">
      <c r="C161" s="16"/>
      <c r="U161" s="16"/>
      <c r="V161" s="16"/>
    </row>
    <row r="162" spans="3:22" x14ac:dyDescent="0.25">
      <c r="C162" s="16"/>
      <c r="U162" s="16"/>
      <c r="V162" s="16"/>
    </row>
    <row r="163" spans="3:22" x14ac:dyDescent="0.25">
      <c r="C163" s="16"/>
      <c r="U163" s="16"/>
      <c r="V163" s="16"/>
    </row>
    <row r="164" spans="3:22" x14ac:dyDescent="0.25">
      <c r="C164" s="16"/>
      <c r="U164" s="16"/>
      <c r="V164" s="16"/>
    </row>
    <row r="165" spans="3:22" x14ac:dyDescent="0.25">
      <c r="C165" s="16"/>
      <c r="U165" s="16"/>
      <c r="V165" s="16"/>
    </row>
    <row r="166" spans="3:22" x14ac:dyDescent="0.25">
      <c r="C166" s="16"/>
      <c r="U166" s="16"/>
      <c r="V166" s="16"/>
    </row>
    <row r="167" spans="3:22" x14ac:dyDescent="0.25">
      <c r="C167" s="16"/>
      <c r="U167" s="16"/>
      <c r="V167" s="16"/>
    </row>
    <row r="168" spans="3:22" x14ac:dyDescent="0.25">
      <c r="C168" s="16"/>
      <c r="U168" s="16"/>
      <c r="V168" s="16"/>
    </row>
    <row r="169" spans="3:22" x14ac:dyDescent="0.25">
      <c r="C169" s="16"/>
      <c r="U169" s="16"/>
      <c r="V169" s="16"/>
    </row>
    <row r="170" spans="3:22" x14ac:dyDescent="0.25">
      <c r="C170" s="16"/>
      <c r="U170" s="16"/>
      <c r="V170" s="16"/>
    </row>
    <row r="171" spans="3:22" x14ac:dyDescent="0.25">
      <c r="C171" s="16"/>
      <c r="U171" s="16"/>
      <c r="V171" s="16"/>
    </row>
    <row r="172" spans="3:22" x14ac:dyDescent="0.25">
      <c r="C172" s="16"/>
      <c r="U172" s="16"/>
      <c r="V172" s="16"/>
    </row>
    <row r="173" spans="3:22" x14ac:dyDescent="0.25">
      <c r="C173" s="16"/>
      <c r="U173" s="16"/>
      <c r="V173" s="16"/>
    </row>
    <row r="174" spans="3:22" x14ac:dyDescent="0.25">
      <c r="C174" s="16"/>
      <c r="U174" s="16"/>
      <c r="V174" s="16"/>
    </row>
    <row r="175" spans="3:22" x14ac:dyDescent="0.25">
      <c r="C175" s="16"/>
      <c r="U175" s="16"/>
      <c r="V175" s="16"/>
    </row>
    <row r="176" spans="3:22" x14ac:dyDescent="0.25">
      <c r="C176" s="16"/>
      <c r="U176" s="16"/>
      <c r="V176" s="16"/>
    </row>
    <row r="177" spans="3:22" x14ac:dyDescent="0.25">
      <c r="C177" s="16"/>
      <c r="U177" s="16"/>
      <c r="V177" s="16"/>
    </row>
    <row r="178" spans="3:22" x14ac:dyDescent="0.25">
      <c r="C178" s="16"/>
      <c r="U178" s="16"/>
      <c r="V178" s="16"/>
    </row>
    <row r="179" spans="3:22" x14ac:dyDescent="0.25">
      <c r="C179" s="16"/>
      <c r="U179" s="16"/>
      <c r="V179" s="16"/>
    </row>
    <row r="180" spans="3:22" x14ac:dyDescent="0.25">
      <c r="C180" s="16"/>
      <c r="U180" s="16"/>
      <c r="V180" s="16"/>
    </row>
    <row r="181" spans="3:22" x14ac:dyDescent="0.25">
      <c r="C181" s="16"/>
      <c r="U181" s="16"/>
      <c r="V181" s="16"/>
    </row>
    <row r="182" spans="3:22" x14ac:dyDescent="0.25">
      <c r="C182" s="16"/>
      <c r="U182" s="16"/>
      <c r="V182" s="16"/>
    </row>
    <row r="183" spans="3:22" x14ac:dyDescent="0.25">
      <c r="C183" s="16"/>
      <c r="U183" s="16"/>
      <c r="V183" s="16"/>
    </row>
    <row r="184" spans="3:22" x14ac:dyDescent="0.25">
      <c r="C184" s="16"/>
      <c r="U184" s="16"/>
      <c r="V184" s="16"/>
    </row>
    <row r="185" spans="3:22" x14ac:dyDescent="0.25">
      <c r="C185" s="16"/>
      <c r="U185" s="16"/>
      <c r="V185" s="16"/>
    </row>
    <row r="186" spans="3:22" x14ac:dyDescent="0.25">
      <c r="C186" s="16"/>
      <c r="U186" s="16"/>
      <c r="V186" s="16"/>
    </row>
    <row r="187" spans="3:22" x14ac:dyDescent="0.25">
      <c r="C187" s="16"/>
      <c r="U187" s="16"/>
      <c r="V187" s="16"/>
    </row>
    <row r="188" spans="3:22" x14ac:dyDescent="0.25">
      <c r="C188" s="16"/>
      <c r="U188" s="16"/>
      <c r="V188" s="16"/>
    </row>
    <row r="189" spans="3:22" x14ac:dyDescent="0.25">
      <c r="C189" s="16"/>
      <c r="U189" s="16"/>
      <c r="V189" s="16"/>
    </row>
    <row r="190" spans="3:22" x14ac:dyDescent="0.25">
      <c r="C190" s="16"/>
      <c r="U190" s="16"/>
      <c r="V190" s="16"/>
    </row>
    <row r="191" spans="3:22" x14ac:dyDescent="0.25">
      <c r="C191" s="16"/>
      <c r="U191" s="16"/>
      <c r="V191" s="16"/>
    </row>
    <row r="192" spans="3:22" x14ac:dyDescent="0.25">
      <c r="C192" s="16"/>
      <c r="U192" s="16"/>
      <c r="V192" s="16"/>
    </row>
    <row r="193" spans="3:22" x14ac:dyDescent="0.25">
      <c r="C193" s="16"/>
      <c r="U193" s="16"/>
      <c r="V193" s="16"/>
    </row>
    <row r="194" spans="3:22" x14ac:dyDescent="0.25">
      <c r="C194" s="16"/>
      <c r="U194" s="16"/>
      <c r="V194" s="16"/>
    </row>
    <row r="195" spans="3:22" x14ac:dyDescent="0.25">
      <c r="C195" s="16"/>
      <c r="U195" s="16"/>
      <c r="V195" s="16"/>
    </row>
    <row r="196" spans="3:22" x14ac:dyDescent="0.25">
      <c r="C196" s="16"/>
      <c r="U196" s="16"/>
      <c r="V196" s="16"/>
    </row>
    <row r="197" spans="3:22" x14ac:dyDescent="0.25">
      <c r="C197" s="16"/>
      <c r="U197" s="16"/>
      <c r="V197" s="16"/>
    </row>
    <row r="198" spans="3:22" x14ac:dyDescent="0.25">
      <c r="C198" s="16"/>
      <c r="U198" s="16"/>
      <c r="V198" s="16"/>
    </row>
    <row r="199" spans="3:22" x14ac:dyDescent="0.25">
      <c r="C199" s="16"/>
      <c r="U199" s="16"/>
      <c r="V199" s="16"/>
    </row>
    <row r="200" spans="3:22" x14ac:dyDescent="0.25">
      <c r="C200" s="16"/>
      <c r="U200" s="16"/>
      <c r="V200" s="16"/>
    </row>
    <row r="201" spans="3:22" x14ac:dyDescent="0.25">
      <c r="C201" s="16"/>
      <c r="U201" s="16"/>
      <c r="V201" s="16"/>
    </row>
    <row r="202" spans="3:22" x14ac:dyDescent="0.25">
      <c r="C202" s="16"/>
      <c r="U202" s="16"/>
      <c r="V202" s="16"/>
    </row>
    <row r="203" spans="3:22" x14ac:dyDescent="0.25">
      <c r="C203" s="16"/>
      <c r="U203" s="16"/>
      <c r="V203" s="16"/>
    </row>
    <row r="204" spans="3:22" x14ac:dyDescent="0.25">
      <c r="C204" s="16"/>
      <c r="U204" s="16"/>
      <c r="V204" s="16"/>
    </row>
    <row r="205" spans="3:22" x14ac:dyDescent="0.25">
      <c r="C205" s="16"/>
      <c r="U205" s="16"/>
      <c r="V205" s="16"/>
    </row>
    <row r="206" spans="3:22" x14ac:dyDescent="0.25">
      <c r="C206" s="16"/>
      <c r="U206" s="16"/>
      <c r="V206" s="16"/>
    </row>
    <row r="207" spans="3:22" x14ac:dyDescent="0.25">
      <c r="C207" s="16"/>
      <c r="U207" s="16"/>
      <c r="V207" s="16"/>
    </row>
    <row r="208" spans="3:22" x14ac:dyDescent="0.25">
      <c r="C208" s="16"/>
      <c r="U208" s="16"/>
      <c r="V208" s="16"/>
    </row>
    <row r="209" spans="3:22" x14ac:dyDescent="0.25">
      <c r="C209" s="16"/>
      <c r="U209" s="16"/>
      <c r="V209" s="16"/>
    </row>
    <row r="210" spans="3:22" x14ac:dyDescent="0.25">
      <c r="C210" s="16"/>
      <c r="U210" s="16"/>
      <c r="V210" s="16"/>
    </row>
    <row r="211" spans="3:22" x14ac:dyDescent="0.25">
      <c r="C211" s="16"/>
      <c r="U211" s="16"/>
      <c r="V211" s="16"/>
    </row>
    <row r="212" spans="3:22" x14ac:dyDescent="0.25">
      <c r="C212" s="16"/>
      <c r="U212" s="16"/>
      <c r="V212" s="16"/>
    </row>
    <row r="213" spans="3:22" x14ac:dyDescent="0.25">
      <c r="C213" s="16"/>
      <c r="U213" s="16"/>
      <c r="V213" s="16"/>
    </row>
    <row r="214" spans="3:22" x14ac:dyDescent="0.25">
      <c r="C214" s="16"/>
      <c r="U214" s="16"/>
      <c r="V214" s="16"/>
    </row>
    <row r="215" spans="3:22" x14ac:dyDescent="0.25">
      <c r="C215" s="16"/>
      <c r="U215" s="16"/>
      <c r="V215" s="16"/>
    </row>
    <row r="216" spans="3:22" x14ac:dyDescent="0.25">
      <c r="C216" s="16"/>
      <c r="U216" s="16"/>
      <c r="V216" s="16"/>
    </row>
    <row r="217" spans="3:22" x14ac:dyDescent="0.25">
      <c r="C217" s="16"/>
      <c r="U217" s="16"/>
      <c r="V217" s="16"/>
    </row>
    <row r="218" spans="3:22" x14ac:dyDescent="0.25">
      <c r="C218" s="16"/>
      <c r="U218" s="16"/>
      <c r="V218" s="16"/>
    </row>
    <row r="219" spans="3:22" x14ac:dyDescent="0.25">
      <c r="C219" s="16"/>
      <c r="U219" s="16"/>
      <c r="V219" s="16"/>
    </row>
    <row r="220" spans="3:22" x14ac:dyDescent="0.25">
      <c r="C220" s="16"/>
      <c r="U220" s="16"/>
      <c r="V220" s="16"/>
    </row>
    <row r="221" spans="3:22" x14ac:dyDescent="0.25">
      <c r="C221" s="16"/>
      <c r="U221" s="16"/>
      <c r="V221" s="16"/>
    </row>
    <row r="222" spans="3:22" x14ac:dyDescent="0.25">
      <c r="C222" s="16"/>
      <c r="U222" s="16"/>
      <c r="V222" s="16"/>
    </row>
    <row r="223" spans="3:22" x14ac:dyDescent="0.25">
      <c r="C223" s="16"/>
      <c r="U223" s="16"/>
      <c r="V223" s="16"/>
    </row>
    <row r="224" spans="3:22" x14ac:dyDescent="0.25">
      <c r="C224" s="16"/>
      <c r="U224" s="16"/>
      <c r="V224" s="16"/>
    </row>
    <row r="225" spans="3:22" x14ac:dyDescent="0.25">
      <c r="C225" s="16"/>
      <c r="U225" s="16"/>
      <c r="V225" s="16"/>
    </row>
    <row r="226" spans="3:22" x14ac:dyDescent="0.25">
      <c r="C226" s="16"/>
      <c r="U226" s="16"/>
      <c r="V226" s="16"/>
    </row>
    <row r="227" spans="3:22" x14ac:dyDescent="0.25">
      <c r="C227" s="16"/>
      <c r="U227" s="16"/>
      <c r="V227" s="16"/>
    </row>
    <row r="228" spans="3:22" x14ac:dyDescent="0.25">
      <c r="C228" s="16"/>
      <c r="U228" s="16"/>
      <c r="V228" s="16"/>
    </row>
    <row r="229" spans="3:22" x14ac:dyDescent="0.25">
      <c r="C229" s="16"/>
      <c r="U229" s="16"/>
      <c r="V229" s="16"/>
    </row>
    <row r="230" spans="3:22" x14ac:dyDescent="0.25">
      <c r="C230" s="16"/>
      <c r="U230" s="16"/>
      <c r="V230" s="16"/>
    </row>
    <row r="231" spans="3:22" x14ac:dyDescent="0.25">
      <c r="C231" s="16"/>
      <c r="U231" s="16"/>
      <c r="V231" s="16"/>
    </row>
    <row r="232" spans="3:22" x14ac:dyDescent="0.25">
      <c r="C232" s="16"/>
      <c r="U232" s="16"/>
      <c r="V232" s="16"/>
    </row>
    <row r="233" spans="3:22" x14ac:dyDescent="0.25">
      <c r="C233" s="16"/>
      <c r="U233" s="16"/>
      <c r="V233" s="16"/>
    </row>
    <row r="234" spans="3:22" x14ac:dyDescent="0.25">
      <c r="C234" s="16"/>
      <c r="U234" s="16"/>
      <c r="V234" s="16"/>
    </row>
    <row r="235" spans="3:22" x14ac:dyDescent="0.25">
      <c r="C235" s="16"/>
      <c r="U235" s="16"/>
      <c r="V235" s="16"/>
    </row>
    <row r="236" spans="3:22" x14ac:dyDescent="0.25">
      <c r="C236" s="16"/>
      <c r="U236" s="16"/>
      <c r="V236" s="16"/>
    </row>
    <row r="237" spans="3:22" x14ac:dyDescent="0.25">
      <c r="C237" s="16"/>
      <c r="U237" s="16"/>
      <c r="V237" s="16"/>
    </row>
    <row r="238" spans="3:22" x14ac:dyDescent="0.25">
      <c r="C238" s="16"/>
      <c r="U238" s="16"/>
      <c r="V238" s="16"/>
    </row>
    <row r="239" spans="3:22" x14ac:dyDescent="0.25">
      <c r="C239" s="16"/>
      <c r="U239" s="16"/>
      <c r="V239" s="16"/>
    </row>
    <row r="240" spans="3:22" x14ac:dyDescent="0.25">
      <c r="C240" s="16"/>
      <c r="U240" s="16"/>
      <c r="V240" s="16"/>
    </row>
    <row r="241" spans="3:22" x14ac:dyDescent="0.25">
      <c r="C241" s="16"/>
      <c r="U241" s="16"/>
      <c r="V241" s="16"/>
    </row>
    <row r="242" spans="3:22" x14ac:dyDescent="0.25">
      <c r="C242" s="16"/>
      <c r="U242" s="16"/>
      <c r="V242" s="16"/>
    </row>
    <row r="243" spans="3:22" x14ac:dyDescent="0.25">
      <c r="C243" s="16"/>
      <c r="U243" s="16"/>
      <c r="V243" s="16"/>
    </row>
    <row r="244" spans="3:22" x14ac:dyDescent="0.25">
      <c r="C244" s="16"/>
      <c r="U244" s="16"/>
      <c r="V244" s="16"/>
    </row>
    <row r="245" spans="3:22" x14ac:dyDescent="0.25">
      <c r="C245" s="16"/>
      <c r="U245" s="16"/>
      <c r="V245" s="16"/>
    </row>
    <row r="246" spans="3:22" x14ac:dyDescent="0.25">
      <c r="C246" s="16"/>
      <c r="U246" s="16"/>
      <c r="V246" s="16"/>
    </row>
    <row r="247" spans="3:22" x14ac:dyDescent="0.25">
      <c r="C247" s="16"/>
      <c r="U247" s="16"/>
      <c r="V247" s="16"/>
    </row>
    <row r="248" spans="3:22" x14ac:dyDescent="0.25">
      <c r="C248" s="16"/>
      <c r="U248" s="16"/>
      <c r="V248" s="16"/>
    </row>
    <row r="249" spans="3:22" x14ac:dyDescent="0.25">
      <c r="C249" s="16"/>
      <c r="U249" s="16"/>
      <c r="V249" s="16"/>
    </row>
    <row r="250" spans="3:22" x14ac:dyDescent="0.25">
      <c r="C250" s="16"/>
      <c r="U250" s="16"/>
      <c r="V250" s="16"/>
    </row>
    <row r="251" spans="3:22" x14ac:dyDescent="0.25">
      <c r="C251" s="16"/>
      <c r="U251" s="16"/>
      <c r="V251" s="16"/>
    </row>
    <row r="252" spans="3:22" x14ac:dyDescent="0.25">
      <c r="C252" s="16"/>
      <c r="U252" s="16"/>
      <c r="V252" s="16"/>
    </row>
    <row r="253" spans="3:22" x14ac:dyDescent="0.25">
      <c r="C253" s="16"/>
      <c r="U253" s="16"/>
      <c r="V253" s="16"/>
    </row>
    <row r="254" spans="3:22" x14ac:dyDescent="0.25">
      <c r="C254" s="16"/>
      <c r="U254" s="16"/>
      <c r="V254" s="16"/>
    </row>
    <row r="255" spans="3:22" x14ac:dyDescent="0.25">
      <c r="C255" s="16"/>
      <c r="U255" s="16"/>
      <c r="V255" s="16"/>
    </row>
    <row r="256" spans="3:22" x14ac:dyDescent="0.25">
      <c r="C256" s="16"/>
      <c r="U256" s="16"/>
      <c r="V256" s="16"/>
    </row>
    <row r="257" spans="3:22" x14ac:dyDescent="0.25">
      <c r="C257" s="16"/>
      <c r="U257" s="16"/>
      <c r="V257" s="16"/>
    </row>
    <row r="258" spans="3:22" x14ac:dyDescent="0.25">
      <c r="C258" s="16"/>
      <c r="U258" s="16"/>
      <c r="V258" s="16"/>
    </row>
    <row r="259" spans="3:22" x14ac:dyDescent="0.25">
      <c r="C259" s="16"/>
      <c r="U259" s="16"/>
      <c r="V259" s="16"/>
    </row>
    <row r="260" spans="3:22" x14ac:dyDescent="0.25">
      <c r="C260" s="16"/>
      <c r="U260" s="16"/>
      <c r="V260" s="16"/>
    </row>
    <row r="261" spans="3:22" x14ac:dyDescent="0.25">
      <c r="C261" s="16"/>
      <c r="U261" s="16"/>
      <c r="V261" s="16"/>
    </row>
    <row r="262" spans="3:22" x14ac:dyDescent="0.25">
      <c r="C262" s="16"/>
      <c r="U262" s="16"/>
      <c r="V262" s="16"/>
    </row>
    <row r="263" spans="3:22" x14ac:dyDescent="0.25">
      <c r="C263" s="16"/>
      <c r="U263" s="16"/>
      <c r="V263" s="16"/>
    </row>
    <row r="264" spans="3:22" x14ac:dyDescent="0.25">
      <c r="C264" s="16"/>
      <c r="U264" s="16"/>
      <c r="V264" s="16"/>
    </row>
    <row r="265" spans="3:22" x14ac:dyDescent="0.25">
      <c r="C265" s="16"/>
      <c r="U265" s="16"/>
      <c r="V265" s="16"/>
    </row>
    <row r="266" spans="3:22" x14ac:dyDescent="0.25">
      <c r="C266" s="16"/>
      <c r="U266" s="16"/>
      <c r="V266" s="16"/>
    </row>
    <row r="267" spans="3:22" x14ac:dyDescent="0.25">
      <c r="C267" s="16"/>
      <c r="U267" s="16"/>
      <c r="V267" s="16"/>
    </row>
    <row r="268" spans="3:22" x14ac:dyDescent="0.25">
      <c r="C268" s="16"/>
      <c r="U268" s="16"/>
      <c r="V268" s="16"/>
    </row>
    <row r="269" spans="3:22" x14ac:dyDescent="0.25">
      <c r="C269" s="16"/>
      <c r="U269" s="16"/>
      <c r="V269" s="16"/>
    </row>
    <row r="270" spans="3:22" x14ac:dyDescent="0.25">
      <c r="C270" s="16"/>
      <c r="U270" s="16"/>
      <c r="V270" s="16"/>
    </row>
    <row r="271" spans="3:22" x14ac:dyDescent="0.25">
      <c r="C271" s="16"/>
      <c r="U271" s="16"/>
      <c r="V271" s="16"/>
    </row>
    <row r="272" spans="3:22" x14ac:dyDescent="0.25">
      <c r="C272" s="16"/>
      <c r="U272" s="16"/>
      <c r="V272" s="16"/>
    </row>
    <row r="273" spans="3:22" x14ac:dyDescent="0.25">
      <c r="C273" s="16"/>
      <c r="U273" s="16"/>
      <c r="V273" s="16"/>
    </row>
    <row r="274" spans="3:22" x14ac:dyDescent="0.25">
      <c r="C274" s="16"/>
      <c r="U274" s="16"/>
      <c r="V274" s="16"/>
    </row>
    <row r="275" spans="3:22" x14ac:dyDescent="0.25">
      <c r="C275" s="16"/>
      <c r="U275" s="16"/>
      <c r="V275" s="16"/>
    </row>
    <row r="276" spans="3:22" x14ac:dyDescent="0.25">
      <c r="C276" s="16"/>
      <c r="U276" s="16"/>
      <c r="V276" s="16"/>
    </row>
    <row r="277" spans="3:22" x14ac:dyDescent="0.25">
      <c r="C277" s="16"/>
      <c r="U277" s="16"/>
      <c r="V277" s="16"/>
    </row>
    <row r="278" spans="3:22" x14ac:dyDescent="0.25">
      <c r="C278" s="16"/>
      <c r="U278" s="16"/>
      <c r="V278" s="16"/>
    </row>
    <row r="279" spans="3:22" x14ac:dyDescent="0.25">
      <c r="C279" s="16"/>
      <c r="U279" s="16"/>
      <c r="V279" s="16"/>
    </row>
    <row r="280" spans="3:22" x14ac:dyDescent="0.25">
      <c r="C280" s="16"/>
      <c r="U280" s="16"/>
      <c r="V280" s="16"/>
    </row>
    <row r="281" spans="3:22" x14ac:dyDescent="0.25">
      <c r="C281" s="16"/>
      <c r="U281" s="16"/>
      <c r="V281" s="16"/>
    </row>
    <row r="282" spans="3:22" x14ac:dyDescent="0.25">
      <c r="C282" s="16"/>
      <c r="U282" s="16"/>
      <c r="V282" s="16"/>
    </row>
    <row r="283" spans="3:22" x14ac:dyDescent="0.25">
      <c r="C283" s="16"/>
      <c r="U283" s="16"/>
      <c r="V283" s="16"/>
    </row>
    <row r="284" spans="3:22" x14ac:dyDescent="0.25">
      <c r="C284" s="16"/>
      <c r="U284" s="16"/>
      <c r="V284" s="16"/>
    </row>
    <row r="285" spans="3:22" x14ac:dyDescent="0.25">
      <c r="C285" s="16"/>
      <c r="U285" s="16"/>
      <c r="V285" s="16"/>
    </row>
    <row r="286" spans="3:22" x14ac:dyDescent="0.25">
      <c r="C286" s="16"/>
      <c r="U286" s="16"/>
      <c r="V286" s="16"/>
    </row>
    <row r="287" spans="3:22" x14ac:dyDescent="0.25">
      <c r="C287" s="16"/>
      <c r="U287" s="16"/>
      <c r="V287" s="16"/>
    </row>
    <row r="288" spans="3:22" x14ac:dyDescent="0.25">
      <c r="C288" s="16"/>
      <c r="U288" s="16"/>
      <c r="V288" s="16"/>
    </row>
    <row r="289" spans="3:22" x14ac:dyDescent="0.25">
      <c r="C289" s="16"/>
      <c r="U289" s="16"/>
      <c r="V289" s="16"/>
    </row>
    <row r="290" spans="3:22" x14ac:dyDescent="0.25">
      <c r="C290" s="16"/>
      <c r="U290" s="16"/>
      <c r="V290" s="16"/>
    </row>
    <row r="291" spans="3:22" x14ac:dyDescent="0.25">
      <c r="C291" s="16"/>
      <c r="U291" s="16"/>
      <c r="V291" s="16"/>
    </row>
    <row r="292" spans="3:22" x14ac:dyDescent="0.25">
      <c r="C292" s="16"/>
      <c r="U292" s="16"/>
      <c r="V292" s="16"/>
    </row>
    <row r="293" spans="3:22" x14ac:dyDescent="0.25">
      <c r="C293" s="16"/>
      <c r="U293" s="16"/>
      <c r="V293" s="16"/>
    </row>
    <row r="294" spans="3:22" x14ac:dyDescent="0.25">
      <c r="C294" s="16"/>
      <c r="U294" s="16"/>
      <c r="V294" s="16"/>
    </row>
    <row r="295" spans="3:22" x14ac:dyDescent="0.25">
      <c r="C295" s="16"/>
      <c r="U295" s="16"/>
      <c r="V295" s="16"/>
    </row>
    <row r="296" spans="3:22" x14ac:dyDescent="0.25">
      <c r="C296" s="16"/>
      <c r="U296" s="16"/>
      <c r="V296" s="16"/>
    </row>
    <row r="297" spans="3:22" x14ac:dyDescent="0.25">
      <c r="C297" s="16"/>
      <c r="U297" s="16"/>
      <c r="V297" s="16"/>
    </row>
    <row r="298" spans="3:22" x14ac:dyDescent="0.25">
      <c r="C298" s="16"/>
      <c r="U298" s="16"/>
      <c r="V298" s="16"/>
    </row>
    <row r="299" spans="3:22" x14ac:dyDescent="0.25">
      <c r="C299" s="16"/>
      <c r="U299" s="16"/>
      <c r="V299" s="16"/>
    </row>
    <row r="300" spans="3:22" x14ac:dyDescent="0.25">
      <c r="C300" s="16"/>
      <c r="U300" s="16"/>
      <c r="V300" s="16"/>
    </row>
    <row r="301" spans="3:22" x14ac:dyDescent="0.25">
      <c r="C301" s="16"/>
      <c r="U301" s="16"/>
      <c r="V301" s="16"/>
    </row>
    <row r="302" spans="3:22" x14ac:dyDescent="0.25">
      <c r="C302" s="16"/>
      <c r="U302" s="16"/>
      <c r="V302" s="16"/>
    </row>
    <row r="303" spans="3:22" x14ac:dyDescent="0.25">
      <c r="C303" s="16"/>
      <c r="U303" s="16"/>
      <c r="V303" s="16"/>
    </row>
    <row r="304" spans="3:22" x14ac:dyDescent="0.25">
      <c r="C304" s="16"/>
      <c r="U304" s="16"/>
      <c r="V304" s="16"/>
    </row>
    <row r="305" spans="3:22" x14ac:dyDescent="0.25">
      <c r="C305" s="16"/>
      <c r="U305" s="16"/>
      <c r="V305" s="16"/>
    </row>
    <row r="306" spans="3:22" x14ac:dyDescent="0.25">
      <c r="C306" s="16"/>
      <c r="U306" s="16"/>
      <c r="V306" s="16"/>
    </row>
    <row r="307" spans="3:22" x14ac:dyDescent="0.25">
      <c r="C307" s="16"/>
      <c r="U307" s="16"/>
      <c r="V307" s="16"/>
    </row>
    <row r="308" spans="3:22" x14ac:dyDescent="0.25">
      <c r="C308" s="16"/>
      <c r="U308" s="16"/>
      <c r="V308" s="16"/>
    </row>
    <row r="309" spans="3:22" x14ac:dyDescent="0.25">
      <c r="C309" s="16"/>
      <c r="U309" s="16"/>
      <c r="V309" s="16"/>
    </row>
    <row r="310" spans="3:22" x14ac:dyDescent="0.25">
      <c r="C310" s="16"/>
      <c r="U310" s="16"/>
      <c r="V310" s="16"/>
    </row>
    <row r="311" spans="3:22" x14ac:dyDescent="0.25">
      <c r="C311" s="16"/>
      <c r="U311" s="16"/>
      <c r="V311" s="16"/>
    </row>
    <row r="312" spans="3:22" x14ac:dyDescent="0.25">
      <c r="C312" s="16"/>
      <c r="U312" s="16"/>
      <c r="V312" s="16"/>
    </row>
    <row r="313" spans="3:22" x14ac:dyDescent="0.25">
      <c r="C313" s="16"/>
      <c r="U313" s="16"/>
      <c r="V313" s="16"/>
    </row>
    <row r="314" spans="3:22" x14ac:dyDescent="0.25">
      <c r="C314" s="16"/>
      <c r="U314" s="16"/>
      <c r="V314" s="16"/>
    </row>
    <row r="315" spans="3:22" x14ac:dyDescent="0.25">
      <c r="C315" s="16"/>
      <c r="U315" s="16"/>
      <c r="V315" s="16"/>
    </row>
    <row r="316" spans="3:22" x14ac:dyDescent="0.25">
      <c r="C316" s="16"/>
      <c r="U316" s="16"/>
      <c r="V316" s="16"/>
    </row>
    <row r="317" spans="3:22" x14ac:dyDescent="0.25">
      <c r="C317" s="16"/>
      <c r="U317" s="16"/>
      <c r="V317" s="16"/>
    </row>
    <row r="318" spans="3:22" x14ac:dyDescent="0.25">
      <c r="C318" s="16"/>
      <c r="U318" s="16"/>
      <c r="V318" s="16"/>
    </row>
    <row r="319" spans="3:22" x14ac:dyDescent="0.25">
      <c r="C319" s="16"/>
      <c r="U319" s="16"/>
      <c r="V319" s="16"/>
    </row>
    <row r="320" spans="3:22" x14ac:dyDescent="0.25">
      <c r="C320" s="16"/>
      <c r="U320" s="16"/>
      <c r="V320" s="16"/>
    </row>
    <row r="321" spans="3:22" x14ac:dyDescent="0.25">
      <c r="C321" s="16"/>
      <c r="U321" s="16"/>
      <c r="V321" s="16"/>
    </row>
    <row r="322" spans="3:22" x14ac:dyDescent="0.25">
      <c r="C322" s="16"/>
      <c r="U322" s="16"/>
      <c r="V322" s="16"/>
    </row>
    <row r="323" spans="3:22" x14ac:dyDescent="0.25">
      <c r="C323" s="16"/>
      <c r="U323" s="16"/>
      <c r="V323" s="16"/>
    </row>
    <row r="324" spans="3:22" x14ac:dyDescent="0.25">
      <c r="C324" s="16"/>
      <c r="U324" s="16"/>
      <c r="V324" s="16"/>
    </row>
    <row r="325" spans="3:22" x14ac:dyDescent="0.25">
      <c r="C325" s="16"/>
      <c r="U325" s="16"/>
      <c r="V325" s="16"/>
    </row>
    <row r="326" spans="3:22" x14ac:dyDescent="0.25">
      <c r="C326" s="16"/>
      <c r="U326" s="16"/>
      <c r="V326" s="16"/>
    </row>
    <row r="327" spans="3:22" x14ac:dyDescent="0.25">
      <c r="C327" s="16"/>
      <c r="U327" s="16"/>
      <c r="V327" s="16"/>
    </row>
    <row r="328" spans="3:22" x14ac:dyDescent="0.25">
      <c r="C328" s="16"/>
      <c r="U328" s="16"/>
      <c r="V328" s="16"/>
    </row>
    <row r="329" spans="3:22" x14ac:dyDescent="0.25">
      <c r="C329" s="16"/>
      <c r="U329" s="16"/>
      <c r="V329" s="16"/>
    </row>
    <row r="330" spans="3:22" x14ac:dyDescent="0.25">
      <c r="C330" s="16"/>
      <c r="U330" s="16"/>
      <c r="V330" s="16"/>
    </row>
    <row r="331" spans="3:22" x14ac:dyDescent="0.25">
      <c r="C331" s="16"/>
      <c r="U331" s="16"/>
      <c r="V331" s="16"/>
    </row>
    <row r="332" spans="3:22" x14ac:dyDescent="0.25">
      <c r="C332" s="16"/>
      <c r="U332" s="16"/>
      <c r="V332" s="16"/>
    </row>
    <row r="333" spans="3:22" x14ac:dyDescent="0.25">
      <c r="C333" s="16"/>
      <c r="U333" s="16"/>
      <c r="V333" s="16"/>
    </row>
    <row r="334" spans="3:22" x14ac:dyDescent="0.25">
      <c r="C334" s="16"/>
      <c r="U334" s="16"/>
      <c r="V334" s="16"/>
    </row>
    <row r="335" spans="3:22" x14ac:dyDescent="0.25">
      <c r="C335" s="16"/>
      <c r="U335" s="16"/>
      <c r="V335" s="16"/>
    </row>
    <row r="336" spans="3:22" x14ac:dyDescent="0.25">
      <c r="C336" s="16"/>
      <c r="U336" s="16"/>
      <c r="V336" s="16"/>
    </row>
    <row r="337" spans="3:22" x14ac:dyDescent="0.25">
      <c r="C337" s="16"/>
      <c r="U337" s="16"/>
      <c r="V337" s="16"/>
    </row>
    <row r="338" spans="3:22" x14ac:dyDescent="0.25">
      <c r="C338" s="16"/>
      <c r="U338" s="16"/>
      <c r="V338" s="16"/>
    </row>
    <row r="339" spans="3:22" x14ac:dyDescent="0.25">
      <c r="C339" s="16"/>
      <c r="U339" s="16"/>
      <c r="V339" s="16"/>
    </row>
    <row r="340" spans="3:22" x14ac:dyDescent="0.25">
      <c r="C340" s="16"/>
      <c r="U340" s="16"/>
      <c r="V340" s="16"/>
    </row>
    <row r="341" spans="3:22" x14ac:dyDescent="0.25">
      <c r="C341" s="16"/>
      <c r="U341" s="16"/>
      <c r="V341" s="16"/>
    </row>
    <row r="342" spans="3:22" x14ac:dyDescent="0.25">
      <c r="C342" s="16"/>
      <c r="U342" s="16"/>
      <c r="V342" s="16"/>
    </row>
    <row r="343" spans="3:22" x14ac:dyDescent="0.25">
      <c r="C343" s="16"/>
      <c r="U343" s="16"/>
      <c r="V343" s="16"/>
    </row>
    <row r="344" spans="3:22" x14ac:dyDescent="0.25">
      <c r="C344" s="16"/>
      <c r="U344" s="16"/>
      <c r="V344" s="16"/>
    </row>
    <row r="345" spans="3:22" x14ac:dyDescent="0.25">
      <c r="C345" s="16"/>
      <c r="U345" s="16"/>
      <c r="V345" s="16"/>
    </row>
    <row r="346" spans="3:22" x14ac:dyDescent="0.25">
      <c r="C346" s="16"/>
      <c r="U346" s="16"/>
      <c r="V346" s="16"/>
    </row>
    <row r="347" spans="3:22" x14ac:dyDescent="0.25">
      <c r="C347" s="16"/>
      <c r="U347" s="16"/>
      <c r="V347" s="16"/>
    </row>
    <row r="348" spans="3:22" x14ac:dyDescent="0.25">
      <c r="C348" s="16"/>
      <c r="U348" s="16"/>
      <c r="V348" s="16"/>
    </row>
    <row r="349" spans="3:22" x14ac:dyDescent="0.25">
      <c r="C349" s="16"/>
      <c r="U349" s="16"/>
      <c r="V349" s="16"/>
    </row>
    <row r="350" spans="3:22" x14ac:dyDescent="0.25">
      <c r="C350" s="16"/>
      <c r="U350" s="16"/>
      <c r="V350" s="16"/>
    </row>
    <row r="351" spans="3:22" x14ac:dyDescent="0.25">
      <c r="C351" s="16"/>
      <c r="U351" s="16"/>
      <c r="V351" s="16"/>
    </row>
    <row r="352" spans="3:22" x14ac:dyDescent="0.25">
      <c r="C352" s="16"/>
      <c r="U352" s="16"/>
      <c r="V352" s="16"/>
    </row>
    <row r="353" spans="3:22" x14ac:dyDescent="0.25">
      <c r="C353" s="16"/>
      <c r="U353" s="16"/>
      <c r="V353" s="16"/>
    </row>
    <row r="354" spans="3:22" x14ac:dyDescent="0.25">
      <c r="C354" s="16"/>
      <c r="U354" s="16"/>
      <c r="V354" s="16"/>
    </row>
    <row r="355" spans="3:22" x14ac:dyDescent="0.25">
      <c r="C355" s="16"/>
      <c r="U355" s="16"/>
      <c r="V355" s="16"/>
    </row>
    <row r="356" spans="3:22" x14ac:dyDescent="0.25">
      <c r="C356" s="16"/>
      <c r="U356" s="16"/>
      <c r="V356" s="16"/>
    </row>
    <row r="357" spans="3:22" x14ac:dyDescent="0.25">
      <c r="C357" s="16"/>
      <c r="U357" s="16"/>
      <c r="V357" s="16"/>
    </row>
    <row r="358" spans="3:22" x14ac:dyDescent="0.25">
      <c r="C358" s="16"/>
      <c r="U358" s="16"/>
      <c r="V358" s="16"/>
    </row>
    <row r="359" spans="3:22" x14ac:dyDescent="0.25">
      <c r="C359" s="16"/>
      <c r="U359" s="16"/>
      <c r="V359" s="16"/>
    </row>
    <row r="360" spans="3:22" x14ac:dyDescent="0.25">
      <c r="C360" s="16"/>
      <c r="U360" s="16"/>
      <c r="V360" s="16"/>
    </row>
    <row r="361" spans="3:22" x14ac:dyDescent="0.25">
      <c r="C361" s="16"/>
      <c r="U361" s="16"/>
      <c r="V361" s="16"/>
    </row>
    <row r="362" spans="3:22" x14ac:dyDescent="0.25">
      <c r="C362" s="16"/>
      <c r="U362" s="16"/>
      <c r="V362" s="16"/>
    </row>
    <row r="363" spans="3:22" x14ac:dyDescent="0.25">
      <c r="C363" s="16"/>
      <c r="U363" s="16"/>
      <c r="V363" s="16"/>
    </row>
    <row r="364" spans="3:22" x14ac:dyDescent="0.25">
      <c r="C364" s="16"/>
      <c r="U364" s="16"/>
      <c r="V364" s="16"/>
    </row>
    <row r="365" spans="3:22" x14ac:dyDescent="0.25">
      <c r="C365" s="16"/>
      <c r="U365" s="16"/>
      <c r="V365" s="16"/>
    </row>
    <row r="366" spans="3:22" x14ac:dyDescent="0.25">
      <c r="C366" s="16"/>
      <c r="U366" s="16"/>
      <c r="V366" s="16"/>
    </row>
    <row r="367" spans="3:22" x14ac:dyDescent="0.25">
      <c r="C367" s="16"/>
      <c r="U367" s="16"/>
      <c r="V367" s="16"/>
    </row>
    <row r="368" spans="3:22" x14ac:dyDescent="0.25">
      <c r="C368" s="16"/>
      <c r="U368" s="16"/>
      <c r="V368" s="16"/>
    </row>
    <row r="369" spans="3:22" x14ac:dyDescent="0.25">
      <c r="C369" s="16"/>
      <c r="U369" s="16"/>
      <c r="V369" s="16"/>
    </row>
    <row r="370" spans="3:22" x14ac:dyDescent="0.25">
      <c r="C370" s="16"/>
      <c r="U370" s="16"/>
      <c r="V370" s="16"/>
    </row>
    <row r="371" spans="3:22" x14ac:dyDescent="0.25">
      <c r="C371" s="16"/>
      <c r="U371" s="16"/>
      <c r="V371" s="16"/>
    </row>
    <row r="372" spans="3:22" x14ac:dyDescent="0.25">
      <c r="C372" s="16"/>
      <c r="U372" s="16"/>
      <c r="V372" s="16"/>
    </row>
    <row r="373" spans="3:22" x14ac:dyDescent="0.25">
      <c r="C373" s="16"/>
      <c r="U373" s="16"/>
      <c r="V373" s="16"/>
    </row>
    <row r="374" spans="3:22" x14ac:dyDescent="0.25">
      <c r="C374" s="16"/>
      <c r="U374" s="16"/>
      <c r="V374" s="16"/>
    </row>
    <row r="375" spans="3:22" x14ac:dyDescent="0.25">
      <c r="C375" s="16"/>
      <c r="U375" s="16"/>
      <c r="V375" s="16"/>
    </row>
    <row r="376" spans="3:22" x14ac:dyDescent="0.25">
      <c r="C376" s="16"/>
      <c r="U376" s="16"/>
      <c r="V376" s="16"/>
    </row>
    <row r="377" spans="3:22" x14ac:dyDescent="0.25">
      <c r="C377" s="16"/>
      <c r="U377" s="16"/>
      <c r="V377" s="16"/>
    </row>
    <row r="378" spans="3:22" x14ac:dyDescent="0.25">
      <c r="C378" s="16"/>
      <c r="U378" s="16"/>
      <c r="V378" s="16"/>
    </row>
    <row r="379" spans="3:22" x14ac:dyDescent="0.25">
      <c r="C379" s="16"/>
      <c r="U379" s="16"/>
      <c r="V379" s="16"/>
    </row>
    <row r="380" spans="3:22" x14ac:dyDescent="0.25">
      <c r="C380" s="16"/>
      <c r="U380" s="16"/>
      <c r="V380" s="16"/>
    </row>
    <row r="381" spans="3:22" x14ac:dyDescent="0.25">
      <c r="C381" s="16"/>
      <c r="U381" s="16"/>
      <c r="V381" s="16"/>
    </row>
    <row r="382" spans="3:22" x14ac:dyDescent="0.25">
      <c r="C382" s="16"/>
      <c r="U382" s="16"/>
      <c r="V382" s="16"/>
    </row>
    <row r="383" spans="3:22" x14ac:dyDescent="0.25">
      <c r="C383" s="16"/>
      <c r="U383" s="16"/>
      <c r="V383" s="16"/>
    </row>
    <row r="384" spans="3:22" x14ac:dyDescent="0.25">
      <c r="C384" s="16"/>
      <c r="U384" s="16"/>
      <c r="V384" s="16"/>
    </row>
    <row r="385" spans="3:22" x14ac:dyDescent="0.25">
      <c r="C385" s="16"/>
      <c r="U385" s="16"/>
      <c r="V385" s="16"/>
    </row>
    <row r="386" spans="3:22" x14ac:dyDescent="0.25">
      <c r="C386" s="16"/>
      <c r="U386" s="16"/>
      <c r="V386" s="16"/>
    </row>
    <row r="387" spans="3:22" x14ac:dyDescent="0.25">
      <c r="C387" s="16"/>
      <c r="U387" s="16"/>
      <c r="V387" s="16"/>
    </row>
    <row r="388" spans="3:22" x14ac:dyDescent="0.25">
      <c r="C388" s="16"/>
      <c r="U388" s="16"/>
      <c r="V388" s="16"/>
    </row>
    <row r="389" spans="3:22" x14ac:dyDescent="0.25">
      <c r="C389" s="16"/>
      <c r="U389" s="16"/>
      <c r="V389" s="16"/>
    </row>
    <row r="390" spans="3:22" x14ac:dyDescent="0.25">
      <c r="C390" s="16"/>
      <c r="U390" s="16"/>
      <c r="V390" s="16"/>
    </row>
    <row r="391" spans="3:22" x14ac:dyDescent="0.25">
      <c r="C391" s="16"/>
      <c r="U391" s="16"/>
      <c r="V391" s="16"/>
    </row>
    <row r="392" spans="3:22" x14ac:dyDescent="0.25">
      <c r="C392" s="16"/>
      <c r="U392" s="16"/>
      <c r="V392" s="16"/>
    </row>
    <row r="393" spans="3:22" x14ac:dyDescent="0.25">
      <c r="C393" s="16"/>
      <c r="U393" s="16"/>
      <c r="V393" s="16"/>
    </row>
    <row r="394" spans="3:22" x14ac:dyDescent="0.25">
      <c r="C394" s="16"/>
      <c r="U394" s="16"/>
      <c r="V394" s="16"/>
    </row>
    <row r="395" spans="3:22" x14ac:dyDescent="0.25">
      <c r="C395" s="16"/>
      <c r="U395" s="16"/>
      <c r="V395" s="16"/>
    </row>
    <row r="396" spans="3:22" x14ac:dyDescent="0.25">
      <c r="C396" s="16"/>
      <c r="U396" s="16"/>
      <c r="V396" s="16"/>
    </row>
    <row r="397" spans="3:22" x14ac:dyDescent="0.25">
      <c r="C397" s="16"/>
      <c r="U397" s="16"/>
      <c r="V397" s="16"/>
    </row>
    <row r="398" spans="3:22" x14ac:dyDescent="0.25">
      <c r="C398" s="16"/>
      <c r="U398" s="16"/>
      <c r="V398" s="16"/>
    </row>
    <row r="399" spans="3:22" x14ac:dyDescent="0.25">
      <c r="C399" s="16"/>
      <c r="U399" s="16"/>
      <c r="V399" s="16"/>
    </row>
    <row r="400" spans="3:22" x14ac:dyDescent="0.25">
      <c r="C400" s="16"/>
      <c r="U400" s="16"/>
      <c r="V400" s="16"/>
    </row>
    <row r="401" spans="3:22" x14ac:dyDescent="0.25">
      <c r="C401" s="16"/>
      <c r="U401" s="16"/>
      <c r="V401" s="16"/>
    </row>
    <row r="402" spans="3:22" x14ac:dyDescent="0.25">
      <c r="C402" s="16"/>
      <c r="U402" s="16"/>
      <c r="V402" s="16"/>
    </row>
    <row r="403" spans="3:22" x14ac:dyDescent="0.25">
      <c r="C403" s="16"/>
      <c r="U403" s="16"/>
      <c r="V403" s="16"/>
    </row>
    <row r="404" spans="3:22" x14ac:dyDescent="0.25">
      <c r="C404" s="16"/>
      <c r="U404" s="16"/>
      <c r="V404" s="16"/>
    </row>
    <row r="405" spans="3:22" x14ac:dyDescent="0.25">
      <c r="C405" s="16"/>
      <c r="U405" s="16"/>
      <c r="V405" s="16"/>
    </row>
    <row r="406" spans="3:22" x14ac:dyDescent="0.25">
      <c r="C406" s="16"/>
      <c r="U406" s="16"/>
      <c r="V406" s="16"/>
    </row>
    <row r="407" spans="3:22" x14ac:dyDescent="0.25">
      <c r="C407" s="16"/>
      <c r="U407" s="16"/>
      <c r="V407" s="16"/>
    </row>
    <row r="408" spans="3:22" x14ac:dyDescent="0.25">
      <c r="C408" s="16"/>
      <c r="U408" s="16"/>
      <c r="V408" s="16"/>
    </row>
    <row r="409" spans="3:22" x14ac:dyDescent="0.25">
      <c r="C409" s="16"/>
      <c r="U409" s="16"/>
      <c r="V409" s="16"/>
    </row>
    <row r="410" spans="3:22" x14ac:dyDescent="0.25">
      <c r="C410" s="16"/>
      <c r="U410" s="16"/>
      <c r="V410" s="16"/>
    </row>
    <row r="411" spans="3:22" x14ac:dyDescent="0.25">
      <c r="C411" s="16"/>
      <c r="U411" s="16"/>
      <c r="V411" s="16"/>
    </row>
    <row r="412" spans="3:22" x14ac:dyDescent="0.25">
      <c r="C412" s="16"/>
      <c r="U412" s="16"/>
      <c r="V412" s="16"/>
    </row>
    <row r="413" spans="3:22" x14ac:dyDescent="0.25">
      <c r="C413" s="16"/>
      <c r="U413" s="16"/>
      <c r="V413" s="16"/>
    </row>
    <row r="414" spans="3:22" x14ac:dyDescent="0.25">
      <c r="C414" s="16"/>
      <c r="U414" s="16"/>
      <c r="V414" s="16"/>
    </row>
    <row r="415" spans="3:22" x14ac:dyDescent="0.25">
      <c r="C415" s="16"/>
      <c r="U415" s="16"/>
      <c r="V415" s="16"/>
    </row>
    <row r="416" spans="3:22" x14ac:dyDescent="0.25">
      <c r="C416" s="16"/>
      <c r="U416" s="16"/>
      <c r="V416" s="16"/>
    </row>
    <row r="417" spans="3:22" x14ac:dyDescent="0.25">
      <c r="C417" s="16"/>
      <c r="U417" s="16"/>
      <c r="V417" s="16"/>
    </row>
    <row r="418" spans="3:22" x14ac:dyDescent="0.25">
      <c r="C418" s="16"/>
      <c r="U418" s="16"/>
      <c r="V418" s="16"/>
    </row>
    <row r="419" spans="3:22" x14ac:dyDescent="0.25">
      <c r="C419" s="16"/>
      <c r="U419" s="16"/>
      <c r="V419" s="16"/>
    </row>
    <row r="420" spans="3:22" x14ac:dyDescent="0.25">
      <c r="C420" s="16"/>
      <c r="U420" s="16"/>
      <c r="V420" s="16"/>
    </row>
    <row r="421" spans="3:22" x14ac:dyDescent="0.25">
      <c r="C421" s="16"/>
      <c r="U421" s="16"/>
      <c r="V421" s="16"/>
    </row>
    <row r="422" spans="3:22" x14ac:dyDescent="0.25">
      <c r="C422" s="16"/>
      <c r="U422" s="16"/>
      <c r="V422" s="16"/>
    </row>
    <row r="423" spans="3:22" x14ac:dyDescent="0.25">
      <c r="C423" s="16"/>
      <c r="U423" s="16"/>
      <c r="V423" s="16"/>
    </row>
    <row r="424" spans="3:22" x14ac:dyDescent="0.25">
      <c r="C424" s="16"/>
      <c r="U424" s="16"/>
      <c r="V424" s="16"/>
    </row>
    <row r="425" spans="3:22" x14ac:dyDescent="0.25">
      <c r="C425" s="16"/>
      <c r="U425" s="16"/>
      <c r="V425" s="16"/>
    </row>
    <row r="426" spans="3:22" x14ac:dyDescent="0.25">
      <c r="C426" s="16"/>
      <c r="U426" s="16"/>
      <c r="V426" s="16"/>
    </row>
    <row r="427" spans="3:22" x14ac:dyDescent="0.25">
      <c r="C427" s="16"/>
      <c r="U427" s="16"/>
      <c r="V427" s="16"/>
    </row>
    <row r="428" spans="3:22" x14ac:dyDescent="0.25">
      <c r="C428" s="16"/>
      <c r="U428" s="16"/>
      <c r="V428" s="16"/>
    </row>
    <row r="429" spans="3:22" x14ac:dyDescent="0.25">
      <c r="C429" s="16"/>
      <c r="U429" s="16"/>
      <c r="V429" s="16"/>
    </row>
    <row r="430" spans="3:22" x14ac:dyDescent="0.25">
      <c r="C430" s="16"/>
      <c r="U430" s="16"/>
      <c r="V430" s="16"/>
    </row>
    <row r="431" spans="3:22" x14ac:dyDescent="0.25">
      <c r="C431" s="16"/>
      <c r="U431" s="16"/>
      <c r="V431" s="16"/>
    </row>
    <row r="432" spans="3:22" x14ac:dyDescent="0.25">
      <c r="C432" s="16"/>
      <c r="U432" s="16"/>
      <c r="V432" s="16"/>
    </row>
    <row r="433" spans="3:22" x14ac:dyDescent="0.25">
      <c r="C433" s="16"/>
      <c r="U433" s="16"/>
      <c r="V433" s="16"/>
    </row>
    <row r="434" spans="3:22" x14ac:dyDescent="0.25">
      <c r="C434" s="16"/>
      <c r="U434" s="16"/>
      <c r="V434" s="16"/>
    </row>
    <row r="435" spans="3:22" x14ac:dyDescent="0.25">
      <c r="C435" s="16"/>
      <c r="U435" s="16"/>
      <c r="V435" s="16"/>
    </row>
    <row r="436" spans="3:22" x14ac:dyDescent="0.25">
      <c r="C436" s="16"/>
      <c r="U436" s="16"/>
      <c r="V436" s="16"/>
    </row>
    <row r="437" spans="3:22" x14ac:dyDescent="0.25">
      <c r="C437" s="16"/>
      <c r="U437" s="16"/>
      <c r="V437" s="16"/>
    </row>
    <row r="438" spans="3:22" x14ac:dyDescent="0.25">
      <c r="C438" s="16"/>
      <c r="U438" s="16"/>
      <c r="V438" s="16"/>
    </row>
    <row r="439" spans="3:22" x14ac:dyDescent="0.25">
      <c r="C439" s="16"/>
      <c r="U439" s="16"/>
      <c r="V439" s="16"/>
    </row>
    <row r="440" spans="3:22" x14ac:dyDescent="0.25">
      <c r="C440" s="16"/>
      <c r="U440" s="16"/>
      <c r="V440" s="16"/>
    </row>
    <row r="441" spans="3:22" x14ac:dyDescent="0.25">
      <c r="C441" s="16"/>
      <c r="U441" s="16"/>
      <c r="V441" s="16"/>
    </row>
    <row r="442" spans="3:22" x14ac:dyDescent="0.25">
      <c r="C442" s="16"/>
      <c r="U442" s="16"/>
      <c r="V442" s="16"/>
    </row>
    <row r="443" spans="3:22" x14ac:dyDescent="0.25">
      <c r="C443" s="16"/>
      <c r="U443" s="16"/>
      <c r="V443" s="16"/>
    </row>
    <row r="444" spans="3:22" x14ac:dyDescent="0.25">
      <c r="C444" s="16"/>
      <c r="U444" s="16"/>
      <c r="V444" s="16"/>
    </row>
    <row r="445" spans="3:22" x14ac:dyDescent="0.25">
      <c r="C445" s="16"/>
      <c r="U445" s="16"/>
      <c r="V445" s="16"/>
    </row>
    <row r="446" spans="3:22" x14ac:dyDescent="0.25">
      <c r="C446" s="16"/>
      <c r="U446" s="16"/>
      <c r="V446" s="16"/>
    </row>
    <row r="447" spans="3:22" x14ac:dyDescent="0.25">
      <c r="C447" s="16"/>
      <c r="U447" s="16"/>
      <c r="V447" s="16"/>
    </row>
    <row r="448" spans="3:22" x14ac:dyDescent="0.25">
      <c r="C448" s="16"/>
      <c r="U448" s="16"/>
      <c r="V448" s="16"/>
    </row>
    <row r="449" spans="3:22" x14ac:dyDescent="0.25">
      <c r="C449" s="16"/>
      <c r="U449" s="16"/>
      <c r="V449" s="16"/>
    </row>
    <row r="450" spans="3:22" x14ac:dyDescent="0.25">
      <c r="C450" s="16"/>
      <c r="U450" s="16"/>
      <c r="V450" s="16"/>
    </row>
    <row r="451" spans="3:22" x14ac:dyDescent="0.25">
      <c r="C451" s="16"/>
      <c r="U451" s="16"/>
      <c r="V451" s="16"/>
    </row>
    <row r="452" spans="3:22" x14ac:dyDescent="0.25">
      <c r="C452" s="16"/>
      <c r="U452" s="16"/>
      <c r="V452" s="16"/>
    </row>
    <row r="453" spans="3:22" x14ac:dyDescent="0.25">
      <c r="C453" s="16"/>
      <c r="U453" s="16"/>
      <c r="V453" s="16"/>
    </row>
    <row r="454" spans="3:22" x14ac:dyDescent="0.25">
      <c r="C454" s="16"/>
      <c r="U454" s="16"/>
      <c r="V454" s="16"/>
    </row>
    <row r="455" spans="3:22" x14ac:dyDescent="0.25">
      <c r="C455" s="16"/>
      <c r="U455" s="16"/>
      <c r="V455" s="16"/>
    </row>
    <row r="456" spans="3:22" x14ac:dyDescent="0.25">
      <c r="C456" s="16"/>
      <c r="U456" s="16"/>
      <c r="V456" s="16"/>
    </row>
    <row r="457" spans="3:22" x14ac:dyDescent="0.25">
      <c r="C457" s="16"/>
      <c r="U457" s="16"/>
      <c r="V457" s="16"/>
    </row>
    <row r="458" spans="3:22" x14ac:dyDescent="0.25">
      <c r="C458" s="16"/>
      <c r="U458" s="16"/>
      <c r="V458" s="16"/>
    </row>
    <row r="459" spans="3:22" x14ac:dyDescent="0.25">
      <c r="C459" s="16"/>
      <c r="U459" s="16"/>
      <c r="V459" s="16"/>
    </row>
    <row r="460" spans="3:22" x14ac:dyDescent="0.25">
      <c r="C460" s="16"/>
      <c r="U460" s="16"/>
      <c r="V460" s="16"/>
    </row>
    <row r="461" spans="3:22" x14ac:dyDescent="0.25">
      <c r="C461" s="16"/>
      <c r="U461" s="16"/>
      <c r="V461" s="16"/>
    </row>
    <row r="462" spans="3:22" x14ac:dyDescent="0.25">
      <c r="C462" s="16"/>
      <c r="U462" s="16"/>
      <c r="V462" s="16"/>
    </row>
    <row r="463" spans="3:22" x14ac:dyDescent="0.25">
      <c r="C463" s="16"/>
      <c r="U463" s="16"/>
      <c r="V463" s="16"/>
    </row>
    <row r="464" spans="3:22" x14ac:dyDescent="0.25">
      <c r="C464" s="16"/>
      <c r="U464" s="16"/>
      <c r="V464" s="16"/>
    </row>
    <row r="465" spans="3:22" x14ac:dyDescent="0.25">
      <c r="C465" s="16"/>
      <c r="U465" s="16"/>
      <c r="V465" s="16"/>
    </row>
    <row r="466" spans="3:22" x14ac:dyDescent="0.25">
      <c r="C466" s="16"/>
      <c r="U466" s="16"/>
      <c r="V466" s="16"/>
    </row>
    <row r="467" spans="3:22" x14ac:dyDescent="0.25">
      <c r="C467" s="16"/>
      <c r="U467" s="16"/>
      <c r="V467" s="16"/>
    </row>
    <row r="468" spans="3:22" x14ac:dyDescent="0.25">
      <c r="C468" s="16"/>
      <c r="U468" s="16"/>
      <c r="V468" s="16"/>
    </row>
    <row r="469" spans="3:22" x14ac:dyDescent="0.25">
      <c r="C469" s="16"/>
      <c r="U469" s="16"/>
      <c r="V469" s="16"/>
    </row>
    <row r="470" spans="3:22" x14ac:dyDescent="0.25">
      <c r="C470" s="16"/>
      <c r="U470" s="16"/>
      <c r="V470" s="16"/>
    </row>
    <row r="471" spans="3:22" x14ac:dyDescent="0.25">
      <c r="C471" s="16"/>
      <c r="U471" s="16"/>
      <c r="V471" s="16"/>
    </row>
    <row r="472" spans="3:22" x14ac:dyDescent="0.25">
      <c r="C472" s="16"/>
      <c r="U472" s="16"/>
      <c r="V472" s="16"/>
    </row>
    <row r="473" spans="3:22" x14ac:dyDescent="0.25">
      <c r="C473" s="16"/>
      <c r="U473" s="16"/>
      <c r="V473" s="16"/>
    </row>
    <row r="474" spans="3:22" x14ac:dyDescent="0.25">
      <c r="C474" s="16"/>
      <c r="U474" s="16"/>
      <c r="V474" s="16"/>
    </row>
    <row r="475" spans="3:22" x14ac:dyDescent="0.25">
      <c r="C475" s="16"/>
      <c r="U475" s="16"/>
      <c r="V475" s="16"/>
    </row>
    <row r="476" spans="3:22" x14ac:dyDescent="0.25">
      <c r="C476" s="16"/>
      <c r="U476" s="16"/>
      <c r="V476" s="16"/>
    </row>
    <row r="477" spans="3:22" x14ac:dyDescent="0.25">
      <c r="C477" s="16"/>
      <c r="U477" s="16"/>
      <c r="V477" s="16"/>
    </row>
    <row r="478" spans="3:22" x14ac:dyDescent="0.25">
      <c r="C478" s="16"/>
      <c r="U478" s="16"/>
      <c r="V478" s="16"/>
    </row>
    <row r="479" spans="3:22" x14ac:dyDescent="0.25">
      <c r="C479" s="16"/>
      <c r="U479" s="16"/>
      <c r="V479" s="16"/>
    </row>
    <row r="480" spans="3:22" x14ac:dyDescent="0.25">
      <c r="C480" s="16"/>
      <c r="U480" s="16"/>
      <c r="V480" s="16"/>
    </row>
    <row r="481" spans="3:22" x14ac:dyDescent="0.25">
      <c r="C481" s="16"/>
      <c r="U481" s="16"/>
      <c r="V481" s="16"/>
    </row>
    <row r="482" spans="3:22" x14ac:dyDescent="0.25">
      <c r="C482" s="16"/>
      <c r="U482" s="16"/>
      <c r="V482" s="16"/>
    </row>
    <row r="483" spans="3:22" x14ac:dyDescent="0.25">
      <c r="C483" s="16"/>
      <c r="U483" s="16"/>
      <c r="V483" s="16"/>
    </row>
    <row r="484" spans="3:22" x14ac:dyDescent="0.25">
      <c r="C484" s="16"/>
      <c r="U484" s="16"/>
      <c r="V484" s="16"/>
    </row>
    <row r="485" spans="3:22" x14ac:dyDescent="0.25">
      <c r="C485" s="16"/>
      <c r="U485" s="16"/>
      <c r="V485" s="16"/>
    </row>
    <row r="486" spans="3:22" x14ac:dyDescent="0.25">
      <c r="C486" s="16"/>
      <c r="U486" s="16"/>
      <c r="V486" s="16"/>
    </row>
    <row r="487" spans="3:22" x14ac:dyDescent="0.25">
      <c r="C487" s="16"/>
      <c r="U487" s="16"/>
      <c r="V487" s="16"/>
    </row>
    <row r="488" spans="3:22" x14ac:dyDescent="0.25">
      <c r="C488" s="16"/>
      <c r="U488" s="16"/>
      <c r="V488" s="16"/>
    </row>
    <row r="489" spans="3:22" x14ac:dyDescent="0.25">
      <c r="C489" s="16"/>
      <c r="U489" s="16"/>
      <c r="V489" s="16"/>
    </row>
    <row r="490" spans="3:22" x14ac:dyDescent="0.25">
      <c r="C490" s="16"/>
      <c r="U490" s="16"/>
      <c r="V490" s="16"/>
    </row>
    <row r="491" spans="3:22" x14ac:dyDescent="0.25">
      <c r="C491" s="16"/>
      <c r="U491" s="16"/>
      <c r="V491" s="16"/>
    </row>
    <row r="492" spans="3:22" x14ac:dyDescent="0.25">
      <c r="C492" s="16"/>
      <c r="U492" s="16"/>
      <c r="V492" s="16"/>
    </row>
    <row r="493" spans="3:22" x14ac:dyDescent="0.25">
      <c r="C493" s="16"/>
      <c r="U493" s="16"/>
      <c r="V493" s="16"/>
    </row>
    <row r="494" spans="3:22" x14ac:dyDescent="0.25">
      <c r="C494" s="16"/>
      <c r="U494" s="16"/>
      <c r="V494" s="16"/>
    </row>
    <row r="495" spans="3:22" x14ac:dyDescent="0.25">
      <c r="C495" s="16"/>
      <c r="U495" s="16"/>
      <c r="V495" s="16"/>
    </row>
    <row r="496" spans="3:22" x14ac:dyDescent="0.25">
      <c r="C496" s="16"/>
      <c r="U496" s="16"/>
      <c r="V496" s="16"/>
    </row>
    <row r="497" spans="3:22" x14ac:dyDescent="0.25">
      <c r="C497" s="16"/>
      <c r="U497" s="16"/>
      <c r="V497" s="16"/>
    </row>
    <row r="498" spans="3:22" x14ac:dyDescent="0.25">
      <c r="C498" s="16"/>
      <c r="U498" s="16"/>
      <c r="V498" s="16"/>
    </row>
    <row r="499" spans="3:22" x14ac:dyDescent="0.25">
      <c r="C499" s="16"/>
      <c r="U499" s="16"/>
      <c r="V499" s="16"/>
    </row>
    <row r="500" spans="3:22" x14ac:dyDescent="0.25">
      <c r="C500" s="16"/>
      <c r="U500" s="16"/>
      <c r="V500" s="16"/>
    </row>
    <row r="501" spans="3:22" x14ac:dyDescent="0.25">
      <c r="C501" s="16"/>
      <c r="U501" s="16"/>
      <c r="V501" s="16"/>
    </row>
    <row r="502" spans="3:22" x14ac:dyDescent="0.25">
      <c r="C502" s="16"/>
      <c r="U502" s="16"/>
      <c r="V502" s="16"/>
    </row>
    <row r="503" spans="3:22" x14ac:dyDescent="0.25">
      <c r="C503" s="16"/>
      <c r="U503" s="16"/>
      <c r="V503" s="16"/>
    </row>
    <row r="504" spans="3:22" x14ac:dyDescent="0.25">
      <c r="C504" s="16"/>
      <c r="U504" s="16"/>
      <c r="V504" s="16"/>
    </row>
    <row r="505" spans="3:22" x14ac:dyDescent="0.25">
      <c r="C505" s="16"/>
      <c r="U505" s="16"/>
      <c r="V505" s="16"/>
    </row>
    <row r="506" spans="3:22" x14ac:dyDescent="0.25">
      <c r="C506" s="16"/>
      <c r="U506" s="16"/>
      <c r="V506" s="16"/>
    </row>
    <row r="507" spans="3:22" x14ac:dyDescent="0.25">
      <c r="C507" s="16"/>
      <c r="U507" s="16"/>
      <c r="V507" s="16"/>
    </row>
    <row r="508" spans="3:22" x14ac:dyDescent="0.25">
      <c r="C508" s="16"/>
      <c r="U508" s="16"/>
      <c r="V508" s="16"/>
    </row>
    <row r="509" spans="3:22" x14ac:dyDescent="0.25">
      <c r="C509" s="16"/>
      <c r="U509" s="16"/>
      <c r="V509" s="16"/>
    </row>
    <row r="510" spans="3:22" x14ac:dyDescent="0.25">
      <c r="C510" s="16"/>
      <c r="U510" s="16"/>
      <c r="V510" s="16"/>
    </row>
    <row r="511" spans="3:22" x14ac:dyDescent="0.25">
      <c r="C511" s="16"/>
      <c r="U511" s="16"/>
      <c r="V511" s="16"/>
    </row>
    <row r="512" spans="3:22" x14ac:dyDescent="0.25">
      <c r="C512" s="16"/>
      <c r="U512" s="16"/>
      <c r="V512" s="16"/>
    </row>
    <row r="513" spans="3:22" x14ac:dyDescent="0.25">
      <c r="C513" s="16"/>
      <c r="U513" s="16"/>
      <c r="V513" s="16"/>
    </row>
    <row r="514" spans="3:22" x14ac:dyDescent="0.25">
      <c r="C514" s="16"/>
      <c r="U514" s="16"/>
      <c r="V514" s="16"/>
    </row>
    <row r="515" spans="3:22" x14ac:dyDescent="0.25">
      <c r="C515" s="16"/>
      <c r="U515" s="16"/>
      <c r="V515" s="16"/>
    </row>
    <row r="516" spans="3:22" x14ac:dyDescent="0.25">
      <c r="C516" s="16"/>
      <c r="U516" s="16"/>
      <c r="V516" s="16"/>
    </row>
    <row r="517" spans="3:22" x14ac:dyDescent="0.25">
      <c r="C517" s="16"/>
      <c r="U517" s="16"/>
      <c r="V517" s="16"/>
    </row>
    <row r="518" spans="3:22" x14ac:dyDescent="0.25">
      <c r="C518" s="16"/>
      <c r="U518" s="16"/>
      <c r="V518" s="16"/>
    </row>
    <row r="519" spans="3:22" x14ac:dyDescent="0.25">
      <c r="C519" s="16"/>
      <c r="U519" s="16"/>
      <c r="V519" s="16"/>
    </row>
    <row r="520" spans="3:22" x14ac:dyDescent="0.25">
      <c r="C520" s="16"/>
      <c r="U520" s="16"/>
      <c r="V520" s="16"/>
    </row>
    <row r="521" spans="3:22" x14ac:dyDescent="0.25">
      <c r="C521" s="16"/>
      <c r="U521" s="16"/>
      <c r="V521" s="16"/>
    </row>
    <row r="522" spans="3:22" x14ac:dyDescent="0.25">
      <c r="C522" s="16"/>
      <c r="U522" s="16"/>
      <c r="V522" s="16"/>
    </row>
    <row r="523" spans="3:22" x14ac:dyDescent="0.25">
      <c r="C523" s="16"/>
      <c r="U523" s="16"/>
      <c r="V523" s="16"/>
    </row>
    <row r="524" spans="3:22" x14ac:dyDescent="0.25">
      <c r="C524" s="16"/>
      <c r="U524" s="16"/>
      <c r="V524" s="16"/>
    </row>
    <row r="525" spans="3:22" x14ac:dyDescent="0.25">
      <c r="C525" s="16"/>
      <c r="U525" s="16"/>
      <c r="V525" s="16"/>
    </row>
    <row r="526" spans="3:22" x14ac:dyDescent="0.25">
      <c r="C526" s="16"/>
      <c r="U526" s="16"/>
      <c r="V526" s="16"/>
    </row>
    <row r="527" spans="3:22" x14ac:dyDescent="0.25">
      <c r="C527" s="16"/>
      <c r="U527" s="16"/>
      <c r="V527" s="16"/>
    </row>
    <row r="528" spans="3:22" x14ac:dyDescent="0.25">
      <c r="C528" s="16"/>
      <c r="U528" s="16"/>
      <c r="V528" s="16"/>
    </row>
    <row r="529" spans="3:22" x14ac:dyDescent="0.25">
      <c r="C529" s="16"/>
      <c r="U529" s="16"/>
      <c r="V529" s="16"/>
    </row>
    <row r="530" spans="3:22" x14ac:dyDescent="0.25">
      <c r="C530" s="16"/>
      <c r="U530" s="16"/>
      <c r="V530" s="16"/>
    </row>
    <row r="531" spans="3:22" x14ac:dyDescent="0.25">
      <c r="C531" s="16"/>
      <c r="U531" s="16"/>
      <c r="V531" s="16"/>
    </row>
    <row r="532" spans="3:22" x14ac:dyDescent="0.25">
      <c r="C532" s="16"/>
      <c r="U532" s="16"/>
      <c r="V532" s="16"/>
    </row>
    <row r="533" spans="3:22" x14ac:dyDescent="0.25">
      <c r="C533" s="16"/>
      <c r="U533" s="16"/>
      <c r="V533" s="16"/>
    </row>
    <row r="534" spans="3:22" x14ac:dyDescent="0.25">
      <c r="C534" s="16"/>
      <c r="U534" s="16"/>
      <c r="V534" s="16"/>
    </row>
    <row r="535" spans="3:22" x14ac:dyDescent="0.25">
      <c r="C535" s="16"/>
      <c r="U535" s="16"/>
      <c r="V535" s="16"/>
    </row>
    <row r="536" spans="3:22" x14ac:dyDescent="0.25">
      <c r="C536" s="16"/>
      <c r="U536" s="16"/>
      <c r="V536" s="16"/>
    </row>
    <row r="537" spans="3:22" x14ac:dyDescent="0.25">
      <c r="C537" s="16"/>
      <c r="U537" s="16"/>
      <c r="V537" s="16"/>
    </row>
    <row r="538" spans="3:22" x14ac:dyDescent="0.25">
      <c r="C538" s="16"/>
      <c r="U538" s="16"/>
      <c r="V538" s="16"/>
    </row>
    <row r="539" spans="3:22" x14ac:dyDescent="0.25">
      <c r="C539" s="16"/>
      <c r="U539" s="16"/>
      <c r="V539" s="16"/>
    </row>
    <row r="540" spans="3:22" x14ac:dyDescent="0.25">
      <c r="C540" s="16"/>
      <c r="U540" s="16"/>
      <c r="V540" s="16"/>
    </row>
    <row r="541" spans="3:22" x14ac:dyDescent="0.25">
      <c r="C541" s="16"/>
      <c r="U541" s="16"/>
      <c r="V541" s="16"/>
    </row>
    <row r="542" spans="3:22" x14ac:dyDescent="0.25">
      <c r="C542" s="16"/>
      <c r="U542" s="16"/>
      <c r="V542" s="16"/>
    </row>
    <row r="543" spans="3:22" x14ac:dyDescent="0.25">
      <c r="C543" s="16"/>
      <c r="U543" s="16"/>
      <c r="V543" s="16"/>
    </row>
    <row r="544" spans="3:22" x14ac:dyDescent="0.25">
      <c r="C544" s="16"/>
      <c r="U544" s="16"/>
      <c r="V544" s="16"/>
    </row>
    <row r="545" spans="3:22" x14ac:dyDescent="0.25">
      <c r="C545" s="16"/>
      <c r="U545" s="16"/>
      <c r="V545" s="16"/>
    </row>
    <row r="546" spans="3:22" x14ac:dyDescent="0.25">
      <c r="C546" s="16"/>
      <c r="U546" s="16"/>
      <c r="V546" s="16"/>
    </row>
    <row r="547" spans="3:22" x14ac:dyDescent="0.25">
      <c r="C547" s="16"/>
      <c r="U547" s="16"/>
      <c r="V547" s="16"/>
    </row>
    <row r="548" spans="3:22" x14ac:dyDescent="0.25">
      <c r="C548" s="16"/>
      <c r="U548" s="16"/>
      <c r="V548" s="16"/>
    </row>
    <row r="549" spans="3:22" x14ac:dyDescent="0.25">
      <c r="C549" s="16"/>
      <c r="U549" s="16"/>
      <c r="V549" s="16"/>
    </row>
    <row r="550" spans="3:22" x14ac:dyDescent="0.25">
      <c r="C550" s="16"/>
      <c r="U550" s="16"/>
      <c r="V550" s="16"/>
    </row>
    <row r="551" spans="3:22" x14ac:dyDescent="0.25">
      <c r="C551" s="16"/>
      <c r="U551" s="16"/>
      <c r="V551" s="16"/>
    </row>
    <row r="552" spans="3:22" x14ac:dyDescent="0.25">
      <c r="C552" s="16"/>
      <c r="U552" s="16"/>
      <c r="V552" s="16"/>
    </row>
    <row r="553" spans="3:22" x14ac:dyDescent="0.25">
      <c r="C553" s="16"/>
      <c r="U553" s="16"/>
      <c r="V553" s="16"/>
    </row>
    <row r="554" spans="3:22" x14ac:dyDescent="0.25">
      <c r="C554" s="16"/>
      <c r="U554" s="16"/>
      <c r="V554" s="16"/>
    </row>
    <row r="555" spans="3:22" x14ac:dyDescent="0.25">
      <c r="C555" s="16"/>
      <c r="U555" s="16"/>
      <c r="V555" s="16"/>
    </row>
    <row r="556" spans="3:22" x14ac:dyDescent="0.25">
      <c r="C556" s="16"/>
      <c r="U556" s="16"/>
      <c r="V556" s="16"/>
    </row>
    <row r="557" spans="3:22" x14ac:dyDescent="0.25">
      <c r="C557" s="16"/>
      <c r="U557" s="16"/>
      <c r="V557" s="16"/>
    </row>
    <row r="558" spans="3:22" x14ac:dyDescent="0.25">
      <c r="C558" s="16"/>
      <c r="U558" s="16"/>
      <c r="V558" s="16"/>
    </row>
    <row r="559" spans="3:22" x14ac:dyDescent="0.25">
      <c r="C559" s="16"/>
      <c r="U559" s="16"/>
      <c r="V559" s="16"/>
    </row>
    <row r="560" spans="3:22" x14ac:dyDescent="0.25">
      <c r="C560" s="16"/>
      <c r="U560" s="16"/>
      <c r="V560" s="16"/>
    </row>
    <row r="561" spans="3:22" x14ac:dyDescent="0.25">
      <c r="C561" s="16"/>
      <c r="U561" s="16"/>
      <c r="V561" s="16"/>
    </row>
    <row r="562" spans="3:22" x14ac:dyDescent="0.25">
      <c r="C562" s="16"/>
      <c r="U562" s="16"/>
      <c r="V562" s="16"/>
    </row>
    <row r="563" spans="3:22" x14ac:dyDescent="0.25">
      <c r="C563" s="16"/>
      <c r="U563" s="16"/>
      <c r="V563" s="16"/>
    </row>
    <row r="564" spans="3:22" x14ac:dyDescent="0.25">
      <c r="C564" s="16"/>
      <c r="U564" s="16"/>
      <c r="V564" s="16"/>
    </row>
    <row r="565" spans="3:22" x14ac:dyDescent="0.25">
      <c r="C565" s="16"/>
      <c r="U565" s="16"/>
      <c r="V565" s="16"/>
    </row>
    <row r="566" spans="3:22" x14ac:dyDescent="0.25">
      <c r="C566" s="16"/>
      <c r="U566" s="16"/>
      <c r="V566" s="16"/>
    </row>
    <row r="567" spans="3:22" x14ac:dyDescent="0.25">
      <c r="C567" s="16"/>
      <c r="U567" s="16"/>
      <c r="V567" s="16"/>
    </row>
    <row r="568" spans="3:22" x14ac:dyDescent="0.25">
      <c r="C568" s="16"/>
      <c r="U568" s="16"/>
      <c r="V568" s="16"/>
    </row>
    <row r="569" spans="3:22" x14ac:dyDescent="0.25">
      <c r="C569" s="16"/>
      <c r="U569" s="16"/>
      <c r="V569" s="16"/>
    </row>
    <row r="570" spans="3:22" x14ac:dyDescent="0.25">
      <c r="C570" s="16"/>
      <c r="U570" s="16"/>
      <c r="V570" s="16"/>
    </row>
    <row r="571" spans="3:22" x14ac:dyDescent="0.25">
      <c r="C571" s="16"/>
      <c r="U571" s="16"/>
      <c r="V571" s="16"/>
    </row>
    <row r="572" spans="3:22" x14ac:dyDescent="0.25">
      <c r="C572" s="16"/>
      <c r="U572" s="16"/>
      <c r="V572" s="16"/>
    </row>
    <row r="573" spans="3:22" x14ac:dyDescent="0.25">
      <c r="C573" s="16"/>
      <c r="U573" s="16"/>
      <c r="V573" s="16"/>
    </row>
    <row r="574" spans="3:22" x14ac:dyDescent="0.25">
      <c r="C574" s="16"/>
      <c r="U574" s="16"/>
      <c r="V574" s="16"/>
    </row>
    <row r="575" spans="3:22" x14ac:dyDescent="0.25">
      <c r="C575" s="16"/>
      <c r="U575" s="16"/>
      <c r="V575" s="16"/>
    </row>
    <row r="576" spans="3:22" x14ac:dyDescent="0.25">
      <c r="C576" s="16"/>
      <c r="U576" s="16"/>
      <c r="V576" s="16"/>
    </row>
    <row r="577" spans="3:22" x14ac:dyDescent="0.25">
      <c r="C577" s="16"/>
      <c r="U577" s="16"/>
      <c r="V577" s="16"/>
    </row>
    <row r="578" spans="3:22" x14ac:dyDescent="0.25">
      <c r="C578" s="16"/>
      <c r="U578" s="16"/>
      <c r="V578" s="16"/>
    </row>
    <row r="579" spans="3:22" x14ac:dyDescent="0.25">
      <c r="C579" s="16"/>
      <c r="U579" s="16"/>
      <c r="V579" s="16"/>
    </row>
    <row r="580" spans="3:22" x14ac:dyDescent="0.25">
      <c r="C580" s="16"/>
      <c r="U580" s="16"/>
      <c r="V580" s="16"/>
    </row>
    <row r="581" spans="3:22" x14ac:dyDescent="0.25">
      <c r="C581" s="16"/>
      <c r="U581" s="16"/>
      <c r="V581" s="16"/>
    </row>
    <row r="582" spans="3:22" x14ac:dyDescent="0.25">
      <c r="C582" s="16"/>
      <c r="U582" s="16"/>
      <c r="V582" s="16"/>
    </row>
    <row r="583" spans="3:22" x14ac:dyDescent="0.25">
      <c r="C583" s="16"/>
      <c r="U583" s="16"/>
      <c r="V583" s="16"/>
    </row>
    <row r="584" spans="3:22" x14ac:dyDescent="0.25">
      <c r="C584" s="16"/>
      <c r="U584" s="16"/>
      <c r="V584" s="16"/>
    </row>
    <row r="585" spans="3:22" x14ac:dyDescent="0.25">
      <c r="C585" s="16"/>
      <c r="U585" s="16"/>
      <c r="V585" s="16"/>
    </row>
    <row r="586" spans="3:22" x14ac:dyDescent="0.25">
      <c r="C586" s="16"/>
      <c r="U586" s="16"/>
      <c r="V586" s="16"/>
    </row>
    <row r="587" spans="3:22" x14ac:dyDescent="0.25">
      <c r="C587" s="16"/>
      <c r="U587" s="16"/>
      <c r="V587" s="16"/>
    </row>
    <row r="588" spans="3:22" x14ac:dyDescent="0.25">
      <c r="C588" s="16"/>
      <c r="U588" s="16"/>
      <c r="V588" s="16"/>
    </row>
    <row r="589" spans="3:22" x14ac:dyDescent="0.25">
      <c r="C589" s="16"/>
      <c r="U589" s="16"/>
      <c r="V589" s="16"/>
    </row>
    <row r="590" spans="3:22" x14ac:dyDescent="0.25">
      <c r="C590" s="16"/>
      <c r="U590" s="16"/>
      <c r="V590" s="16"/>
    </row>
    <row r="591" spans="3:22" x14ac:dyDescent="0.25">
      <c r="C591" s="16"/>
      <c r="U591" s="16"/>
      <c r="V591" s="16"/>
    </row>
    <row r="592" spans="3:22" x14ac:dyDescent="0.25">
      <c r="C592" s="16"/>
      <c r="U592" s="16"/>
      <c r="V592" s="16"/>
    </row>
    <row r="593" spans="3:22" x14ac:dyDescent="0.25">
      <c r="C593" s="16"/>
      <c r="U593" s="16"/>
      <c r="V593" s="16"/>
    </row>
    <row r="594" spans="3:22" x14ac:dyDescent="0.25">
      <c r="C594" s="16"/>
      <c r="U594" s="16"/>
      <c r="V594" s="16"/>
    </row>
    <row r="595" spans="3:22" x14ac:dyDescent="0.25">
      <c r="C595" s="16"/>
      <c r="U595" s="16"/>
      <c r="V595" s="16"/>
    </row>
    <row r="596" spans="3:22" x14ac:dyDescent="0.25">
      <c r="C596" s="16"/>
      <c r="U596" s="16"/>
      <c r="V596" s="16"/>
    </row>
    <row r="597" spans="3:22" x14ac:dyDescent="0.25">
      <c r="C597" s="16"/>
      <c r="U597" s="16"/>
      <c r="V597" s="16"/>
    </row>
    <row r="598" spans="3:22" x14ac:dyDescent="0.25">
      <c r="C598" s="16"/>
      <c r="U598" s="16"/>
      <c r="V598" s="16"/>
    </row>
    <row r="599" spans="3:22" x14ac:dyDescent="0.25">
      <c r="C599" s="16"/>
      <c r="U599" s="16"/>
      <c r="V599" s="16"/>
    </row>
    <row r="600" spans="3:22" x14ac:dyDescent="0.25">
      <c r="C600" s="16"/>
      <c r="U600" s="16"/>
      <c r="V600" s="16"/>
    </row>
    <row r="601" spans="3:22" x14ac:dyDescent="0.25">
      <c r="C601" s="16"/>
      <c r="U601" s="16"/>
      <c r="V601" s="16"/>
    </row>
    <row r="602" spans="3:22" x14ac:dyDescent="0.25">
      <c r="C602" s="16"/>
      <c r="U602" s="16"/>
      <c r="V602" s="16"/>
    </row>
    <row r="603" spans="3:22" x14ac:dyDescent="0.25">
      <c r="C603" s="16"/>
      <c r="U603" s="16"/>
      <c r="V603" s="16"/>
    </row>
    <row r="604" spans="3:22" x14ac:dyDescent="0.25">
      <c r="C604" s="16"/>
      <c r="U604" s="16"/>
      <c r="V604" s="16"/>
    </row>
    <row r="605" spans="3:22" x14ac:dyDescent="0.25">
      <c r="C605" s="16"/>
      <c r="U605" s="16"/>
      <c r="V605" s="16"/>
    </row>
    <row r="606" spans="3:22" x14ac:dyDescent="0.25">
      <c r="C606" s="16"/>
      <c r="U606" s="16"/>
      <c r="V606" s="16"/>
    </row>
    <row r="607" spans="3:22" x14ac:dyDescent="0.25">
      <c r="C607" s="16"/>
      <c r="U607" s="16"/>
      <c r="V607" s="16"/>
    </row>
    <row r="608" spans="3:22"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row r="1182" spans="3:22" x14ac:dyDescent="0.25">
      <c r="C1182" s="16"/>
      <c r="U1182" s="16"/>
      <c r="V1182" s="16"/>
    </row>
    <row r="1183" spans="3:22" x14ac:dyDescent="0.25">
      <c r="C1183" s="16"/>
      <c r="U1183" s="16"/>
      <c r="V1183" s="16"/>
    </row>
    <row r="1184" spans="3:22" x14ac:dyDescent="0.25">
      <c r="C1184" s="16"/>
      <c r="U1184" s="16"/>
      <c r="V1184" s="16"/>
    </row>
    <row r="1185" spans="3:22" x14ac:dyDescent="0.25">
      <c r="C1185" s="16"/>
      <c r="U1185" s="16"/>
      <c r="V1185" s="16"/>
    </row>
    <row r="1186" spans="3:22" x14ac:dyDescent="0.25">
      <c r="C1186" s="16"/>
      <c r="U1186" s="16"/>
      <c r="V1186" s="16"/>
    </row>
    <row r="1187" spans="3:22" x14ac:dyDescent="0.25">
      <c r="C1187" s="16"/>
      <c r="U1187" s="16"/>
      <c r="V1187" s="16"/>
    </row>
    <row r="1188" spans="3:22" x14ac:dyDescent="0.25">
      <c r="C1188" s="16"/>
      <c r="U1188" s="16"/>
      <c r="V1188" s="16"/>
    </row>
    <row r="1189" spans="3:22" x14ac:dyDescent="0.25">
      <c r="C1189" s="16"/>
      <c r="U1189" s="16"/>
      <c r="V1189" s="16"/>
    </row>
    <row r="1190" spans="3:22" x14ac:dyDescent="0.25">
      <c r="C1190" s="16"/>
      <c r="U1190" s="16"/>
      <c r="V1190" s="16"/>
    </row>
    <row r="1191" spans="3:22" x14ac:dyDescent="0.25">
      <c r="C1191" s="16"/>
      <c r="U1191" s="16"/>
      <c r="V1191" s="16"/>
    </row>
    <row r="1192" spans="3:22" x14ac:dyDescent="0.25">
      <c r="C1192" s="16"/>
      <c r="U1192" s="16"/>
      <c r="V1192" s="16"/>
    </row>
    <row r="1193" spans="3:22" x14ac:dyDescent="0.25">
      <c r="C1193" s="16"/>
      <c r="U1193" s="16"/>
      <c r="V1193" s="16"/>
    </row>
    <row r="1194" spans="3:22" x14ac:dyDescent="0.25">
      <c r="C1194" s="16"/>
      <c r="U1194" s="16"/>
      <c r="V1194" s="16"/>
    </row>
    <row r="1195" spans="3:22" x14ac:dyDescent="0.25">
      <c r="C1195" s="16"/>
      <c r="U1195" s="16"/>
      <c r="V1195" s="16"/>
    </row>
    <row r="1196" spans="3:22" x14ac:dyDescent="0.25">
      <c r="C1196" s="16"/>
      <c r="U1196" s="16"/>
      <c r="V1196" s="16"/>
    </row>
    <row r="1197" spans="3:22" x14ac:dyDescent="0.25">
      <c r="C1197" s="16"/>
      <c r="U1197" s="16"/>
      <c r="V1197" s="16"/>
    </row>
    <row r="1198" spans="3:22" x14ac:dyDescent="0.25">
      <c r="C1198" s="16"/>
      <c r="U1198" s="16"/>
      <c r="V1198" s="16"/>
    </row>
    <row r="1199" spans="3:22" x14ac:dyDescent="0.25">
      <c r="C1199" s="16"/>
      <c r="U1199" s="16"/>
      <c r="V1199" s="16"/>
    </row>
    <row r="1200" spans="3:22" x14ac:dyDescent="0.25">
      <c r="C1200" s="16"/>
      <c r="U1200" s="16"/>
      <c r="V1200" s="16"/>
    </row>
    <row r="1201" spans="3:22" x14ac:dyDescent="0.25">
      <c r="C1201" s="16"/>
      <c r="U1201" s="16"/>
      <c r="V1201" s="16"/>
    </row>
    <row r="1202" spans="3:22" x14ac:dyDescent="0.25">
      <c r="C1202" s="16"/>
      <c r="U1202" s="16"/>
      <c r="V1202" s="16"/>
    </row>
    <row r="1203" spans="3:22" x14ac:dyDescent="0.25">
      <c r="C1203" s="16"/>
      <c r="U1203" s="16"/>
      <c r="V1203" s="16"/>
    </row>
    <row r="1204" spans="3:22" x14ac:dyDescent="0.25">
      <c r="C1204" s="16"/>
      <c r="U1204" s="16"/>
      <c r="V1204" s="16"/>
    </row>
    <row r="1205" spans="3:22" x14ac:dyDescent="0.25">
      <c r="C1205" s="16"/>
      <c r="U1205" s="16"/>
      <c r="V1205" s="16"/>
    </row>
    <row r="1206" spans="3:22" x14ac:dyDescent="0.25">
      <c r="C1206" s="16"/>
      <c r="U1206" s="16"/>
      <c r="V1206" s="16"/>
    </row>
    <row r="1207" spans="3:22" x14ac:dyDescent="0.25">
      <c r="C1207" s="16"/>
      <c r="U1207" s="16"/>
      <c r="V1207" s="16"/>
    </row>
    <row r="1208" spans="3:22" x14ac:dyDescent="0.25">
      <c r="C1208" s="16"/>
      <c r="U1208" s="16"/>
      <c r="V1208" s="16"/>
    </row>
    <row r="1209" spans="3:22" x14ac:dyDescent="0.25">
      <c r="C1209" s="16"/>
      <c r="U1209" s="16"/>
      <c r="V1209" s="16"/>
    </row>
    <row r="1210" spans="3:22" x14ac:dyDescent="0.25">
      <c r="C1210" s="16"/>
      <c r="U1210" s="16"/>
      <c r="V1210" s="16"/>
    </row>
    <row r="1211" spans="3:22" x14ac:dyDescent="0.25">
      <c r="C1211" s="16"/>
      <c r="U1211" s="16"/>
      <c r="V1211" s="16"/>
    </row>
    <row r="1212" spans="3:22" x14ac:dyDescent="0.25">
      <c r="C1212" s="16"/>
      <c r="U1212" s="16"/>
      <c r="V1212" s="16"/>
    </row>
    <row r="1213" spans="3:22" x14ac:dyDescent="0.25">
      <c r="C1213" s="16"/>
      <c r="U1213" s="16"/>
      <c r="V1213" s="16"/>
    </row>
    <row r="1214" spans="3:22" x14ac:dyDescent="0.25">
      <c r="C1214" s="16"/>
      <c r="U1214" s="16"/>
      <c r="V1214" s="16"/>
    </row>
    <row r="1215" spans="3:22" x14ac:dyDescent="0.25">
      <c r="C1215" s="16"/>
      <c r="U1215" s="16"/>
      <c r="V1215" s="16"/>
    </row>
    <row r="1216" spans="3:22" x14ac:dyDescent="0.25">
      <c r="C1216" s="16"/>
      <c r="U1216" s="16"/>
      <c r="V1216" s="16"/>
    </row>
    <row r="1217" spans="3:22" x14ac:dyDescent="0.25">
      <c r="C1217" s="16"/>
      <c r="U1217" s="16"/>
      <c r="V1217" s="16"/>
    </row>
    <row r="1218" spans="3:22" x14ac:dyDescent="0.25">
      <c r="C1218" s="16"/>
      <c r="U1218" s="16"/>
      <c r="V1218" s="16"/>
    </row>
    <row r="1219" spans="3:22" x14ac:dyDescent="0.25">
      <c r="C1219" s="16"/>
      <c r="U1219" s="16"/>
      <c r="V1219" s="16"/>
    </row>
    <row r="1220" spans="3:22" x14ac:dyDescent="0.25">
      <c r="C1220" s="16"/>
      <c r="U1220" s="16"/>
      <c r="V1220" s="16"/>
    </row>
    <row r="1221" spans="3:22" x14ac:dyDescent="0.25">
      <c r="C1221" s="16"/>
      <c r="U1221" s="16"/>
      <c r="V1221" s="16"/>
    </row>
    <row r="1222" spans="3:22" x14ac:dyDescent="0.25">
      <c r="C1222" s="16"/>
      <c r="U1222" s="16"/>
      <c r="V1222" s="16"/>
    </row>
    <row r="1223" spans="3:22" x14ac:dyDescent="0.25">
      <c r="C1223" s="16"/>
      <c r="U1223" s="16"/>
      <c r="V1223" s="16"/>
    </row>
    <row r="1224" spans="3:22" x14ac:dyDescent="0.25">
      <c r="C1224" s="16"/>
      <c r="U1224" s="16"/>
      <c r="V1224" s="16"/>
    </row>
    <row r="1225" spans="3:22" x14ac:dyDescent="0.25">
      <c r="C1225" s="16"/>
      <c r="U1225" s="16"/>
      <c r="V1225" s="16"/>
    </row>
    <row r="1226" spans="3:22" x14ac:dyDescent="0.25">
      <c r="C1226" s="16"/>
      <c r="U1226" s="16"/>
      <c r="V1226" s="16"/>
    </row>
    <row r="1227" spans="3:22" x14ac:dyDescent="0.25">
      <c r="C1227" s="16"/>
      <c r="U1227" s="16"/>
      <c r="V1227" s="16"/>
    </row>
    <row r="1228" spans="3:22" x14ac:dyDescent="0.25">
      <c r="C1228" s="16"/>
      <c r="U1228" s="16"/>
      <c r="V1228" s="16"/>
    </row>
    <row r="1229" spans="3:22" x14ac:dyDescent="0.25">
      <c r="C1229" s="16"/>
      <c r="U1229" s="16"/>
      <c r="V1229" s="16"/>
    </row>
    <row r="1230" spans="3:22" x14ac:dyDescent="0.25">
      <c r="C1230" s="16"/>
      <c r="U1230" s="16"/>
      <c r="V1230" s="16"/>
    </row>
    <row r="1231" spans="3:22" x14ac:dyDescent="0.25">
      <c r="C1231" s="16"/>
      <c r="U1231" s="16"/>
      <c r="V1231" s="16"/>
    </row>
    <row r="1232" spans="3:22" x14ac:dyDescent="0.25">
      <c r="C1232" s="16"/>
      <c r="U1232" s="16"/>
      <c r="V1232" s="16"/>
    </row>
    <row r="1233" spans="3:22" x14ac:dyDescent="0.25">
      <c r="C1233" s="16"/>
      <c r="U1233" s="16"/>
      <c r="V1233" s="16"/>
    </row>
    <row r="1234" spans="3:22" x14ac:dyDescent="0.25">
      <c r="C1234" s="16"/>
      <c r="U1234" s="16"/>
      <c r="V1234" s="16"/>
    </row>
    <row r="1235" spans="3:22" x14ac:dyDescent="0.25">
      <c r="C1235" s="16"/>
      <c r="U1235" s="16"/>
      <c r="V1235" s="16"/>
    </row>
    <row r="1236" spans="3:22" x14ac:dyDescent="0.25">
      <c r="C1236" s="16"/>
      <c r="U1236" s="16"/>
      <c r="V1236" s="16"/>
    </row>
    <row r="1237" spans="3:22" x14ac:dyDescent="0.25">
      <c r="C1237" s="16"/>
      <c r="U1237" s="16"/>
      <c r="V1237" s="16"/>
    </row>
    <row r="1238" spans="3:22" x14ac:dyDescent="0.25">
      <c r="C1238" s="16"/>
      <c r="U1238" s="16"/>
      <c r="V1238" s="16"/>
    </row>
    <row r="1239" spans="3:22" x14ac:dyDescent="0.25">
      <c r="C1239" s="16"/>
      <c r="U1239" s="16"/>
      <c r="V1239" s="16"/>
    </row>
    <row r="1240" spans="3:22" x14ac:dyDescent="0.25">
      <c r="C1240" s="16"/>
      <c r="U1240" s="16"/>
      <c r="V1240" s="16"/>
    </row>
    <row r="1241" spans="3:22" x14ac:dyDescent="0.25">
      <c r="C1241" s="16"/>
      <c r="U1241" s="16"/>
      <c r="V1241" s="16"/>
    </row>
    <row r="1242" spans="3:22" x14ac:dyDescent="0.25">
      <c r="C1242" s="16"/>
      <c r="U1242" s="16"/>
      <c r="V1242" s="16"/>
    </row>
    <row r="1243" spans="3:22" x14ac:dyDescent="0.25">
      <c r="C1243" s="16"/>
      <c r="U1243" s="16"/>
      <c r="V1243" s="16"/>
    </row>
    <row r="1244" spans="3:22" x14ac:dyDescent="0.25">
      <c r="C1244" s="16"/>
      <c r="U1244" s="16"/>
      <c r="V1244" s="16"/>
    </row>
    <row r="1245" spans="3:22" x14ac:dyDescent="0.25">
      <c r="C1245" s="16"/>
      <c r="U1245" s="16"/>
      <c r="V1245" s="16"/>
    </row>
    <row r="1246" spans="3:22" x14ac:dyDescent="0.25">
      <c r="C1246" s="16"/>
      <c r="U1246" s="16"/>
      <c r="V1246" s="16"/>
    </row>
    <row r="1247" spans="3:22" x14ac:dyDescent="0.25">
      <c r="C1247" s="16"/>
      <c r="U1247" s="16"/>
      <c r="V1247" s="16"/>
    </row>
    <row r="1248" spans="3:22" x14ac:dyDescent="0.25">
      <c r="C1248" s="16"/>
      <c r="U1248" s="16"/>
      <c r="V1248" s="16"/>
    </row>
    <row r="1249" spans="3:22" x14ac:dyDescent="0.25">
      <c r="C1249" s="16"/>
      <c r="U1249" s="16"/>
      <c r="V1249" s="16"/>
    </row>
    <row r="1250" spans="3:22" x14ac:dyDescent="0.25">
      <c r="C1250" s="16"/>
      <c r="U1250" s="16"/>
      <c r="V1250" s="16"/>
    </row>
    <row r="1251" spans="3:22" x14ac:dyDescent="0.25">
      <c r="C1251" s="16"/>
      <c r="U1251" s="16"/>
      <c r="V1251" s="16"/>
    </row>
    <row r="1252" spans="3:22" x14ac:dyDescent="0.25">
      <c r="C1252" s="16"/>
      <c r="U1252" s="16"/>
      <c r="V1252" s="16"/>
    </row>
    <row r="1253" spans="3:22" x14ac:dyDescent="0.25">
      <c r="C1253" s="16"/>
      <c r="U1253" s="16"/>
      <c r="V1253" s="16"/>
    </row>
    <row r="1254" spans="3:22" x14ac:dyDescent="0.25">
      <c r="C1254" s="16"/>
      <c r="U1254" s="16"/>
      <c r="V1254" s="16"/>
    </row>
    <row r="1255" spans="3:22" x14ac:dyDescent="0.25">
      <c r="C1255" s="16"/>
      <c r="U1255" s="16"/>
      <c r="V1255" s="16"/>
    </row>
    <row r="1256" spans="3:22" x14ac:dyDescent="0.25">
      <c r="C1256" s="16"/>
      <c r="U1256" s="16"/>
      <c r="V1256" s="16"/>
    </row>
    <row r="1257" spans="3:22" x14ac:dyDescent="0.25">
      <c r="C1257" s="16"/>
      <c r="U1257" s="16"/>
      <c r="V1257" s="16"/>
    </row>
    <row r="1258" spans="3:22" x14ac:dyDescent="0.25">
      <c r="C1258" s="16"/>
      <c r="U1258" s="16"/>
      <c r="V1258" s="16"/>
    </row>
    <row r="1259" spans="3:22" x14ac:dyDescent="0.25">
      <c r="C1259" s="16"/>
      <c r="U1259" s="16"/>
      <c r="V1259" s="16"/>
    </row>
    <row r="1260" spans="3:22" x14ac:dyDescent="0.25">
      <c r="C1260" s="16"/>
      <c r="U1260" s="16"/>
      <c r="V1260" s="16"/>
    </row>
    <row r="1261" spans="3:22" x14ac:dyDescent="0.25">
      <c r="C1261" s="16"/>
      <c r="U1261" s="16"/>
      <c r="V1261" s="16"/>
    </row>
    <row r="1262" spans="3:22" x14ac:dyDescent="0.25">
      <c r="C1262" s="16"/>
      <c r="U1262" s="16"/>
      <c r="V1262" s="16"/>
    </row>
    <row r="1263" spans="3:22" x14ac:dyDescent="0.25">
      <c r="C1263" s="16"/>
      <c r="U1263" s="16"/>
      <c r="V1263" s="16"/>
    </row>
    <row r="1264" spans="3:22" x14ac:dyDescent="0.25">
      <c r="C1264" s="16"/>
      <c r="U1264" s="16"/>
      <c r="V1264" s="16"/>
    </row>
    <row r="1265" spans="3:22" x14ac:dyDescent="0.25">
      <c r="C1265" s="16"/>
      <c r="U1265" s="16"/>
      <c r="V1265" s="16"/>
    </row>
    <row r="1266" spans="3:22" x14ac:dyDescent="0.25">
      <c r="C1266" s="16"/>
      <c r="U1266" s="16"/>
      <c r="V1266" s="16"/>
    </row>
    <row r="1267" spans="3:22" x14ac:dyDescent="0.25">
      <c r="C1267" s="16"/>
      <c r="U1267" s="16"/>
      <c r="V1267" s="16"/>
    </row>
    <row r="1268" spans="3:22" x14ac:dyDescent="0.25">
      <c r="C1268" s="16"/>
      <c r="U1268" s="16"/>
      <c r="V1268" s="16"/>
    </row>
    <row r="1269" spans="3:22" x14ac:dyDescent="0.25">
      <c r="C1269" s="16"/>
      <c r="U1269" s="16"/>
      <c r="V1269" s="16"/>
    </row>
    <row r="1270" spans="3:22" x14ac:dyDescent="0.25">
      <c r="C1270" s="16"/>
      <c r="U1270" s="16"/>
      <c r="V1270" s="16"/>
    </row>
    <row r="1271" spans="3:22" x14ac:dyDescent="0.25">
      <c r="C1271" s="16"/>
      <c r="U1271" s="16"/>
      <c r="V1271" s="16"/>
    </row>
    <row r="1272" spans="3:22" x14ac:dyDescent="0.25">
      <c r="C1272" s="16"/>
      <c r="U1272" s="16"/>
      <c r="V1272" s="16"/>
    </row>
    <row r="1273" spans="3:22" x14ac:dyDescent="0.25">
      <c r="C1273" s="16"/>
      <c r="U1273" s="16"/>
      <c r="V1273" s="16"/>
    </row>
    <row r="1274" spans="3:22" x14ac:dyDescent="0.25">
      <c r="C1274" s="16"/>
      <c r="U1274" s="16"/>
      <c r="V1274" s="16"/>
    </row>
    <row r="1275" spans="3:22" x14ac:dyDescent="0.25">
      <c r="C1275" s="16"/>
      <c r="U1275" s="16"/>
      <c r="V1275" s="16"/>
    </row>
    <row r="1276" spans="3:22" x14ac:dyDescent="0.25">
      <c r="C1276" s="16"/>
      <c r="U1276" s="16"/>
      <c r="V1276" s="16"/>
    </row>
    <row r="1277" spans="3:22" x14ac:dyDescent="0.25">
      <c r="C1277" s="16"/>
      <c r="U1277" s="16"/>
      <c r="V1277" s="16"/>
    </row>
    <row r="1278" spans="3:22" x14ac:dyDescent="0.25">
      <c r="C1278" s="16"/>
      <c r="U1278" s="16"/>
      <c r="V1278" s="16"/>
    </row>
    <row r="1279" spans="3:22" x14ac:dyDescent="0.25">
      <c r="C1279" s="16"/>
      <c r="U1279" s="16"/>
      <c r="V1279" s="16"/>
    </row>
    <row r="1280" spans="3:22" x14ac:dyDescent="0.25">
      <c r="C1280" s="16"/>
      <c r="U1280" s="16"/>
      <c r="V1280" s="16"/>
    </row>
    <row r="1281" spans="3:22" x14ac:dyDescent="0.25">
      <c r="C1281" s="16"/>
      <c r="U1281" s="16"/>
      <c r="V1281" s="16"/>
    </row>
    <row r="1282" spans="3:22" x14ac:dyDescent="0.25">
      <c r="C1282" s="16"/>
      <c r="U1282" s="16"/>
      <c r="V1282" s="16"/>
    </row>
    <row r="1283" spans="3:22" x14ac:dyDescent="0.25">
      <c r="C1283" s="16"/>
      <c r="U1283" s="16"/>
      <c r="V1283" s="16"/>
    </row>
    <row r="1284" spans="3:22" x14ac:dyDescent="0.25">
      <c r="C1284" s="16"/>
      <c r="U1284" s="16"/>
      <c r="V1284" s="16"/>
    </row>
    <row r="1285" spans="3:22" x14ac:dyDescent="0.25">
      <c r="C1285" s="16"/>
      <c r="U1285" s="16"/>
      <c r="V1285" s="16"/>
    </row>
    <row r="1286" spans="3:22" x14ac:dyDescent="0.25">
      <c r="C1286" s="16"/>
      <c r="U1286" s="16"/>
      <c r="V1286" s="16"/>
    </row>
    <row r="1287" spans="3:22" x14ac:dyDescent="0.25">
      <c r="C1287" s="16"/>
      <c r="U1287" s="16"/>
      <c r="V1287" s="16"/>
    </row>
    <row r="1288" spans="3:22" x14ac:dyDescent="0.25">
      <c r="C1288" s="16"/>
      <c r="U1288" s="16"/>
      <c r="V1288" s="16"/>
    </row>
    <row r="1289" spans="3:22" x14ac:dyDescent="0.25">
      <c r="C1289" s="16"/>
      <c r="U1289" s="16"/>
      <c r="V1289" s="16"/>
    </row>
    <row r="1290" spans="3:22" x14ac:dyDescent="0.25">
      <c r="C1290" s="16"/>
      <c r="U1290" s="16"/>
      <c r="V1290" s="16"/>
    </row>
    <row r="1291" spans="3:22" x14ac:dyDescent="0.25">
      <c r="C1291" s="16"/>
      <c r="U1291" s="16"/>
      <c r="V1291" s="16"/>
    </row>
    <row r="1292" spans="3:22" x14ac:dyDescent="0.25">
      <c r="C1292" s="16"/>
      <c r="U1292" s="16"/>
      <c r="V1292" s="16"/>
    </row>
    <row r="1293" spans="3:22" x14ac:dyDescent="0.25">
      <c r="C1293" s="16"/>
      <c r="U1293" s="16"/>
      <c r="V1293" s="16"/>
    </row>
    <row r="1294" spans="3:22" x14ac:dyDescent="0.25">
      <c r="C1294" s="16"/>
      <c r="U1294" s="16"/>
      <c r="V1294" s="16"/>
    </row>
    <row r="1295" spans="3:22" x14ac:dyDescent="0.25">
      <c r="C1295" s="16"/>
      <c r="U1295" s="16"/>
      <c r="V1295" s="16"/>
    </row>
    <row r="1296" spans="3:22" x14ac:dyDescent="0.25">
      <c r="C1296" s="16"/>
      <c r="U1296" s="16"/>
      <c r="V1296" s="16"/>
    </row>
    <row r="1297" spans="3:22" x14ac:dyDescent="0.25">
      <c r="C1297" s="16"/>
      <c r="U1297" s="16"/>
      <c r="V1297" s="16"/>
    </row>
    <row r="1298" spans="3:22" x14ac:dyDescent="0.25">
      <c r="C1298" s="16"/>
      <c r="U1298" s="16"/>
      <c r="V1298" s="16"/>
    </row>
    <row r="1299" spans="3:22" x14ac:dyDescent="0.25">
      <c r="C1299" s="16"/>
      <c r="U1299" s="16"/>
      <c r="V1299" s="16"/>
    </row>
    <row r="1300" spans="3:22" x14ac:dyDescent="0.25">
      <c r="C1300" s="16"/>
      <c r="U1300" s="16"/>
      <c r="V1300" s="16"/>
    </row>
    <row r="1301" spans="3:22" x14ac:dyDescent="0.25">
      <c r="C1301" s="16"/>
      <c r="U1301" s="16"/>
      <c r="V1301" s="16"/>
    </row>
    <row r="1302" spans="3:22" x14ac:dyDescent="0.25">
      <c r="C1302" s="16"/>
      <c r="U1302" s="16"/>
      <c r="V1302" s="16"/>
    </row>
    <row r="1303" spans="3:22" x14ac:dyDescent="0.25">
      <c r="C1303" s="16"/>
      <c r="U1303" s="16"/>
      <c r="V1303" s="16"/>
    </row>
    <row r="1304" spans="3:22" x14ac:dyDescent="0.25">
      <c r="C1304" s="16"/>
      <c r="U1304" s="16"/>
      <c r="V1304" s="16"/>
    </row>
    <row r="1305" spans="3:22" x14ac:dyDescent="0.25">
      <c r="C1305" s="16"/>
      <c r="U1305" s="16"/>
      <c r="V1305" s="16"/>
    </row>
    <row r="1306" spans="3:22" x14ac:dyDescent="0.25">
      <c r="C1306" s="16"/>
      <c r="U1306" s="16"/>
      <c r="V1306" s="16"/>
    </row>
    <row r="1307" spans="3:22" x14ac:dyDescent="0.25">
      <c r="C1307" s="16"/>
      <c r="U1307" s="16"/>
      <c r="V1307" s="16"/>
    </row>
    <row r="1308" spans="3:22" x14ac:dyDescent="0.25">
      <c r="C1308" s="16"/>
      <c r="U1308" s="16"/>
      <c r="V1308" s="16"/>
    </row>
    <row r="1309" spans="3:22" x14ac:dyDescent="0.25">
      <c r="C1309" s="16"/>
      <c r="U1309" s="16"/>
      <c r="V1309" s="16"/>
    </row>
    <row r="1310" spans="3:22" x14ac:dyDescent="0.25">
      <c r="C1310" s="16"/>
      <c r="U1310" s="16"/>
      <c r="V1310" s="16"/>
    </row>
    <row r="1311" spans="3:22" x14ac:dyDescent="0.25">
      <c r="C1311" s="16"/>
      <c r="U1311" s="16"/>
      <c r="V1311" s="16"/>
    </row>
    <row r="1312" spans="3:22" x14ac:dyDescent="0.25">
      <c r="C1312" s="16"/>
      <c r="U1312" s="16"/>
      <c r="V1312" s="16"/>
    </row>
    <row r="1313" spans="3:22" x14ac:dyDescent="0.25">
      <c r="C1313" s="16"/>
      <c r="U1313" s="16"/>
      <c r="V1313" s="16"/>
    </row>
    <row r="1314" spans="3:22" x14ac:dyDescent="0.25">
      <c r="C1314" s="16"/>
      <c r="U1314" s="16"/>
      <c r="V1314" s="16"/>
    </row>
    <row r="1315" spans="3:22" x14ac:dyDescent="0.25">
      <c r="C1315" s="16"/>
      <c r="U1315" s="16"/>
      <c r="V1315" s="16"/>
    </row>
    <row r="1316" spans="3:22" x14ac:dyDescent="0.25">
      <c r="C1316" s="16"/>
      <c r="U1316" s="16"/>
      <c r="V1316" s="16"/>
    </row>
    <row r="1317" spans="3:22" x14ac:dyDescent="0.25">
      <c r="C1317" s="16"/>
      <c r="U1317" s="16"/>
      <c r="V1317" s="16"/>
    </row>
    <row r="1318" spans="3:22" x14ac:dyDescent="0.25">
      <c r="C1318" s="16"/>
      <c r="U1318" s="16"/>
      <c r="V1318" s="16"/>
    </row>
    <row r="1319" spans="3:22" x14ac:dyDescent="0.25">
      <c r="C1319" s="16"/>
      <c r="U1319" s="16"/>
      <c r="V1319" s="16"/>
    </row>
    <row r="1320" spans="3:22" x14ac:dyDescent="0.25">
      <c r="C1320" s="16"/>
      <c r="U1320" s="16"/>
      <c r="V1320" s="16"/>
    </row>
    <row r="1321" spans="3:22" x14ac:dyDescent="0.25">
      <c r="C1321" s="16"/>
      <c r="U1321" s="16"/>
      <c r="V1321" s="16"/>
    </row>
    <row r="1322" spans="3:22" x14ac:dyDescent="0.25">
      <c r="C1322" s="16"/>
      <c r="U1322" s="16"/>
      <c r="V1322" s="16"/>
    </row>
    <row r="1323" spans="3:22" x14ac:dyDescent="0.25">
      <c r="C1323" s="16"/>
      <c r="U1323" s="16"/>
      <c r="V1323" s="16"/>
    </row>
    <row r="1324" spans="3:22" x14ac:dyDescent="0.25">
      <c r="C1324" s="16"/>
      <c r="U1324" s="16"/>
      <c r="V1324" s="16"/>
    </row>
    <row r="1325" spans="3:22" x14ac:dyDescent="0.25">
      <c r="C1325" s="16"/>
      <c r="U1325" s="16"/>
      <c r="V1325" s="16"/>
    </row>
    <row r="1326" spans="3:22" x14ac:dyDescent="0.25">
      <c r="C1326" s="16"/>
      <c r="U1326" s="16"/>
      <c r="V1326" s="16"/>
    </row>
    <row r="1327" spans="3:22" x14ac:dyDescent="0.25">
      <c r="C1327" s="16"/>
      <c r="U1327" s="16"/>
      <c r="V1327" s="16"/>
    </row>
    <row r="1328" spans="3:22" x14ac:dyDescent="0.25">
      <c r="C1328" s="16"/>
      <c r="U1328" s="16"/>
      <c r="V1328" s="16"/>
    </row>
    <row r="1329" spans="3:22" x14ac:dyDescent="0.25">
      <c r="C1329" s="16"/>
      <c r="U1329" s="16"/>
      <c r="V1329" s="16"/>
    </row>
    <row r="1330" spans="3:22" x14ac:dyDescent="0.25">
      <c r="C1330" s="16"/>
      <c r="U1330" s="16"/>
      <c r="V1330" s="16"/>
    </row>
    <row r="1331" spans="3:22" x14ac:dyDescent="0.25">
      <c r="C1331" s="16"/>
      <c r="U1331" s="16"/>
      <c r="V1331" s="16"/>
    </row>
    <row r="1332" spans="3:22" x14ac:dyDescent="0.25">
      <c r="C1332" s="16"/>
      <c r="U1332" s="16"/>
      <c r="V1332" s="16"/>
    </row>
    <row r="1333" spans="3:22" x14ac:dyDescent="0.25">
      <c r="C1333" s="16"/>
      <c r="U1333" s="16"/>
      <c r="V1333" s="16"/>
    </row>
    <row r="1334" spans="3:22" x14ac:dyDescent="0.25">
      <c r="C1334" s="16"/>
      <c r="U1334" s="16"/>
      <c r="V1334" s="16"/>
    </row>
    <row r="1335" spans="3:22" x14ac:dyDescent="0.25">
      <c r="C1335" s="16"/>
      <c r="U1335" s="16"/>
      <c r="V1335" s="16"/>
    </row>
    <row r="1336" spans="3:22" x14ac:dyDescent="0.25">
      <c r="C1336" s="16"/>
      <c r="U1336" s="16"/>
      <c r="V1336" s="16"/>
    </row>
    <row r="1337" spans="3:22" x14ac:dyDescent="0.25">
      <c r="C1337" s="16"/>
      <c r="U1337" s="16"/>
      <c r="V1337" s="16"/>
    </row>
    <row r="1338" spans="3:22" x14ac:dyDescent="0.25">
      <c r="C1338" s="16"/>
      <c r="U1338" s="16"/>
      <c r="V1338" s="16"/>
    </row>
    <row r="1339" spans="3:22" x14ac:dyDescent="0.25">
      <c r="C1339" s="16"/>
      <c r="U1339" s="16"/>
      <c r="V1339" s="16"/>
    </row>
    <row r="1340" spans="3:22" x14ac:dyDescent="0.25">
      <c r="C1340" s="16"/>
      <c r="U1340" s="16"/>
      <c r="V1340" s="16"/>
    </row>
    <row r="1341" spans="3:22" x14ac:dyDescent="0.25">
      <c r="C1341" s="16"/>
      <c r="U1341" s="16"/>
      <c r="V1341" s="16"/>
    </row>
    <row r="1342" spans="3:22" x14ac:dyDescent="0.25">
      <c r="C1342" s="16"/>
      <c r="U1342" s="16"/>
      <c r="V1342" s="16"/>
    </row>
    <row r="1343" spans="3:22" x14ac:dyDescent="0.25">
      <c r="C1343" s="16"/>
      <c r="U1343" s="16"/>
      <c r="V1343" s="16"/>
    </row>
    <row r="1344" spans="3:22" x14ac:dyDescent="0.25">
      <c r="C1344" s="16"/>
      <c r="U1344" s="16"/>
      <c r="V1344" s="16"/>
    </row>
    <row r="1345" spans="3:22" x14ac:dyDescent="0.25">
      <c r="C1345" s="16"/>
      <c r="U1345" s="16"/>
      <c r="V1345" s="16"/>
    </row>
    <row r="1346" spans="3:22" x14ac:dyDescent="0.25">
      <c r="C1346" s="16"/>
      <c r="U1346" s="16"/>
      <c r="V1346" s="16"/>
    </row>
    <row r="1347" spans="3:22" x14ac:dyDescent="0.25">
      <c r="C1347" s="16"/>
      <c r="U1347" s="16"/>
      <c r="V1347" s="16"/>
    </row>
    <row r="1348" spans="3:22" x14ac:dyDescent="0.25">
      <c r="C1348" s="16"/>
      <c r="U1348" s="16"/>
      <c r="V1348" s="16"/>
    </row>
    <row r="1349" spans="3:22" x14ac:dyDescent="0.25">
      <c r="C1349" s="16"/>
      <c r="U1349" s="16"/>
      <c r="V1349" s="16"/>
    </row>
    <row r="1350" spans="3:22" x14ac:dyDescent="0.25">
      <c r="C1350" s="16"/>
      <c r="U1350" s="16"/>
      <c r="V1350" s="16"/>
    </row>
    <row r="1351" spans="3:22" x14ac:dyDescent="0.25">
      <c r="C1351" s="16"/>
      <c r="U1351" s="16"/>
      <c r="V1351" s="16"/>
    </row>
    <row r="1352" spans="3:22" x14ac:dyDescent="0.25">
      <c r="C1352" s="16"/>
      <c r="U1352" s="16"/>
      <c r="V1352" s="16"/>
    </row>
    <row r="1353" spans="3:22" x14ac:dyDescent="0.25">
      <c r="C1353" s="16"/>
      <c r="U1353" s="16"/>
      <c r="V1353" s="16"/>
    </row>
    <row r="1354" spans="3:22" x14ac:dyDescent="0.25">
      <c r="C1354" s="16"/>
      <c r="U1354" s="16"/>
      <c r="V1354" s="16"/>
    </row>
    <row r="1355" spans="3:22" x14ac:dyDescent="0.25">
      <c r="C1355" s="16"/>
      <c r="U1355" s="16"/>
      <c r="V1355" s="16"/>
    </row>
    <row r="1356" spans="3:22" x14ac:dyDescent="0.25">
      <c r="C1356" s="16"/>
      <c r="U1356" s="16"/>
      <c r="V1356" s="16"/>
    </row>
    <row r="1357" spans="3:22" x14ac:dyDescent="0.25">
      <c r="C1357" s="16"/>
      <c r="U1357" s="16"/>
      <c r="V1357" s="16"/>
    </row>
    <row r="1358" spans="3:22" x14ac:dyDescent="0.25">
      <c r="C1358" s="16"/>
      <c r="U1358" s="16"/>
      <c r="V1358" s="16"/>
    </row>
    <row r="1359" spans="3:22" x14ac:dyDescent="0.25">
      <c r="C1359" s="16"/>
      <c r="U1359" s="16"/>
      <c r="V1359" s="16"/>
    </row>
    <row r="1360" spans="3:22" x14ac:dyDescent="0.25">
      <c r="C1360" s="16"/>
      <c r="U1360" s="16"/>
      <c r="V1360" s="16"/>
    </row>
    <row r="1361" spans="3:22" x14ac:dyDescent="0.25">
      <c r="C1361" s="16"/>
      <c r="U1361" s="16"/>
      <c r="V1361" s="16"/>
    </row>
    <row r="1362" spans="3:22" x14ac:dyDescent="0.25">
      <c r="C1362" s="16"/>
      <c r="U1362" s="16"/>
      <c r="V1362" s="16"/>
    </row>
    <row r="1363" spans="3:22" x14ac:dyDescent="0.25">
      <c r="C1363" s="16"/>
      <c r="U1363" s="16"/>
      <c r="V1363" s="16"/>
    </row>
    <row r="1364" spans="3:22" x14ac:dyDescent="0.25">
      <c r="C1364" s="16"/>
      <c r="U1364" s="16"/>
      <c r="V1364" s="16"/>
    </row>
    <row r="1365" spans="3:22" x14ac:dyDescent="0.25">
      <c r="C1365" s="16"/>
      <c r="U1365" s="16"/>
      <c r="V1365" s="16"/>
    </row>
    <row r="1366" spans="3:22" x14ac:dyDescent="0.25">
      <c r="C1366" s="16"/>
      <c r="U1366" s="16"/>
      <c r="V1366" s="16"/>
    </row>
    <row r="1367" spans="3:22" x14ac:dyDescent="0.25">
      <c r="C1367" s="16"/>
      <c r="U1367" s="16"/>
      <c r="V1367" s="16"/>
    </row>
    <row r="1368" spans="3:22" x14ac:dyDescent="0.25">
      <c r="C1368" s="16"/>
      <c r="U1368" s="16"/>
      <c r="V1368" s="16"/>
    </row>
    <row r="1369" spans="3:22" x14ac:dyDescent="0.25">
      <c r="C1369" s="16"/>
      <c r="U1369" s="16"/>
      <c r="V1369" s="16"/>
    </row>
    <row r="1370" spans="3:22" x14ac:dyDescent="0.25">
      <c r="C1370" s="16"/>
      <c r="U1370" s="16"/>
      <c r="V1370" s="16"/>
    </row>
    <row r="1371" spans="3:22" x14ac:dyDescent="0.25">
      <c r="C1371" s="16"/>
      <c r="U1371" s="16"/>
      <c r="V1371" s="16"/>
    </row>
    <row r="1372" spans="3:22" x14ac:dyDescent="0.25">
      <c r="C1372" s="16"/>
      <c r="U1372" s="16"/>
      <c r="V1372" s="16"/>
    </row>
    <row r="1373" spans="3:22" x14ac:dyDescent="0.25">
      <c r="C1373" s="16"/>
      <c r="U1373" s="16"/>
      <c r="V1373" s="16"/>
    </row>
    <row r="1374" spans="3:22" x14ac:dyDescent="0.25">
      <c r="C1374" s="16"/>
      <c r="U1374" s="16"/>
      <c r="V1374" s="16"/>
    </row>
    <row r="1375" spans="3:22" x14ac:dyDescent="0.25">
      <c r="C1375" s="16"/>
      <c r="U1375" s="16"/>
      <c r="V1375" s="16"/>
    </row>
    <row r="1376" spans="3:22" x14ac:dyDescent="0.25">
      <c r="C1376" s="16"/>
      <c r="U1376" s="16"/>
      <c r="V1376" s="16"/>
    </row>
    <row r="1377" spans="3:22" x14ac:dyDescent="0.25">
      <c r="C1377" s="16"/>
      <c r="U1377" s="16"/>
      <c r="V1377" s="16"/>
    </row>
    <row r="1378" spans="3:22" x14ac:dyDescent="0.25">
      <c r="C1378" s="16"/>
      <c r="U1378" s="16"/>
      <c r="V1378" s="16"/>
    </row>
    <row r="1379" spans="3:22" x14ac:dyDescent="0.25">
      <c r="C1379" s="16"/>
      <c r="U1379" s="16"/>
      <c r="V1379" s="16"/>
    </row>
    <row r="1380" spans="3:22" x14ac:dyDescent="0.25">
      <c r="C1380" s="16"/>
      <c r="U1380" s="16"/>
      <c r="V1380" s="16"/>
    </row>
    <row r="1381" spans="3:22" x14ac:dyDescent="0.25">
      <c r="C1381" s="16"/>
      <c r="U1381" s="16"/>
      <c r="V1381" s="16"/>
    </row>
    <row r="1382" spans="3:22" x14ac:dyDescent="0.25">
      <c r="C1382" s="16"/>
      <c r="U1382" s="16"/>
      <c r="V1382" s="16"/>
    </row>
    <row r="1383" spans="3:22" x14ac:dyDescent="0.25">
      <c r="C1383" s="16"/>
      <c r="U1383" s="16"/>
      <c r="V1383" s="16"/>
    </row>
    <row r="1384" spans="3:22" x14ac:dyDescent="0.25">
      <c r="C1384" s="16"/>
      <c r="U1384" s="16"/>
      <c r="V1384" s="16"/>
    </row>
    <row r="1385" spans="3:22" x14ac:dyDescent="0.25">
      <c r="C1385" s="16"/>
      <c r="U1385" s="16"/>
      <c r="V1385" s="16"/>
    </row>
    <row r="1386" spans="3:22" x14ac:dyDescent="0.25">
      <c r="C1386" s="16"/>
      <c r="U1386" s="16"/>
      <c r="V1386" s="16"/>
    </row>
    <row r="1387" spans="3:22" x14ac:dyDescent="0.25">
      <c r="C1387" s="16"/>
      <c r="U1387" s="16"/>
      <c r="V1387" s="16"/>
    </row>
    <row r="1388" spans="3:22" x14ac:dyDescent="0.25">
      <c r="C1388" s="16"/>
      <c r="U1388" s="16"/>
      <c r="V1388" s="16"/>
    </row>
    <row r="1389" spans="3:22" x14ac:dyDescent="0.25">
      <c r="C1389" s="16"/>
      <c r="U1389" s="16"/>
      <c r="V1389" s="16"/>
    </row>
    <row r="1390" spans="3:22" x14ac:dyDescent="0.25">
      <c r="C1390" s="16"/>
      <c r="U1390" s="16"/>
      <c r="V1390" s="16"/>
    </row>
    <row r="1391" spans="3:22" x14ac:dyDescent="0.25">
      <c r="C1391" s="16"/>
      <c r="U1391" s="16"/>
      <c r="V1391" s="16"/>
    </row>
    <row r="1392" spans="3:22" x14ac:dyDescent="0.25">
      <c r="C1392" s="16"/>
      <c r="U1392" s="16"/>
      <c r="V1392" s="16"/>
    </row>
    <row r="1393" spans="3:22" x14ac:dyDescent="0.25">
      <c r="C1393" s="16"/>
      <c r="U1393" s="16"/>
      <c r="V1393" s="16"/>
    </row>
    <row r="1394" spans="3:22" x14ac:dyDescent="0.25">
      <c r="C1394" s="16"/>
      <c r="U1394" s="16"/>
      <c r="V1394" s="16"/>
    </row>
    <row r="1395" spans="3:22" x14ac:dyDescent="0.25">
      <c r="C1395" s="16"/>
      <c r="U1395" s="16"/>
      <c r="V1395" s="16"/>
    </row>
    <row r="1396" spans="3:22" x14ac:dyDescent="0.25">
      <c r="C1396" s="16"/>
      <c r="U1396" s="16"/>
      <c r="V1396" s="16"/>
    </row>
    <row r="1397" spans="3:22" x14ac:dyDescent="0.25">
      <c r="C1397" s="16"/>
      <c r="U1397" s="16"/>
      <c r="V1397" s="16"/>
    </row>
    <row r="1398" spans="3:22" x14ac:dyDescent="0.25">
      <c r="C1398" s="16"/>
      <c r="U1398" s="16"/>
      <c r="V1398" s="16"/>
    </row>
    <row r="1399" spans="3:22" x14ac:dyDescent="0.25">
      <c r="C1399" s="16"/>
      <c r="U1399" s="16"/>
      <c r="V1399" s="16"/>
    </row>
    <row r="1400" spans="3:22" x14ac:dyDescent="0.25">
      <c r="C1400" s="16"/>
      <c r="U1400" s="16"/>
      <c r="V1400" s="16"/>
    </row>
    <row r="1401" spans="3:22" x14ac:dyDescent="0.25">
      <c r="C1401" s="16"/>
      <c r="U1401" s="16"/>
      <c r="V1401" s="16"/>
    </row>
    <row r="1402" spans="3:22" x14ac:dyDescent="0.25">
      <c r="C1402" s="16"/>
      <c r="U1402" s="16"/>
      <c r="V1402" s="16"/>
    </row>
    <row r="1403" spans="3:22" x14ac:dyDescent="0.25">
      <c r="C1403" s="16"/>
      <c r="U1403" s="16"/>
      <c r="V1403" s="16"/>
    </row>
    <row r="1404" spans="3:22" x14ac:dyDescent="0.25">
      <c r="C1404" s="16"/>
      <c r="U1404" s="16"/>
      <c r="V1404" s="16"/>
    </row>
    <row r="1405" spans="3:22" x14ac:dyDescent="0.25">
      <c r="C1405" s="16"/>
      <c r="U1405" s="16"/>
      <c r="V1405" s="16"/>
    </row>
    <row r="1406" spans="3:22" x14ac:dyDescent="0.25">
      <c r="C1406" s="16"/>
      <c r="U1406" s="16"/>
      <c r="V1406" s="16"/>
    </row>
    <row r="1407" spans="3:22" x14ac:dyDescent="0.25">
      <c r="C1407" s="16"/>
      <c r="U1407" s="16"/>
      <c r="V1407" s="16"/>
    </row>
    <row r="1408" spans="3:22" x14ac:dyDescent="0.25">
      <c r="C1408" s="16"/>
      <c r="U1408" s="16"/>
      <c r="V1408" s="16"/>
    </row>
    <row r="1409" spans="3:22" x14ac:dyDescent="0.25">
      <c r="C1409" s="16"/>
      <c r="U1409" s="16"/>
      <c r="V1409" s="16"/>
    </row>
    <row r="1410" spans="3:22" x14ac:dyDescent="0.25">
      <c r="C1410" s="16"/>
      <c r="U1410" s="16"/>
      <c r="V1410" s="16"/>
    </row>
    <row r="1411" spans="3:22" x14ac:dyDescent="0.25">
      <c r="C1411" s="16"/>
      <c r="U1411" s="16"/>
      <c r="V1411" s="16"/>
    </row>
    <row r="1412" spans="3:22" x14ac:dyDescent="0.25">
      <c r="C1412" s="16"/>
      <c r="U1412" s="16"/>
      <c r="V1412" s="16"/>
    </row>
    <row r="1413" spans="3:22" x14ac:dyDescent="0.25">
      <c r="C1413" s="16"/>
      <c r="U1413" s="16"/>
      <c r="V1413" s="16"/>
    </row>
    <row r="1414" spans="3:22" x14ac:dyDescent="0.25">
      <c r="C1414" s="16"/>
      <c r="U1414" s="16"/>
      <c r="V1414" s="16"/>
    </row>
    <row r="1415" spans="3:22" x14ac:dyDescent="0.25">
      <c r="C1415" s="16"/>
      <c r="U1415" s="16"/>
      <c r="V1415" s="16"/>
    </row>
    <row r="1416" spans="3:22" x14ac:dyDescent="0.25">
      <c r="C1416" s="16"/>
      <c r="U1416" s="16"/>
      <c r="V1416" s="16"/>
    </row>
    <row r="1417" spans="3:22" x14ac:dyDescent="0.25">
      <c r="C1417" s="16"/>
      <c r="U1417" s="16"/>
      <c r="V1417" s="16"/>
    </row>
    <row r="1418" spans="3:22" x14ac:dyDescent="0.25">
      <c r="C1418" s="16"/>
      <c r="U1418" s="16"/>
      <c r="V1418" s="16"/>
    </row>
    <row r="1419" spans="3:22" x14ac:dyDescent="0.25">
      <c r="C1419" s="16"/>
      <c r="U1419" s="16"/>
      <c r="V1419" s="16"/>
    </row>
    <row r="1420" spans="3:22" x14ac:dyDescent="0.25">
      <c r="C1420" s="16"/>
      <c r="U1420" s="16"/>
      <c r="V1420" s="16"/>
    </row>
    <row r="1421" spans="3:22" x14ac:dyDescent="0.25">
      <c r="C1421" s="16"/>
      <c r="U1421" s="16"/>
      <c r="V1421" s="16"/>
    </row>
    <row r="1422" spans="3:22" x14ac:dyDescent="0.25">
      <c r="C1422" s="16"/>
      <c r="U1422" s="16"/>
      <c r="V1422" s="16"/>
    </row>
    <row r="1423" spans="3:22" x14ac:dyDescent="0.25">
      <c r="C1423" s="16"/>
      <c r="U1423" s="16"/>
      <c r="V1423" s="16"/>
    </row>
    <row r="1424" spans="3:22" x14ac:dyDescent="0.25">
      <c r="C1424" s="16"/>
      <c r="U1424" s="16"/>
      <c r="V1424" s="16"/>
    </row>
    <row r="1425" spans="3:22" x14ac:dyDescent="0.25">
      <c r="C1425" s="16"/>
      <c r="U1425" s="16"/>
      <c r="V1425" s="16"/>
    </row>
    <row r="1426" spans="3:22" x14ac:dyDescent="0.25">
      <c r="C1426" s="16"/>
      <c r="U1426" s="16"/>
      <c r="V1426" s="16"/>
    </row>
    <row r="1427" spans="3:22" x14ac:dyDescent="0.25">
      <c r="C1427" s="16"/>
      <c r="U1427" s="16"/>
      <c r="V1427" s="16"/>
    </row>
    <row r="1428" spans="3:22" x14ac:dyDescent="0.25">
      <c r="C1428" s="16"/>
      <c r="U1428" s="16"/>
      <c r="V1428" s="16"/>
    </row>
    <row r="1429" spans="3:22" x14ac:dyDescent="0.25">
      <c r="C1429" s="16"/>
      <c r="U1429" s="16"/>
      <c r="V1429" s="16"/>
    </row>
    <row r="1430" spans="3:22" x14ac:dyDescent="0.25">
      <c r="C1430" s="16"/>
      <c r="U1430" s="16"/>
      <c r="V1430" s="16"/>
    </row>
    <row r="1431" spans="3:22" x14ac:dyDescent="0.25">
      <c r="C1431" s="16"/>
      <c r="U1431" s="16"/>
      <c r="V1431" s="16"/>
    </row>
    <row r="1432" spans="3:22" x14ac:dyDescent="0.25">
      <c r="C1432" s="16"/>
      <c r="U1432" s="16"/>
      <c r="V1432" s="16"/>
    </row>
    <row r="1433" spans="3:22" x14ac:dyDescent="0.25">
      <c r="C1433" s="16"/>
      <c r="U1433" s="16"/>
      <c r="V1433" s="16"/>
    </row>
    <row r="1434" spans="3:22" x14ac:dyDescent="0.25">
      <c r="C1434" s="16"/>
      <c r="U1434" s="16"/>
      <c r="V1434" s="16"/>
    </row>
    <row r="1435" spans="3:22" x14ac:dyDescent="0.25">
      <c r="C1435" s="16"/>
      <c r="U1435" s="16"/>
      <c r="V1435" s="16"/>
    </row>
    <row r="1436" spans="3:22" x14ac:dyDescent="0.25">
      <c r="C1436" s="16"/>
      <c r="U1436" s="16"/>
      <c r="V1436" s="16"/>
    </row>
    <row r="1437" spans="3:22" x14ac:dyDescent="0.25">
      <c r="C1437" s="16"/>
      <c r="U1437" s="16"/>
      <c r="V1437" s="16"/>
    </row>
    <row r="1438" spans="3:22" x14ac:dyDescent="0.25">
      <c r="C1438" s="16"/>
      <c r="U1438" s="16"/>
      <c r="V1438" s="16"/>
    </row>
    <row r="1439" spans="3:22" x14ac:dyDescent="0.25">
      <c r="C1439" s="16"/>
      <c r="U1439" s="16"/>
      <c r="V1439" s="16"/>
    </row>
    <row r="1440" spans="3:22" x14ac:dyDescent="0.25">
      <c r="C1440" s="16"/>
      <c r="U1440" s="16"/>
      <c r="V1440" s="16"/>
    </row>
    <row r="1441" spans="3:22" x14ac:dyDescent="0.25">
      <c r="C1441" s="16"/>
      <c r="U1441" s="16"/>
      <c r="V1441" s="16"/>
    </row>
    <row r="1442" spans="3:22" x14ac:dyDescent="0.25">
      <c r="C1442" s="16"/>
      <c r="U1442" s="16"/>
      <c r="V1442" s="16"/>
    </row>
    <row r="1443" spans="3:22" x14ac:dyDescent="0.25">
      <c r="C1443" s="16"/>
      <c r="U1443" s="16"/>
      <c r="V1443" s="16"/>
    </row>
    <row r="1444" spans="3:22" x14ac:dyDescent="0.25">
      <c r="C1444" s="16"/>
      <c r="U1444" s="16"/>
      <c r="V1444" s="16"/>
    </row>
    <row r="1445" spans="3:22" x14ac:dyDescent="0.25">
      <c r="C1445" s="16"/>
      <c r="U1445" s="16"/>
      <c r="V1445" s="16"/>
    </row>
    <row r="1446" spans="3:22" x14ac:dyDescent="0.25">
      <c r="C1446" s="16"/>
      <c r="U1446" s="16"/>
      <c r="V1446" s="16"/>
    </row>
    <row r="1447" spans="3:22" x14ac:dyDescent="0.25">
      <c r="C1447" s="16"/>
      <c r="U1447" s="16"/>
      <c r="V1447" s="16"/>
    </row>
    <row r="1448" spans="3:22" x14ac:dyDescent="0.25">
      <c r="C1448" s="16"/>
      <c r="U1448" s="16"/>
      <c r="V1448" s="16"/>
    </row>
    <row r="1449" spans="3:22" x14ac:dyDescent="0.25">
      <c r="C1449" s="16"/>
      <c r="U1449" s="16"/>
      <c r="V1449" s="16"/>
    </row>
    <row r="1450" spans="3:22" x14ac:dyDescent="0.25">
      <c r="C1450" s="16"/>
      <c r="U1450" s="16"/>
      <c r="V1450" s="16"/>
    </row>
    <row r="1451" spans="3:22" x14ac:dyDescent="0.25">
      <c r="C1451" s="16"/>
      <c r="U1451" s="16"/>
      <c r="V1451" s="16"/>
    </row>
    <row r="1452" spans="3:22" x14ac:dyDescent="0.25">
      <c r="C1452" s="16"/>
      <c r="U1452" s="16"/>
      <c r="V1452" s="16"/>
    </row>
    <row r="1453" spans="3:22" x14ac:dyDescent="0.25">
      <c r="C1453" s="16"/>
      <c r="U1453" s="16"/>
      <c r="V1453" s="16"/>
    </row>
    <row r="1454" spans="3:22" x14ac:dyDescent="0.25">
      <c r="C1454" s="16"/>
      <c r="U1454" s="16"/>
      <c r="V1454" s="16"/>
    </row>
    <row r="1455" spans="3:22" x14ac:dyDescent="0.25">
      <c r="C1455" s="16"/>
      <c r="U1455" s="16"/>
      <c r="V1455" s="16"/>
    </row>
    <row r="1456" spans="3:22" x14ac:dyDescent="0.25">
      <c r="C1456" s="16"/>
      <c r="U1456" s="16"/>
      <c r="V1456" s="16"/>
    </row>
    <row r="1457" spans="3:22" x14ac:dyDescent="0.25">
      <c r="C1457" s="16"/>
      <c r="U1457" s="16"/>
      <c r="V1457" s="16"/>
    </row>
    <row r="1458" spans="3:22" x14ac:dyDescent="0.25">
      <c r="C1458" s="16"/>
      <c r="U1458" s="16"/>
      <c r="V1458" s="16"/>
    </row>
    <row r="1459" spans="3:22" x14ac:dyDescent="0.25">
      <c r="C1459" s="16"/>
      <c r="U1459" s="16"/>
      <c r="V1459" s="16"/>
    </row>
    <row r="1460" spans="3:22" x14ac:dyDescent="0.25">
      <c r="C1460" s="16"/>
      <c r="U1460" s="16"/>
      <c r="V1460" s="16"/>
    </row>
    <row r="1461" spans="3:22" x14ac:dyDescent="0.25">
      <c r="C1461" s="16"/>
      <c r="U1461" s="16"/>
      <c r="V1461" s="16"/>
    </row>
    <row r="1462" spans="3:22" x14ac:dyDescent="0.25">
      <c r="C1462" s="16"/>
      <c r="U1462" s="16"/>
      <c r="V1462" s="16"/>
    </row>
    <row r="1463" spans="3:22" x14ac:dyDescent="0.25">
      <c r="C1463" s="16"/>
      <c r="U1463" s="16"/>
      <c r="V1463" s="16"/>
    </row>
    <row r="1464" spans="3:22" x14ac:dyDescent="0.25">
      <c r="C1464" s="16"/>
      <c r="U1464" s="16"/>
      <c r="V1464" s="16"/>
    </row>
    <row r="1465" spans="3:22" x14ac:dyDescent="0.25">
      <c r="C1465" s="16"/>
      <c r="U1465" s="16"/>
      <c r="V1465" s="16"/>
    </row>
    <row r="1466" spans="3:22" x14ac:dyDescent="0.25">
      <c r="C1466" s="16"/>
      <c r="U1466" s="16"/>
      <c r="V1466" s="16"/>
    </row>
    <row r="1467" spans="3:22" x14ac:dyDescent="0.25">
      <c r="C1467" s="16"/>
      <c r="U1467" s="16"/>
      <c r="V1467" s="16"/>
    </row>
    <row r="1468" spans="3:22" x14ac:dyDescent="0.25">
      <c r="C1468" s="16"/>
      <c r="U1468" s="16"/>
      <c r="V1468" s="16"/>
    </row>
    <row r="1469" spans="3:22" x14ac:dyDescent="0.25">
      <c r="C1469" s="16"/>
      <c r="U1469" s="16"/>
      <c r="V1469" s="16"/>
    </row>
    <row r="1470" spans="3:22" x14ac:dyDescent="0.25">
      <c r="C1470" s="16"/>
      <c r="U1470" s="16"/>
      <c r="V1470" s="16"/>
    </row>
    <row r="1471" spans="3:22" x14ac:dyDescent="0.25">
      <c r="C1471" s="16"/>
      <c r="U1471" s="16"/>
      <c r="V1471" s="16"/>
    </row>
    <row r="1472" spans="3:22" x14ac:dyDescent="0.25">
      <c r="C1472" s="16"/>
      <c r="U1472" s="16"/>
      <c r="V1472" s="16"/>
    </row>
    <row r="1473" spans="3:22" x14ac:dyDescent="0.25">
      <c r="C1473" s="16"/>
      <c r="U1473" s="16"/>
      <c r="V1473" s="16"/>
    </row>
    <row r="1474" spans="3:22" x14ac:dyDescent="0.25">
      <c r="C1474" s="16"/>
      <c r="U1474" s="16"/>
      <c r="V1474" s="16"/>
    </row>
    <row r="1475" spans="3:22" x14ac:dyDescent="0.25">
      <c r="C1475" s="16"/>
      <c r="U1475" s="16"/>
      <c r="V1475" s="16"/>
    </row>
    <row r="1476" spans="3:22" x14ac:dyDescent="0.25">
      <c r="C1476" s="16"/>
      <c r="U1476" s="16"/>
      <c r="V1476" s="16"/>
    </row>
    <row r="1477" spans="3:22" x14ac:dyDescent="0.25">
      <c r="C1477" s="16"/>
      <c r="U1477" s="16"/>
      <c r="V1477" s="16"/>
    </row>
    <row r="1478" spans="3:22" x14ac:dyDescent="0.25">
      <c r="C1478" s="16"/>
      <c r="U1478" s="16"/>
      <c r="V1478" s="16"/>
    </row>
    <row r="1479" spans="3:22" x14ac:dyDescent="0.25">
      <c r="C1479" s="16"/>
      <c r="U1479" s="16"/>
      <c r="V1479" s="16"/>
    </row>
    <row r="1480" spans="3:22" x14ac:dyDescent="0.25">
      <c r="C1480" s="16"/>
      <c r="U1480" s="16"/>
      <c r="V1480" s="16"/>
    </row>
    <row r="1481" spans="3:22" x14ac:dyDescent="0.25">
      <c r="C1481" s="16"/>
      <c r="U1481" s="16"/>
      <c r="V1481" s="16"/>
    </row>
    <row r="1482" spans="3:22" x14ac:dyDescent="0.25">
      <c r="C1482" s="16"/>
      <c r="U1482" s="16"/>
      <c r="V1482" s="16"/>
    </row>
    <row r="1483" spans="3:22" x14ac:dyDescent="0.25">
      <c r="C1483" s="16"/>
      <c r="U1483" s="16"/>
      <c r="V1483" s="16"/>
    </row>
    <row r="1484" spans="3:22" x14ac:dyDescent="0.25">
      <c r="C1484" s="16"/>
      <c r="U1484" s="16"/>
      <c r="V1484" s="16"/>
    </row>
    <row r="1485" spans="3:22" x14ac:dyDescent="0.25">
      <c r="C1485" s="16"/>
      <c r="U1485" s="16"/>
      <c r="V1485" s="16"/>
    </row>
    <row r="1486" spans="3:22" x14ac:dyDescent="0.25">
      <c r="C1486" s="16"/>
      <c r="U1486" s="16"/>
      <c r="V1486" s="16"/>
    </row>
    <row r="1487" spans="3:22" x14ac:dyDescent="0.25">
      <c r="C1487" s="16"/>
      <c r="U1487" s="16"/>
      <c r="V1487" s="16"/>
    </row>
    <row r="1488" spans="3:22" x14ac:dyDescent="0.25">
      <c r="C1488" s="16"/>
      <c r="U1488" s="16"/>
      <c r="V1488" s="16"/>
    </row>
    <row r="1489" spans="3:22" x14ac:dyDescent="0.25">
      <c r="C1489" s="16"/>
      <c r="U1489" s="16"/>
      <c r="V1489" s="16"/>
    </row>
    <row r="1490" spans="3:22" x14ac:dyDescent="0.25">
      <c r="C1490" s="16"/>
      <c r="U1490" s="16"/>
      <c r="V1490" s="16"/>
    </row>
    <row r="1491" spans="3:22" x14ac:dyDescent="0.25">
      <c r="C1491" s="16"/>
      <c r="U1491" s="16"/>
      <c r="V1491" s="16"/>
    </row>
  </sheetData>
  <autoFilter ref="A1:OJ48" xr:uid="{40326886-1332-4AEE-A53C-62FE93C8717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F475D-5665-4AC3-83C5-C2731B34E947}">
  <dimension ref="A1:AI1491"/>
  <sheetViews>
    <sheetView workbookViewId="0">
      <pane ySplit="1" topLeftCell="A2" activePane="bottomLeft" state="frozenSplit"/>
      <selection pane="bottomLeft" activeCell="A2" sqref="A2"/>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13.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3" width="40.7109375" style="17" customWidth="1"/>
    <col min="24" max="24" width="15.7109375" style="18" customWidth="1"/>
    <col min="25" max="25" width="25.7109375" style="17" customWidth="1"/>
    <col min="26" max="26" width="15.7109375" style="18" customWidth="1"/>
    <col min="27" max="27" width="25.7109375" style="17" customWidth="1"/>
    <col min="28" max="28" width="15.7109375" style="18" customWidth="1"/>
    <col min="29" max="29" width="25.7109375" style="17" customWidth="1"/>
    <col min="30" max="30" width="15.7109375" style="18" customWidth="1"/>
    <col min="31" max="31" width="25.7109375" style="17" customWidth="1"/>
    <col min="32" max="32" width="15.7109375" style="18" customWidth="1"/>
    <col min="33" max="33" width="25.7109375" style="17" customWidth="1"/>
    <col min="34" max="34" width="9.7109375" style="18" customWidth="1"/>
    <col min="35" max="35" width="15.7109375" style="17" customWidth="1"/>
    <col min="36" max="16384" width="11.42578125" style="12"/>
  </cols>
  <sheetData>
    <row r="1" spans="1:35"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233</v>
      </c>
      <c r="X1" s="10" t="s">
        <v>234</v>
      </c>
      <c r="Y1" s="10" t="s">
        <v>235</v>
      </c>
      <c r="Z1" s="10" t="s">
        <v>236</v>
      </c>
      <c r="AA1" s="10" t="s">
        <v>237</v>
      </c>
      <c r="AB1" s="10" t="s">
        <v>238</v>
      </c>
      <c r="AC1" s="10" t="s">
        <v>239</v>
      </c>
      <c r="AD1" s="10" t="s">
        <v>240</v>
      </c>
      <c r="AE1" s="10" t="s">
        <v>241</v>
      </c>
      <c r="AF1" s="10" t="s">
        <v>242</v>
      </c>
      <c r="AG1" s="10" t="s">
        <v>243</v>
      </c>
      <c r="AH1" s="10" t="s">
        <v>72</v>
      </c>
      <c r="AI1" s="10" t="s">
        <v>73</v>
      </c>
    </row>
    <row r="2" spans="1:35" ht="75" x14ac:dyDescent="0.25">
      <c r="A2" s="13" t="s">
        <v>74</v>
      </c>
      <c r="B2" s="13" t="s">
        <v>75</v>
      </c>
      <c r="C2" s="14">
        <v>43571.724305555559</v>
      </c>
      <c r="D2" s="13" t="s">
        <v>76</v>
      </c>
      <c r="E2" s="15" t="s">
        <v>77</v>
      </c>
      <c r="F2" s="13" t="s">
        <v>78</v>
      </c>
      <c r="G2" s="15" t="s">
        <v>79</v>
      </c>
      <c r="H2" s="13" t="s">
        <v>80</v>
      </c>
      <c r="I2" s="15" t="s">
        <v>81</v>
      </c>
      <c r="J2" s="15" t="s">
        <v>82</v>
      </c>
      <c r="K2" s="15" t="s">
        <v>83</v>
      </c>
      <c r="L2" s="13" t="s">
        <v>84</v>
      </c>
      <c r="M2" s="15" t="s">
        <v>85</v>
      </c>
      <c r="N2" s="13" t="s">
        <v>86</v>
      </c>
      <c r="O2" s="15"/>
      <c r="P2" s="15"/>
      <c r="Q2" s="15" t="s">
        <v>87</v>
      </c>
      <c r="R2" s="13" t="s">
        <v>88</v>
      </c>
      <c r="S2" s="13" t="s">
        <v>89</v>
      </c>
      <c r="T2" s="13" t="s">
        <v>90</v>
      </c>
      <c r="U2" s="14">
        <v>40725</v>
      </c>
      <c r="V2" s="14"/>
      <c r="W2" s="15" t="s">
        <v>244</v>
      </c>
      <c r="X2" s="13" t="s">
        <v>245</v>
      </c>
      <c r="Y2" s="15" t="str">
        <f>VLOOKUP(X2,'Axe 2 Règles de gestion'!$D$2:$F$51,3, FALSE)</f>
        <v>Rémunération : L'agent continue de percevoir sa rémunération.</v>
      </c>
      <c r="Z2" s="13" t="s">
        <v>247</v>
      </c>
      <c r="AA2" s="15" t="str">
        <f>VLOOKUP(Z2,'Axe 2 Règles de gestion'!$D$2:$F$51,3, FALSE)</f>
        <v>Carrière : L'agent conserve ses droits à l'avancement d'échelon et à l'avancement de grade en totalité.</v>
      </c>
      <c r="AB2" s="13" t="s">
        <v>249</v>
      </c>
      <c r="AC2" s="15" t="str">
        <f>VLOOKUP(AB2,'Axe 2 Règles de gestion'!$D$2:$F$51,3, FALSE)</f>
        <v>Congés annuels : L'agent conserve son droit à congé annuel.</v>
      </c>
      <c r="AD2" s="13" t="s">
        <v>251</v>
      </c>
      <c r="AE2" s="15" t="str">
        <f>VLOOKUP(AD2,'Axe 2 Règles de gestion'!$D$2:$F$51,3, FALSE)</f>
        <v>Retraite : Le congé est considéré comme une période d'activité pour la retraite.</v>
      </c>
      <c r="AF2" s="13"/>
      <c r="AG2" s="15"/>
      <c r="AH2" s="13"/>
      <c r="AI2" s="15"/>
    </row>
    <row r="3" spans="1:35" ht="45" x14ac:dyDescent="0.25">
      <c r="A3" s="13" t="s">
        <v>74</v>
      </c>
      <c r="B3" s="13" t="s">
        <v>75</v>
      </c>
      <c r="C3" s="14">
        <v>43571.649305555555</v>
      </c>
      <c r="D3" s="13" t="s">
        <v>76</v>
      </c>
      <c r="E3" s="15" t="s">
        <v>77</v>
      </c>
      <c r="F3" s="13" t="s">
        <v>78</v>
      </c>
      <c r="G3" s="15" t="s">
        <v>79</v>
      </c>
      <c r="H3" s="13" t="s">
        <v>80</v>
      </c>
      <c r="I3" s="15" t="s">
        <v>81</v>
      </c>
      <c r="J3" s="15" t="s">
        <v>82</v>
      </c>
      <c r="K3" s="15" t="s">
        <v>83</v>
      </c>
      <c r="L3" s="13" t="s">
        <v>128</v>
      </c>
      <c r="M3" s="15" t="s">
        <v>129</v>
      </c>
      <c r="N3" s="13" t="s">
        <v>130</v>
      </c>
      <c r="O3" s="15"/>
      <c r="P3" s="15"/>
      <c r="Q3" s="15" t="s">
        <v>87</v>
      </c>
      <c r="R3" s="13" t="s">
        <v>88</v>
      </c>
      <c r="S3" s="13" t="s">
        <v>89</v>
      </c>
      <c r="T3" s="13" t="s">
        <v>90</v>
      </c>
      <c r="U3" s="14">
        <v>40725</v>
      </c>
      <c r="V3" s="14"/>
      <c r="W3" s="15"/>
      <c r="X3" s="13"/>
      <c r="Y3" s="15"/>
      <c r="Z3" s="13"/>
      <c r="AA3" s="15"/>
      <c r="AB3" s="13"/>
      <c r="AC3" s="15"/>
      <c r="AD3" s="13"/>
      <c r="AE3" s="15"/>
      <c r="AF3" s="13"/>
      <c r="AG3" s="15"/>
      <c r="AH3" s="13"/>
      <c r="AI3" s="15"/>
    </row>
    <row r="4" spans="1:35" ht="45" x14ac:dyDescent="0.25">
      <c r="A4" s="13" t="s">
        <v>134</v>
      </c>
      <c r="B4" s="13" t="s">
        <v>135</v>
      </c>
      <c r="C4" s="14">
        <v>44886.486805555556</v>
      </c>
      <c r="D4" s="13" t="s">
        <v>76</v>
      </c>
      <c r="E4" s="15" t="s">
        <v>77</v>
      </c>
      <c r="F4" s="13" t="s">
        <v>78</v>
      </c>
      <c r="G4" s="15" t="s">
        <v>79</v>
      </c>
      <c r="H4" s="13" t="s">
        <v>80</v>
      </c>
      <c r="I4" s="15" t="s">
        <v>81</v>
      </c>
      <c r="J4" s="15" t="s">
        <v>82</v>
      </c>
      <c r="K4" s="15" t="s">
        <v>83</v>
      </c>
      <c r="L4" s="13" t="s">
        <v>84</v>
      </c>
      <c r="M4" s="15" t="s">
        <v>85</v>
      </c>
      <c r="N4" s="13" t="s">
        <v>86</v>
      </c>
      <c r="O4" s="15"/>
      <c r="P4" s="15"/>
      <c r="Q4" s="15" t="s">
        <v>136</v>
      </c>
      <c r="R4" s="13" t="s">
        <v>137</v>
      </c>
      <c r="S4" s="13" t="s">
        <v>89</v>
      </c>
      <c r="T4" s="13" t="s">
        <v>138</v>
      </c>
      <c r="U4" s="14">
        <v>43831</v>
      </c>
      <c r="V4" s="14"/>
      <c r="W4" s="15"/>
      <c r="X4" s="13"/>
      <c r="Y4" s="15"/>
      <c r="Z4" s="13"/>
      <c r="AA4" s="15"/>
      <c r="AB4" s="13"/>
      <c r="AC4" s="15"/>
      <c r="AD4" s="13"/>
      <c r="AE4" s="15"/>
      <c r="AF4" s="13"/>
      <c r="AG4" s="15"/>
      <c r="AH4" s="13"/>
      <c r="AI4" s="15"/>
    </row>
    <row r="5" spans="1:35" ht="45" x14ac:dyDescent="0.25">
      <c r="A5" s="13" t="s">
        <v>134</v>
      </c>
      <c r="B5" s="13" t="s">
        <v>135</v>
      </c>
      <c r="C5" s="14">
        <v>44886.486805555556</v>
      </c>
      <c r="D5" s="13" t="s">
        <v>76</v>
      </c>
      <c r="E5" s="15" t="s">
        <v>77</v>
      </c>
      <c r="F5" s="13" t="s">
        <v>78</v>
      </c>
      <c r="G5" s="15" t="s">
        <v>79</v>
      </c>
      <c r="H5" s="13" t="s">
        <v>80</v>
      </c>
      <c r="I5" s="15" t="s">
        <v>81</v>
      </c>
      <c r="J5" s="15" t="s">
        <v>82</v>
      </c>
      <c r="K5" s="15" t="s">
        <v>83</v>
      </c>
      <c r="L5" s="13" t="s">
        <v>128</v>
      </c>
      <c r="M5" s="15" t="s">
        <v>129</v>
      </c>
      <c r="N5" s="13" t="s">
        <v>130</v>
      </c>
      <c r="O5" s="15"/>
      <c r="P5" s="15"/>
      <c r="Q5" s="15" t="s">
        <v>136</v>
      </c>
      <c r="R5" s="13" t="s">
        <v>137</v>
      </c>
      <c r="S5" s="13" t="s">
        <v>89</v>
      </c>
      <c r="T5" s="13" t="s">
        <v>138</v>
      </c>
      <c r="U5" s="14">
        <v>43831</v>
      </c>
      <c r="V5" s="14"/>
      <c r="W5" s="15"/>
      <c r="X5" s="13"/>
      <c r="Y5" s="15"/>
      <c r="Z5" s="13"/>
      <c r="AA5" s="15"/>
      <c r="AB5" s="13"/>
      <c r="AC5" s="15"/>
      <c r="AD5" s="13"/>
      <c r="AE5" s="15"/>
      <c r="AF5" s="13"/>
      <c r="AG5" s="15"/>
      <c r="AH5" s="13"/>
      <c r="AI5" s="15"/>
    </row>
    <row r="6" spans="1:35" ht="45" x14ac:dyDescent="0.25">
      <c r="A6" s="13" t="s">
        <v>134</v>
      </c>
      <c r="B6" s="13" t="s">
        <v>75</v>
      </c>
      <c r="C6" s="14">
        <v>44832.520138888889</v>
      </c>
      <c r="D6" s="13" t="s">
        <v>76</v>
      </c>
      <c r="E6" s="15" t="s">
        <v>77</v>
      </c>
      <c r="F6" s="13" t="s">
        <v>78</v>
      </c>
      <c r="G6" s="15" t="s">
        <v>79</v>
      </c>
      <c r="H6" s="13" t="s">
        <v>80</v>
      </c>
      <c r="I6" s="15" t="s">
        <v>81</v>
      </c>
      <c r="J6" s="15" t="s">
        <v>82</v>
      </c>
      <c r="K6" s="15" t="s">
        <v>83</v>
      </c>
      <c r="L6" s="13" t="s">
        <v>84</v>
      </c>
      <c r="M6" s="15" t="s">
        <v>85</v>
      </c>
      <c r="N6" s="13" t="s">
        <v>86</v>
      </c>
      <c r="O6" s="15"/>
      <c r="P6" s="15"/>
      <c r="Q6" s="15" t="s">
        <v>139</v>
      </c>
      <c r="R6" s="13" t="s">
        <v>140</v>
      </c>
      <c r="S6" s="13" t="s">
        <v>89</v>
      </c>
      <c r="T6" s="13" t="s">
        <v>90</v>
      </c>
      <c r="U6" s="14">
        <v>40725</v>
      </c>
      <c r="V6" s="14">
        <v>44677</v>
      </c>
      <c r="W6" s="15" t="s">
        <v>253</v>
      </c>
      <c r="X6" s="13" t="s">
        <v>245</v>
      </c>
      <c r="Y6" s="15" t="str">
        <f>VLOOKUP(X6,'Axe 2 Règles de gestion'!$D$2:$F$51,3, FALSE)</f>
        <v>Rémunération : L'agent continue de percevoir sa rémunération.</v>
      </c>
      <c r="Z6" s="13" t="s">
        <v>249</v>
      </c>
      <c r="AA6" s="15" t="str">
        <f>VLOOKUP(Z6,'Axe 2 Règles de gestion'!$D$2:$F$51,3, FALSE)</f>
        <v>Congés annuels : L'agent conserve son droit à congé annuel.</v>
      </c>
      <c r="AB6" s="13"/>
      <c r="AC6" s="15"/>
      <c r="AD6" s="13"/>
      <c r="AE6" s="15"/>
      <c r="AF6" s="13"/>
      <c r="AG6" s="15"/>
      <c r="AH6" s="13"/>
      <c r="AI6" s="15"/>
    </row>
    <row r="7" spans="1:35" ht="45" x14ac:dyDescent="0.25">
      <c r="A7" s="13" t="s">
        <v>134</v>
      </c>
      <c r="B7" s="13" t="s">
        <v>135</v>
      </c>
      <c r="C7" s="14">
        <v>44832.520833333336</v>
      </c>
      <c r="D7" s="13" t="s">
        <v>76</v>
      </c>
      <c r="E7" s="15" t="s">
        <v>77</v>
      </c>
      <c r="F7" s="13" t="s">
        <v>78</v>
      </c>
      <c r="G7" s="15" t="s">
        <v>79</v>
      </c>
      <c r="H7" s="13" t="s">
        <v>80</v>
      </c>
      <c r="I7" s="15" t="s">
        <v>81</v>
      </c>
      <c r="J7" s="15" t="s">
        <v>82</v>
      </c>
      <c r="K7" s="15" t="s">
        <v>83</v>
      </c>
      <c r="L7" s="13" t="s">
        <v>84</v>
      </c>
      <c r="M7" s="15" t="s">
        <v>85</v>
      </c>
      <c r="N7" s="13" t="s">
        <v>86</v>
      </c>
      <c r="O7" s="15"/>
      <c r="P7" s="15"/>
      <c r="Q7" s="15" t="s">
        <v>139</v>
      </c>
      <c r="R7" s="13" t="s">
        <v>140</v>
      </c>
      <c r="S7" s="13" t="s">
        <v>89</v>
      </c>
      <c r="T7" s="13" t="s">
        <v>90</v>
      </c>
      <c r="U7" s="14">
        <v>44678</v>
      </c>
      <c r="V7" s="14"/>
      <c r="W7" s="15" t="s">
        <v>253</v>
      </c>
      <c r="X7" s="13" t="s">
        <v>245</v>
      </c>
      <c r="Y7" s="15" t="str">
        <f>VLOOKUP(X7,'Axe 2 Règles de gestion'!$D$2:$F$51,3, FALSE)</f>
        <v>Rémunération : L'agent continue de percevoir sa rémunération.</v>
      </c>
      <c r="Z7" s="13" t="s">
        <v>249</v>
      </c>
      <c r="AA7" s="15" t="str">
        <f>VLOOKUP(Z7,'Axe 2 Règles de gestion'!$D$2:$F$51,3, FALSE)</f>
        <v>Congés annuels : L'agent conserve son droit à congé annuel.</v>
      </c>
      <c r="AB7" s="13"/>
      <c r="AC7" s="15"/>
      <c r="AD7" s="13"/>
      <c r="AE7" s="15"/>
      <c r="AF7" s="13"/>
      <c r="AG7" s="15"/>
      <c r="AH7" s="13"/>
      <c r="AI7" s="15"/>
    </row>
    <row r="8" spans="1:35" ht="45" x14ac:dyDescent="0.25">
      <c r="A8" s="13" t="s">
        <v>74</v>
      </c>
      <c r="B8" s="13" t="s">
        <v>75</v>
      </c>
      <c r="C8" s="14">
        <v>43572.461805555555</v>
      </c>
      <c r="D8" s="13" t="s">
        <v>76</v>
      </c>
      <c r="E8" s="15" t="s">
        <v>77</v>
      </c>
      <c r="F8" s="13" t="s">
        <v>78</v>
      </c>
      <c r="G8" s="15" t="s">
        <v>79</v>
      </c>
      <c r="H8" s="13" t="s">
        <v>80</v>
      </c>
      <c r="I8" s="15" t="s">
        <v>81</v>
      </c>
      <c r="J8" s="15" t="s">
        <v>82</v>
      </c>
      <c r="K8" s="15" t="s">
        <v>83</v>
      </c>
      <c r="L8" s="13" t="s">
        <v>128</v>
      </c>
      <c r="M8" s="15" t="s">
        <v>129</v>
      </c>
      <c r="N8" s="13" t="s">
        <v>130</v>
      </c>
      <c r="O8" s="15"/>
      <c r="P8" s="15"/>
      <c r="Q8" s="15" t="s">
        <v>139</v>
      </c>
      <c r="R8" s="13" t="s">
        <v>140</v>
      </c>
      <c r="S8" s="13" t="s">
        <v>89</v>
      </c>
      <c r="T8" s="13" t="s">
        <v>90</v>
      </c>
      <c r="U8" s="14">
        <v>40725</v>
      </c>
      <c r="V8" s="14"/>
      <c r="W8" s="15"/>
      <c r="X8" s="13"/>
      <c r="Y8" s="15"/>
      <c r="Z8" s="13"/>
      <c r="AA8" s="15"/>
      <c r="AB8" s="13"/>
      <c r="AC8" s="15"/>
      <c r="AD8" s="13"/>
      <c r="AE8" s="15"/>
      <c r="AF8" s="13"/>
      <c r="AG8" s="15"/>
      <c r="AH8" s="13"/>
      <c r="AI8" s="15"/>
    </row>
    <row r="9" spans="1:35" ht="90" x14ac:dyDescent="0.25">
      <c r="A9" s="13" t="s">
        <v>74</v>
      </c>
      <c r="B9" s="13" t="s">
        <v>75</v>
      </c>
      <c r="C9" s="14">
        <v>43571.724999999999</v>
      </c>
      <c r="D9" s="13" t="s">
        <v>76</v>
      </c>
      <c r="E9" s="15" t="s">
        <v>77</v>
      </c>
      <c r="F9" s="13" t="s">
        <v>78</v>
      </c>
      <c r="G9" s="15" t="s">
        <v>79</v>
      </c>
      <c r="H9" s="13" t="s">
        <v>80</v>
      </c>
      <c r="I9" s="15" t="s">
        <v>81</v>
      </c>
      <c r="J9" s="15" t="s">
        <v>82</v>
      </c>
      <c r="K9" s="15" t="s">
        <v>83</v>
      </c>
      <c r="L9" s="13" t="s">
        <v>84</v>
      </c>
      <c r="M9" s="15" t="s">
        <v>85</v>
      </c>
      <c r="N9" s="13" t="s">
        <v>86</v>
      </c>
      <c r="O9" s="15"/>
      <c r="P9" s="15"/>
      <c r="Q9" s="15" t="s">
        <v>157</v>
      </c>
      <c r="R9" s="13" t="s">
        <v>158</v>
      </c>
      <c r="S9" s="13" t="s">
        <v>89</v>
      </c>
      <c r="T9" s="13" t="s">
        <v>90</v>
      </c>
      <c r="U9" s="14">
        <v>40725</v>
      </c>
      <c r="V9" s="14"/>
      <c r="W9" s="15" t="s">
        <v>254</v>
      </c>
      <c r="X9" s="13" t="s">
        <v>245</v>
      </c>
      <c r="Y9" s="15" t="str">
        <f>VLOOKUP(X9,'Axe 2 Règles de gestion'!$D$2:$F$51,3, FALSE)</f>
        <v>Rémunération : L'agent continue de percevoir sa rémunération.</v>
      </c>
      <c r="Z9" s="13" t="s">
        <v>255</v>
      </c>
      <c r="AA9" s="15" t="str">
        <f>VLOOKUP(Z9,'Axe 2 Règles de gestion'!$D$2:$F$51,3, FALSE)</f>
        <v>Carrière : L'agent conserve ses droits à l'avancement d'échelon.</v>
      </c>
      <c r="AB9" s="13" t="s">
        <v>257</v>
      </c>
      <c r="AC9" s="15" t="str">
        <f>VLOOKUP(AB9,'Axe 2 Règles de gestion'!$D$2:$F$51,3, FALSE)</f>
        <v>Stage : La date de fin de stage est reportée du nombre de jours de congé que l'agent a utilisés.</v>
      </c>
      <c r="AD9" s="13" t="s">
        <v>259</v>
      </c>
      <c r="AE9" s="15" t="str">
        <f>VLOOKUP(AD9,'Axe 2 Règles de gestion'!$D$2:$F$51,3, FALSE)</f>
        <v>Titularisation : La date de la titularisation prend effet au lendemain de la date de fin de stage ; date repoussée du nombre de jours utilisés de congé.</v>
      </c>
      <c r="AF9" s="13" t="s">
        <v>249</v>
      </c>
      <c r="AG9" s="15" t="str">
        <f>VLOOKUP(AF9,'Axe 2 Règles de gestion'!$D$2:$F$51,3, FALSE)</f>
        <v>Congés annuels : L'agent conserve son droit à congé annuel.</v>
      </c>
      <c r="AH9" s="13"/>
      <c r="AI9" s="15"/>
    </row>
    <row r="10" spans="1:35" ht="45" x14ac:dyDescent="0.25">
      <c r="A10" s="13" t="s">
        <v>74</v>
      </c>
      <c r="B10" s="13" t="s">
        <v>75</v>
      </c>
      <c r="C10" s="14">
        <v>43572.461111111108</v>
      </c>
      <c r="D10" s="13" t="s">
        <v>76</v>
      </c>
      <c r="E10" s="15" t="s">
        <v>77</v>
      </c>
      <c r="F10" s="13" t="s">
        <v>78</v>
      </c>
      <c r="G10" s="15" t="s">
        <v>79</v>
      </c>
      <c r="H10" s="13" t="s">
        <v>80</v>
      </c>
      <c r="I10" s="15" t="s">
        <v>81</v>
      </c>
      <c r="J10" s="15" t="s">
        <v>82</v>
      </c>
      <c r="K10" s="15" t="s">
        <v>83</v>
      </c>
      <c r="L10" s="13" t="s">
        <v>128</v>
      </c>
      <c r="M10" s="15" t="s">
        <v>129</v>
      </c>
      <c r="N10" s="13" t="s">
        <v>130</v>
      </c>
      <c r="O10" s="15"/>
      <c r="P10" s="15"/>
      <c r="Q10" s="15" t="s">
        <v>157</v>
      </c>
      <c r="R10" s="13" t="s">
        <v>158</v>
      </c>
      <c r="S10" s="13" t="s">
        <v>89</v>
      </c>
      <c r="T10" s="13" t="s">
        <v>90</v>
      </c>
      <c r="U10" s="14">
        <v>40725</v>
      </c>
      <c r="V10" s="14"/>
      <c r="W10" s="15"/>
      <c r="X10" s="13"/>
      <c r="Y10" s="15"/>
      <c r="Z10" s="13"/>
      <c r="AA10" s="15"/>
      <c r="AB10" s="13"/>
      <c r="AC10" s="15"/>
      <c r="AD10" s="13"/>
      <c r="AE10" s="15"/>
      <c r="AF10" s="13"/>
      <c r="AG10" s="15"/>
      <c r="AH10" s="13"/>
      <c r="AI10" s="15"/>
    </row>
    <row r="11" spans="1:35" ht="45" x14ac:dyDescent="0.25">
      <c r="A11" s="13" t="s">
        <v>74</v>
      </c>
      <c r="B11" s="13" t="s">
        <v>75</v>
      </c>
      <c r="C11" s="14">
        <v>43571.732638888891</v>
      </c>
      <c r="D11" s="13" t="s">
        <v>76</v>
      </c>
      <c r="E11" s="15" t="s">
        <v>77</v>
      </c>
      <c r="F11" s="13" t="s">
        <v>78</v>
      </c>
      <c r="G11" s="15" t="s">
        <v>79</v>
      </c>
      <c r="H11" s="13" t="s">
        <v>80</v>
      </c>
      <c r="I11" s="15" t="s">
        <v>81</v>
      </c>
      <c r="J11" s="15" t="s">
        <v>82</v>
      </c>
      <c r="K11" s="15" t="s">
        <v>83</v>
      </c>
      <c r="L11" s="13" t="s">
        <v>84</v>
      </c>
      <c r="M11" s="15" t="s">
        <v>85</v>
      </c>
      <c r="N11" s="13" t="s">
        <v>86</v>
      </c>
      <c r="O11" s="15"/>
      <c r="P11" s="15"/>
      <c r="Q11" s="15" t="s">
        <v>160</v>
      </c>
      <c r="R11" s="13" t="s">
        <v>161</v>
      </c>
      <c r="S11" s="13" t="s">
        <v>89</v>
      </c>
      <c r="T11" s="13" t="s">
        <v>90</v>
      </c>
      <c r="U11" s="14">
        <v>40725</v>
      </c>
      <c r="V11" s="14"/>
      <c r="W11" s="15" t="s">
        <v>253</v>
      </c>
      <c r="X11" s="13" t="s">
        <v>245</v>
      </c>
      <c r="Y11" s="15" t="str">
        <f>VLOOKUP(X11,'Axe 2 Règles de gestion'!$D$2:$F$51,3, FALSE)</f>
        <v>Rémunération : L'agent continue de percevoir sa rémunération.</v>
      </c>
      <c r="Z11" s="13" t="s">
        <v>249</v>
      </c>
      <c r="AA11" s="15" t="str">
        <f>VLOOKUP(Z11,'Axe 2 Règles de gestion'!$D$2:$F$51,3, FALSE)</f>
        <v>Congés annuels : L'agent conserve son droit à congé annuel.</v>
      </c>
      <c r="AB11" s="13"/>
      <c r="AC11" s="15"/>
      <c r="AD11" s="13"/>
      <c r="AE11" s="15"/>
      <c r="AF11" s="13"/>
      <c r="AG11" s="15"/>
      <c r="AH11" s="13"/>
      <c r="AI11" s="15"/>
    </row>
    <row r="12" spans="1:35" ht="45" x14ac:dyDescent="0.25">
      <c r="A12" s="13" t="s">
        <v>74</v>
      </c>
      <c r="B12" s="13" t="s">
        <v>75</v>
      </c>
      <c r="C12" s="14">
        <v>43572.461805555555</v>
      </c>
      <c r="D12" s="13" t="s">
        <v>76</v>
      </c>
      <c r="E12" s="15" t="s">
        <v>77</v>
      </c>
      <c r="F12" s="13" t="s">
        <v>78</v>
      </c>
      <c r="G12" s="15" t="s">
        <v>79</v>
      </c>
      <c r="H12" s="13" t="s">
        <v>80</v>
      </c>
      <c r="I12" s="15" t="s">
        <v>81</v>
      </c>
      <c r="J12" s="15" t="s">
        <v>82</v>
      </c>
      <c r="K12" s="15" t="s">
        <v>83</v>
      </c>
      <c r="L12" s="13" t="s">
        <v>128</v>
      </c>
      <c r="M12" s="15" t="s">
        <v>129</v>
      </c>
      <c r="N12" s="13" t="s">
        <v>130</v>
      </c>
      <c r="O12" s="15"/>
      <c r="P12" s="15"/>
      <c r="Q12" s="15" t="s">
        <v>160</v>
      </c>
      <c r="R12" s="13" t="s">
        <v>161</v>
      </c>
      <c r="S12" s="13" t="s">
        <v>89</v>
      </c>
      <c r="T12" s="13" t="s">
        <v>90</v>
      </c>
      <c r="U12" s="14">
        <v>40725</v>
      </c>
      <c r="V12" s="14"/>
      <c r="W12" s="15"/>
      <c r="X12" s="13"/>
      <c r="Y12" s="15"/>
      <c r="Z12" s="13"/>
      <c r="AA12" s="15"/>
      <c r="AB12" s="13"/>
      <c r="AC12" s="15"/>
      <c r="AD12" s="13"/>
      <c r="AE12" s="15"/>
      <c r="AF12" s="13"/>
      <c r="AG12" s="15"/>
      <c r="AH12" s="13"/>
      <c r="AI12" s="15"/>
    </row>
    <row r="13" spans="1:35" ht="45" x14ac:dyDescent="0.25">
      <c r="A13" s="13" t="s">
        <v>164</v>
      </c>
      <c r="B13" s="13" t="s">
        <v>135</v>
      </c>
      <c r="C13" s="14">
        <v>43152.5</v>
      </c>
      <c r="D13" s="13" t="s">
        <v>76</v>
      </c>
      <c r="E13" s="15" t="s">
        <v>77</v>
      </c>
      <c r="F13" s="13" t="s">
        <v>78</v>
      </c>
      <c r="G13" s="15" t="s">
        <v>79</v>
      </c>
      <c r="H13" s="13" t="s">
        <v>80</v>
      </c>
      <c r="I13" s="15" t="s">
        <v>81</v>
      </c>
      <c r="J13" s="15" t="s">
        <v>82</v>
      </c>
      <c r="K13" s="15" t="s">
        <v>83</v>
      </c>
      <c r="L13" s="13" t="s">
        <v>84</v>
      </c>
      <c r="M13" s="15" t="s">
        <v>85</v>
      </c>
      <c r="N13" s="13" t="s">
        <v>86</v>
      </c>
      <c r="O13" s="15"/>
      <c r="P13" s="15"/>
      <c r="Q13" s="15" t="s">
        <v>165</v>
      </c>
      <c r="R13" s="13" t="s">
        <v>166</v>
      </c>
      <c r="S13" s="13" t="s">
        <v>167</v>
      </c>
      <c r="T13" s="13" t="s">
        <v>138</v>
      </c>
      <c r="U13" s="14">
        <v>40725</v>
      </c>
      <c r="V13" s="14"/>
      <c r="W13" s="15"/>
      <c r="X13" s="13"/>
      <c r="Y13" s="15"/>
      <c r="Z13" s="13"/>
      <c r="AA13" s="15"/>
      <c r="AB13" s="13"/>
      <c r="AC13" s="15"/>
      <c r="AD13" s="13"/>
      <c r="AE13" s="15"/>
      <c r="AF13" s="13"/>
      <c r="AG13" s="15"/>
      <c r="AH13" s="13"/>
      <c r="AI13" s="15"/>
    </row>
    <row r="14" spans="1:35" ht="45" x14ac:dyDescent="0.25">
      <c r="A14" s="13" t="s">
        <v>164</v>
      </c>
      <c r="B14" s="13" t="s">
        <v>135</v>
      </c>
      <c r="C14" s="14">
        <v>43152.5</v>
      </c>
      <c r="D14" s="13" t="s">
        <v>76</v>
      </c>
      <c r="E14" s="15" t="s">
        <v>77</v>
      </c>
      <c r="F14" s="13" t="s">
        <v>78</v>
      </c>
      <c r="G14" s="15" t="s">
        <v>79</v>
      </c>
      <c r="H14" s="13" t="s">
        <v>80</v>
      </c>
      <c r="I14" s="15" t="s">
        <v>81</v>
      </c>
      <c r="J14" s="15" t="s">
        <v>82</v>
      </c>
      <c r="K14" s="15" t="s">
        <v>83</v>
      </c>
      <c r="L14" s="13" t="s">
        <v>128</v>
      </c>
      <c r="M14" s="15" t="s">
        <v>129</v>
      </c>
      <c r="N14" s="13" t="s">
        <v>130</v>
      </c>
      <c r="O14" s="15"/>
      <c r="P14" s="15"/>
      <c r="Q14" s="15" t="s">
        <v>165</v>
      </c>
      <c r="R14" s="13" t="s">
        <v>166</v>
      </c>
      <c r="S14" s="13" t="s">
        <v>167</v>
      </c>
      <c r="T14" s="13" t="s">
        <v>138</v>
      </c>
      <c r="U14" s="14">
        <v>40725</v>
      </c>
      <c r="V14" s="14"/>
      <c r="W14" s="15"/>
      <c r="X14" s="13"/>
      <c r="Y14" s="15"/>
      <c r="Z14" s="13"/>
      <c r="AA14" s="15"/>
      <c r="AB14" s="13"/>
      <c r="AC14" s="15"/>
      <c r="AD14" s="13"/>
      <c r="AE14" s="15"/>
      <c r="AF14" s="13"/>
      <c r="AG14" s="15"/>
      <c r="AH14" s="13"/>
      <c r="AI14" s="15"/>
    </row>
    <row r="15" spans="1:35" ht="45" x14ac:dyDescent="0.25">
      <c r="A15" s="13" t="s">
        <v>164</v>
      </c>
      <c r="B15" s="13" t="s">
        <v>135</v>
      </c>
      <c r="C15" s="14">
        <v>43152.5</v>
      </c>
      <c r="D15" s="13" t="s">
        <v>76</v>
      </c>
      <c r="E15" s="15" t="s">
        <v>77</v>
      </c>
      <c r="F15" s="13" t="s">
        <v>78</v>
      </c>
      <c r="G15" s="15" t="s">
        <v>79</v>
      </c>
      <c r="H15" s="13" t="s">
        <v>80</v>
      </c>
      <c r="I15" s="15" t="s">
        <v>81</v>
      </c>
      <c r="J15" s="15" t="s">
        <v>82</v>
      </c>
      <c r="K15" s="15" t="s">
        <v>83</v>
      </c>
      <c r="L15" s="13" t="s">
        <v>84</v>
      </c>
      <c r="M15" s="15" t="s">
        <v>85</v>
      </c>
      <c r="N15" s="13" t="s">
        <v>86</v>
      </c>
      <c r="O15" s="15"/>
      <c r="P15" s="15"/>
      <c r="Q15" s="15" t="s">
        <v>168</v>
      </c>
      <c r="R15" s="13" t="s">
        <v>169</v>
      </c>
      <c r="S15" s="13" t="s">
        <v>167</v>
      </c>
      <c r="T15" s="13" t="s">
        <v>138</v>
      </c>
      <c r="U15" s="14">
        <v>40725</v>
      </c>
      <c r="V15" s="14"/>
      <c r="W15" s="15"/>
      <c r="X15" s="13"/>
      <c r="Y15" s="15"/>
      <c r="Z15" s="13"/>
      <c r="AA15" s="15"/>
      <c r="AB15" s="13"/>
      <c r="AC15" s="15"/>
      <c r="AD15" s="13"/>
      <c r="AE15" s="15"/>
      <c r="AF15" s="13"/>
      <c r="AG15" s="15"/>
      <c r="AH15" s="13"/>
      <c r="AI15" s="15"/>
    </row>
    <row r="16" spans="1:35" ht="45" x14ac:dyDescent="0.25">
      <c r="A16" s="13" t="s">
        <v>164</v>
      </c>
      <c r="B16" s="13" t="s">
        <v>135</v>
      </c>
      <c r="C16" s="14">
        <v>43152.5</v>
      </c>
      <c r="D16" s="13" t="s">
        <v>76</v>
      </c>
      <c r="E16" s="15" t="s">
        <v>77</v>
      </c>
      <c r="F16" s="13" t="s">
        <v>78</v>
      </c>
      <c r="G16" s="15" t="s">
        <v>79</v>
      </c>
      <c r="H16" s="13" t="s">
        <v>80</v>
      </c>
      <c r="I16" s="15" t="s">
        <v>81</v>
      </c>
      <c r="J16" s="15" t="s">
        <v>82</v>
      </c>
      <c r="K16" s="15" t="s">
        <v>83</v>
      </c>
      <c r="L16" s="13" t="s">
        <v>128</v>
      </c>
      <c r="M16" s="15" t="s">
        <v>129</v>
      </c>
      <c r="N16" s="13" t="s">
        <v>130</v>
      </c>
      <c r="O16" s="15"/>
      <c r="P16" s="15"/>
      <c r="Q16" s="15" t="s">
        <v>168</v>
      </c>
      <c r="R16" s="13" t="s">
        <v>169</v>
      </c>
      <c r="S16" s="13" t="s">
        <v>167</v>
      </c>
      <c r="T16" s="13" t="s">
        <v>138</v>
      </c>
      <c r="U16" s="14">
        <v>40725</v>
      </c>
      <c r="V16" s="14"/>
      <c r="W16" s="15"/>
      <c r="X16" s="13"/>
      <c r="Y16" s="15"/>
      <c r="Z16" s="13"/>
      <c r="AA16" s="15"/>
      <c r="AB16" s="13"/>
      <c r="AC16" s="15"/>
      <c r="AD16" s="13"/>
      <c r="AE16" s="15"/>
      <c r="AF16" s="13"/>
      <c r="AG16" s="15"/>
      <c r="AH16" s="13"/>
      <c r="AI16" s="15"/>
    </row>
    <row r="17" spans="1:35" ht="45" x14ac:dyDescent="0.25">
      <c r="A17" s="13" t="s">
        <v>164</v>
      </c>
      <c r="B17" s="13" t="s">
        <v>135</v>
      </c>
      <c r="C17" s="14">
        <v>43152.5</v>
      </c>
      <c r="D17" s="13" t="s">
        <v>76</v>
      </c>
      <c r="E17" s="15" t="s">
        <v>77</v>
      </c>
      <c r="F17" s="13" t="s">
        <v>78</v>
      </c>
      <c r="G17" s="15" t="s">
        <v>79</v>
      </c>
      <c r="H17" s="13" t="s">
        <v>80</v>
      </c>
      <c r="I17" s="15" t="s">
        <v>81</v>
      </c>
      <c r="J17" s="15" t="s">
        <v>82</v>
      </c>
      <c r="K17" s="15" t="s">
        <v>83</v>
      </c>
      <c r="L17" s="13" t="s">
        <v>84</v>
      </c>
      <c r="M17" s="15" t="s">
        <v>85</v>
      </c>
      <c r="N17" s="13" t="s">
        <v>86</v>
      </c>
      <c r="O17" s="15"/>
      <c r="P17" s="15"/>
      <c r="Q17" s="15" t="s">
        <v>170</v>
      </c>
      <c r="R17" s="13" t="s">
        <v>171</v>
      </c>
      <c r="S17" s="13" t="s">
        <v>167</v>
      </c>
      <c r="T17" s="13" t="s">
        <v>138</v>
      </c>
      <c r="U17" s="14">
        <v>40725</v>
      </c>
      <c r="V17" s="14"/>
      <c r="W17" s="15"/>
      <c r="X17" s="13"/>
      <c r="Y17" s="15"/>
      <c r="Z17" s="13"/>
      <c r="AA17" s="15"/>
      <c r="AB17" s="13"/>
      <c r="AC17" s="15"/>
      <c r="AD17" s="13"/>
      <c r="AE17" s="15"/>
      <c r="AF17" s="13"/>
      <c r="AG17" s="15"/>
      <c r="AH17" s="13"/>
      <c r="AI17" s="15"/>
    </row>
    <row r="18" spans="1:35" ht="45" x14ac:dyDescent="0.25">
      <c r="A18" s="13" t="s">
        <v>164</v>
      </c>
      <c r="B18" s="13" t="s">
        <v>135</v>
      </c>
      <c r="C18" s="14">
        <v>43152.5</v>
      </c>
      <c r="D18" s="13" t="s">
        <v>76</v>
      </c>
      <c r="E18" s="15" t="s">
        <v>77</v>
      </c>
      <c r="F18" s="13" t="s">
        <v>78</v>
      </c>
      <c r="G18" s="15" t="s">
        <v>79</v>
      </c>
      <c r="H18" s="13" t="s">
        <v>80</v>
      </c>
      <c r="I18" s="15" t="s">
        <v>81</v>
      </c>
      <c r="J18" s="15" t="s">
        <v>82</v>
      </c>
      <c r="K18" s="15" t="s">
        <v>83</v>
      </c>
      <c r="L18" s="13" t="s">
        <v>128</v>
      </c>
      <c r="M18" s="15" t="s">
        <v>129</v>
      </c>
      <c r="N18" s="13" t="s">
        <v>130</v>
      </c>
      <c r="O18" s="15"/>
      <c r="P18" s="15"/>
      <c r="Q18" s="15" t="s">
        <v>170</v>
      </c>
      <c r="R18" s="13" t="s">
        <v>171</v>
      </c>
      <c r="S18" s="13" t="s">
        <v>167</v>
      </c>
      <c r="T18" s="13" t="s">
        <v>138</v>
      </c>
      <c r="U18" s="14">
        <v>40725</v>
      </c>
      <c r="V18" s="14"/>
      <c r="W18" s="15"/>
      <c r="X18" s="13"/>
      <c r="Y18" s="15"/>
      <c r="Z18" s="13"/>
      <c r="AA18" s="15"/>
      <c r="AB18" s="13"/>
      <c r="AC18" s="15"/>
      <c r="AD18" s="13"/>
      <c r="AE18" s="15"/>
      <c r="AF18" s="13"/>
      <c r="AG18" s="15"/>
      <c r="AH18" s="13"/>
      <c r="AI18" s="15"/>
    </row>
    <row r="19" spans="1:35" ht="60" x14ac:dyDescent="0.25">
      <c r="A19" s="13" t="s">
        <v>164</v>
      </c>
      <c r="B19" s="13" t="s">
        <v>135</v>
      </c>
      <c r="C19" s="14">
        <v>43152.5</v>
      </c>
      <c r="D19" s="13" t="s">
        <v>76</v>
      </c>
      <c r="E19" s="15" t="s">
        <v>77</v>
      </c>
      <c r="F19" s="13" t="s">
        <v>78</v>
      </c>
      <c r="G19" s="15" t="s">
        <v>79</v>
      </c>
      <c r="H19" s="13" t="s">
        <v>80</v>
      </c>
      <c r="I19" s="15" t="s">
        <v>81</v>
      </c>
      <c r="J19" s="15" t="s">
        <v>82</v>
      </c>
      <c r="K19" s="15" t="s">
        <v>83</v>
      </c>
      <c r="L19" s="13" t="s">
        <v>84</v>
      </c>
      <c r="M19" s="15" t="s">
        <v>85</v>
      </c>
      <c r="N19" s="13" t="s">
        <v>86</v>
      </c>
      <c r="O19" s="15"/>
      <c r="P19" s="15"/>
      <c r="Q19" s="15" t="s">
        <v>172</v>
      </c>
      <c r="R19" s="13" t="s">
        <v>173</v>
      </c>
      <c r="S19" s="13" t="s">
        <v>167</v>
      </c>
      <c r="T19" s="13" t="s">
        <v>138</v>
      </c>
      <c r="U19" s="14">
        <v>40725</v>
      </c>
      <c r="V19" s="14"/>
      <c r="W19" s="15"/>
      <c r="X19" s="13"/>
      <c r="Y19" s="15"/>
      <c r="Z19" s="13"/>
      <c r="AA19" s="15"/>
      <c r="AB19" s="13"/>
      <c r="AC19" s="15"/>
      <c r="AD19" s="13"/>
      <c r="AE19" s="15"/>
      <c r="AF19" s="13"/>
      <c r="AG19" s="15"/>
      <c r="AH19" s="13"/>
      <c r="AI19" s="15"/>
    </row>
    <row r="20" spans="1:35" ht="60" x14ac:dyDescent="0.25">
      <c r="A20" s="13" t="s">
        <v>164</v>
      </c>
      <c r="B20" s="13" t="s">
        <v>135</v>
      </c>
      <c r="C20" s="14">
        <v>43152.5</v>
      </c>
      <c r="D20" s="13" t="s">
        <v>76</v>
      </c>
      <c r="E20" s="15" t="s">
        <v>77</v>
      </c>
      <c r="F20" s="13" t="s">
        <v>78</v>
      </c>
      <c r="G20" s="15" t="s">
        <v>79</v>
      </c>
      <c r="H20" s="13" t="s">
        <v>80</v>
      </c>
      <c r="I20" s="15" t="s">
        <v>81</v>
      </c>
      <c r="J20" s="15" t="s">
        <v>82</v>
      </c>
      <c r="K20" s="15" t="s">
        <v>83</v>
      </c>
      <c r="L20" s="13" t="s">
        <v>128</v>
      </c>
      <c r="M20" s="15" t="s">
        <v>129</v>
      </c>
      <c r="N20" s="13" t="s">
        <v>130</v>
      </c>
      <c r="O20" s="15"/>
      <c r="P20" s="15"/>
      <c r="Q20" s="15" t="s">
        <v>172</v>
      </c>
      <c r="R20" s="13" t="s">
        <v>173</v>
      </c>
      <c r="S20" s="13" t="s">
        <v>167</v>
      </c>
      <c r="T20" s="13" t="s">
        <v>138</v>
      </c>
      <c r="U20" s="14">
        <v>40725</v>
      </c>
      <c r="V20" s="14"/>
      <c r="W20" s="15"/>
      <c r="X20" s="13"/>
      <c r="Y20" s="15"/>
      <c r="Z20" s="13"/>
      <c r="AA20" s="15"/>
      <c r="AB20" s="13"/>
      <c r="AC20" s="15"/>
      <c r="AD20" s="13"/>
      <c r="AE20" s="15"/>
      <c r="AF20" s="13"/>
      <c r="AG20" s="15"/>
      <c r="AH20" s="13"/>
      <c r="AI20" s="15"/>
    </row>
    <row r="21" spans="1:35" ht="60" x14ac:dyDescent="0.25">
      <c r="A21" s="13" t="s">
        <v>164</v>
      </c>
      <c r="B21" s="13" t="s">
        <v>135</v>
      </c>
      <c r="C21" s="14">
        <v>43152.5</v>
      </c>
      <c r="D21" s="13" t="s">
        <v>76</v>
      </c>
      <c r="E21" s="15" t="s">
        <v>77</v>
      </c>
      <c r="F21" s="13" t="s">
        <v>78</v>
      </c>
      <c r="G21" s="15" t="s">
        <v>79</v>
      </c>
      <c r="H21" s="13" t="s">
        <v>80</v>
      </c>
      <c r="I21" s="15" t="s">
        <v>81</v>
      </c>
      <c r="J21" s="15" t="s">
        <v>82</v>
      </c>
      <c r="K21" s="15" t="s">
        <v>83</v>
      </c>
      <c r="L21" s="13" t="s">
        <v>84</v>
      </c>
      <c r="M21" s="15" t="s">
        <v>85</v>
      </c>
      <c r="N21" s="13" t="s">
        <v>86</v>
      </c>
      <c r="O21" s="15"/>
      <c r="P21" s="15"/>
      <c r="Q21" s="15" t="s">
        <v>174</v>
      </c>
      <c r="R21" s="13" t="s">
        <v>175</v>
      </c>
      <c r="S21" s="13" t="s">
        <v>167</v>
      </c>
      <c r="T21" s="13" t="s">
        <v>138</v>
      </c>
      <c r="U21" s="14">
        <v>40725</v>
      </c>
      <c r="V21" s="14"/>
      <c r="W21" s="15"/>
      <c r="X21" s="13"/>
      <c r="Y21" s="15"/>
      <c r="Z21" s="13"/>
      <c r="AA21" s="15"/>
      <c r="AB21" s="13"/>
      <c r="AC21" s="15"/>
      <c r="AD21" s="13"/>
      <c r="AE21" s="15"/>
      <c r="AF21" s="13"/>
      <c r="AG21" s="15"/>
      <c r="AH21" s="13"/>
      <c r="AI21" s="15"/>
    </row>
    <row r="22" spans="1:35" ht="60" x14ac:dyDescent="0.25">
      <c r="A22" s="13" t="s">
        <v>164</v>
      </c>
      <c r="B22" s="13" t="s">
        <v>135</v>
      </c>
      <c r="C22" s="14">
        <v>43152.5</v>
      </c>
      <c r="D22" s="13" t="s">
        <v>76</v>
      </c>
      <c r="E22" s="15" t="s">
        <v>77</v>
      </c>
      <c r="F22" s="13" t="s">
        <v>78</v>
      </c>
      <c r="G22" s="15" t="s">
        <v>79</v>
      </c>
      <c r="H22" s="13" t="s">
        <v>80</v>
      </c>
      <c r="I22" s="15" t="s">
        <v>81</v>
      </c>
      <c r="J22" s="15" t="s">
        <v>82</v>
      </c>
      <c r="K22" s="15" t="s">
        <v>83</v>
      </c>
      <c r="L22" s="13" t="s">
        <v>128</v>
      </c>
      <c r="M22" s="15" t="s">
        <v>129</v>
      </c>
      <c r="N22" s="13" t="s">
        <v>130</v>
      </c>
      <c r="O22" s="15"/>
      <c r="P22" s="15"/>
      <c r="Q22" s="15" t="s">
        <v>174</v>
      </c>
      <c r="R22" s="13" t="s">
        <v>175</v>
      </c>
      <c r="S22" s="13" t="s">
        <v>167</v>
      </c>
      <c r="T22" s="13" t="s">
        <v>138</v>
      </c>
      <c r="U22" s="14">
        <v>40725</v>
      </c>
      <c r="V22" s="14"/>
      <c r="W22" s="15"/>
      <c r="X22" s="13"/>
      <c r="Y22" s="15"/>
      <c r="Z22" s="13"/>
      <c r="AA22" s="15"/>
      <c r="AB22" s="13"/>
      <c r="AC22" s="15"/>
      <c r="AD22" s="13"/>
      <c r="AE22" s="15"/>
      <c r="AF22" s="13"/>
      <c r="AG22" s="15"/>
      <c r="AH22" s="13"/>
      <c r="AI22" s="15"/>
    </row>
    <row r="23" spans="1:35" ht="45" x14ac:dyDescent="0.25">
      <c r="A23" s="13" t="s">
        <v>164</v>
      </c>
      <c r="B23" s="13" t="s">
        <v>135</v>
      </c>
      <c r="C23" s="14">
        <v>43152.5</v>
      </c>
      <c r="D23" s="13" t="s">
        <v>76</v>
      </c>
      <c r="E23" s="15" t="s">
        <v>77</v>
      </c>
      <c r="F23" s="13" t="s">
        <v>78</v>
      </c>
      <c r="G23" s="15" t="s">
        <v>79</v>
      </c>
      <c r="H23" s="13" t="s">
        <v>80</v>
      </c>
      <c r="I23" s="15" t="s">
        <v>81</v>
      </c>
      <c r="J23" s="15" t="s">
        <v>82</v>
      </c>
      <c r="K23" s="15" t="s">
        <v>83</v>
      </c>
      <c r="L23" s="13" t="s">
        <v>84</v>
      </c>
      <c r="M23" s="15" t="s">
        <v>85</v>
      </c>
      <c r="N23" s="13" t="s">
        <v>86</v>
      </c>
      <c r="O23" s="15"/>
      <c r="P23" s="15"/>
      <c r="Q23" s="15" t="s">
        <v>176</v>
      </c>
      <c r="R23" s="13" t="s">
        <v>177</v>
      </c>
      <c r="S23" s="13" t="s">
        <v>167</v>
      </c>
      <c r="T23" s="13" t="s">
        <v>138</v>
      </c>
      <c r="U23" s="14">
        <v>40725</v>
      </c>
      <c r="V23" s="14"/>
      <c r="W23" s="15"/>
      <c r="X23" s="13"/>
      <c r="Y23" s="15"/>
      <c r="Z23" s="13"/>
      <c r="AA23" s="15"/>
      <c r="AB23" s="13"/>
      <c r="AC23" s="15"/>
      <c r="AD23" s="13"/>
      <c r="AE23" s="15"/>
      <c r="AF23" s="13"/>
      <c r="AG23" s="15"/>
      <c r="AH23" s="13"/>
      <c r="AI23" s="15"/>
    </row>
    <row r="24" spans="1:35" ht="45" x14ac:dyDescent="0.25">
      <c r="A24" s="13" t="s">
        <v>164</v>
      </c>
      <c r="B24" s="13" t="s">
        <v>135</v>
      </c>
      <c r="C24" s="14">
        <v>43152.5</v>
      </c>
      <c r="D24" s="13" t="s">
        <v>76</v>
      </c>
      <c r="E24" s="15" t="s">
        <v>77</v>
      </c>
      <c r="F24" s="13" t="s">
        <v>78</v>
      </c>
      <c r="G24" s="15" t="s">
        <v>79</v>
      </c>
      <c r="H24" s="13" t="s">
        <v>80</v>
      </c>
      <c r="I24" s="15" t="s">
        <v>81</v>
      </c>
      <c r="J24" s="15" t="s">
        <v>82</v>
      </c>
      <c r="K24" s="15" t="s">
        <v>83</v>
      </c>
      <c r="L24" s="13" t="s">
        <v>128</v>
      </c>
      <c r="M24" s="15" t="s">
        <v>129</v>
      </c>
      <c r="N24" s="13" t="s">
        <v>130</v>
      </c>
      <c r="O24" s="15"/>
      <c r="P24" s="15"/>
      <c r="Q24" s="15" t="s">
        <v>176</v>
      </c>
      <c r="R24" s="13" t="s">
        <v>177</v>
      </c>
      <c r="S24" s="13" t="s">
        <v>167</v>
      </c>
      <c r="T24" s="13" t="s">
        <v>138</v>
      </c>
      <c r="U24" s="14">
        <v>40725</v>
      </c>
      <c r="V24" s="14"/>
      <c r="W24" s="15"/>
      <c r="X24" s="13"/>
      <c r="Y24" s="15"/>
      <c r="Z24" s="13"/>
      <c r="AA24" s="15"/>
      <c r="AB24" s="13"/>
      <c r="AC24" s="15"/>
      <c r="AD24" s="13"/>
      <c r="AE24" s="15"/>
      <c r="AF24" s="13"/>
      <c r="AG24" s="15"/>
      <c r="AH24" s="13"/>
      <c r="AI24" s="15"/>
    </row>
    <row r="25" spans="1:35" ht="45" x14ac:dyDescent="0.25">
      <c r="A25" s="13" t="s">
        <v>74</v>
      </c>
      <c r="B25" s="13" t="s">
        <v>135</v>
      </c>
      <c r="C25" s="14">
        <v>43572.472222222219</v>
      </c>
      <c r="D25" s="13" t="s">
        <v>76</v>
      </c>
      <c r="E25" s="15" t="s">
        <v>77</v>
      </c>
      <c r="F25" s="13" t="s">
        <v>78</v>
      </c>
      <c r="G25" s="15" t="s">
        <v>79</v>
      </c>
      <c r="H25" s="13" t="s">
        <v>80</v>
      </c>
      <c r="I25" s="15" t="s">
        <v>81</v>
      </c>
      <c r="J25" s="15" t="s">
        <v>82</v>
      </c>
      <c r="K25" s="15" t="s">
        <v>83</v>
      </c>
      <c r="L25" s="13" t="s">
        <v>84</v>
      </c>
      <c r="M25" s="15" t="s">
        <v>85</v>
      </c>
      <c r="N25" s="13" t="s">
        <v>86</v>
      </c>
      <c r="O25" s="15"/>
      <c r="P25" s="15"/>
      <c r="Q25" s="15" t="s">
        <v>178</v>
      </c>
      <c r="R25" s="13" t="s">
        <v>179</v>
      </c>
      <c r="S25" s="13" t="s">
        <v>167</v>
      </c>
      <c r="T25" s="13" t="s">
        <v>138</v>
      </c>
      <c r="U25" s="14">
        <v>40725</v>
      </c>
      <c r="V25" s="14"/>
      <c r="W25" s="15"/>
      <c r="X25" s="13"/>
      <c r="Y25" s="15"/>
      <c r="Z25" s="13"/>
      <c r="AA25" s="15"/>
      <c r="AB25" s="13"/>
      <c r="AC25" s="15"/>
      <c r="AD25" s="13"/>
      <c r="AE25" s="15"/>
      <c r="AF25" s="13"/>
      <c r="AG25" s="15"/>
      <c r="AH25" s="13"/>
      <c r="AI25" s="15"/>
    </row>
    <row r="26" spans="1:35" ht="45" x14ac:dyDescent="0.25">
      <c r="A26" s="13" t="s">
        <v>74</v>
      </c>
      <c r="B26" s="13" t="s">
        <v>135</v>
      </c>
      <c r="C26" s="14">
        <v>43572.474305555559</v>
      </c>
      <c r="D26" s="13" t="s">
        <v>76</v>
      </c>
      <c r="E26" s="15" t="s">
        <v>77</v>
      </c>
      <c r="F26" s="13" t="s">
        <v>78</v>
      </c>
      <c r="G26" s="15" t="s">
        <v>79</v>
      </c>
      <c r="H26" s="13" t="s">
        <v>80</v>
      </c>
      <c r="I26" s="15" t="s">
        <v>81</v>
      </c>
      <c r="J26" s="15" t="s">
        <v>82</v>
      </c>
      <c r="K26" s="15" t="s">
        <v>83</v>
      </c>
      <c r="L26" s="13" t="s">
        <v>128</v>
      </c>
      <c r="M26" s="15" t="s">
        <v>129</v>
      </c>
      <c r="N26" s="13" t="s">
        <v>130</v>
      </c>
      <c r="O26" s="15"/>
      <c r="P26" s="15"/>
      <c r="Q26" s="15" t="s">
        <v>178</v>
      </c>
      <c r="R26" s="13" t="s">
        <v>179</v>
      </c>
      <c r="S26" s="13" t="s">
        <v>167</v>
      </c>
      <c r="T26" s="13" t="s">
        <v>138</v>
      </c>
      <c r="U26" s="14">
        <v>40725</v>
      </c>
      <c r="V26" s="14"/>
      <c r="W26" s="15"/>
      <c r="X26" s="13"/>
      <c r="Y26" s="15"/>
      <c r="Z26" s="13"/>
      <c r="AA26" s="15"/>
      <c r="AB26" s="13"/>
      <c r="AC26" s="15"/>
      <c r="AD26" s="13"/>
      <c r="AE26" s="15"/>
      <c r="AF26" s="13"/>
      <c r="AG26" s="15"/>
      <c r="AH26" s="13"/>
      <c r="AI26" s="15"/>
    </row>
    <row r="27" spans="1:35" s="22" customFormat="1" ht="45" x14ac:dyDescent="0.25">
      <c r="A27" s="19" t="s">
        <v>180</v>
      </c>
      <c r="B27" s="19" t="s">
        <v>135</v>
      </c>
      <c r="C27" s="20">
        <v>45995.67083333333</v>
      </c>
      <c r="D27" s="19" t="s">
        <v>76</v>
      </c>
      <c r="E27" s="21" t="s">
        <v>77</v>
      </c>
      <c r="F27" s="19" t="s">
        <v>78</v>
      </c>
      <c r="G27" s="21" t="s">
        <v>79</v>
      </c>
      <c r="H27" s="19" t="s">
        <v>80</v>
      </c>
      <c r="I27" s="21" t="s">
        <v>81</v>
      </c>
      <c r="J27" s="21" t="s">
        <v>82</v>
      </c>
      <c r="K27" s="21" t="s">
        <v>83</v>
      </c>
      <c r="L27" s="19" t="s">
        <v>84</v>
      </c>
      <c r="M27" s="21" t="s">
        <v>85</v>
      </c>
      <c r="N27" s="19" t="s">
        <v>86</v>
      </c>
      <c r="O27" s="21"/>
      <c r="P27" s="21"/>
      <c r="Q27" s="21" t="s">
        <v>181</v>
      </c>
      <c r="R27" s="19" t="s">
        <v>182</v>
      </c>
      <c r="S27" s="19" t="s">
        <v>167</v>
      </c>
      <c r="T27" s="19" t="s">
        <v>90</v>
      </c>
      <c r="U27" s="20">
        <v>45901</v>
      </c>
      <c r="V27" s="20"/>
      <c r="W27" s="21"/>
      <c r="X27" s="19"/>
      <c r="Y27" s="21"/>
      <c r="Z27" s="19"/>
      <c r="AA27" s="21"/>
      <c r="AB27" s="19"/>
      <c r="AC27" s="21"/>
      <c r="AD27" s="19"/>
      <c r="AE27" s="21"/>
      <c r="AF27" s="19"/>
      <c r="AG27" s="21"/>
      <c r="AH27" s="19" t="s">
        <v>186</v>
      </c>
      <c r="AI27" s="21"/>
    </row>
    <row r="28" spans="1:35" s="22" customFormat="1" ht="45" x14ac:dyDescent="0.25">
      <c r="A28" s="19" t="s">
        <v>180</v>
      </c>
      <c r="B28" s="19" t="s">
        <v>135</v>
      </c>
      <c r="C28" s="20">
        <v>45995.670138888891</v>
      </c>
      <c r="D28" s="19" t="s">
        <v>76</v>
      </c>
      <c r="E28" s="21" t="s">
        <v>77</v>
      </c>
      <c r="F28" s="19" t="s">
        <v>78</v>
      </c>
      <c r="G28" s="21" t="s">
        <v>79</v>
      </c>
      <c r="H28" s="19" t="s">
        <v>80</v>
      </c>
      <c r="I28" s="21" t="s">
        <v>81</v>
      </c>
      <c r="J28" s="21" t="s">
        <v>82</v>
      </c>
      <c r="K28" s="21" t="s">
        <v>83</v>
      </c>
      <c r="L28" s="19" t="s">
        <v>128</v>
      </c>
      <c r="M28" s="21" t="s">
        <v>129</v>
      </c>
      <c r="N28" s="19" t="s">
        <v>130</v>
      </c>
      <c r="O28" s="21"/>
      <c r="P28" s="21"/>
      <c r="Q28" s="21" t="s">
        <v>181</v>
      </c>
      <c r="R28" s="19" t="s">
        <v>182</v>
      </c>
      <c r="S28" s="19" t="s">
        <v>167</v>
      </c>
      <c r="T28" s="19" t="s">
        <v>90</v>
      </c>
      <c r="U28" s="20">
        <v>45901</v>
      </c>
      <c r="V28" s="20"/>
      <c r="W28" s="21"/>
      <c r="X28" s="19"/>
      <c r="Y28" s="21"/>
      <c r="Z28" s="19"/>
      <c r="AA28" s="21"/>
      <c r="AB28" s="19"/>
      <c r="AC28" s="21"/>
      <c r="AD28" s="19"/>
      <c r="AE28" s="21"/>
      <c r="AF28" s="19"/>
      <c r="AG28" s="21"/>
      <c r="AH28" s="19" t="s">
        <v>186</v>
      </c>
      <c r="AI28" s="21"/>
    </row>
    <row r="29" spans="1:35" ht="45" x14ac:dyDescent="0.25">
      <c r="A29" s="13" t="s">
        <v>164</v>
      </c>
      <c r="B29" s="13" t="s">
        <v>135</v>
      </c>
      <c r="C29" s="14">
        <v>43152.5</v>
      </c>
      <c r="D29" s="13" t="s">
        <v>76</v>
      </c>
      <c r="E29" s="15" t="s">
        <v>77</v>
      </c>
      <c r="F29" s="13" t="s">
        <v>78</v>
      </c>
      <c r="G29" s="15" t="s">
        <v>79</v>
      </c>
      <c r="H29" s="13" t="s">
        <v>80</v>
      </c>
      <c r="I29" s="15" t="s">
        <v>81</v>
      </c>
      <c r="J29" s="15" t="s">
        <v>82</v>
      </c>
      <c r="K29" s="15" t="s">
        <v>83</v>
      </c>
      <c r="L29" s="13" t="s">
        <v>84</v>
      </c>
      <c r="M29" s="15" t="s">
        <v>85</v>
      </c>
      <c r="N29" s="13" t="s">
        <v>86</v>
      </c>
      <c r="O29" s="15"/>
      <c r="P29" s="15"/>
      <c r="Q29" s="15" t="s">
        <v>188</v>
      </c>
      <c r="R29" s="13" t="s">
        <v>189</v>
      </c>
      <c r="S29" s="13" t="s">
        <v>167</v>
      </c>
      <c r="T29" s="13" t="s">
        <v>138</v>
      </c>
      <c r="U29" s="14">
        <v>40725</v>
      </c>
      <c r="V29" s="14"/>
      <c r="W29" s="15"/>
      <c r="X29" s="13"/>
      <c r="Y29" s="15"/>
      <c r="Z29" s="13"/>
      <c r="AA29" s="15"/>
      <c r="AB29" s="13"/>
      <c r="AC29" s="15"/>
      <c r="AD29" s="13"/>
      <c r="AE29" s="15"/>
      <c r="AF29" s="13"/>
      <c r="AG29" s="15"/>
      <c r="AH29" s="13"/>
      <c r="AI29" s="15"/>
    </row>
    <row r="30" spans="1:35" ht="45" x14ac:dyDescent="0.25">
      <c r="A30" s="13" t="s">
        <v>164</v>
      </c>
      <c r="B30" s="13" t="s">
        <v>135</v>
      </c>
      <c r="C30" s="14">
        <v>43152.5</v>
      </c>
      <c r="D30" s="13" t="s">
        <v>76</v>
      </c>
      <c r="E30" s="15" t="s">
        <v>77</v>
      </c>
      <c r="F30" s="13" t="s">
        <v>78</v>
      </c>
      <c r="G30" s="15" t="s">
        <v>79</v>
      </c>
      <c r="H30" s="13" t="s">
        <v>80</v>
      </c>
      <c r="I30" s="15" t="s">
        <v>81</v>
      </c>
      <c r="J30" s="15" t="s">
        <v>82</v>
      </c>
      <c r="K30" s="15" t="s">
        <v>83</v>
      </c>
      <c r="L30" s="13" t="s">
        <v>128</v>
      </c>
      <c r="M30" s="15" t="s">
        <v>129</v>
      </c>
      <c r="N30" s="13" t="s">
        <v>130</v>
      </c>
      <c r="O30" s="15"/>
      <c r="P30" s="15"/>
      <c r="Q30" s="15" t="s">
        <v>188</v>
      </c>
      <c r="R30" s="13" t="s">
        <v>189</v>
      </c>
      <c r="S30" s="13" t="s">
        <v>167</v>
      </c>
      <c r="T30" s="13" t="s">
        <v>138</v>
      </c>
      <c r="U30" s="14">
        <v>40725</v>
      </c>
      <c r="V30" s="14"/>
      <c r="W30" s="15"/>
      <c r="X30" s="13"/>
      <c r="Y30" s="15"/>
      <c r="Z30" s="13"/>
      <c r="AA30" s="15"/>
      <c r="AB30" s="13"/>
      <c r="AC30" s="15"/>
      <c r="AD30" s="13"/>
      <c r="AE30" s="15"/>
      <c r="AF30" s="13"/>
      <c r="AG30" s="15"/>
      <c r="AH30" s="13"/>
      <c r="AI30" s="15"/>
    </row>
    <row r="31" spans="1:35" ht="90" x14ac:dyDescent="0.25">
      <c r="A31" s="13" t="s">
        <v>164</v>
      </c>
      <c r="B31" s="13" t="s">
        <v>135</v>
      </c>
      <c r="C31" s="14">
        <v>43165.487500000003</v>
      </c>
      <c r="D31" s="13" t="s">
        <v>76</v>
      </c>
      <c r="E31" s="15" t="s">
        <v>77</v>
      </c>
      <c r="F31" s="13" t="s">
        <v>78</v>
      </c>
      <c r="G31" s="15" t="s">
        <v>79</v>
      </c>
      <c r="H31" s="13" t="s">
        <v>80</v>
      </c>
      <c r="I31" s="15" t="s">
        <v>81</v>
      </c>
      <c r="J31" s="15" t="s">
        <v>82</v>
      </c>
      <c r="K31" s="15" t="s">
        <v>83</v>
      </c>
      <c r="L31" s="13" t="s">
        <v>84</v>
      </c>
      <c r="M31" s="15" t="s">
        <v>85</v>
      </c>
      <c r="N31" s="13" t="s">
        <v>86</v>
      </c>
      <c r="O31" s="15"/>
      <c r="P31" s="15"/>
      <c r="Q31" s="15" t="s">
        <v>190</v>
      </c>
      <c r="R31" s="13" t="s">
        <v>191</v>
      </c>
      <c r="S31" s="13" t="s">
        <v>167</v>
      </c>
      <c r="T31" s="13" t="s">
        <v>138</v>
      </c>
      <c r="U31" s="14">
        <v>43101</v>
      </c>
      <c r="V31" s="14"/>
      <c r="W31" s="15"/>
      <c r="X31" s="13"/>
      <c r="Y31" s="15"/>
      <c r="Z31" s="13"/>
      <c r="AA31" s="15"/>
      <c r="AB31" s="13"/>
      <c r="AC31" s="15"/>
      <c r="AD31" s="13"/>
      <c r="AE31" s="15"/>
      <c r="AF31" s="13"/>
      <c r="AG31" s="15"/>
      <c r="AH31" s="13"/>
      <c r="AI31" s="15"/>
    </row>
    <row r="32" spans="1:35" ht="90" x14ac:dyDescent="0.25">
      <c r="A32" s="13" t="s">
        <v>164</v>
      </c>
      <c r="B32" s="13" t="s">
        <v>135</v>
      </c>
      <c r="C32" s="14">
        <v>43165.488194444442</v>
      </c>
      <c r="D32" s="13" t="s">
        <v>76</v>
      </c>
      <c r="E32" s="15" t="s">
        <v>77</v>
      </c>
      <c r="F32" s="13" t="s">
        <v>78</v>
      </c>
      <c r="G32" s="15" t="s">
        <v>79</v>
      </c>
      <c r="H32" s="13" t="s">
        <v>80</v>
      </c>
      <c r="I32" s="15" t="s">
        <v>81</v>
      </c>
      <c r="J32" s="15" t="s">
        <v>82</v>
      </c>
      <c r="K32" s="15" t="s">
        <v>83</v>
      </c>
      <c r="L32" s="13" t="s">
        <v>128</v>
      </c>
      <c r="M32" s="15" t="s">
        <v>129</v>
      </c>
      <c r="N32" s="13" t="s">
        <v>130</v>
      </c>
      <c r="O32" s="15"/>
      <c r="P32" s="15"/>
      <c r="Q32" s="15" t="s">
        <v>190</v>
      </c>
      <c r="R32" s="13" t="s">
        <v>191</v>
      </c>
      <c r="S32" s="13" t="s">
        <v>167</v>
      </c>
      <c r="T32" s="13" t="s">
        <v>138</v>
      </c>
      <c r="U32" s="14">
        <v>43101</v>
      </c>
      <c r="V32" s="14"/>
      <c r="W32" s="15"/>
      <c r="X32" s="13"/>
      <c r="Y32" s="15"/>
      <c r="Z32" s="13"/>
      <c r="AA32" s="15"/>
      <c r="AB32" s="13"/>
      <c r="AC32" s="15"/>
      <c r="AD32" s="13"/>
      <c r="AE32" s="15"/>
      <c r="AF32" s="13"/>
      <c r="AG32" s="15"/>
      <c r="AH32" s="13"/>
      <c r="AI32" s="15"/>
    </row>
    <row r="33" spans="1:35" ht="90" x14ac:dyDescent="0.25">
      <c r="A33" s="13" t="s">
        <v>164</v>
      </c>
      <c r="B33" s="13" t="s">
        <v>135</v>
      </c>
      <c r="C33" s="14">
        <v>43152.5</v>
      </c>
      <c r="D33" s="13" t="s">
        <v>76</v>
      </c>
      <c r="E33" s="15" t="s">
        <v>77</v>
      </c>
      <c r="F33" s="13" t="s">
        <v>78</v>
      </c>
      <c r="G33" s="15" t="s">
        <v>79</v>
      </c>
      <c r="H33" s="13" t="s">
        <v>192</v>
      </c>
      <c r="I33" s="15" t="s">
        <v>193</v>
      </c>
      <c r="J33" s="15" t="s">
        <v>194</v>
      </c>
      <c r="K33" s="15" t="s">
        <v>195</v>
      </c>
      <c r="L33" s="13" t="s">
        <v>196</v>
      </c>
      <c r="M33" s="15" t="s">
        <v>197</v>
      </c>
      <c r="N33" s="13" t="s">
        <v>86</v>
      </c>
      <c r="O33" s="15"/>
      <c r="P33" s="15"/>
      <c r="Q33" s="15" t="s">
        <v>87</v>
      </c>
      <c r="R33" s="13" t="s">
        <v>88</v>
      </c>
      <c r="S33" s="13" t="s">
        <v>89</v>
      </c>
      <c r="T33" s="13" t="s">
        <v>138</v>
      </c>
      <c r="U33" s="14">
        <v>40725</v>
      </c>
      <c r="V33" s="14"/>
      <c r="W33" s="15"/>
      <c r="X33" s="13"/>
      <c r="Y33" s="15"/>
      <c r="Z33" s="13"/>
      <c r="AA33" s="15"/>
      <c r="AB33" s="13"/>
      <c r="AC33" s="15"/>
      <c r="AD33" s="13"/>
      <c r="AE33" s="15"/>
      <c r="AF33" s="13"/>
      <c r="AG33" s="15"/>
      <c r="AH33" s="13"/>
      <c r="AI33" s="15"/>
    </row>
    <row r="34" spans="1:35" ht="90" x14ac:dyDescent="0.25">
      <c r="A34" s="13" t="s">
        <v>164</v>
      </c>
      <c r="B34" s="13" t="s">
        <v>135</v>
      </c>
      <c r="C34" s="14">
        <v>43152.5</v>
      </c>
      <c r="D34" s="13" t="s">
        <v>76</v>
      </c>
      <c r="E34" s="15" t="s">
        <v>77</v>
      </c>
      <c r="F34" s="13" t="s">
        <v>78</v>
      </c>
      <c r="G34" s="15" t="s">
        <v>79</v>
      </c>
      <c r="H34" s="13" t="s">
        <v>192</v>
      </c>
      <c r="I34" s="15" t="s">
        <v>193</v>
      </c>
      <c r="J34" s="15" t="s">
        <v>194</v>
      </c>
      <c r="K34" s="15" t="s">
        <v>195</v>
      </c>
      <c r="L34" s="13" t="s">
        <v>198</v>
      </c>
      <c r="M34" s="15" t="s">
        <v>199</v>
      </c>
      <c r="N34" s="13" t="s">
        <v>130</v>
      </c>
      <c r="O34" s="15"/>
      <c r="P34" s="15"/>
      <c r="Q34" s="15" t="s">
        <v>87</v>
      </c>
      <c r="R34" s="13" t="s">
        <v>88</v>
      </c>
      <c r="S34" s="13" t="s">
        <v>89</v>
      </c>
      <c r="T34" s="13" t="s">
        <v>138</v>
      </c>
      <c r="U34" s="14">
        <v>40725</v>
      </c>
      <c r="V34" s="14"/>
      <c r="W34" s="15"/>
      <c r="X34" s="13"/>
      <c r="Y34" s="15"/>
      <c r="Z34" s="13"/>
      <c r="AA34" s="15"/>
      <c r="AB34" s="13"/>
      <c r="AC34" s="15"/>
      <c r="AD34" s="13"/>
      <c r="AE34" s="15"/>
      <c r="AF34" s="13"/>
      <c r="AG34" s="15"/>
      <c r="AH34" s="13"/>
      <c r="AI34" s="15"/>
    </row>
    <row r="35" spans="1:35" ht="90" x14ac:dyDescent="0.25">
      <c r="A35" s="13" t="s">
        <v>134</v>
      </c>
      <c r="B35" s="13" t="s">
        <v>135</v>
      </c>
      <c r="C35" s="14">
        <v>44886.486805555556</v>
      </c>
      <c r="D35" s="13" t="s">
        <v>76</v>
      </c>
      <c r="E35" s="15" t="s">
        <v>77</v>
      </c>
      <c r="F35" s="13" t="s">
        <v>78</v>
      </c>
      <c r="G35" s="15" t="s">
        <v>79</v>
      </c>
      <c r="H35" s="13" t="s">
        <v>192</v>
      </c>
      <c r="I35" s="15" t="s">
        <v>193</v>
      </c>
      <c r="J35" s="15" t="s">
        <v>194</v>
      </c>
      <c r="K35" s="15" t="s">
        <v>195</v>
      </c>
      <c r="L35" s="13" t="s">
        <v>196</v>
      </c>
      <c r="M35" s="15" t="s">
        <v>197</v>
      </c>
      <c r="N35" s="13" t="s">
        <v>86</v>
      </c>
      <c r="O35" s="15"/>
      <c r="P35" s="15"/>
      <c r="Q35" s="15" t="s">
        <v>136</v>
      </c>
      <c r="R35" s="13" t="s">
        <v>137</v>
      </c>
      <c r="S35" s="13" t="s">
        <v>89</v>
      </c>
      <c r="T35" s="13" t="s">
        <v>138</v>
      </c>
      <c r="U35" s="14">
        <v>43831</v>
      </c>
      <c r="V35" s="14"/>
      <c r="W35" s="15"/>
      <c r="X35" s="13"/>
      <c r="Y35" s="15"/>
      <c r="Z35" s="13"/>
      <c r="AA35" s="15"/>
      <c r="AB35" s="13"/>
      <c r="AC35" s="15"/>
      <c r="AD35" s="13"/>
      <c r="AE35" s="15"/>
      <c r="AF35" s="13"/>
      <c r="AG35" s="15"/>
      <c r="AH35" s="13"/>
      <c r="AI35" s="15"/>
    </row>
    <row r="36" spans="1:35" ht="90" x14ac:dyDescent="0.25">
      <c r="A36" s="13" t="s">
        <v>134</v>
      </c>
      <c r="B36" s="13" t="s">
        <v>135</v>
      </c>
      <c r="C36" s="14">
        <v>44886.486805555556</v>
      </c>
      <c r="D36" s="13" t="s">
        <v>76</v>
      </c>
      <c r="E36" s="15" t="s">
        <v>77</v>
      </c>
      <c r="F36" s="13" t="s">
        <v>78</v>
      </c>
      <c r="G36" s="15" t="s">
        <v>79</v>
      </c>
      <c r="H36" s="13" t="s">
        <v>192</v>
      </c>
      <c r="I36" s="15" t="s">
        <v>193</v>
      </c>
      <c r="J36" s="15" t="s">
        <v>194</v>
      </c>
      <c r="K36" s="15" t="s">
        <v>195</v>
      </c>
      <c r="L36" s="13" t="s">
        <v>198</v>
      </c>
      <c r="M36" s="15" t="s">
        <v>199</v>
      </c>
      <c r="N36" s="13" t="s">
        <v>130</v>
      </c>
      <c r="O36" s="15"/>
      <c r="P36" s="15"/>
      <c r="Q36" s="15" t="s">
        <v>136</v>
      </c>
      <c r="R36" s="13" t="s">
        <v>137</v>
      </c>
      <c r="S36" s="13" t="s">
        <v>89</v>
      </c>
      <c r="T36" s="13" t="s">
        <v>138</v>
      </c>
      <c r="U36" s="14">
        <v>43831</v>
      </c>
      <c r="V36" s="14"/>
      <c r="W36" s="15"/>
      <c r="X36" s="13"/>
      <c r="Y36" s="15"/>
      <c r="Z36" s="13"/>
      <c r="AA36" s="15"/>
      <c r="AB36" s="13"/>
      <c r="AC36" s="15"/>
      <c r="AD36" s="13"/>
      <c r="AE36" s="15"/>
      <c r="AF36" s="13"/>
      <c r="AG36" s="15"/>
      <c r="AH36" s="13"/>
      <c r="AI36" s="15"/>
    </row>
    <row r="37" spans="1:35" ht="90" x14ac:dyDescent="0.25">
      <c r="A37" s="13" t="s">
        <v>164</v>
      </c>
      <c r="B37" s="13" t="s">
        <v>135</v>
      </c>
      <c r="C37" s="14">
        <v>43152.5</v>
      </c>
      <c r="D37" s="13" t="s">
        <v>76</v>
      </c>
      <c r="E37" s="15" t="s">
        <v>77</v>
      </c>
      <c r="F37" s="13" t="s">
        <v>78</v>
      </c>
      <c r="G37" s="15" t="s">
        <v>79</v>
      </c>
      <c r="H37" s="13" t="s">
        <v>192</v>
      </c>
      <c r="I37" s="15" t="s">
        <v>193</v>
      </c>
      <c r="J37" s="15" t="s">
        <v>194</v>
      </c>
      <c r="K37" s="15" t="s">
        <v>195</v>
      </c>
      <c r="L37" s="13" t="s">
        <v>196</v>
      </c>
      <c r="M37" s="15" t="s">
        <v>197</v>
      </c>
      <c r="N37" s="13" t="s">
        <v>86</v>
      </c>
      <c r="O37" s="15"/>
      <c r="P37" s="15"/>
      <c r="Q37" s="15" t="s">
        <v>139</v>
      </c>
      <c r="R37" s="13" t="s">
        <v>140</v>
      </c>
      <c r="S37" s="13" t="s">
        <v>89</v>
      </c>
      <c r="T37" s="13" t="s">
        <v>138</v>
      </c>
      <c r="U37" s="14">
        <v>40725</v>
      </c>
      <c r="V37" s="14"/>
      <c r="W37" s="15"/>
      <c r="X37" s="13"/>
      <c r="Y37" s="15"/>
      <c r="Z37" s="13"/>
      <c r="AA37" s="15"/>
      <c r="AB37" s="13"/>
      <c r="AC37" s="15"/>
      <c r="AD37" s="13"/>
      <c r="AE37" s="15"/>
      <c r="AF37" s="13"/>
      <c r="AG37" s="15"/>
      <c r="AH37" s="13"/>
      <c r="AI37" s="15"/>
    </row>
    <row r="38" spans="1:35" ht="90" x14ac:dyDescent="0.25">
      <c r="A38" s="13" t="s">
        <v>164</v>
      </c>
      <c r="B38" s="13" t="s">
        <v>135</v>
      </c>
      <c r="C38" s="14">
        <v>43152.5</v>
      </c>
      <c r="D38" s="13" t="s">
        <v>76</v>
      </c>
      <c r="E38" s="15" t="s">
        <v>77</v>
      </c>
      <c r="F38" s="13" t="s">
        <v>78</v>
      </c>
      <c r="G38" s="15" t="s">
        <v>79</v>
      </c>
      <c r="H38" s="13" t="s">
        <v>192</v>
      </c>
      <c r="I38" s="15" t="s">
        <v>193</v>
      </c>
      <c r="J38" s="15" t="s">
        <v>194</v>
      </c>
      <c r="K38" s="15" t="s">
        <v>195</v>
      </c>
      <c r="L38" s="13" t="s">
        <v>198</v>
      </c>
      <c r="M38" s="15" t="s">
        <v>199</v>
      </c>
      <c r="N38" s="13" t="s">
        <v>130</v>
      </c>
      <c r="O38" s="15"/>
      <c r="P38" s="15"/>
      <c r="Q38" s="15" t="s">
        <v>139</v>
      </c>
      <c r="R38" s="13" t="s">
        <v>140</v>
      </c>
      <c r="S38" s="13" t="s">
        <v>89</v>
      </c>
      <c r="T38" s="13" t="s">
        <v>138</v>
      </c>
      <c r="U38" s="14">
        <v>40725</v>
      </c>
      <c r="V38" s="14"/>
      <c r="W38" s="15"/>
      <c r="X38" s="13"/>
      <c r="Y38" s="15"/>
      <c r="Z38" s="13"/>
      <c r="AA38" s="15"/>
      <c r="AB38" s="13"/>
      <c r="AC38" s="15"/>
      <c r="AD38" s="13"/>
      <c r="AE38" s="15"/>
      <c r="AF38" s="13"/>
      <c r="AG38" s="15"/>
      <c r="AH38" s="13"/>
      <c r="AI38" s="15"/>
    </row>
    <row r="39" spans="1:35" ht="90" x14ac:dyDescent="0.25">
      <c r="A39" s="13" t="s">
        <v>164</v>
      </c>
      <c r="B39" s="13" t="s">
        <v>135</v>
      </c>
      <c r="C39" s="14">
        <v>43152.5</v>
      </c>
      <c r="D39" s="13" t="s">
        <v>76</v>
      </c>
      <c r="E39" s="15" t="s">
        <v>77</v>
      </c>
      <c r="F39" s="13" t="s">
        <v>78</v>
      </c>
      <c r="G39" s="15" t="s">
        <v>79</v>
      </c>
      <c r="H39" s="13" t="s">
        <v>192</v>
      </c>
      <c r="I39" s="15" t="s">
        <v>193</v>
      </c>
      <c r="J39" s="15" t="s">
        <v>194</v>
      </c>
      <c r="K39" s="15" t="s">
        <v>195</v>
      </c>
      <c r="L39" s="13" t="s">
        <v>196</v>
      </c>
      <c r="M39" s="15" t="s">
        <v>197</v>
      </c>
      <c r="N39" s="13" t="s">
        <v>86</v>
      </c>
      <c r="O39" s="15"/>
      <c r="P39" s="15"/>
      <c r="Q39" s="15" t="s">
        <v>157</v>
      </c>
      <c r="R39" s="13" t="s">
        <v>158</v>
      </c>
      <c r="S39" s="13" t="s">
        <v>89</v>
      </c>
      <c r="T39" s="13" t="s">
        <v>138</v>
      </c>
      <c r="U39" s="14">
        <v>40725</v>
      </c>
      <c r="V39" s="14"/>
      <c r="W39" s="15"/>
      <c r="X39" s="13"/>
      <c r="Y39" s="15"/>
      <c r="Z39" s="13"/>
      <c r="AA39" s="15"/>
      <c r="AB39" s="13"/>
      <c r="AC39" s="15"/>
      <c r="AD39" s="13"/>
      <c r="AE39" s="15"/>
      <c r="AF39" s="13"/>
      <c r="AG39" s="15"/>
      <c r="AH39" s="13"/>
      <c r="AI39" s="15"/>
    </row>
    <row r="40" spans="1:35" ht="90" x14ac:dyDescent="0.25">
      <c r="A40" s="13" t="s">
        <v>164</v>
      </c>
      <c r="B40" s="13" t="s">
        <v>135</v>
      </c>
      <c r="C40" s="14">
        <v>43152.5</v>
      </c>
      <c r="D40" s="13" t="s">
        <v>76</v>
      </c>
      <c r="E40" s="15" t="s">
        <v>77</v>
      </c>
      <c r="F40" s="13" t="s">
        <v>78</v>
      </c>
      <c r="G40" s="15" t="s">
        <v>79</v>
      </c>
      <c r="H40" s="13" t="s">
        <v>192</v>
      </c>
      <c r="I40" s="15" t="s">
        <v>193</v>
      </c>
      <c r="J40" s="15" t="s">
        <v>194</v>
      </c>
      <c r="K40" s="15" t="s">
        <v>195</v>
      </c>
      <c r="L40" s="13" t="s">
        <v>198</v>
      </c>
      <c r="M40" s="15" t="s">
        <v>199</v>
      </c>
      <c r="N40" s="13" t="s">
        <v>130</v>
      </c>
      <c r="O40" s="15"/>
      <c r="P40" s="15"/>
      <c r="Q40" s="15" t="s">
        <v>157</v>
      </c>
      <c r="R40" s="13" t="s">
        <v>158</v>
      </c>
      <c r="S40" s="13" t="s">
        <v>89</v>
      </c>
      <c r="T40" s="13" t="s">
        <v>138</v>
      </c>
      <c r="U40" s="14">
        <v>40725</v>
      </c>
      <c r="V40" s="14"/>
      <c r="W40" s="15"/>
      <c r="X40" s="13"/>
      <c r="Y40" s="15"/>
      <c r="Z40" s="13"/>
      <c r="AA40" s="15"/>
      <c r="AB40" s="13"/>
      <c r="AC40" s="15"/>
      <c r="AD40" s="13"/>
      <c r="AE40" s="15"/>
      <c r="AF40" s="13"/>
      <c r="AG40" s="15"/>
      <c r="AH40" s="13"/>
      <c r="AI40" s="15"/>
    </row>
    <row r="41" spans="1:35" ht="90" x14ac:dyDescent="0.25">
      <c r="A41" s="13" t="s">
        <v>164</v>
      </c>
      <c r="B41" s="13" t="s">
        <v>135</v>
      </c>
      <c r="C41" s="14">
        <v>43189.5</v>
      </c>
      <c r="D41" s="13" t="s">
        <v>76</v>
      </c>
      <c r="E41" s="15" t="s">
        <v>77</v>
      </c>
      <c r="F41" s="13" t="s">
        <v>78</v>
      </c>
      <c r="G41" s="15" t="s">
        <v>79</v>
      </c>
      <c r="H41" s="13" t="s">
        <v>192</v>
      </c>
      <c r="I41" s="15" t="s">
        <v>193</v>
      </c>
      <c r="J41" s="15" t="s">
        <v>194</v>
      </c>
      <c r="K41" s="15" t="s">
        <v>195</v>
      </c>
      <c r="L41" s="13" t="s">
        <v>196</v>
      </c>
      <c r="M41" s="15" t="s">
        <v>197</v>
      </c>
      <c r="N41" s="13" t="s">
        <v>86</v>
      </c>
      <c r="O41" s="15"/>
      <c r="P41" s="15"/>
      <c r="Q41" s="15" t="s">
        <v>160</v>
      </c>
      <c r="R41" s="13" t="s">
        <v>161</v>
      </c>
      <c r="S41" s="13" t="s">
        <v>89</v>
      </c>
      <c r="T41" s="13" t="s">
        <v>138</v>
      </c>
      <c r="U41" s="14">
        <v>40725</v>
      </c>
      <c r="V41" s="14"/>
      <c r="W41" s="15"/>
      <c r="X41" s="13"/>
      <c r="Y41" s="15"/>
      <c r="Z41" s="13"/>
      <c r="AA41" s="15"/>
      <c r="AB41" s="13"/>
      <c r="AC41" s="15"/>
      <c r="AD41" s="13"/>
      <c r="AE41" s="15"/>
      <c r="AF41" s="13"/>
      <c r="AG41" s="15"/>
      <c r="AH41" s="13"/>
      <c r="AI41" s="15"/>
    </row>
    <row r="42" spans="1:35" ht="90" x14ac:dyDescent="0.25">
      <c r="A42" s="13" t="s">
        <v>164</v>
      </c>
      <c r="B42" s="13" t="s">
        <v>135</v>
      </c>
      <c r="C42" s="14">
        <v>43189.5</v>
      </c>
      <c r="D42" s="13" t="s">
        <v>76</v>
      </c>
      <c r="E42" s="15" t="s">
        <v>77</v>
      </c>
      <c r="F42" s="13" t="s">
        <v>78</v>
      </c>
      <c r="G42" s="15" t="s">
        <v>79</v>
      </c>
      <c r="H42" s="13" t="s">
        <v>192</v>
      </c>
      <c r="I42" s="15" t="s">
        <v>193</v>
      </c>
      <c r="J42" s="15" t="s">
        <v>194</v>
      </c>
      <c r="K42" s="15" t="s">
        <v>195</v>
      </c>
      <c r="L42" s="13" t="s">
        <v>198</v>
      </c>
      <c r="M42" s="15" t="s">
        <v>199</v>
      </c>
      <c r="N42" s="13" t="s">
        <v>130</v>
      </c>
      <c r="O42" s="15"/>
      <c r="P42" s="15"/>
      <c r="Q42" s="15" t="s">
        <v>160</v>
      </c>
      <c r="R42" s="13" t="s">
        <v>161</v>
      </c>
      <c r="S42" s="13" t="s">
        <v>89</v>
      </c>
      <c r="T42" s="13" t="s">
        <v>138</v>
      </c>
      <c r="U42" s="14">
        <v>40725</v>
      </c>
      <c r="V42" s="14"/>
      <c r="W42" s="15"/>
      <c r="X42" s="13"/>
      <c r="Y42" s="15"/>
      <c r="Z42" s="13"/>
      <c r="AA42" s="15"/>
      <c r="AB42" s="13"/>
      <c r="AC42" s="15"/>
      <c r="AD42" s="13"/>
      <c r="AE42" s="15"/>
      <c r="AF42" s="13"/>
      <c r="AG42" s="15"/>
      <c r="AH42" s="13"/>
      <c r="AI42" s="15"/>
    </row>
    <row r="43" spans="1:35" ht="90" x14ac:dyDescent="0.25">
      <c r="A43" s="13" t="s">
        <v>200</v>
      </c>
      <c r="B43" s="13" t="s">
        <v>75</v>
      </c>
      <c r="C43" s="14">
        <v>43538.742361111108</v>
      </c>
      <c r="D43" s="13" t="s">
        <v>76</v>
      </c>
      <c r="E43" s="15" t="s">
        <v>77</v>
      </c>
      <c r="F43" s="13" t="s">
        <v>78</v>
      </c>
      <c r="G43" s="15" t="s">
        <v>79</v>
      </c>
      <c r="H43" s="13" t="s">
        <v>192</v>
      </c>
      <c r="I43" s="15" t="s">
        <v>193</v>
      </c>
      <c r="J43" s="15" t="s">
        <v>194</v>
      </c>
      <c r="K43" s="15" t="s">
        <v>195</v>
      </c>
      <c r="L43" s="13" t="s">
        <v>196</v>
      </c>
      <c r="M43" s="15" t="s">
        <v>197</v>
      </c>
      <c r="N43" s="13" t="s">
        <v>86</v>
      </c>
      <c r="O43" s="15"/>
      <c r="P43" s="15"/>
      <c r="Q43" s="15" t="s">
        <v>178</v>
      </c>
      <c r="R43" s="13" t="s">
        <v>179</v>
      </c>
      <c r="S43" s="13" t="s">
        <v>167</v>
      </c>
      <c r="T43" s="13" t="s">
        <v>90</v>
      </c>
      <c r="U43" s="14">
        <v>40725</v>
      </c>
      <c r="V43" s="14">
        <v>41705</v>
      </c>
      <c r="W43" s="15"/>
      <c r="X43" s="13"/>
      <c r="Y43" s="15"/>
      <c r="Z43" s="13"/>
      <c r="AA43" s="15"/>
      <c r="AB43" s="13"/>
      <c r="AC43" s="15"/>
      <c r="AD43" s="13"/>
      <c r="AE43" s="15"/>
      <c r="AF43" s="13"/>
      <c r="AG43" s="15"/>
      <c r="AH43" s="13"/>
      <c r="AI43" s="15"/>
    </row>
    <row r="44" spans="1:35" ht="90" x14ac:dyDescent="0.25">
      <c r="A44" s="13" t="s">
        <v>134</v>
      </c>
      <c r="B44" s="13" t="s">
        <v>75</v>
      </c>
      <c r="C44" s="14">
        <v>44934.823611111111</v>
      </c>
      <c r="D44" s="13" t="s">
        <v>76</v>
      </c>
      <c r="E44" s="15" t="s">
        <v>77</v>
      </c>
      <c r="F44" s="13" t="s">
        <v>78</v>
      </c>
      <c r="G44" s="15" t="s">
        <v>79</v>
      </c>
      <c r="H44" s="13" t="s">
        <v>192</v>
      </c>
      <c r="I44" s="15" t="s">
        <v>193</v>
      </c>
      <c r="J44" s="15" t="s">
        <v>194</v>
      </c>
      <c r="K44" s="15" t="s">
        <v>195</v>
      </c>
      <c r="L44" s="13" t="s">
        <v>196</v>
      </c>
      <c r="M44" s="15" t="s">
        <v>197</v>
      </c>
      <c r="N44" s="13" t="s">
        <v>86</v>
      </c>
      <c r="O44" s="15"/>
      <c r="P44" s="15"/>
      <c r="Q44" s="15" t="s">
        <v>178</v>
      </c>
      <c r="R44" s="13" t="s">
        <v>179</v>
      </c>
      <c r="S44" s="13" t="s">
        <v>167</v>
      </c>
      <c r="T44" s="13" t="s">
        <v>90</v>
      </c>
      <c r="U44" s="14">
        <v>41706</v>
      </c>
      <c r="V44" s="14"/>
      <c r="W44" s="15"/>
      <c r="X44" s="13"/>
      <c r="Y44" s="15"/>
      <c r="Z44" s="13"/>
      <c r="AA44" s="15"/>
      <c r="AB44" s="13"/>
      <c r="AC44" s="15"/>
      <c r="AD44" s="13"/>
      <c r="AE44" s="15"/>
      <c r="AF44" s="13"/>
      <c r="AG44" s="15"/>
      <c r="AH44" s="13"/>
      <c r="AI44" s="15"/>
    </row>
    <row r="45" spans="1:35" ht="90" x14ac:dyDescent="0.25">
      <c r="A45" s="13" t="s">
        <v>200</v>
      </c>
      <c r="B45" s="13" t="s">
        <v>75</v>
      </c>
      <c r="C45" s="14">
        <v>43538.747916666667</v>
      </c>
      <c r="D45" s="13" t="s">
        <v>76</v>
      </c>
      <c r="E45" s="15" t="s">
        <v>77</v>
      </c>
      <c r="F45" s="13" t="s">
        <v>78</v>
      </c>
      <c r="G45" s="15" t="s">
        <v>79</v>
      </c>
      <c r="H45" s="13" t="s">
        <v>192</v>
      </c>
      <c r="I45" s="15" t="s">
        <v>193</v>
      </c>
      <c r="J45" s="15" t="s">
        <v>194</v>
      </c>
      <c r="K45" s="15" t="s">
        <v>195</v>
      </c>
      <c r="L45" s="13" t="s">
        <v>198</v>
      </c>
      <c r="M45" s="15" t="s">
        <v>199</v>
      </c>
      <c r="N45" s="13" t="s">
        <v>130</v>
      </c>
      <c r="O45" s="15"/>
      <c r="P45" s="15"/>
      <c r="Q45" s="15" t="s">
        <v>178</v>
      </c>
      <c r="R45" s="13" t="s">
        <v>179</v>
      </c>
      <c r="S45" s="13" t="s">
        <v>167</v>
      </c>
      <c r="T45" s="13" t="s">
        <v>90</v>
      </c>
      <c r="U45" s="14">
        <v>40725</v>
      </c>
      <c r="V45" s="14">
        <v>41705</v>
      </c>
      <c r="W45" s="15"/>
      <c r="X45" s="13"/>
      <c r="Y45" s="15"/>
      <c r="Z45" s="13"/>
      <c r="AA45" s="15"/>
      <c r="AB45" s="13"/>
      <c r="AC45" s="15"/>
      <c r="AD45" s="13"/>
      <c r="AE45" s="15"/>
      <c r="AF45" s="13"/>
      <c r="AG45" s="15"/>
      <c r="AH45" s="13"/>
      <c r="AI45" s="15"/>
    </row>
    <row r="46" spans="1:35" ht="90" x14ac:dyDescent="0.25">
      <c r="A46" s="13" t="s">
        <v>134</v>
      </c>
      <c r="B46" s="13" t="s">
        <v>75</v>
      </c>
      <c r="C46" s="14">
        <v>44934.824305555558</v>
      </c>
      <c r="D46" s="13" t="s">
        <v>76</v>
      </c>
      <c r="E46" s="15" t="s">
        <v>77</v>
      </c>
      <c r="F46" s="13" t="s">
        <v>78</v>
      </c>
      <c r="G46" s="15" t="s">
        <v>79</v>
      </c>
      <c r="H46" s="13" t="s">
        <v>192</v>
      </c>
      <c r="I46" s="15" t="s">
        <v>193</v>
      </c>
      <c r="J46" s="15" t="s">
        <v>194</v>
      </c>
      <c r="K46" s="15" t="s">
        <v>195</v>
      </c>
      <c r="L46" s="13" t="s">
        <v>198</v>
      </c>
      <c r="M46" s="15" t="s">
        <v>199</v>
      </c>
      <c r="N46" s="13" t="s">
        <v>130</v>
      </c>
      <c r="O46" s="15"/>
      <c r="P46" s="15"/>
      <c r="Q46" s="15" t="s">
        <v>178</v>
      </c>
      <c r="R46" s="13" t="s">
        <v>179</v>
      </c>
      <c r="S46" s="13" t="s">
        <v>167</v>
      </c>
      <c r="T46" s="13" t="s">
        <v>90</v>
      </c>
      <c r="U46" s="14">
        <v>41706</v>
      </c>
      <c r="V46" s="14"/>
      <c r="W46" s="15"/>
      <c r="X46" s="13"/>
      <c r="Y46" s="15"/>
      <c r="Z46" s="13"/>
      <c r="AA46" s="15"/>
      <c r="AB46" s="13"/>
      <c r="AC46" s="15"/>
      <c r="AD46" s="13"/>
      <c r="AE46" s="15"/>
      <c r="AF46" s="13"/>
      <c r="AG46" s="15"/>
      <c r="AH46" s="13"/>
      <c r="AI46" s="15"/>
    </row>
    <row r="47" spans="1:35" ht="90" x14ac:dyDescent="0.25">
      <c r="A47" s="13" t="s">
        <v>164</v>
      </c>
      <c r="B47" s="13" t="s">
        <v>135</v>
      </c>
      <c r="C47" s="14">
        <v>43165.488888888889</v>
      </c>
      <c r="D47" s="13" t="s">
        <v>76</v>
      </c>
      <c r="E47" s="15" t="s">
        <v>77</v>
      </c>
      <c r="F47" s="13" t="s">
        <v>78</v>
      </c>
      <c r="G47" s="15" t="s">
        <v>79</v>
      </c>
      <c r="H47" s="13" t="s">
        <v>192</v>
      </c>
      <c r="I47" s="15" t="s">
        <v>193</v>
      </c>
      <c r="J47" s="15" t="s">
        <v>194</v>
      </c>
      <c r="K47" s="15" t="s">
        <v>195</v>
      </c>
      <c r="L47" s="13" t="s">
        <v>196</v>
      </c>
      <c r="M47" s="15" t="s">
        <v>197</v>
      </c>
      <c r="N47" s="13" t="s">
        <v>86</v>
      </c>
      <c r="O47" s="15"/>
      <c r="P47" s="15"/>
      <c r="Q47" s="15" t="s">
        <v>190</v>
      </c>
      <c r="R47" s="13" t="s">
        <v>191</v>
      </c>
      <c r="S47" s="13" t="s">
        <v>167</v>
      </c>
      <c r="T47" s="13" t="s">
        <v>138</v>
      </c>
      <c r="U47" s="14">
        <v>43101</v>
      </c>
      <c r="V47" s="14"/>
      <c r="W47" s="15"/>
      <c r="X47" s="13"/>
      <c r="Y47" s="15"/>
      <c r="Z47" s="13"/>
      <c r="AA47" s="15"/>
      <c r="AB47" s="13"/>
      <c r="AC47" s="15"/>
      <c r="AD47" s="13"/>
      <c r="AE47" s="15"/>
      <c r="AF47" s="13"/>
      <c r="AG47" s="15"/>
      <c r="AH47" s="13"/>
      <c r="AI47" s="15"/>
    </row>
    <row r="48" spans="1:35" ht="90" x14ac:dyDescent="0.25">
      <c r="A48" s="13" t="s">
        <v>164</v>
      </c>
      <c r="B48" s="13" t="s">
        <v>135</v>
      </c>
      <c r="C48" s="14">
        <v>43165.488888888889</v>
      </c>
      <c r="D48" s="13" t="s">
        <v>76</v>
      </c>
      <c r="E48" s="15" t="s">
        <v>77</v>
      </c>
      <c r="F48" s="13" t="s">
        <v>78</v>
      </c>
      <c r="G48" s="15" t="s">
        <v>79</v>
      </c>
      <c r="H48" s="13" t="s">
        <v>192</v>
      </c>
      <c r="I48" s="15" t="s">
        <v>193</v>
      </c>
      <c r="J48" s="15" t="s">
        <v>194</v>
      </c>
      <c r="K48" s="15" t="s">
        <v>195</v>
      </c>
      <c r="L48" s="13" t="s">
        <v>198</v>
      </c>
      <c r="M48" s="15" t="s">
        <v>199</v>
      </c>
      <c r="N48" s="13" t="s">
        <v>130</v>
      </c>
      <c r="O48" s="15"/>
      <c r="P48" s="15"/>
      <c r="Q48" s="15" t="s">
        <v>190</v>
      </c>
      <c r="R48" s="13" t="s">
        <v>191</v>
      </c>
      <c r="S48" s="13" t="s">
        <v>167</v>
      </c>
      <c r="T48" s="13" t="s">
        <v>138</v>
      </c>
      <c r="U48" s="14">
        <v>43101</v>
      </c>
      <c r="V48" s="14"/>
      <c r="W48" s="15"/>
      <c r="X48" s="13"/>
      <c r="Y48" s="15"/>
      <c r="Z48" s="13"/>
      <c r="AA48" s="15"/>
      <c r="AB48" s="13"/>
      <c r="AC48" s="15"/>
      <c r="AD48" s="13"/>
      <c r="AE48" s="15"/>
      <c r="AF48" s="13"/>
      <c r="AG48" s="15"/>
      <c r="AH48" s="13"/>
      <c r="AI48" s="15"/>
    </row>
    <row r="49" spans="3:22" x14ac:dyDescent="0.25">
      <c r="C49" s="16"/>
      <c r="U49" s="16"/>
      <c r="V49" s="16"/>
    </row>
    <row r="50" spans="3:22" x14ac:dyDescent="0.25">
      <c r="C50" s="16"/>
      <c r="U50" s="16"/>
      <c r="V50" s="16"/>
    </row>
    <row r="51" spans="3:22" x14ac:dyDescent="0.25">
      <c r="C51" s="16"/>
      <c r="U51" s="16"/>
      <c r="V51" s="16"/>
    </row>
    <row r="52" spans="3:22" x14ac:dyDescent="0.25">
      <c r="C52" s="16"/>
      <c r="U52" s="16"/>
      <c r="V52" s="16"/>
    </row>
    <row r="53" spans="3:22" x14ac:dyDescent="0.25">
      <c r="C53" s="16"/>
      <c r="U53" s="16"/>
      <c r="V53" s="16"/>
    </row>
    <row r="54" spans="3:22" x14ac:dyDescent="0.25">
      <c r="C54" s="16"/>
      <c r="U54" s="16"/>
      <c r="V54" s="16"/>
    </row>
    <row r="55" spans="3:22" x14ac:dyDescent="0.25">
      <c r="C55" s="16"/>
      <c r="U55" s="16"/>
      <c r="V55" s="16"/>
    </row>
    <row r="56" spans="3:22" x14ac:dyDescent="0.25">
      <c r="C56" s="16"/>
      <c r="U56" s="16"/>
      <c r="V56" s="16"/>
    </row>
    <row r="57" spans="3:22" x14ac:dyDescent="0.25">
      <c r="C57" s="16"/>
      <c r="U57" s="16"/>
      <c r="V57" s="16"/>
    </row>
    <row r="58" spans="3:22" x14ac:dyDescent="0.25">
      <c r="C58" s="16"/>
      <c r="U58" s="16"/>
      <c r="V58" s="16"/>
    </row>
    <row r="59" spans="3:22" x14ac:dyDescent="0.25">
      <c r="C59" s="16"/>
      <c r="U59" s="16"/>
      <c r="V59" s="16"/>
    </row>
    <row r="60" spans="3:22" x14ac:dyDescent="0.25">
      <c r="C60" s="16"/>
      <c r="U60" s="16"/>
      <c r="V60" s="16"/>
    </row>
    <row r="61" spans="3:22" x14ac:dyDescent="0.25">
      <c r="C61" s="16"/>
      <c r="U61" s="16"/>
      <c r="V61" s="16"/>
    </row>
    <row r="62" spans="3:22" x14ac:dyDescent="0.25">
      <c r="C62" s="16"/>
      <c r="U62" s="16"/>
      <c r="V62" s="16"/>
    </row>
    <row r="63" spans="3:22" x14ac:dyDescent="0.25">
      <c r="C63" s="16"/>
      <c r="U63" s="16"/>
      <c r="V63" s="16"/>
    </row>
    <row r="64" spans="3:22" x14ac:dyDescent="0.25">
      <c r="C64" s="16"/>
      <c r="U64" s="16"/>
      <c r="V64" s="16"/>
    </row>
    <row r="65" spans="3:22" x14ac:dyDescent="0.25">
      <c r="C65" s="16"/>
      <c r="U65" s="16"/>
      <c r="V65" s="16"/>
    </row>
    <row r="66" spans="3:22" x14ac:dyDescent="0.25">
      <c r="C66" s="16"/>
      <c r="U66" s="16"/>
      <c r="V66" s="16"/>
    </row>
    <row r="67" spans="3:22" x14ac:dyDescent="0.25">
      <c r="C67" s="16"/>
      <c r="U67" s="16"/>
      <c r="V67" s="16"/>
    </row>
    <row r="68" spans="3:22" x14ac:dyDescent="0.25">
      <c r="C68" s="16"/>
      <c r="U68" s="16"/>
      <c r="V68" s="16"/>
    </row>
    <row r="69" spans="3:22" x14ac:dyDescent="0.25">
      <c r="C69" s="16"/>
      <c r="U69" s="16"/>
      <c r="V69" s="16"/>
    </row>
    <row r="70" spans="3:22" x14ac:dyDescent="0.25">
      <c r="C70" s="16"/>
      <c r="U70" s="16"/>
      <c r="V70" s="16"/>
    </row>
    <row r="71" spans="3:22" x14ac:dyDescent="0.25">
      <c r="C71" s="16"/>
      <c r="U71" s="16"/>
      <c r="V71" s="16"/>
    </row>
    <row r="72" spans="3:22" x14ac:dyDescent="0.25">
      <c r="C72" s="16"/>
      <c r="U72" s="16"/>
      <c r="V72" s="16"/>
    </row>
    <row r="73" spans="3:22" x14ac:dyDescent="0.25">
      <c r="C73" s="16"/>
      <c r="U73" s="16"/>
      <c r="V73" s="16"/>
    </row>
    <row r="74" spans="3:22" x14ac:dyDescent="0.25">
      <c r="C74" s="16"/>
      <c r="U74" s="16"/>
      <c r="V74" s="16"/>
    </row>
    <row r="75" spans="3:22" x14ac:dyDescent="0.25">
      <c r="C75" s="16"/>
      <c r="U75" s="16"/>
      <c r="V75" s="16"/>
    </row>
    <row r="76" spans="3:22" x14ac:dyDescent="0.25">
      <c r="C76" s="16"/>
      <c r="U76" s="16"/>
      <c r="V76" s="16"/>
    </row>
    <row r="77" spans="3:22" x14ac:dyDescent="0.25">
      <c r="C77" s="16"/>
      <c r="U77" s="16"/>
      <c r="V77" s="16"/>
    </row>
    <row r="78" spans="3:22" x14ac:dyDescent="0.25">
      <c r="C78" s="16"/>
      <c r="U78" s="16"/>
      <c r="V78" s="16"/>
    </row>
    <row r="79" spans="3:22" x14ac:dyDescent="0.25">
      <c r="C79" s="16"/>
      <c r="U79" s="16"/>
      <c r="V79" s="16"/>
    </row>
    <row r="80" spans="3:22" x14ac:dyDescent="0.25">
      <c r="C80" s="16"/>
      <c r="U80" s="16"/>
      <c r="V80" s="16"/>
    </row>
    <row r="81" spans="3:22" x14ac:dyDescent="0.25">
      <c r="C81" s="16"/>
      <c r="U81" s="16"/>
      <c r="V81" s="16"/>
    </row>
    <row r="82" spans="3:22" x14ac:dyDescent="0.25">
      <c r="C82" s="16"/>
      <c r="U82" s="16"/>
      <c r="V82" s="16"/>
    </row>
    <row r="83" spans="3:22" x14ac:dyDescent="0.25">
      <c r="C83" s="16"/>
      <c r="U83" s="16"/>
      <c r="V83" s="16"/>
    </row>
    <row r="84" spans="3:22" x14ac:dyDescent="0.25">
      <c r="C84" s="16"/>
      <c r="U84" s="16"/>
      <c r="V84" s="16"/>
    </row>
    <row r="85" spans="3:22" x14ac:dyDescent="0.25">
      <c r="C85" s="16"/>
      <c r="U85" s="16"/>
      <c r="V85" s="16"/>
    </row>
    <row r="86" spans="3:22" x14ac:dyDescent="0.25">
      <c r="C86" s="16"/>
      <c r="U86" s="16"/>
      <c r="V86" s="16"/>
    </row>
    <row r="87" spans="3:22" x14ac:dyDescent="0.25">
      <c r="C87" s="16"/>
      <c r="U87" s="16"/>
      <c r="V87" s="16"/>
    </row>
    <row r="88" spans="3:22" x14ac:dyDescent="0.25">
      <c r="C88" s="16"/>
      <c r="U88" s="16"/>
      <c r="V88" s="16"/>
    </row>
    <row r="89" spans="3:22" x14ac:dyDescent="0.25">
      <c r="C89" s="16"/>
      <c r="U89" s="16"/>
      <c r="V89" s="16"/>
    </row>
    <row r="90" spans="3:22" x14ac:dyDescent="0.25">
      <c r="C90" s="16"/>
      <c r="U90" s="16"/>
      <c r="V90" s="16"/>
    </row>
    <row r="91" spans="3:22" x14ac:dyDescent="0.25">
      <c r="C91" s="16"/>
      <c r="U91" s="16"/>
      <c r="V91" s="16"/>
    </row>
    <row r="92" spans="3:22" x14ac:dyDescent="0.25">
      <c r="C92" s="16"/>
      <c r="U92" s="16"/>
      <c r="V92" s="16"/>
    </row>
    <row r="93" spans="3:22" x14ac:dyDescent="0.25">
      <c r="C93" s="16"/>
      <c r="U93" s="16"/>
      <c r="V93" s="16"/>
    </row>
    <row r="94" spans="3:22" x14ac:dyDescent="0.25">
      <c r="C94" s="16"/>
      <c r="U94" s="16"/>
      <c r="V94" s="16"/>
    </row>
    <row r="95" spans="3:22" x14ac:dyDescent="0.25">
      <c r="C95" s="16"/>
      <c r="U95" s="16"/>
      <c r="V95" s="16"/>
    </row>
    <row r="96" spans="3:22" x14ac:dyDescent="0.25">
      <c r="C96" s="16"/>
      <c r="U96" s="16"/>
      <c r="V96" s="16"/>
    </row>
    <row r="97" spans="3:22" x14ac:dyDescent="0.25">
      <c r="C97" s="16"/>
      <c r="U97" s="16"/>
      <c r="V97" s="16"/>
    </row>
    <row r="98" spans="3:22" x14ac:dyDescent="0.25">
      <c r="C98" s="16"/>
      <c r="U98" s="16"/>
      <c r="V98" s="16"/>
    </row>
    <row r="99" spans="3:22" x14ac:dyDescent="0.25">
      <c r="C99" s="16"/>
      <c r="U99" s="16"/>
      <c r="V99" s="16"/>
    </row>
    <row r="100" spans="3:22" x14ac:dyDescent="0.25">
      <c r="C100" s="16"/>
      <c r="U100" s="16"/>
      <c r="V100" s="16"/>
    </row>
    <row r="101" spans="3:22" x14ac:dyDescent="0.25">
      <c r="C101" s="16"/>
      <c r="U101" s="16"/>
      <c r="V101" s="16"/>
    </row>
    <row r="102" spans="3:22" x14ac:dyDescent="0.25">
      <c r="C102" s="16"/>
      <c r="U102" s="16"/>
      <c r="V102" s="16"/>
    </row>
    <row r="103" spans="3:22" x14ac:dyDescent="0.25">
      <c r="C103" s="16"/>
      <c r="U103" s="16"/>
      <c r="V103" s="16"/>
    </row>
    <row r="104" spans="3:22" x14ac:dyDescent="0.25">
      <c r="C104" s="16"/>
      <c r="U104" s="16"/>
      <c r="V104" s="16"/>
    </row>
    <row r="105" spans="3:22" x14ac:dyDescent="0.25">
      <c r="C105" s="16"/>
      <c r="U105" s="16"/>
      <c r="V105" s="16"/>
    </row>
    <row r="106" spans="3:22" x14ac:dyDescent="0.25">
      <c r="C106" s="16"/>
      <c r="U106" s="16"/>
      <c r="V106" s="16"/>
    </row>
    <row r="107" spans="3:22" x14ac:dyDescent="0.25">
      <c r="C107" s="16"/>
      <c r="U107" s="16"/>
      <c r="V107" s="16"/>
    </row>
    <row r="108" spans="3:22" x14ac:dyDescent="0.25">
      <c r="C108" s="16"/>
      <c r="U108" s="16"/>
      <c r="V108" s="16"/>
    </row>
    <row r="109" spans="3:22" x14ac:dyDescent="0.25">
      <c r="C109" s="16"/>
      <c r="U109" s="16"/>
      <c r="V109" s="16"/>
    </row>
    <row r="110" spans="3:22" x14ac:dyDescent="0.25">
      <c r="C110" s="16"/>
      <c r="U110" s="16"/>
      <c r="V110" s="16"/>
    </row>
    <row r="111" spans="3:22" x14ac:dyDescent="0.25">
      <c r="C111" s="16"/>
      <c r="U111" s="16"/>
      <c r="V111" s="16"/>
    </row>
    <row r="112" spans="3:22" x14ac:dyDescent="0.25">
      <c r="C112" s="16"/>
      <c r="U112" s="16"/>
      <c r="V112" s="16"/>
    </row>
    <row r="113" spans="3:22" x14ac:dyDescent="0.25">
      <c r="C113" s="16"/>
      <c r="U113" s="16"/>
      <c r="V113" s="16"/>
    </row>
    <row r="114" spans="3:22" x14ac:dyDescent="0.25">
      <c r="C114" s="16"/>
      <c r="U114" s="16"/>
      <c r="V114" s="16"/>
    </row>
    <row r="115" spans="3:22" x14ac:dyDescent="0.25">
      <c r="C115" s="16"/>
      <c r="U115" s="16"/>
      <c r="V115" s="16"/>
    </row>
    <row r="116" spans="3:22" x14ac:dyDescent="0.25">
      <c r="C116" s="16"/>
      <c r="U116" s="16"/>
      <c r="V116" s="16"/>
    </row>
    <row r="117" spans="3:22" x14ac:dyDescent="0.25">
      <c r="C117" s="16"/>
      <c r="U117" s="16"/>
      <c r="V117" s="16"/>
    </row>
    <row r="118" spans="3:22" x14ac:dyDescent="0.25">
      <c r="C118" s="16"/>
      <c r="U118" s="16"/>
      <c r="V118" s="16"/>
    </row>
    <row r="119" spans="3:22" x14ac:dyDescent="0.25">
      <c r="C119" s="16"/>
      <c r="U119" s="16"/>
      <c r="V119" s="16"/>
    </row>
    <row r="120" spans="3:22" x14ac:dyDescent="0.25">
      <c r="C120" s="16"/>
      <c r="U120" s="16"/>
      <c r="V120" s="16"/>
    </row>
    <row r="121" spans="3:22" x14ac:dyDescent="0.25">
      <c r="C121" s="16"/>
      <c r="U121" s="16"/>
      <c r="V121" s="16"/>
    </row>
    <row r="122" spans="3:22" x14ac:dyDescent="0.25">
      <c r="C122" s="16"/>
      <c r="U122" s="16"/>
      <c r="V122" s="16"/>
    </row>
    <row r="123" spans="3:22" x14ac:dyDescent="0.25">
      <c r="C123" s="16"/>
      <c r="U123" s="16"/>
      <c r="V123" s="16"/>
    </row>
    <row r="124" spans="3:22" x14ac:dyDescent="0.25">
      <c r="C124" s="16"/>
      <c r="U124" s="16"/>
      <c r="V124" s="16"/>
    </row>
    <row r="125" spans="3:22" x14ac:dyDescent="0.25">
      <c r="C125" s="16"/>
      <c r="U125" s="16"/>
      <c r="V125" s="16"/>
    </row>
    <row r="126" spans="3:22" x14ac:dyDescent="0.25">
      <c r="C126" s="16"/>
      <c r="U126" s="16"/>
      <c r="V126" s="16"/>
    </row>
    <row r="127" spans="3:22" x14ac:dyDescent="0.25">
      <c r="C127" s="16"/>
      <c r="U127" s="16"/>
      <c r="V127" s="16"/>
    </row>
    <row r="128" spans="3:22" x14ac:dyDescent="0.25">
      <c r="C128" s="16"/>
      <c r="U128" s="16"/>
      <c r="V128" s="16"/>
    </row>
    <row r="129" spans="3:22" x14ac:dyDescent="0.25">
      <c r="C129" s="16"/>
      <c r="U129" s="16"/>
      <c r="V129" s="16"/>
    </row>
    <row r="130" spans="3:22" x14ac:dyDescent="0.25">
      <c r="C130" s="16"/>
      <c r="U130" s="16"/>
      <c r="V130" s="16"/>
    </row>
    <row r="131" spans="3:22" x14ac:dyDescent="0.25">
      <c r="C131" s="16"/>
      <c r="U131" s="16"/>
      <c r="V131" s="16"/>
    </row>
    <row r="132" spans="3:22" x14ac:dyDescent="0.25">
      <c r="C132" s="16"/>
      <c r="U132" s="16"/>
      <c r="V132" s="16"/>
    </row>
    <row r="133" spans="3:22" x14ac:dyDescent="0.25">
      <c r="C133" s="16"/>
      <c r="U133" s="16"/>
      <c r="V133" s="16"/>
    </row>
    <row r="134" spans="3:22" x14ac:dyDescent="0.25">
      <c r="C134" s="16"/>
      <c r="U134" s="16"/>
      <c r="V134" s="16"/>
    </row>
    <row r="135" spans="3:22" x14ac:dyDescent="0.25">
      <c r="C135" s="16"/>
      <c r="U135" s="16"/>
      <c r="V135" s="16"/>
    </row>
    <row r="136" spans="3:22" x14ac:dyDescent="0.25">
      <c r="C136" s="16"/>
      <c r="U136" s="16"/>
      <c r="V136" s="16"/>
    </row>
    <row r="137" spans="3:22" x14ac:dyDescent="0.25">
      <c r="C137" s="16"/>
      <c r="U137" s="16"/>
      <c r="V137" s="16"/>
    </row>
    <row r="138" spans="3:22" x14ac:dyDescent="0.25">
      <c r="C138" s="16"/>
      <c r="U138" s="16"/>
      <c r="V138" s="16"/>
    </row>
    <row r="139" spans="3:22" x14ac:dyDescent="0.25">
      <c r="C139" s="16"/>
      <c r="U139" s="16"/>
      <c r="V139" s="16"/>
    </row>
    <row r="140" spans="3:22" x14ac:dyDescent="0.25">
      <c r="C140" s="16"/>
      <c r="U140" s="16"/>
      <c r="V140" s="16"/>
    </row>
    <row r="141" spans="3:22" x14ac:dyDescent="0.25">
      <c r="C141" s="16"/>
      <c r="U141" s="16"/>
      <c r="V141" s="16"/>
    </row>
    <row r="142" spans="3:22" x14ac:dyDescent="0.25">
      <c r="C142" s="16"/>
      <c r="U142" s="16"/>
      <c r="V142" s="16"/>
    </row>
    <row r="143" spans="3:22" x14ac:dyDescent="0.25">
      <c r="C143" s="16"/>
      <c r="U143" s="16"/>
      <c r="V143" s="16"/>
    </row>
    <row r="144" spans="3:22" x14ac:dyDescent="0.25">
      <c r="C144" s="16"/>
      <c r="U144" s="16"/>
      <c r="V144" s="16"/>
    </row>
    <row r="145" spans="3:22" x14ac:dyDescent="0.25">
      <c r="C145" s="16"/>
      <c r="U145" s="16"/>
      <c r="V145" s="16"/>
    </row>
    <row r="146" spans="3:22" x14ac:dyDescent="0.25">
      <c r="C146" s="16"/>
      <c r="U146" s="16"/>
      <c r="V146" s="16"/>
    </row>
    <row r="147" spans="3:22" x14ac:dyDescent="0.25">
      <c r="C147" s="16"/>
      <c r="U147" s="16"/>
      <c r="V147" s="16"/>
    </row>
    <row r="148" spans="3:22" x14ac:dyDescent="0.25">
      <c r="C148" s="16"/>
      <c r="U148" s="16"/>
      <c r="V148" s="16"/>
    </row>
    <row r="149" spans="3:22" x14ac:dyDescent="0.25">
      <c r="C149" s="16"/>
      <c r="U149" s="16"/>
      <c r="V149" s="16"/>
    </row>
    <row r="150" spans="3:22" x14ac:dyDescent="0.25">
      <c r="C150" s="16"/>
      <c r="U150" s="16"/>
      <c r="V150" s="16"/>
    </row>
    <row r="151" spans="3:22" x14ac:dyDescent="0.25">
      <c r="C151" s="16"/>
      <c r="U151" s="16"/>
      <c r="V151" s="16"/>
    </row>
    <row r="152" spans="3:22" x14ac:dyDescent="0.25">
      <c r="C152" s="16"/>
      <c r="U152" s="16"/>
      <c r="V152" s="16"/>
    </row>
    <row r="153" spans="3:22" x14ac:dyDescent="0.25">
      <c r="C153" s="16"/>
      <c r="U153" s="16"/>
      <c r="V153" s="16"/>
    </row>
    <row r="154" spans="3:22" x14ac:dyDescent="0.25">
      <c r="C154" s="16"/>
      <c r="U154" s="16"/>
      <c r="V154" s="16"/>
    </row>
    <row r="155" spans="3:22" x14ac:dyDescent="0.25">
      <c r="C155" s="16"/>
      <c r="U155" s="16"/>
      <c r="V155" s="16"/>
    </row>
    <row r="156" spans="3:22" x14ac:dyDescent="0.25">
      <c r="C156" s="16"/>
      <c r="U156" s="16"/>
      <c r="V156" s="16"/>
    </row>
    <row r="157" spans="3:22" x14ac:dyDescent="0.25">
      <c r="C157" s="16"/>
      <c r="U157" s="16"/>
      <c r="V157" s="16"/>
    </row>
    <row r="158" spans="3:22" x14ac:dyDescent="0.25">
      <c r="C158" s="16"/>
      <c r="U158" s="16"/>
      <c r="V158" s="16"/>
    </row>
    <row r="159" spans="3:22" x14ac:dyDescent="0.25">
      <c r="C159" s="16"/>
      <c r="U159" s="16"/>
      <c r="V159" s="16"/>
    </row>
    <row r="160" spans="3:22" x14ac:dyDescent="0.25">
      <c r="C160" s="16"/>
      <c r="U160" s="16"/>
      <c r="V160" s="16"/>
    </row>
    <row r="161" spans="3:22" x14ac:dyDescent="0.25">
      <c r="C161" s="16"/>
      <c r="U161" s="16"/>
      <c r="V161" s="16"/>
    </row>
    <row r="162" spans="3:22" x14ac:dyDescent="0.25">
      <c r="C162" s="16"/>
      <c r="U162" s="16"/>
      <c r="V162" s="16"/>
    </row>
    <row r="163" spans="3:22" x14ac:dyDescent="0.25">
      <c r="C163" s="16"/>
      <c r="U163" s="16"/>
      <c r="V163" s="16"/>
    </row>
    <row r="164" spans="3:22" x14ac:dyDescent="0.25">
      <c r="C164" s="16"/>
      <c r="U164" s="16"/>
      <c r="V164" s="16"/>
    </row>
    <row r="165" spans="3:22" x14ac:dyDescent="0.25">
      <c r="C165" s="16"/>
      <c r="U165" s="16"/>
      <c r="V165" s="16"/>
    </row>
    <row r="166" spans="3:22" x14ac:dyDescent="0.25">
      <c r="C166" s="16"/>
      <c r="U166" s="16"/>
      <c r="V166" s="16"/>
    </row>
    <row r="167" spans="3:22" x14ac:dyDescent="0.25">
      <c r="C167" s="16"/>
      <c r="U167" s="16"/>
      <c r="V167" s="16"/>
    </row>
    <row r="168" spans="3:22" x14ac:dyDescent="0.25">
      <c r="C168" s="16"/>
      <c r="U168" s="16"/>
      <c r="V168" s="16"/>
    </row>
    <row r="169" spans="3:22" x14ac:dyDescent="0.25">
      <c r="C169" s="16"/>
      <c r="U169" s="16"/>
      <c r="V169" s="16"/>
    </row>
    <row r="170" spans="3:22" x14ac:dyDescent="0.25">
      <c r="C170" s="16"/>
      <c r="U170" s="16"/>
      <c r="V170" s="16"/>
    </row>
    <row r="171" spans="3:22" x14ac:dyDescent="0.25">
      <c r="C171" s="16"/>
      <c r="U171" s="16"/>
      <c r="V171" s="16"/>
    </row>
    <row r="172" spans="3:22" x14ac:dyDescent="0.25">
      <c r="C172" s="16"/>
      <c r="U172" s="16"/>
      <c r="V172" s="16"/>
    </row>
    <row r="173" spans="3:22" x14ac:dyDescent="0.25">
      <c r="C173" s="16"/>
      <c r="U173" s="16"/>
      <c r="V173" s="16"/>
    </row>
    <row r="174" spans="3:22" x14ac:dyDescent="0.25">
      <c r="C174" s="16"/>
      <c r="U174" s="16"/>
      <c r="V174" s="16"/>
    </row>
    <row r="175" spans="3:22" x14ac:dyDescent="0.25">
      <c r="C175" s="16"/>
      <c r="U175" s="16"/>
      <c r="V175" s="16"/>
    </row>
    <row r="176" spans="3:22" x14ac:dyDescent="0.25">
      <c r="C176" s="16"/>
      <c r="U176" s="16"/>
      <c r="V176" s="16"/>
    </row>
    <row r="177" spans="3:22" x14ac:dyDescent="0.25">
      <c r="C177" s="16"/>
      <c r="U177" s="16"/>
      <c r="V177" s="16"/>
    </row>
    <row r="178" spans="3:22" x14ac:dyDescent="0.25">
      <c r="C178" s="16"/>
      <c r="U178" s="16"/>
      <c r="V178" s="16"/>
    </row>
    <row r="179" spans="3:22" x14ac:dyDescent="0.25">
      <c r="C179" s="16"/>
      <c r="U179" s="16"/>
      <c r="V179" s="16"/>
    </row>
    <row r="180" spans="3:22" x14ac:dyDescent="0.25">
      <c r="C180" s="16"/>
      <c r="U180" s="16"/>
      <c r="V180" s="16"/>
    </row>
    <row r="181" spans="3:22" x14ac:dyDescent="0.25">
      <c r="C181" s="16"/>
      <c r="U181" s="16"/>
      <c r="V181" s="16"/>
    </row>
    <row r="182" spans="3:22" x14ac:dyDescent="0.25">
      <c r="C182" s="16"/>
      <c r="U182" s="16"/>
      <c r="V182" s="16"/>
    </row>
    <row r="183" spans="3:22" x14ac:dyDescent="0.25">
      <c r="C183" s="16"/>
      <c r="U183" s="16"/>
      <c r="V183" s="16"/>
    </row>
    <row r="184" spans="3:22" x14ac:dyDescent="0.25">
      <c r="C184" s="16"/>
      <c r="U184" s="16"/>
      <c r="V184" s="16"/>
    </row>
    <row r="185" spans="3:22" x14ac:dyDescent="0.25">
      <c r="C185" s="16"/>
      <c r="U185" s="16"/>
      <c r="V185" s="16"/>
    </row>
    <row r="186" spans="3:22" x14ac:dyDescent="0.25">
      <c r="C186" s="16"/>
      <c r="U186" s="16"/>
      <c r="V186" s="16"/>
    </row>
    <row r="187" spans="3:22" x14ac:dyDescent="0.25">
      <c r="C187" s="16"/>
      <c r="U187" s="16"/>
      <c r="V187" s="16"/>
    </row>
    <row r="188" spans="3:22" x14ac:dyDescent="0.25">
      <c r="C188" s="16"/>
      <c r="U188" s="16"/>
      <c r="V188" s="16"/>
    </row>
    <row r="189" spans="3:22" x14ac:dyDescent="0.25">
      <c r="C189" s="16"/>
      <c r="U189" s="16"/>
      <c r="V189" s="16"/>
    </row>
    <row r="190" spans="3:22" x14ac:dyDescent="0.25">
      <c r="C190" s="16"/>
      <c r="U190" s="16"/>
      <c r="V190" s="16"/>
    </row>
    <row r="191" spans="3:22" x14ac:dyDescent="0.25">
      <c r="C191" s="16"/>
      <c r="U191" s="16"/>
      <c r="V191" s="16"/>
    </row>
    <row r="192" spans="3:22" x14ac:dyDescent="0.25">
      <c r="C192" s="16"/>
      <c r="U192" s="16"/>
      <c r="V192" s="16"/>
    </row>
    <row r="193" spans="3:22" x14ac:dyDescent="0.25">
      <c r="C193" s="16"/>
      <c r="U193" s="16"/>
      <c r="V193" s="16"/>
    </row>
    <row r="194" spans="3:22" x14ac:dyDescent="0.25">
      <c r="C194" s="16"/>
      <c r="U194" s="16"/>
      <c r="V194" s="16"/>
    </row>
    <row r="195" spans="3:22" x14ac:dyDescent="0.25">
      <c r="C195" s="16"/>
      <c r="U195" s="16"/>
      <c r="V195" s="16"/>
    </row>
    <row r="196" spans="3:22" x14ac:dyDescent="0.25">
      <c r="C196" s="16"/>
      <c r="U196" s="16"/>
      <c r="V196" s="16"/>
    </row>
    <row r="197" spans="3:22" x14ac:dyDescent="0.25">
      <c r="C197" s="16"/>
      <c r="U197" s="16"/>
      <c r="V197" s="16"/>
    </row>
    <row r="198" spans="3:22" x14ac:dyDescent="0.25">
      <c r="C198" s="16"/>
      <c r="U198" s="16"/>
      <c r="V198" s="16"/>
    </row>
    <row r="199" spans="3:22" x14ac:dyDescent="0.25">
      <c r="C199" s="16"/>
      <c r="U199" s="16"/>
      <c r="V199" s="16"/>
    </row>
    <row r="200" spans="3:22" x14ac:dyDescent="0.25">
      <c r="C200" s="16"/>
      <c r="U200" s="16"/>
      <c r="V200" s="16"/>
    </row>
    <row r="201" spans="3:22" x14ac:dyDescent="0.25">
      <c r="C201" s="16"/>
      <c r="U201" s="16"/>
      <c r="V201" s="16"/>
    </row>
    <row r="202" spans="3:22" x14ac:dyDescent="0.25">
      <c r="C202" s="16"/>
      <c r="U202" s="16"/>
      <c r="V202" s="16"/>
    </row>
    <row r="203" spans="3:22" x14ac:dyDescent="0.25">
      <c r="C203" s="16"/>
      <c r="U203" s="16"/>
      <c r="V203" s="16"/>
    </row>
    <row r="204" spans="3:22" x14ac:dyDescent="0.25">
      <c r="C204" s="16"/>
      <c r="U204" s="16"/>
      <c r="V204" s="16"/>
    </row>
    <row r="205" spans="3:22" x14ac:dyDescent="0.25">
      <c r="C205" s="16"/>
      <c r="U205" s="16"/>
      <c r="V205" s="16"/>
    </row>
    <row r="206" spans="3:22" x14ac:dyDescent="0.25">
      <c r="C206" s="16"/>
      <c r="U206" s="16"/>
      <c r="V206" s="16"/>
    </row>
    <row r="207" spans="3:22" x14ac:dyDescent="0.25">
      <c r="C207" s="16"/>
      <c r="U207" s="16"/>
      <c r="V207" s="16"/>
    </row>
    <row r="208" spans="3:22" x14ac:dyDescent="0.25">
      <c r="C208" s="16"/>
      <c r="U208" s="16"/>
      <c r="V208" s="16"/>
    </row>
    <row r="209" spans="3:22" x14ac:dyDescent="0.25">
      <c r="C209" s="16"/>
      <c r="U209" s="16"/>
      <c r="V209" s="16"/>
    </row>
    <row r="210" spans="3:22" x14ac:dyDescent="0.25">
      <c r="C210" s="16"/>
      <c r="U210" s="16"/>
      <c r="V210" s="16"/>
    </row>
    <row r="211" spans="3:22" x14ac:dyDescent="0.25">
      <c r="C211" s="16"/>
      <c r="U211" s="16"/>
      <c r="V211" s="16"/>
    </row>
    <row r="212" spans="3:22" x14ac:dyDescent="0.25">
      <c r="C212" s="16"/>
      <c r="U212" s="16"/>
      <c r="V212" s="16"/>
    </row>
    <row r="213" spans="3:22" x14ac:dyDescent="0.25">
      <c r="C213" s="16"/>
      <c r="U213" s="16"/>
      <c r="V213" s="16"/>
    </row>
    <row r="214" spans="3:22" x14ac:dyDescent="0.25">
      <c r="C214" s="16"/>
      <c r="U214" s="16"/>
      <c r="V214" s="16"/>
    </row>
    <row r="215" spans="3:22" x14ac:dyDescent="0.25">
      <c r="C215" s="16"/>
      <c r="U215" s="16"/>
      <c r="V215" s="16"/>
    </row>
    <row r="216" spans="3:22" x14ac:dyDescent="0.25">
      <c r="C216" s="16"/>
      <c r="U216" s="16"/>
      <c r="V216" s="16"/>
    </row>
    <row r="217" spans="3:22" x14ac:dyDescent="0.25">
      <c r="C217" s="16"/>
      <c r="U217" s="16"/>
      <c r="V217" s="16"/>
    </row>
    <row r="218" spans="3:22" x14ac:dyDescent="0.25">
      <c r="C218" s="16"/>
      <c r="U218" s="16"/>
      <c r="V218" s="16"/>
    </row>
    <row r="219" spans="3:22" x14ac:dyDescent="0.25">
      <c r="C219" s="16"/>
      <c r="U219" s="16"/>
      <c r="V219" s="16"/>
    </row>
    <row r="220" spans="3:22" x14ac:dyDescent="0.25">
      <c r="C220" s="16"/>
      <c r="U220" s="16"/>
      <c r="V220" s="16"/>
    </row>
    <row r="221" spans="3:22" x14ac:dyDescent="0.25">
      <c r="C221" s="16"/>
      <c r="U221" s="16"/>
      <c r="V221" s="16"/>
    </row>
    <row r="222" spans="3:22" x14ac:dyDescent="0.25">
      <c r="C222" s="16"/>
      <c r="U222" s="16"/>
      <c r="V222" s="16"/>
    </row>
    <row r="223" spans="3:22" x14ac:dyDescent="0.25">
      <c r="C223" s="16"/>
      <c r="U223" s="16"/>
      <c r="V223" s="16"/>
    </row>
    <row r="224" spans="3:22" x14ac:dyDescent="0.25">
      <c r="C224" s="16"/>
      <c r="U224" s="16"/>
      <c r="V224" s="16"/>
    </row>
    <row r="225" spans="3:22" x14ac:dyDescent="0.25">
      <c r="C225" s="16"/>
      <c r="U225" s="16"/>
      <c r="V225" s="16"/>
    </row>
    <row r="226" spans="3:22" x14ac:dyDescent="0.25">
      <c r="C226" s="16"/>
      <c r="U226" s="16"/>
      <c r="V226" s="16"/>
    </row>
    <row r="227" spans="3:22" x14ac:dyDescent="0.25">
      <c r="C227" s="16"/>
      <c r="U227" s="16"/>
      <c r="V227" s="16"/>
    </row>
    <row r="228" spans="3:22" x14ac:dyDescent="0.25">
      <c r="C228" s="16"/>
      <c r="U228" s="16"/>
      <c r="V228" s="16"/>
    </row>
    <row r="229" spans="3:22" x14ac:dyDescent="0.25">
      <c r="C229" s="16"/>
      <c r="U229" s="16"/>
      <c r="V229" s="16"/>
    </row>
    <row r="230" spans="3:22" x14ac:dyDescent="0.25">
      <c r="C230" s="16"/>
      <c r="U230" s="16"/>
      <c r="V230" s="16"/>
    </row>
    <row r="231" spans="3:22" x14ac:dyDescent="0.25">
      <c r="C231" s="16"/>
      <c r="U231" s="16"/>
      <c r="V231" s="16"/>
    </row>
    <row r="232" spans="3:22" x14ac:dyDescent="0.25">
      <c r="C232" s="16"/>
      <c r="U232" s="16"/>
      <c r="V232" s="16"/>
    </row>
    <row r="233" spans="3:22" x14ac:dyDescent="0.25">
      <c r="C233" s="16"/>
      <c r="U233" s="16"/>
      <c r="V233" s="16"/>
    </row>
    <row r="234" spans="3:22" x14ac:dyDescent="0.25">
      <c r="C234" s="16"/>
      <c r="U234" s="16"/>
      <c r="V234" s="16"/>
    </row>
    <row r="235" spans="3:22" x14ac:dyDescent="0.25">
      <c r="C235" s="16"/>
      <c r="U235" s="16"/>
      <c r="V235" s="16"/>
    </row>
    <row r="236" spans="3:22" x14ac:dyDescent="0.25">
      <c r="C236" s="16"/>
      <c r="U236" s="16"/>
      <c r="V236" s="16"/>
    </row>
    <row r="237" spans="3:22" x14ac:dyDescent="0.25">
      <c r="C237" s="16"/>
      <c r="U237" s="16"/>
      <c r="V237" s="16"/>
    </row>
    <row r="238" spans="3:22" x14ac:dyDescent="0.25">
      <c r="C238" s="16"/>
      <c r="U238" s="16"/>
      <c r="V238" s="16"/>
    </row>
    <row r="239" spans="3:22" x14ac:dyDescent="0.25">
      <c r="C239" s="16"/>
      <c r="U239" s="16"/>
      <c r="V239" s="16"/>
    </row>
    <row r="240" spans="3:22" x14ac:dyDescent="0.25">
      <c r="C240" s="16"/>
      <c r="U240" s="16"/>
      <c r="V240" s="16"/>
    </row>
    <row r="241" spans="3:22" x14ac:dyDescent="0.25">
      <c r="C241" s="16"/>
      <c r="U241" s="16"/>
      <c r="V241" s="16"/>
    </row>
    <row r="242" spans="3:22" x14ac:dyDescent="0.25">
      <c r="C242" s="16"/>
      <c r="U242" s="16"/>
      <c r="V242" s="16"/>
    </row>
    <row r="243" spans="3:22" x14ac:dyDescent="0.25">
      <c r="C243" s="16"/>
      <c r="U243" s="16"/>
      <c r="V243" s="16"/>
    </row>
    <row r="244" spans="3:22" x14ac:dyDescent="0.25">
      <c r="C244" s="16"/>
      <c r="U244" s="16"/>
      <c r="V244" s="16"/>
    </row>
    <row r="245" spans="3:22" x14ac:dyDescent="0.25">
      <c r="C245" s="16"/>
      <c r="U245" s="16"/>
      <c r="V245" s="16"/>
    </row>
    <row r="246" spans="3:22" x14ac:dyDescent="0.25">
      <c r="C246" s="16"/>
      <c r="U246" s="16"/>
      <c r="V246" s="16"/>
    </row>
    <row r="247" spans="3:22" x14ac:dyDescent="0.25">
      <c r="C247" s="16"/>
      <c r="U247" s="16"/>
      <c r="V247" s="16"/>
    </row>
    <row r="248" spans="3:22" x14ac:dyDescent="0.25">
      <c r="C248" s="16"/>
      <c r="U248" s="16"/>
      <c r="V248" s="16"/>
    </row>
    <row r="249" spans="3:22" x14ac:dyDescent="0.25">
      <c r="C249" s="16"/>
      <c r="U249" s="16"/>
      <c r="V249" s="16"/>
    </row>
    <row r="250" spans="3:22" x14ac:dyDescent="0.25">
      <c r="C250" s="16"/>
      <c r="U250" s="16"/>
      <c r="V250" s="16"/>
    </row>
    <row r="251" spans="3:22" x14ac:dyDescent="0.25">
      <c r="C251" s="16"/>
      <c r="U251" s="16"/>
      <c r="V251" s="16"/>
    </row>
    <row r="252" spans="3:22" x14ac:dyDescent="0.25">
      <c r="C252" s="16"/>
      <c r="U252" s="16"/>
      <c r="V252" s="16"/>
    </row>
    <row r="253" spans="3:22" x14ac:dyDescent="0.25">
      <c r="C253" s="16"/>
      <c r="U253" s="16"/>
      <c r="V253" s="16"/>
    </row>
    <row r="254" spans="3:22" x14ac:dyDescent="0.25">
      <c r="C254" s="16"/>
      <c r="U254" s="16"/>
      <c r="V254" s="16"/>
    </row>
    <row r="255" spans="3:22" x14ac:dyDescent="0.25">
      <c r="C255" s="16"/>
      <c r="U255" s="16"/>
      <c r="V255" s="16"/>
    </row>
    <row r="256" spans="3:22" x14ac:dyDescent="0.25">
      <c r="C256" s="16"/>
      <c r="U256" s="16"/>
      <c r="V256" s="16"/>
    </row>
    <row r="257" spans="3:22" x14ac:dyDescent="0.25">
      <c r="C257" s="16"/>
      <c r="U257" s="16"/>
      <c r="V257" s="16"/>
    </row>
    <row r="258" spans="3:22" x14ac:dyDescent="0.25">
      <c r="C258" s="16"/>
      <c r="U258" s="16"/>
      <c r="V258" s="16"/>
    </row>
    <row r="259" spans="3:22" x14ac:dyDescent="0.25">
      <c r="C259" s="16"/>
      <c r="U259" s="16"/>
      <c r="V259" s="16"/>
    </row>
    <row r="260" spans="3:22" x14ac:dyDescent="0.25">
      <c r="C260" s="16"/>
      <c r="U260" s="16"/>
      <c r="V260" s="16"/>
    </row>
    <row r="261" spans="3:22" x14ac:dyDescent="0.25">
      <c r="C261" s="16"/>
      <c r="U261" s="16"/>
      <c r="V261" s="16"/>
    </row>
    <row r="262" spans="3:22" x14ac:dyDescent="0.25">
      <c r="C262" s="16"/>
      <c r="U262" s="16"/>
      <c r="V262" s="16"/>
    </row>
    <row r="263" spans="3:22" x14ac:dyDescent="0.25">
      <c r="C263" s="16"/>
      <c r="U263" s="16"/>
      <c r="V263" s="16"/>
    </row>
    <row r="264" spans="3:22" x14ac:dyDescent="0.25">
      <c r="C264" s="16"/>
      <c r="U264" s="16"/>
      <c r="V264" s="16"/>
    </row>
    <row r="265" spans="3:22" x14ac:dyDescent="0.25">
      <c r="C265" s="16"/>
      <c r="U265" s="16"/>
      <c r="V265" s="16"/>
    </row>
    <row r="266" spans="3:22" x14ac:dyDescent="0.25">
      <c r="C266" s="16"/>
      <c r="U266" s="16"/>
      <c r="V266" s="16"/>
    </row>
    <row r="267" spans="3:22" x14ac:dyDescent="0.25">
      <c r="C267" s="16"/>
      <c r="U267" s="16"/>
      <c r="V267" s="16"/>
    </row>
    <row r="268" spans="3:22" x14ac:dyDescent="0.25">
      <c r="C268" s="16"/>
      <c r="U268" s="16"/>
      <c r="V268" s="16"/>
    </row>
    <row r="269" spans="3:22" x14ac:dyDescent="0.25">
      <c r="C269" s="16"/>
      <c r="U269" s="16"/>
      <c r="V269" s="16"/>
    </row>
    <row r="270" spans="3:22" x14ac:dyDescent="0.25">
      <c r="C270" s="16"/>
      <c r="U270" s="16"/>
      <c r="V270" s="16"/>
    </row>
    <row r="271" spans="3:22" x14ac:dyDescent="0.25">
      <c r="C271" s="16"/>
      <c r="U271" s="16"/>
      <c r="V271" s="16"/>
    </row>
    <row r="272" spans="3:22" x14ac:dyDescent="0.25">
      <c r="C272" s="16"/>
      <c r="U272" s="16"/>
      <c r="V272" s="16"/>
    </row>
    <row r="273" spans="3:22" x14ac:dyDescent="0.25">
      <c r="C273" s="16"/>
      <c r="U273" s="16"/>
      <c r="V273" s="16"/>
    </row>
    <row r="274" spans="3:22" x14ac:dyDescent="0.25">
      <c r="C274" s="16"/>
      <c r="U274" s="16"/>
      <c r="V274" s="16"/>
    </row>
    <row r="275" spans="3:22" x14ac:dyDescent="0.25">
      <c r="C275" s="16"/>
      <c r="U275" s="16"/>
      <c r="V275" s="16"/>
    </row>
    <row r="276" spans="3:22" x14ac:dyDescent="0.25">
      <c r="C276" s="16"/>
      <c r="U276" s="16"/>
      <c r="V276" s="16"/>
    </row>
    <row r="277" spans="3:22" x14ac:dyDescent="0.25">
      <c r="C277" s="16"/>
      <c r="U277" s="16"/>
      <c r="V277" s="16"/>
    </row>
    <row r="278" spans="3:22" x14ac:dyDescent="0.25">
      <c r="C278" s="16"/>
      <c r="U278" s="16"/>
      <c r="V278" s="16"/>
    </row>
    <row r="279" spans="3:22" x14ac:dyDescent="0.25">
      <c r="C279" s="16"/>
      <c r="U279" s="16"/>
      <c r="V279" s="16"/>
    </row>
    <row r="280" spans="3:22" x14ac:dyDescent="0.25">
      <c r="C280" s="16"/>
      <c r="U280" s="16"/>
      <c r="V280" s="16"/>
    </row>
    <row r="281" spans="3:22" x14ac:dyDescent="0.25">
      <c r="C281" s="16"/>
      <c r="U281" s="16"/>
      <c r="V281" s="16"/>
    </row>
    <row r="282" spans="3:22" x14ac:dyDescent="0.25">
      <c r="C282" s="16"/>
      <c r="U282" s="16"/>
      <c r="V282" s="16"/>
    </row>
    <row r="283" spans="3:22" x14ac:dyDescent="0.25">
      <c r="C283" s="16"/>
      <c r="U283" s="16"/>
      <c r="V283" s="16"/>
    </row>
    <row r="284" spans="3:22" x14ac:dyDescent="0.25">
      <c r="C284" s="16"/>
      <c r="U284" s="16"/>
      <c r="V284" s="16"/>
    </row>
    <row r="285" spans="3:22" x14ac:dyDescent="0.25">
      <c r="C285" s="16"/>
      <c r="U285" s="16"/>
      <c r="V285" s="16"/>
    </row>
    <row r="286" spans="3:22" x14ac:dyDescent="0.25">
      <c r="C286" s="16"/>
      <c r="U286" s="16"/>
      <c r="V286" s="16"/>
    </row>
    <row r="287" spans="3:22" x14ac:dyDescent="0.25">
      <c r="C287" s="16"/>
      <c r="U287" s="16"/>
      <c r="V287" s="16"/>
    </row>
    <row r="288" spans="3:22" x14ac:dyDescent="0.25">
      <c r="C288" s="16"/>
      <c r="U288" s="16"/>
      <c r="V288" s="16"/>
    </row>
    <row r="289" spans="3:22" x14ac:dyDescent="0.25">
      <c r="C289" s="16"/>
      <c r="U289" s="16"/>
      <c r="V289" s="16"/>
    </row>
    <row r="290" spans="3:22" x14ac:dyDescent="0.25">
      <c r="C290" s="16"/>
      <c r="U290" s="16"/>
      <c r="V290" s="16"/>
    </row>
    <row r="291" spans="3:22" x14ac:dyDescent="0.25">
      <c r="C291" s="16"/>
      <c r="U291" s="16"/>
      <c r="V291" s="16"/>
    </row>
    <row r="292" spans="3:22" x14ac:dyDescent="0.25">
      <c r="C292" s="16"/>
      <c r="U292" s="16"/>
      <c r="V292" s="16"/>
    </row>
    <row r="293" spans="3:22" x14ac:dyDescent="0.25">
      <c r="C293" s="16"/>
      <c r="U293" s="16"/>
      <c r="V293" s="16"/>
    </row>
    <row r="294" spans="3:22" x14ac:dyDescent="0.25">
      <c r="C294" s="16"/>
      <c r="U294" s="16"/>
      <c r="V294" s="16"/>
    </row>
    <row r="295" spans="3:22" x14ac:dyDescent="0.25">
      <c r="C295" s="16"/>
      <c r="U295" s="16"/>
      <c r="V295" s="16"/>
    </row>
    <row r="296" spans="3:22" x14ac:dyDescent="0.25">
      <c r="C296" s="16"/>
      <c r="U296" s="16"/>
      <c r="V296" s="16"/>
    </row>
    <row r="297" spans="3:22" x14ac:dyDescent="0.25">
      <c r="C297" s="16"/>
      <c r="U297" s="16"/>
      <c r="V297" s="16"/>
    </row>
    <row r="298" spans="3:22" x14ac:dyDescent="0.25">
      <c r="C298" s="16"/>
      <c r="U298" s="16"/>
      <c r="V298" s="16"/>
    </row>
    <row r="299" spans="3:22" x14ac:dyDescent="0.25">
      <c r="C299" s="16"/>
      <c r="U299" s="16"/>
      <c r="V299" s="16"/>
    </row>
    <row r="300" spans="3:22" x14ac:dyDescent="0.25">
      <c r="C300" s="16"/>
      <c r="U300" s="16"/>
      <c r="V300" s="16"/>
    </row>
    <row r="301" spans="3:22" x14ac:dyDescent="0.25">
      <c r="C301" s="16"/>
      <c r="U301" s="16"/>
      <c r="V301" s="16"/>
    </row>
    <row r="302" spans="3:22" x14ac:dyDescent="0.25">
      <c r="C302" s="16"/>
      <c r="U302" s="16"/>
      <c r="V302" s="16"/>
    </row>
    <row r="303" spans="3:22" x14ac:dyDescent="0.25">
      <c r="C303" s="16"/>
      <c r="U303" s="16"/>
      <c r="V303" s="16"/>
    </row>
    <row r="304" spans="3:22" x14ac:dyDescent="0.25">
      <c r="C304" s="16"/>
      <c r="U304" s="16"/>
      <c r="V304" s="16"/>
    </row>
    <row r="305" spans="3:22" x14ac:dyDescent="0.25">
      <c r="C305" s="16"/>
      <c r="U305" s="16"/>
      <c r="V305" s="16"/>
    </row>
    <row r="306" spans="3:22" x14ac:dyDescent="0.25">
      <c r="C306" s="16"/>
      <c r="U306" s="16"/>
      <c r="V306" s="16"/>
    </row>
    <row r="307" spans="3:22" x14ac:dyDescent="0.25">
      <c r="C307" s="16"/>
      <c r="U307" s="16"/>
      <c r="V307" s="16"/>
    </row>
    <row r="308" spans="3:22" x14ac:dyDescent="0.25">
      <c r="C308" s="16"/>
      <c r="U308" s="16"/>
      <c r="V308" s="16"/>
    </row>
    <row r="309" spans="3:22" x14ac:dyDescent="0.25">
      <c r="C309" s="16"/>
      <c r="U309" s="16"/>
      <c r="V309" s="16"/>
    </row>
    <row r="310" spans="3:22" x14ac:dyDescent="0.25">
      <c r="C310" s="16"/>
      <c r="U310" s="16"/>
      <c r="V310" s="16"/>
    </row>
    <row r="311" spans="3:22" x14ac:dyDescent="0.25">
      <c r="C311" s="16"/>
      <c r="U311" s="16"/>
      <c r="V311" s="16"/>
    </row>
    <row r="312" spans="3:22" x14ac:dyDescent="0.25">
      <c r="C312" s="16"/>
      <c r="U312" s="16"/>
      <c r="V312" s="16"/>
    </row>
    <row r="313" spans="3:22" x14ac:dyDescent="0.25">
      <c r="C313" s="16"/>
      <c r="U313" s="16"/>
      <c r="V313" s="16"/>
    </row>
    <row r="314" spans="3:22" x14ac:dyDescent="0.25">
      <c r="C314" s="16"/>
      <c r="U314" s="16"/>
      <c r="V314" s="16"/>
    </row>
    <row r="315" spans="3:22" x14ac:dyDescent="0.25">
      <c r="C315" s="16"/>
      <c r="U315" s="16"/>
      <c r="V315" s="16"/>
    </row>
    <row r="316" spans="3:22" x14ac:dyDescent="0.25">
      <c r="C316" s="16"/>
      <c r="U316" s="16"/>
      <c r="V316" s="16"/>
    </row>
    <row r="317" spans="3:22" x14ac:dyDescent="0.25">
      <c r="C317" s="16"/>
      <c r="U317" s="16"/>
      <c r="V317" s="16"/>
    </row>
    <row r="318" spans="3:22" x14ac:dyDescent="0.25">
      <c r="C318" s="16"/>
      <c r="U318" s="16"/>
      <c r="V318" s="16"/>
    </row>
    <row r="319" spans="3:22" x14ac:dyDescent="0.25">
      <c r="C319" s="16"/>
      <c r="U319" s="16"/>
      <c r="V319" s="16"/>
    </row>
    <row r="320" spans="3:22" x14ac:dyDescent="0.25">
      <c r="C320" s="16"/>
      <c r="U320" s="16"/>
      <c r="V320" s="16"/>
    </row>
    <row r="321" spans="3:22" x14ac:dyDescent="0.25">
      <c r="C321" s="16"/>
      <c r="U321" s="16"/>
      <c r="V321" s="16"/>
    </row>
    <row r="322" spans="3:22" x14ac:dyDescent="0.25">
      <c r="C322" s="16"/>
      <c r="U322" s="16"/>
      <c r="V322" s="16"/>
    </row>
    <row r="323" spans="3:22" x14ac:dyDescent="0.25">
      <c r="C323" s="16"/>
      <c r="U323" s="16"/>
      <c r="V323" s="16"/>
    </row>
    <row r="324" spans="3:22" x14ac:dyDescent="0.25">
      <c r="C324" s="16"/>
      <c r="U324" s="16"/>
      <c r="V324" s="16"/>
    </row>
    <row r="325" spans="3:22" x14ac:dyDescent="0.25">
      <c r="C325" s="16"/>
      <c r="U325" s="16"/>
      <c r="V325" s="16"/>
    </row>
    <row r="326" spans="3:22" x14ac:dyDescent="0.25">
      <c r="C326" s="16"/>
      <c r="U326" s="16"/>
      <c r="V326" s="16"/>
    </row>
    <row r="327" spans="3:22" x14ac:dyDescent="0.25">
      <c r="C327" s="16"/>
      <c r="U327" s="16"/>
      <c r="V327" s="16"/>
    </row>
    <row r="328" spans="3:22" x14ac:dyDescent="0.25">
      <c r="C328" s="16"/>
      <c r="U328" s="16"/>
      <c r="V328" s="16"/>
    </row>
    <row r="329" spans="3:22" x14ac:dyDescent="0.25">
      <c r="C329" s="16"/>
      <c r="U329" s="16"/>
      <c r="V329" s="16"/>
    </row>
    <row r="330" spans="3:22" x14ac:dyDescent="0.25">
      <c r="C330" s="16"/>
      <c r="U330" s="16"/>
      <c r="V330" s="16"/>
    </row>
    <row r="331" spans="3:22" x14ac:dyDescent="0.25">
      <c r="C331" s="16"/>
      <c r="U331" s="16"/>
      <c r="V331" s="16"/>
    </row>
    <row r="332" spans="3:22" x14ac:dyDescent="0.25">
      <c r="C332" s="16"/>
      <c r="U332" s="16"/>
      <c r="V332" s="16"/>
    </row>
    <row r="333" spans="3:22" x14ac:dyDescent="0.25">
      <c r="C333" s="16"/>
      <c r="U333" s="16"/>
      <c r="V333" s="16"/>
    </row>
    <row r="334" spans="3:22" x14ac:dyDescent="0.25">
      <c r="C334" s="16"/>
      <c r="U334" s="16"/>
      <c r="V334" s="16"/>
    </row>
    <row r="335" spans="3:22" x14ac:dyDescent="0.25">
      <c r="C335" s="16"/>
      <c r="U335" s="16"/>
      <c r="V335" s="16"/>
    </row>
    <row r="336" spans="3:22" x14ac:dyDescent="0.25">
      <c r="C336" s="16"/>
      <c r="U336" s="16"/>
      <c r="V336" s="16"/>
    </row>
    <row r="337" spans="3:22" x14ac:dyDescent="0.25">
      <c r="C337" s="16"/>
      <c r="U337" s="16"/>
      <c r="V337" s="16"/>
    </row>
    <row r="338" spans="3:22" x14ac:dyDescent="0.25">
      <c r="C338" s="16"/>
      <c r="U338" s="16"/>
      <c r="V338" s="16"/>
    </row>
    <row r="339" spans="3:22" x14ac:dyDescent="0.25">
      <c r="C339" s="16"/>
      <c r="U339" s="16"/>
      <c r="V339" s="16"/>
    </row>
    <row r="340" spans="3:22" x14ac:dyDescent="0.25">
      <c r="C340" s="16"/>
      <c r="U340" s="16"/>
      <c r="V340" s="16"/>
    </row>
    <row r="341" spans="3:22" x14ac:dyDescent="0.25">
      <c r="C341" s="16"/>
      <c r="U341" s="16"/>
      <c r="V341" s="16"/>
    </row>
    <row r="342" spans="3:22" x14ac:dyDescent="0.25">
      <c r="C342" s="16"/>
      <c r="U342" s="16"/>
      <c r="V342" s="16"/>
    </row>
    <row r="343" spans="3:22" x14ac:dyDescent="0.25">
      <c r="C343" s="16"/>
      <c r="U343" s="16"/>
      <c r="V343" s="16"/>
    </row>
    <row r="344" spans="3:22" x14ac:dyDescent="0.25">
      <c r="C344" s="16"/>
      <c r="U344" s="16"/>
      <c r="V344" s="16"/>
    </row>
    <row r="345" spans="3:22" x14ac:dyDescent="0.25">
      <c r="C345" s="16"/>
      <c r="U345" s="16"/>
      <c r="V345" s="16"/>
    </row>
    <row r="346" spans="3:22" x14ac:dyDescent="0.25">
      <c r="C346" s="16"/>
      <c r="U346" s="16"/>
      <c r="V346" s="16"/>
    </row>
    <row r="347" spans="3:22" x14ac:dyDescent="0.25">
      <c r="C347" s="16"/>
      <c r="U347" s="16"/>
      <c r="V347" s="16"/>
    </row>
    <row r="348" spans="3:22" x14ac:dyDescent="0.25">
      <c r="C348" s="16"/>
      <c r="U348" s="16"/>
      <c r="V348" s="16"/>
    </row>
    <row r="349" spans="3:22" x14ac:dyDescent="0.25">
      <c r="C349" s="16"/>
      <c r="U349" s="16"/>
      <c r="V349" s="16"/>
    </row>
    <row r="350" spans="3:22" x14ac:dyDescent="0.25">
      <c r="C350" s="16"/>
      <c r="U350" s="16"/>
      <c r="V350" s="16"/>
    </row>
    <row r="351" spans="3:22" x14ac:dyDescent="0.25">
      <c r="C351" s="16"/>
      <c r="U351" s="16"/>
      <c r="V351" s="16"/>
    </row>
    <row r="352" spans="3:22" x14ac:dyDescent="0.25">
      <c r="C352" s="16"/>
      <c r="U352" s="16"/>
      <c r="V352" s="16"/>
    </row>
    <row r="353" spans="3:22" x14ac:dyDescent="0.25">
      <c r="C353" s="16"/>
      <c r="U353" s="16"/>
      <c r="V353" s="16"/>
    </row>
    <row r="354" spans="3:22" x14ac:dyDescent="0.25">
      <c r="C354" s="16"/>
      <c r="U354" s="16"/>
      <c r="V354" s="16"/>
    </row>
    <row r="355" spans="3:22" x14ac:dyDescent="0.25">
      <c r="C355" s="16"/>
      <c r="U355" s="16"/>
      <c r="V355" s="16"/>
    </row>
    <row r="356" spans="3:22" x14ac:dyDescent="0.25">
      <c r="C356" s="16"/>
      <c r="U356" s="16"/>
      <c r="V356" s="16"/>
    </row>
    <row r="357" spans="3:22" x14ac:dyDescent="0.25">
      <c r="C357" s="16"/>
      <c r="U357" s="16"/>
      <c r="V357" s="16"/>
    </row>
    <row r="358" spans="3:22" x14ac:dyDescent="0.25">
      <c r="C358" s="16"/>
      <c r="U358" s="16"/>
      <c r="V358" s="16"/>
    </row>
    <row r="359" spans="3:22" x14ac:dyDescent="0.25">
      <c r="C359" s="16"/>
      <c r="U359" s="16"/>
      <c r="V359" s="16"/>
    </row>
    <row r="360" spans="3:22" x14ac:dyDescent="0.25">
      <c r="C360" s="16"/>
      <c r="U360" s="16"/>
      <c r="V360" s="16"/>
    </row>
    <row r="361" spans="3:22" x14ac:dyDescent="0.25">
      <c r="C361" s="16"/>
      <c r="U361" s="16"/>
      <c r="V361" s="16"/>
    </row>
    <row r="362" spans="3:22" x14ac:dyDescent="0.25">
      <c r="C362" s="16"/>
      <c r="U362" s="16"/>
      <c r="V362" s="16"/>
    </row>
    <row r="363" spans="3:22" x14ac:dyDescent="0.25">
      <c r="C363" s="16"/>
      <c r="U363" s="16"/>
      <c r="V363" s="16"/>
    </row>
    <row r="364" spans="3:22" x14ac:dyDescent="0.25">
      <c r="C364" s="16"/>
      <c r="U364" s="16"/>
      <c r="V364" s="16"/>
    </row>
    <row r="365" spans="3:22" x14ac:dyDescent="0.25">
      <c r="C365" s="16"/>
      <c r="U365" s="16"/>
      <c r="V365" s="16"/>
    </row>
    <row r="366" spans="3:22" x14ac:dyDescent="0.25">
      <c r="C366" s="16"/>
      <c r="U366" s="16"/>
      <c r="V366" s="16"/>
    </row>
    <row r="367" spans="3:22" x14ac:dyDescent="0.25">
      <c r="C367" s="16"/>
      <c r="U367" s="16"/>
      <c r="V367" s="16"/>
    </row>
    <row r="368" spans="3:22" x14ac:dyDescent="0.25">
      <c r="C368" s="16"/>
      <c r="U368" s="16"/>
      <c r="V368" s="16"/>
    </row>
    <row r="369" spans="3:22" x14ac:dyDescent="0.25">
      <c r="C369" s="16"/>
      <c r="U369" s="16"/>
      <c r="V369" s="16"/>
    </row>
    <row r="370" spans="3:22" x14ac:dyDescent="0.25">
      <c r="C370" s="16"/>
      <c r="U370" s="16"/>
      <c r="V370" s="16"/>
    </row>
    <row r="371" spans="3:22" x14ac:dyDescent="0.25">
      <c r="C371" s="16"/>
      <c r="U371" s="16"/>
      <c r="V371" s="16"/>
    </row>
    <row r="372" spans="3:22" x14ac:dyDescent="0.25">
      <c r="C372" s="16"/>
      <c r="U372" s="16"/>
      <c r="V372" s="16"/>
    </row>
    <row r="373" spans="3:22" x14ac:dyDescent="0.25">
      <c r="C373" s="16"/>
      <c r="U373" s="16"/>
      <c r="V373" s="16"/>
    </row>
    <row r="374" spans="3:22" x14ac:dyDescent="0.25">
      <c r="C374" s="16"/>
      <c r="U374" s="16"/>
      <c r="V374" s="16"/>
    </row>
    <row r="375" spans="3:22" x14ac:dyDescent="0.25">
      <c r="C375" s="16"/>
      <c r="U375" s="16"/>
      <c r="V375" s="16"/>
    </row>
    <row r="376" spans="3:22" x14ac:dyDescent="0.25">
      <c r="C376" s="16"/>
      <c r="U376" s="16"/>
      <c r="V376" s="16"/>
    </row>
    <row r="377" spans="3:22" x14ac:dyDescent="0.25">
      <c r="C377" s="16"/>
      <c r="U377" s="16"/>
      <c r="V377" s="16"/>
    </row>
    <row r="378" spans="3:22" x14ac:dyDescent="0.25">
      <c r="C378" s="16"/>
      <c r="U378" s="16"/>
      <c r="V378" s="16"/>
    </row>
    <row r="379" spans="3:22" x14ac:dyDescent="0.25">
      <c r="C379" s="16"/>
      <c r="U379" s="16"/>
      <c r="V379" s="16"/>
    </row>
    <row r="380" spans="3:22" x14ac:dyDescent="0.25">
      <c r="C380" s="16"/>
      <c r="U380" s="16"/>
      <c r="V380" s="16"/>
    </row>
    <row r="381" spans="3:22" x14ac:dyDescent="0.25">
      <c r="C381" s="16"/>
      <c r="U381" s="16"/>
      <c r="V381" s="16"/>
    </row>
    <row r="382" spans="3:22" x14ac:dyDescent="0.25">
      <c r="C382" s="16"/>
      <c r="U382" s="16"/>
      <c r="V382" s="16"/>
    </row>
    <row r="383" spans="3:22" x14ac:dyDescent="0.25">
      <c r="C383" s="16"/>
      <c r="U383" s="16"/>
      <c r="V383" s="16"/>
    </row>
    <row r="384" spans="3:22" x14ac:dyDescent="0.25">
      <c r="C384" s="16"/>
      <c r="U384" s="16"/>
      <c r="V384" s="16"/>
    </row>
    <row r="385" spans="3:22" x14ac:dyDescent="0.25">
      <c r="C385" s="16"/>
      <c r="U385" s="16"/>
      <c r="V385" s="16"/>
    </row>
    <row r="386" spans="3:22" x14ac:dyDescent="0.25">
      <c r="C386" s="16"/>
      <c r="U386" s="16"/>
      <c r="V386" s="16"/>
    </row>
    <row r="387" spans="3:22" x14ac:dyDescent="0.25">
      <c r="C387" s="16"/>
      <c r="U387" s="16"/>
      <c r="V387" s="16"/>
    </row>
    <row r="388" spans="3:22" x14ac:dyDescent="0.25">
      <c r="C388" s="16"/>
      <c r="U388" s="16"/>
      <c r="V388" s="16"/>
    </row>
    <row r="389" spans="3:22" x14ac:dyDescent="0.25">
      <c r="C389" s="16"/>
      <c r="U389" s="16"/>
      <c r="V389" s="16"/>
    </row>
    <row r="390" spans="3:22" x14ac:dyDescent="0.25">
      <c r="C390" s="16"/>
      <c r="U390" s="16"/>
      <c r="V390" s="16"/>
    </row>
    <row r="391" spans="3:22" x14ac:dyDescent="0.25">
      <c r="C391" s="16"/>
      <c r="U391" s="16"/>
      <c r="V391" s="16"/>
    </row>
    <row r="392" spans="3:22" x14ac:dyDescent="0.25">
      <c r="C392" s="16"/>
      <c r="U392" s="16"/>
      <c r="V392" s="16"/>
    </row>
    <row r="393" spans="3:22" x14ac:dyDescent="0.25">
      <c r="C393" s="16"/>
      <c r="U393" s="16"/>
      <c r="V393" s="16"/>
    </row>
    <row r="394" spans="3:22" x14ac:dyDescent="0.25">
      <c r="C394" s="16"/>
      <c r="U394" s="16"/>
      <c r="V394" s="16"/>
    </row>
    <row r="395" spans="3:22" x14ac:dyDescent="0.25">
      <c r="C395" s="16"/>
      <c r="U395" s="16"/>
      <c r="V395" s="16"/>
    </row>
    <row r="396" spans="3:22" x14ac:dyDescent="0.25">
      <c r="C396" s="16"/>
      <c r="U396" s="16"/>
      <c r="V396" s="16"/>
    </row>
    <row r="397" spans="3:22" x14ac:dyDescent="0.25">
      <c r="C397" s="16"/>
      <c r="U397" s="16"/>
      <c r="V397" s="16"/>
    </row>
    <row r="398" spans="3:22" x14ac:dyDescent="0.25">
      <c r="C398" s="16"/>
      <c r="U398" s="16"/>
      <c r="V398" s="16"/>
    </row>
    <row r="399" spans="3:22" x14ac:dyDescent="0.25">
      <c r="C399" s="16"/>
      <c r="U399" s="16"/>
      <c r="V399" s="16"/>
    </row>
    <row r="400" spans="3:22" x14ac:dyDescent="0.25">
      <c r="C400" s="16"/>
      <c r="U400" s="16"/>
      <c r="V400" s="16"/>
    </row>
    <row r="401" spans="3:22" x14ac:dyDescent="0.25">
      <c r="C401" s="16"/>
      <c r="U401" s="16"/>
      <c r="V401" s="16"/>
    </row>
    <row r="402" spans="3:22" x14ac:dyDescent="0.25">
      <c r="C402" s="16"/>
      <c r="U402" s="16"/>
      <c r="V402" s="16"/>
    </row>
    <row r="403" spans="3:22" x14ac:dyDescent="0.25">
      <c r="C403" s="16"/>
      <c r="U403" s="16"/>
      <c r="V403" s="16"/>
    </row>
    <row r="404" spans="3:22" x14ac:dyDescent="0.25">
      <c r="C404" s="16"/>
      <c r="U404" s="16"/>
      <c r="V404" s="16"/>
    </row>
    <row r="405" spans="3:22" x14ac:dyDescent="0.25">
      <c r="C405" s="16"/>
      <c r="U405" s="16"/>
      <c r="V405" s="16"/>
    </row>
    <row r="406" spans="3:22" x14ac:dyDescent="0.25">
      <c r="C406" s="16"/>
      <c r="U406" s="16"/>
      <c r="V406" s="16"/>
    </row>
    <row r="407" spans="3:22" x14ac:dyDescent="0.25">
      <c r="C407" s="16"/>
      <c r="U407" s="16"/>
      <c r="V407" s="16"/>
    </row>
    <row r="408" spans="3:22" x14ac:dyDescent="0.25">
      <c r="C408" s="16"/>
      <c r="U408" s="16"/>
      <c r="V408" s="16"/>
    </row>
    <row r="409" spans="3:22" x14ac:dyDescent="0.25">
      <c r="C409" s="16"/>
      <c r="U409" s="16"/>
      <c r="V409" s="16"/>
    </row>
    <row r="410" spans="3:22" x14ac:dyDescent="0.25">
      <c r="C410" s="16"/>
      <c r="U410" s="16"/>
      <c r="V410" s="16"/>
    </row>
    <row r="411" spans="3:22" x14ac:dyDescent="0.25">
      <c r="C411" s="16"/>
      <c r="U411" s="16"/>
      <c r="V411" s="16"/>
    </row>
    <row r="412" spans="3:22" x14ac:dyDescent="0.25">
      <c r="C412" s="16"/>
      <c r="U412" s="16"/>
      <c r="V412" s="16"/>
    </row>
    <row r="413" spans="3:22" x14ac:dyDescent="0.25">
      <c r="C413" s="16"/>
      <c r="U413" s="16"/>
      <c r="V413" s="16"/>
    </row>
    <row r="414" spans="3:22" x14ac:dyDescent="0.25">
      <c r="C414" s="16"/>
      <c r="U414" s="16"/>
      <c r="V414" s="16"/>
    </row>
    <row r="415" spans="3:22" x14ac:dyDescent="0.25">
      <c r="C415" s="16"/>
      <c r="U415" s="16"/>
      <c r="V415" s="16"/>
    </row>
    <row r="416" spans="3:22" x14ac:dyDescent="0.25">
      <c r="C416" s="16"/>
      <c r="U416" s="16"/>
      <c r="V416" s="16"/>
    </row>
    <row r="417" spans="3:22" x14ac:dyDescent="0.25">
      <c r="C417" s="16"/>
      <c r="U417" s="16"/>
      <c r="V417" s="16"/>
    </row>
    <row r="418" spans="3:22" x14ac:dyDescent="0.25">
      <c r="C418" s="16"/>
      <c r="U418" s="16"/>
      <c r="V418" s="16"/>
    </row>
    <row r="419" spans="3:22" x14ac:dyDescent="0.25">
      <c r="C419" s="16"/>
      <c r="U419" s="16"/>
      <c r="V419" s="16"/>
    </row>
    <row r="420" spans="3:22" x14ac:dyDescent="0.25">
      <c r="C420" s="16"/>
      <c r="U420" s="16"/>
      <c r="V420" s="16"/>
    </row>
    <row r="421" spans="3:22" x14ac:dyDescent="0.25">
      <c r="C421" s="16"/>
      <c r="U421" s="16"/>
      <c r="V421" s="16"/>
    </row>
    <row r="422" spans="3:22" x14ac:dyDescent="0.25">
      <c r="C422" s="16"/>
      <c r="U422" s="16"/>
      <c r="V422" s="16"/>
    </row>
    <row r="423" spans="3:22" x14ac:dyDescent="0.25">
      <c r="C423" s="16"/>
      <c r="U423" s="16"/>
      <c r="V423" s="16"/>
    </row>
    <row r="424" spans="3:22" x14ac:dyDescent="0.25">
      <c r="C424" s="16"/>
      <c r="U424" s="16"/>
      <c r="V424" s="16"/>
    </row>
    <row r="425" spans="3:22" x14ac:dyDescent="0.25">
      <c r="C425" s="16"/>
      <c r="U425" s="16"/>
      <c r="V425" s="16"/>
    </row>
    <row r="426" spans="3:22" x14ac:dyDescent="0.25">
      <c r="C426" s="16"/>
      <c r="U426" s="16"/>
      <c r="V426" s="16"/>
    </row>
    <row r="427" spans="3:22" x14ac:dyDescent="0.25">
      <c r="C427" s="16"/>
      <c r="U427" s="16"/>
      <c r="V427" s="16"/>
    </row>
    <row r="428" spans="3:22" x14ac:dyDescent="0.25">
      <c r="C428" s="16"/>
      <c r="U428" s="16"/>
      <c r="V428" s="16"/>
    </row>
    <row r="429" spans="3:22" x14ac:dyDescent="0.25">
      <c r="C429" s="16"/>
      <c r="U429" s="16"/>
      <c r="V429" s="16"/>
    </row>
    <row r="430" spans="3:22" x14ac:dyDescent="0.25">
      <c r="C430" s="16"/>
      <c r="U430" s="16"/>
      <c r="V430" s="16"/>
    </row>
    <row r="431" spans="3:22" x14ac:dyDescent="0.25">
      <c r="C431" s="16"/>
      <c r="U431" s="16"/>
      <c r="V431" s="16"/>
    </row>
    <row r="432" spans="3:22" x14ac:dyDescent="0.25">
      <c r="C432" s="16"/>
      <c r="U432" s="16"/>
      <c r="V432" s="16"/>
    </row>
    <row r="433" spans="3:22" x14ac:dyDescent="0.25">
      <c r="C433" s="16"/>
      <c r="U433" s="16"/>
      <c r="V433" s="16"/>
    </row>
    <row r="434" spans="3:22" x14ac:dyDescent="0.25">
      <c r="C434" s="16"/>
      <c r="U434" s="16"/>
      <c r="V434" s="16"/>
    </row>
    <row r="435" spans="3:22" x14ac:dyDescent="0.25">
      <c r="C435" s="16"/>
      <c r="U435" s="16"/>
      <c r="V435" s="16"/>
    </row>
    <row r="436" spans="3:22" x14ac:dyDescent="0.25">
      <c r="C436" s="16"/>
      <c r="U436" s="16"/>
      <c r="V436" s="16"/>
    </row>
    <row r="437" spans="3:22" x14ac:dyDescent="0.25">
      <c r="C437" s="16"/>
      <c r="U437" s="16"/>
      <c r="V437" s="16"/>
    </row>
    <row r="438" spans="3:22" x14ac:dyDescent="0.25">
      <c r="C438" s="16"/>
      <c r="U438" s="16"/>
      <c r="V438" s="16"/>
    </row>
    <row r="439" spans="3:22" x14ac:dyDescent="0.25">
      <c r="C439" s="16"/>
      <c r="U439" s="16"/>
      <c r="V439" s="16"/>
    </row>
    <row r="440" spans="3:22" x14ac:dyDescent="0.25">
      <c r="C440" s="16"/>
      <c r="U440" s="16"/>
      <c r="V440" s="16"/>
    </row>
    <row r="441" spans="3:22" x14ac:dyDescent="0.25">
      <c r="C441" s="16"/>
      <c r="U441" s="16"/>
      <c r="V441" s="16"/>
    </row>
    <row r="442" spans="3:22" x14ac:dyDescent="0.25">
      <c r="C442" s="16"/>
      <c r="U442" s="16"/>
      <c r="V442" s="16"/>
    </row>
    <row r="443" spans="3:22" x14ac:dyDescent="0.25">
      <c r="C443" s="16"/>
      <c r="U443" s="16"/>
      <c r="V443" s="16"/>
    </row>
    <row r="444" spans="3:22" x14ac:dyDescent="0.25">
      <c r="C444" s="16"/>
      <c r="U444" s="16"/>
      <c r="V444" s="16"/>
    </row>
    <row r="445" spans="3:22" x14ac:dyDescent="0.25">
      <c r="C445" s="16"/>
      <c r="U445" s="16"/>
      <c r="V445" s="16"/>
    </row>
    <row r="446" spans="3:22" x14ac:dyDescent="0.25">
      <c r="C446" s="16"/>
      <c r="U446" s="16"/>
      <c r="V446" s="16"/>
    </row>
    <row r="447" spans="3:22" x14ac:dyDescent="0.25">
      <c r="C447" s="16"/>
      <c r="U447" s="16"/>
      <c r="V447" s="16"/>
    </row>
    <row r="448" spans="3:22" x14ac:dyDescent="0.25">
      <c r="C448" s="16"/>
      <c r="U448" s="16"/>
      <c r="V448" s="16"/>
    </row>
    <row r="449" spans="3:22" x14ac:dyDescent="0.25">
      <c r="C449" s="16"/>
      <c r="U449" s="16"/>
      <c r="V449" s="16"/>
    </row>
    <row r="450" spans="3:22" x14ac:dyDescent="0.25">
      <c r="C450" s="16"/>
      <c r="U450" s="16"/>
      <c r="V450" s="16"/>
    </row>
    <row r="451" spans="3:22" x14ac:dyDescent="0.25">
      <c r="C451" s="16"/>
      <c r="U451" s="16"/>
      <c r="V451" s="16"/>
    </row>
    <row r="452" spans="3:22" x14ac:dyDescent="0.25">
      <c r="C452" s="16"/>
      <c r="U452" s="16"/>
      <c r="V452" s="16"/>
    </row>
    <row r="453" spans="3:22" x14ac:dyDescent="0.25">
      <c r="C453" s="16"/>
      <c r="U453" s="16"/>
      <c r="V453" s="16"/>
    </row>
    <row r="454" spans="3:22" x14ac:dyDescent="0.25">
      <c r="C454" s="16"/>
      <c r="U454" s="16"/>
      <c r="V454" s="16"/>
    </row>
    <row r="455" spans="3:22" x14ac:dyDescent="0.25">
      <c r="C455" s="16"/>
      <c r="U455" s="16"/>
      <c r="V455" s="16"/>
    </row>
    <row r="456" spans="3:22" x14ac:dyDescent="0.25">
      <c r="C456" s="16"/>
      <c r="U456" s="16"/>
      <c r="V456" s="16"/>
    </row>
    <row r="457" spans="3:22" x14ac:dyDescent="0.25">
      <c r="C457" s="16"/>
      <c r="U457" s="16"/>
      <c r="V457" s="16"/>
    </row>
    <row r="458" spans="3:22" x14ac:dyDescent="0.25">
      <c r="C458" s="16"/>
      <c r="U458" s="16"/>
      <c r="V458" s="16"/>
    </row>
    <row r="459" spans="3:22" x14ac:dyDescent="0.25">
      <c r="C459" s="16"/>
      <c r="U459" s="16"/>
      <c r="V459" s="16"/>
    </row>
    <row r="460" spans="3:22" x14ac:dyDescent="0.25">
      <c r="C460" s="16"/>
      <c r="U460" s="16"/>
      <c r="V460" s="16"/>
    </row>
    <row r="461" spans="3:22" x14ac:dyDescent="0.25">
      <c r="C461" s="16"/>
      <c r="U461" s="16"/>
      <c r="V461" s="16"/>
    </row>
    <row r="462" spans="3:22" x14ac:dyDescent="0.25">
      <c r="C462" s="16"/>
      <c r="U462" s="16"/>
      <c r="V462" s="16"/>
    </row>
    <row r="463" spans="3:22" x14ac:dyDescent="0.25">
      <c r="C463" s="16"/>
      <c r="U463" s="16"/>
      <c r="V463" s="16"/>
    </row>
    <row r="464" spans="3:22" x14ac:dyDescent="0.25">
      <c r="C464" s="16"/>
      <c r="U464" s="16"/>
      <c r="V464" s="16"/>
    </row>
    <row r="465" spans="3:22" x14ac:dyDescent="0.25">
      <c r="C465" s="16"/>
      <c r="U465" s="16"/>
      <c r="V465" s="16"/>
    </row>
    <row r="466" spans="3:22" x14ac:dyDescent="0.25">
      <c r="C466" s="16"/>
      <c r="U466" s="16"/>
      <c r="V466" s="16"/>
    </row>
    <row r="467" spans="3:22" x14ac:dyDescent="0.25">
      <c r="C467" s="16"/>
      <c r="U467" s="16"/>
      <c r="V467" s="16"/>
    </row>
    <row r="468" spans="3:22" x14ac:dyDescent="0.25">
      <c r="C468" s="16"/>
      <c r="U468" s="16"/>
      <c r="V468" s="16"/>
    </row>
    <row r="469" spans="3:22" x14ac:dyDescent="0.25">
      <c r="C469" s="16"/>
      <c r="U469" s="16"/>
      <c r="V469" s="16"/>
    </row>
    <row r="470" spans="3:22" x14ac:dyDescent="0.25">
      <c r="C470" s="16"/>
      <c r="U470" s="16"/>
      <c r="V470" s="16"/>
    </row>
    <row r="471" spans="3:22" x14ac:dyDescent="0.25">
      <c r="C471" s="16"/>
      <c r="U471" s="16"/>
      <c r="V471" s="16"/>
    </row>
    <row r="472" spans="3:22" x14ac:dyDescent="0.25">
      <c r="C472" s="16"/>
      <c r="U472" s="16"/>
      <c r="V472" s="16"/>
    </row>
    <row r="473" spans="3:22" x14ac:dyDescent="0.25">
      <c r="C473" s="16"/>
      <c r="U473" s="16"/>
      <c r="V473" s="16"/>
    </row>
    <row r="474" spans="3:22" x14ac:dyDescent="0.25">
      <c r="C474" s="16"/>
      <c r="U474" s="16"/>
      <c r="V474" s="16"/>
    </row>
    <row r="475" spans="3:22" x14ac:dyDescent="0.25">
      <c r="C475" s="16"/>
      <c r="U475" s="16"/>
      <c r="V475" s="16"/>
    </row>
    <row r="476" spans="3:22" x14ac:dyDescent="0.25">
      <c r="C476" s="16"/>
      <c r="U476" s="16"/>
      <c r="V476" s="16"/>
    </row>
    <row r="477" spans="3:22" x14ac:dyDescent="0.25">
      <c r="C477" s="16"/>
      <c r="U477" s="16"/>
      <c r="V477" s="16"/>
    </row>
    <row r="478" spans="3:22" x14ac:dyDescent="0.25">
      <c r="C478" s="16"/>
      <c r="U478" s="16"/>
      <c r="V478" s="16"/>
    </row>
    <row r="479" spans="3:22" x14ac:dyDescent="0.25">
      <c r="C479" s="16"/>
      <c r="U479" s="16"/>
      <c r="V479" s="16"/>
    </row>
    <row r="480" spans="3:22" x14ac:dyDescent="0.25">
      <c r="C480" s="16"/>
      <c r="U480" s="16"/>
      <c r="V480" s="16"/>
    </row>
    <row r="481" spans="3:22" x14ac:dyDescent="0.25">
      <c r="C481" s="16"/>
      <c r="U481" s="16"/>
      <c r="V481" s="16"/>
    </row>
    <row r="482" spans="3:22" x14ac:dyDescent="0.25">
      <c r="C482" s="16"/>
      <c r="U482" s="16"/>
      <c r="V482" s="16"/>
    </row>
    <row r="483" spans="3:22" x14ac:dyDescent="0.25">
      <c r="C483" s="16"/>
      <c r="U483" s="16"/>
      <c r="V483" s="16"/>
    </row>
    <row r="484" spans="3:22" x14ac:dyDescent="0.25">
      <c r="C484" s="16"/>
      <c r="U484" s="16"/>
      <c r="V484" s="16"/>
    </row>
    <row r="485" spans="3:22" x14ac:dyDescent="0.25">
      <c r="C485" s="16"/>
      <c r="U485" s="16"/>
      <c r="V485" s="16"/>
    </row>
    <row r="486" spans="3:22" x14ac:dyDescent="0.25">
      <c r="C486" s="16"/>
      <c r="U486" s="16"/>
      <c r="V486" s="16"/>
    </row>
    <row r="487" spans="3:22" x14ac:dyDescent="0.25">
      <c r="C487" s="16"/>
      <c r="U487" s="16"/>
      <c r="V487" s="16"/>
    </row>
    <row r="488" spans="3:22" x14ac:dyDescent="0.25">
      <c r="C488" s="16"/>
      <c r="U488" s="16"/>
      <c r="V488" s="16"/>
    </row>
    <row r="489" spans="3:22" x14ac:dyDescent="0.25">
      <c r="C489" s="16"/>
      <c r="U489" s="16"/>
      <c r="V489" s="16"/>
    </row>
    <row r="490" spans="3:22" x14ac:dyDescent="0.25">
      <c r="C490" s="16"/>
      <c r="U490" s="16"/>
      <c r="V490" s="16"/>
    </row>
    <row r="491" spans="3:22" x14ac:dyDescent="0.25">
      <c r="C491" s="16"/>
      <c r="U491" s="16"/>
      <c r="V491" s="16"/>
    </row>
    <row r="492" spans="3:22" x14ac:dyDescent="0.25">
      <c r="C492" s="16"/>
      <c r="U492" s="16"/>
      <c r="V492" s="16"/>
    </row>
    <row r="493" spans="3:22" x14ac:dyDescent="0.25">
      <c r="C493" s="16"/>
      <c r="U493" s="16"/>
      <c r="V493" s="16"/>
    </row>
    <row r="494" spans="3:22" x14ac:dyDescent="0.25">
      <c r="C494" s="16"/>
      <c r="U494" s="16"/>
      <c r="V494" s="16"/>
    </row>
    <row r="495" spans="3:22" x14ac:dyDescent="0.25">
      <c r="C495" s="16"/>
      <c r="U495" s="16"/>
      <c r="V495" s="16"/>
    </row>
    <row r="496" spans="3:22" x14ac:dyDescent="0.25">
      <c r="C496" s="16"/>
      <c r="U496" s="16"/>
      <c r="V496" s="16"/>
    </row>
    <row r="497" spans="3:22" x14ac:dyDescent="0.25">
      <c r="C497" s="16"/>
      <c r="U497" s="16"/>
      <c r="V497" s="16"/>
    </row>
    <row r="498" spans="3:22" x14ac:dyDescent="0.25">
      <c r="C498" s="16"/>
      <c r="U498" s="16"/>
      <c r="V498" s="16"/>
    </row>
    <row r="499" spans="3:22" x14ac:dyDescent="0.25">
      <c r="C499" s="16"/>
      <c r="U499" s="16"/>
      <c r="V499" s="16"/>
    </row>
    <row r="500" spans="3:22" x14ac:dyDescent="0.25">
      <c r="C500" s="16"/>
      <c r="U500" s="16"/>
      <c r="V500" s="16"/>
    </row>
    <row r="501" spans="3:22" x14ac:dyDescent="0.25">
      <c r="C501" s="16"/>
      <c r="U501" s="16"/>
      <c r="V501" s="16"/>
    </row>
    <row r="502" spans="3:22" x14ac:dyDescent="0.25">
      <c r="C502" s="16"/>
      <c r="U502" s="16"/>
      <c r="V502" s="16"/>
    </row>
    <row r="503" spans="3:22" x14ac:dyDescent="0.25">
      <c r="C503" s="16"/>
      <c r="U503" s="16"/>
      <c r="V503" s="16"/>
    </row>
    <row r="504" spans="3:22" x14ac:dyDescent="0.25">
      <c r="C504" s="16"/>
      <c r="U504" s="16"/>
      <c r="V504" s="16"/>
    </row>
    <row r="505" spans="3:22" x14ac:dyDescent="0.25">
      <c r="C505" s="16"/>
      <c r="U505" s="16"/>
      <c r="V505" s="16"/>
    </row>
    <row r="506" spans="3:22" x14ac:dyDescent="0.25">
      <c r="C506" s="16"/>
      <c r="U506" s="16"/>
      <c r="V506" s="16"/>
    </row>
    <row r="507" spans="3:22" x14ac:dyDescent="0.25">
      <c r="C507" s="16"/>
      <c r="U507" s="16"/>
      <c r="V507" s="16"/>
    </row>
    <row r="508" spans="3:22" x14ac:dyDescent="0.25">
      <c r="C508" s="16"/>
      <c r="U508" s="16"/>
      <c r="V508" s="16"/>
    </row>
    <row r="509" spans="3:22" x14ac:dyDescent="0.25">
      <c r="C509" s="16"/>
      <c r="U509" s="16"/>
      <c r="V509" s="16"/>
    </row>
    <row r="510" spans="3:22" x14ac:dyDescent="0.25">
      <c r="C510" s="16"/>
      <c r="U510" s="16"/>
      <c r="V510" s="16"/>
    </row>
    <row r="511" spans="3:22" x14ac:dyDescent="0.25">
      <c r="C511" s="16"/>
      <c r="U511" s="16"/>
      <c r="V511" s="16"/>
    </row>
    <row r="512" spans="3:22" x14ac:dyDescent="0.25">
      <c r="C512" s="16"/>
      <c r="U512" s="16"/>
      <c r="V512" s="16"/>
    </row>
    <row r="513" spans="3:22" x14ac:dyDescent="0.25">
      <c r="C513" s="16"/>
      <c r="U513" s="16"/>
      <c r="V513" s="16"/>
    </row>
    <row r="514" spans="3:22" x14ac:dyDescent="0.25">
      <c r="C514" s="16"/>
      <c r="U514" s="16"/>
      <c r="V514" s="16"/>
    </row>
    <row r="515" spans="3:22" x14ac:dyDescent="0.25">
      <c r="C515" s="16"/>
      <c r="U515" s="16"/>
      <c r="V515" s="16"/>
    </row>
    <row r="516" spans="3:22" x14ac:dyDescent="0.25">
      <c r="C516" s="16"/>
      <c r="U516" s="16"/>
      <c r="V516" s="16"/>
    </row>
    <row r="517" spans="3:22" x14ac:dyDescent="0.25">
      <c r="C517" s="16"/>
      <c r="U517" s="16"/>
      <c r="V517" s="16"/>
    </row>
    <row r="518" spans="3:22" x14ac:dyDescent="0.25">
      <c r="C518" s="16"/>
      <c r="U518" s="16"/>
      <c r="V518" s="16"/>
    </row>
    <row r="519" spans="3:22" x14ac:dyDescent="0.25">
      <c r="C519" s="16"/>
      <c r="U519" s="16"/>
      <c r="V519" s="16"/>
    </row>
    <row r="520" spans="3:22" x14ac:dyDescent="0.25">
      <c r="C520" s="16"/>
      <c r="U520" s="16"/>
      <c r="V520" s="16"/>
    </row>
    <row r="521" spans="3:22" x14ac:dyDescent="0.25">
      <c r="C521" s="16"/>
      <c r="U521" s="16"/>
      <c r="V521" s="16"/>
    </row>
    <row r="522" spans="3:22" x14ac:dyDescent="0.25">
      <c r="C522" s="16"/>
      <c r="U522" s="16"/>
      <c r="V522" s="16"/>
    </row>
    <row r="523" spans="3:22" x14ac:dyDescent="0.25">
      <c r="C523" s="16"/>
      <c r="U523" s="16"/>
      <c r="V523" s="16"/>
    </row>
    <row r="524" spans="3:22" x14ac:dyDescent="0.25">
      <c r="C524" s="16"/>
      <c r="U524" s="16"/>
      <c r="V524" s="16"/>
    </row>
    <row r="525" spans="3:22" x14ac:dyDescent="0.25">
      <c r="C525" s="16"/>
      <c r="U525" s="16"/>
      <c r="V525" s="16"/>
    </row>
    <row r="526" spans="3:22" x14ac:dyDescent="0.25">
      <c r="C526" s="16"/>
      <c r="U526" s="16"/>
      <c r="V526" s="16"/>
    </row>
    <row r="527" spans="3:22" x14ac:dyDescent="0.25">
      <c r="C527" s="16"/>
      <c r="U527" s="16"/>
      <c r="V527" s="16"/>
    </row>
    <row r="528" spans="3:22" x14ac:dyDescent="0.25">
      <c r="C528" s="16"/>
      <c r="U528" s="16"/>
      <c r="V528" s="16"/>
    </row>
    <row r="529" spans="3:22" x14ac:dyDescent="0.25">
      <c r="C529" s="16"/>
      <c r="U529" s="16"/>
      <c r="V529" s="16"/>
    </row>
    <row r="530" spans="3:22" x14ac:dyDescent="0.25">
      <c r="C530" s="16"/>
      <c r="U530" s="16"/>
      <c r="V530" s="16"/>
    </row>
    <row r="531" spans="3:22" x14ac:dyDescent="0.25">
      <c r="C531" s="16"/>
      <c r="U531" s="16"/>
      <c r="V531" s="16"/>
    </row>
    <row r="532" spans="3:22" x14ac:dyDescent="0.25">
      <c r="C532" s="16"/>
      <c r="U532" s="16"/>
      <c r="V532" s="16"/>
    </row>
    <row r="533" spans="3:22" x14ac:dyDescent="0.25">
      <c r="C533" s="16"/>
      <c r="U533" s="16"/>
      <c r="V533" s="16"/>
    </row>
    <row r="534" spans="3:22" x14ac:dyDescent="0.25">
      <c r="C534" s="16"/>
      <c r="U534" s="16"/>
      <c r="V534" s="16"/>
    </row>
    <row r="535" spans="3:22" x14ac:dyDescent="0.25">
      <c r="C535" s="16"/>
      <c r="U535" s="16"/>
      <c r="V535" s="16"/>
    </row>
    <row r="536" spans="3:22" x14ac:dyDescent="0.25">
      <c r="C536" s="16"/>
      <c r="U536" s="16"/>
      <c r="V536" s="16"/>
    </row>
    <row r="537" spans="3:22" x14ac:dyDescent="0.25">
      <c r="C537" s="16"/>
      <c r="U537" s="16"/>
      <c r="V537" s="16"/>
    </row>
    <row r="538" spans="3:22" x14ac:dyDescent="0.25">
      <c r="C538" s="16"/>
      <c r="U538" s="16"/>
      <c r="V538" s="16"/>
    </row>
    <row r="539" spans="3:22" x14ac:dyDescent="0.25">
      <c r="C539" s="16"/>
      <c r="U539" s="16"/>
      <c r="V539" s="16"/>
    </row>
    <row r="540" spans="3:22" x14ac:dyDescent="0.25">
      <c r="C540" s="16"/>
      <c r="U540" s="16"/>
      <c r="V540" s="16"/>
    </row>
    <row r="541" spans="3:22" x14ac:dyDescent="0.25">
      <c r="C541" s="16"/>
      <c r="U541" s="16"/>
      <c r="V541" s="16"/>
    </row>
    <row r="542" spans="3:22" x14ac:dyDescent="0.25">
      <c r="C542" s="16"/>
      <c r="U542" s="16"/>
      <c r="V542" s="16"/>
    </row>
    <row r="543" spans="3:22" x14ac:dyDescent="0.25">
      <c r="C543" s="16"/>
      <c r="U543" s="16"/>
      <c r="V543" s="16"/>
    </row>
    <row r="544" spans="3:22" x14ac:dyDescent="0.25">
      <c r="C544" s="16"/>
      <c r="U544" s="16"/>
      <c r="V544" s="16"/>
    </row>
    <row r="545" spans="3:22" x14ac:dyDescent="0.25">
      <c r="C545" s="16"/>
      <c r="U545" s="16"/>
      <c r="V545" s="16"/>
    </row>
    <row r="546" spans="3:22" x14ac:dyDescent="0.25">
      <c r="C546" s="16"/>
      <c r="U546" s="16"/>
      <c r="V546" s="16"/>
    </row>
    <row r="547" spans="3:22" x14ac:dyDescent="0.25">
      <c r="C547" s="16"/>
      <c r="U547" s="16"/>
      <c r="V547" s="16"/>
    </row>
    <row r="548" spans="3:22" x14ac:dyDescent="0.25">
      <c r="C548" s="16"/>
      <c r="U548" s="16"/>
      <c r="V548" s="16"/>
    </row>
    <row r="549" spans="3:22" x14ac:dyDescent="0.25">
      <c r="C549" s="16"/>
      <c r="U549" s="16"/>
      <c r="V549" s="16"/>
    </row>
    <row r="550" spans="3:22" x14ac:dyDescent="0.25">
      <c r="C550" s="16"/>
      <c r="U550" s="16"/>
      <c r="V550" s="16"/>
    </row>
    <row r="551" spans="3:22" x14ac:dyDescent="0.25">
      <c r="C551" s="16"/>
      <c r="U551" s="16"/>
      <c r="V551" s="16"/>
    </row>
    <row r="552" spans="3:22" x14ac:dyDescent="0.25">
      <c r="C552" s="16"/>
      <c r="U552" s="16"/>
      <c r="V552" s="16"/>
    </row>
    <row r="553" spans="3:22" x14ac:dyDescent="0.25">
      <c r="C553" s="16"/>
      <c r="U553" s="16"/>
      <c r="V553" s="16"/>
    </row>
    <row r="554" spans="3:22" x14ac:dyDescent="0.25">
      <c r="C554" s="16"/>
      <c r="U554" s="16"/>
      <c r="V554" s="16"/>
    </row>
    <row r="555" spans="3:22" x14ac:dyDescent="0.25">
      <c r="C555" s="16"/>
      <c r="U555" s="16"/>
      <c r="V555" s="16"/>
    </row>
    <row r="556" spans="3:22" x14ac:dyDescent="0.25">
      <c r="C556" s="16"/>
      <c r="U556" s="16"/>
      <c r="V556" s="16"/>
    </row>
    <row r="557" spans="3:22" x14ac:dyDescent="0.25">
      <c r="C557" s="16"/>
      <c r="U557" s="16"/>
      <c r="V557" s="16"/>
    </row>
    <row r="558" spans="3:22" x14ac:dyDescent="0.25">
      <c r="C558" s="16"/>
      <c r="U558" s="16"/>
      <c r="V558" s="16"/>
    </row>
    <row r="559" spans="3:22" x14ac:dyDescent="0.25">
      <c r="C559" s="16"/>
      <c r="U559" s="16"/>
      <c r="V559" s="16"/>
    </row>
    <row r="560" spans="3:22" x14ac:dyDescent="0.25">
      <c r="C560" s="16"/>
      <c r="U560" s="16"/>
      <c r="V560" s="16"/>
    </row>
    <row r="561" spans="3:22" x14ac:dyDescent="0.25">
      <c r="C561" s="16"/>
      <c r="U561" s="16"/>
      <c r="V561" s="16"/>
    </row>
    <row r="562" spans="3:22" x14ac:dyDescent="0.25">
      <c r="C562" s="16"/>
      <c r="U562" s="16"/>
      <c r="V562" s="16"/>
    </row>
    <row r="563" spans="3:22" x14ac:dyDescent="0.25">
      <c r="C563" s="16"/>
      <c r="U563" s="16"/>
      <c r="V563" s="16"/>
    </row>
    <row r="564" spans="3:22" x14ac:dyDescent="0.25">
      <c r="C564" s="16"/>
      <c r="U564" s="16"/>
      <c r="V564" s="16"/>
    </row>
    <row r="565" spans="3:22" x14ac:dyDescent="0.25">
      <c r="C565" s="16"/>
      <c r="U565" s="16"/>
      <c r="V565" s="16"/>
    </row>
    <row r="566" spans="3:22" x14ac:dyDescent="0.25">
      <c r="C566" s="16"/>
      <c r="U566" s="16"/>
      <c r="V566" s="16"/>
    </row>
    <row r="567" spans="3:22" x14ac:dyDescent="0.25">
      <c r="C567" s="16"/>
      <c r="U567" s="16"/>
      <c r="V567" s="16"/>
    </row>
    <row r="568" spans="3:22" x14ac:dyDescent="0.25">
      <c r="C568" s="16"/>
      <c r="U568" s="16"/>
      <c r="V568" s="16"/>
    </row>
    <row r="569" spans="3:22" x14ac:dyDescent="0.25">
      <c r="C569" s="16"/>
      <c r="U569" s="16"/>
      <c r="V569" s="16"/>
    </row>
    <row r="570" spans="3:22" x14ac:dyDescent="0.25">
      <c r="C570" s="16"/>
      <c r="U570" s="16"/>
      <c r="V570" s="16"/>
    </row>
    <row r="571" spans="3:22" x14ac:dyDescent="0.25">
      <c r="C571" s="16"/>
      <c r="U571" s="16"/>
      <c r="V571" s="16"/>
    </row>
    <row r="572" spans="3:22" x14ac:dyDescent="0.25">
      <c r="C572" s="16"/>
      <c r="U572" s="16"/>
      <c r="V572" s="16"/>
    </row>
    <row r="573" spans="3:22" x14ac:dyDescent="0.25">
      <c r="C573" s="16"/>
      <c r="U573" s="16"/>
      <c r="V573" s="16"/>
    </row>
    <row r="574" spans="3:22" x14ac:dyDescent="0.25">
      <c r="C574" s="16"/>
      <c r="U574" s="16"/>
      <c r="V574" s="16"/>
    </row>
    <row r="575" spans="3:22" x14ac:dyDescent="0.25">
      <c r="C575" s="16"/>
      <c r="U575" s="16"/>
      <c r="V575" s="16"/>
    </row>
    <row r="576" spans="3:22" x14ac:dyDescent="0.25">
      <c r="C576" s="16"/>
      <c r="U576" s="16"/>
      <c r="V576" s="16"/>
    </row>
    <row r="577" spans="3:22" x14ac:dyDescent="0.25">
      <c r="C577" s="16"/>
      <c r="U577" s="16"/>
      <c r="V577" s="16"/>
    </row>
    <row r="578" spans="3:22" x14ac:dyDescent="0.25">
      <c r="C578" s="16"/>
      <c r="U578" s="16"/>
      <c r="V578" s="16"/>
    </row>
    <row r="579" spans="3:22" x14ac:dyDescent="0.25">
      <c r="C579" s="16"/>
      <c r="U579" s="16"/>
      <c r="V579" s="16"/>
    </row>
    <row r="580" spans="3:22" x14ac:dyDescent="0.25">
      <c r="C580" s="16"/>
      <c r="U580" s="16"/>
      <c r="V580" s="16"/>
    </row>
    <row r="581" spans="3:22" x14ac:dyDescent="0.25">
      <c r="C581" s="16"/>
      <c r="U581" s="16"/>
      <c r="V581" s="16"/>
    </row>
    <row r="582" spans="3:22" x14ac:dyDescent="0.25">
      <c r="C582" s="16"/>
      <c r="U582" s="16"/>
      <c r="V582" s="16"/>
    </row>
    <row r="583" spans="3:22" x14ac:dyDescent="0.25">
      <c r="C583" s="16"/>
      <c r="U583" s="16"/>
      <c r="V583" s="16"/>
    </row>
    <row r="584" spans="3:22" x14ac:dyDescent="0.25">
      <c r="C584" s="16"/>
      <c r="U584" s="16"/>
      <c r="V584" s="16"/>
    </row>
    <row r="585" spans="3:22" x14ac:dyDescent="0.25">
      <c r="C585" s="16"/>
      <c r="U585" s="16"/>
      <c r="V585" s="16"/>
    </row>
    <row r="586" spans="3:22" x14ac:dyDescent="0.25">
      <c r="C586" s="16"/>
      <c r="U586" s="16"/>
      <c r="V586" s="16"/>
    </row>
    <row r="587" spans="3:22" x14ac:dyDescent="0.25">
      <c r="C587" s="16"/>
      <c r="U587" s="16"/>
      <c r="V587" s="16"/>
    </row>
    <row r="588" spans="3:22" x14ac:dyDescent="0.25">
      <c r="C588" s="16"/>
      <c r="U588" s="16"/>
      <c r="V588" s="16"/>
    </row>
    <row r="589" spans="3:22" x14ac:dyDescent="0.25">
      <c r="C589" s="16"/>
      <c r="U589" s="16"/>
      <c r="V589" s="16"/>
    </row>
    <row r="590" spans="3:22" x14ac:dyDescent="0.25">
      <c r="C590" s="16"/>
      <c r="U590" s="16"/>
      <c r="V590" s="16"/>
    </row>
    <row r="591" spans="3:22" x14ac:dyDescent="0.25">
      <c r="C591" s="16"/>
      <c r="U591" s="16"/>
      <c r="V591" s="16"/>
    </row>
    <row r="592" spans="3:22" x14ac:dyDescent="0.25">
      <c r="C592" s="16"/>
      <c r="U592" s="16"/>
      <c r="V592" s="16"/>
    </row>
    <row r="593" spans="3:22" x14ac:dyDescent="0.25">
      <c r="C593" s="16"/>
      <c r="U593" s="16"/>
      <c r="V593" s="16"/>
    </row>
    <row r="594" spans="3:22" x14ac:dyDescent="0.25">
      <c r="C594" s="16"/>
      <c r="U594" s="16"/>
      <c r="V594" s="16"/>
    </row>
    <row r="595" spans="3:22" x14ac:dyDescent="0.25">
      <c r="C595" s="16"/>
      <c r="U595" s="16"/>
      <c r="V595" s="16"/>
    </row>
    <row r="596" spans="3:22" x14ac:dyDescent="0.25">
      <c r="C596" s="16"/>
      <c r="U596" s="16"/>
      <c r="V596" s="16"/>
    </row>
    <row r="597" spans="3:22" x14ac:dyDescent="0.25">
      <c r="C597" s="16"/>
      <c r="U597" s="16"/>
      <c r="V597" s="16"/>
    </row>
    <row r="598" spans="3:22" x14ac:dyDescent="0.25">
      <c r="C598" s="16"/>
      <c r="U598" s="16"/>
      <c r="V598" s="16"/>
    </row>
    <row r="599" spans="3:22" x14ac:dyDescent="0.25">
      <c r="C599" s="16"/>
      <c r="U599" s="16"/>
      <c r="V599" s="16"/>
    </row>
    <row r="600" spans="3:22" x14ac:dyDescent="0.25">
      <c r="C600" s="16"/>
      <c r="U600" s="16"/>
      <c r="V600" s="16"/>
    </row>
    <row r="601" spans="3:22" x14ac:dyDescent="0.25">
      <c r="C601" s="16"/>
      <c r="U601" s="16"/>
      <c r="V601" s="16"/>
    </row>
    <row r="602" spans="3:22" x14ac:dyDescent="0.25">
      <c r="C602" s="16"/>
      <c r="U602" s="16"/>
      <c r="V602" s="16"/>
    </row>
    <row r="603" spans="3:22" x14ac:dyDescent="0.25">
      <c r="C603" s="16"/>
      <c r="U603" s="16"/>
      <c r="V603" s="16"/>
    </row>
    <row r="604" spans="3:22" x14ac:dyDescent="0.25">
      <c r="C604" s="16"/>
      <c r="U604" s="16"/>
      <c r="V604" s="16"/>
    </row>
    <row r="605" spans="3:22" x14ac:dyDescent="0.25">
      <c r="C605" s="16"/>
      <c r="U605" s="16"/>
      <c r="V605" s="16"/>
    </row>
    <row r="606" spans="3:22" x14ac:dyDescent="0.25">
      <c r="C606" s="16"/>
      <c r="U606" s="16"/>
      <c r="V606" s="16"/>
    </row>
    <row r="607" spans="3:22" x14ac:dyDescent="0.25">
      <c r="C607" s="16"/>
      <c r="U607" s="16"/>
      <c r="V607" s="16"/>
    </row>
    <row r="608" spans="3:22" x14ac:dyDescent="0.25">
      <c r="C608" s="16"/>
      <c r="U608" s="16"/>
      <c r="V608" s="16"/>
    </row>
    <row r="609" spans="3:22" x14ac:dyDescent="0.25">
      <c r="C609" s="16"/>
      <c r="U609" s="16"/>
      <c r="V609" s="16"/>
    </row>
    <row r="610" spans="3:22" x14ac:dyDescent="0.25">
      <c r="C610" s="16"/>
      <c r="U610" s="16"/>
      <c r="V610" s="16"/>
    </row>
    <row r="611" spans="3:22" x14ac:dyDescent="0.25">
      <c r="C611" s="16"/>
      <c r="U611" s="16"/>
      <c r="V611" s="16"/>
    </row>
    <row r="612" spans="3:22" x14ac:dyDescent="0.25">
      <c r="C612" s="16"/>
      <c r="U612" s="16"/>
      <c r="V612" s="16"/>
    </row>
    <row r="613" spans="3:22" x14ac:dyDescent="0.25">
      <c r="C613" s="16"/>
      <c r="U613" s="16"/>
      <c r="V613" s="16"/>
    </row>
    <row r="614" spans="3:22" x14ac:dyDescent="0.25">
      <c r="C614" s="16"/>
      <c r="U614" s="16"/>
      <c r="V614" s="16"/>
    </row>
    <row r="615" spans="3:22" x14ac:dyDescent="0.25">
      <c r="C615" s="16"/>
      <c r="U615" s="16"/>
      <c r="V615" s="16"/>
    </row>
    <row r="616" spans="3:22" x14ac:dyDescent="0.25">
      <c r="C616" s="16"/>
      <c r="U616" s="16"/>
      <c r="V616" s="16"/>
    </row>
    <row r="617" spans="3:22" x14ac:dyDescent="0.25">
      <c r="C617" s="16"/>
      <c r="U617" s="16"/>
      <c r="V617" s="16"/>
    </row>
    <row r="618" spans="3:22" x14ac:dyDescent="0.25">
      <c r="C618" s="16"/>
      <c r="U618" s="16"/>
      <c r="V618" s="16"/>
    </row>
    <row r="619" spans="3:22" x14ac:dyDescent="0.25">
      <c r="C619" s="16"/>
      <c r="U619" s="16"/>
      <c r="V619" s="16"/>
    </row>
    <row r="620" spans="3:22" x14ac:dyDescent="0.25">
      <c r="C620" s="16"/>
      <c r="U620" s="16"/>
      <c r="V620" s="16"/>
    </row>
    <row r="621" spans="3:22" x14ac:dyDescent="0.25">
      <c r="C621" s="16"/>
      <c r="U621" s="16"/>
      <c r="V621" s="16"/>
    </row>
    <row r="622" spans="3:22" x14ac:dyDescent="0.25">
      <c r="C622" s="16"/>
      <c r="U622" s="16"/>
      <c r="V622" s="16"/>
    </row>
    <row r="623" spans="3:22" x14ac:dyDescent="0.25">
      <c r="C623" s="16"/>
      <c r="U623" s="16"/>
      <c r="V623" s="16"/>
    </row>
    <row r="624" spans="3:22" x14ac:dyDescent="0.25">
      <c r="C624" s="16"/>
      <c r="U624" s="16"/>
      <c r="V624" s="16"/>
    </row>
    <row r="625" spans="3:22" x14ac:dyDescent="0.25">
      <c r="C625" s="16"/>
      <c r="U625" s="16"/>
      <c r="V625" s="16"/>
    </row>
    <row r="626" spans="3:22" x14ac:dyDescent="0.25">
      <c r="C626" s="16"/>
      <c r="U626" s="16"/>
      <c r="V626" s="16"/>
    </row>
    <row r="627" spans="3:22" x14ac:dyDescent="0.25">
      <c r="C627" s="16"/>
      <c r="U627" s="16"/>
      <c r="V627" s="16"/>
    </row>
    <row r="628" spans="3:22" x14ac:dyDescent="0.25">
      <c r="C628" s="16"/>
      <c r="U628" s="16"/>
      <c r="V628" s="16"/>
    </row>
    <row r="629" spans="3:22" x14ac:dyDescent="0.25">
      <c r="C629" s="16"/>
      <c r="U629" s="16"/>
      <c r="V629" s="16"/>
    </row>
    <row r="630" spans="3:22" x14ac:dyDescent="0.25">
      <c r="C630" s="16"/>
      <c r="U630" s="16"/>
      <c r="V630" s="16"/>
    </row>
    <row r="631" spans="3:22" x14ac:dyDescent="0.25">
      <c r="C631" s="16"/>
      <c r="U631" s="16"/>
      <c r="V631" s="16"/>
    </row>
    <row r="632" spans="3:22" x14ac:dyDescent="0.25">
      <c r="C632" s="16"/>
      <c r="U632" s="16"/>
      <c r="V632" s="16"/>
    </row>
    <row r="633" spans="3:22" x14ac:dyDescent="0.25">
      <c r="C633" s="16"/>
      <c r="U633" s="16"/>
      <c r="V633" s="16"/>
    </row>
    <row r="634" spans="3:22" x14ac:dyDescent="0.25">
      <c r="C634" s="16"/>
      <c r="U634" s="16"/>
      <c r="V634" s="16"/>
    </row>
    <row r="635" spans="3:22" x14ac:dyDescent="0.25">
      <c r="C635" s="16"/>
      <c r="U635" s="16"/>
      <c r="V635" s="16"/>
    </row>
    <row r="636" spans="3:22" x14ac:dyDescent="0.25">
      <c r="C636" s="16"/>
      <c r="U636" s="16"/>
      <c r="V636" s="16"/>
    </row>
    <row r="637" spans="3:22" x14ac:dyDescent="0.25">
      <c r="C637" s="16"/>
      <c r="U637" s="16"/>
      <c r="V637" s="16"/>
    </row>
    <row r="638" spans="3:22" x14ac:dyDescent="0.25">
      <c r="C638" s="16"/>
      <c r="U638" s="16"/>
      <c r="V638" s="16"/>
    </row>
    <row r="639" spans="3:22" x14ac:dyDescent="0.25">
      <c r="C639" s="16"/>
      <c r="U639" s="16"/>
      <c r="V639" s="16"/>
    </row>
    <row r="640" spans="3:22" x14ac:dyDescent="0.25">
      <c r="C640" s="16"/>
      <c r="U640" s="16"/>
      <c r="V640" s="16"/>
    </row>
    <row r="641" spans="3:22" x14ac:dyDescent="0.25">
      <c r="C641" s="16"/>
      <c r="U641" s="16"/>
      <c r="V641" s="16"/>
    </row>
    <row r="642" spans="3:22" x14ac:dyDescent="0.25">
      <c r="C642" s="16"/>
      <c r="U642" s="16"/>
      <c r="V642" s="16"/>
    </row>
    <row r="643" spans="3:22" x14ac:dyDescent="0.25">
      <c r="C643" s="16"/>
      <c r="U643" s="16"/>
      <c r="V643" s="16"/>
    </row>
    <row r="644" spans="3:22" x14ac:dyDescent="0.25">
      <c r="C644" s="16"/>
      <c r="U644" s="16"/>
      <c r="V644" s="16"/>
    </row>
    <row r="645" spans="3:22" x14ac:dyDescent="0.25">
      <c r="C645" s="16"/>
      <c r="U645" s="16"/>
      <c r="V645" s="16"/>
    </row>
    <row r="646" spans="3:22" x14ac:dyDescent="0.25">
      <c r="C646" s="16"/>
      <c r="U646" s="16"/>
      <c r="V646" s="16"/>
    </row>
    <row r="647" spans="3:22" x14ac:dyDescent="0.25">
      <c r="C647" s="16"/>
      <c r="U647" s="16"/>
      <c r="V647" s="16"/>
    </row>
    <row r="648" spans="3:22" x14ac:dyDescent="0.25">
      <c r="C648" s="16"/>
      <c r="U648" s="16"/>
      <c r="V648" s="16"/>
    </row>
    <row r="649" spans="3:22" x14ac:dyDescent="0.25">
      <c r="C649" s="16"/>
      <c r="U649" s="16"/>
      <c r="V649" s="16"/>
    </row>
    <row r="650" spans="3:22" x14ac:dyDescent="0.25">
      <c r="C650" s="16"/>
      <c r="U650" s="16"/>
      <c r="V650" s="16"/>
    </row>
    <row r="651" spans="3:22" x14ac:dyDescent="0.25">
      <c r="C651" s="16"/>
      <c r="U651" s="16"/>
      <c r="V651" s="16"/>
    </row>
    <row r="652" spans="3:22" x14ac:dyDescent="0.25">
      <c r="C652" s="16"/>
      <c r="U652" s="16"/>
      <c r="V652" s="16"/>
    </row>
    <row r="653" spans="3:22" x14ac:dyDescent="0.25">
      <c r="C653" s="16"/>
      <c r="U653" s="16"/>
      <c r="V653" s="16"/>
    </row>
    <row r="654" spans="3:22" x14ac:dyDescent="0.25">
      <c r="C654" s="16"/>
      <c r="U654" s="16"/>
      <c r="V654" s="16"/>
    </row>
    <row r="655" spans="3:22" x14ac:dyDescent="0.25">
      <c r="C655" s="16"/>
      <c r="U655" s="16"/>
      <c r="V655" s="16"/>
    </row>
    <row r="656" spans="3:22" x14ac:dyDescent="0.25">
      <c r="C656" s="16"/>
      <c r="U656" s="16"/>
      <c r="V656" s="16"/>
    </row>
    <row r="657" spans="3:22" x14ac:dyDescent="0.25">
      <c r="C657" s="16"/>
      <c r="U657" s="16"/>
      <c r="V657" s="16"/>
    </row>
    <row r="658" spans="3:22" x14ac:dyDescent="0.25">
      <c r="C658" s="16"/>
      <c r="U658" s="16"/>
      <c r="V658" s="16"/>
    </row>
    <row r="659" spans="3:22" x14ac:dyDescent="0.25">
      <c r="C659" s="16"/>
      <c r="U659" s="16"/>
      <c r="V659" s="16"/>
    </row>
    <row r="660" spans="3:22" x14ac:dyDescent="0.25">
      <c r="C660" s="16"/>
      <c r="U660" s="16"/>
      <c r="V660" s="16"/>
    </row>
    <row r="661" spans="3:22" x14ac:dyDescent="0.25">
      <c r="C661" s="16"/>
      <c r="U661" s="16"/>
      <c r="V661" s="16"/>
    </row>
    <row r="662" spans="3:22" x14ac:dyDescent="0.25">
      <c r="C662" s="16"/>
      <c r="U662" s="16"/>
      <c r="V662" s="16"/>
    </row>
    <row r="663" spans="3:22" x14ac:dyDescent="0.25">
      <c r="C663" s="16"/>
      <c r="U663" s="16"/>
      <c r="V663" s="16"/>
    </row>
    <row r="664" spans="3:22" x14ac:dyDescent="0.25">
      <c r="C664" s="16"/>
      <c r="U664" s="16"/>
      <c r="V664" s="16"/>
    </row>
    <row r="665" spans="3:22" x14ac:dyDescent="0.25">
      <c r="C665" s="16"/>
      <c r="U665" s="16"/>
      <c r="V665" s="16"/>
    </row>
    <row r="666" spans="3:22" x14ac:dyDescent="0.25">
      <c r="C666" s="16"/>
      <c r="U666" s="16"/>
      <c r="V666" s="16"/>
    </row>
    <row r="667" spans="3:22" x14ac:dyDescent="0.25">
      <c r="C667" s="16"/>
      <c r="U667" s="16"/>
      <c r="V667" s="16"/>
    </row>
    <row r="668" spans="3:22" x14ac:dyDescent="0.25">
      <c r="C668" s="16"/>
      <c r="U668" s="16"/>
      <c r="V668" s="16"/>
    </row>
    <row r="669" spans="3:22" x14ac:dyDescent="0.25">
      <c r="C669" s="16"/>
      <c r="U669" s="16"/>
      <c r="V669" s="16"/>
    </row>
    <row r="670" spans="3:22" x14ac:dyDescent="0.25">
      <c r="C670" s="16"/>
      <c r="U670" s="16"/>
      <c r="V670" s="16"/>
    </row>
    <row r="671" spans="3:22" x14ac:dyDescent="0.25">
      <c r="C671" s="16"/>
      <c r="U671" s="16"/>
      <c r="V671" s="16"/>
    </row>
    <row r="672" spans="3:22" x14ac:dyDescent="0.25">
      <c r="C672" s="16"/>
      <c r="U672" s="16"/>
      <c r="V672" s="16"/>
    </row>
    <row r="673" spans="3:22" x14ac:dyDescent="0.25">
      <c r="C673" s="16"/>
      <c r="U673" s="16"/>
      <c r="V673" s="16"/>
    </row>
    <row r="674" spans="3:22" x14ac:dyDescent="0.25">
      <c r="C674" s="16"/>
      <c r="U674" s="16"/>
      <c r="V674" s="16"/>
    </row>
    <row r="675" spans="3:22" x14ac:dyDescent="0.25">
      <c r="C675" s="16"/>
      <c r="U675" s="16"/>
      <c r="V675" s="16"/>
    </row>
    <row r="676" spans="3:22" x14ac:dyDescent="0.25">
      <c r="C676" s="16"/>
      <c r="U676" s="16"/>
      <c r="V676" s="16"/>
    </row>
    <row r="677" spans="3:22" x14ac:dyDescent="0.25">
      <c r="C677" s="16"/>
      <c r="U677" s="16"/>
      <c r="V677" s="16"/>
    </row>
    <row r="678" spans="3:22" x14ac:dyDescent="0.25">
      <c r="C678" s="16"/>
      <c r="U678" s="16"/>
      <c r="V678" s="16"/>
    </row>
    <row r="679" spans="3:22" x14ac:dyDescent="0.25">
      <c r="C679" s="16"/>
      <c r="U679" s="16"/>
      <c r="V679" s="16"/>
    </row>
    <row r="680" spans="3:22" x14ac:dyDescent="0.25">
      <c r="C680" s="16"/>
      <c r="U680" s="16"/>
      <c r="V680" s="16"/>
    </row>
    <row r="681" spans="3:22" x14ac:dyDescent="0.25">
      <c r="C681" s="16"/>
      <c r="U681" s="16"/>
      <c r="V681" s="16"/>
    </row>
    <row r="682" spans="3:22" x14ac:dyDescent="0.25">
      <c r="C682" s="16"/>
      <c r="U682" s="16"/>
      <c r="V682" s="16"/>
    </row>
    <row r="683" spans="3:22" x14ac:dyDescent="0.25">
      <c r="C683" s="16"/>
      <c r="U683" s="16"/>
      <c r="V683" s="16"/>
    </row>
    <row r="684" spans="3:22" x14ac:dyDescent="0.25">
      <c r="C684" s="16"/>
      <c r="U684" s="16"/>
      <c r="V684" s="16"/>
    </row>
    <row r="685" spans="3:22" x14ac:dyDescent="0.25">
      <c r="C685" s="16"/>
      <c r="U685" s="16"/>
      <c r="V685" s="16"/>
    </row>
    <row r="686" spans="3:22" x14ac:dyDescent="0.25">
      <c r="C686" s="16"/>
      <c r="U686" s="16"/>
      <c r="V686" s="16"/>
    </row>
    <row r="687" spans="3:22" x14ac:dyDescent="0.25">
      <c r="C687" s="16"/>
      <c r="U687" s="16"/>
      <c r="V687" s="16"/>
    </row>
    <row r="688" spans="3:22" x14ac:dyDescent="0.25">
      <c r="C688" s="16"/>
      <c r="U688" s="16"/>
      <c r="V688" s="16"/>
    </row>
    <row r="689" spans="3:22" x14ac:dyDescent="0.25">
      <c r="C689" s="16"/>
      <c r="U689" s="16"/>
      <c r="V689" s="16"/>
    </row>
    <row r="690" spans="3:22" x14ac:dyDescent="0.25">
      <c r="C690" s="16"/>
      <c r="U690" s="16"/>
      <c r="V690" s="16"/>
    </row>
    <row r="691" spans="3:22" x14ac:dyDescent="0.25">
      <c r="C691" s="16"/>
      <c r="U691" s="16"/>
      <c r="V691" s="16"/>
    </row>
    <row r="692" spans="3:22" x14ac:dyDescent="0.25">
      <c r="C692" s="16"/>
      <c r="U692" s="16"/>
      <c r="V692" s="16"/>
    </row>
    <row r="693" spans="3:22" x14ac:dyDescent="0.25">
      <c r="C693" s="16"/>
      <c r="U693" s="16"/>
      <c r="V693" s="16"/>
    </row>
    <row r="694" spans="3:22" x14ac:dyDescent="0.25">
      <c r="C694" s="16"/>
      <c r="U694" s="16"/>
      <c r="V694" s="16"/>
    </row>
    <row r="695" spans="3:22" x14ac:dyDescent="0.25">
      <c r="C695" s="16"/>
      <c r="U695" s="16"/>
      <c r="V695" s="16"/>
    </row>
    <row r="696" spans="3:22" x14ac:dyDescent="0.25">
      <c r="C696" s="16"/>
      <c r="U696" s="16"/>
      <c r="V696" s="16"/>
    </row>
    <row r="697" spans="3:22" x14ac:dyDescent="0.25">
      <c r="C697" s="16"/>
      <c r="U697" s="16"/>
      <c r="V697" s="16"/>
    </row>
    <row r="698" spans="3:22" x14ac:dyDescent="0.25">
      <c r="C698" s="16"/>
      <c r="U698" s="16"/>
      <c r="V698" s="16"/>
    </row>
    <row r="699" spans="3:22" x14ac:dyDescent="0.25">
      <c r="C699" s="16"/>
      <c r="U699" s="16"/>
      <c r="V699" s="16"/>
    </row>
    <row r="700" spans="3:22" x14ac:dyDescent="0.25">
      <c r="C700" s="16"/>
      <c r="U700" s="16"/>
      <c r="V700" s="16"/>
    </row>
    <row r="701" spans="3:22" x14ac:dyDescent="0.25">
      <c r="C701" s="16"/>
      <c r="U701" s="16"/>
      <c r="V701" s="16"/>
    </row>
    <row r="702" spans="3:22" x14ac:dyDescent="0.25">
      <c r="C702" s="16"/>
      <c r="U702" s="16"/>
      <c r="V702" s="16"/>
    </row>
    <row r="703" spans="3:22" x14ac:dyDescent="0.25">
      <c r="C703" s="16"/>
      <c r="U703" s="16"/>
      <c r="V703" s="16"/>
    </row>
    <row r="704" spans="3:22" x14ac:dyDescent="0.25">
      <c r="C704" s="16"/>
      <c r="U704" s="16"/>
      <c r="V704" s="16"/>
    </row>
    <row r="705" spans="3:22" x14ac:dyDescent="0.25">
      <c r="C705" s="16"/>
      <c r="U705" s="16"/>
      <c r="V705" s="16"/>
    </row>
    <row r="706" spans="3:22" x14ac:dyDescent="0.25">
      <c r="C706" s="16"/>
      <c r="U706" s="16"/>
      <c r="V706" s="16"/>
    </row>
    <row r="707" spans="3:22" x14ac:dyDescent="0.25">
      <c r="C707" s="16"/>
      <c r="U707" s="16"/>
      <c r="V707" s="16"/>
    </row>
    <row r="708" spans="3:22" x14ac:dyDescent="0.25">
      <c r="C708" s="16"/>
      <c r="U708" s="16"/>
      <c r="V708" s="16"/>
    </row>
    <row r="709" spans="3:22" x14ac:dyDescent="0.25">
      <c r="C709" s="16"/>
      <c r="U709" s="16"/>
      <c r="V709" s="16"/>
    </row>
    <row r="710" spans="3:22" x14ac:dyDescent="0.25">
      <c r="C710" s="16"/>
      <c r="U710" s="16"/>
      <c r="V710" s="16"/>
    </row>
    <row r="711" spans="3:22" x14ac:dyDescent="0.25">
      <c r="C711" s="16"/>
      <c r="U711" s="16"/>
      <c r="V711" s="16"/>
    </row>
    <row r="712" spans="3:22" x14ac:dyDescent="0.25">
      <c r="C712" s="16"/>
      <c r="U712" s="16"/>
      <c r="V712" s="16"/>
    </row>
    <row r="713" spans="3:22" x14ac:dyDescent="0.25">
      <c r="C713" s="16"/>
      <c r="U713" s="16"/>
      <c r="V713" s="16"/>
    </row>
    <row r="714" spans="3:22" x14ac:dyDescent="0.25">
      <c r="C714" s="16"/>
      <c r="U714" s="16"/>
      <c r="V714" s="16"/>
    </row>
    <row r="715" spans="3:22" x14ac:dyDescent="0.25">
      <c r="C715" s="16"/>
      <c r="U715" s="16"/>
      <c r="V715" s="16"/>
    </row>
    <row r="716" spans="3:22" x14ac:dyDescent="0.25">
      <c r="C716" s="16"/>
      <c r="U716" s="16"/>
      <c r="V716" s="16"/>
    </row>
    <row r="717" spans="3:22" x14ac:dyDescent="0.25">
      <c r="C717" s="16"/>
      <c r="U717" s="16"/>
      <c r="V717" s="16"/>
    </row>
    <row r="718" spans="3:22" x14ac:dyDescent="0.25">
      <c r="C718" s="16"/>
      <c r="U718" s="16"/>
      <c r="V718" s="16"/>
    </row>
    <row r="719" spans="3:22" x14ac:dyDescent="0.25">
      <c r="C719" s="16"/>
      <c r="U719" s="16"/>
      <c r="V719" s="16"/>
    </row>
    <row r="720" spans="3:22" x14ac:dyDescent="0.25">
      <c r="C720" s="16"/>
      <c r="U720" s="16"/>
      <c r="V720" s="16"/>
    </row>
    <row r="721" spans="3:22" x14ac:dyDescent="0.25">
      <c r="C721" s="16"/>
      <c r="U721" s="16"/>
      <c r="V721" s="16"/>
    </row>
    <row r="722" spans="3:22" x14ac:dyDescent="0.25">
      <c r="C722" s="16"/>
      <c r="U722" s="16"/>
      <c r="V722" s="16"/>
    </row>
    <row r="723" spans="3:22" x14ac:dyDescent="0.25">
      <c r="C723" s="16"/>
      <c r="U723" s="16"/>
      <c r="V723" s="16"/>
    </row>
    <row r="724" spans="3:22" x14ac:dyDescent="0.25">
      <c r="C724" s="16"/>
      <c r="U724" s="16"/>
      <c r="V724" s="16"/>
    </row>
    <row r="725" spans="3:22" x14ac:dyDescent="0.25">
      <c r="C725" s="16"/>
      <c r="U725" s="16"/>
      <c r="V725" s="16"/>
    </row>
    <row r="726" spans="3:22" x14ac:dyDescent="0.25">
      <c r="C726" s="16"/>
      <c r="U726" s="16"/>
      <c r="V726" s="16"/>
    </row>
    <row r="727" spans="3:22" x14ac:dyDescent="0.25">
      <c r="C727" s="16"/>
      <c r="U727" s="16"/>
      <c r="V727" s="16"/>
    </row>
    <row r="728" spans="3:22" x14ac:dyDescent="0.25">
      <c r="C728" s="16"/>
      <c r="U728" s="16"/>
      <c r="V728" s="16"/>
    </row>
    <row r="729" spans="3:22" x14ac:dyDescent="0.25">
      <c r="C729" s="16"/>
      <c r="U729" s="16"/>
      <c r="V729" s="16"/>
    </row>
    <row r="730" spans="3:22" x14ac:dyDescent="0.25">
      <c r="C730" s="16"/>
      <c r="U730" s="16"/>
      <c r="V730" s="16"/>
    </row>
    <row r="731" spans="3:22" x14ac:dyDescent="0.25">
      <c r="C731" s="16"/>
      <c r="U731" s="16"/>
      <c r="V731" s="16"/>
    </row>
    <row r="732" spans="3:22" x14ac:dyDescent="0.25">
      <c r="C732" s="16"/>
      <c r="U732" s="16"/>
      <c r="V732" s="16"/>
    </row>
    <row r="733" spans="3:22" x14ac:dyDescent="0.25">
      <c r="C733" s="16"/>
      <c r="U733" s="16"/>
      <c r="V733" s="16"/>
    </row>
    <row r="734" spans="3:22" x14ac:dyDescent="0.25">
      <c r="C734" s="16"/>
      <c r="U734" s="16"/>
      <c r="V734" s="16"/>
    </row>
    <row r="735" spans="3:22" x14ac:dyDescent="0.25">
      <c r="C735" s="16"/>
      <c r="U735" s="16"/>
      <c r="V735" s="16"/>
    </row>
    <row r="736" spans="3:22" x14ac:dyDescent="0.25">
      <c r="C736" s="16"/>
      <c r="U736" s="16"/>
      <c r="V736" s="16"/>
    </row>
    <row r="737" spans="3:22" x14ac:dyDescent="0.25">
      <c r="C737" s="16"/>
      <c r="U737" s="16"/>
      <c r="V737" s="16"/>
    </row>
    <row r="738" spans="3:22" x14ac:dyDescent="0.25">
      <c r="C738" s="16"/>
      <c r="U738" s="16"/>
      <c r="V738" s="16"/>
    </row>
    <row r="739" spans="3:22" x14ac:dyDescent="0.25">
      <c r="C739" s="16"/>
      <c r="U739" s="16"/>
      <c r="V739" s="16"/>
    </row>
    <row r="740" spans="3:22" x14ac:dyDescent="0.25">
      <c r="C740" s="16"/>
      <c r="U740" s="16"/>
      <c r="V740" s="16"/>
    </row>
    <row r="741" spans="3:22" x14ac:dyDescent="0.25">
      <c r="C741" s="16"/>
      <c r="U741" s="16"/>
      <c r="V741" s="16"/>
    </row>
    <row r="742" spans="3:22" x14ac:dyDescent="0.25">
      <c r="C742" s="16"/>
      <c r="U742" s="16"/>
      <c r="V742" s="16"/>
    </row>
    <row r="743" spans="3:22" x14ac:dyDescent="0.25">
      <c r="C743" s="16"/>
      <c r="U743" s="16"/>
      <c r="V743" s="16"/>
    </row>
    <row r="744" spans="3:22" x14ac:dyDescent="0.25">
      <c r="C744" s="16"/>
      <c r="U744" s="16"/>
      <c r="V744" s="16"/>
    </row>
    <row r="745" spans="3:22" x14ac:dyDescent="0.25">
      <c r="C745" s="16"/>
      <c r="U745" s="16"/>
      <c r="V745" s="16"/>
    </row>
    <row r="746" spans="3:22" x14ac:dyDescent="0.25">
      <c r="C746" s="16"/>
      <c r="U746" s="16"/>
      <c r="V746" s="16"/>
    </row>
    <row r="747" spans="3:22" x14ac:dyDescent="0.25">
      <c r="C747" s="16"/>
      <c r="U747" s="16"/>
      <c r="V747" s="16"/>
    </row>
    <row r="748" spans="3:22" x14ac:dyDescent="0.25">
      <c r="C748" s="16"/>
      <c r="U748" s="16"/>
      <c r="V748" s="16"/>
    </row>
    <row r="749" spans="3:22" x14ac:dyDescent="0.25">
      <c r="C749" s="16"/>
      <c r="U749" s="16"/>
      <c r="V749" s="16"/>
    </row>
    <row r="750" spans="3:22" x14ac:dyDescent="0.25">
      <c r="C750" s="16"/>
      <c r="U750" s="16"/>
      <c r="V750" s="16"/>
    </row>
    <row r="751" spans="3:22" x14ac:dyDescent="0.25">
      <c r="C751" s="16"/>
      <c r="U751" s="16"/>
      <c r="V751" s="16"/>
    </row>
    <row r="752" spans="3:22" x14ac:dyDescent="0.25">
      <c r="C752" s="16"/>
      <c r="U752" s="16"/>
      <c r="V752" s="16"/>
    </row>
    <row r="753" spans="3:22" x14ac:dyDescent="0.25">
      <c r="C753" s="16"/>
      <c r="U753" s="16"/>
      <c r="V753" s="16"/>
    </row>
    <row r="754" spans="3:22" x14ac:dyDescent="0.25">
      <c r="C754" s="16"/>
      <c r="U754" s="16"/>
      <c r="V754" s="16"/>
    </row>
    <row r="755" spans="3:22" x14ac:dyDescent="0.25">
      <c r="C755" s="16"/>
      <c r="U755" s="16"/>
      <c r="V755" s="16"/>
    </row>
    <row r="756" spans="3:22" x14ac:dyDescent="0.25">
      <c r="C756" s="16"/>
      <c r="U756" s="16"/>
      <c r="V756" s="16"/>
    </row>
    <row r="757" spans="3:22" x14ac:dyDescent="0.25">
      <c r="C757" s="16"/>
      <c r="U757" s="16"/>
      <c r="V757" s="16"/>
    </row>
    <row r="758" spans="3:22" x14ac:dyDescent="0.25">
      <c r="C758" s="16"/>
      <c r="U758" s="16"/>
      <c r="V758" s="16"/>
    </row>
    <row r="759" spans="3:22" x14ac:dyDescent="0.25">
      <c r="C759" s="16"/>
      <c r="U759" s="16"/>
      <c r="V759" s="16"/>
    </row>
    <row r="760" spans="3:22" x14ac:dyDescent="0.25">
      <c r="C760" s="16"/>
      <c r="U760" s="16"/>
      <c r="V760" s="16"/>
    </row>
    <row r="761" spans="3:22" x14ac:dyDescent="0.25">
      <c r="C761" s="16"/>
      <c r="U761" s="16"/>
      <c r="V761" s="16"/>
    </row>
    <row r="762" spans="3:22" x14ac:dyDescent="0.25">
      <c r="C762" s="16"/>
      <c r="U762" s="16"/>
      <c r="V762" s="16"/>
    </row>
    <row r="763" spans="3:22" x14ac:dyDescent="0.25">
      <c r="C763" s="16"/>
      <c r="U763" s="16"/>
      <c r="V763" s="16"/>
    </row>
    <row r="764" spans="3:22" x14ac:dyDescent="0.25">
      <c r="C764" s="16"/>
      <c r="U764" s="16"/>
      <c r="V764" s="16"/>
    </row>
    <row r="765" spans="3:22" x14ac:dyDescent="0.25">
      <c r="C765" s="16"/>
      <c r="U765" s="16"/>
      <c r="V765" s="16"/>
    </row>
    <row r="766" spans="3:22" x14ac:dyDescent="0.25">
      <c r="C766" s="16"/>
      <c r="U766" s="16"/>
      <c r="V766" s="16"/>
    </row>
    <row r="767" spans="3:22" x14ac:dyDescent="0.25">
      <c r="C767" s="16"/>
      <c r="U767" s="16"/>
      <c r="V767" s="16"/>
    </row>
    <row r="768" spans="3:22" x14ac:dyDescent="0.25">
      <c r="C768" s="16"/>
      <c r="U768" s="16"/>
      <c r="V768" s="16"/>
    </row>
    <row r="769" spans="3:22" x14ac:dyDescent="0.25">
      <c r="C769" s="16"/>
      <c r="U769" s="16"/>
      <c r="V769" s="16"/>
    </row>
    <row r="770" spans="3:22" x14ac:dyDescent="0.25">
      <c r="C770" s="16"/>
      <c r="U770" s="16"/>
      <c r="V770" s="16"/>
    </row>
    <row r="771" spans="3:22" x14ac:dyDescent="0.25">
      <c r="C771" s="16"/>
      <c r="U771" s="16"/>
      <c r="V771" s="16"/>
    </row>
    <row r="772" spans="3:22" x14ac:dyDescent="0.25">
      <c r="C772" s="16"/>
      <c r="U772" s="16"/>
      <c r="V772" s="16"/>
    </row>
    <row r="773" spans="3:22" x14ac:dyDescent="0.25">
      <c r="C773" s="16"/>
      <c r="U773" s="16"/>
      <c r="V773" s="16"/>
    </row>
    <row r="774" spans="3:22" x14ac:dyDescent="0.25">
      <c r="C774" s="16"/>
      <c r="U774" s="16"/>
      <c r="V774" s="16"/>
    </row>
    <row r="775" spans="3:22" x14ac:dyDescent="0.25">
      <c r="C775" s="16"/>
      <c r="U775" s="16"/>
      <c r="V775" s="16"/>
    </row>
    <row r="776" spans="3:22" x14ac:dyDescent="0.25">
      <c r="C776" s="16"/>
      <c r="U776" s="16"/>
      <c r="V776" s="16"/>
    </row>
    <row r="777" spans="3:22" x14ac:dyDescent="0.25">
      <c r="C777" s="16"/>
      <c r="U777" s="16"/>
      <c r="V777" s="16"/>
    </row>
    <row r="778" spans="3:22" x14ac:dyDescent="0.25">
      <c r="C778" s="16"/>
      <c r="U778" s="16"/>
      <c r="V778" s="16"/>
    </row>
    <row r="779" spans="3:22" x14ac:dyDescent="0.25">
      <c r="C779" s="16"/>
      <c r="U779" s="16"/>
      <c r="V779" s="16"/>
    </row>
    <row r="780" spans="3:22" x14ac:dyDescent="0.25">
      <c r="C780" s="16"/>
      <c r="U780" s="16"/>
      <c r="V780" s="16"/>
    </row>
    <row r="781" spans="3:22" x14ac:dyDescent="0.25">
      <c r="C781" s="16"/>
      <c r="U781" s="16"/>
      <c r="V781" s="16"/>
    </row>
    <row r="782" spans="3:22" x14ac:dyDescent="0.25">
      <c r="C782" s="16"/>
      <c r="U782" s="16"/>
      <c r="V782" s="16"/>
    </row>
    <row r="783" spans="3:22" x14ac:dyDescent="0.25">
      <c r="C783" s="16"/>
      <c r="U783" s="16"/>
      <c r="V783" s="16"/>
    </row>
    <row r="784" spans="3:22" x14ac:dyDescent="0.25">
      <c r="C784" s="16"/>
      <c r="U784" s="16"/>
      <c r="V784" s="16"/>
    </row>
    <row r="785" spans="3:22" x14ac:dyDescent="0.25">
      <c r="C785" s="16"/>
      <c r="U785" s="16"/>
      <c r="V785" s="16"/>
    </row>
    <row r="786" spans="3:22" x14ac:dyDescent="0.25">
      <c r="C786" s="16"/>
      <c r="U786" s="16"/>
      <c r="V786" s="16"/>
    </row>
    <row r="787" spans="3:22" x14ac:dyDescent="0.25">
      <c r="C787" s="16"/>
      <c r="U787" s="16"/>
      <c r="V787" s="16"/>
    </row>
    <row r="788" spans="3:22" x14ac:dyDescent="0.25">
      <c r="C788" s="16"/>
      <c r="U788" s="16"/>
      <c r="V788" s="16"/>
    </row>
    <row r="789" spans="3:22" x14ac:dyDescent="0.25">
      <c r="C789" s="16"/>
      <c r="U789" s="16"/>
      <c r="V789" s="16"/>
    </row>
    <row r="790" spans="3:22" x14ac:dyDescent="0.25">
      <c r="C790" s="16"/>
      <c r="U790" s="16"/>
      <c r="V790" s="16"/>
    </row>
    <row r="791" spans="3:22" x14ac:dyDescent="0.25">
      <c r="C791" s="16"/>
      <c r="U791" s="16"/>
      <c r="V791" s="16"/>
    </row>
    <row r="792" spans="3:22" x14ac:dyDescent="0.25">
      <c r="C792" s="16"/>
      <c r="U792" s="16"/>
      <c r="V792" s="16"/>
    </row>
    <row r="793" spans="3:22" x14ac:dyDescent="0.25">
      <c r="C793" s="16"/>
      <c r="U793" s="16"/>
      <c r="V793" s="16"/>
    </row>
    <row r="794" spans="3:22" x14ac:dyDescent="0.25">
      <c r="C794" s="16"/>
      <c r="U794" s="16"/>
      <c r="V794" s="16"/>
    </row>
    <row r="795" spans="3:22" x14ac:dyDescent="0.25">
      <c r="C795" s="16"/>
      <c r="U795" s="16"/>
      <c r="V795" s="16"/>
    </row>
    <row r="796" spans="3:22" x14ac:dyDescent="0.25">
      <c r="C796" s="16"/>
      <c r="U796" s="16"/>
      <c r="V796" s="16"/>
    </row>
    <row r="797" spans="3:22" x14ac:dyDescent="0.25">
      <c r="C797" s="16"/>
      <c r="U797" s="16"/>
      <c r="V797" s="16"/>
    </row>
    <row r="798" spans="3:22" x14ac:dyDescent="0.25">
      <c r="C798" s="16"/>
      <c r="U798" s="16"/>
      <c r="V798" s="16"/>
    </row>
    <row r="799" spans="3:22" x14ac:dyDescent="0.25">
      <c r="C799" s="16"/>
      <c r="U799" s="16"/>
      <c r="V799" s="16"/>
    </row>
    <row r="800" spans="3:22" x14ac:dyDescent="0.25">
      <c r="C800" s="16"/>
      <c r="U800" s="16"/>
      <c r="V800" s="16"/>
    </row>
    <row r="801" spans="3:22" x14ac:dyDescent="0.25">
      <c r="C801" s="16"/>
      <c r="U801" s="16"/>
      <c r="V801" s="16"/>
    </row>
    <row r="802" spans="3:22" x14ac:dyDescent="0.25">
      <c r="C802" s="16"/>
      <c r="U802" s="16"/>
      <c r="V802" s="16"/>
    </row>
    <row r="803" spans="3:22" x14ac:dyDescent="0.25">
      <c r="C803" s="16"/>
      <c r="U803" s="16"/>
      <c r="V803" s="16"/>
    </row>
    <row r="804" spans="3:22" x14ac:dyDescent="0.25">
      <c r="C804" s="16"/>
      <c r="U804" s="16"/>
      <c r="V804" s="16"/>
    </row>
    <row r="805" spans="3:22" x14ac:dyDescent="0.25">
      <c r="C805" s="16"/>
      <c r="U805" s="16"/>
      <c r="V805" s="16"/>
    </row>
    <row r="806" spans="3:22" x14ac:dyDescent="0.25">
      <c r="C806" s="16"/>
      <c r="U806" s="16"/>
      <c r="V806" s="16"/>
    </row>
    <row r="807" spans="3:22" x14ac:dyDescent="0.25">
      <c r="C807" s="16"/>
      <c r="U807" s="16"/>
      <c r="V807" s="16"/>
    </row>
    <row r="808" spans="3:22" x14ac:dyDescent="0.25">
      <c r="C808" s="16"/>
      <c r="U808" s="16"/>
      <c r="V808" s="16"/>
    </row>
    <row r="809" spans="3:22" x14ac:dyDescent="0.25">
      <c r="C809" s="16"/>
      <c r="U809" s="16"/>
      <c r="V809" s="16"/>
    </row>
    <row r="810" spans="3:22" x14ac:dyDescent="0.25">
      <c r="C810" s="16"/>
      <c r="U810" s="16"/>
      <c r="V810" s="16"/>
    </row>
    <row r="811" spans="3:22" x14ac:dyDescent="0.25">
      <c r="C811" s="16"/>
      <c r="U811" s="16"/>
      <c r="V811" s="16"/>
    </row>
    <row r="812" spans="3:22" x14ac:dyDescent="0.25">
      <c r="C812" s="16"/>
      <c r="U812" s="16"/>
      <c r="V812" s="16"/>
    </row>
    <row r="813" spans="3:22" x14ac:dyDescent="0.25">
      <c r="C813" s="16"/>
      <c r="U813" s="16"/>
      <c r="V813" s="16"/>
    </row>
    <row r="814" spans="3:22" x14ac:dyDescent="0.25">
      <c r="C814" s="16"/>
      <c r="U814" s="16"/>
      <c r="V814" s="16"/>
    </row>
    <row r="815" spans="3:22" x14ac:dyDescent="0.25">
      <c r="C815" s="16"/>
      <c r="U815" s="16"/>
      <c r="V815" s="16"/>
    </row>
    <row r="816" spans="3:22" x14ac:dyDescent="0.25">
      <c r="C816" s="16"/>
      <c r="U816" s="16"/>
      <c r="V816" s="16"/>
    </row>
    <row r="817" spans="3:22" x14ac:dyDescent="0.25">
      <c r="C817" s="16"/>
      <c r="U817" s="16"/>
      <c r="V817" s="16"/>
    </row>
    <row r="818" spans="3:22" x14ac:dyDescent="0.25">
      <c r="C818" s="16"/>
      <c r="U818" s="16"/>
      <c r="V818" s="16"/>
    </row>
    <row r="819" spans="3:22" x14ac:dyDescent="0.25">
      <c r="C819" s="16"/>
      <c r="U819" s="16"/>
      <c r="V819" s="16"/>
    </row>
    <row r="820" spans="3:22" x14ac:dyDescent="0.25">
      <c r="C820" s="16"/>
      <c r="U820" s="16"/>
      <c r="V820" s="16"/>
    </row>
    <row r="821" spans="3:22" x14ac:dyDescent="0.25">
      <c r="C821" s="16"/>
      <c r="U821" s="16"/>
      <c r="V821" s="16"/>
    </row>
    <row r="822" spans="3:22" x14ac:dyDescent="0.25">
      <c r="C822" s="16"/>
      <c r="U822" s="16"/>
      <c r="V822" s="16"/>
    </row>
    <row r="823" spans="3:22" x14ac:dyDescent="0.25">
      <c r="C823" s="16"/>
      <c r="U823" s="16"/>
      <c r="V823" s="16"/>
    </row>
    <row r="824" spans="3:22" x14ac:dyDescent="0.25">
      <c r="C824" s="16"/>
      <c r="U824" s="16"/>
      <c r="V824" s="16"/>
    </row>
    <row r="825" spans="3:22" x14ac:dyDescent="0.25">
      <c r="C825" s="16"/>
      <c r="U825" s="16"/>
      <c r="V825" s="16"/>
    </row>
    <row r="826" spans="3:22" x14ac:dyDescent="0.25">
      <c r="C826" s="16"/>
      <c r="U826" s="16"/>
      <c r="V826" s="16"/>
    </row>
    <row r="827" spans="3:22" x14ac:dyDescent="0.25">
      <c r="C827" s="16"/>
      <c r="U827" s="16"/>
      <c r="V827" s="16"/>
    </row>
    <row r="828" spans="3:22" x14ac:dyDescent="0.25">
      <c r="C828" s="16"/>
      <c r="U828" s="16"/>
      <c r="V828" s="16"/>
    </row>
    <row r="829" spans="3:22" x14ac:dyDescent="0.25">
      <c r="C829" s="16"/>
      <c r="U829" s="16"/>
      <c r="V829" s="16"/>
    </row>
    <row r="830" spans="3:22" x14ac:dyDescent="0.25">
      <c r="C830" s="16"/>
      <c r="U830" s="16"/>
      <c r="V830" s="16"/>
    </row>
    <row r="831" spans="3:22" x14ac:dyDescent="0.25">
      <c r="C831" s="16"/>
      <c r="U831" s="16"/>
      <c r="V831" s="16"/>
    </row>
    <row r="832" spans="3:22" x14ac:dyDescent="0.25">
      <c r="C832" s="16"/>
      <c r="U832" s="16"/>
      <c r="V832" s="16"/>
    </row>
    <row r="833" spans="3:22" x14ac:dyDescent="0.25">
      <c r="C833" s="16"/>
      <c r="U833" s="16"/>
      <c r="V833" s="16"/>
    </row>
    <row r="834" spans="3:22" x14ac:dyDescent="0.25">
      <c r="C834" s="16"/>
      <c r="U834" s="16"/>
      <c r="V834" s="16"/>
    </row>
    <row r="835" spans="3:22" x14ac:dyDescent="0.25">
      <c r="C835" s="16"/>
      <c r="U835" s="16"/>
      <c r="V835" s="16"/>
    </row>
    <row r="836" spans="3:22" x14ac:dyDescent="0.25">
      <c r="C836" s="16"/>
      <c r="U836" s="16"/>
      <c r="V836" s="16"/>
    </row>
    <row r="837" spans="3:22" x14ac:dyDescent="0.25">
      <c r="C837" s="16"/>
      <c r="U837" s="16"/>
      <c r="V837" s="16"/>
    </row>
    <row r="838" spans="3:22" x14ac:dyDescent="0.25">
      <c r="C838" s="16"/>
      <c r="U838" s="16"/>
      <c r="V838" s="16"/>
    </row>
    <row r="839" spans="3:22" x14ac:dyDescent="0.25">
      <c r="C839" s="16"/>
      <c r="U839" s="16"/>
      <c r="V839" s="16"/>
    </row>
    <row r="840" spans="3:22" x14ac:dyDescent="0.25">
      <c r="C840" s="16"/>
      <c r="U840" s="16"/>
      <c r="V840" s="16"/>
    </row>
    <row r="841" spans="3:22" x14ac:dyDescent="0.25">
      <c r="C841" s="16"/>
      <c r="U841" s="16"/>
      <c r="V841" s="16"/>
    </row>
    <row r="842" spans="3:22" x14ac:dyDescent="0.25">
      <c r="C842" s="16"/>
      <c r="U842" s="16"/>
      <c r="V842" s="16"/>
    </row>
    <row r="843" spans="3:22" x14ac:dyDescent="0.25">
      <c r="C843" s="16"/>
      <c r="U843" s="16"/>
      <c r="V843" s="16"/>
    </row>
    <row r="844" spans="3:22" x14ac:dyDescent="0.25">
      <c r="C844" s="16"/>
      <c r="U844" s="16"/>
      <c r="V844" s="16"/>
    </row>
    <row r="845" spans="3:22" x14ac:dyDescent="0.25">
      <c r="C845" s="16"/>
      <c r="U845" s="16"/>
      <c r="V845" s="16"/>
    </row>
    <row r="846" spans="3:22" x14ac:dyDescent="0.25">
      <c r="C846" s="16"/>
      <c r="U846" s="16"/>
      <c r="V846" s="16"/>
    </row>
    <row r="847" spans="3:22" x14ac:dyDescent="0.25">
      <c r="C847" s="16"/>
      <c r="U847" s="16"/>
      <c r="V847" s="16"/>
    </row>
    <row r="848" spans="3:22" x14ac:dyDescent="0.25">
      <c r="C848" s="16"/>
      <c r="U848" s="16"/>
      <c r="V848" s="16"/>
    </row>
    <row r="849" spans="3:22" x14ac:dyDescent="0.25">
      <c r="C849" s="16"/>
      <c r="U849" s="16"/>
      <c r="V849" s="16"/>
    </row>
    <row r="850" spans="3:22" x14ac:dyDescent="0.25">
      <c r="C850" s="16"/>
      <c r="U850" s="16"/>
      <c r="V850" s="16"/>
    </row>
    <row r="851" spans="3:22" x14ac:dyDescent="0.25">
      <c r="C851" s="16"/>
      <c r="U851" s="16"/>
      <c r="V851" s="16"/>
    </row>
    <row r="852" spans="3:22" x14ac:dyDescent="0.25">
      <c r="C852" s="16"/>
      <c r="U852" s="16"/>
      <c r="V852" s="16"/>
    </row>
    <row r="853" spans="3:22" x14ac:dyDescent="0.25">
      <c r="C853" s="16"/>
      <c r="U853" s="16"/>
      <c r="V853" s="16"/>
    </row>
    <row r="854" spans="3:22" x14ac:dyDescent="0.25">
      <c r="C854" s="16"/>
      <c r="U854" s="16"/>
      <c r="V854" s="16"/>
    </row>
    <row r="855" spans="3:22" x14ac:dyDescent="0.25">
      <c r="C855" s="16"/>
      <c r="U855" s="16"/>
      <c r="V855" s="16"/>
    </row>
    <row r="856" spans="3:22" x14ac:dyDescent="0.25">
      <c r="C856" s="16"/>
      <c r="U856" s="16"/>
      <c r="V856" s="16"/>
    </row>
    <row r="857" spans="3:22" x14ac:dyDescent="0.25">
      <c r="C857" s="16"/>
      <c r="U857" s="16"/>
      <c r="V857" s="16"/>
    </row>
    <row r="858" spans="3:22" x14ac:dyDescent="0.25">
      <c r="C858" s="16"/>
      <c r="U858" s="16"/>
      <c r="V858" s="16"/>
    </row>
    <row r="859" spans="3:22" x14ac:dyDescent="0.25">
      <c r="C859" s="16"/>
      <c r="U859" s="16"/>
      <c r="V859" s="16"/>
    </row>
    <row r="860" spans="3:22" x14ac:dyDescent="0.25">
      <c r="C860" s="16"/>
      <c r="U860" s="16"/>
      <c r="V860" s="16"/>
    </row>
    <row r="861" spans="3:22" x14ac:dyDescent="0.25">
      <c r="C861" s="16"/>
      <c r="U861" s="16"/>
      <c r="V861" s="16"/>
    </row>
    <row r="862" spans="3:22" x14ac:dyDescent="0.25">
      <c r="C862" s="16"/>
      <c r="U862" s="16"/>
      <c r="V862" s="16"/>
    </row>
    <row r="863" spans="3:22" x14ac:dyDescent="0.25">
      <c r="C863" s="16"/>
      <c r="U863" s="16"/>
      <c r="V863" s="16"/>
    </row>
    <row r="864" spans="3:22" x14ac:dyDescent="0.25">
      <c r="C864" s="16"/>
      <c r="U864" s="16"/>
      <c r="V864" s="16"/>
    </row>
    <row r="865" spans="3:22" x14ac:dyDescent="0.25">
      <c r="C865" s="16"/>
      <c r="U865" s="16"/>
      <c r="V865" s="16"/>
    </row>
    <row r="866" spans="3:22" x14ac:dyDescent="0.25">
      <c r="C866" s="16"/>
      <c r="U866" s="16"/>
      <c r="V866" s="16"/>
    </row>
    <row r="867" spans="3:22" x14ac:dyDescent="0.25">
      <c r="C867" s="16"/>
      <c r="U867" s="16"/>
      <c r="V867" s="16"/>
    </row>
    <row r="868" spans="3:22" x14ac:dyDescent="0.25">
      <c r="C868" s="16"/>
      <c r="U868" s="16"/>
      <c r="V868" s="16"/>
    </row>
    <row r="869" spans="3:22" x14ac:dyDescent="0.25">
      <c r="C869" s="16"/>
      <c r="U869" s="16"/>
      <c r="V869" s="16"/>
    </row>
    <row r="870" spans="3:22" x14ac:dyDescent="0.25">
      <c r="C870" s="16"/>
      <c r="U870" s="16"/>
      <c r="V870" s="16"/>
    </row>
    <row r="871" spans="3:22" x14ac:dyDescent="0.25">
      <c r="C871" s="16"/>
      <c r="U871" s="16"/>
      <c r="V871" s="16"/>
    </row>
    <row r="872" spans="3:22" x14ac:dyDescent="0.25">
      <c r="C872" s="16"/>
      <c r="U872" s="16"/>
      <c r="V872" s="16"/>
    </row>
    <row r="873" spans="3:22" x14ac:dyDescent="0.25">
      <c r="C873" s="16"/>
      <c r="U873" s="16"/>
      <c r="V873" s="16"/>
    </row>
    <row r="874" spans="3:22" x14ac:dyDescent="0.25">
      <c r="C874" s="16"/>
      <c r="U874" s="16"/>
      <c r="V874" s="16"/>
    </row>
    <row r="875" spans="3:22" x14ac:dyDescent="0.25">
      <c r="C875" s="16"/>
      <c r="U875" s="16"/>
      <c r="V875" s="16"/>
    </row>
    <row r="876" spans="3:22" x14ac:dyDescent="0.25">
      <c r="C876" s="16"/>
      <c r="U876" s="16"/>
      <c r="V876" s="16"/>
    </row>
    <row r="877" spans="3:22" x14ac:dyDescent="0.25">
      <c r="C877" s="16"/>
      <c r="U877" s="16"/>
      <c r="V877" s="16"/>
    </row>
    <row r="878" spans="3:22" x14ac:dyDescent="0.25">
      <c r="C878" s="16"/>
      <c r="U878" s="16"/>
      <c r="V878" s="16"/>
    </row>
    <row r="879" spans="3:22" x14ac:dyDescent="0.25">
      <c r="C879" s="16"/>
      <c r="U879" s="16"/>
      <c r="V879" s="16"/>
    </row>
    <row r="880" spans="3:22" x14ac:dyDescent="0.25">
      <c r="C880" s="16"/>
      <c r="U880" s="16"/>
      <c r="V880" s="16"/>
    </row>
    <row r="881" spans="3:22" x14ac:dyDescent="0.25">
      <c r="C881" s="16"/>
      <c r="U881" s="16"/>
      <c r="V881" s="16"/>
    </row>
    <row r="882" spans="3:22" x14ac:dyDescent="0.25">
      <c r="C882" s="16"/>
      <c r="U882" s="16"/>
      <c r="V882" s="16"/>
    </row>
    <row r="883" spans="3:22" x14ac:dyDescent="0.25">
      <c r="C883" s="16"/>
      <c r="U883" s="16"/>
      <c r="V883" s="16"/>
    </row>
    <row r="884" spans="3:22" x14ac:dyDescent="0.25">
      <c r="C884" s="16"/>
      <c r="U884" s="16"/>
      <c r="V884" s="16"/>
    </row>
    <row r="885" spans="3:22" x14ac:dyDescent="0.25">
      <c r="C885" s="16"/>
      <c r="U885" s="16"/>
      <c r="V885" s="16"/>
    </row>
    <row r="886" spans="3:22" x14ac:dyDescent="0.25">
      <c r="C886" s="16"/>
      <c r="U886" s="16"/>
      <c r="V886" s="16"/>
    </row>
    <row r="887" spans="3:22" x14ac:dyDescent="0.25">
      <c r="C887" s="16"/>
      <c r="U887" s="16"/>
      <c r="V887" s="16"/>
    </row>
    <row r="888" spans="3:22" x14ac:dyDescent="0.25">
      <c r="C888" s="16"/>
      <c r="U888" s="16"/>
      <c r="V888" s="16"/>
    </row>
    <row r="889" spans="3:22" x14ac:dyDescent="0.25">
      <c r="C889" s="16"/>
      <c r="U889" s="16"/>
      <c r="V889" s="16"/>
    </row>
    <row r="890" spans="3:22" x14ac:dyDescent="0.25">
      <c r="C890" s="16"/>
      <c r="U890" s="16"/>
      <c r="V890" s="16"/>
    </row>
    <row r="891" spans="3:22" x14ac:dyDescent="0.25">
      <c r="C891" s="16"/>
      <c r="U891" s="16"/>
      <c r="V891" s="16"/>
    </row>
    <row r="892" spans="3:22" x14ac:dyDescent="0.25">
      <c r="C892" s="16"/>
      <c r="U892" s="16"/>
      <c r="V892" s="16"/>
    </row>
    <row r="893" spans="3:22" x14ac:dyDescent="0.25">
      <c r="C893" s="16"/>
      <c r="U893" s="16"/>
      <c r="V893" s="16"/>
    </row>
    <row r="894" spans="3:22" x14ac:dyDescent="0.25">
      <c r="C894" s="16"/>
      <c r="U894" s="16"/>
      <c r="V894" s="16"/>
    </row>
    <row r="895" spans="3:22" x14ac:dyDescent="0.25">
      <c r="C895" s="16"/>
      <c r="U895" s="16"/>
      <c r="V895" s="16"/>
    </row>
    <row r="896" spans="3:22" x14ac:dyDescent="0.25">
      <c r="C896" s="16"/>
      <c r="U896" s="16"/>
      <c r="V896" s="16"/>
    </row>
    <row r="897" spans="3:22" x14ac:dyDescent="0.25">
      <c r="C897" s="16"/>
      <c r="U897" s="16"/>
      <c r="V897" s="16"/>
    </row>
    <row r="898" spans="3:22" x14ac:dyDescent="0.25">
      <c r="C898" s="16"/>
      <c r="U898" s="16"/>
      <c r="V898" s="16"/>
    </row>
    <row r="899" spans="3:22" x14ac:dyDescent="0.25">
      <c r="C899" s="16"/>
      <c r="U899" s="16"/>
      <c r="V899" s="16"/>
    </row>
    <row r="900" spans="3:22" x14ac:dyDescent="0.25">
      <c r="C900" s="16"/>
      <c r="U900" s="16"/>
      <c r="V900" s="16"/>
    </row>
    <row r="901" spans="3:22" x14ac:dyDescent="0.25">
      <c r="C901" s="16"/>
      <c r="U901" s="16"/>
      <c r="V901" s="16"/>
    </row>
    <row r="902" spans="3:22" x14ac:dyDescent="0.25">
      <c r="C902" s="16"/>
      <c r="U902" s="16"/>
      <c r="V902" s="16"/>
    </row>
    <row r="903" spans="3:22" x14ac:dyDescent="0.25">
      <c r="C903" s="16"/>
      <c r="U903" s="16"/>
      <c r="V903" s="16"/>
    </row>
    <row r="904" spans="3:22" x14ac:dyDescent="0.25">
      <c r="C904" s="16"/>
      <c r="U904" s="16"/>
      <c r="V904" s="16"/>
    </row>
    <row r="905" spans="3:22" x14ac:dyDescent="0.25">
      <c r="C905" s="16"/>
      <c r="U905" s="16"/>
      <c r="V905" s="16"/>
    </row>
    <row r="906" spans="3:22" x14ac:dyDescent="0.25">
      <c r="C906" s="16"/>
      <c r="U906" s="16"/>
      <c r="V906" s="16"/>
    </row>
    <row r="907" spans="3:22" x14ac:dyDescent="0.25">
      <c r="C907" s="16"/>
      <c r="U907" s="16"/>
      <c r="V907" s="16"/>
    </row>
    <row r="908" spans="3:22" x14ac:dyDescent="0.25">
      <c r="C908" s="16"/>
      <c r="U908" s="16"/>
      <c r="V908" s="16"/>
    </row>
    <row r="909" spans="3:22" x14ac:dyDescent="0.25">
      <c r="C909" s="16"/>
      <c r="U909" s="16"/>
      <c r="V909" s="16"/>
    </row>
    <row r="910" spans="3:22" x14ac:dyDescent="0.25">
      <c r="C910" s="16"/>
      <c r="U910" s="16"/>
      <c r="V910" s="16"/>
    </row>
    <row r="911" spans="3:22" x14ac:dyDescent="0.25">
      <c r="C911" s="16"/>
      <c r="U911" s="16"/>
      <c r="V911" s="16"/>
    </row>
    <row r="912" spans="3:22" x14ac:dyDescent="0.25">
      <c r="C912" s="16"/>
      <c r="U912" s="16"/>
      <c r="V912" s="16"/>
    </row>
    <row r="913" spans="3:22" x14ac:dyDescent="0.25">
      <c r="C913" s="16"/>
      <c r="U913" s="16"/>
      <c r="V913" s="16"/>
    </row>
    <row r="914" spans="3:22" x14ac:dyDescent="0.25">
      <c r="C914" s="16"/>
      <c r="U914" s="16"/>
      <c r="V914" s="16"/>
    </row>
    <row r="915" spans="3:22" x14ac:dyDescent="0.25">
      <c r="C915" s="16"/>
      <c r="U915" s="16"/>
      <c r="V915" s="16"/>
    </row>
    <row r="916" spans="3:22" x14ac:dyDescent="0.25">
      <c r="C916" s="16"/>
      <c r="U916" s="16"/>
      <c r="V916" s="16"/>
    </row>
    <row r="917" spans="3:22" x14ac:dyDescent="0.25">
      <c r="C917" s="16"/>
      <c r="U917" s="16"/>
      <c r="V917" s="16"/>
    </row>
    <row r="918" spans="3:22" x14ac:dyDescent="0.25">
      <c r="C918" s="16"/>
      <c r="U918" s="16"/>
      <c r="V918" s="16"/>
    </row>
    <row r="919" spans="3:22" x14ac:dyDescent="0.25">
      <c r="C919" s="16"/>
      <c r="U919" s="16"/>
      <c r="V919" s="16"/>
    </row>
    <row r="920" spans="3:22" x14ac:dyDescent="0.25">
      <c r="C920" s="16"/>
      <c r="U920" s="16"/>
      <c r="V920" s="16"/>
    </row>
    <row r="921" spans="3:22" x14ac:dyDescent="0.25">
      <c r="C921" s="16"/>
      <c r="U921" s="16"/>
      <c r="V921" s="16"/>
    </row>
    <row r="922" spans="3:22" x14ac:dyDescent="0.25">
      <c r="C922" s="16"/>
      <c r="U922" s="16"/>
      <c r="V922" s="16"/>
    </row>
    <row r="923" spans="3:22" x14ac:dyDescent="0.25">
      <c r="C923" s="16"/>
      <c r="U923" s="16"/>
      <c r="V923" s="16"/>
    </row>
    <row r="924" spans="3:22" x14ac:dyDescent="0.25">
      <c r="C924" s="16"/>
      <c r="U924" s="16"/>
      <c r="V924" s="16"/>
    </row>
    <row r="925" spans="3:22" x14ac:dyDescent="0.25">
      <c r="C925" s="16"/>
      <c r="U925" s="16"/>
      <c r="V925" s="16"/>
    </row>
    <row r="926" spans="3:22" x14ac:dyDescent="0.25">
      <c r="C926" s="16"/>
      <c r="U926" s="16"/>
      <c r="V926" s="16"/>
    </row>
    <row r="927" spans="3:22" x14ac:dyDescent="0.25">
      <c r="C927" s="16"/>
      <c r="U927" s="16"/>
      <c r="V927" s="16"/>
    </row>
    <row r="928" spans="3:22" x14ac:dyDescent="0.25">
      <c r="C928" s="16"/>
      <c r="U928" s="16"/>
      <c r="V928" s="16"/>
    </row>
    <row r="929" spans="3:22" x14ac:dyDescent="0.25">
      <c r="C929" s="16"/>
      <c r="U929" s="16"/>
      <c r="V929" s="16"/>
    </row>
    <row r="930" spans="3:22" x14ac:dyDescent="0.25">
      <c r="C930" s="16"/>
      <c r="U930" s="16"/>
      <c r="V930" s="16"/>
    </row>
    <row r="931" spans="3:22" x14ac:dyDescent="0.25">
      <c r="C931" s="16"/>
      <c r="U931" s="16"/>
      <c r="V931" s="16"/>
    </row>
    <row r="932" spans="3:22" x14ac:dyDescent="0.25">
      <c r="C932" s="16"/>
      <c r="U932" s="16"/>
      <c r="V932" s="16"/>
    </row>
    <row r="933" spans="3:22" x14ac:dyDescent="0.25">
      <c r="C933" s="16"/>
      <c r="U933" s="16"/>
      <c r="V933" s="16"/>
    </row>
    <row r="934" spans="3:22" x14ac:dyDescent="0.25">
      <c r="C934" s="16"/>
      <c r="U934" s="16"/>
      <c r="V934" s="16"/>
    </row>
    <row r="935" spans="3:22" x14ac:dyDescent="0.25">
      <c r="C935" s="16"/>
      <c r="U935" s="16"/>
      <c r="V935" s="16"/>
    </row>
    <row r="936" spans="3:22" x14ac:dyDescent="0.25">
      <c r="C936" s="16"/>
      <c r="U936" s="16"/>
      <c r="V936" s="16"/>
    </row>
    <row r="937" spans="3:22" x14ac:dyDescent="0.25">
      <c r="C937" s="16"/>
      <c r="U937" s="16"/>
      <c r="V937" s="16"/>
    </row>
    <row r="938" spans="3:22" x14ac:dyDescent="0.25">
      <c r="C938" s="16"/>
      <c r="U938" s="16"/>
      <c r="V938" s="16"/>
    </row>
    <row r="939" spans="3:22" x14ac:dyDescent="0.25">
      <c r="C939" s="16"/>
      <c r="U939" s="16"/>
      <c r="V939" s="16"/>
    </row>
    <row r="940" spans="3:22" x14ac:dyDescent="0.25">
      <c r="C940" s="16"/>
      <c r="U940" s="16"/>
      <c r="V940" s="16"/>
    </row>
    <row r="941" spans="3:22" x14ac:dyDescent="0.25">
      <c r="C941" s="16"/>
      <c r="U941" s="16"/>
      <c r="V941" s="16"/>
    </row>
    <row r="942" spans="3:22" x14ac:dyDescent="0.25">
      <c r="C942" s="16"/>
      <c r="U942" s="16"/>
      <c r="V942" s="16"/>
    </row>
    <row r="943" spans="3:22" x14ac:dyDescent="0.25">
      <c r="C943" s="16"/>
      <c r="U943" s="16"/>
      <c r="V943" s="16"/>
    </row>
    <row r="944" spans="3:22" x14ac:dyDescent="0.25">
      <c r="C944" s="16"/>
      <c r="U944" s="16"/>
      <c r="V944" s="16"/>
    </row>
    <row r="945" spans="3:22" x14ac:dyDescent="0.25">
      <c r="C945" s="16"/>
      <c r="U945" s="16"/>
      <c r="V945" s="16"/>
    </row>
    <row r="946" spans="3:22" x14ac:dyDescent="0.25">
      <c r="C946" s="16"/>
      <c r="U946" s="16"/>
      <c r="V946" s="16"/>
    </row>
    <row r="947" spans="3:22" x14ac:dyDescent="0.25">
      <c r="C947" s="16"/>
      <c r="U947" s="16"/>
      <c r="V947" s="16"/>
    </row>
    <row r="948" spans="3:22" x14ac:dyDescent="0.25">
      <c r="C948" s="16"/>
      <c r="U948" s="16"/>
      <c r="V948" s="16"/>
    </row>
    <row r="949" spans="3:22" x14ac:dyDescent="0.25">
      <c r="C949" s="16"/>
      <c r="U949" s="16"/>
      <c r="V949" s="16"/>
    </row>
    <row r="950" spans="3:22" x14ac:dyDescent="0.25">
      <c r="C950" s="16"/>
      <c r="U950" s="16"/>
      <c r="V950" s="16"/>
    </row>
    <row r="951" spans="3:22" x14ac:dyDescent="0.25">
      <c r="C951" s="16"/>
      <c r="U951" s="16"/>
      <c r="V951" s="16"/>
    </row>
    <row r="952" spans="3:22" x14ac:dyDescent="0.25">
      <c r="C952" s="16"/>
      <c r="U952" s="16"/>
      <c r="V952" s="16"/>
    </row>
    <row r="953" spans="3:22" x14ac:dyDescent="0.25">
      <c r="C953" s="16"/>
      <c r="U953" s="16"/>
      <c r="V953" s="16"/>
    </row>
    <row r="954" spans="3:22" x14ac:dyDescent="0.25">
      <c r="C954" s="16"/>
      <c r="U954" s="16"/>
      <c r="V954" s="16"/>
    </row>
    <row r="955" spans="3:22" x14ac:dyDescent="0.25">
      <c r="C955" s="16"/>
      <c r="U955" s="16"/>
      <c r="V955" s="16"/>
    </row>
    <row r="956" spans="3:22" x14ac:dyDescent="0.25">
      <c r="C956" s="16"/>
      <c r="U956" s="16"/>
      <c r="V956" s="16"/>
    </row>
    <row r="957" spans="3:22" x14ac:dyDescent="0.25">
      <c r="C957" s="16"/>
      <c r="U957" s="16"/>
      <c r="V957" s="16"/>
    </row>
    <row r="958" spans="3:22" x14ac:dyDescent="0.25">
      <c r="C958" s="16"/>
      <c r="U958" s="16"/>
      <c r="V958" s="16"/>
    </row>
    <row r="959" spans="3:22" x14ac:dyDescent="0.25">
      <c r="C959" s="16"/>
      <c r="U959" s="16"/>
      <c r="V959" s="16"/>
    </row>
    <row r="960" spans="3:22" x14ac:dyDescent="0.25">
      <c r="C960" s="16"/>
      <c r="U960" s="16"/>
      <c r="V960" s="16"/>
    </row>
    <row r="961" spans="3:22" x14ac:dyDescent="0.25">
      <c r="C961" s="16"/>
      <c r="U961" s="16"/>
      <c r="V961" s="16"/>
    </row>
    <row r="962" spans="3:22" x14ac:dyDescent="0.25">
      <c r="C962" s="16"/>
      <c r="U962" s="16"/>
      <c r="V962" s="16"/>
    </row>
    <row r="963" spans="3:22" x14ac:dyDescent="0.25">
      <c r="C963" s="16"/>
      <c r="U963" s="16"/>
      <c r="V963" s="16"/>
    </row>
    <row r="964" spans="3:22" x14ac:dyDescent="0.25">
      <c r="C964" s="16"/>
      <c r="U964" s="16"/>
      <c r="V964" s="16"/>
    </row>
    <row r="965" spans="3:22" x14ac:dyDescent="0.25">
      <c r="C965" s="16"/>
      <c r="U965" s="16"/>
      <c r="V965" s="16"/>
    </row>
    <row r="966" spans="3:22" x14ac:dyDescent="0.25">
      <c r="C966" s="16"/>
      <c r="U966" s="16"/>
      <c r="V966" s="16"/>
    </row>
    <row r="967" spans="3:22" x14ac:dyDescent="0.25">
      <c r="C967" s="16"/>
      <c r="U967" s="16"/>
      <c r="V967" s="16"/>
    </row>
    <row r="968" spans="3:22" x14ac:dyDescent="0.25">
      <c r="C968" s="16"/>
      <c r="U968" s="16"/>
      <c r="V968" s="16"/>
    </row>
    <row r="969" spans="3:22" x14ac:dyDescent="0.25">
      <c r="C969" s="16"/>
      <c r="U969" s="16"/>
      <c r="V969" s="16"/>
    </row>
    <row r="970" spans="3:22" x14ac:dyDescent="0.25">
      <c r="C970" s="16"/>
      <c r="U970" s="16"/>
      <c r="V970" s="16"/>
    </row>
    <row r="971" spans="3:22" x14ac:dyDescent="0.25">
      <c r="C971" s="16"/>
      <c r="U971" s="16"/>
      <c r="V971" s="16"/>
    </row>
    <row r="972" spans="3:22" x14ac:dyDescent="0.25">
      <c r="C972" s="16"/>
      <c r="U972" s="16"/>
      <c r="V972" s="16"/>
    </row>
    <row r="973" spans="3:22" x14ac:dyDescent="0.25">
      <c r="C973" s="16"/>
      <c r="U973" s="16"/>
      <c r="V973" s="16"/>
    </row>
    <row r="974" spans="3:22" x14ac:dyDescent="0.25">
      <c r="C974" s="16"/>
      <c r="U974" s="16"/>
      <c r="V974" s="16"/>
    </row>
    <row r="975" spans="3:22" x14ac:dyDescent="0.25">
      <c r="C975" s="16"/>
      <c r="U975" s="16"/>
      <c r="V975" s="16"/>
    </row>
    <row r="976" spans="3:22" x14ac:dyDescent="0.25">
      <c r="C976" s="16"/>
      <c r="U976" s="16"/>
      <c r="V976" s="16"/>
    </row>
    <row r="977" spans="3:22" x14ac:dyDescent="0.25">
      <c r="C977" s="16"/>
      <c r="U977" s="16"/>
      <c r="V977" s="16"/>
    </row>
    <row r="978" spans="3:22" x14ac:dyDescent="0.25">
      <c r="C978" s="16"/>
      <c r="U978" s="16"/>
      <c r="V978" s="16"/>
    </row>
    <row r="979" spans="3:22" x14ac:dyDescent="0.25">
      <c r="C979" s="16"/>
      <c r="U979" s="16"/>
      <c r="V979" s="16"/>
    </row>
    <row r="980" spans="3:22" x14ac:dyDescent="0.25">
      <c r="C980" s="16"/>
      <c r="U980" s="16"/>
      <c r="V980" s="16"/>
    </row>
    <row r="981" spans="3:22" x14ac:dyDescent="0.25">
      <c r="C981" s="16"/>
      <c r="U981" s="16"/>
      <c r="V981" s="16"/>
    </row>
    <row r="982" spans="3:22" x14ac:dyDescent="0.25">
      <c r="C982" s="16"/>
      <c r="U982" s="16"/>
      <c r="V982" s="16"/>
    </row>
    <row r="983" spans="3:22" x14ac:dyDescent="0.25">
      <c r="C983" s="16"/>
      <c r="U983" s="16"/>
      <c r="V983" s="16"/>
    </row>
    <row r="984" spans="3:22" x14ac:dyDescent="0.25">
      <c r="C984" s="16"/>
      <c r="U984" s="16"/>
      <c r="V984" s="16"/>
    </row>
    <row r="985" spans="3:22" x14ac:dyDescent="0.25">
      <c r="C985" s="16"/>
      <c r="U985" s="16"/>
      <c r="V985" s="16"/>
    </row>
    <row r="986" spans="3:22" x14ac:dyDescent="0.25">
      <c r="C986" s="16"/>
      <c r="U986" s="16"/>
      <c r="V986" s="16"/>
    </row>
    <row r="987" spans="3:22" x14ac:dyDescent="0.25">
      <c r="C987" s="16"/>
      <c r="U987" s="16"/>
      <c r="V987" s="16"/>
    </row>
    <row r="988" spans="3:22" x14ac:dyDescent="0.25">
      <c r="C988" s="16"/>
      <c r="U988" s="16"/>
      <c r="V988" s="16"/>
    </row>
    <row r="989" spans="3:22" x14ac:dyDescent="0.25">
      <c r="C989" s="16"/>
      <c r="U989" s="16"/>
      <c r="V989" s="16"/>
    </row>
    <row r="990" spans="3:22" x14ac:dyDescent="0.25">
      <c r="C990" s="16"/>
      <c r="U990" s="16"/>
      <c r="V990" s="16"/>
    </row>
    <row r="991" spans="3:22" x14ac:dyDescent="0.25">
      <c r="C991" s="16"/>
      <c r="U991" s="16"/>
      <c r="V991" s="16"/>
    </row>
    <row r="992" spans="3:22" x14ac:dyDescent="0.25">
      <c r="C992" s="16"/>
      <c r="U992" s="16"/>
      <c r="V992" s="16"/>
    </row>
    <row r="993" spans="3:22" x14ac:dyDescent="0.25">
      <c r="C993" s="16"/>
      <c r="U993" s="16"/>
      <c r="V993" s="16"/>
    </row>
    <row r="994" spans="3:22" x14ac:dyDescent="0.25">
      <c r="C994" s="16"/>
      <c r="U994" s="16"/>
      <c r="V994" s="16"/>
    </row>
    <row r="995" spans="3:22" x14ac:dyDescent="0.25">
      <c r="C995" s="16"/>
      <c r="U995" s="16"/>
      <c r="V995" s="16"/>
    </row>
    <row r="996" spans="3:22" x14ac:dyDescent="0.25">
      <c r="C996" s="16"/>
      <c r="U996" s="16"/>
      <c r="V996" s="16"/>
    </row>
    <row r="997" spans="3:22" x14ac:dyDescent="0.25">
      <c r="C997" s="16"/>
      <c r="U997" s="16"/>
      <c r="V997" s="16"/>
    </row>
    <row r="998" spans="3:22" x14ac:dyDescent="0.25">
      <c r="C998" s="16"/>
      <c r="U998" s="16"/>
      <c r="V998" s="16"/>
    </row>
    <row r="999" spans="3:22" x14ac:dyDescent="0.25">
      <c r="C999" s="16"/>
      <c r="U999" s="16"/>
      <c r="V999" s="16"/>
    </row>
    <row r="1000" spans="3:22" x14ac:dyDescent="0.25">
      <c r="C1000" s="16"/>
      <c r="U1000" s="16"/>
      <c r="V1000" s="16"/>
    </row>
    <row r="1001" spans="3:22" x14ac:dyDescent="0.25">
      <c r="C1001" s="16"/>
      <c r="U1001" s="16"/>
      <c r="V1001" s="16"/>
    </row>
    <row r="1002" spans="3:22" x14ac:dyDescent="0.25">
      <c r="C1002" s="16"/>
      <c r="U1002" s="16"/>
      <c r="V1002" s="16"/>
    </row>
    <row r="1003" spans="3:22" x14ac:dyDescent="0.25">
      <c r="C1003" s="16"/>
      <c r="U1003" s="16"/>
      <c r="V1003" s="16"/>
    </row>
    <row r="1004" spans="3:22" x14ac:dyDescent="0.25">
      <c r="C1004" s="16"/>
      <c r="U1004" s="16"/>
      <c r="V1004" s="16"/>
    </row>
    <row r="1005" spans="3:22" x14ac:dyDescent="0.25">
      <c r="C1005" s="16"/>
      <c r="U1005" s="16"/>
      <c r="V1005" s="16"/>
    </row>
    <row r="1006" spans="3:22" x14ac:dyDescent="0.25">
      <c r="C1006" s="16"/>
      <c r="U1006" s="16"/>
      <c r="V1006" s="16"/>
    </row>
    <row r="1007" spans="3:22" x14ac:dyDescent="0.25">
      <c r="C1007" s="16"/>
      <c r="U1007" s="16"/>
      <c r="V1007" s="16"/>
    </row>
    <row r="1008" spans="3:22" x14ac:dyDescent="0.25">
      <c r="C1008" s="16"/>
      <c r="U1008" s="16"/>
      <c r="V1008" s="16"/>
    </row>
    <row r="1009" spans="3:22" x14ac:dyDescent="0.25">
      <c r="C1009" s="16"/>
      <c r="U1009" s="16"/>
      <c r="V1009" s="16"/>
    </row>
    <row r="1010" spans="3:22" x14ac:dyDescent="0.25">
      <c r="C1010" s="16"/>
      <c r="U1010" s="16"/>
      <c r="V1010" s="16"/>
    </row>
    <row r="1011" spans="3:22" x14ac:dyDescent="0.25">
      <c r="C1011" s="16"/>
      <c r="U1011" s="16"/>
      <c r="V1011" s="16"/>
    </row>
    <row r="1012" spans="3:22" x14ac:dyDescent="0.25">
      <c r="C1012" s="16"/>
      <c r="U1012" s="16"/>
      <c r="V1012" s="16"/>
    </row>
    <row r="1013" spans="3:22" x14ac:dyDescent="0.25">
      <c r="C1013" s="16"/>
      <c r="U1013" s="16"/>
      <c r="V1013" s="16"/>
    </row>
    <row r="1014" spans="3:22" x14ac:dyDescent="0.25">
      <c r="C1014" s="16"/>
      <c r="U1014" s="16"/>
      <c r="V1014" s="16"/>
    </row>
    <row r="1015" spans="3:22" x14ac:dyDescent="0.25">
      <c r="C1015" s="16"/>
      <c r="U1015" s="16"/>
      <c r="V1015" s="16"/>
    </row>
    <row r="1016" spans="3:22" x14ac:dyDescent="0.25">
      <c r="C1016" s="16"/>
      <c r="U1016" s="16"/>
      <c r="V1016" s="16"/>
    </row>
    <row r="1017" spans="3:22" x14ac:dyDescent="0.25">
      <c r="C1017" s="16"/>
      <c r="U1017" s="16"/>
      <c r="V1017" s="16"/>
    </row>
    <row r="1018" spans="3:22" x14ac:dyDescent="0.25">
      <c r="C1018" s="16"/>
      <c r="U1018" s="16"/>
      <c r="V1018" s="16"/>
    </row>
    <row r="1019" spans="3:22" x14ac:dyDescent="0.25">
      <c r="C1019" s="16"/>
      <c r="U1019" s="16"/>
      <c r="V1019" s="16"/>
    </row>
    <row r="1020" spans="3:22" x14ac:dyDescent="0.25">
      <c r="C1020" s="16"/>
      <c r="U1020" s="16"/>
      <c r="V1020" s="16"/>
    </row>
    <row r="1021" spans="3:22" x14ac:dyDescent="0.25">
      <c r="C1021" s="16"/>
      <c r="U1021" s="16"/>
      <c r="V1021" s="16"/>
    </row>
    <row r="1022" spans="3:22" x14ac:dyDescent="0.25">
      <c r="C1022" s="16"/>
      <c r="U1022" s="16"/>
      <c r="V1022" s="16"/>
    </row>
    <row r="1023" spans="3:22" x14ac:dyDescent="0.25">
      <c r="C1023" s="16"/>
      <c r="U1023" s="16"/>
      <c r="V1023" s="16"/>
    </row>
    <row r="1024" spans="3:22" x14ac:dyDescent="0.25">
      <c r="C1024" s="16"/>
      <c r="U1024" s="16"/>
      <c r="V1024" s="16"/>
    </row>
    <row r="1025" spans="3:22" x14ac:dyDescent="0.25">
      <c r="C1025" s="16"/>
      <c r="U1025" s="16"/>
      <c r="V1025" s="16"/>
    </row>
    <row r="1026" spans="3:22" x14ac:dyDescent="0.25">
      <c r="C1026" s="16"/>
      <c r="U1026" s="16"/>
      <c r="V1026" s="16"/>
    </row>
    <row r="1027" spans="3:22" x14ac:dyDescent="0.25">
      <c r="C1027" s="16"/>
      <c r="U1027" s="16"/>
      <c r="V1027" s="16"/>
    </row>
    <row r="1028" spans="3:22" x14ac:dyDescent="0.25">
      <c r="C1028" s="16"/>
      <c r="U1028" s="16"/>
      <c r="V1028" s="16"/>
    </row>
    <row r="1029" spans="3:22" x14ac:dyDescent="0.25">
      <c r="C1029" s="16"/>
      <c r="U1029" s="16"/>
      <c r="V1029" s="16"/>
    </row>
    <row r="1030" spans="3:22" x14ac:dyDescent="0.25">
      <c r="C1030" s="16"/>
      <c r="U1030" s="16"/>
      <c r="V1030" s="16"/>
    </row>
    <row r="1031" spans="3:22" x14ac:dyDescent="0.25">
      <c r="C1031" s="16"/>
      <c r="U1031" s="16"/>
      <c r="V1031" s="16"/>
    </row>
    <row r="1032" spans="3:22" x14ac:dyDescent="0.25">
      <c r="C1032" s="16"/>
      <c r="U1032" s="16"/>
      <c r="V1032" s="16"/>
    </row>
    <row r="1033" spans="3:22" x14ac:dyDescent="0.25">
      <c r="C1033" s="16"/>
      <c r="U1033" s="16"/>
      <c r="V1033" s="16"/>
    </row>
    <row r="1034" spans="3:22" x14ac:dyDescent="0.25">
      <c r="C1034" s="16"/>
      <c r="U1034" s="16"/>
      <c r="V1034" s="16"/>
    </row>
    <row r="1035" spans="3:22" x14ac:dyDescent="0.25">
      <c r="C1035" s="16"/>
      <c r="U1035" s="16"/>
      <c r="V1035" s="16"/>
    </row>
    <row r="1036" spans="3:22" x14ac:dyDescent="0.25">
      <c r="C1036" s="16"/>
      <c r="U1036" s="16"/>
      <c r="V1036" s="16"/>
    </row>
    <row r="1037" spans="3:22" x14ac:dyDescent="0.25">
      <c r="C1037" s="16"/>
      <c r="U1037" s="16"/>
      <c r="V1037" s="16"/>
    </row>
    <row r="1038" spans="3:22" x14ac:dyDescent="0.25">
      <c r="C1038" s="16"/>
      <c r="U1038" s="16"/>
      <c r="V1038" s="16"/>
    </row>
    <row r="1039" spans="3:22" x14ac:dyDescent="0.25">
      <c r="C1039" s="16"/>
      <c r="U1039" s="16"/>
      <c r="V1039" s="16"/>
    </row>
    <row r="1040" spans="3:22" x14ac:dyDescent="0.25">
      <c r="C1040" s="16"/>
      <c r="U1040" s="16"/>
      <c r="V1040" s="16"/>
    </row>
    <row r="1041" spans="3:22" x14ac:dyDescent="0.25">
      <c r="C1041" s="16"/>
      <c r="U1041" s="16"/>
      <c r="V1041" s="16"/>
    </row>
    <row r="1042" spans="3:22" x14ac:dyDescent="0.25">
      <c r="C1042" s="16"/>
      <c r="U1042" s="16"/>
      <c r="V1042" s="16"/>
    </row>
    <row r="1043" spans="3:22" x14ac:dyDescent="0.25">
      <c r="C1043" s="16"/>
      <c r="U1043" s="16"/>
      <c r="V1043" s="16"/>
    </row>
    <row r="1044" spans="3:22" x14ac:dyDescent="0.25">
      <c r="C1044" s="16"/>
      <c r="U1044" s="16"/>
      <c r="V1044" s="16"/>
    </row>
    <row r="1045" spans="3:22" x14ac:dyDescent="0.25">
      <c r="C1045" s="16"/>
      <c r="U1045" s="16"/>
      <c r="V1045" s="16"/>
    </row>
    <row r="1046" spans="3:22" x14ac:dyDescent="0.25">
      <c r="C1046" s="16"/>
      <c r="U1046" s="16"/>
      <c r="V1046" s="16"/>
    </row>
    <row r="1047" spans="3:22" x14ac:dyDescent="0.25">
      <c r="C1047" s="16"/>
      <c r="U1047" s="16"/>
      <c r="V1047" s="16"/>
    </row>
    <row r="1048" spans="3:22" x14ac:dyDescent="0.25">
      <c r="C1048" s="16"/>
      <c r="U1048" s="16"/>
      <c r="V1048" s="16"/>
    </row>
    <row r="1049" spans="3:22" x14ac:dyDescent="0.25">
      <c r="C1049" s="16"/>
      <c r="U1049" s="16"/>
      <c r="V1049" s="16"/>
    </row>
    <row r="1050" spans="3:22" x14ac:dyDescent="0.25">
      <c r="C1050" s="16"/>
      <c r="U1050" s="16"/>
      <c r="V1050" s="16"/>
    </row>
    <row r="1051" spans="3:22" x14ac:dyDescent="0.25">
      <c r="C1051" s="16"/>
      <c r="U1051" s="16"/>
      <c r="V1051" s="16"/>
    </row>
    <row r="1052" spans="3:22" x14ac:dyDescent="0.25">
      <c r="C1052" s="16"/>
      <c r="U1052" s="16"/>
      <c r="V1052" s="16"/>
    </row>
    <row r="1053" spans="3:22" x14ac:dyDescent="0.25">
      <c r="C1053" s="16"/>
      <c r="U1053" s="16"/>
      <c r="V1053" s="16"/>
    </row>
    <row r="1054" spans="3:22" x14ac:dyDescent="0.25">
      <c r="C1054" s="16"/>
      <c r="U1054" s="16"/>
      <c r="V1054" s="16"/>
    </row>
    <row r="1055" spans="3:22" x14ac:dyDescent="0.25">
      <c r="C1055" s="16"/>
      <c r="U1055" s="16"/>
      <c r="V1055" s="16"/>
    </row>
    <row r="1056" spans="3:22" x14ac:dyDescent="0.25">
      <c r="C1056" s="16"/>
      <c r="U1056" s="16"/>
      <c r="V1056" s="16"/>
    </row>
    <row r="1057" spans="3:22" x14ac:dyDescent="0.25">
      <c r="C1057" s="16"/>
      <c r="U1057" s="16"/>
      <c r="V1057" s="16"/>
    </row>
    <row r="1058" spans="3:22" x14ac:dyDescent="0.25">
      <c r="C1058" s="16"/>
      <c r="U1058" s="16"/>
      <c r="V1058" s="16"/>
    </row>
    <row r="1059" spans="3:22" x14ac:dyDescent="0.25">
      <c r="C1059" s="16"/>
      <c r="U1059" s="16"/>
      <c r="V1059" s="16"/>
    </row>
    <row r="1060" spans="3:22" x14ac:dyDescent="0.25">
      <c r="C1060" s="16"/>
      <c r="U1060" s="16"/>
      <c r="V1060" s="16"/>
    </row>
    <row r="1061" spans="3:22" x14ac:dyDescent="0.25">
      <c r="C1061" s="16"/>
      <c r="U1061" s="16"/>
      <c r="V1061" s="16"/>
    </row>
    <row r="1062" spans="3:22" x14ac:dyDescent="0.25">
      <c r="C1062" s="16"/>
      <c r="U1062" s="16"/>
      <c r="V1062" s="16"/>
    </row>
    <row r="1063" spans="3:22" x14ac:dyDescent="0.25">
      <c r="C1063" s="16"/>
      <c r="U1063" s="16"/>
      <c r="V1063" s="16"/>
    </row>
    <row r="1064" spans="3:22" x14ac:dyDescent="0.25">
      <c r="C1064" s="16"/>
      <c r="U1064" s="16"/>
      <c r="V1064" s="16"/>
    </row>
    <row r="1065" spans="3:22" x14ac:dyDescent="0.25">
      <c r="C1065" s="16"/>
      <c r="U1065" s="16"/>
      <c r="V1065" s="16"/>
    </row>
    <row r="1066" spans="3:22" x14ac:dyDescent="0.25">
      <c r="C1066" s="16"/>
      <c r="U1066" s="16"/>
      <c r="V1066" s="16"/>
    </row>
    <row r="1067" spans="3:22" x14ac:dyDescent="0.25">
      <c r="C1067" s="16"/>
      <c r="U1067" s="16"/>
      <c r="V1067" s="16"/>
    </row>
    <row r="1068" spans="3:22" x14ac:dyDescent="0.25">
      <c r="C1068" s="16"/>
      <c r="U1068" s="16"/>
      <c r="V1068" s="16"/>
    </row>
    <row r="1069" spans="3:22" x14ac:dyDescent="0.25">
      <c r="C1069" s="16"/>
      <c r="U1069" s="16"/>
      <c r="V1069" s="16"/>
    </row>
    <row r="1070" spans="3:22" x14ac:dyDescent="0.25">
      <c r="C1070" s="16"/>
      <c r="U1070" s="16"/>
      <c r="V1070" s="16"/>
    </row>
    <row r="1071" spans="3:22" x14ac:dyDescent="0.25">
      <c r="C1071" s="16"/>
      <c r="U1071" s="16"/>
      <c r="V1071" s="16"/>
    </row>
    <row r="1072" spans="3:22" x14ac:dyDescent="0.25">
      <c r="C1072" s="16"/>
      <c r="U1072" s="16"/>
      <c r="V1072" s="16"/>
    </row>
    <row r="1073" spans="3:22" x14ac:dyDescent="0.25">
      <c r="C1073" s="16"/>
      <c r="U1073" s="16"/>
      <c r="V1073" s="16"/>
    </row>
    <row r="1074" spans="3:22" x14ac:dyDescent="0.25">
      <c r="C1074" s="16"/>
      <c r="U1074" s="16"/>
      <c r="V1074" s="16"/>
    </row>
    <row r="1075" spans="3:22" x14ac:dyDescent="0.25">
      <c r="C1075" s="16"/>
      <c r="U1075" s="16"/>
      <c r="V1075" s="16"/>
    </row>
    <row r="1076" spans="3:22" x14ac:dyDescent="0.25">
      <c r="C1076" s="16"/>
      <c r="U1076" s="16"/>
      <c r="V1076" s="16"/>
    </row>
    <row r="1077" spans="3:22" x14ac:dyDescent="0.25">
      <c r="C1077" s="16"/>
      <c r="U1077" s="16"/>
      <c r="V1077" s="16"/>
    </row>
    <row r="1078" spans="3:22" x14ac:dyDescent="0.25">
      <c r="C1078" s="16"/>
      <c r="U1078" s="16"/>
      <c r="V1078" s="16"/>
    </row>
    <row r="1079" spans="3:22" x14ac:dyDescent="0.25">
      <c r="C1079" s="16"/>
      <c r="U1079" s="16"/>
      <c r="V1079" s="16"/>
    </row>
    <row r="1080" spans="3:22" x14ac:dyDescent="0.25">
      <c r="C1080" s="16"/>
      <c r="U1080" s="16"/>
      <c r="V1080" s="16"/>
    </row>
    <row r="1081" spans="3:22" x14ac:dyDescent="0.25">
      <c r="C1081" s="16"/>
      <c r="U1081" s="16"/>
      <c r="V1081" s="16"/>
    </row>
    <row r="1082" spans="3:22" x14ac:dyDescent="0.25">
      <c r="C1082" s="16"/>
      <c r="U1082" s="16"/>
      <c r="V1082" s="16"/>
    </row>
    <row r="1083" spans="3:22" x14ac:dyDescent="0.25">
      <c r="C1083" s="16"/>
      <c r="U1083" s="16"/>
      <c r="V1083" s="16"/>
    </row>
    <row r="1084" spans="3:22" x14ac:dyDescent="0.25">
      <c r="C1084" s="16"/>
      <c r="U1084" s="16"/>
      <c r="V1084" s="16"/>
    </row>
    <row r="1085" spans="3:22" x14ac:dyDescent="0.25">
      <c r="C1085" s="16"/>
      <c r="U1085" s="16"/>
      <c r="V1085" s="16"/>
    </row>
    <row r="1086" spans="3:22" x14ac:dyDescent="0.25">
      <c r="C1086" s="16"/>
      <c r="U1086" s="16"/>
      <c r="V1086" s="16"/>
    </row>
    <row r="1087" spans="3:22" x14ac:dyDescent="0.25">
      <c r="C1087" s="16"/>
      <c r="U1087" s="16"/>
      <c r="V1087" s="16"/>
    </row>
    <row r="1088" spans="3:22" x14ac:dyDescent="0.25">
      <c r="C1088" s="16"/>
      <c r="U1088" s="16"/>
      <c r="V1088" s="16"/>
    </row>
    <row r="1089" spans="3:22" x14ac:dyDescent="0.25">
      <c r="C1089" s="16"/>
      <c r="U1089" s="16"/>
      <c r="V1089" s="16"/>
    </row>
    <row r="1090" spans="3:22" x14ac:dyDescent="0.25">
      <c r="C1090" s="16"/>
      <c r="U1090" s="16"/>
      <c r="V1090" s="16"/>
    </row>
    <row r="1091" spans="3:22" x14ac:dyDescent="0.25">
      <c r="C1091" s="16"/>
      <c r="U1091" s="16"/>
      <c r="V1091" s="16"/>
    </row>
    <row r="1092" spans="3:22" x14ac:dyDescent="0.25">
      <c r="C1092" s="16"/>
      <c r="U1092" s="16"/>
      <c r="V1092" s="16"/>
    </row>
    <row r="1093" spans="3:22" x14ac:dyDescent="0.25">
      <c r="C1093" s="16"/>
      <c r="U1093" s="16"/>
      <c r="V1093" s="16"/>
    </row>
    <row r="1094" spans="3:22" x14ac:dyDescent="0.25">
      <c r="C1094" s="16"/>
      <c r="U1094" s="16"/>
      <c r="V1094" s="16"/>
    </row>
    <row r="1095" spans="3:22" x14ac:dyDescent="0.25">
      <c r="C1095" s="16"/>
      <c r="U1095" s="16"/>
      <c r="V1095" s="16"/>
    </row>
    <row r="1096" spans="3:22" x14ac:dyDescent="0.25">
      <c r="C1096" s="16"/>
      <c r="U1096" s="16"/>
      <c r="V1096" s="16"/>
    </row>
    <row r="1097" spans="3:22" x14ac:dyDescent="0.25">
      <c r="C1097" s="16"/>
      <c r="U1097" s="16"/>
      <c r="V1097" s="16"/>
    </row>
    <row r="1098" spans="3:22" x14ac:dyDescent="0.25">
      <c r="C1098" s="16"/>
      <c r="U1098" s="16"/>
      <c r="V1098" s="16"/>
    </row>
    <row r="1099" spans="3:22" x14ac:dyDescent="0.25">
      <c r="C1099" s="16"/>
      <c r="U1099" s="16"/>
      <c r="V1099" s="16"/>
    </row>
    <row r="1100" spans="3:22" x14ac:dyDescent="0.25">
      <c r="C1100" s="16"/>
      <c r="U1100" s="16"/>
      <c r="V1100" s="16"/>
    </row>
    <row r="1101" spans="3:22" x14ac:dyDescent="0.25">
      <c r="C1101" s="16"/>
      <c r="U1101" s="16"/>
      <c r="V1101" s="16"/>
    </row>
    <row r="1102" spans="3:22" x14ac:dyDescent="0.25">
      <c r="C1102" s="16"/>
      <c r="U1102" s="16"/>
      <c r="V1102" s="16"/>
    </row>
    <row r="1103" spans="3:22" x14ac:dyDescent="0.25">
      <c r="C1103" s="16"/>
      <c r="U1103" s="16"/>
      <c r="V1103" s="16"/>
    </row>
    <row r="1104" spans="3:22" x14ac:dyDescent="0.25">
      <c r="C1104" s="16"/>
      <c r="U1104" s="16"/>
      <c r="V1104" s="16"/>
    </row>
    <row r="1105" spans="3:22" x14ac:dyDescent="0.25">
      <c r="C1105" s="16"/>
      <c r="U1105" s="16"/>
      <c r="V1105" s="16"/>
    </row>
    <row r="1106" spans="3:22" x14ac:dyDescent="0.25">
      <c r="C1106" s="16"/>
      <c r="U1106" s="16"/>
      <c r="V1106" s="16"/>
    </row>
    <row r="1107" spans="3:22" x14ac:dyDescent="0.25">
      <c r="C1107" s="16"/>
      <c r="U1107" s="16"/>
      <c r="V1107" s="16"/>
    </row>
    <row r="1108" spans="3:22" x14ac:dyDescent="0.25">
      <c r="C1108" s="16"/>
      <c r="U1108" s="16"/>
      <c r="V1108" s="16"/>
    </row>
    <row r="1109" spans="3:22" x14ac:dyDescent="0.25">
      <c r="C1109" s="16"/>
      <c r="U1109" s="16"/>
      <c r="V1109" s="16"/>
    </row>
    <row r="1110" spans="3:22" x14ac:dyDescent="0.25">
      <c r="C1110" s="16"/>
      <c r="U1110" s="16"/>
      <c r="V1110" s="16"/>
    </row>
    <row r="1111" spans="3:22" x14ac:dyDescent="0.25">
      <c r="C1111" s="16"/>
      <c r="U1111" s="16"/>
      <c r="V1111" s="16"/>
    </row>
    <row r="1112" spans="3:22" x14ac:dyDescent="0.25">
      <c r="C1112" s="16"/>
      <c r="U1112" s="16"/>
      <c r="V1112" s="16"/>
    </row>
    <row r="1113" spans="3:22" x14ac:dyDescent="0.25">
      <c r="C1113" s="16"/>
      <c r="U1113" s="16"/>
      <c r="V1113" s="16"/>
    </row>
    <row r="1114" spans="3:22" x14ac:dyDescent="0.25">
      <c r="C1114" s="16"/>
      <c r="U1114" s="16"/>
      <c r="V1114" s="16"/>
    </row>
    <row r="1115" spans="3:22" x14ac:dyDescent="0.25">
      <c r="C1115" s="16"/>
      <c r="U1115" s="16"/>
      <c r="V1115" s="16"/>
    </row>
    <row r="1116" spans="3:22" x14ac:dyDescent="0.25">
      <c r="C1116" s="16"/>
      <c r="U1116" s="16"/>
      <c r="V1116" s="16"/>
    </row>
    <row r="1117" spans="3:22" x14ac:dyDescent="0.25">
      <c r="C1117" s="16"/>
      <c r="U1117" s="16"/>
      <c r="V1117" s="16"/>
    </row>
    <row r="1118" spans="3:22" x14ac:dyDescent="0.25">
      <c r="C1118" s="16"/>
      <c r="U1118" s="16"/>
      <c r="V1118" s="16"/>
    </row>
    <row r="1119" spans="3:22" x14ac:dyDescent="0.25">
      <c r="C1119" s="16"/>
      <c r="U1119" s="16"/>
      <c r="V1119" s="16"/>
    </row>
    <row r="1120" spans="3:22" x14ac:dyDescent="0.25">
      <c r="C1120" s="16"/>
      <c r="U1120" s="16"/>
      <c r="V1120" s="16"/>
    </row>
    <row r="1121" spans="3:22" x14ac:dyDescent="0.25">
      <c r="C1121" s="16"/>
      <c r="U1121" s="16"/>
      <c r="V1121" s="16"/>
    </row>
    <row r="1122" spans="3:22" x14ac:dyDescent="0.25">
      <c r="C1122" s="16"/>
      <c r="U1122" s="16"/>
      <c r="V1122" s="16"/>
    </row>
    <row r="1123" spans="3:22" x14ac:dyDescent="0.25">
      <c r="C1123" s="16"/>
      <c r="U1123" s="16"/>
      <c r="V1123" s="16"/>
    </row>
    <row r="1124" spans="3:22" x14ac:dyDescent="0.25">
      <c r="C1124" s="16"/>
      <c r="U1124" s="16"/>
      <c r="V1124" s="16"/>
    </row>
    <row r="1125" spans="3:22" x14ac:dyDescent="0.25">
      <c r="C1125" s="16"/>
      <c r="U1125" s="16"/>
      <c r="V1125" s="16"/>
    </row>
    <row r="1126" spans="3:22" x14ac:dyDescent="0.25">
      <c r="C1126" s="16"/>
      <c r="U1126" s="16"/>
      <c r="V1126" s="16"/>
    </row>
    <row r="1127" spans="3:22" x14ac:dyDescent="0.25">
      <c r="C1127" s="16"/>
      <c r="U1127" s="16"/>
      <c r="V1127" s="16"/>
    </row>
    <row r="1128" spans="3:22" x14ac:dyDescent="0.25">
      <c r="C1128" s="16"/>
      <c r="U1128" s="16"/>
      <c r="V1128" s="16"/>
    </row>
    <row r="1129" spans="3:22" x14ac:dyDescent="0.25">
      <c r="C1129" s="16"/>
      <c r="U1129" s="16"/>
      <c r="V1129" s="16"/>
    </row>
    <row r="1130" spans="3:22" x14ac:dyDescent="0.25">
      <c r="C1130" s="16"/>
      <c r="U1130" s="16"/>
      <c r="V1130" s="16"/>
    </row>
    <row r="1131" spans="3:22" x14ac:dyDescent="0.25">
      <c r="C1131" s="16"/>
      <c r="U1131" s="16"/>
      <c r="V1131" s="16"/>
    </row>
    <row r="1132" spans="3:22" x14ac:dyDescent="0.25">
      <c r="C1132" s="16"/>
      <c r="U1132" s="16"/>
      <c r="V1132" s="16"/>
    </row>
    <row r="1133" spans="3:22" x14ac:dyDescent="0.25">
      <c r="C1133" s="16"/>
      <c r="U1133" s="16"/>
      <c r="V1133" s="16"/>
    </row>
    <row r="1134" spans="3:22" x14ac:dyDescent="0.25">
      <c r="C1134" s="16"/>
      <c r="U1134" s="16"/>
      <c r="V1134" s="16"/>
    </row>
    <row r="1135" spans="3:22" x14ac:dyDescent="0.25">
      <c r="C1135" s="16"/>
      <c r="U1135" s="16"/>
      <c r="V1135" s="16"/>
    </row>
    <row r="1136" spans="3:22" x14ac:dyDescent="0.25">
      <c r="C1136" s="16"/>
      <c r="U1136" s="16"/>
      <c r="V1136" s="16"/>
    </row>
    <row r="1137" spans="3:22" x14ac:dyDescent="0.25">
      <c r="C1137" s="16"/>
      <c r="U1137" s="16"/>
      <c r="V1137" s="16"/>
    </row>
    <row r="1138" spans="3:22" x14ac:dyDescent="0.25">
      <c r="C1138" s="16"/>
      <c r="U1138" s="16"/>
      <c r="V1138" s="16"/>
    </row>
    <row r="1139" spans="3:22" x14ac:dyDescent="0.25">
      <c r="C1139" s="16"/>
      <c r="U1139" s="16"/>
      <c r="V1139" s="16"/>
    </row>
    <row r="1140" spans="3:22" x14ac:dyDescent="0.25">
      <c r="C1140" s="16"/>
      <c r="U1140" s="16"/>
      <c r="V1140" s="16"/>
    </row>
    <row r="1141" spans="3:22" x14ac:dyDescent="0.25">
      <c r="C1141" s="16"/>
      <c r="U1141" s="16"/>
      <c r="V1141" s="16"/>
    </row>
    <row r="1142" spans="3:22" x14ac:dyDescent="0.25">
      <c r="C1142" s="16"/>
      <c r="U1142" s="16"/>
      <c r="V1142" s="16"/>
    </row>
    <row r="1143" spans="3:22" x14ac:dyDescent="0.25">
      <c r="C1143" s="16"/>
      <c r="U1143" s="16"/>
      <c r="V1143" s="16"/>
    </row>
    <row r="1144" spans="3:22" x14ac:dyDescent="0.25">
      <c r="C1144" s="16"/>
      <c r="U1144" s="16"/>
      <c r="V1144" s="16"/>
    </row>
    <row r="1145" spans="3:22" x14ac:dyDescent="0.25">
      <c r="C1145" s="16"/>
      <c r="U1145" s="16"/>
      <c r="V1145" s="16"/>
    </row>
    <row r="1146" spans="3:22" x14ac:dyDescent="0.25">
      <c r="C1146" s="16"/>
      <c r="U1146" s="16"/>
      <c r="V1146" s="16"/>
    </row>
    <row r="1147" spans="3:22" x14ac:dyDescent="0.25">
      <c r="C1147" s="16"/>
      <c r="U1147" s="16"/>
      <c r="V1147" s="16"/>
    </row>
    <row r="1148" spans="3:22" x14ac:dyDescent="0.25">
      <c r="C1148" s="16"/>
      <c r="U1148" s="16"/>
      <c r="V1148" s="16"/>
    </row>
    <row r="1149" spans="3:22" x14ac:dyDescent="0.25">
      <c r="C1149" s="16"/>
      <c r="U1149" s="16"/>
      <c r="V1149" s="16"/>
    </row>
    <row r="1150" spans="3:22" x14ac:dyDescent="0.25">
      <c r="C1150" s="16"/>
      <c r="U1150" s="16"/>
      <c r="V1150" s="16"/>
    </row>
    <row r="1151" spans="3:22" x14ac:dyDescent="0.25">
      <c r="C1151" s="16"/>
      <c r="U1151" s="16"/>
      <c r="V1151" s="16"/>
    </row>
    <row r="1152" spans="3:22" x14ac:dyDescent="0.25">
      <c r="C1152" s="16"/>
      <c r="U1152" s="16"/>
      <c r="V1152" s="16"/>
    </row>
    <row r="1153" spans="3:22" x14ac:dyDescent="0.25">
      <c r="C1153" s="16"/>
      <c r="U1153" s="16"/>
      <c r="V1153" s="16"/>
    </row>
    <row r="1154" spans="3:22" x14ac:dyDescent="0.25">
      <c r="C1154" s="16"/>
      <c r="U1154" s="16"/>
      <c r="V1154" s="16"/>
    </row>
    <row r="1155" spans="3:22" x14ac:dyDescent="0.25">
      <c r="C1155" s="16"/>
      <c r="U1155" s="16"/>
      <c r="V1155" s="16"/>
    </row>
    <row r="1156" spans="3:22" x14ac:dyDescent="0.25">
      <c r="C1156" s="16"/>
      <c r="U1156" s="16"/>
      <c r="V1156" s="16"/>
    </row>
    <row r="1157" spans="3:22" x14ac:dyDescent="0.25">
      <c r="C1157" s="16"/>
      <c r="U1157" s="16"/>
      <c r="V1157" s="16"/>
    </row>
    <row r="1158" spans="3:22" x14ac:dyDescent="0.25">
      <c r="C1158" s="16"/>
      <c r="U1158" s="16"/>
      <c r="V1158" s="16"/>
    </row>
    <row r="1159" spans="3:22" x14ac:dyDescent="0.25">
      <c r="C1159" s="16"/>
      <c r="U1159" s="16"/>
      <c r="V1159" s="16"/>
    </row>
    <row r="1160" spans="3:22" x14ac:dyDescent="0.25">
      <c r="C1160" s="16"/>
      <c r="U1160" s="16"/>
      <c r="V1160" s="16"/>
    </row>
    <row r="1161" spans="3:22" x14ac:dyDescent="0.25">
      <c r="C1161" s="16"/>
      <c r="U1161" s="16"/>
      <c r="V1161" s="16"/>
    </row>
    <row r="1162" spans="3:22" x14ac:dyDescent="0.25">
      <c r="C1162" s="16"/>
      <c r="U1162" s="16"/>
      <c r="V1162" s="16"/>
    </row>
    <row r="1163" spans="3:22" x14ac:dyDescent="0.25">
      <c r="C1163" s="16"/>
      <c r="U1163" s="16"/>
      <c r="V1163" s="16"/>
    </row>
    <row r="1164" spans="3:22" x14ac:dyDescent="0.25">
      <c r="C1164" s="16"/>
      <c r="U1164" s="16"/>
      <c r="V1164" s="16"/>
    </row>
    <row r="1165" spans="3:22" x14ac:dyDescent="0.25">
      <c r="C1165" s="16"/>
      <c r="U1165" s="16"/>
      <c r="V1165" s="16"/>
    </row>
    <row r="1166" spans="3:22" x14ac:dyDescent="0.25">
      <c r="C1166" s="16"/>
      <c r="U1166" s="16"/>
      <c r="V1166" s="16"/>
    </row>
    <row r="1167" spans="3:22" x14ac:dyDescent="0.25">
      <c r="C1167" s="16"/>
      <c r="U1167" s="16"/>
      <c r="V1167" s="16"/>
    </row>
    <row r="1168" spans="3:22" x14ac:dyDescent="0.25">
      <c r="C1168" s="16"/>
      <c r="U1168" s="16"/>
      <c r="V1168" s="16"/>
    </row>
    <row r="1169" spans="3:22" x14ac:dyDescent="0.25">
      <c r="C1169" s="16"/>
      <c r="U1169" s="16"/>
      <c r="V1169" s="16"/>
    </row>
    <row r="1170" spans="3:22" x14ac:dyDescent="0.25">
      <c r="C1170" s="16"/>
      <c r="U1170" s="16"/>
      <c r="V1170" s="16"/>
    </row>
    <row r="1171" spans="3:22" x14ac:dyDescent="0.25">
      <c r="C1171" s="16"/>
      <c r="U1171" s="16"/>
      <c r="V1171" s="16"/>
    </row>
    <row r="1172" spans="3:22" x14ac:dyDescent="0.25">
      <c r="C1172" s="16"/>
      <c r="U1172" s="16"/>
      <c r="V1172" s="16"/>
    </row>
    <row r="1173" spans="3:22" x14ac:dyDescent="0.25">
      <c r="C1173" s="16"/>
      <c r="U1173" s="16"/>
      <c r="V1173" s="16"/>
    </row>
    <row r="1174" spans="3:22" x14ac:dyDescent="0.25">
      <c r="C1174" s="16"/>
      <c r="U1174" s="16"/>
      <c r="V1174" s="16"/>
    </row>
    <row r="1175" spans="3:22" x14ac:dyDescent="0.25">
      <c r="C1175" s="16"/>
      <c r="U1175" s="16"/>
      <c r="V1175" s="16"/>
    </row>
    <row r="1176" spans="3:22" x14ac:dyDescent="0.25">
      <c r="C1176" s="16"/>
      <c r="U1176" s="16"/>
      <c r="V1176" s="16"/>
    </row>
    <row r="1177" spans="3:22" x14ac:dyDescent="0.25">
      <c r="C1177" s="16"/>
      <c r="U1177" s="16"/>
      <c r="V1177" s="16"/>
    </row>
    <row r="1178" spans="3:22" x14ac:dyDescent="0.25">
      <c r="C1178" s="16"/>
      <c r="U1178" s="16"/>
      <c r="V1178" s="16"/>
    </row>
    <row r="1179" spans="3:22" x14ac:dyDescent="0.25">
      <c r="C1179" s="16"/>
      <c r="U1179" s="16"/>
      <c r="V1179" s="16"/>
    </row>
    <row r="1180" spans="3:22" x14ac:dyDescent="0.25">
      <c r="C1180" s="16"/>
      <c r="U1180" s="16"/>
      <c r="V1180" s="16"/>
    </row>
    <row r="1181" spans="3:22" x14ac:dyDescent="0.25">
      <c r="C1181" s="16"/>
      <c r="U1181" s="16"/>
      <c r="V1181" s="16"/>
    </row>
    <row r="1182" spans="3:22" x14ac:dyDescent="0.25">
      <c r="C1182" s="16"/>
      <c r="U1182" s="16"/>
      <c r="V1182" s="16"/>
    </row>
    <row r="1183" spans="3:22" x14ac:dyDescent="0.25">
      <c r="C1183" s="16"/>
      <c r="U1183" s="16"/>
      <c r="V1183" s="16"/>
    </row>
    <row r="1184" spans="3:22" x14ac:dyDescent="0.25">
      <c r="C1184" s="16"/>
      <c r="U1184" s="16"/>
      <c r="V1184" s="16"/>
    </row>
    <row r="1185" spans="3:22" x14ac:dyDescent="0.25">
      <c r="C1185" s="16"/>
      <c r="U1185" s="16"/>
      <c r="V1185" s="16"/>
    </row>
    <row r="1186" spans="3:22" x14ac:dyDescent="0.25">
      <c r="C1186" s="16"/>
      <c r="U1186" s="16"/>
      <c r="V1186" s="16"/>
    </row>
    <row r="1187" spans="3:22" x14ac:dyDescent="0.25">
      <c r="C1187" s="16"/>
      <c r="U1187" s="16"/>
      <c r="V1187" s="16"/>
    </row>
    <row r="1188" spans="3:22" x14ac:dyDescent="0.25">
      <c r="C1188" s="16"/>
      <c r="U1188" s="16"/>
      <c r="V1188" s="16"/>
    </row>
    <row r="1189" spans="3:22" x14ac:dyDescent="0.25">
      <c r="C1189" s="16"/>
      <c r="U1189" s="16"/>
      <c r="V1189" s="16"/>
    </row>
    <row r="1190" spans="3:22" x14ac:dyDescent="0.25">
      <c r="C1190" s="16"/>
      <c r="U1190" s="16"/>
      <c r="V1190" s="16"/>
    </row>
    <row r="1191" spans="3:22" x14ac:dyDescent="0.25">
      <c r="C1191" s="16"/>
      <c r="U1191" s="16"/>
      <c r="V1191" s="16"/>
    </row>
    <row r="1192" spans="3:22" x14ac:dyDescent="0.25">
      <c r="C1192" s="16"/>
      <c r="U1192" s="16"/>
      <c r="V1192" s="16"/>
    </row>
    <row r="1193" spans="3:22" x14ac:dyDescent="0.25">
      <c r="C1193" s="16"/>
      <c r="U1193" s="16"/>
      <c r="V1193" s="16"/>
    </row>
    <row r="1194" spans="3:22" x14ac:dyDescent="0.25">
      <c r="C1194" s="16"/>
      <c r="U1194" s="16"/>
      <c r="V1194" s="16"/>
    </row>
    <row r="1195" spans="3:22" x14ac:dyDescent="0.25">
      <c r="C1195" s="16"/>
      <c r="U1195" s="16"/>
      <c r="V1195" s="16"/>
    </row>
    <row r="1196" spans="3:22" x14ac:dyDescent="0.25">
      <c r="C1196" s="16"/>
      <c r="U1196" s="16"/>
      <c r="V1196" s="16"/>
    </row>
    <row r="1197" spans="3:22" x14ac:dyDescent="0.25">
      <c r="C1197" s="16"/>
      <c r="U1197" s="16"/>
      <c r="V1197" s="16"/>
    </row>
    <row r="1198" spans="3:22" x14ac:dyDescent="0.25">
      <c r="C1198" s="16"/>
      <c r="U1198" s="16"/>
      <c r="V1198" s="16"/>
    </row>
    <row r="1199" spans="3:22" x14ac:dyDescent="0.25">
      <c r="C1199" s="16"/>
      <c r="U1199" s="16"/>
      <c r="V1199" s="16"/>
    </row>
    <row r="1200" spans="3:22" x14ac:dyDescent="0.25">
      <c r="C1200" s="16"/>
      <c r="U1200" s="16"/>
      <c r="V1200" s="16"/>
    </row>
    <row r="1201" spans="3:22" x14ac:dyDescent="0.25">
      <c r="C1201" s="16"/>
      <c r="U1201" s="16"/>
      <c r="V1201" s="16"/>
    </row>
    <row r="1202" spans="3:22" x14ac:dyDescent="0.25">
      <c r="C1202" s="16"/>
      <c r="U1202" s="16"/>
      <c r="V1202" s="16"/>
    </row>
    <row r="1203" spans="3:22" x14ac:dyDescent="0.25">
      <c r="C1203" s="16"/>
      <c r="U1203" s="16"/>
      <c r="V1203" s="16"/>
    </row>
    <row r="1204" spans="3:22" x14ac:dyDescent="0.25">
      <c r="C1204" s="16"/>
      <c r="U1204" s="16"/>
      <c r="V1204" s="16"/>
    </row>
    <row r="1205" spans="3:22" x14ac:dyDescent="0.25">
      <c r="C1205" s="16"/>
      <c r="U1205" s="16"/>
      <c r="V1205" s="16"/>
    </row>
    <row r="1206" spans="3:22" x14ac:dyDescent="0.25">
      <c r="C1206" s="16"/>
      <c r="U1206" s="16"/>
      <c r="V1206" s="16"/>
    </row>
    <row r="1207" spans="3:22" x14ac:dyDescent="0.25">
      <c r="C1207" s="16"/>
      <c r="U1207" s="16"/>
      <c r="V1207" s="16"/>
    </row>
    <row r="1208" spans="3:22" x14ac:dyDescent="0.25">
      <c r="C1208" s="16"/>
      <c r="U1208" s="16"/>
      <c r="V1208" s="16"/>
    </row>
    <row r="1209" spans="3:22" x14ac:dyDescent="0.25">
      <c r="C1209" s="16"/>
      <c r="U1209" s="16"/>
      <c r="V1209" s="16"/>
    </row>
    <row r="1210" spans="3:22" x14ac:dyDescent="0.25">
      <c r="C1210" s="16"/>
      <c r="U1210" s="16"/>
      <c r="V1210" s="16"/>
    </row>
    <row r="1211" spans="3:22" x14ac:dyDescent="0.25">
      <c r="C1211" s="16"/>
      <c r="U1211" s="16"/>
      <c r="V1211" s="16"/>
    </row>
    <row r="1212" spans="3:22" x14ac:dyDescent="0.25">
      <c r="C1212" s="16"/>
      <c r="U1212" s="16"/>
      <c r="V1212" s="16"/>
    </row>
    <row r="1213" spans="3:22" x14ac:dyDescent="0.25">
      <c r="C1213" s="16"/>
      <c r="U1213" s="16"/>
      <c r="V1213" s="16"/>
    </row>
    <row r="1214" spans="3:22" x14ac:dyDescent="0.25">
      <c r="C1214" s="16"/>
      <c r="U1214" s="16"/>
      <c r="V1214" s="16"/>
    </row>
    <row r="1215" spans="3:22" x14ac:dyDescent="0.25">
      <c r="C1215" s="16"/>
      <c r="U1215" s="16"/>
      <c r="V1215" s="16"/>
    </row>
    <row r="1216" spans="3:22" x14ac:dyDescent="0.25">
      <c r="C1216" s="16"/>
      <c r="U1216" s="16"/>
      <c r="V1216" s="16"/>
    </row>
    <row r="1217" spans="3:22" x14ac:dyDescent="0.25">
      <c r="C1217" s="16"/>
      <c r="U1217" s="16"/>
      <c r="V1217" s="16"/>
    </row>
    <row r="1218" spans="3:22" x14ac:dyDescent="0.25">
      <c r="C1218" s="16"/>
      <c r="U1218" s="16"/>
      <c r="V1218" s="16"/>
    </row>
    <row r="1219" spans="3:22" x14ac:dyDescent="0.25">
      <c r="C1219" s="16"/>
      <c r="U1219" s="16"/>
      <c r="V1219" s="16"/>
    </row>
    <row r="1220" spans="3:22" x14ac:dyDescent="0.25">
      <c r="C1220" s="16"/>
      <c r="U1220" s="16"/>
      <c r="V1220" s="16"/>
    </row>
    <row r="1221" spans="3:22" x14ac:dyDescent="0.25">
      <c r="C1221" s="16"/>
      <c r="U1221" s="16"/>
      <c r="V1221" s="16"/>
    </row>
    <row r="1222" spans="3:22" x14ac:dyDescent="0.25">
      <c r="C1222" s="16"/>
      <c r="U1222" s="16"/>
      <c r="V1222" s="16"/>
    </row>
    <row r="1223" spans="3:22" x14ac:dyDescent="0.25">
      <c r="C1223" s="16"/>
      <c r="U1223" s="16"/>
      <c r="V1223" s="16"/>
    </row>
    <row r="1224" spans="3:22" x14ac:dyDescent="0.25">
      <c r="C1224" s="16"/>
      <c r="U1224" s="16"/>
      <c r="V1224" s="16"/>
    </row>
    <row r="1225" spans="3:22" x14ac:dyDescent="0.25">
      <c r="C1225" s="16"/>
      <c r="U1225" s="16"/>
      <c r="V1225" s="16"/>
    </row>
    <row r="1226" spans="3:22" x14ac:dyDescent="0.25">
      <c r="C1226" s="16"/>
      <c r="U1226" s="16"/>
      <c r="V1226" s="16"/>
    </row>
    <row r="1227" spans="3:22" x14ac:dyDescent="0.25">
      <c r="C1227" s="16"/>
      <c r="U1227" s="16"/>
      <c r="V1227" s="16"/>
    </row>
    <row r="1228" spans="3:22" x14ac:dyDescent="0.25">
      <c r="C1228" s="16"/>
      <c r="U1228" s="16"/>
      <c r="V1228" s="16"/>
    </row>
    <row r="1229" spans="3:22" x14ac:dyDescent="0.25">
      <c r="C1229" s="16"/>
      <c r="U1229" s="16"/>
      <c r="V1229" s="16"/>
    </row>
    <row r="1230" spans="3:22" x14ac:dyDescent="0.25">
      <c r="C1230" s="16"/>
      <c r="U1230" s="16"/>
      <c r="V1230" s="16"/>
    </row>
    <row r="1231" spans="3:22" x14ac:dyDescent="0.25">
      <c r="C1231" s="16"/>
      <c r="U1231" s="16"/>
      <c r="V1231" s="16"/>
    </row>
    <row r="1232" spans="3:22" x14ac:dyDescent="0.25">
      <c r="C1232" s="16"/>
      <c r="U1232" s="16"/>
      <c r="V1232" s="16"/>
    </row>
    <row r="1233" spans="3:22" x14ac:dyDescent="0.25">
      <c r="C1233" s="16"/>
      <c r="U1233" s="16"/>
      <c r="V1233" s="16"/>
    </row>
    <row r="1234" spans="3:22" x14ac:dyDescent="0.25">
      <c r="C1234" s="16"/>
      <c r="U1234" s="16"/>
      <c r="V1234" s="16"/>
    </row>
    <row r="1235" spans="3:22" x14ac:dyDescent="0.25">
      <c r="C1235" s="16"/>
      <c r="U1235" s="16"/>
      <c r="V1235" s="16"/>
    </row>
    <row r="1236" spans="3:22" x14ac:dyDescent="0.25">
      <c r="C1236" s="16"/>
      <c r="U1236" s="16"/>
      <c r="V1236" s="16"/>
    </row>
    <row r="1237" spans="3:22" x14ac:dyDescent="0.25">
      <c r="C1237" s="16"/>
      <c r="U1237" s="16"/>
      <c r="V1237" s="16"/>
    </row>
    <row r="1238" spans="3:22" x14ac:dyDescent="0.25">
      <c r="C1238" s="16"/>
      <c r="U1238" s="16"/>
      <c r="V1238" s="16"/>
    </row>
    <row r="1239" spans="3:22" x14ac:dyDescent="0.25">
      <c r="C1239" s="16"/>
      <c r="U1239" s="16"/>
      <c r="V1239" s="16"/>
    </row>
    <row r="1240" spans="3:22" x14ac:dyDescent="0.25">
      <c r="C1240" s="16"/>
      <c r="U1240" s="16"/>
      <c r="V1240" s="16"/>
    </row>
    <row r="1241" spans="3:22" x14ac:dyDescent="0.25">
      <c r="C1241" s="16"/>
      <c r="U1241" s="16"/>
      <c r="V1241" s="16"/>
    </row>
    <row r="1242" spans="3:22" x14ac:dyDescent="0.25">
      <c r="C1242" s="16"/>
      <c r="U1242" s="16"/>
      <c r="V1242" s="16"/>
    </row>
    <row r="1243" spans="3:22" x14ac:dyDescent="0.25">
      <c r="C1243" s="16"/>
      <c r="U1243" s="16"/>
      <c r="V1243" s="16"/>
    </row>
    <row r="1244" spans="3:22" x14ac:dyDescent="0.25">
      <c r="C1244" s="16"/>
      <c r="U1244" s="16"/>
      <c r="V1244" s="16"/>
    </row>
    <row r="1245" spans="3:22" x14ac:dyDescent="0.25">
      <c r="C1245" s="16"/>
      <c r="U1245" s="16"/>
      <c r="V1245" s="16"/>
    </row>
    <row r="1246" spans="3:22" x14ac:dyDescent="0.25">
      <c r="C1246" s="16"/>
      <c r="U1246" s="16"/>
      <c r="V1246" s="16"/>
    </row>
    <row r="1247" spans="3:22" x14ac:dyDescent="0.25">
      <c r="C1247" s="16"/>
      <c r="U1247" s="16"/>
      <c r="V1247" s="16"/>
    </row>
    <row r="1248" spans="3:22" x14ac:dyDescent="0.25">
      <c r="C1248" s="16"/>
      <c r="U1248" s="16"/>
      <c r="V1248" s="16"/>
    </row>
    <row r="1249" spans="3:22" x14ac:dyDescent="0.25">
      <c r="C1249" s="16"/>
      <c r="U1249" s="16"/>
      <c r="V1249" s="16"/>
    </row>
    <row r="1250" spans="3:22" x14ac:dyDescent="0.25">
      <c r="C1250" s="16"/>
      <c r="U1250" s="16"/>
      <c r="V1250" s="16"/>
    </row>
    <row r="1251" spans="3:22" x14ac:dyDescent="0.25">
      <c r="C1251" s="16"/>
      <c r="U1251" s="16"/>
      <c r="V1251" s="16"/>
    </row>
    <row r="1252" spans="3:22" x14ac:dyDescent="0.25">
      <c r="C1252" s="16"/>
      <c r="U1252" s="16"/>
      <c r="V1252" s="16"/>
    </row>
    <row r="1253" spans="3:22" x14ac:dyDescent="0.25">
      <c r="C1253" s="16"/>
      <c r="U1253" s="16"/>
      <c r="V1253" s="16"/>
    </row>
    <row r="1254" spans="3:22" x14ac:dyDescent="0.25">
      <c r="C1254" s="16"/>
      <c r="U1254" s="16"/>
      <c r="V1254" s="16"/>
    </row>
    <row r="1255" spans="3:22" x14ac:dyDescent="0.25">
      <c r="C1255" s="16"/>
      <c r="U1255" s="16"/>
      <c r="V1255" s="16"/>
    </row>
    <row r="1256" spans="3:22" x14ac:dyDescent="0.25">
      <c r="C1256" s="16"/>
      <c r="U1256" s="16"/>
      <c r="V1256" s="16"/>
    </row>
    <row r="1257" spans="3:22" x14ac:dyDescent="0.25">
      <c r="C1257" s="16"/>
      <c r="U1257" s="16"/>
      <c r="V1257" s="16"/>
    </row>
    <row r="1258" spans="3:22" x14ac:dyDescent="0.25">
      <c r="C1258" s="16"/>
      <c r="U1258" s="16"/>
      <c r="V1258" s="16"/>
    </row>
    <row r="1259" spans="3:22" x14ac:dyDescent="0.25">
      <c r="C1259" s="16"/>
      <c r="U1259" s="16"/>
      <c r="V1259" s="16"/>
    </row>
    <row r="1260" spans="3:22" x14ac:dyDescent="0.25">
      <c r="C1260" s="16"/>
      <c r="U1260" s="16"/>
      <c r="V1260" s="16"/>
    </row>
    <row r="1261" spans="3:22" x14ac:dyDescent="0.25">
      <c r="C1261" s="16"/>
      <c r="U1261" s="16"/>
      <c r="V1261" s="16"/>
    </row>
    <row r="1262" spans="3:22" x14ac:dyDescent="0.25">
      <c r="C1262" s="16"/>
      <c r="U1262" s="16"/>
      <c r="V1262" s="16"/>
    </row>
    <row r="1263" spans="3:22" x14ac:dyDescent="0.25">
      <c r="C1263" s="16"/>
      <c r="U1263" s="16"/>
      <c r="V1263" s="16"/>
    </row>
    <row r="1264" spans="3:22" x14ac:dyDescent="0.25">
      <c r="C1264" s="16"/>
      <c r="U1264" s="16"/>
      <c r="V1264" s="16"/>
    </row>
    <row r="1265" spans="3:22" x14ac:dyDescent="0.25">
      <c r="C1265" s="16"/>
      <c r="U1265" s="16"/>
      <c r="V1265" s="16"/>
    </row>
    <row r="1266" spans="3:22" x14ac:dyDescent="0.25">
      <c r="C1266" s="16"/>
      <c r="U1266" s="16"/>
      <c r="V1266" s="16"/>
    </row>
    <row r="1267" spans="3:22" x14ac:dyDescent="0.25">
      <c r="C1267" s="16"/>
      <c r="U1267" s="16"/>
      <c r="V1267" s="16"/>
    </row>
    <row r="1268" spans="3:22" x14ac:dyDescent="0.25">
      <c r="C1268" s="16"/>
      <c r="U1268" s="16"/>
      <c r="V1268" s="16"/>
    </row>
    <row r="1269" spans="3:22" x14ac:dyDescent="0.25">
      <c r="C1269" s="16"/>
      <c r="U1269" s="16"/>
      <c r="V1269" s="16"/>
    </row>
    <row r="1270" spans="3:22" x14ac:dyDescent="0.25">
      <c r="C1270" s="16"/>
      <c r="U1270" s="16"/>
      <c r="V1270" s="16"/>
    </row>
    <row r="1271" spans="3:22" x14ac:dyDescent="0.25">
      <c r="C1271" s="16"/>
      <c r="U1271" s="16"/>
      <c r="V1271" s="16"/>
    </row>
    <row r="1272" spans="3:22" x14ac:dyDescent="0.25">
      <c r="C1272" s="16"/>
      <c r="U1272" s="16"/>
      <c r="V1272" s="16"/>
    </row>
    <row r="1273" spans="3:22" x14ac:dyDescent="0.25">
      <c r="C1273" s="16"/>
      <c r="U1273" s="16"/>
      <c r="V1273" s="16"/>
    </row>
    <row r="1274" spans="3:22" x14ac:dyDescent="0.25">
      <c r="C1274" s="16"/>
      <c r="U1274" s="16"/>
      <c r="V1274" s="16"/>
    </row>
    <row r="1275" spans="3:22" x14ac:dyDescent="0.25">
      <c r="C1275" s="16"/>
      <c r="U1275" s="16"/>
      <c r="V1275" s="16"/>
    </row>
    <row r="1276" spans="3:22" x14ac:dyDescent="0.25">
      <c r="C1276" s="16"/>
      <c r="U1276" s="16"/>
      <c r="V1276" s="16"/>
    </row>
    <row r="1277" spans="3:22" x14ac:dyDescent="0.25">
      <c r="C1277" s="16"/>
      <c r="U1277" s="16"/>
      <c r="V1277" s="16"/>
    </row>
    <row r="1278" spans="3:22" x14ac:dyDescent="0.25">
      <c r="C1278" s="16"/>
      <c r="U1278" s="16"/>
      <c r="V1278" s="16"/>
    </row>
    <row r="1279" spans="3:22" x14ac:dyDescent="0.25">
      <c r="C1279" s="16"/>
      <c r="U1279" s="16"/>
      <c r="V1279" s="16"/>
    </row>
    <row r="1280" spans="3:22" x14ac:dyDescent="0.25">
      <c r="C1280" s="16"/>
      <c r="U1280" s="16"/>
      <c r="V1280" s="16"/>
    </row>
    <row r="1281" spans="3:22" x14ac:dyDescent="0.25">
      <c r="C1281" s="16"/>
      <c r="U1281" s="16"/>
      <c r="V1281" s="16"/>
    </row>
    <row r="1282" spans="3:22" x14ac:dyDescent="0.25">
      <c r="C1282" s="16"/>
      <c r="U1282" s="16"/>
      <c r="V1282" s="16"/>
    </row>
    <row r="1283" spans="3:22" x14ac:dyDescent="0.25">
      <c r="C1283" s="16"/>
      <c r="U1283" s="16"/>
      <c r="V1283" s="16"/>
    </row>
    <row r="1284" spans="3:22" x14ac:dyDescent="0.25">
      <c r="C1284" s="16"/>
      <c r="U1284" s="16"/>
      <c r="V1284" s="16"/>
    </row>
    <row r="1285" spans="3:22" x14ac:dyDescent="0.25">
      <c r="C1285" s="16"/>
      <c r="U1285" s="16"/>
      <c r="V1285" s="16"/>
    </row>
    <row r="1286" spans="3:22" x14ac:dyDescent="0.25">
      <c r="C1286" s="16"/>
      <c r="U1286" s="16"/>
      <c r="V1286" s="16"/>
    </row>
    <row r="1287" spans="3:22" x14ac:dyDescent="0.25">
      <c r="C1287" s="16"/>
      <c r="U1287" s="16"/>
      <c r="V1287" s="16"/>
    </row>
    <row r="1288" spans="3:22" x14ac:dyDescent="0.25">
      <c r="C1288" s="16"/>
      <c r="U1288" s="16"/>
      <c r="V1288" s="16"/>
    </row>
    <row r="1289" spans="3:22" x14ac:dyDescent="0.25">
      <c r="C1289" s="16"/>
      <c r="U1289" s="16"/>
      <c r="V1289" s="16"/>
    </row>
    <row r="1290" spans="3:22" x14ac:dyDescent="0.25">
      <c r="C1290" s="16"/>
      <c r="U1290" s="16"/>
      <c r="V1290" s="16"/>
    </row>
    <row r="1291" spans="3:22" x14ac:dyDescent="0.25">
      <c r="C1291" s="16"/>
      <c r="U1291" s="16"/>
      <c r="V1291" s="16"/>
    </row>
    <row r="1292" spans="3:22" x14ac:dyDescent="0.25">
      <c r="C1292" s="16"/>
      <c r="U1292" s="16"/>
      <c r="V1292" s="16"/>
    </row>
    <row r="1293" spans="3:22" x14ac:dyDescent="0.25">
      <c r="C1293" s="16"/>
      <c r="U1293" s="16"/>
      <c r="V1293" s="16"/>
    </row>
    <row r="1294" spans="3:22" x14ac:dyDescent="0.25">
      <c r="C1294" s="16"/>
      <c r="U1294" s="16"/>
      <c r="V1294" s="16"/>
    </row>
    <row r="1295" spans="3:22" x14ac:dyDescent="0.25">
      <c r="C1295" s="16"/>
      <c r="U1295" s="16"/>
      <c r="V1295" s="16"/>
    </row>
    <row r="1296" spans="3:22" x14ac:dyDescent="0.25">
      <c r="C1296" s="16"/>
      <c r="U1296" s="16"/>
      <c r="V1296" s="16"/>
    </row>
    <row r="1297" spans="3:22" x14ac:dyDescent="0.25">
      <c r="C1297" s="16"/>
      <c r="U1297" s="16"/>
      <c r="V1297" s="16"/>
    </row>
    <row r="1298" spans="3:22" x14ac:dyDescent="0.25">
      <c r="C1298" s="16"/>
      <c r="U1298" s="16"/>
      <c r="V1298" s="16"/>
    </row>
    <row r="1299" spans="3:22" x14ac:dyDescent="0.25">
      <c r="C1299" s="16"/>
      <c r="U1299" s="16"/>
      <c r="V1299" s="16"/>
    </row>
    <row r="1300" spans="3:22" x14ac:dyDescent="0.25">
      <c r="C1300" s="16"/>
      <c r="U1300" s="16"/>
      <c r="V1300" s="16"/>
    </row>
    <row r="1301" spans="3:22" x14ac:dyDescent="0.25">
      <c r="C1301" s="16"/>
      <c r="U1301" s="16"/>
      <c r="V1301" s="16"/>
    </row>
    <row r="1302" spans="3:22" x14ac:dyDescent="0.25">
      <c r="C1302" s="16"/>
      <c r="U1302" s="16"/>
      <c r="V1302" s="16"/>
    </row>
    <row r="1303" spans="3:22" x14ac:dyDescent="0.25">
      <c r="C1303" s="16"/>
      <c r="U1303" s="16"/>
      <c r="V1303" s="16"/>
    </row>
    <row r="1304" spans="3:22" x14ac:dyDescent="0.25">
      <c r="C1304" s="16"/>
      <c r="U1304" s="16"/>
      <c r="V1304" s="16"/>
    </row>
    <row r="1305" spans="3:22" x14ac:dyDescent="0.25">
      <c r="C1305" s="16"/>
      <c r="U1305" s="16"/>
      <c r="V1305" s="16"/>
    </row>
    <row r="1306" spans="3:22" x14ac:dyDescent="0.25">
      <c r="C1306" s="16"/>
      <c r="U1306" s="16"/>
      <c r="V1306" s="16"/>
    </row>
    <row r="1307" spans="3:22" x14ac:dyDescent="0.25">
      <c r="C1307" s="16"/>
      <c r="U1307" s="16"/>
      <c r="V1307" s="16"/>
    </row>
    <row r="1308" spans="3:22" x14ac:dyDescent="0.25">
      <c r="C1308" s="16"/>
      <c r="U1308" s="16"/>
      <c r="V1308" s="16"/>
    </row>
    <row r="1309" spans="3:22" x14ac:dyDescent="0.25">
      <c r="C1309" s="16"/>
      <c r="U1309" s="16"/>
      <c r="V1309" s="16"/>
    </row>
    <row r="1310" spans="3:22" x14ac:dyDescent="0.25">
      <c r="C1310" s="16"/>
      <c r="U1310" s="16"/>
      <c r="V1310" s="16"/>
    </row>
    <row r="1311" spans="3:22" x14ac:dyDescent="0.25">
      <c r="C1311" s="16"/>
      <c r="U1311" s="16"/>
      <c r="V1311" s="16"/>
    </row>
    <row r="1312" spans="3:22" x14ac:dyDescent="0.25">
      <c r="C1312" s="16"/>
      <c r="U1312" s="16"/>
      <c r="V1312" s="16"/>
    </row>
    <row r="1313" spans="3:22" x14ac:dyDescent="0.25">
      <c r="C1313" s="16"/>
      <c r="U1313" s="16"/>
      <c r="V1313" s="16"/>
    </row>
    <row r="1314" spans="3:22" x14ac:dyDescent="0.25">
      <c r="C1314" s="16"/>
      <c r="U1314" s="16"/>
      <c r="V1314" s="16"/>
    </row>
    <row r="1315" spans="3:22" x14ac:dyDescent="0.25">
      <c r="C1315" s="16"/>
      <c r="U1315" s="16"/>
      <c r="V1315" s="16"/>
    </row>
    <row r="1316" spans="3:22" x14ac:dyDescent="0.25">
      <c r="C1316" s="16"/>
      <c r="U1316" s="16"/>
      <c r="V1316" s="16"/>
    </row>
    <row r="1317" spans="3:22" x14ac:dyDescent="0.25">
      <c r="C1317" s="16"/>
      <c r="U1317" s="16"/>
      <c r="V1317" s="16"/>
    </row>
    <row r="1318" spans="3:22" x14ac:dyDescent="0.25">
      <c r="C1318" s="16"/>
      <c r="U1318" s="16"/>
      <c r="V1318" s="16"/>
    </row>
    <row r="1319" spans="3:22" x14ac:dyDescent="0.25">
      <c r="C1319" s="16"/>
      <c r="U1319" s="16"/>
      <c r="V1319" s="16"/>
    </row>
    <row r="1320" spans="3:22" x14ac:dyDescent="0.25">
      <c r="C1320" s="16"/>
      <c r="U1320" s="16"/>
      <c r="V1320" s="16"/>
    </row>
    <row r="1321" spans="3:22" x14ac:dyDescent="0.25">
      <c r="C1321" s="16"/>
      <c r="U1321" s="16"/>
      <c r="V1321" s="16"/>
    </row>
    <row r="1322" spans="3:22" x14ac:dyDescent="0.25">
      <c r="C1322" s="16"/>
      <c r="U1322" s="16"/>
      <c r="V1322" s="16"/>
    </row>
    <row r="1323" spans="3:22" x14ac:dyDescent="0.25">
      <c r="C1323" s="16"/>
      <c r="U1323" s="16"/>
      <c r="V1323" s="16"/>
    </row>
    <row r="1324" spans="3:22" x14ac:dyDescent="0.25">
      <c r="C1324" s="16"/>
      <c r="U1324" s="16"/>
      <c r="V1324" s="16"/>
    </row>
    <row r="1325" spans="3:22" x14ac:dyDescent="0.25">
      <c r="C1325" s="16"/>
      <c r="U1325" s="16"/>
      <c r="V1325" s="16"/>
    </row>
    <row r="1326" spans="3:22" x14ac:dyDescent="0.25">
      <c r="C1326" s="16"/>
      <c r="U1326" s="16"/>
      <c r="V1326" s="16"/>
    </row>
    <row r="1327" spans="3:22" x14ac:dyDescent="0.25">
      <c r="C1327" s="16"/>
      <c r="U1327" s="16"/>
      <c r="V1327" s="16"/>
    </row>
    <row r="1328" spans="3:22" x14ac:dyDescent="0.25">
      <c r="C1328" s="16"/>
      <c r="U1328" s="16"/>
      <c r="V1328" s="16"/>
    </row>
    <row r="1329" spans="3:22" x14ac:dyDescent="0.25">
      <c r="C1329" s="16"/>
      <c r="U1329" s="16"/>
      <c r="V1329" s="16"/>
    </row>
    <row r="1330" spans="3:22" x14ac:dyDescent="0.25">
      <c r="C1330" s="16"/>
      <c r="U1330" s="16"/>
      <c r="V1330" s="16"/>
    </row>
    <row r="1331" spans="3:22" x14ac:dyDescent="0.25">
      <c r="C1331" s="16"/>
      <c r="U1331" s="16"/>
      <c r="V1331" s="16"/>
    </row>
    <row r="1332" spans="3:22" x14ac:dyDescent="0.25">
      <c r="C1332" s="16"/>
      <c r="U1332" s="16"/>
      <c r="V1332" s="16"/>
    </row>
    <row r="1333" spans="3:22" x14ac:dyDescent="0.25">
      <c r="C1333" s="16"/>
      <c r="U1333" s="16"/>
      <c r="V1333" s="16"/>
    </row>
    <row r="1334" spans="3:22" x14ac:dyDescent="0.25">
      <c r="C1334" s="16"/>
      <c r="U1334" s="16"/>
      <c r="V1334" s="16"/>
    </row>
    <row r="1335" spans="3:22" x14ac:dyDescent="0.25">
      <c r="C1335" s="16"/>
      <c r="U1335" s="16"/>
      <c r="V1335" s="16"/>
    </row>
    <row r="1336" spans="3:22" x14ac:dyDescent="0.25">
      <c r="C1336" s="16"/>
      <c r="U1336" s="16"/>
      <c r="V1336" s="16"/>
    </row>
    <row r="1337" spans="3:22" x14ac:dyDescent="0.25">
      <c r="C1337" s="16"/>
      <c r="U1337" s="16"/>
      <c r="V1337" s="16"/>
    </row>
    <row r="1338" spans="3:22" x14ac:dyDescent="0.25">
      <c r="C1338" s="16"/>
      <c r="U1338" s="16"/>
      <c r="V1338" s="16"/>
    </row>
    <row r="1339" spans="3:22" x14ac:dyDescent="0.25">
      <c r="C1339" s="16"/>
      <c r="U1339" s="16"/>
      <c r="V1339" s="16"/>
    </row>
    <row r="1340" spans="3:22" x14ac:dyDescent="0.25">
      <c r="C1340" s="16"/>
      <c r="U1340" s="16"/>
      <c r="V1340" s="16"/>
    </row>
    <row r="1341" spans="3:22" x14ac:dyDescent="0.25">
      <c r="C1341" s="16"/>
      <c r="U1341" s="16"/>
      <c r="V1341" s="16"/>
    </row>
    <row r="1342" spans="3:22" x14ac:dyDescent="0.25">
      <c r="C1342" s="16"/>
      <c r="U1342" s="16"/>
      <c r="V1342" s="16"/>
    </row>
    <row r="1343" spans="3:22" x14ac:dyDescent="0.25">
      <c r="C1343" s="16"/>
      <c r="U1343" s="16"/>
      <c r="V1343" s="16"/>
    </row>
    <row r="1344" spans="3:22" x14ac:dyDescent="0.25">
      <c r="C1344" s="16"/>
      <c r="U1344" s="16"/>
      <c r="V1344" s="16"/>
    </row>
    <row r="1345" spans="3:22" x14ac:dyDescent="0.25">
      <c r="C1345" s="16"/>
      <c r="U1345" s="16"/>
      <c r="V1345" s="16"/>
    </row>
    <row r="1346" spans="3:22" x14ac:dyDescent="0.25">
      <c r="C1346" s="16"/>
      <c r="U1346" s="16"/>
      <c r="V1346" s="16"/>
    </row>
    <row r="1347" spans="3:22" x14ac:dyDescent="0.25">
      <c r="C1347" s="16"/>
      <c r="U1347" s="16"/>
      <c r="V1347" s="16"/>
    </row>
    <row r="1348" spans="3:22" x14ac:dyDescent="0.25">
      <c r="C1348" s="16"/>
      <c r="U1348" s="16"/>
      <c r="V1348" s="16"/>
    </row>
    <row r="1349" spans="3:22" x14ac:dyDescent="0.25">
      <c r="C1349" s="16"/>
      <c r="U1349" s="16"/>
      <c r="V1349" s="16"/>
    </row>
    <row r="1350" spans="3:22" x14ac:dyDescent="0.25">
      <c r="C1350" s="16"/>
      <c r="U1350" s="16"/>
      <c r="V1350" s="16"/>
    </row>
    <row r="1351" spans="3:22" x14ac:dyDescent="0.25">
      <c r="C1351" s="16"/>
      <c r="U1351" s="16"/>
      <c r="V1351" s="16"/>
    </row>
    <row r="1352" spans="3:22" x14ac:dyDescent="0.25">
      <c r="C1352" s="16"/>
      <c r="U1352" s="16"/>
      <c r="V1352" s="16"/>
    </row>
    <row r="1353" spans="3:22" x14ac:dyDescent="0.25">
      <c r="C1353" s="16"/>
      <c r="U1353" s="16"/>
      <c r="V1353" s="16"/>
    </row>
    <row r="1354" spans="3:22" x14ac:dyDescent="0.25">
      <c r="C1354" s="16"/>
      <c r="U1354" s="16"/>
      <c r="V1354" s="16"/>
    </row>
    <row r="1355" spans="3:22" x14ac:dyDescent="0.25">
      <c r="C1355" s="16"/>
      <c r="U1355" s="16"/>
      <c r="V1355" s="16"/>
    </row>
    <row r="1356" spans="3:22" x14ac:dyDescent="0.25">
      <c r="C1356" s="16"/>
      <c r="U1356" s="16"/>
      <c r="V1356" s="16"/>
    </row>
    <row r="1357" spans="3:22" x14ac:dyDescent="0.25">
      <c r="C1357" s="16"/>
      <c r="U1357" s="16"/>
      <c r="V1357" s="16"/>
    </row>
    <row r="1358" spans="3:22" x14ac:dyDescent="0.25">
      <c r="C1358" s="16"/>
      <c r="U1358" s="16"/>
      <c r="V1358" s="16"/>
    </row>
    <row r="1359" spans="3:22" x14ac:dyDescent="0.25">
      <c r="C1359" s="16"/>
      <c r="U1359" s="16"/>
      <c r="V1359" s="16"/>
    </row>
    <row r="1360" spans="3:22" x14ac:dyDescent="0.25">
      <c r="C1360" s="16"/>
      <c r="U1360" s="16"/>
      <c r="V1360" s="16"/>
    </row>
    <row r="1361" spans="3:22" x14ac:dyDescent="0.25">
      <c r="C1361" s="16"/>
      <c r="U1361" s="16"/>
      <c r="V1361" s="16"/>
    </row>
    <row r="1362" spans="3:22" x14ac:dyDescent="0.25">
      <c r="C1362" s="16"/>
      <c r="U1362" s="16"/>
      <c r="V1362" s="16"/>
    </row>
    <row r="1363" spans="3:22" x14ac:dyDescent="0.25">
      <c r="C1363" s="16"/>
      <c r="U1363" s="16"/>
      <c r="V1363" s="16"/>
    </row>
    <row r="1364" spans="3:22" x14ac:dyDescent="0.25">
      <c r="C1364" s="16"/>
      <c r="U1364" s="16"/>
      <c r="V1364" s="16"/>
    </row>
    <row r="1365" spans="3:22" x14ac:dyDescent="0.25">
      <c r="C1365" s="16"/>
      <c r="U1365" s="16"/>
      <c r="V1365" s="16"/>
    </row>
    <row r="1366" spans="3:22" x14ac:dyDescent="0.25">
      <c r="C1366" s="16"/>
      <c r="U1366" s="16"/>
      <c r="V1366" s="16"/>
    </row>
    <row r="1367" spans="3:22" x14ac:dyDescent="0.25">
      <c r="C1367" s="16"/>
      <c r="U1367" s="16"/>
      <c r="V1367" s="16"/>
    </row>
    <row r="1368" spans="3:22" x14ac:dyDescent="0.25">
      <c r="C1368" s="16"/>
      <c r="U1368" s="16"/>
      <c r="V1368" s="16"/>
    </row>
    <row r="1369" spans="3:22" x14ac:dyDescent="0.25">
      <c r="C1369" s="16"/>
      <c r="U1369" s="16"/>
      <c r="V1369" s="16"/>
    </row>
    <row r="1370" spans="3:22" x14ac:dyDescent="0.25">
      <c r="C1370" s="16"/>
      <c r="U1370" s="16"/>
      <c r="V1370" s="16"/>
    </row>
    <row r="1371" spans="3:22" x14ac:dyDescent="0.25">
      <c r="C1371" s="16"/>
      <c r="U1371" s="16"/>
      <c r="V1371" s="16"/>
    </row>
    <row r="1372" spans="3:22" x14ac:dyDescent="0.25">
      <c r="C1372" s="16"/>
      <c r="U1372" s="16"/>
      <c r="V1372" s="16"/>
    </row>
    <row r="1373" spans="3:22" x14ac:dyDescent="0.25">
      <c r="C1373" s="16"/>
      <c r="U1373" s="16"/>
      <c r="V1373" s="16"/>
    </row>
    <row r="1374" spans="3:22" x14ac:dyDescent="0.25">
      <c r="C1374" s="16"/>
      <c r="U1374" s="16"/>
      <c r="V1374" s="16"/>
    </row>
    <row r="1375" spans="3:22" x14ac:dyDescent="0.25">
      <c r="C1375" s="16"/>
      <c r="U1375" s="16"/>
      <c r="V1375" s="16"/>
    </row>
    <row r="1376" spans="3:22" x14ac:dyDescent="0.25">
      <c r="C1376" s="16"/>
      <c r="U1376" s="16"/>
      <c r="V1376" s="16"/>
    </row>
    <row r="1377" spans="3:22" x14ac:dyDescent="0.25">
      <c r="C1377" s="16"/>
      <c r="U1377" s="16"/>
      <c r="V1377" s="16"/>
    </row>
    <row r="1378" spans="3:22" x14ac:dyDescent="0.25">
      <c r="C1378" s="16"/>
      <c r="U1378" s="16"/>
      <c r="V1378" s="16"/>
    </row>
    <row r="1379" spans="3:22" x14ac:dyDescent="0.25">
      <c r="C1379" s="16"/>
      <c r="U1379" s="16"/>
      <c r="V1379" s="16"/>
    </row>
    <row r="1380" spans="3:22" x14ac:dyDescent="0.25">
      <c r="C1380" s="16"/>
      <c r="U1380" s="16"/>
      <c r="V1380" s="16"/>
    </row>
    <row r="1381" spans="3:22" x14ac:dyDescent="0.25">
      <c r="C1381" s="16"/>
      <c r="U1381" s="16"/>
      <c r="V1381" s="16"/>
    </row>
    <row r="1382" spans="3:22" x14ac:dyDescent="0.25">
      <c r="C1382" s="16"/>
      <c r="U1382" s="16"/>
      <c r="V1382" s="16"/>
    </row>
    <row r="1383" spans="3:22" x14ac:dyDescent="0.25">
      <c r="C1383" s="16"/>
      <c r="U1383" s="16"/>
      <c r="V1383" s="16"/>
    </row>
    <row r="1384" spans="3:22" x14ac:dyDescent="0.25">
      <c r="C1384" s="16"/>
      <c r="U1384" s="16"/>
      <c r="V1384" s="16"/>
    </row>
    <row r="1385" spans="3:22" x14ac:dyDescent="0.25">
      <c r="C1385" s="16"/>
      <c r="U1385" s="16"/>
      <c r="V1385" s="16"/>
    </row>
    <row r="1386" spans="3:22" x14ac:dyDescent="0.25">
      <c r="C1386" s="16"/>
      <c r="U1386" s="16"/>
      <c r="V1386" s="16"/>
    </row>
    <row r="1387" spans="3:22" x14ac:dyDescent="0.25">
      <c r="C1387" s="16"/>
      <c r="U1387" s="16"/>
      <c r="V1387" s="16"/>
    </row>
    <row r="1388" spans="3:22" x14ac:dyDescent="0.25">
      <c r="C1388" s="16"/>
      <c r="U1388" s="16"/>
      <c r="V1388" s="16"/>
    </row>
    <row r="1389" spans="3:22" x14ac:dyDescent="0.25">
      <c r="C1389" s="16"/>
      <c r="U1389" s="16"/>
      <c r="V1389" s="16"/>
    </row>
    <row r="1390" spans="3:22" x14ac:dyDescent="0.25">
      <c r="C1390" s="16"/>
      <c r="U1390" s="16"/>
      <c r="V1390" s="16"/>
    </row>
    <row r="1391" spans="3:22" x14ac:dyDescent="0.25">
      <c r="C1391" s="16"/>
      <c r="U1391" s="16"/>
      <c r="V1391" s="16"/>
    </row>
    <row r="1392" spans="3:22" x14ac:dyDescent="0.25">
      <c r="C1392" s="16"/>
      <c r="U1392" s="16"/>
      <c r="V1392" s="16"/>
    </row>
    <row r="1393" spans="3:22" x14ac:dyDescent="0.25">
      <c r="C1393" s="16"/>
      <c r="U1393" s="16"/>
      <c r="V1393" s="16"/>
    </row>
    <row r="1394" spans="3:22" x14ac:dyDescent="0.25">
      <c r="C1394" s="16"/>
      <c r="U1394" s="16"/>
      <c r="V1394" s="16"/>
    </row>
    <row r="1395" spans="3:22" x14ac:dyDescent="0.25">
      <c r="C1395" s="16"/>
      <c r="U1395" s="16"/>
      <c r="V1395" s="16"/>
    </row>
    <row r="1396" spans="3:22" x14ac:dyDescent="0.25">
      <c r="C1396" s="16"/>
      <c r="U1396" s="16"/>
      <c r="V1396" s="16"/>
    </row>
    <row r="1397" spans="3:22" x14ac:dyDescent="0.25">
      <c r="C1397" s="16"/>
      <c r="U1397" s="16"/>
      <c r="V1397" s="16"/>
    </row>
    <row r="1398" spans="3:22" x14ac:dyDescent="0.25">
      <c r="C1398" s="16"/>
      <c r="U1398" s="16"/>
      <c r="V1398" s="16"/>
    </row>
    <row r="1399" spans="3:22" x14ac:dyDescent="0.25">
      <c r="C1399" s="16"/>
      <c r="U1399" s="16"/>
      <c r="V1399" s="16"/>
    </row>
    <row r="1400" spans="3:22" x14ac:dyDescent="0.25">
      <c r="C1400" s="16"/>
      <c r="U1400" s="16"/>
      <c r="V1400" s="16"/>
    </row>
    <row r="1401" spans="3:22" x14ac:dyDescent="0.25">
      <c r="C1401" s="16"/>
      <c r="U1401" s="16"/>
      <c r="V1401" s="16"/>
    </row>
    <row r="1402" spans="3:22" x14ac:dyDescent="0.25">
      <c r="C1402" s="16"/>
      <c r="U1402" s="16"/>
      <c r="V1402" s="16"/>
    </row>
    <row r="1403" spans="3:22" x14ac:dyDescent="0.25">
      <c r="C1403" s="16"/>
      <c r="U1403" s="16"/>
      <c r="V1403" s="16"/>
    </row>
    <row r="1404" spans="3:22" x14ac:dyDescent="0.25">
      <c r="C1404" s="16"/>
      <c r="U1404" s="16"/>
      <c r="V1404" s="16"/>
    </row>
    <row r="1405" spans="3:22" x14ac:dyDescent="0.25">
      <c r="C1405" s="16"/>
      <c r="U1405" s="16"/>
      <c r="V1405" s="16"/>
    </row>
    <row r="1406" spans="3:22" x14ac:dyDescent="0.25">
      <c r="C1406" s="16"/>
      <c r="U1406" s="16"/>
      <c r="V1406" s="16"/>
    </row>
    <row r="1407" spans="3:22" x14ac:dyDescent="0.25">
      <c r="C1407" s="16"/>
      <c r="U1407" s="16"/>
      <c r="V1407" s="16"/>
    </row>
    <row r="1408" spans="3:22" x14ac:dyDescent="0.25">
      <c r="C1408" s="16"/>
      <c r="U1408" s="16"/>
      <c r="V1408" s="16"/>
    </row>
    <row r="1409" spans="3:22" x14ac:dyDescent="0.25">
      <c r="C1409" s="16"/>
      <c r="U1409" s="16"/>
      <c r="V1409" s="16"/>
    </row>
    <row r="1410" spans="3:22" x14ac:dyDescent="0.25">
      <c r="C1410" s="16"/>
      <c r="U1410" s="16"/>
      <c r="V1410" s="16"/>
    </row>
    <row r="1411" spans="3:22" x14ac:dyDescent="0.25">
      <c r="C1411" s="16"/>
      <c r="U1411" s="16"/>
      <c r="V1411" s="16"/>
    </row>
    <row r="1412" spans="3:22" x14ac:dyDescent="0.25">
      <c r="C1412" s="16"/>
      <c r="U1412" s="16"/>
      <c r="V1412" s="16"/>
    </row>
    <row r="1413" spans="3:22" x14ac:dyDescent="0.25">
      <c r="C1413" s="16"/>
      <c r="U1413" s="16"/>
      <c r="V1413" s="16"/>
    </row>
    <row r="1414" spans="3:22" x14ac:dyDescent="0.25">
      <c r="C1414" s="16"/>
      <c r="U1414" s="16"/>
      <c r="V1414" s="16"/>
    </row>
    <row r="1415" spans="3:22" x14ac:dyDescent="0.25">
      <c r="C1415" s="16"/>
      <c r="U1415" s="16"/>
      <c r="V1415" s="16"/>
    </row>
    <row r="1416" spans="3:22" x14ac:dyDescent="0.25">
      <c r="C1416" s="16"/>
      <c r="U1416" s="16"/>
      <c r="V1416" s="16"/>
    </row>
    <row r="1417" spans="3:22" x14ac:dyDescent="0.25">
      <c r="C1417" s="16"/>
      <c r="U1417" s="16"/>
      <c r="V1417" s="16"/>
    </row>
    <row r="1418" spans="3:22" x14ac:dyDescent="0.25">
      <c r="C1418" s="16"/>
      <c r="U1418" s="16"/>
      <c r="V1418" s="16"/>
    </row>
    <row r="1419" spans="3:22" x14ac:dyDescent="0.25">
      <c r="C1419" s="16"/>
      <c r="U1419" s="16"/>
      <c r="V1419" s="16"/>
    </row>
    <row r="1420" spans="3:22" x14ac:dyDescent="0.25">
      <c r="C1420" s="16"/>
      <c r="U1420" s="16"/>
      <c r="V1420" s="16"/>
    </row>
    <row r="1421" spans="3:22" x14ac:dyDescent="0.25">
      <c r="C1421" s="16"/>
      <c r="U1421" s="16"/>
      <c r="V1421" s="16"/>
    </row>
    <row r="1422" spans="3:22" x14ac:dyDescent="0.25">
      <c r="C1422" s="16"/>
      <c r="U1422" s="16"/>
      <c r="V1422" s="16"/>
    </row>
    <row r="1423" spans="3:22" x14ac:dyDescent="0.25">
      <c r="C1423" s="16"/>
      <c r="U1423" s="16"/>
      <c r="V1423" s="16"/>
    </row>
    <row r="1424" spans="3:22" x14ac:dyDescent="0.25">
      <c r="C1424" s="16"/>
      <c r="U1424" s="16"/>
      <c r="V1424" s="16"/>
    </row>
    <row r="1425" spans="3:22" x14ac:dyDescent="0.25">
      <c r="C1425" s="16"/>
      <c r="U1425" s="16"/>
      <c r="V1425" s="16"/>
    </row>
    <row r="1426" spans="3:22" x14ac:dyDescent="0.25">
      <c r="C1426" s="16"/>
      <c r="U1426" s="16"/>
      <c r="V1426" s="16"/>
    </row>
    <row r="1427" spans="3:22" x14ac:dyDescent="0.25">
      <c r="C1427" s="16"/>
      <c r="U1427" s="16"/>
      <c r="V1427" s="16"/>
    </row>
    <row r="1428" spans="3:22" x14ac:dyDescent="0.25">
      <c r="C1428" s="16"/>
      <c r="U1428" s="16"/>
      <c r="V1428" s="16"/>
    </row>
    <row r="1429" spans="3:22" x14ac:dyDescent="0.25">
      <c r="C1429" s="16"/>
      <c r="U1429" s="16"/>
      <c r="V1429" s="16"/>
    </row>
    <row r="1430" spans="3:22" x14ac:dyDescent="0.25">
      <c r="C1430" s="16"/>
      <c r="U1430" s="16"/>
      <c r="V1430" s="16"/>
    </row>
    <row r="1431" spans="3:22" x14ac:dyDescent="0.25">
      <c r="C1431" s="16"/>
      <c r="U1431" s="16"/>
      <c r="V1431" s="16"/>
    </row>
    <row r="1432" spans="3:22" x14ac:dyDescent="0.25">
      <c r="C1432" s="16"/>
      <c r="U1432" s="16"/>
      <c r="V1432" s="16"/>
    </row>
    <row r="1433" spans="3:22" x14ac:dyDescent="0.25">
      <c r="C1433" s="16"/>
      <c r="U1433" s="16"/>
      <c r="V1433" s="16"/>
    </row>
    <row r="1434" spans="3:22" x14ac:dyDescent="0.25">
      <c r="C1434" s="16"/>
      <c r="U1434" s="16"/>
      <c r="V1434" s="16"/>
    </row>
    <row r="1435" spans="3:22" x14ac:dyDescent="0.25">
      <c r="C1435" s="16"/>
      <c r="U1435" s="16"/>
      <c r="V1435" s="16"/>
    </row>
    <row r="1436" spans="3:22" x14ac:dyDescent="0.25">
      <c r="C1436" s="16"/>
      <c r="U1436" s="16"/>
      <c r="V1436" s="16"/>
    </row>
    <row r="1437" spans="3:22" x14ac:dyDescent="0.25">
      <c r="C1437" s="16"/>
      <c r="U1437" s="16"/>
      <c r="V1437" s="16"/>
    </row>
    <row r="1438" spans="3:22" x14ac:dyDescent="0.25">
      <c r="C1438" s="16"/>
      <c r="U1438" s="16"/>
      <c r="V1438" s="16"/>
    </row>
    <row r="1439" spans="3:22" x14ac:dyDescent="0.25">
      <c r="C1439" s="16"/>
      <c r="U1439" s="16"/>
      <c r="V1439" s="16"/>
    </row>
    <row r="1440" spans="3:22" x14ac:dyDescent="0.25">
      <c r="C1440" s="16"/>
      <c r="U1440" s="16"/>
      <c r="V1440" s="16"/>
    </row>
    <row r="1441" spans="3:22" x14ac:dyDescent="0.25">
      <c r="C1441" s="16"/>
      <c r="U1441" s="16"/>
      <c r="V1441" s="16"/>
    </row>
    <row r="1442" spans="3:22" x14ac:dyDescent="0.25">
      <c r="C1442" s="16"/>
      <c r="U1442" s="16"/>
      <c r="V1442" s="16"/>
    </row>
    <row r="1443" spans="3:22" x14ac:dyDescent="0.25">
      <c r="C1443" s="16"/>
      <c r="U1443" s="16"/>
      <c r="V1443" s="16"/>
    </row>
    <row r="1444" spans="3:22" x14ac:dyDescent="0.25">
      <c r="C1444" s="16"/>
      <c r="U1444" s="16"/>
      <c r="V1444" s="16"/>
    </row>
    <row r="1445" spans="3:22" x14ac:dyDescent="0.25">
      <c r="C1445" s="16"/>
      <c r="U1445" s="16"/>
      <c r="V1445" s="16"/>
    </row>
    <row r="1446" spans="3:22" x14ac:dyDescent="0.25">
      <c r="C1446" s="16"/>
      <c r="U1446" s="16"/>
      <c r="V1446" s="16"/>
    </row>
    <row r="1447" spans="3:22" x14ac:dyDescent="0.25">
      <c r="C1447" s="16"/>
      <c r="U1447" s="16"/>
      <c r="V1447" s="16"/>
    </row>
    <row r="1448" spans="3:22" x14ac:dyDescent="0.25">
      <c r="C1448" s="16"/>
      <c r="U1448" s="16"/>
      <c r="V1448" s="16"/>
    </row>
    <row r="1449" spans="3:22" x14ac:dyDescent="0.25">
      <c r="C1449" s="16"/>
      <c r="U1449" s="16"/>
      <c r="V1449" s="16"/>
    </row>
    <row r="1450" spans="3:22" x14ac:dyDescent="0.25">
      <c r="C1450" s="16"/>
      <c r="U1450" s="16"/>
      <c r="V1450" s="16"/>
    </row>
    <row r="1451" spans="3:22" x14ac:dyDescent="0.25">
      <c r="C1451" s="16"/>
      <c r="U1451" s="16"/>
      <c r="V1451" s="16"/>
    </row>
    <row r="1452" spans="3:22" x14ac:dyDescent="0.25">
      <c r="C1452" s="16"/>
      <c r="U1452" s="16"/>
      <c r="V1452" s="16"/>
    </row>
    <row r="1453" spans="3:22" x14ac:dyDescent="0.25">
      <c r="C1453" s="16"/>
      <c r="U1453" s="16"/>
      <c r="V1453" s="16"/>
    </row>
    <row r="1454" spans="3:22" x14ac:dyDescent="0.25">
      <c r="C1454" s="16"/>
      <c r="U1454" s="16"/>
      <c r="V1454" s="16"/>
    </row>
    <row r="1455" spans="3:22" x14ac:dyDescent="0.25">
      <c r="C1455" s="16"/>
      <c r="U1455" s="16"/>
      <c r="V1455" s="16"/>
    </row>
    <row r="1456" spans="3:22" x14ac:dyDescent="0.25">
      <c r="C1456" s="16"/>
      <c r="U1456" s="16"/>
      <c r="V1456" s="16"/>
    </row>
    <row r="1457" spans="3:22" x14ac:dyDescent="0.25">
      <c r="C1457" s="16"/>
      <c r="U1457" s="16"/>
      <c r="V1457" s="16"/>
    </row>
    <row r="1458" spans="3:22" x14ac:dyDescent="0.25">
      <c r="C1458" s="16"/>
      <c r="U1458" s="16"/>
      <c r="V1458" s="16"/>
    </row>
    <row r="1459" spans="3:22" x14ac:dyDescent="0.25">
      <c r="C1459" s="16"/>
      <c r="U1459" s="16"/>
      <c r="V1459" s="16"/>
    </row>
    <row r="1460" spans="3:22" x14ac:dyDescent="0.25">
      <c r="C1460" s="16"/>
      <c r="U1460" s="16"/>
      <c r="V1460" s="16"/>
    </row>
    <row r="1461" spans="3:22" x14ac:dyDescent="0.25">
      <c r="C1461" s="16"/>
      <c r="U1461" s="16"/>
      <c r="V1461" s="16"/>
    </row>
    <row r="1462" spans="3:22" x14ac:dyDescent="0.25">
      <c r="C1462" s="16"/>
      <c r="U1462" s="16"/>
      <c r="V1462" s="16"/>
    </row>
    <row r="1463" spans="3:22" x14ac:dyDescent="0.25">
      <c r="C1463" s="16"/>
      <c r="U1463" s="16"/>
      <c r="V1463" s="16"/>
    </row>
    <row r="1464" spans="3:22" x14ac:dyDescent="0.25">
      <c r="C1464" s="16"/>
      <c r="U1464" s="16"/>
      <c r="V1464" s="16"/>
    </row>
    <row r="1465" spans="3:22" x14ac:dyDescent="0.25">
      <c r="C1465" s="16"/>
      <c r="U1465" s="16"/>
      <c r="V1465" s="16"/>
    </row>
    <row r="1466" spans="3:22" x14ac:dyDescent="0.25">
      <c r="C1466" s="16"/>
      <c r="U1466" s="16"/>
      <c r="V1466" s="16"/>
    </row>
    <row r="1467" spans="3:22" x14ac:dyDescent="0.25">
      <c r="C1467" s="16"/>
      <c r="U1467" s="16"/>
      <c r="V1467" s="16"/>
    </row>
    <row r="1468" spans="3:22" x14ac:dyDescent="0.25">
      <c r="C1468" s="16"/>
      <c r="U1468" s="16"/>
      <c r="V1468" s="16"/>
    </row>
    <row r="1469" spans="3:22" x14ac:dyDescent="0.25">
      <c r="C1469" s="16"/>
      <c r="U1469" s="16"/>
      <c r="V1469" s="16"/>
    </row>
    <row r="1470" spans="3:22" x14ac:dyDescent="0.25">
      <c r="C1470" s="16"/>
      <c r="U1470" s="16"/>
      <c r="V1470" s="16"/>
    </row>
    <row r="1471" spans="3:22" x14ac:dyDescent="0.25">
      <c r="C1471" s="16"/>
      <c r="U1471" s="16"/>
      <c r="V1471" s="16"/>
    </row>
    <row r="1472" spans="3:22" x14ac:dyDescent="0.25">
      <c r="C1472" s="16"/>
      <c r="U1472" s="16"/>
      <c r="V1472" s="16"/>
    </row>
    <row r="1473" spans="3:22" x14ac:dyDescent="0.25">
      <c r="C1473" s="16"/>
      <c r="U1473" s="16"/>
      <c r="V1473" s="16"/>
    </row>
    <row r="1474" spans="3:22" x14ac:dyDescent="0.25">
      <c r="C1474" s="16"/>
      <c r="U1474" s="16"/>
      <c r="V1474" s="16"/>
    </row>
    <row r="1475" spans="3:22" x14ac:dyDescent="0.25">
      <c r="C1475" s="16"/>
      <c r="U1475" s="16"/>
      <c r="V1475" s="16"/>
    </row>
    <row r="1476" spans="3:22" x14ac:dyDescent="0.25">
      <c r="C1476" s="16"/>
      <c r="U1476" s="16"/>
      <c r="V1476" s="16"/>
    </row>
    <row r="1477" spans="3:22" x14ac:dyDescent="0.25">
      <c r="C1477" s="16"/>
      <c r="U1477" s="16"/>
      <c r="V1477" s="16"/>
    </row>
    <row r="1478" spans="3:22" x14ac:dyDescent="0.25">
      <c r="C1478" s="16"/>
      <c r="U1478" s="16"/>
      <c r="V1478" s="16"/>
    </row>
    <row r="1479" spans="3:22" x14ac:dyDescent="0.25">
      <c r="C1479" s="16"/>
      <c r="U1479" s="16"/>
      <c r="V1479" s="16"/>
    </row>
    <row r="1480" spans="3:22" x14ac:dyDescent="0.25">
      <c r="C1480" s="16"/>
      <c r="U1480" s="16"/>
      <c r="V1480" s="16"/>
    </row>
    <row r="1481" spans="3:22" x14ac:dyDescent="0.25">
      <c r="C1481" s="16"/>
      <c r="U1481" s="16"/>
      <c r="V1481" s="16"/>
    </row>
    <row r="1482" spans="3:22" x14ac:dyDescent="0.25">
      <c r="C1482" s="16"/>
      <c r="U1482" s="16"/>
      <c r="V1482" s="16"/>
    </row>
    <row r="1483" spans="3:22" x14ac:dyDescent="0.25">
      <c r="C1483" s="16"/>
      <c r="U1483" s="16"/>
      <c r="V1483" s="16"/>
    </row>
    <row r="1484" spans="3:22" x14ac:dyDescent="0.25">
      <c r="C1484" s="16"/>
      <c r="U1484" s="16"/>
      <c r="V1484" s="16"/>
    </row>
    <row r="1485" spans="3:22" x14ac:dyDescent="0.25">
      <c r="C1485" s="16"/>
      <c r="U1485" s="16"/>
      <c r="V1485" s="16"/>
    </row>
    <row r="1486" spans="3:22" x14ac:dyDescent="0.25">
      <c r="C1486" s="16"/>
      <c r="U1486" s="16"/>
      <c r="V1486" s="16"/>
    </row>
    <row r="1487" spans="3:22" x14ac:dyDescent="0.25">
      <c r="C1487" s="16"/>
      <c r="U1487" s="16"/>
      <c r="V1487" s="16"/>
    </row>
    <row r="1488" spans="3:22" x14ac:dyDescent="0.25">
      <c r="C1488" s="16"/>
      <c r="U1488" s="16"/>
      <c r="V1488" s="16"/>
    </row>
    <row r="1489" spans="3:22" x14ac:dyDescent="0.25">
      <c r="C1489" s="16"/>
      <c r="U1489" s="16"/>
      <c r="V1489" s="16"/>
    </row>
    <row r="1490" spans="3:22" x14ac:dyDescent="0.25">
      <c r="C1490" s="16"/>
      <c r="U1490" s="16"/>
      <c r="V1490" s="16"/>
    </row>
    <row r="1491" spans="3:22" x14ac:dyDescent="0.25">
      <c r="C1491" s="16"/>
      <c r="U1491" s="16"/>
      <c r="V1491" s="16"/>
    </row>
  </sheetData>
  <autoFilter ref="A1:OJ48" xr:uid="{DF6F475D-5665-4AC3-83C5-C2731B34E94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B9756-0FDF-4B60-90A2-E63207011D35}">
  <dimension ref="A1:AO48"/>
  <sheetViews>
    <sheetView workbookViewId="0">
      <pane ySplit="1" topLeftCell="A2" activePane="bottomLeft" state="frozenSplit"/>
      <selection pane="bottomLeft"/>
    </sheetView>
  </sheetViews>
  <sheetFormatPr baseColWidth="10" defaultRowHeight="15" x14ac:dyDescent="0.25"/>
  <cols>
    <col min="1" max="1" width="8.7109375" style="12" customWidth="1"/>
    <col min="2" max="2" width="7.7109375" style="12" customWidth="1"/>
    <col min="3" max="3" width="12.7109375" style="12" customWidth="1"/>
    <col min="4" max="4" width="13.7109375" style="12" customWidth="1"/>
    <col min="5" max="5" width="25.7109375" style="17" customWidth="1"/>
    <col min="6" max="6" width="13.7109375" style="12" customWidth="1"/>
    <col min="7" max="7" width="25.7109375" style="17" customWidth="1"/>
    <col min="8" max="8" width="13.7109375" style="12" customWidth="1"/>
    <col min="9" max="11" width="25.7109375" style="17" customWidth="1"/>
    <col min="12" max="12" width="8.7109375" style="12" customWidth="1"/>
    <col min="13" max="13" width="25.7109375" style="17" customWidth="1"/>
    <col min="14" max="14" width="13.7109375" style="12" customWidth="1"/>
    <col min="15" max="16" width="30.7109375" style="17" customWidth="1"/>
    <col min="17" max="17" width="25.7109375" style="17" customWidth="1"/>
    <col min="18" max="20" width="13.7109375" style="12" customWidth="1"/>
    <col min="21" max="22" width="12.7109375" style="12" customWidth="1"/>
    <col min="23" max="24" width="25.7109375" style="17" customWidth="1"/>
    <col min="25" max="25" width="15.7109375" style="12" customWidth="1"/>
    <col min="26" max="28" width="25.7109375" style="17" customWidth="1"/>
    <col min="29" max="29" width="15.7109375" style="12" customWidth="1"/>
    <col min="30" max="32" width="25.7109375" style="17" customWidth="1"/>
    <col min="33" max="33" width="15.7109375" style="12" customWidth="1"/>
    <col min="34" max="36" width="25.7109375" style="17" customWidth="1"/>
    <col min="37" max="37" width="15.7109375" style="12" customWidth="1"/>
    <col min="38" max="38" width="25.7109375" style="17" customWidth="1"/>
    <col min="39" max="39" width="40.7109375" style="17" customWidth="1"/>
    <col min="40" max="40" width="9.7109375" style="12" customWidth="1"/>
    <col min="41" max="41" width="15.7109375" style="12" customWidth="1"/>
    <col min="42" max="16384" width="11.42578125" style="12"/>
  </cols>
  <sheetData>
    <row r="1" spans="1:41" ht="60" x14ac:dyDescent="0.2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261</v>
      </c>
      <c r="X1" s="10" t="s">
        <v>262</v>
      </c>
      <c r="Y1" s="10" t="s">
        <v>263</v>
      </c>
      <c r="Z1" s="10" t="s">
        <v>264</v>
      </c>
      <c r="AA1" s="10" t="s">
        <v>265</v>
      </c>
      <c r="AB1" s="10" t="s">
        <v>266</v>
      </c>
      <c r="AC1" s="10" t="s">
        <v>267</v>
      </c>
      <c r="AD1" s="10" t="s">
        <v>268</v>
      </c>
      <c r="AE1" s="10" t="s">
        <v>269</v>
      </c>
      <c r="AF1" s="10" t="s">
        <v>270</v>
      </c>
      <c r="AG1" s="10" t="s">
        <v>271</v>
      </c>
      <c r="AH1" s="10" t="s">
        <v>272</v>
      </c>
      <c r="AI1" s="10" t="s">
        <v>273</v>
      </c>
      <c r="AJ1" s="10" t="s">
        <v>274</v>
      </c>
      <c r="AK1" s="10" t="s">
        <v>275</v>
      </c>
      <c r="AL1" s="10" t="s">
        <v>276</v>
      </c>
      <c r="AM1" s="10" t="s">
        <v>277</v>
      </c>
      <c r="AN1" s="10" t="s">
        <v>72</v>
      </c>
      <c r="AO1" s="10" t="s">
        <v>73</v>
      </c>
    </row>
    <row r="2" spans="1:41" ht="150" x14ac:dyDescent="0.25">
      <c r="A2" s="13" t="s">
        <v>74</v>
      </c>
      <c r="B2" s="13" t="s">
        <v>75</v>
      </c>
      <c r="C2" s="14">
        <v>43571.724305555559</v>
      </c>
      <c r="D2" s="13" t="s">
        <v>76</v>
      </c>
      <c r="E2" s="15" t="s">
        <v>77</v>
      </c>
      <c r="F2" s="13" t="s">
        <v>78</v>
      </c>
      <c r="G2" s="15" t="s">
        <v>79</v>
      </c>
      <c r="H2" s="13" t="s">
        <v>80</v>
      </c>
      <c r="I2" s="15" t="s">
        <v>81</v>
      </c>
      <c r="J2" s="15" t="s">
        <v>82</v>
      </c>
      <c r="K2" s="15" t="s">
        <v>83</v>
      </c>
      <c r="L2" s="13" t="s">
        <v>84</v>
      </c>
      <c r="M2" s="15" t="s">
        <v>85</v>
      </c>
      <c r="N2" s="13" t="s">
        <v>86</v>
      </c>
      <c r="O2" s="15"/>
      <c r="P2" s="15"/>
      <c r="Q2" s="15" t="s">
        <v>87</v>
      </c>
      <c r="R2" s="13" t="s">
        <v>88</v>
      </c>
      <c r="S2" s="13" t="s">
        <v>89</v>
      </c>
      <c r="T2" s="13" t="s">
        <v>90</v>
      </c>
      <c r="U2" s="14">
        <v>40725</v>
      </c>
      <c r="V2" s="14"/>
      <c r="W2" s="15" t="s">
        <v>278</v>
      </c>
      <c r="X2" s="15" t="s">
        <v>279</v>
      </c>
      <c r="Y2" s="13" t="s">
        <v>280</v>
      </c>
      <c r="Z2" s="15" t="s">
        <v>281</v>
      </c>
      <c r="AA2" s="15"/>
      <c r="AB2" s="15"/>
      <c r="AC2" s="13" t="s">
        <v>282</v>
      </c>
      <c r="AD2" s="15" t="s">
        <v>283</v>
      </c>
      <c r="AE2" s="15"/>
      <c r="AF2" s="15"/>
      <c r="AG2" s="13"/>
      <c r="AH2" s="15"/>
      <c r="AI2" s="15"/>
      <c r="AJ2" s="15"/>
      <c r="AK2" s="13"/>
      <c r="AL2" s="15"/>
      <c r="AM2" s="15"/>
      <c r="AN2" s="13"/>
      <c r="AO2" s="13" t="s">
        <v>284</v>
      </c>
    </row>
    <row r="3" spans="1:41" ht="150" x14ac:dyDescent="0.25">
      <c r="A3" s="13" t="s">
        <v>74</v>
      </c>
      <c r="B3" s="13" t="s">
        <v>75</v>
      </c>
      <c r="C3" s="14">
        <v>43571.649305555555</v>
      </c>
      <c r="D3" s="13" t="s">
        <v>76</v>
      </c>
      <c r="E3" s="15" t="s">
        <v>77</v>
      </c>
      <c r="F3" s="13" t="s">
        <v>78</v>
      </c>
      <c r="G3" s="15" t="s">
        <v>79</v>
      </c>
      <c r="H3" s="13" t="s">
        <v>80</v>
      </c>
      <c r="I3" s="15" t="s">
        <v>81</v>
      </c>
      <c r="J3" s="15" t="s">
        <v>82</v>
      </c>
      <c r="K3" s="15" t="s">
        <v>83</v>
      </c>
      <c r="L3" s="13" t="s">
        <v>128</v>
      </c>
      <c r="M3" s="15" t="s">
        <v>129</v>
      </c>
      <c r="N3" s="13" t="s">
        <v>130</v>
      </c>
      <c r="O3" s="15"/>
      <c r="P3" s="15"/>
      <c r="Q3" s="15" t="s">
        <v>87</v>
      </c>
      <c r="R3" s="13" t="s">
        <v>88</v>
      </c>
      <c r="S3" s="13" t="s">
        <v>89</v>
      </c>
      <c r="T3" s="13" t="s">
        <v>90</v>
      </c>
      <c r="U3" s="14">
        <v>40725</v>
      </c>
      <c r="V3" s="14"/>
      <c r="W3" s="15" t="s">
        <v>278</v>
      </c>
      <c r="X3" s="15" t="s">
        <v>279</v>
      </c>
      <c r="Y3" s="13" t="s">
        <v>280</v>
      </c>
      <c r="Z3" s="15" t="s">
        <v>281</v>
      </c>
      <c r="AA3" s="15"/>
      <c r="AB3" s="15"/>
      <c r="AC3" s="13" t="s">
        <v>282</v>
      </c>
      <c r="AD3" s="15" t="s">
        <v>283</v>
      </c>
      <c r="AE3" s="15"/>
      <c r="AF3" s="15"/>
      <c r="AG3" s="13"/>
      <c r="AH3" s="15"/>
      <c r="AI3" s="15"/>
      <c r="AJ3" s="15"/>
      <c r="AK3" s="13"/>
      <c r="AL3" s="15"/>
      <c r="AM3" s="15"/>
      <c r="AN3" s="13"/>
      <c r="AO3" s="13" t="s">
        <v>284</v>
      </c>
    </row>
    <row r="4" spans="1:41" ht="45" x14ac:dyDescent="0.25">
      <c r="A4" s="13" t="s">
        <v>134</v>
      </c>
      <c r="B4" s="13" t="s">
        <v>135</v>
      </c>
      <c r="C4" s="14">
        <v>44886.486805555556</v>
      </c>
      <c r="D4" s="13" t="s">
        <v>76</v>
      </c>
      <c r="E4" s="15" t="s">
        <v>77</v>
      </c>
      <c r="F4" s="13" t="s">
        <v>78</v>
      </c>
      <c r="G4" s="15" t="s">
        <v>79</v>
      </c>
      <c r="H4" s="13" t="s">
        <v>80</v>
      </c>
      <c r="I4" s="15" t="s">
        <v>81</v>
      </c>
      <c r="J4" s="15" t="s">
        <v>82</v>
      </c>
      <c r="K4" s="15" t="s">
        <v>83</v>
      </c>
      <c r="L4" s="13" t="s">
        <v>84</v>
      </c>
      <c r="M4" s="15" t="s">
        <v>85</v>
      </c>
      <c r="N4" s="13" t="s">
        <v>86</v>
      </c>
      <c r="O4" s="15"/>
      <c r="P4" s="15"/>
      <c r="Q4" s="15" t="s">
        <v>136</v>
      </c>
      <c r="R4" s="13" t="s">
        <v>137</v>
      </c>
      <c r="S4" s="13" t="s">
        <v>89</v>
      </c>
      <c r="T4" s="13" t="s">
        <v>138</v>
      </c>
      <c r="U4" s="14">
        <v>43831</v>
      </c>
      <c r="V4" s="14"/>
      <c r="W4" s="15"/>
      <c r="X4" s="15"/>
      <c r="Y4" s="13"/>
      <c r="Z4" s="15"/>
      <c r="AA4" s="15"/>
      <c r="AB4" s="15"/>
      <c r="AC4" s="13"/>
      <c r="AD4" s="15"/>
      <c r="AE4" s="15"/>
      <c r="AF4" s="15"/>
      <c r="AG4" s="13"/>
      <c r="AH4" s="15"/>
      <c r="AI4" s="15"/>
      <c r="AJ4" s="15"/>
      <c r="AK4" s="13"/>
      <c r="AL4" s="15"/>
      <c r="AM4" s="15"/>
      <c r="AN4" s="13"/>
      <c r="AO4" s="13"/>
    </row>
    <row r="5" spans="1:41" ht="45" x14ac:dyDescent="0.25">
      <c r="A5" s="13" t="s">
        <v>134</v>
      </c>
      <c r="B5" s="13" t="s">
        <v>135</v>
      </c>
      <c r="C5" s="14">
        <v>44886.486805555556</v>
      </c>
      <c r="D5" s="13" t="s">
        <v>76</v>
      </c>
      <c r="E5" s="15" t="s">
        <v>77</v>
      </c>
      <c r="F5" s="13" t="s">
        <v>78</v>
      </c>
      <c r="G5" s="15" t="s">
        <v>79</v>
      </c>
      <c r="H5" s="13" t="s">
        <v>80</v>
      </c>
      <c r="I5" s="15" t="s">
        <v>81</v>
      </c>
      <c r="J5" s="15" t="s">
        <v>82</v>
      </c>
      <c r="K5" s="15" t="s">
        <v>83</v>
      </c>
      <c r="L5" s="13" t="s">
        <v>128</v>
      </c>
      <c r="M5" s="15" t="s">
        <v>129</v>
      </c>
      <c r="N5" s="13" t="s">
        <v>130</v>
      </c>
      <c r="O5" s="15"/>
      <c r="P5" s="15"/>
      <c r="Q5" s="15" t="s">
        <v>136</v>
      </c>
      <c r="R5" s="13" t="s">
        <v>137</v>
      </c>
      <c r="S5" s="13" t="s">
        <v>89</v>
      </c>
      <c r="T5" s="13" t="s">
        <v>138</v>
      </c>
      <c r="U5" s="14">
        <v>43831</v>
      </c>
      <c r="V5" s="14"/>
      <c r="W5" s="15"/>
      <c r="X5" s="15"/>
      <c r="Y5" s="13"/>
      <c r="Z5" s="15"/>
      <c r="AA5" s="15"/>
      <c r="AB5" s="15"/>
      <c r="AC5" s="13"/>
      <c r="AD5" s="15"/>
      <c r="AE5" s="15"/>
      <c r="AF5" s="15"/>
      <c r="AG5" s="13"/>
      <c r="AH5" s="15"/>
      <c r="AI5" s="15"/>
      <c r="AJ5" s="15"/>
      <c r="AK5" s="13"/>
      <c r="AL5" s="15"/>
      <c r="AM5" s="15"/>
      <c r="AN5" s="13"/>
      <c r="AO5" s="13"/>
    </row>
    <row r="6" spans="1:41" ht="45" x14ac:dyDescent="0.25">
      <c r="A6" s="13" t="s">
        <v>134</v>
      </c>
      <c r="B6" s="13" t="s">
        <v>75</v>
      </c>
      <c r="C6" s="14">
        <v>44832.520138888889</v>
      </c>
      <c r="D6" s="13" t="s">
        <v>76</v>
      </c>
      <c r="E6" s="15" t="s">
        <v>77</v>
      </c>
      <c r="F6" s="13" t="s">
        <v>78</v>
      </c>
      <c r="G6" s="15" t="s">
        <v>79</v>
      </c>
      <c r="H6" s="13" t="s">
        <v>80</v>
      </c>
      <c r="I6" s="15" t="s">
        <v>81</v>
      </c>
      <c r="J6" s="15" t="s">
        <v>82</v>
      </c>
      <c r="K6" s="15" t="s">
        <v>83</v>
      </c>
      <c r="L6" s="13" t="s">
        <v>84</v>
      </c>
      <c r="M6" s="15" t="s">
        <v>85</v>
      </c>
      <c r="N6" s="13" t="s">
        <v>86</v>
      </c>
      <c r="O6" s="15"/>
      <c r="P6" s="15"/>
      <c r="Q6" s="15" t="s">
        <v>139</v>
      </c>
      <c r="R6" s="13" t="s">
        <v>140</v>
      </c>
      <c r="S6" s="13" t="s">
        <v>89</v>
      </c>
      <c r="T6" s="13" t="s">
        <v>90</v>
      </c>
      <c r="U6" s="14">
        <v>40725</v>
      </c>
      <c r="V6" s="14">
        <v>44677</v>
      </c>
      <c r="W6" s="15"/>
      <c r="X6" s="15"/>
      <c r="Y6" s="13" t="s">
        <v>285</v>
      </c>
      <c r="Z6" s="15" t="s">
        <v>286</v>
      </c>
      <c r="AA6" s="15"/>
      <c r="AB6" s="15"/>
      <c r="AC6" s="13"/>
      <c r="AD6" s="15"/>
      <c r="AE6" s="15"/>
      <c r="AF6" s="15"/>
      <c r="AG6" s="13"/>
      <c r="AH6" s="15"/>
      <c r="AI6" s="15"/>
      <c r="AJ6" s="15"/>
      <c r="AK6" s="13"/>
      <c r="AL6" s="15"/>
      <c r="AM6" s="15"/>
      <c r="AN6" s="13"/>
      <c r="AO6" s="13" t="s">
        <v>284</v>
      </c>
    </row>
    <row r="7" spans="1:41" ht="45" x14ac:dyDescent="0.25">
      <c r="A7" s="13" t="s">
        <v>134</v>
      </c>
      <c r="B7" s="13" t="s">
        <v>135</v>
      </c>
      <c r="C7" s="14">
        <v>44832.520833333336</v>
      </c>
      <c r="D7" s="13" t="s">
        <v>76</v>
      </c>
      <c r="E7" s="15" t="s">
        <v>77</v>
      </c>
      <c r="F7" s="13" t="s">
        <v>78</v>
      </c>
      <c r="G7" s="15" t="s">
        <v>79</v>
      </c>
      <c r="H7" s="13" t="s">
        <v>80</v>
      </c>
      <c r="I7" s="15" t="s">
        <v>81</v>
      </c>
      <c r="J7" s="15" t="s">
        <v>82</v>
      </c>
      <c r="K7" s="15" t="s">
        <v>83</v>
      </c>
      <c r="L7" s="13" t="s">
        <v>84</v>
      </c>
      <c r="M7" s="15" t="s">
        <v>85</v>
      </c>
      <c r="N7" s="13" t="s">
        <v>86</v>
      </c>
      <c r="O7" s="15"/>
      <c r="P7" s="15"/>
      <c r="Q7" s="15" t="s">
        <v>139</v>
      </c>
      <c r="R7" s="13" t="s">
        <v>140</v>
      </c>
      <c r="S7" s="13" t="s">
        <v>89</v>
      </c>
      <c r="T7" s="13" t="s">
        <v>90</v>
      </c>
      <c r="U7" s="14">
        <v>44678</v>
      </c>
      <c r="V7" s="14"/>
      <c r="W7" s="15"/>
      <c r="X7" s="15"/>
      <c r="Y7" s="13"/>
      <c r="Z7" s="15"/>
      <c r="AA7" s="15"/>
      <c r="AB7" s="15"/>
      <c r="AC7" s="13"/>
      <c r="AD7" s="15"/>
      <c r="AE7" s="15"/>
      <c r="AF7" s="15"/>
      <c r="AG7" s="13"/>
      <c r="AH7" s="15"/>
      <c r="AI7" s="15"/>
      <c r="AJ7" s="15"/>
      <c r="AK7" s="13"/>
      <c r="AL7" s="15"/>
      <c r="AM7" s="15"/>
      <c r="AN7" s="13"/>
      <c r="AO7" s="13"/>
    </row>
    <row r="8" spans="1:41" ht="150" x14ac:dyDescent="0.25">
      <c r="A8" s="13" t="s">
        <v>74</v>
      </c>
      <c r="B8" s="13" t="s">
        <v>75</v>
      </c>
      <c r="C8" s="14">
        <v>43572.461805555555</v>
      </c>
      <c r="D8" s="13" t="s">
        <v>76</v>
      </c>
      <c r="E8" s="15" t="s">
        <v>77</v>
      </c>
      <c r="F8" s="13" t="s">
        <v>78</v>
      </c>
      <c r="G8" s="15" t="s">
        <v>79</v>
      </c>
      <c r="H8" s="13" t="s">
        <v>80</v>
      </c>
      <c r="I8" s="15" t="s">
        <v>81</v>
      </c>
      <c r="J8" s="15" t="s">
        <v>82</v>
      </c>
      <c r="K8" s="15" t="s">
        <v>83</v>
      </c>
      <c r="L8" s="13" t="s">
        <v>128</v>
      </c>
      <c r="M8" s="15" t="s">
        <v>129</v>
      </c>
      <c r="N8" s="13" t="s">
        <v>130</v>
      </c>
      <c r="O8" s="15"/>
      <c r="P8" s="15"/>
      <c r="Q8" s="15" t="s">
        <v>139</v>
      </c>
      <c r="R8" s="13" t="s">
        <v>140</v>
      </c>
      <c r="S8" s="13" t="s">
        <v>89</v>
      </c>
      <c r="T8" s="13" t="s">
        <v>90</v>
      </c>
      <c r="U8" s="14">
        <v>40725</v>
      </c>
      <c r="V8" s="14"/>
      <c r="W8" s="15" t="s">
        <v>278</v>
      </c>
      <c r="X8" s="15" t="s">
        <v>279</v>
      </c>
      <c r="Y8" s="13" t="s">
        <v>287</v>
      </c>
      <c r="Z8" s="15" t="s">
        <v>288</v>
      </c>
      <c r="AA8" s="15"/>
      <c r="AB8" s="15"/>
      <c r="AC8" s="13" t="s">
        <v>285</v>
      </c>
      <c r="AD8" s="15" t="s">
        <v>286</v>
      </c>
      <c r="AE8" s="15"/>
      <c r="AF8" s="15"/>
      <c r="AG8" s="13"/>
      <c r="AH8" s="15"/>
      <c r="AI8" s="15"/>
      <c r="AJ8" s="15"/>
      <c r="AK8" s="13"/>
      <c r="AL8" s="15"/>
      <c r="AM8" s="15"/>
      <c r="AN8" s="13"/>
      <c r="AO8" s="13" t="s">
        <v>284</v>
      </c>
    </row>
    <row r="9" spans="1:41" ht="45" x14ac:dyDescent="0.25">
      <c r="A9" s="13" t="s">
        <v>74</v>
      </c>
      <c r="B9" s="13" t="s">
        <v>75</v>
      </c>
      <c r="C9" s="14">
        <v>43571.724999999999</v>
      </c>
      <c r="D9" s="13" t="s">
        <v>76</v>
      </c>
      <c r="E9" s="15" t="s">
        <v>77</v>
      </c>
      <c r="F9" s="13" t="s">
        <v>78</v>
      </c>
      <c r="G9" s="15" t="s">
        <v>79</v>
      </c>
      <c r="H9" s="13" t="s">
        <v>80</v>
      </c>
      <c r="I9" s="15" t="s">
        <v>81</v>
      </c>
      <c r="J9" s="15" t="s">
        <v>82</v>
      </c>
      <c r="K9" s="15" t="s">
        <v>83</v>
      </c>
      <c r="L9" s="13" t="s">
        <v>84</v>
      </c>
      <c r="M9" s="15" t="s">
        <v>85</v>
      </c>
      <c r="N9" s="13" t="s">
        <v>86</v>
      </c>
      <c r="O9" s="15"/>
      <c r="P9" s="15"/>
      <c r="Q9" s="15" t="s">
        <v>157</v>
      </c>
      <c r="R9" s="13" t="s">
        <v>158</v>
      </c>
      <c r="S9" s="13" t="s">
        <v>89</v>
      </c>
      <c r="T9" s="13" t="s">
        <v>90</v>
      </c>
      <c r="U9" s="14">
        <v>40725</v>
      </c>
      <c r="V9" s="14"/>
      <c r="W9" s="15"/>
      <c r="X9" s="15"/>
      <c r="Y9" s="13"/>
      <c r="Z9" s="15"/>
      <c r="AA9" s="15"/>
      <c r="AB9" s="15"/>
      <c r="AC9" s="13"/>
      <c r="AD9" s="15"/>
      <c r="AE9" s="15"/>
      <c r="AF9" s="15"/>
      <c r="AG9" s="13"/>
      <c r="AH9" s="15"/>
      <c r="AI9" s="15"/>
      <c r="AJ9" s="15"/>
      <c r="AK9" s="13"/>
      <c r="AL9" s="15"/>
      <c r="AM9" s="15"/>
      <c r="AN9" s="13"/>
      <c r="AO9" s="13"/>
    </row>
    <row r="10" spans="1:41" ht="45" x14ac:dyDescent="0.25">
      <c r="A10" s="13" t="s">
        <v>74</v>
      </c>
      <c r="B10" s="13" t="s">
        <v>75</v>
      </c>
      <c r="C10" s="14">
        <v>43572.461111111108</v>
      </c>
      <c r="D10" s="13" t="s">
        <v>76</v>
      </c>
      <c r="E10" s="15" t="s">
        <v>77</v>
      </c>
      <c r="F10" s="13" t="s">
        <v>78</v>
      </c>
      <c r="G10" s="15" t="s">
        <v>79</v>
      </c>
      <c r="H10" s="13" t="s">
        <v>80</v>
      </c>
      <c r="I10" s="15" t="s">
        <v>81</v>
      </c>
      <c r="J10" s="15" t="s">
        <v>82</v>
      </c>
      <c r="K10" s="15" t="s">
        <v>83</v>
      </c>
      <c r="L10" s="13" t="s">
        <v>128</v>
      </c>
      <c r="M10" s="15" t="s">
        <v>129</v>
      </c>
      <c r="N10" s="13" t="s">
        <v>130</v>
      </c>
      <c r="O10" s="15"/>
      <c r="P10" s="15"/>
      <c r="Q10" s="15" t="s">
        <v>157</v>
      </c>
      <c r="R10" s="13" t="s">
        <v>158</v>
      </c>
      <c r="S10" s="13" t="s">
        <v>89</v>
      </c>
      <c r="T10" s="13" t="s">
        <v>90</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45" x14ac:dyDescent="0.25">
      <c r="A11" s="13" t="s">
        <v>74</v>
      </c>
      <c r="B11" s="13" t="s">
        <v>75</v>
      </c>
      <c r="C11" s="14">
        <v>43571.732638888891</v>
      </c>
      <c r="D11" s="13" t="s">
        <v>76</v>
      </c>
      <c r="E11" s="15" t="s">
        <v>77</v>
      </c>
      <c r="F11" s="13" t="s">
        <v>78</v>
      </c>
      <c r="G11" s="15" t="s">
        <v>79</v>
      </c>
      <c r="H11" s="13" t="s">
        <v>80</v>
      </c>
      <c r="I11" s="15" t="s">
        <v>81</v>
      </c>
      <c r="J11" s="15" t="s">
        <v>82</v>
      </c>
      <c r="K11" s="15" t="s">
        <v>83</v>
      </c>
      <c r="L11" s="13" t="s">
        <v>84</v>
      </c>
      <c r="M11" s="15" t="s">
        <v>85</v>
      </c>
      <c r="N11" s="13" t="s">
        <v>86</v>
      </c>
      <c r="O11" s="15"/>
      <c r="P11" s="15"/>
      <c r="Q11" s="15" t="s">
        <v>160</v>
      </c>
      <c r="R11" s="13" t="s">
        <v>161</v>
      </c>
      <c r="S11" s="13" t="s">
        <v>89</v>
      </c>
      <c r="T11" s="13" t="s">
        <v>90</v>
      </c>
      <c r="U11" s="14">
        <v>40725</v>
      </c>
      <c r="V11" s="14"/>
      <c r="W11" s="15"/>
      <c r="X11" s="15"/>
      <c r="Y11" s="13"/>
      <c r="Z11" s="15"/>
      <c r="AA11" s="15"/>
      <c r="AB11" s="15"/>
      <c r="AC11" s="13"/>
      <c r="AD11" s="15"/>
      <c r="AE11" s="15"/>
      <c r="AF11" s="15"/>
      <c r="AG11" s="13"/>
      <c r="AH11" s="15"/>
      <c r="AI11" s="15"/>
      <c r="AJ11" s="15"/>
      <c r="AK11" s="13"/>
      <c r="AL11" s="15"/>
      <c r="AM11" s="15"/>
      <c r="AN11" s="13"/>
      <c r="AO11" s="13"/>
    </row>
    <row r="12" spans="1:41" ht="45" x14ac:dyDescent="0.25">
      <c r="A12" s="13" t="s">
        <v>74</v>
      </c>
      <c r="B12" s="13" t="s">
        <v>75</v>
      </c>
      <c r="C12" s="14">
        <v>43572.461805555555</v>
      </c>
      <c r="D12" s="13" t="s">
        <v>76</v>
      </c>
      <c r="E12" s="15" t="s">
        <v>77</v>
      </c>
      <c r="F12" s="13" t="s">
        <v>78</v>
      </c>
      <c r="G12" s="15" t="s">
        <v>79</v>
      </c>
      <c r="H12" s="13" t="s">
        <v>80</v>
      </c>
      <c r="I12" s="15" t="s">
        <v>81</v>
      </c>
      <c r="J12" s="15" t="s">
        <v>82</v>
      </c>
      <c r="K12" s="15" t="s">
        <v>83</v>
      </c>
      <c r="L12" s="13" t="s">
        <v>128</v>
      </c>
      <c r="M12" s="15" t="s">
        <v>129</v>
      </c>
      <c r="N12" s="13" t="s">
        <v>130</v>
      </c>
      <c r="O12" s="15"/>
      <c r="P12" s="15"/>
      <c r="Q12" s="15" t="s">
        <v>160</v>
      </c>
      <c r="R12" s="13" t="s">
        <v>161</v>
      </c>
      <c r="S12" s="13" t="s">
        <v>89</v>
      </c>
      <c r="T12" s="13" t="s">
        <v>90</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45" x14ac:dyDescent="0.25">
      <c r="A13" s="13" t="s">
        <v>164</v>
      </c>
      <c r="B13" s="13" t="s">
        <v>135</v>
      </c>
      <c r="C13" s="14">
        <v>43152.5</v>
      </c>
      <c r="D13" s="13" t="s">
        <v>76</v>
      </c>
      <c r="E13" s="15" t="s">
        <v>77</v>
      </c>
      <c r="F13" s="13" t="s">
        <v>78</v>
      </c>
      <c r="G13" s="15" t="s">
        <v>79</v>
      </c>
      <c r="H13" s="13" t="s">
        <v>80</v>
      </c>
      <c r="I13" s="15" t="s">
        <v>81</v>
      </c>
      <c r="J13" s="15" t="s">
        <v>82</v>
      </c>
      <c r="K13" s="15" t="s">
        <v>83</v>
      </c>
      <c r="L13" s="13" t="s">
        <v>84</v>
      </c>
      <c r="M13" s="15" t="s">
        <v>85</v>
      </c>
      <c r="N13" s="13" t="s">
        <v>86</v>
      </c>
      <c r="O13" s="15"/>
      <c r="P13" s="15"/>
      <c r="Q13" s="15" t="s">
        <v>165</v>
      </c>
      <c r="R13" s="13" t="s">
        <v>166</v>
      </c>
      <c r="S13" s="13" t="s">
        <v>167</v>
      </c>
      <c r="T13" s="13" t="s">
        <v>138</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45" x14ac:dyDescent="0.25">
      <c r="A14" s="13" t="s">
        <v>164</v>
      </c>
      <c r="B14" s="13" t="s">
        <v>135</v>
      </c>
      <c r="C14" s="14">
        <v>43152.5</v>
      </c>
      <c r="D14" s="13" t="s">
        <v>76</v>
      </c>
      <c r="E14" s="15" t="s">
        <v>77</v>
      </c>
      <c r="F14" s="13" t="s">
        <v>78</v>
      </c>
      <c r="G14" s="15" t="s">
        <v>79</v>
      </c>
      <c r="H14" s="13" t="s">
        <v>80</v>
      </c>
      <c r="I14" s="15" t="s">
        <v>81</v>
      </c>
      <c r="J14" s="15" t="s">
        <v>82</v>
      </c>
      <c r="K14" s="15" t="s">
        <v>83</v>
      </c>
      <c r="L14" s="13" t="s">
        <v>128</v>
      </c>
      <c r="M14" s="15" t="s">
        <v>129</v>
      </c>
      <c r="N14" s="13" t="s">
        <v>130</v>
      </c>
      <c r="O14" s="15"/>
      <c r="P14" s="15"/>
      <c r="Q14" s="15" t="s">
        <v>165</v>
      </c>
      <c r="R14" s="13" t="s">
        <v>166</v>
      </c>
      <c r="S14" s="13" t="s">
        <v>167</v>
      </c>
      <c r="T14" s="13" t="s">
        <v>138</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45" x14ac:dyDescent="0.25">
      <c r="A15" s="13" t="s">
        <v>164</v>
      </c>
      <c r="B15" s="13" t="s">
        <v>135</v>
      </c>
      <c r="C15" s="14">
        <v>43152.5</v>
      </c>
      <c r="D15" s="13" t="s">
        <v>76</v>
      </c>
      <c r="E15" s="15" t="s">
        <v>77</v>
      </c>
      <c r="F15" s="13" t="s">
        <v>78</v>
      </c>
      <c r="G15" s="15" t="s">
        <v>79</v>
      </c>
      <c r="H15" s="13" t="s">
        <v>80</v>
      </c>
      <c r="I15" s="15" t="s">
        <v>81</v>
      </c>
      <c r="J15" s="15" t="s">
        <v>82</v>
      </c>
      <c r="K15" s="15" t="s">
        <v>83</v>
      </c>
      <c r="L15" s="13" t="s">
        <v>84</v>
      </c>
      <c r="M15" s="15" t="s">
        <v>85</v>
      </c>
      <c r="N15" s="13" t="s">
        <v>86</v>
      </c>
      <c r="O15" s="15"/>
      <c r="P15" s="15"/>
      <c r="Q15" s="15" t="s">
        <v>168</v>
      </c>
      <c r="R15" s="13" t="s">
        <v>169</v>
      </c>
      <c r="S15" s="13" t="s">
        <v>167</v>
      </c>
      <c r="T15" s="13" t="s">
        <v>138</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45" x14ac:dyDescent="0.25">
      <c r="A16" s="13" t="s">
        <v>164</v>
      </c>
      <c r="B16" s="13" t="s">
        <v>135</v>
      </c>
      <c r="C16" s="14">
        <v>43152.5</v>
      </c>
      <c r="D16" s="13" t="s">
        <v>76</v>
      </c>
      <c r="E16" s="15" t="s">
        <v>77</v>
      </c>
      <c r="F16" s="13" t="s">
        <v>78</v>
      </c>
      <c r="G16" s="15" t="s">
        <v>79</v>
      </c>
      <c r="H16" s="13" t="s">
        <v>80</v>
      </c>
      <c r="I16" s="15" t="s">
        <v>81</v>
      </c>
      <c r="J16" s="15" t="s">
        <v>82</v>
      </c>
      <c r="K16" s="15" t="s">
        <v>83</v>
      </c>
      <c r="L16" s="13" t="s">
        <v>128</v>
      </c>
      <c r="M16" s="15" t="s">
        <v>129</v>
      </c>
      <c r="N16" s="13" t="s">
        <v>130</v>
      </c>
      <c r="O16" s="15"/>
      <c r="P16" s="15"/>
      <c r="Q16" s="15" t="s">
        <v>168</v>
      </c>
      <c r="R16" s="13" t="s">
        <v>169</v>
      </c>
      <c r="S16" s="13" t="s">
        <v>167</v>
      </c>
      <c r="T16" s="13" t="s">
        <v>138</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45" x14ac:dyDescent="0.25">
      <c r="A17" s="13" t="s">
        <v>164</v>
      </c>
      <c r="B17" s="13" t="s">
        <v>135</v>
      </c>
      <c r="C17" s="14">
        <v>43152.5</v>
      </c>
      <c r="D17" s="13" t="s">
        <v>76</v>
      </c>
      <c r="E17" s="15" t="s">
        <v>77</v>
      </c>
      <c r="F17" s="13" t="s">
        <v>78</v>
      </c>
      <c r="G17" s="15" t="s">
        <v>79</v>
      </c>
      <c r="H17" s="13" t="s">
        <v>80</v>
      </c>
      <c r="I17" s="15" t="s">
        <v>81</v>
      </c>
      <c r="J17" s="15" t="s">
        <v>82</v>
      </c>
      <c r="K17" s="15" t="s">
        <v>83</v>
      </c>
      <c r="L17" s="13" t="s">
        <v>84</v>
      </c>
      <c r="M17" s="15" t="s">
        <v>85</v>
      </c>
      <c r="N17" s="13" t="s">
        <v>86</v>
      </c>
      <c r="O17" s="15"/>
      <c r="P17" s="15"/>
      <c r="Q17" s="15" t="s">
        <v>170</v>
      </c>
      <c r="R17" s="13" t="s">
        <v>171</v>
      </c>
      <c r="S17" s="13" t="s">
        <v>167</v>
      </c>
      <c r="T17" s="13" t="s">
        <v>138</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45" x14ac:dyDescent="0.25">
      <c r="A18" s="13" t="s">
        <v>164</v>
      </c>
      <c r="B18" s="13" t="s">
        <v>135</v>
      </c>
      <c r="C18" s="14">
        <v>43152.5</v>
      </c>
      <c r="D18" s="13" t="s">
        <v>76</v>
      </c>
      <c r="E18" s="15" t="s">
        <v>77</v>
      </c>
      <c r="F18" s="13" t="s">
        <v>78</v>
      </c>
      <c r="G18" s="15" t="s">
        <v>79</v>
      </c>
      <c r="H18" s="13" t="s">
        <v>80</v>
      </c>
      <c r="I18" s="15" t="s">
        <v>81</v>
      </c>
      <c r="J18" s="15" t="s">
        <v>82</v>
      </c>
      <c r="K18" s="15" t="s">
        <v>83</v>
      </c>
      <c r="L18" s="13" t="s">
        <v>128</v>
      </c>
      <c r="M18" s="15" t="s">
        <v>129</v>
      </c>
      <c r="N18" s="13" t="s">
        <v>130</v>
      </c>
      <c r="O18" s="15"/>
      <c r="P18" s="15"/>
      <c r="Q18" s="15" t="s">
        <v>170</v>
      </c>
      <c r="R18" s="13" t="s">
        <v>171</v>
      </c>
      <c r="S18" s="13" t="s">
        <v>167</v>
      </c>
      <c r="T18" s="13" t="s">
        <v>138</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60" x14ac:dyDescent="0.25">
      <c r="A19" s="13" t="s">
        <v>164</v>
      </c>
      <c r="B19" s="13" t="s">
        <v>135</v>
      </c>
      <c r="C19" s="14">
        <v>43152.5</v>
      </c>
      <c r="D19" s="13" t="s">
        <v>76</v>
      </c>
      <c r="E19" s="15" t="s">
        <v>77</v>
      </c>
      <c r="F19" s="13" t="s">
        <v>78</v>
      </c>
      <c r="G19" s="15" t="s">
        <v>79</v>
      </c>
      <c r="H19" s="13" t="s">
        <v>80</v>
      </c>
      <c r="I19" s="15" t="s">
        <v>81</v>
      </c>
      <c r="J19" s="15" t="s">
        <v>82</v>
      </c>
      <c r="K19" s="15" t="s">
        <v>83</v>
      </c>
      <c r="L19" s="13" t="s">
        <v>84</v>
      </c>
      <c r="M19" s="15" t="s">
        <v>85</v>
      </c>
      <c r="N19" s="13" t="s">
        <v>86</v>
      </c>
      <c r="O19" s="15"/>
      <c r="P19" s="15"/>
      <c r="Q19" s="15" t="s">
        <v>172</v>
      </c>
      <c r="R19" s="13" t="s">
        <v>173</v>
      </c>
      <c r="S19" s="13" t="s">
        <v>167</v>
      </c>
      <c r="T19" s="13" t="s">
        <v>138</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60" x14ac:dyDescent="0.25">
      <c r="A20" s="13" t="s">
        <v>164</v>
      </c>
      <c r="B20" s="13" t="s">
        <v>135</v>
      </c>
      <c r="C20" s="14">
        <v>43152.5</v>
      </c>
      <c r="D20" s="13" t="s">
        <v>76</v>
      </c>
      <c r="E20" s="15" t="s">
        <v>77</v>
      </c>
      <c r="F20" s="13" t="s">
        <v>78</v>
      </c>
      <c r="G20" s="15" t="s">
        <v>79</v>
      </c>
      <c r="H20" s="13" t="s">
        <v>80</v>
      </c>
      <c r="I20" s="15" t="s">
        <v>81</v>
      </c>
      <c r="J20" s="15" t="s">
        <v>82</v>
      </c>
      <c r="K20" s="15" t="s">
        <v>83</v>
      </c>
      <c r="L20" s="13" t="s">
        <v>128</v>
      </c>
      <c r="M20" s="15" t="s">
        <v>129</v>
      </c>
      <c r="N20" s="13" t="s">
        <v>130</v>
      </c>
      <c r="O20" s="15"/>
      <c r="P20" s="15"/>
      <c r="Q20" s="15" t="s">
        <v>172</v>
      </c>
      <c r="R20" s="13" t="s">
        <v>173</v>
      </c>
      <c r="S20" s="13" t="s">
        <v>167</v>
      </c>
      <c r="T20" s="13" t="s">
        <v>138</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60" x14ac:dyDescent="0.25">
      <c r="A21" s="13" t="s">
        <v>164</v>
      </c>
      <c r="B21" s="13" t="s">
        <v>135</v>
      </c>
      <c r="C21" s="14">
        <v>43152.5</v>
      </c>
      <c r="D21" s="13" t="s">
        <v>76</v>
      </c>
      <c r="E21" s="15" t="s">
        <v>77</v>
      </c>
      <c r="F21" s="13" t="s">
        <v>78</v>
      </c>
      <c r="G21" s="15" t="s">
        <v>79</v>
      </c>
      <c r="H21" s="13" t="s">
        <v>80</v>
      </c>
      <c r="I21" s="15" t="s">
        <v>81</v>
      </c>
      <c r="J21" s="15" t="s">
        <v>82</v>
      </c>
      <c r="K21" s="15" t="s">
        <v>83</v>
      </c>
      <c r="L21" s="13" t="s">
        <v>84</v>
      </c>
      <c r="M21" s="15" t="s">
        <v>85</v>
      </c>
      <c r="N21" s="13" t="s">
        <v>86</v>
      </c>
      <c r="O21" s="15"/>
      <c r="P21" s="15"/>
      <c r="Q21" s="15" t="s">
        <v>174</v>
      </c>
      <c r="R21" s="13" t="s">
        <v>175</v>
      </c>
      <c r="S21" s="13" t="s">
        <v>167</v>
      </c>
      <c r="T21" s="13" t="s">
        <v>138</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60" x14ac:dyDescent="0.25">
      <c r="A22" s="13" t="s">
        <v>164</v>
      </c>
      <c r="B22" s="13" t="s">
        <v>135</v>
      </c>
      <c r="C22" s="14">
        <v>43152.5</v>
      </c>
      <c r="D22" s="13" t="s">
        <v>76</v>
      </c>
      <c r="E22" s="15" t="s">
        <v>77</v>
      </c>
      <c r="F22" s="13" t="s">
        <v>78</v>
      </c>
      <c r="G22" s="15" t="s">
        <v>79</v>
      </c>
      <c r="H22" s="13" t="s">
        <v>80</v>
      </c>
      <c r="I22" s="15" t="s">
        <v>81</v>
      </c>
      <c r="J22" s="15" t="s">
        <v>82</v>
      </c>
      <c r="K22" s="15" t="s">
        <v>83</v>
      </c>
      <c r="L22" s="13" t="s">
        <v>128</v>
      </c>
      <c r="M22" s="15" t="s">
        <v>129</v>
      </c>
      <c r="N22" s="13" t="s">
        <v>130</v>
      </c>
      <c r="O22" s="15"/>
      <c r="P22" s="15"/>
      <c r="Q22" s="15" t="s">
        <v>174</v>
      </c>
      <c r="R22" s="13" t="s">
        <v>175</v>
      </c>
      <c r="S22" s="13" t="s">
        <v>167</v>
      </c>
      <c r="T22" s="13" t="s">
        <v>138</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45" x14ac:dyDescent="0.25">
      <c r="A23" s="13" t="s">
        <v>164</v>
      </c>
      <c r="B23" s="13" t="s">
        <v>135</v>
      </c>
      <c r="C23" s="14">
        <v>43152.5</v>
      </c>
      <c r="D23" s="13" t="s">
        <v>76</v>
      </c>
      <c r="E23" s="15" t="s">
        <v>77</v>
      </c>
      <c r="F23" s="13" t="s">
        <v>78</v>
      </c>
      <c r="G23" s="15" t="s">
        <v>79</v>
      </c>
      <c r="H23" s="13" t="s">
        <v>80</v>
      </c>
      <c r="I23" s="15" t="s">
        <v>81</v>
      </c>
      <c r="J23" s="15" t="s">
        <v>82</v>
      </c>
      <c r="K23" s="15" t="s">
        <v>83</v>
      </c>
      <c r="L23" s="13" t="s">
        <v>84</v>
      </c>
      <c r="M23" s="15" t="s">
        <v>85</v>
      </c>
      <c r="N23" s="13" t="s">
        <v>86</v>
      </c>
      <c r="O23" s="15"/>
      <c r="P23" s="15"/>
      <c r="Q23" s="15" t="s">
        <v>176</v>
      </c>
      <c r="R23" s="13" t="s">
        <v>177</v>
      </c>
      <c r="S23" s="13" t="s">
        <v>167</v>
      </c>
      <c r="T23" s="13" t="s">
        <v>138</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45" x14ac:dyDescent="0.25">
      <c r="A24" s="13" t="s">
        <v>164</v>
      </c>
      <c r="B24" s="13" t="s">
        <v>135</v>
      </c>
      <c r="C24" s="14">
        <v>43152.5</v>
      </c>
      <c r="D24" s="13" t="s">
        <v>76</v>
      </c>
      <c r="E24" s="15" t="s">
        <v>77</v>
      </c>
      <c r="F24" s="13" t="s">
        <v>78</v>
      </c>
      <c r="G24" s="15" t="s">
        <v>79</v>
      </c>
      <c r="H24" s="13" t="s">
        <v>80</v>
      </c>
      <c r="I24" s="15" t="s">
        <v>81</v>
      </c>
      <c r="J24" s="15" t="s">
        <v>82</v>
      </c>
      <c r="K24" s="15" t="s">
        <v>83</v>
      </c>
      <c r="L24" s="13" t="s">
        <v>128</v>
      </c>
      <c r="M24" s="15" t="s">
        <v>129</v>
      </c>
      <c r="N24" s="13" t="s">
        <v>130</v>
      </c>
      <c r="O24" s="15"/>
      <c r="P24" s="15"/>
      <c r="Q24" s="15" t="s">
        <v>176</v>
      </c>
      <c r="R24" s="13" t="s">
        <v>177</v>
      </c>
      <c r="S24" s="13" t="s">
        <v>167</v>
      </c>
      <c r="T24" s="13" t="s">
        <v>138</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45" x14ac:dyDescent="0.25">
      <c r="A25" s="13" t="s">
        <v>74</v>
      </c>
      <c r="B25" s="13" t="s">
        <v>135</v>
      </c>
      <c r="C25" s="14">
        <v>43572.472222222219</v>
      </c>
      <c r="D25" s="13" t="s">
        <v>76</v>
      </c>
      <c r="E25" s="15" t="s">
        <v>77</v>
      </c>
      <c r="F25" s="13" t="s">
        <v>78</v>
      </c>
      <c r="G25" s="15" t="s">
        <v>79</v>
      </c>
      <c r="H25" s="13" t="s">
        <v>80</v>
      </c>
      <c r="I25" s="15" t="s">
        <v>81</v>
      </c>
      <c r="J25" s="15" t="s">
        <v>82</v>
      </c>
      <c r="K25" s="15" t="s">
        <v>83</v>
      </c>
      <c r="L25" s="13" t="s">
        <v>84</v>
      </c>
      <c r="M25" s="15" t="s">
        <v>85</v>
      </c>
      <c r="N25" s="13" t="s">
        <v>86</v>
      </c>
      <c r="O25" s="15"/>
      <c r="P25" s="15"/>
      <c r="Q25" s="15" t="s">
        <v>178</v>
      </c>
      <c r="R25" s="13" t="s">
        <v>179</v>
      </c>
      <c r="S25" s="13" t="s">
        <v>167</v>
      </c>
      <c r="T25" s="13" t="s">
        <v>138</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45" x14ac:dyDescent="0.25">
      <c r="A26" s="13" t="s">
        <v>74</v>
      </c>
      <c r="B26" s="13" t="s">
        <v>135</v>
      </c>
      <c r="C26" s="14">
        <v>43572.474305555559</v>
      </c>
      <c r="D26" s="13" t="s">
        <v>76</v>
      </c>
      <c r="E26" s="15" t="s">
        <v>77</v>
      </c>
      <c r="F26" s="13" t="s">
        <v>78</v>
      </c>
      <c r="G26" s="15" t="s">
        <v>79</v>
      </c>
      <c r="H26" s="13" t="s">
        <v>80</v>
      </c>
      <c r="I26" s="15" t="s">
        <v>81</v>
      </c>
      <c r="J26" s="15" t="s">
        <v>82</v>
      </c>
      <c r="K26" s="15" t="s">
        <v>83</v>
      </c>
      <c r="L26" s="13" t="s">
        <v>128</v>
      </c>
      <c r="M26" s="15" t="s">
        <v>129</v>
      </c>
      <c r="N26" s="13" t="s">
        <v>130</v>
      </c>
      <c r="O26" s="15"/>
      <c r="P26" s="15"/>
      <c r="Q26" s="15" t="s">
        <v>178</v>
      </c>
      <c r="R26" s="13" t="s">
        <v>179</v>
      </c>
      <c r="S26" s="13" t="s">
        <v>167</v>
      </c>
      <c r="T26" s="13" t="s">
        <v>138</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45" x14ac:dyDescent="0.25">
      <c r="A27" s="13" t="s">
        <v>180</v>
      </c>
      <c r="B27" s="13" t="s">
        <v>135</v>
      </c>
      <c r="C27" s="14">
        <v>45995.67083333333</v>
      </c>
      <c r="D27" s="13" t="s">
        <v>76</v>
      </c>
      <c r="E27" s="15" t="s">
        <v>77</v>
      </c>
      <c r="F27" s="13" t="s">
        <v>78</v>
      </c>
      <c r="G27" s="15" t="s">
        <v>79</v>
      </c>
      <c r="H27" s="13" t="s">
        <v>80</v>
      </c>
      <c r="I27" s="15" t="s">
        <v>81</v>
      </c>
      <c r="J27" s="15" t="s">
        <v>82</v>
      </c>
      <c r="K27" s="15" t="s">
        <v>83</v>
      </c>
      <c r="L27" s="13" t="s">
        <v>84</v>
      </c>
      <c r="M27" s="15" t="s">
        <v>85</v>
      </c>
      <c r="N27" s="13" t="s">
        <v>86</v>
      </c>
      <c r="O27" s="15"/>
      <c r="P27" s="15"/>
      <c r="Q27" s="15" t="s">
        <v>181</v>
      </c>
      <c r="R27" s="13" t="s">
        <v>182</v>
      </c>
      <c r="S27" s="13" t="s">
        <v>167</v>
      </c>
      <c r="T27" s="13" t="s">
        <v>90</v>
      </c>
      <c r="U27" s="14">
        <v>45901</v>
      </c>
      <c r="V27" s="14"/>
      <c r="W27" s="15"/>
      <c r="X27" s="15"/>
      <c r="Y27" s="13"/>
      <c r="Z27" s="15"/>
      <c r="AA27" s="15"/>
      <c r="AB27" s="15"/>
      <c r="AC27" s="13"/>
      <c r="AD27" s="15"/>
      <c r="AE27" s="15"/>
      <c r="AF27" s="15"/>
      <c r="AG27" s="13"/>
      <c r="AH27" s="15"/>
      <c r="AI27" s="15"/>
      <c r="AJ27" s="15"/>
      <c r="AK27" s="13"/>
      <c r="AL27" s="15"/>
      <c r="AM27" s="15"/>
      <c r="AN27" s="13"/>
      <c r="AO27" s="13"/>
    </row>
    <row r="28" spans="1:41" ht="45" x14ac:dyDescent="0.25">
      <c r="A28" s="13" t="s">
        <v>180</v>
      </c>
      <c r="B28" s="13" t="s">
        <v>135</v>
      </c>
      <c r="C28" s="14">
        <v>45995.670138888891</v>
      </c>
      <c r="D28" s="13" t="s">
        <v>76</v>
      </c>
      <c r="E28" s="15" t="s">
        <v>77</v>
      </c>
      <c r="F28" s="13" t="s">
        <v>78</v>
      </c>
      <c r="G28" s="15" t="s">
        <v>79</v>
      </c>
      <c r="H28" s="13" t="s">
        <v>80</v>
      </c>
      <c r="I28" s="15" t="s">
        <v>81</v>
      </c>
      <c r="J28" s="15" t="s">
        <v>82</v>
      </c>
      <c r="K28" s="15" t="s">
        <v>83</v>
      </c>
      <c r="L28" s="13" t="s">
        <v>128</v>
      </c>
      <c r="M28" s="15" t="s">
        <v>129</v>
      </c>
      <c r="N28" s="13" t="s">
        <v>130</v>
      </c>
      <c r="O28" s="15"/>
      <c r="P28" s="15"/>
      <c r="Q28" s="15" t="s">
        <v>181</v>
      </c>
      <c r="R28" s="13" t="s">
        <v>182</v>
      </c>
      <c r="S28" s="13" t="s">
        <v>167</v>
      </c>
      <c r="T28" s="13" t="s">
        <v>90</v>
      </c>
      <c r="U28" s="14">
        <v>45901</v>
      </c>
      <c r="V28" s="14"/>
      <c r="W28" s="15"/>
      <c r="X28" s="15"/>
      <c r="Y28" s="13"/>
      <c r="Z28" s="15"/>
      <c r="AA28" s="15"/>
      <c r="AB28" s="15"/>
      <c r="AC28" s="13"/>
      <c r="AD28" s="15"/>
      <c r="AE28" s="15"/>
      <c r="AF28" s="15"/>
      <c r="AG28" s="13"/>
      <c r="AH28" s="15"/>
      <c r="AI28" s="15"/>
      <c r="AJ28" s="15"/>
      <c r="AK28" s="13"/>
      <c r="AL28" s="15"/>
      <c r="AM28" s="15"/>
      <c r="AN28" s="13"/>
      <c r="AO28" s="13"/>
    </row>
    <row r="29" spans="1:41" ht="45" x14ac:dyDescent="0.25">
      <c r="A29" s="13" t="s">
        <v>164</v>
      </c>
      <c r="B29" s="13" t="s">
        <v>135</v>
      </c>
      <c r="C29" s="14">
        <v>43152.5</v>
      </c>
      <c r="D29" s="13" t="s">
        <v>76</v>
      </c>
      <c r="E29" s="15" t="s">
        <v>77</v>
      </c>
      <c r="F29" s="13" t="s">
        <v>78</v>
      </c>
      <c r="G29" s="15" t="s">
        <v>79</v>
      </c>
      <c r="H29" s="13" t="s">
        <v>80</v>
      </c>
      <c r="I29" s="15" t="s">
        <v>81</v>
      </c>
      <c r="J29" s="15" t="s">
        <v>82</v>
      </c>
      <c r="K29" s="15" t="s">
        <v>83</v>
      </c>
      <c r="L29" s="13" t="s">
        <v>84</v>
      </c>
      <c r="M29" s="15" t="s">
        <v>85</v>
      </c>
      <c r="N29" s="13" t="s">
        <v>86</v>
      </c>
      <c r="O29" s="15"/>
      <c r="P29" s="15"/>
      <c r="Q29" s="15" t="s">
        <v>188</v>
      </c>
      <c r="R29" s="13" t="s">
        <v>189</v>
      </c>
      <c r="S29" s="13" t="s">
        <v>167</v>
      </c>
      <c r="T29" s="13" t="s">
        <v>138</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45" x14ac:dyDescent="0.25">
      <c r="A30" s="13" t="s">
        <v>164</v>
      </c>
      <c r="B30" s="13" t="s">
        <v>135</v>
      </c>
      <c r="C30" s="14">
        <v>43152.5</v>
      </c>
      <c r="D30" s="13" t="s">
        <v>76</v>
      </c>
      <c r="E30" s="15" t="s">
        <v>77</v>
      </c>
      <c r="F30" s="13" t="s">
        <v>78</v>
      </c>
      <c r="G30" s="15" t="s">
        <v>79</v>
      </c>
      <c r="H30" s="13" t="s">
        <v>80</v>
      </c>
      <c r="I30" s="15" t="s">
        <v>81</v>
      </c>
      <c r="J30" s="15" t="s">
        <v>82</v>
      </c>
      <c r="K30" s="15" t="s">
        <v>83</v>
      </c>
      <c r="L30" s="13" t="s">
        <v>128</v>
      </c>
      <c r="M30" s="15" t="s">
        <v>129</v>
      </c>
      <c r="N30" s="13" t="s">
        <v>130</v>
      </c>
      <c r="O30" s="15"/>
      <c r="P30" s="15"/>
      <c r="Q30" s="15" t="s">
        <v>188</v>
      </c>
      <c r="R30" s="13" t="s">
        <v>189</v>
      </c>
      <c r="S30" s="13" t="s">
        <v>167</v>
      </c>
      <c r="T30" s="13" t="s">
        <v>138</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90" x14ac:dyDescent="0.25">
      <c r="A31" s="13" t="s">
        <v>164</v>
      </c>
      <c r="B31" s="13" t="s">
        <v>135</v>
      </c>
      <c r="C31" s="14">
        <v>43165.487500000003</v>
      </c>
      <c r="D31" s="13" t="s">
        <v>76</v>
      </c>
      <c r="E31" s="15" t="s">
        <v>77</v>
      </c>
      <c r="F31" s="13" t="s">
        <v>78</v>
      </c>
      <c r="G31" s="15" t="s">
        <v>79</v>
      </c>
      <c r="H31" s="13" t="s">
        <v>80</v>
      </c>
      <c r="I31" s="15" t="s">
        <v>81</v>
      </c>
      <c r="J31" s="15" t="s">
        <v>82</v>
      </c>
      <c r="K31" s="15" t="s">
        <v>83</v>
      </c>
      <c r="L31" s="13" t="s">
        <v>84</v>
      </c>
      <c r="M31" s="15" t="s">
        <v>85</v>
      </c>
      <c r="N31" s="13" t="s">
        <v>86</v>
      </c>
      <c r="O31" s="15"/>
      <c r="P31" s="15"/>
      <c r="Q31" s="15" t="s">
        <v>190</v>
      </c>
      <c r="R31" s="13" t="s">
        <v>191</v>
      </c>
      <c r="S31" s="13" t="s">
        <v>167</v>
      </c>
      <c r="T31" s="13" t="s">
        <v>138</v>
      </c>
      <c r="U31" s="14">
        <v>43101</v>
      </c>
      <c r="V31" s="14"/>
      <c r="W31" s="15"/>
      <c r="X31" s="15"/>
      <c r="Y31" s="13"/>
      <c r="Z31" s="15"/>
      <c r="AA31" s="15"/>
      <c r="AB31" s="15"/>
      <c r="AC31" s="13"/>
      <c r="AD31" s="15"/>
      <c r="AE31" s="15"/>
      <c r="AF31" s="15"/>
      <c r="AG31" s="13"/>
      <c r="AH31" s="15"/>
      <c r="AI31" s="15"/>
      <c r="AJ31" s="15"/>
      <c r="AK31" s="13"/>
      <c r="AL31" s="15"/>
      <c r="AM31" s="15"/>
      <c r="AN31" s="13"/>
      <c r="AO31" s="13"/>
    </row>
    <row r="32" spans="1:41" ht="90" x14ac:dyDescent="0.25">
      <c r="A32" s="13" t="s">
        <v>164</v>
      </c>
      <c r="B32" s="13" t="s">
        <v>135</v>
      </c>
      <c r="C32" s="14">
        <v>43165.488194444442</v>
      </c>
      <c r="D32" s="13" t="s">
        <v>76</v>
      </c>
      <c r="E32" s="15" t="s">
        <v>77</v>
      </c>
      <c r="F32" s="13" t="s">
        <v>78</v>
      </c>
      <c r="G32" s="15" t="s">
        <v>79</v>
      </c>
      <c r="H32" s="13" t="s">
        <v>80</v>
      </c>
      <c r="I32" s="15" t="s">
        <v>81</v>
      </c>
      <c r="J32" s="15" t="s">
        <v>82</v>
      </c>
      <c r="K32" s="15" t="s">
        <v>83</v>
      </c>
      <c r="L32" s="13" t="s">
        <v>128</v>
      </c>
      <c r="M32" s="15" t="s">
        <v>129</v>
      </c>
      <c r="N32" s="13" t="s">
        <v>130</v>
      </c>
      <c r="O32" s="15"/>
      <c r="P32" s="15"/>
      <c r="Q32" s="15" t="s">
        <v>190</v>
      </c>
      <c r="R32" s="13" t="s">
        <v>191</v>
      </c>
      <c r="S32" s="13" t="s">
        <v>167</v>
      </c>
      <c r="T32" s="13" t="s">
        <v>138</v>
      </c>
      <c r="U32" s="14">
        <v>43101</v>
      </c>
      <c r="V32" s="14"/>
      <c r="W32" s="15"/>
      <c r="X32" s="15"/>
      <c r="Y32" s="13"/>
      <c r="Z32" s="15"/>
      <c r="AA32" s="15"/>
      <c r="AB32" s="15"/>
      <c r="AC32" s="13"/>
      <c r="AD32" s="15"/>
      <c r="AE32" s="15"/>
      <c r="AF32" s="15"/>
      <c r="AG32" s="13"/>
      <c r="AH32" s="15"/>
      <c r="AI32" s="15"/>
      <c r="AJ32" s="15"/>
      <c r="AK32" s="13"/>
      <c r="AL32" s="15"/>
      <c r="AM32" s="15"/>
      <c r="AN32" s="13"/>
      <c r="AO32" s="13"/>
    </row>
    <row r="33" spans="1:41" ht="90" x14ac:dyDescent="0.25">
      <c r="A33" s="13" t="s">
        <v>164</v>
      </c>
      <c r="B33" s="13" t="s">
        <v>135</v>
      </c>
      <c r="C33" s="14">
        <v>43152.5</v>
      </c>
      <c r="D33" s="13" t="s">
        <v>76</v>
      </c>
      <c r="E33" s="15" t="s">
        <v>77</v>
      </c>
      <c r="F33" s="13" t="s">
        <v>78</v>
      </c>
      <c r="G33" s="15" t="s">
        <v>79</v>
      </c>
      <c r="H33" s="13" t="s">
        <v>192</v>
      </c>
      <c r="I33" s="15" t="s">
        <v>193</v>
      </c>
      <c r="J33" s="15" t="s">
        <v>194</v>
      </c>
      <c r="K33" s="15" t="s">
        <v>195</v>
      </c>
      <c r="L33" s="13" t="s">
        <v>196</v>
      </c>
      <c r="M33" s="15" t="s">
        <v>197</v>
      </c>
      <c r="N33" s="13" t="s">
        <v>86</v>
      </c>
      <c r="O33" s="15"/>
      <c r="P33" s="15"/>
      <c r="Q33" s="15" t="s">
        <v>87</v>
      </c>
      <c r="R33" s="13" t="s">
        <v>88</v>
      </c>
      <c r="S33" s="13" t="s">
        <v>89</v>
      </c>
      <c r="T33" s="13" t="s">
        <v>138</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90" x14ac:dyDescent="0.25">
      <c r="A34" s="13" t="s">
        <v>164</v>
      </c>
      <c r="B34" s="13" t="s">
        <v>135</v>
      </c>
      <c r="C34" s="14">
        <v>43152.5</v>
      </c>
      <c r="D34" s="13" t="s">
        <v>76</v>
      </c>
      <c r="E34" s="15" t="s">
        <v>77</v>
      </c>
      <c r="F34" s="13" t="s">
        <v>78</v>
      </c>
      <c r="G34" s="15" t="s">
        <v>79</v>
      </c>
      <c r="H34" s="13" t="s">
        <v>192</v>
      </c>
      <c r="I34" s="15" t="s">
        <v>193</v>
      </c>
      <c r="J34" s="15" t="s">
        <v>194</v>
      </c>
      <c r="K34" s="15" t="s">
        <v>195</v>
      </c>
      <c r="L34" s="13" t="s">
        <v>198</v>
      </c>
      <c r="M34" s="15" t="s">
        <v>199</v>
      </c>
      <c r="N34" s="13" t="s">
        <v>130</v>
      </c>
      <c r="O34" s="15"/>
      <c r="P34" s="15"/>
      <c r="Q34" s="15" t="s">
        <v>87</v>
      </c>
      <c r="R34" s="13" t="s">
        <v>88</v>
      </c>
      <c r="S34" s="13" t="s">
        <v>89</v>
      </c>
      <c r="T34" s="13" t="s">
        <v>138</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90" x14ac:dyDescent="0.25">
      <c r="A35" s="13" t="s">
        <v>134</v>
      </c>
      <c r="B35" s="13" t="s">
        <v>135</v>
      </c>
      <c r="C35" s="14">
        <v>44886.486805555556</v>
      </c>
      <c r="D35" s="13" t="s">
        <v>76</v>
      </c>
      <c r="E35" s="15" t="s">
        <v>77</v>
      </c>
      <c r="F35" s="13" t="s">
        <v>78</v>
      </c>
      <c r="G35" s="15" t="s">
        <v>79</v>
      </c>
      <c r="H35" s="13" t="s">
        <v>192</v>
      </c>
      <c r="I35" s="15" t="s">
        <v>193</v>
      </c>
      <c r="J35" s="15" t="s">
        <v>194</v>
      </c>
      <c r="K35" s="15" t="s">
        <v>195</v>
      </c>
      <c r="L35" s="13" t="s">
        <v>196</v>
      </c>
      <c r="M35" s="15" t="s">
        <v>197</v>
      </c>
      <c r="N35" s="13" t="s">
        <v>86</v>
      </c>
      <c r="O35" s="15"/>
      <c r="P35" s="15"/>
      <c r="Q35" s="15" t="s">
        <v>136</v>
      </c>
      <c r="R35" s="13" t="s">
        <v>137</v>
      </c>
      <c r="S35" s="13" t="s">
        <v>89</v>
      </c>
      <c r="T35" s="13" t="s">
        <v>138</v>
      </c>
      <c r="U35" s="14">
        <v>43831</v>
      </c>
      <c r="V35" s="14"/>
      <c r="W35" s="15"/>
      <c r="X35" s="15"/>
      <c r="Y35" s="13"/>
      <c r="Z35" s="15"/>
      <c r="AA35" s="15"/>
      <c r="AB35" s="15"/>
      <c r="AC35" s="13"/>
      <c r="AD35" s="15"/>
      <c r="AE35" s="15"/>
      <c r="AF35" s="15"/>
      <c r="AG35" s="13"/>
      <c r="AH35" s="15"/>
      <c r="AI35" s="15"/>
      <c r="AJ35" s="15"/>
      <c r="AK35" s="13"/>
      <c r="AL35" s="15"/>
      <c r="AM35" s="15"/>
      <c r="AN35" s="13"/>
      <c r="AO35" s="13"/>
    </row>
    <row r="36" spans="1:41" ht="90" x14ac:dyDescent="0.25">
      <c r="A36" s="13" t="s">
        <v>134</v>
      </c>
      <c r="B36" s="13" t="s">
        <v>135</v>
      </c>
      <c r="C36" s="14">
        <v>44886.486805555556</v>
      </c>
      <c r="D36" s="13" t="s">
        <v>76</v>
      </c>
      <c r="E36" s="15" t="s">
        <v>77</v>
      </c>
      <c r="F36" s="13" t="s">
        <v>78</v>
      </c>
      <c r="G36" s="15" t="s">
        <v>79</v>
      </c>
      <c r="H36" s="13" t="s">
        <v>192</v>
      </c>
      <c r="I36" s="15" t="s">
        <v>193</v>
      </c>
      <c r="J36" s="15" t="s">
        <v>194</v>
      </c>
      <c r="K36" s="15" t="s">
        <v>195</v>
      </c>
      <c r="L36" s="13" t="s">
        <v>198</v>
      </c>
      <c r="M36" s="15" t="s">
        <v>199</v>
      </c>
      <c r="N36" s="13" t="s">
        <v>130</v>
      </c>
      <c r="O36" s="15"/>
      <c r="P36" s="15"/>
      <c r="Q36" s="15" t="s">
        <v>136</v>
      </c>
      <c r="R36" s="13" t="s">
        <v>137</v>
      </c>
      <c r="S36" s="13" t="s">
        <v>89</v>
      </c>
      <c r="T36" s="13" t="s">
        <v>138</v>
      </c>
      <c r="U36" s="14">
        <v>43831</v>
      </c>
      <c r="V36" s="14"/>
      <c r="W36" s="15"/>
      <c r="X36" s="15"/>
      <c r="Y36" s="13"/>
      <c r="Z36" s="15"/>
      <c r="AA36" s="15"/>
      <c r="AB36" s="15"/>
      <c r="AC36" s="13"/>
      <c r="AD36" s="15"/>
      <c r="AE36" s="15"/>
      <c r="AF36" s="15"/>
      <c r="AG36" s="13"/>
      <c r="AH36" s="15"/>
      <c r="AI36" s="15"/>
      <c r="AJ36" s="15"/>
      <c r="AK36" s="13"/>
      <c r="AL36" s="15"/>
      <c r="AM36" s="15"/>
      <c r="AN36" s="13"/>
      <c r="AO36" s="13"/>
    </row>
    <row r="37" spans="1:41" ht="90" x14ac:dyDescent="0.25">
      <c r="A37" s="13" t="s">
        <v>164</v>
      </c>
      <c r="B37" s="13" t="s">
        <v>135</v>
      </c>
      <c r="C37" s="14">
        <v>43152.5</v>
      </c>
      <c r="D37" s="13" t="s">
        <v>76</v>
      </c>
      <c r="E37" s="15" t="s">
        <v>77</v>
      </c>
      <c r="F37" s="13" t="s">
        <v>78</v>
      </c>
      <c r="G37" s="15" t="s">
        <v>79</v>
      </c>
      <c r="H37" s="13" t="s">
        <v>192</v>
      </c>
      <c r="I37" s="15" t="s">
        <v>193</v>
      </c>
      <c r="J37" s="15" t="s">
        <v>194</v>
      </c>
      <c r="K37" s="15" t="s">
        <v>195</v>
      </c>
      <c r="L37" s="13" t="s">
        <v>196</v>
      </c>
      <c r="M37" s="15" t="s">
        <v>197</v>
      </c>
      <c r="N37" s="13" t="s">
        <v>86</v>
      </c>
      <c r="O37" s="15"/>
      <c r="P37" s="15"/>
      <c r="Q37" s="15" t="s">
        <v>139</v>
      </c>
      <c r="R37" s="13" t="s">
        <v>140</v>
      </c>
      <c r="S37" s="13" t="s">
        <v>89</v>
      </c>
      <c r="T37" s="13" t="s">
        <v>138</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90" x14ac:dyDescent="0.25">
      <c r="A38" s="13" t="s">
        <v>164</v>
      </c>
      <c r="B38" s="13" t="s">
        <v>135</v>
      </c>
      <c r="C38" s="14">
        <v>43152.5</v>
      </c>
      <c r="D38" s="13" t="s">
        <v>76</v>
      </c>
      <c r="E38" s="15" t="s">
        <v>77</v>
      </c>
      <c r="F38" s="13" t="s">
        <v>78</v>
      </c>
      <c r="G38" s="15" t="s">
        <v>79</v>
      </c>
      <c r="H38" s="13" t="s">
        <v>192</v>
      </c>
      <c r="I38" s="15" t="s">
        <v>193</v>
      </c>
      <c r="J38" s="15" t="s">
        <v>194</v>
      </c>
      <c r="K38" s="15" t="s">
        <v>195</v>
      </c>
      <c r="L38" s="13" t="s">
        <v>198</v>
      </c>
      <c r="M38" s="15" t="s">
        <v>199</v>
      </c>
      <c r="N38" s="13" t="s">
        <v>130</v>
      </c>
      <c r="O38" s="15"/>
      <c r="P38" s="15"/>
      <c r="Q38" s="15" t="s">
        <v>139</v>
      </c>
      <c r="R38" s="13" t="s">
        <v>140</v>
      </c>
      <c r="S38" s="13" t="s">
        <v>89</v>
      </c>
      <c r="T38" s="13" t="s">
        <v>138</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90" x14ac:dyDescent="0.25">
      <c r="A39" s="13" t="s">
        <v>164</v>
      </c>
      <c r="B39" s="13" t="s">
        <v>135</v>
      </c>
      <c r="C39" s="14">
        <v>43152.5</v>
      </c>
      <c r="D39" s="13" t="s">
        <v>76</v>
      </c>
      <c r="E39" s="15" t="s">
        <v>77</v>
      </c>
      <c r="F39" s="13" t="s">
        <v>78</v>
      </c>
      <c r="G39" s="15" t="s">
        <v>79</v>
      </c>
      <c r="H39" s="13" t="s">
        <v>192</v>
      </c>
      <c r="I39" s="15" t="s">
        <v>193</v>
      </c>
      <c r="J39" s="15" t="s">
        <v>194</v>
      </c>
      <c r="K39" s="15" t="s">
        <v>195</v>
      </c>
      <c r="L39" s="13" t="s">
        <v>196</v>
      </c>
      <c r="M39" s="15" t="s">
        <v>197</v>
      </c>
      <c r="N39" s="13" t="s">
        <v>86</v>
      </c>
      <c r="O39" s="15"/>
      <c r="P39" s="15"/>
      <c r="Q39" s="15" t="s">
        <v>157</v>
      </c>
      <c r="R39" s="13" t="s">
        <v>158</v>
      </c>
      <c r="S39" s="13" t="s">
        <v>89</v>
      </c>
      <c r="T39" s="13" t="s">
        <v>138</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90" x14ac:dyDescent="0.25">
      <c r="A40" s="13" t="s">
        <v>164</v>
      </c>
      <c r="B40" s="13" t="s">
        <v>135</v>
      </c>
      <c r="C40" s="14">
        <v>43152.5</v>
      </c>
      <c r="D40" s="13" t="s">
        <v>76</v>
      </c>
      <c r="E40" s="15" t="s">
        <v>77</v>
      </c>
      <c r="F40" s="13" t="s">
        <v>78</v>
      </c>
      <c r="G40" s="15" t="s">
        <v>79</v>
      </c>
      <c r="H40" s="13" t="s">
        <v>192</v>
      </c>
      <c r="I40" s="15" t="s">
        <v>193</v>
      </c>
      <c r="J40" s="15" t="s">
        <v>194</v>
      </c>
      <c r="K40" s="15" t="s">
        <v>195</v>
      </c>
      <c r="L40" s="13" t="s">
        <v>198</v>
      </c>
      <c r="M40" s="15" t="s">
        <v>199</v>
      </c>
      <c r="N40" s="13" t="s">
        <v>130</v>
      </c>
      <c r="O40" s="15"/>
      <c r="P40" s="15"/>
      <c r="Q40" s="15" t="s">
        <v>157</v>
      </c>
      <c r="R40" s="13" t="s">
        <v>158</v>
      </c>
      <c r="S40" s="13" t="s">
        <v>89</v>
      </c>
      <c r="T40" s="13" t="s">
        <v>138</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90" x14ac:dyDescent="0.25">
      <c r="A41" s="13" t="s">
        <v>164</v>
      </c>
      <c r="B41" s="13" t="s">
        <v>135</v>
      </c>
      <c r="C41" s="14">
        <v>43189.5</v>
      </c>
      <c r="D41" s="13" t="s">
        <v>76</v>
      </c>
      <c r="E41" s="15" t="s">
        <v>77</v>
      </c>
      <c r="F41" s="13" t="s">
        <v>78</v>
      </c>
      <c r="G41" s="15" t="s">
        <v>79</v>
      </c>
      <c r="H41" s="13" t="s">
        <v>192</v>
      </c>
      <c r="I41" s="15" t="s">
        <v>193</v>
      </c>
      <c r="J41" s="15" t="s">
        <v>194</v>
      </c>
      <c r="K41" s="15" t="s">
        <v>195</v>
      </c>
      <c r="L41" s="13" t="s">
        <v>196</v>
      </c>
      <c r="M41" s="15" t="s">
        <v>197</v>
      </c>
      <c r="N41" s="13" t="s">
        <v>86</v>
      </c>
      <c r="O41" s="15"/>
      <c r="P41" s="15"/>
      <c r="Q41" s="15" t="s">
        <v>160</v>
      </c>
      <c r="R41" s="13" t="s">
        <v>161</v>
      </c>
      <c r="S41" s="13" t="s">
        <v>89</v>
      </c>
      <c r="T41" s="13" t="s">
        <v>138</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90" x14ac:dyDescent="0.25">
      <c r="A42" s="13" t="s">
        <v>164</v>
      </c>
      <c r="B42" s="13" t="s">
        <v>135</v>
      </c>
      <c r="C42" s="14">
        <v>43189.5</v>
      </c>
      <c r="D42" s="13" t="s">
        <v>76</v>
      </c>
      <c r="E42" s="15" t="s">
        <v>77</v>
      </c>
      <c r="F42" s="13" t="s">
        <v>78</v>
      </c>
      <c r="G42" s="15" t="s">
        <v>79</v>
      </c>
      <c r="H42" s="13" t="s">
        <v>192</v>
      </c>
      <c r="I42" s="15" t="s">
        <v>193</v>
      </c>
      <c r="J42" s="15" t="s">
        <v>194</v>
      </c>
      <c r="K42" s="15" t="s">
        <v>195</v>
      </c>
      <c r="L42" s="13" t="s">
        <v>198</v>
      </c>
      <c r="M42" s="15" t="s">
        <v>199</v>
      </c>
      <c r="N42" s="13" t="s">
        <v>130</v>
      </c>
      <c r="O42" s="15"/>
      <c r="P42" s="15"/>
      <c r="Q42" s="15" t="s">
        <v>160</v>
      </c>
      <c r="R42" s="13" t="s">
        <v>161</v>
      </c>
      <c r="S42" s="13" t="s">
        <v>89</v>
      </c>
      <c r="T42" s="13" t="s">
        <v>138</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90" x14ac:dyDescent="0.25">
      <c r="A43" s="13" t="s">
        <v>200</v>
      </c>
      <c r="B43" s="13" t="s">
        <v>75</v>
      </c>
      <c r="C43" s="14">
        <v>43538.742361111108</v>
      </c>
      <c r="D43" s="13" t="s">
        <v>76</v>
      </c>
      <c r="E43" s="15" t="s">
        <v>77</v>
      </c>
      <c r="F43" s="13" t="s">
        <v>78</v>
      </c>
      <c r="G43" s="15" t="s">
        <v>79</v>
      </c>
      <c r="H43" s="13" t="s">
        <v>192</v>
      </c>
      <c r="I43" s="15" t="s">
        <v>193</v>
      </c>
      <c r="J43" s="15" t="s">
        <v>194</v>
      </c>
      <c r="K43" s="15" t="s">
        <v>195</v>
      </c>
      <c r="L43" s="13" t="s">
        <v>196</v>
      </c>
      <c r="M43" s="15" t="s">
        <v>197</v>
      </c>
      <c r="N43" s="13" t="s">
        <v>86</v>
      </c>
      <c r="O43" s="15"/>
      <c r="P43" s="15"/>
      <c r="Q43" s="15" t="s">
        <v>178</v>
      </c>
      <c r="R43" s="13" t="s">
        <v>179</v>
      </c>
      <c r="S43" s="13" t="s">
        <v>167</v>
      </c>
      <c r="T43" s="13" t="s">
        <v>90</v>
      </c>
      <c r="U43" s="14">
        <v>40725</v>
      </c>
      <c r="V43" s="14">
        <v>41705</v>
      </c>
      <c r="W43" s="15"/>
      <c r="X43" s="15"/>
      <c r="Y43" s="13"/>
      <c r="Z43" s="15"/>
      <c r="AA43" s="15"/>
      <c r="AB43" s="15"/>
      <c r="AC43" s="13"/>
      <c r="AD43" s="15"/>
      <c r="AE43" s="15"/>
      <c r="AF43" s="15"/>
      <c r="AG43" s="13"/>
      <c r="AH43" s="15"/>
      <c r="AI43" s="15"/>
      <c r="AJ43" s="15"/>
      <c r="AK43" s="13"/>
      <c r="AL43" s="15"/>
      <c r="AM43" s="15"/>
      <c r="AN43" s="13"/>
      <c r="AO43" s="13"/>
    </row>
    <row r="44" spans="1:41" ht="90" x14ac:dyDescent="0.25">
      <c r="A44" s="13" t="s">
        <v>134</v>
      </c>
      <c r="B44" s="13" t="s">
        <v>75</v>
      </c>
      <c r="C44" s="14">
        <v>44934.823611111111</v>
      </c>
      <c r="D44" s="13" t="s">
        <v>76</v>
      </c>
      <c r="E44" s="15" t="s">
        <v>77</v>
      </c>
      <c r="F44" s="13" t="s">
        <v>78</v>
      </c>
      <c r="G44" s="15" t="s">
        <v>79</v>
      </c>
      <c r="H44" s="13" t="s">
        <v>192</v>
      </c>
      <c r="I44" s="15" t="s">
        <v>193</v>
      </c>
      <c r="J44" s="15" t="s">
        <v>194</v>
      </c>
      <c r="K44" s="15" t="s">
        <v>195</v>
      </c>
      <c r="L44" s="13" t="s">
        <v>196</v>
      </c>
      <c r="M44" s="15" t="s">
        <v>197</v>
      </c>
      <c r="N44" s="13" t="s">
        <v>86</v>
      </c>
      <c r="O44" s="15"/>
      <c r="P44" s="15"/>
      <c r="Q44" s="15" t="s">
        <v>178</v>
      </c>
      <c r="R44" s="13" t="s">
        <v>179</v>
      </c>
      <c r="S44" s="13" t="s">
        <v>167</v>
      </c>
      <c r="T44" s="13" t="s">
        <v>90</v>
      </c>
      <c r="U44" s="14">
        <v>41706</v>
      </c>
      <c r="V44" s="14"/>
      <c r="W44" s="15"/>
      <c r="X44" s="15"/>
      <c r="Y44" s="13"/>
      <c r="Z44" s="15"/>
      <c r="AA44" s="15"/>
      <c r="AB44" s="15"/>
      <c r="AC44" s="13"/>
      <c r="AD44" s="15"/>
      <c r="AE44" s="15"/>
      <c r="AF44" s="15"/>
      <c r="AG44" s="13"/>
      <c r="AH44" s="15"/>
      <c r="AI44" s="15"/>
      <c r="AJ44" s="15"/>
      <c r="AK44" s="13"/>
      <c r="AL44" s="15"/>
      <c r="AM44" s="15"/>
      <c r="AN44" s="13"/>
      <c r="AO44" s="13"/>
    </row>
    <row r="45" spans="1:41" ht="90" x14ac:dyDescent="0.25">
      <c r="A45" s="13" t="s">
        <v>200</v>
      </c>
      <c r="B45" s="13" t="s">
        <v>75</v>
      </c>
      <c r="C45" s="14">
        <v>43538.747916666667</v>
      </c>
      <c r="D45" s="13" t="s">
        <v>76</v>
      </c>
      <c r="E45" s="15" t="s">
        <v>77</v>
      </c>
      <c r="F45" s="13" t="s">
        <v>78</v>
      </c>
      <c r="G45" s="15" t="s">
        <v>79</v>
      </c>
      <c r="H45" s="13" t="s">
        <v>192</v>
      </c>
      <c r="I45" s="15" t="s">
        <v>193</v>
      </c>
      <c r="J45" s="15" t="s">
        <v>194</v>
      </c>
      <c r="K45" s="15" t="s">
        <v>195</v>
      </c>
      <c r="L45" s="13" t="s">
        <v>198</v>
      </c>
      <c r="M45" s="15" t="s">
        <v>199</v>
      </c>
      <c r="N45" s="13" t="s">
        <v>130</v>
      </c>
      <c r="O45" s="15"/>
      <c r="P45" s="15"/>
      <c r="Q45" s="15" t="s">
        <v>178</v>
      </c>
      <c r="R45" s="13" t="s">
        <v>179</v>
      </c>
      <c r="S45" s="13" t="s">
        <v>167</v>
      </c>
      <c r="T45" s="13" t="s">
        <v>90</v>
      </c>
      <c r="U45" s="14">
        <v>40725</v>
      </c>
      <c r="V45" s="14">
        <v>41705</v>
      </c>
      <c r="W45" s="15"/>
      <c r="X45" s="15"/>
      <c r="Y45" s="13"/>
      <c r="Z45" s="15"/>
      <c r="AA45" s="15"/>
      <c r="AB45" s="15"/>
      <c r="AC45" s="13"/>
      <c r="AD45" s="15"/>
      <c r="AE45" s="15"/>
      <c r="AF45" s="15"/>
      <c r="AG45" s="13"/>
      <c r="AH45" s="15"/>
      <c r="AI45" s="15"/>
      <c r="AJ45" s="15"/>
      <c r="AK45" s="13"/>
      <c r="AL45" s="15"/>
      <c r="AM45" s="15"/>
      <c r="AN45" s="13"/>
      <c r="AO45" s="13"/>
    </row>
    <row r="46" spans="1:41" ht="90" x14ac:dyDescent="0.25">
      <c r="A46" s="13" t="s">
        <v>134</v>
      </c>
      <c r="B46" s="13" t="s">
        <v>75</v>
      </c>
      <c r="C46" s="14">
        <v>44934.824305555558</v>
      </c>
      <c r="D46" s="13" t="s">
        <v>76</v>
      </c>
      <c r="E46" s="15" t="s">
        <v>77</v>
      </c>
      <c r="F46" s="13" t="s">
        <v>78</v>
      </c>
      <c r="G46" s="15" t="s">
        <v>79</v>
      </c>
      <c r="H46" s="13" t="s">
        <v>192</v>
      </c>
      <c r="I46" s="15" t="s">
        <v>193</v>
      </c>
      <c r="J46" s="15" t="s">
        <v>194</v>
      </c>
      <c r="K46" s="15" t="s">
        <v>195</v>
      </c>
      <c r="L46" s="13" t="s">
        <v>198</v>
      </c>
      <c r="M46" s="15" t="s">
        <v>199</v>
      </c>
      <c r="N46" s="13" t="s">
        <v>130</v>
      </c>
      <c r="O46" s="15"/>
      <c r="P46" s="15"/>
      <c r="Q46" s="15" t="s">
        <v>178</v>
      </c>
      <c r="R46" s="13" t="s">
        <v>179</v>
      </c>
      <c r="S46" s="13" t="s">
        <v>167</v>
      </c>
      <c r="T46" s="13" t="s">
        <v>90</v>
      </c>
      <c r="U46" s="14">
        <v>41706</v>
      </c>
      <c r="V46" s="14"/>
      <c r="W46" s="15"/>
      <c r="X46" s="15"/>
      <c r="Y46" s="13"/>
      <c r="Z46" s="15"/>
      <c r="AA46" s="15"/>
      <c r="AB46" s="15"/>
      <c r="AC46" s="13"/>
      <c r="AD46" s="15"/>
      <c r="AE46" s="15"/>
      <c r="AF46" s="15"/>
      <c r="AG46" s="13"/>
      <c r="AH46" s="15"/>
      <c r="AI46" s="15"/>
      <c r="AJ46" s="15"/>
      <c r="AK46" s="13"/>
      <c r="AL46" s="15"/>
      <c r="AM46" s="15"/>
      <c r="AN46" s="13"/>
      <c r="AO46" s="13"/>
    </row>
    <row r="47" spans="1:41" ht="90" x14ac:dyDescent="0.25">
      <c r="A47" s="13" t="s">
        <v>164</v>
      </c>
      <c r="B47" s="13" t="s">
        <v>135</v>
      </c>
      <c r="C47" s="14">
        <v>43165.488888888889</v>
      </c>
      <c r="D47" s="13" t="s">
        <v>76</v>
      </c>
      <c r="E47" s="15" t="s">
        <v>77</v>
      </c>
      <c r="F47" s="13" t="s">
        <v>78</v>
      </c>
      <c r="G47" s="15" t="s">
        <v>79</v>
      </c>
      <c r="H47" s="13" t="s">
        <v>192</v>
      </c>
      <c r="I47" s="15" t="s">
        <v>193</v>
      </c>
      <c r="J47" s="15" t="s">
        <v>194</v>
      </c>
      <c r="K47" s="15" t="s">
        <v>195</v>
      </c>
      <c r="L47" s="13" t="s">
        <v>196</v>
      </c>
      <c r="M47" s="15" t="s">
        <v>197</v>
      </c>
      <c r="N47" s="13" t="s">
        <v>86</v>
      </c>
      <c r="O47" s="15"/>
      <c r="P47" s="15"/>
      <c r="Q47" s="15" t="s">
        <v>190</v>
      </c>
      <c r="R47" s="13" t="s">
        <v>191</v>
      </c>
      <c r="S47" s="13" t="s">
        <v>167</v>
      </c>
      <c r="T47" s="13" t="s">
        <v>138</v>
      </c>
      <c r="U47" s="14">
        <v>43101</v>
      </c>
      <c r="V47" s="14"/>
      <c r="W47" s="15"/>
      <c r="X47" s="15"/>
      <c r="Y47" s="13"/>
      <c r="Z47" s="15"/>
      <c r="AA47" s="15"/>
      <c r="AB47" s="15"/>
      <c r="AC47" s="13"/>
      <c r="AD47" s="15"/>
      <c r="AE47" s="15"/>
      <c r="AF47" s="15"/>
      <c r="AG47" s="13"/>
      <c r="AH47" s="15"/>
      <c r="AI47" s="15"/>
      <c r="AJ47" s="15"/>
      <c r="AK47" s="13"/>
      <c r="AL47" s="15"/>
      <c r="AM47" s="15"/>
      <c r="AN47" s="13"/>
      <c r="AO47" s="13"/>
    </row>
    <row r="48" spans="1:41" ht="90" x14ac:dyDescent="0.25">
      <c r="A48" s="13" t="s">
        <v>164</v>
      </c>
      <c r="B48" s="13" t="s">
        <v>135</v>
      </c>
      <c r="C48" s="14">
        <v>43165.488888888889</v>
      </c>
      <c r="D48" s="13" t="s">
        <v>76</v>
      </c>
      <c r="E48" s="15" t="s">
        <v>77</v>
      </c>
      <c r="F48" s="13" t="s">
        <v>78</v>
      </c>
      <c r="G48" s="15" t="s">
        <v>79</v>
      </c>
      <c r="H48" s="13" t="s">
        <v>192</v>
      </c>
      <c r="I48" s="15" t="s">
        <v>193</v>
      </c>
      <c r="J48" s="15" t="s">
        <v>194</v>
      </c>
      <c r="K48" s="15" t="s">
        <v>195</v>
      </c>
      <c r="L48" s="13" t="s">
        <v>198</v>
      </c>
      <c r="M48" s="15" t="s">
        <v>199</v>
      </c>
      <c r="N48" s="13" t="s">
        <v>130</v>
      </c>
      <c r="O48" s="15"/>
      <c r="P48" s="15"/>
      <c r="Q48" s="15" t="s">
        <v>190</v>
      </c>
      <c r="R48" s="13" t="s">
        <v>191</v>
      </c>
      <c r="S48" s="13" t="s">
        <v>167</v>
      </c>
      <c r="T48" s="13" t="s">
        <v>138</v>
      </c>
      <c r="U48" s="14">
        <v>43101</v>
      </c>
      <c r="V48" s="14"/>
      <c r="W48" s="15"/>
      <c r="X48" s="15"/>
      <c r="Y48" s="13"/>
      <c r="Z48" s="15"/>
      <c r="AA48" s="15"/>
      <c r="AB48" s="15"/>
      <c r="AC48" s="13"/>
      <c r="AD48" s="15"/>
      <c r="AE48" s="15"/>
      <c r="AF48" s="15"/>
      <c r="AG48" s="13"/>
      <c r="AH48" s="15"/>
      <c r="AI48" s="15"/>
      <c r="AJ48" s="15"/>
      <c r="AK48" s="13"/>
      <c r="AL48" s="15"/>
      <c r="AM48" s="15"/>
      <c r="AN48" s="13"/>
      <c r="AO48" s="13"/>
    </row>
  </sheetData>
  <autoFilter ref="A1:AS1" xr:uid="{1EFB9756-0FDF-4B60-90A2-E63207011D3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D4BF-8C49-4421-B5CF-9EAB8FDD89F3}">
  <dimension ref="A1:U51"/>
  <sheetViews>
    <sheetView workbookViewId="0">
      <pane ySplit="1" topLeftCell="A2" activePane="bottomLeft" state="frozenSplit"/>
      <selection pane="bottomLeft" activeCell="H5" sqref="H5"/>
    </sheetView>
  </sheetViews>
  <sheetFormatPr baseColWidth="10" defaultRowHeight="15" x14ac:dyDescent="0.25"/>
  <cols>
    <col min="1" max="1" width="8.7109375" style="12" customWidth="1"/>
    <col min="2" max="2" width="7.7109375" style="12" customWidth="1"/>
    <col min="3" max="4" width="12.7109375" style="12" customWidth="1"/>
    <col min="5" max="5" width="14.7109375" style="12" customWidth="1"/>
    <col min="6" max="6" width="40.7109375" style="17" customWidth="1"/>
    <col min="7" max="7" width="25.7109375" style="12" customWidth="1"/>
    <col min="8" max="9" width="12.7109375" style="12" customWidth="1"/>
    <col min="10" max="11" width="40.7109375" style="17" customWidth="1"/>
    <col min="12" max="12" width="14.7109375" style="12" customWidth="1"/>
    <col min="13" max="13" width="25.7109375" style="17" customWidth="1"/>
    <col min="14" max="17" width="25.7109375" style="12" customWidth="1"/>
    <col min="18" max="18" width="9.7109375" style="12" customWidth="1"/>
    <col min="19" max="20" width="15.7109375" style="12" customWidth="1"/>
    <col min="21" max="21" width="40.7109375" style="17" customWidth="1"/>
    <col min="22" max="16384" width="11.42578125" style="12"/>
  </cols>
  <sheetData>
    <row r="1" spans="1:21" ht="60" x14ac:dyDescent="0.25">
      <c r="A1" s="10" t="s">
        <v>2</v>
      </c>
      <c r="B1" s="10" t="s">
        <v>3</v>
      </c>
      <c r="C1" s="11" t="s">
        <v>4</v>
      </c>
      <c r="D1" s="10" t="s">
        <v>289</v>
      </c>
      <c r="E1" s="10" t="s">
        <v>290</v>
      </c>
      <c r="F1" s="10" t="s">
        <v>291</v>
      </c>
      <c r="G1" s="10" t="s">
        <v>292</v>
      </c>
      <c r="H1" s="11" t="s">
        <v>21</v>
      </c>
      <c r="I1" s="11" t="s">
        <v>22</v>
      </c>
      <c r="J1" s="10" t="s">
        <v>293</v>
      </c>
      <c r="K1" s="10" t="s">
        <v>294</v>
      </c>
      <c r="L1" s="10" t="s">
        <v>295</v>
      </c>
      <c r="M1" s="10" t="s">
        <v>277</v>
      </c>
      <c r="N1" s="10" t="s">
        <v>296</v>
      </c>
      <c r="O1" s="10" t="s">
        <v>297</v>
      </c>
      <c r="P1" s="10" t="s">
        <v>298</v>
      </c>
      <c r="Q1" s="10" t="s">
        <v>299</v>
      </c>
      <c r="R1" s="10" t="s">
        <v>72</v>
      </c>
      <c r="S1" s="10" t="s">
        <v>73</v>
      </c>
      <c r="T1" s="10" t="s">
        <v>300</v>
      </c>
      <c r="U1" s="10" t="s">
        <v>301</v>
      </c>
    </row>
    <row r="2" spans="1:21" ht="150" x14ac:dyDescent="0.25">
      <c r="A2" s="13" t="s">
        <v>134</v>
      </c>
      <c r="B2" s="13" t="s">
        <v>75</v>
      </c>
      <c r="C2" s="14">
        <v>44933.805555555555</v>
      </c>
      <c r="D2" s="13" t="s">
        <v>104</v>
      </c>
      <c r="E2" s="13" t="s">
        <v>293</v>
      </c>
      <c r="F2" s="15" t="s">
        <v>105</v>
      </c>
      <c r="G2" s="13" t="s">
        <v>302</v>
      </c>
      <c r="H2" s="14">
        <v>40725</v>
      </c>
      <c r="I2" s="14"/>
      <c r="J2" s="15"/>
      <c r="K2" s="15" t="s">
        <v>303</v>
      </c>
      <c r="L2" s="13" t="s">
        <v>304</v>
      </c>
      <c r="M2" s="15" t="s">
        <v>305</v>
      </c>
      <c r="N2" s="13" t="s">
        <v>306</v>
      </c>
      <c r="O2" s="13"/>
      <c r="P2" s="13"/>
      <c r="Q2" s="13"/>
      <c r="R2" s="13"/>
      <c r="S2" s="13"/>
      <c r="T2" s="13" t="s">
        <v>307</v>
      </c>
      <c r="U2" s="15" t="s">
        <v>308</v>
      </c>
    </row>
    <row r="3" spans="1:21" ht="165" x14ac:dyDescent="0.25">
      <c r="A3" s="13" t="s">
        <v>134</v>
      </c>
      <c r="B3" s="13" t="s">
        <v>75</v>
      </c>
      <c r="C3" s="14">
        <v>44933.809027777781</v>
      </c>
      <c r="D3" s="13" t="s">
        <v>144</v>
      </c>
      <c r="E3" s="13" t="s">
        <v>293</v>
      </c>
      <c r="F3" s="15" t="s">
        <v>145</v>
      </c>
      <c r="G3" s="13" t="s">
        <v>309</v>
      </c>
      <c r="H3" s="14">
        <v>40725</v>
      </c>
      <c r="I3" s="14"/>
      <c r="J3" s="15"/>
      <c r="K3" s="15" t="s">
        <v>303</v>
      </c>
      <c r="L3" s="13" t="s">
        <v>304</v>
      </c>
      <c r="M3" s="15" t="s">
        <v>310</v>
      </c>
      <c r="N3" s="13" t="s">
        <v>311</v>
      </c>
      <c r="O3" s="13"/>
      <c r="P3" s="13"/>
      <c r="Q3" s="13"/>
      <c r="R3" s="13"/>
      <c r="S3" s="13"/>
      <c r="T3" s="13" t="s">
        <v>307</v>
      </c>
      <c r="U3" s="15" t="s">
        <v>312</v>
      </c>
    </row>
    <row r="4" spans="1:21" ht="165" x14ac:dyDescent="0.25">
      <c r="A4" s="13" t="s">
        <v>134</v>
      </c>
      <c r="B4" s="13" t="s">
        <v>135</v>
      </c>
      <c r="C4" s="14">
        <v>44933.90625</v>
      </c>
      <c r="D4" s="13" t="s">
        <v>228</v>
      </c>
      <c r="E4" s="13" t="s">
        <v>293</v>
      </c>
      <c r="F4" s="15" t="s">
        <v>229</v>
      </c>
      <c r="G4" s="13" t="s">
        <v>313</v>
      </c>
      <c r="H4" s="14">
        <v>40725</v>
      </c>
      <c r="I4" s="14"/>
      <c r="J4" s="15"/>
      <c r="K4" s="15" t="s">
        <v>314</v>
      </c>
      <c r="L4" s="13" t="s">
        <v>304</v>
      </c>
      <c r="M4" s="15" t="s">
        <v>315</v>
      </c>
      <c r="N4" s="13" t="s">
        <v>316</v>
      </c>
      <c r="O4" s="13"/>
      <c r="P4" s="13"/>
      <c r="Q4" s="13"/>
      <c r="R4" s="13"/>
      <c r="S4" s="13"/>
      <c r="T4" s="13" t="s">
        <v>307</v>
      </c>
      <c r="U4" s="15" t="s">
        <v>229</v>
      </c>
    </row>
    <row r="5" spans="1:21" s="22" customFormat="1" ht="90" x14ac:dyDescent="0.25">
      <c r="A5" s="19" t="s">
        <v>180</v>
      </c>
      <c r="B5" s="19" t="s">
        <v>75</v>
      </c>
      <c r="C5" s="20">
        <v>45943.73333333333</v>
      </c>
      <c r="D5" s="19" t="s">
        <v>106</v>
      </c>
      <c r="E5" s="19" t="s">
        <v>293</v>
      </c>
      <c r="F5" s="21" t="s">
        <v>107</v>
      </c>
      <c r="G5" s="19" t="s">
        <v>317</v>
      </c>
      <c r="H5" s="20">
        <v>40725</v>
      </c>
      <c r="I5" s="20"/>
      <c r="J5" s="21"/>
      <c r="K5" s="21" t="s">
        <v>318</v>
      </c>
      <c r="L5" s="19" t="s">
        <v>304</v>
      </c>
      <c r="M5" s="21"/>
      <c r="N5" s="19" t="s">
        <v>319</v>
      </c>
      <c r="O5" s="19"/>
      <c r="P5" s="19"/>
      <c r="Q5" s="19"/>
      <c r="R5" s="19" t="s">
        <v>320</v>
      </c>
      <c r="S5" s="19"/>
      <c r="T5" s="19" t="s">
        <v>307</v>
      </c>
      <c r="U5" s="21" t="s">
        <v>107</v>
      </c>
    </row>
    <row r="6" spans="1:21" ht="180" x14ac:dyDescent="0.25">
      <c r="A6" s="13" t="s">
        <v>321</v>
      </c>
      <c r="B6" s="13" t="s">
        <v>75</v>
      </c>
      <c r="C6" s="14">
        <v>44713.713888888888</v>
      </c>
      <c r="D6" s="13" t="s">
        <v>102</v>
      </c>
      <c r="E6" s="13" t="s">
        <v>293</v>
      </c>
      <c r="F6" s="15" t="s">
        <v>103</v>
      </c>
      <c r="G6" s="13" t="s">
        <v>317</v>
      </c>
      <c r="H6" s="14">
        <v>40725</v>
      </c>
      <c r="I6" s="14"/>
      <c r="J6" s="15"/>
      <c r="K6" s="15" t="s">
        <v>322</v>
      </c>
      <c r="L6" s="13" t="s">
        <v>304</v>
      </c>
      <c r="M6" s="15" t="s">
        <v>323</v>
      </c>
      <c r="N6" s="13" t="s">
        <v>319</v>
      </c>
      <c r="O6" s="13"/>
      <c r="P6" s="13"/>
      <c r="Q6" s="13"/>
      <c r="R6" s="13"/>
      <c r="S6" s="13"/>
      <c r="T6" s="13" t="s">
        <v>307</v>
      </c>
      <c r="U6" s="15" t="s">
        <v>143</v>
      </c>
    </row>
    <row r="7" spans="1:21" s="22" customFormat="1" ht="90" x14ac:dyDescent="0.25">
      <c r="A7" s="19" t="s">
        <v>180</v>
      </c>
      <c r="B7" s="19" t="s">
        <v>75</v>
      </c>
      <c r="C7" s="20">
        <v>45943.73333333333</v>
      </c>
      <c r="D7" s="19" t="s">
        <v>146</v>
      </c>
      <c r="E7" s="19" t="s">
        <v>293</v>
      </c>
      <c r="F7" s="21" t="s">
        <v>107</v>
      </c>
      <c r="G7" s="19" t="s">
        <v>324</v>
      </c>
      <c r="H7" s="20">
        <v>40725</v>
      </c>
      <c r="I7" s="20"/>
      <c r="J7" s="21"/>
      <c r="K7" s="21" t="s">
        <v>325</v>
      </c>
      <c r="L7" s="19" t="s">
        <v>304</v>
      </c>
      <c r="M7" s="21"/>
      <c r="N7" s="19" t="s">
        <v>326</v>
      </c>
      <c r="O7" s="19"/>
      <c r="P7" s="19"/>
      <c r="Q7" s="19"/>
      <c r="R7" s="19" t="s">
        <v>320</v>
      </c>
      <c r="S7" s="19"/>
      <c r="T7" s="19" t="s">
        <v>307</v>
      </c>
      <c r="U7" s="21" t="s">
        <v>107</v>
      </c>
    </row>
    <row r="8" spans="1:21" ht="180" x14ac:dyDescent="0.25">
      <c r="A8" s="13" t="s">
        <v>321</v>
      </c>
      <c r="B8" s="13" t="s">
        <v>75</v>
      </c>
      <c r="C8" s="14">
        <v>44713.715277777781</v>
      </c>
      <c r="D8" s="13" t="s">
        <v>142</v>
      </c>
      <c r="E8" s="13" t="s">
        <v>293</v>
      </c>
      <c r="F8" s="15" t="s">
        <v>143</v>
      </c>
      <c r="G8" s="13" t="s">
        <v>324</v>
      </c>
      <c r="H8" s="14">
        <v>40725</v>
      </c>
      <c r="I8" s="14"/>
      <c r="J8" s="15"/>
      <c r="K8" s="15" t="s">
        <v>322</v>
      </c>
      <c r="L8" s="13" t="s">
        <v>304</v>
      </c>
      <c r="M8" s="15" t="s">
        <v>323</v>
      </c>
      <c r="N8" s="13" t="s">
        <v>327</v>
      </c>
      <c r="O8" s="13"/>
      <c r="P8" s="13"/>
      <c r="Q8" s="13"/>
      <c r="R8" s="13"/>
      <c r="S8" s="13"/>
      <c r="T8" s="13" t="s">
        <v>307</v>
      </c>
      <c r="U8" s="15" t="s">
        <v>143</v>
      </c>
    </row>
    <row r="9" spans="1:21" s="22" customFormat="1" ht="90" x14ac:dyDescent="0.25">
      <c r="A9" s="19" t="s">
        <v>180</v>
      </c>
      <c r="B9" s="19" t="s">
        <v>75</v>
      </c>
      <c r="C9" s="20">
        <v>45943.734027777777</v>
      </c>
      <c r="D9" s="19" t="s">
        <v>163</v>
      </c>
      <c r="E9" s="19" t="s">
        <v>293</v>
      </c>
      <c r="F9" s="21" t="s">
        <v>107</v>
      </c>
      <c r="G9" s="19" t="s">
        <v>317</v>
      </c>
      <c r="H9" s="20">
        <v>40725</v>
      </c>
      <c r="I9" s="20"/>
      <c r="J9" s="21"/>
      <c r="K9" s="21" t="s">
        <v>328</v>
      </c>
      <c r="L9" s="19" t="s">
        <v>304</v>
      </c>
      <c r="M9" s="21"/>
      <c r="N9" s="19" t="s">
        <v>329</v>
      </c>
      <c r="O9" s="19"/>
      <c r="P9" s="19"/>
      <c r="Q9" s="19"/>
      <c r="R9" s="19" t="s">
        <v>320</v>
      </c>
      <c r="S9" s="19"/>
      <c r="T9" s="19" t="s">
        <v>307</v>
      </c>
      <c r="U9" s="21" t="s">
        <v>107</v>
      </c>
    </row>
    <row r="10" spans="1:21" ht="180" x14ac:dyDescent="0.25">
      <c r="A10" s="13" t="s">
        <v>74</v>
      </c>
      <c r="B10" s="13" t="s">
        <v>75</v>
      </c>
      <c r="C10" s="14">
        <v>43571.688888888886</v>
      </c>
      <c r="D10" s="13" t="s">
        <v>202</v>
      </c>
      <c r="E10" s="13" t="s">
        <v>293</v>
      </c>
      <c r="F10" s="15" t="s">
        <v>203</v>
      </c>
      <c r="G10" s="13" t="s">
        <v>330</v>
      </c>
      <c r="H10" s="14">
        <v>40725</v>
      </c>
      <c r="I10" s="14">
        <v>41705</v>
      </c>
      <c r="J10" s="15"/>
      <c r="K10" s="15" t="s">
        <v>331</v>
      </c>
      <c r="L10" s="13" t="s">
        <v>332</v>
      </c>
      <c r="M10" s="15" t="s">
        <v>323</v>
      </c>
      <c r="N10" s="13"/>
      <c r="O10" s="13"/>
      <c r="P10" s="13"/>
      <c r="Q10" s="13"/>
      <c r="R10" s="13"/>
      <c r="S10" s="13"/>
      <c r="T10" s="13"/>
      <c r="U10" s="15"/>
    </row>
    <row r="11" spans="1:21" ht="180" x14ac:dyDescent="0.25">
      <c r="A11" s="13" t="s">
        <v>74</v>
      </c>
      <c r="B11" s="13" t="s">
        <v>75</v>
      </c>
      <c r="C11" s="14">
        <v>43571.688888888886</v>
      </c>
      <c r="D11" s="13" t="s">
        <v>204</v>
      </c>
      <c r="E11" s="13" t="s">
        <v>293</v>
      </c>
      <c r="F11" s="15" t="s">
        <v>205</v>
      </c>
      <c r="G11" s="13" t="s">
        <v>330</v>
      </c>
      <c r="H11" s="14">
        <v>40725</v>
      </c>
      <c r="I11" s="14">
        <v>41705</v>
      </c>
      <c r="J11" s="15"/>
      <c r="K11" s="15" t="s">
        <v>333</v>
      </c>
      <c r="L11" s="13" t="s">
        <v>304</v>
      </c>
      <c r="M11" s="15" t="s">
        <v>323</v>
      </c>
      <c r="N11" s="13"/>
      <c r="O11" s="13"/>
      <c r="P11" s="13"/>
      <c r="Q11" s="13"/>
      <c r="R11" s="13"/>
      <c r="S11" s="13"/>
      <c r="T11" s="13"/>
      <c r="U11" s="15"/>
    </row>
    <row r="12" spans="1:21" ht="45" x14ac:dyDescent="0.25">
      <c r="A12" s="13" t="s">
        <v>200</v>
      </c>
      <c r="B12" s="13" t="s">
        <v>75</v>
      </c>
      <c r="C12" s="14">
        <v>43537.719444444447</v>
      </c>
      <c r="D12" s="13" t="s">
        <v>206</v>
      </c>
      <c r="E12" s="13" t="s">
        <v>293</v>
      </c>
      <c r="F12" s="15" t="s">
        <v>207</v>
      </c>
      <c r="G12" s="13" t="s">
        <v>330</v>
      </c>
      <c r="H12" s="14">
        <v>40725</v>
      </c>
      <c r="I12" s="14">
        <v>41705</v>
      </c>
      <c r="J12" s="15" t="s">
        <v>334</v>
      </c>
      <c r="K12" s="15" t="s">
        <v>335</v>
      </c>
      <c r="L12" s="13" t="s">
        <v>304</v>
      </c>
      <c r="M12" s="15"/>
      <c r="N12" s="13"/>
      <c r="O12" s="13"/>
      <c r="P12" s="13"/>
      <c r="Q12" s="13"/>
      <c r="R12" s="13"/>
      <c r="S12" s="13"/>
      <c r="T12" s="13"/>
      <c r="U12" s="15"/>
    </row>
    <row r="13" spans="1:21" ht="45" x14ac:dyDescent="0.25">
      <c r="A13" s="13" t="s">
        <v>200</v>
      </c>
      <c r="B13" s="13" t="s">
        <v>75</v>
      </c>
      <c r="C13" s="14">
        <v>43537.720138888886</v>
      </c>
      <c r="D13" s="13" t="s">
        <v>208</v>
      </c>
      <c r="E13" s="13" t="s">
        <v>293</v>
      </c>
      <c r="F13" s="15" t="s">
        <v>209</v>
      </c>
      <c r="G13" s="13" t="s">
        <v>330</v>
      </c>
      <c r="H13" s="14">
        <v>40725</v>
      </c>
      <c r="I13" s="14">
        <v>41705</v>
      </c>
      <c r="J13" s="15" t="s">
        <v>336</v>
      </c>
      <c r="K13" s="15" t="s">
        <v>337</v>
      </c>
      <c r="L13" s="13" t="s">
        <v>304</v>
      </c>
      <c r="M13" s="15"/>
      <c r="N13" s="13"/>
      <c r="O13" s="13"/>
      <c r="P13" s="13"/>
      <c r="Q13" s="13"/>
      <c r="R13" s="13"/>
      <c r="S13" s="13"/>
      <c r="T13" s="13"/>
      <c r="U13" s="15"/>
    </row>
    <row r="14" spans="1:21" ht="180" x14ac:dyDescent="0.25">
      <c r="A14" s="13" t="s">
        <v>338</v>
      </c>
      <c r="B14" s="13" t="s">
        <v>75</v>
      </c>
      <c r="C14" s="14">
        <v>45215.45</v>
      </c>
      <c r="D14" s="13" t="s">
        <v>222</v>
      </c>
      <c r="E14" s="13" t="s">
        <v>293</v>
      </c>
      <c r="F14" s="15" t="s">
        <v>223</v>
      </c>
      <c r="G14" s="13" t="s">
        <v>339</v>
      </c>
      <c r="H14" s="14">
        <v>41706</v>
      </c>
      <c r="I14" s="14"/>
      <c r="J14" s="15"/>
      <c r="K14" s="15" t="s">
        <v>331</v>
      </c>
      <c r="L14" s="13" t="s">
        <v>332</v>
      </c>
      <c r="M14" s="15" t="s">
        <v>323</v>
      </c>
      <c r="N14" s="13" t="s">
        <v>340</v>
      </c>
      <c r="O14" s="13"/>
      <c r="P14" s="13"/>
      <c r="Q14" s="13"/>
      <c r="R14" s="13"/>
      <c r="S14" s="13"/>
      <c r="T14" s="13" t="s">
        <v>307</v>
      </c>
      <c r="U14" s="15" t="s">
        <v>223</v>
      </c>
    </row>
    <row r="15" spans="1:21" ht="180" x14ac:dyDescent="0.25">
      <c r="A15" s="13" t="s">
        <v>338</v>
      </c>
      <c r="B15" s="13" t="s">
        <v>75</v>
      </c>
      <c r="C15" s="14">
        <v>45215.45</v>
      </c>
      <c r="D15" s="13" t="s">
        <v>224</v>
      </c>
      <c r="E15" s="13" t="s">
        <v>293</v>
      </c>
      <c r="F15" s="15" t="s">
        <v>225</v>
      </c>
      <c r="G15" s="13" t="s">
        <v>339</v>
      </c>
      <c r="H15" s="14">
        <v>41706</v>
      </c>
      <c r="I15" s="14"/>
      <c r="J15" s="15"/>
      <c r="K15" s="15" t="s">
        <v>333</v>
      </c>
      <c r="L15" s="13" t="s">
        <v>304</v>
      </c>
      <c r="M15" s="15" t="s">
        <v>323</v>
      </c>
      <c r="N15" s="13" t="s">
        <v>340</v>
      </c>
      <c r="O15" s="13"/>
      <c r="P15" s="13"/>
      <c r="Q15" s="13"/>
      <c r="R15" s="13"/>
      <c r="S15" s="13"/>
      <c r="T15" s="13" t="s">
        <v>307</v>
      </c>
      <c r="U15" s="15" t="s">
        <v>225</v>
      </c>
    </row>
    <row r="16" spans="1:21" ht="45" x14ac:dyDescent="0.25">
      <c r="A16" s="13" t="s">
        <v>338</v>
      </c>
      <c r="B16" s="13" t="s">
        <v>75</v>
      </c>
      <c r="C16" s="14">
        <v>45215.450694444444</v>
      </c>
      <c r="D16" s="13" t="s">
        <v>220</v>
      </c>
      <c r="E16" s="13" t="s">
        <v>293</v>
      </c>
      <c r="F16" s="15" t="s">
        <v>221</v>
      </c>
      <c r="G16" s="13" t="s">
        <v>339</v>
      </c>
      <c r="H16" s="14">
        <v>41706</v>
      </c>
      <c r="I16" s="14"/>
      <c r="J16" s="15" t="s">
        <v>334</v>
      </c>
      <c r="K16" s="15" t="s">
        <v>341</v>
      </c>
      <c r="L16" s="13" t="s">
        <v>304</v>
      </c>
      <c r="M16" s="15"/>
      <c r="N16" s="13" t="s">
        <v>340</v>
      </c>
      <c r="O16" s="13"/>
      <c r="P16" s="13"/>
      <c r="Q16" s="13"/>
      <c r="R16" s="13"/>
      <c r="S16" s="13"/>
      <c r="T16" s="13" t="s">
        <v>307</v>
      </c>
      <c r="U16" s="15" t="s">
        <v>342</v>
      </c>
    </row>
    <row r="17" spans="1:21" ht="45" x14ac:dyDescent="0.25">
      <c r="A17" s="13" t="s">
        <v>74</v>
      </c>
      <c r="B17" s="13" t="s">
        <v>75</v>
      </c>
      <c r="C17" s="14">
        <v>43579.623611111114</v>
      </c>
      <c r="D17" s="13" t="s">
        <v>226</v>
      </c>
      <c r="E17" s="13" t="s">
        <v>293</v>
      </c>
      <c r="F17" s="15" t="s">
        <v>227</v>
      </c>
      <c r="G17" s="13" t="s">
        <v>339</v>
      </c>
      <c r="H17" s="14">
        <v>41706</v>
      </c>
      <c r="I17" s="14"/>
      <c r="J17" s="15" t="s">
        <v>336</v>
      </c>
      <c r="K17" s="15" t="s">
        <v>343</v>
      </c>
      <c r="L17" s="13" t="s">
        <v>304</v>
      </c>
      <c r="M17" s="15"/>
      <c r="N17" s="13"/>
      <c r="O17" s="13"/>
      <c r="P17" s="13"/>
      <c r="Q17" s="13"/>
      <c r="R17" s="13"/>
      <c r="S17" s="13"/>
      <c r="T17" s="13"/>
      <c r="U17" s="15"/>
    </row>
    <row r="18" spans="1:21" ht="60" x14ac:dyDescent="0.25">
      <c r="A18" s="13" t="s">
        <v>164</v>
      </c>
      <c r="B18" s="13" t="s">
        <v>135</v>
      </c>
      <c r="C18" s="14">
        <v>43152.5</v>
      </c>
      <c r="D18" s="13" t="s">
        <v>110</v>
      </c>
      <c r="E18" s="13" t="s">
        <v>344</v>
      </c>
      <c r="F18" s="15" t="s">
        <v>111</v>
      </c>
      <c r="G18" s="13"/>
      <c r="H18" s="14">
        <v>40725</v>
      </c>
      <c r="I18" s="14"/>
      <c r="J18" s="15"/>
      <c r="K18" s="15" t="s">
        <v>345</v>
      </c>
      <c r="L18" s="13" t="s">
        <v>304</v>
      </c>
      <c r="M18" s="15"/>
      <c r="N18" s="13"/>
      <c r="O18" s="13"/>
      <c r="P18" s="13"/>
      <c r="Q18" s="13"/>
      <c r="R18" s="13"/>
      <c r="S18" s="13"/>
      <c r="T18" s="13"/>
      <c r="U18" s="15"/>
    </row>
    <row r="19" spans="1:21" ht="45" x14ac:dyDescent="0.25">
      <c r="A19" s="13" t="s">
        <v>164</v>
      </c>
      <c r="B19" s="13" t="s">
        <v>135</v>
      </c>
      <c r="C19" s="14">
        <v>43152.5</v>
      </c>
      <c r="D19" s="13" t="s">
        <v>147</v>
      </c>
      <c r="E19" s="13" t="s">
        <v>344</v>
      </c>
      <c r="F19" s="15" t="s">
        <v>148</v>
      </c>
      <c r="G19" s="13"/>
      <c r="H19" s="14">
        <v>40725</v>
      </c>
      <c r="I19" s="14"/>
      <c r="J19" s="15"/>
      <c r="K19" s="15" t="s">
        <v>346</v>
      </c>
      <c r="L19" s="13" t="s">
        <v>304</v>
      </c>
      <c r="M19" s="15"/>
      <c r="N19" s="13"/>
      <c r="O19" s="13"/>
      <c r="P19" s="13"/>
      <c r="Q19" s="13"/>
      <c r="R19" s="13"/>
      <c r="S19" s="13"/>
      <c r="T19" s="13"/>
      <c r="U19" s="15"/>
    </row>
    <row r="20" spans="1:21" ht="45" x14ac:dyDescent="0.25">
      <c r="A20" s="13" t="s">
        <v>164</v>
      </c>
      <c r="B20" s="13" t="s">
        <v>135</v>
      </c>
      <c r="C20" s="14">
        <v>43152.5</v>
      </c>
      <c r="D20" s="13" t="s">
        <v>112</v>
      </c>
      <c r="E20" s="13" t="s">
        <v>344</v>
      </c>
      <c r="F20" s="15" t="s">
        <v>113</v>
      </c>
      <c r="G20" s="13"/>
      <c r="H20" s="14">
        <v>40725</v>
      </c>
      <c r="I20" s="14"/>
      <c r="J20" s="15" t="s">
        <v>334</v>
      </c>
      <c r="K20" s="15" t="s">
        <v>347</v>
      </c>
      <c r="L20" s="13" t="s">
        <v>304</v>
      </c>
      <c r="M20" s="15"/>
      <c r="N20" s="13"/>
      <c r="O20" s="13"/>
      <c r="P20" s="13"/>
      <c r="Q20" s="13"/>
      <c r="R20" s="13"/>
      <c r="S20" s="13"/>
      <c r="T20" s="13"/>
      <c r="U20" s="15"/>
    </row>
    <row r="21" spans="1:21" ht="45" x14ac:dyDescent="0.25">
      <c r="A21" s="13" t="s">
        <v>164</v>
      </c>
      <c r="B21" s="13" t="s">
        <v>135</v>
      </c>
      <c r="C21" s="14">
        <v>43152.5</v>
      </c>
      <c r="D21" s="13" t="s">
        <v>114</v>
      </c>
      <c r="E21" s="13" t="s">
        <v>344</v>
      </c>
      <c r="F21" s="15" t="s">
        <v>115</v>
      </c>
      <c r="G21" s="13"/>
      <c r="H21" s="14">
        <v>40725</v>
      </c>
      <c r="I21" s="14"/>
      <c r="J21" s="15" t="s">
        <v>336</v>
      </c>
      <c r="K21" s="15" t="s">
        <v>348</v>
      </c>
      <c r="L21" s="13" t="s">
        <v>304</v>
      </c>
      <c r="M21" s="15"/>
      <c r="N21" s="13"/>
      <c r="O21" s="13"/>
      <c r="P21" s="13"/>
      <c r="Q21" s="13"/>
      <c r="R21" s="13"/>
      <c r="S21" s="13"/>
      <c r="T21" s="13"/>
      <c r="U21" s="15"/>
    </row>
    <row r="22" spans="1:21" ht="60" x14ac:dyDescent="0.25">
      <c r="A22" s="13" t="s">
        <v>164</v>
      </c>
      <c r="B22" s="13" t="s">
        <v>135</v>
      </c>
      <c r="C22" s="14">
        <v>43152.5</v>
      </c>
      <c r="D22" s="13" t="s">
        <v>149</v>
      </c>
      <c r="E22" s="13" t="s">
        <v>344</v>
      </c>
      <c r="F22" s="15" t="s">
        <v>150</v>
      </c>
      <c r="G22" s="13"/>
      <c r="H22" s="14">
        <v>40725</v>
      </c>
      <c r="I22" s="14"/>
      <c r="J22" s="15" t="s">
        <v>349</v>
      </c>
      <c r="K22" s="15" t="s">
        <v>350</v>
      </c>
      <c r="L22" s="13" t="s">
        <v>304</v>
      </c>
      <c r="M22" s="15"/>
      <c r="N22" s="13"/>
      <c r="O22" s="13"/>
      <c r="P22" s="13"/>
      <c r="Q22" s="13"/>
      <c r="R22" s="13"/>
      <c r="S22" s="13"/>
      <c r="T22" s="13"/>
      <c r="U22" s="15"/>
    </row>
    <row r="23" spans="1:21" ht="60" x14ac:dyDescent="0.25">
      <c r="A23" s="13" t="s">
        <v>164</v>
      </c>
      <c r="B23" s="13" t="s">
        <v>135</v>
      </c>
      <c r="C23" s="14">
        <v>43152.5</v>
      </c>
      <c r="D23" s="13" t="s">
        <v>151</v>
      </c>
      <c r="E23" s="13" t="s">
        <v>344</v>
      </c>
      <c r="F23" s="15" t="s">
        <v>152</v>
      </c>
      <c r="G23" s="13"/>
      <c r="H23" s="14">
        <v>40725</v>
      </c>
      <c r="I23" s="14"/>
      <c r="J23" s="15" t="s">
        <v>351</v>
      </c>
      <c r="K23" s="15" t="s">
        <v>352</v>
      </c>
      <c r="L23" s="13" t="s">
        <v>304</v>
      </c>
      <c r="M23" s="15"/>
      <c r="N23" s="13"/>
      <c r="O23" s="13"/>
      <c r="P23" s="13"/>
      <c r="Q23" s="13"/>
      <c r="R23" s="13"/>
      <c r="S23" s="13"/>
      <c r="T23" s="13"/>
      <c r="U23" s="15"/>
    </row>
    <row r="24" spans="1:21" ht="45" x14ac:dyDescent="0.25">
      <c r="A24" s="13" t="s">
        <v>164</v>
      </c>
      <c r="B24" s="13" t="s">
        <v>135</v>
      </c>
      <c r="C24" s="14">
        <v>43152.5</v>
      </c>
      <c r="D24" s="13" t="s">
        <v>116</v>
      </c>
      <c r="E24" s="13" t="s">
        <v>344</v>
      </c>
      <c r="F24" s="15" t="s">
        <v>117</v>
      </c>
      <c r="G24" s="13"/>
      <c r="H24" s="14">
        <v>40725</v>
      </c>
      <c r="I24" s="14"/>
      <c r="J24" s="15" t="s">
        <v>334</v>
      </c>
      <c r="K24" s="15" t="s">
        <v>353</v>
      </c>
      <c r="L24" s="13" t="s">
        <v>332</v>
      </c>
      <c r="M24" s="15"/>
      <c r="N24" s="13"/>
      <c r="O24" s="13"/>
      <c r="P24" s="13"/>
      <c r="Q24" s="13"/>
      <c r="R24" s="13"/>
      <c r="S24" s="13"/>
      <c r="T24" s="13"/>
      <c r="U24" s="15"/>
    </row>
    <row r="25" spans="1:21" ht="45" x14ac:dyDescent="0.25">
      <c r="A25" s="13" t="s">
        <v>164</v>
      </c>
      <c r="B25" s="13" t="s">
        <v>135</v>
      </c>
      <c r="C25" s="14">
        <v>43152.5</v>
      </c>
      <c r="D25" s="13" t="s">
        <v>118</v>
      </c>
      <c r="E25" s="13" t="s">
        <v>344</v>
      </c>
      <c r="F25" s="15" t="s">
        <v>119</v>
      </c>
      <c r="G25" s="13"/>
      <c r="H25" s="14">
        <v>40725</v>
      </c>
      <c r="I25" s="14"/>
      <c r="J25" s="15" t="s">
        <v>336</v>
      </c>
      <c r="K25" s="15" t="s">
        <v>354</v>
      </c>
      <c r="L25" s="13" t="s">
        <v>332</v>
      </c>
      <c r="M25" s="15"/>
      <c r="N25" s="13"/>
      <c r="O25" s="13"/>
      <c r="P25" s="13"/>
      <c r="Q25" s="13"/>
      <c r="R25" s="13"/>
      <c r="S25" s="13"/>
      <c r="T25" s="13"/>
      <c r="U25" s="15"/>
    </row>
    <row r="26" spans="1:21" ht="45" x14ac:dyDescent="0.25">
      <c r="A26" s="13" t="s">
        <v>164</v>
      </c>
      <c r="B26" s="13" t="s">
        <v>135</v>
      </c>
      <c r="C26" s="14">
        <v>43152.5</v>
      </c>
      <c r="D26" s="13" t="s">
        <v>124</v>
      </c>
      <c r="E26" s="13" t="s">
        <v>344</v>
      </c>
      <c r="F26" s="15" t="s">
        <v>125</v>
      </c>
      <c r="G26" s="13"/>
      <c r="H26" s="14">
        <v>40725</v>
      </c>
      <c r="I26" s="14"/>
      <c r="J26" s="15"/>
      <c r="K26" s="15" t="s">
        <v>355</v>
      </c>
      <c r="L26" s="13" t="s">
        <v>304</v>
      </c>
      <c r="M26" s="15"/>
      <c r="N26" s="13"/>
      <c r="O26" s="13"/>
      <c r="P26" s="13"/>
      <c r="Q26" s="13"/>
      <c r="R26" s="13"/>
      <c r="S26" s="13"/>
      <c r="T26" s="13"/>
      <c r="U26" s="15"/>
    </row>
    <row r="27" spans="1:21" ht="90" x14ac:dyDescent="0.25">
      <c r="A27" s="13" t="s">
        <v>356</v>
      </c>
      <c r="B27" s="13" t="s">
        <v>75</v>
      </c>
      <c r="C27" s="14">
        <v>43571.696527777778</v>
      </c>
      <c r="D27" s="13" t="s">
        <v>210</v>
      </c>
      <c r="E27" s="13" t="s">
        <v>344</v>
      </c>
      <c r="F27" s="15" t="s">
        <v>107</v>
      </c>
      <c r="G27" s="13"/>
      <c r="H27" s="14">
        <v>40725</v>
      </c>
      <c r="I27" s="14"/>
      <c r="J27" s="15"/>
      <c r="K27" s="15" t="s">
        <v>328</v>
      </c>
      <c r="L27" s="13" t="s">
        <v>304</v>
      </c>
      <c r="M27" s="15"/>
      <c r="N27" s="13"/>
      <c r="O27" s="13" t="s">
        <v>340</v>
      </c>
      <c r="P27" s="13"/>
      <c r="Q27" s="13"/>
      <c r="R27" s="13"/>
      <c r="S27" s="13"/>
      <c r="T27" s="13" t="s">
        <v>307</v>
      </c>
      <c r="U27" s="15" t="s">
        <v>107</v>
      </c>
    </row>
    <row r="28" spans="1:21" ht="75" x14ac:dyDescent="0.25">
      <c r="A28" s="13" t="s">
        <v>164</v>
      </c>
      <c r="B28" s="13" t="s">
        <v>135</v>
      </c>
      <c r="C28" s="14">
        <v>44932.46875</v>
      </c>
      <c r="D28" s="13" t="s">
        <v>120</v>
      </c>
      <c r="E28" s="13" t="s">
        <v>344</v>
      </c>
      <c r="F28" s="15" t="s">
        <v>121</v>
      </c>
      <c r="G28" s="13"/>
      <c r="H28" s="14">
        <v>40725</v>
      </c>
      <c r="I28" s="14"/>
      <c r="J28" s="15" t="s">
        <v>357</v>
      </c>
      <c r="K28" s="15" t="s">
        <v>358</v>
      </c>
      <c r="L28" s="13" t="s">
        <v>304</v>
      </c>
      <c r="M28" s="15" t="s">
        <v>359</v>
      </c>
      <c r="N28" s="13"/>
      <c r="O28" s="13"/>
      <c r="P28" s="13"/>
      <c r="Q28" s="13"/>
      <c r="R28" s="13"/>
      <c r="S28" s="13"/>
      <c r="T28" s="13"/>
      <c r="U28" s="15"/>
    </row>
    <row r="29" spans="1:21" ht="90" x14ac:dyDescent="0.25">
      <c r="A29" s="13" t="s">
        <v>164</v>
      </c>
      <c r="B29" s="13" t="s">
        <v>135</v>
      </c>
      <c r="C29" s="14">
        <v>44932.470833333333</v>
      </c>
      <c r="D29" s="13" t="s">
        <v>122</v>
      </c>
      <c r="E29" s="13" t="s">
        <v>344</v>
      </c>
      <c r="F29" s="15" t="s">
        <v>123</v>
      </c>
      <c r="G29" s="13"/>
      <c r="H29" s="14">
        <v>40725</v>
      </c>
      <c r="I29" s="14"/>
      <c r="J29" s="15" t="s">
        <v>360</v>
      </c>
      <c r="K29" s="15" t="s">
        <v>361</v>
      </c>
      <c r="L29" s="13" t="s">
        <v>304</v>
      </c>
      <c r="M29" s="15" t="s">
        <v>359</v>
      </c>
      <c r="N29" s="13"/>
      <c r="O29" s="13"/>
      <c r="P29" s="13"/>
      <c r="Q29" s="13"/>
      <c r="R29" s="13"/>
      <c r="S29" s="13"/>
      <c r="T29" s="13"/>
      <c r="U29" s="15"/>
    </row>
    <row r="30" spans="1:21" ht="90" x14ac:dyDescent="0.25">
      <c r="A30" s="13" t="s">
        <v>74</v>
      </c>
      <c r="B30" s="13" t="s">
        <v>75</v>
      </c>
      <c r="C30" s="14">
        <v>43669.656944444447</v>
      </c>
      <c r="D30" s="13" t="s">
        <v>126</v>
      </c>
      <c r="E30" s="13" t="s">
        <v>344</v>
      </c>
      <c r="F30" s="15" t="s">
        <v>127</v>
      </c>
      <c r="G30" s="13"/>
      <c r="H30" s="14">
        <v>40725</v>
      </c>
      <c r="I30" s="14"/>
      <c r="J30" s="15"/>
      <c r="K30" s="15" t="s">
        <v>362</v>
      </c>
      <c r="L30" s="13" t="s">
        <v>304</v>
      </c>
      <c r="M30" s="15"/>
      <c r="N30" s="13"/>
      <c r="O30" s="13"/>
      <c r="P30" s="13"/>
      <c r="Q30" s="13"/>
      <c r="R30" s="13"/>
      <c r="S30" s="13"/>
      <c r="T30" s="13"/>
      <c r="U30" s="15"/>
    </row>
    <row r="31" spans="1:21" ht="165" x14ac:dyDescent="0.25">
      <c r="A31" s="13" t="s">
        <v>164</v>
      </c>
      <c r="B31" s="13" t="s">
        <v>135</v>
      </c>
      <c r="C31" s="14">
        <v>43152.5</v>
      </c>
      <c r="D31" s="13" t="s">
        <v>108</v>
      </c>
      <c r="E31" s="13" t="s">
        <v>344</v>
      </c>
      <c r="F31" s="15" t="s">
        <v>109</v>
      </c>
      <c r="G31" s="13"/>
      <c r="H31" s="14">
        <v>40725</v>
      </c>
      <c r="I31" s="14"/>
      <c r="J31" s="15"/>
      <c r="K31" s="15" t="s">
        <v>363</v>
      </c>
      <c r="L31" s="13" t="s">
        <v>304</v>
      </c>
      <c r="M31" s="15" t="s">
        <v>364</v>
      </c>
      <c r="N31" s="13"/>
      <c r="O31" s="13"/>
      <c r="P31" s="13"/>
      <c r="Q31" s="13"/>
      <c r="R31" s="13"/>
      <c r="S31" s="13"/>
      <c r="T31" s="13"/>
      <c r="U31" s="15"/>
    </row>
    <row r="32" spans="1:21" ht="45" x14ac:dyDescent="0.25">
      <c r="A32" s="13" t="s">
        <v>365</v>
      </c>
      <c r="B32" s="13" t="s">
        <v>75</v>
      </c>
      <c r="C32" s="14">
        <v>45686.655555555553</v>
      </c>
      <c r="D32" s="13" t="s">
        <v>94</v>
      </c>
      <c r="E32" s="13" t="s">
        <v>366</v>
      </c>
      <c r="F32" s="15" t="s">
        <v>95</v>
      </c>
      <c r="G32" s="13" t="s">
        <v>367</v>
      </c>
      <c r="H32" s="14">
        <v>40725</v>
      </c>
      <c r="I32" s="14"/>
      <c r="J32" s="15"/>
      <c r="K32" s="15"/>
      <c r="L32" s="13" t="s">
        <v>332</v>
      </c>
      <c r="M32" s="15"/>
      <c r="N32" s="13"/>
      <c r="O32" s="13"/>
      <c r="P32" s="13" t="s">
        <v>368</v>
      </c>
      <c r="Q32" s="13"/>
      <c r="R32" s="13"/>
      <c r="S32" s="13"/>
      <c r="T32" s="13" t="s">
        <v>307</v>
      </c>
      <c r="U32" s="15" t="s">
        <v>95</v>
      </c>
    </row>
    <row r="33" spans="1:21" ht="75" x14ac:dyDescent="0.25">
      <c r="A33" s="13" t="s">
        <v>365</v>
      </c>
      <c r="B33" s="13" t="s">
        <v>75</v>
      </c>
      <c r="C33" s="14">
        <v>45686.65625</v>
      </c>
      <c r="D33" s="13" t="s">
        <v>92</v>
      </c>
      <c r="E33" s="13" t="s">
        <v>366</v>
      </c>
      <c r="F33" s="15" t="s">
        <v>93</v>
      </c>
      <c r="G33" s="13" t="s">
        <v>369</v>
      </c>
      <c r="H33" s="14">
        <v>40725</v>
      </c>
      <c r="I33" s="14"/>
      <c r="J33" s="15"/>
      <c r="K33" s="15"/>
      <c r="L33" s="13" t="s">
        <v>332</v>
      </c>
      <c r="M33" s="15"/>
      <c r="N33" s="13"/>
      <c r="O33" s="13"/>
      <c r="P33" s="13" t="s">
        <v>368</v>
      </c>
      <c r="Q33" s="13"/>
      <c r="R33" s="13"/>
      <c r="S33" s="13"/>
      <c r="T33" s="13" t="s">
        <v>307</v>
      </c>
      <c r="U33" s="15" t="s">
        <v>93</v>
      </c>
    </row>
    <row r="34" spans="1:21" ht="60" x14ac:dyDescent="0.25">
      <c r="A34" s="13" t="s">
        <v>365</v>
      </c>
      <c r="B34" s="13" t="s">
        <v>75</v>
      </c>
      <c r="C34" s="14">
        <v>45686.657638888886</v>
      </c>
      <c r="D34" s="13" t="s">
        <v>96</v>
      </c>
      <c r="E34" s="13" t="s">
        <v>366</v>
      </c>
      <c r="F34" s="15" t="s">
        <v>97</v>
      </c>
      <c r="G34" s="13" t="s">
        <v>367</v>
      </c>
      <c r="H34" s="14">
        <v>40725</v>
      </c>
      <c r="I34" s="14"/>
      <c r="J34" s="15"/>
      <c r="K34" s="15"/>
      <c r="L34" s="13" t="s">
        <v>332</v>
      </c>
      <c r="M34" s="15"/>
      <c r="N34" s="13"/>
      <c r="O34" s="13"/>
      <c r="P34" s="13" t="s">
        <v>368</v>
      </c>
      <c r="Q34" s="13"/>
      <c r="R34" s="13"/>
      <c r="S34" s="13"/>
      <c r="T34" s="13" t="s">
        <v>307</v>
      </c>
      <c r="U34" s="15" t="s">
        <v>97</v>
      </c>
    </row>
    <row r="35" spans="1:21" ht="45" x14ac:dyDescent="0.25">
      <c r="A35" s="13" t="s">
        <v>365</v>
      </c>
      <c r="B35" s="13" t="s">
        <v>75</v>
      </c>
      <c r="C35" s="14">
        <v>45686.658333333333</v>
      </c>
      <c r="D35" s="13" t="s">
        <v>98</v>
      </c>
      <c r="E35" s="13" t="s">
        <v>366</v>
      </c>
      <c r="F35" s="15" t="s">
        <v>99</v>
      </c>
      <c r="G35" s="13" t="s">
        <v>370</v>
      </c>
      <c r="H35" s="14">
        <v>40725</v>
      </c>
      <c r="I35" s="14"/>
      <c r="J35" s="15"/>
      <c r="K35" s="15"/>
      <c r="L35" s="13" t="s">
        <v>332</v>
      </c>
      <c r="M35" s="15"/>
      <c r="N35" s="13"/>
      <c r="O35" s="13"/>
      <c r="P35" s="13" t="s">
        <v>368</v>
      </c>
      <c r="Q35" s="13"/>
      <c r="R35" s="13"/>
      <c r="S35" s="13"/>
      <c r="T35" s="13" t="s">
        <v>307</v>
      </c>
      <c r="U35" s="15" t="s">
        <v>99</v>
      </c>
    </row>
    <row r="36" spans="1:21" ht="60" x14ac:dyDescent="0.25">
      <c r="A36" s="13" t="s">
        <v>365</v>
      </c>
      <c r="B36" s="13" t="s">
        <v>75</v>
      </c>
      <c r="C36" s="14">
        <v>45686.659722222219</v>
      </c>
      <c r="D36" s="13" t="s">
        <v>100</v>
      </c>
      <c r="E36" s="13" t="s">
        <v>366</v>
      </c>
      <c r="F36" s="15" t="s">
        <v>101</v>
      </c>
      <c r="G36" s="13" t="s">
        <v>371</v>
      </c>
      <c r="H36" s="14">
        <v>40725</v>
      </c>
      <c r="I36" s="14"/>
      <c r="J36" s="15"/>
      <c r="K36" s="15"/>
      <c r="L36" s="13" t="s">
        <v>332</v>
      </c>
      <c r="M36" s="15"/>
      <c r="N36" s="13"/>
      <c r="O36" s="13"/>
      <c r="P36" s="13" t="s">
        <v>368</v>
      </c>
      <c r="Q36" s="13"/>
      <c r="R36" s="13"/>
      <c r="S36" s="13"/>
      <c r="T36" s="13" t="s">
        <v>307</v>
      </c>
      <c r="U36" s="15" t="s">
        <v>101</v>
      </c>
    </row>
    <row r="37" spans="1:21" ht="45" x14ac:dyDescent="0.25">
      <c r="A37" s="13" t="s">
        <v>365</v>
      </c>
      <c r="B37" s="13" t="s">
        <v>75</v>
      </c>
      <c r="C37" s="14">
        <v>45686.660416666666</v>
      </c>
      <c r="D37" s="13" t="s">
        <v>132</v>
      </c>
      <c r="E37" s="13" t="s">
        <v>366</v>
      </c>
      <c r="F37" s="15" t="s">
        <v>133</v>
      </c>
      <c r="G37" s="13" t="s">
        <v>372</v>
      </c>
      <c r="H37" s="14">
        <v>40725</v>
      </c>
      <c r="I37" s="14"/>
      <c r="J37" s="15"/>
      <c r="K37" s="15"/>
      <c r="L37" s="13" t="s">
        <v>332</v>
      </c>
      <c r="M37" s="15"/>
      <c r="N37" s="13"/>
      <c r="O37" s="13"/>
      <c r="P37" s="13" t="s">
        <v>368</v>
      </c>
      <c r="Q37" s="13"/>
      <c r="R37" s="13"/>
      <c r="S37" s="13"/>
      <c r="T37" s="13" t="s">
        <v>307</v>
      </c>
      <c r="U37" s="15" t="s">
        <v>133</v>
      </c>
    </row>
    <row r="38" spans="1:21" ht="60" x14ac:dyDescent="0.25">
      <c r="A38" s="13" t="s">
        <v>74</v>
      </c>
      <c r="B38" s="13" t="s">
        <v>135</v>
      </c>
      <c r="C38" s="14">
        <v>43571.621527777781</v>
      </c>
      <c r="D38" s="13" t="s">
        <v>216</v>
      </c>
      <c r="E38" s="13" t="s">
        <v>366</v>
      </c>
      <c r="F38" s="15" t="s">
        <v>217</v>
      </c>
      <c r="G38" s="13" t="s">
        <v>373</v>
      </c>
      <c r="H38" s="14">
        <v>40725</v>
      </c>
      <c r="I38" s="14"/>
      <c r="J38" s="15"/>
      <c r="K38" s="15"/>
      <c r="L38" s="13" t="s">
        <v>332</v>
      </c>
      <c r="M38" s="15"/>
      <c r="N38" s="13"/>
      <c r="O38" s="13"/>
      <c r="P38" s="13" t="s">
        <v>340</v>
      </c>
      <c r="Q38" s="13"/>
      <c r="R38" s="13"/>
      <c r="S38" s="13"/>
      <c r="T38" s="13" t="s">
        <v>307</v>
      </c>
      <c r="U38" s="15" t="s">
        <v>217</v>
      </c>
    </row>
    <row r="39" spans="1:21" ht="75" x14ac:dyDescent="0.25">
      <c r="A39" s="13" t="s">
        <v>74</v>
      </c>
      <c r="B39" s="13" t="s">
        <v>135</v>
      </c>
      <c r="C39" s="14">
        <v>43571.626388888886</v>
      </c>
      <c r="D39" s="13" t="s">
        <v>214</v>
      </c>
      <c r="E39" s="13" t="s">
        <v>366</v>
      </c>
      <c r="F39" s="15" t="s">
        <v>215</v>
      </c>
      <c r="G39" s="13" t="s">
        <v>374</v>
      </c>
      <c r="H39" s="14">
        <v>40725</v>
      </c>
      <c r="I39" s="14"/>
      <c r="J39" s="15"/>
      <c r="K39" s="15"/>
      <c r="L39" s="13" t="s">
        <v>332</v>
      </c>
      <c r="M39" s="15"/>
      <c r="N39" s="13"/>
      <c r="O39" s="13"/>
      <c r="P39" s="13" t="s">
        <v>340</v>
      </c>
      <c r="Q39" s="13"/>
      <c r="R39" s="13"/>
      <c r="S39" s="13"/>
      <c r="T39" s="13" t="s">
        <v>307</v>
      </c>
      <c r="U39" s="15" t="s">
        <v>215</v>
      </c>
    </row>
    <row r="40" spans="1:21" ht="75" x14ac:dyDescent="0.25">
      <c r="A40" s="13" t="s">
        <v>74</v>
      </c>
      <c r="B40" s="13" t="s">
        <v>135</v>
      </c>
      <c r="C40" s="14">
        <v>43571.628472222219</v>
      </c>
      <c r="D40" s="13" t="s">
        <v>212</v>
      </c>
      <c r="E40" s="13" t="s">
        <v>366</v>
      </c>
      <c r="F40" s="15" t="s">
        <v>213</v>
      </c>
      <c r="G40" s="13" t="s">
        <v>375</v>
      </c>
      <c r="H40" s="14">
        <v>40725</v>
      </c>
      <c r="I40" s="14"/>
      <c r="J40" s="15"/>
      <c r="K40" s="15"/>
      <c r="L40" s="13" t="s">
        <v>332</v>
      </c>
      <c r="M40" s="15"/>
      <c r="N40" s="13"/>
      <c r="O40" s="13"/>
      <c r="P40" s="13" t="s">
        <v>340</v>
      </c>
      <c r="Q40" s="13"/>
      <c r="R40" s="13"/>
      <c r="S40" s="13"/>
      <c r="T40" s="13" t="s">
        <v>307</v>
      </c>
      <c r="U40" s="15" t="s">
        <v>213</v>
      </c>
    </row>
    <row r="41" spans="1:21" ht="45" x14ac:dyDescent="0.25">
      <c r="A41" s="13" t="s">
        <v>74</v>
      </c>
      <c r="B41" s="13" t="s">
        <v>135</v>
      </c>
      <c r="C41" s="14">
        <v>43571.629861111112</v>
      </c>
      <c r="D41" s="13" t="s">
        <v>218</v>
      </c>
      <c r="E41" s="13" t="s">
        <v>366</v>
      </c>
      <c r="F41" s="15" t="s">
        <v>219</v>
      </c>
      <c r="G41" s="13" t="s">
        <v>376</v>
      </c>
      <c r="H41" s="14">
        <v>40725</v>
      </c>
      <c r="I41" s="14"/>
      <c r="J41" s="15"/>
      <c r="K41" s="15"/>
      <c r="L41" s="13" t="s">
        <v>332</v>
      </c>
      <c r="M41" s="15"/>
      <c r="N41" s="13"/>
      <c r="O41" s="13"/>
      <c r="P41" s="13" t="s">
        <v>340</v>
      </c>
      <c r="Q41" s="13"/>
      <c r="R41" s="13"/>
      <c r="S41" s="13"/>
      <c r="T41" s="13" t="s">
        <v>307</v>
      </c>
      <c r="U41" s="15" t="s">
        <v>219</v>
      </c>
    </row>
    <row r="42" spans="1:21" ht="45" x14ac:dyDescent="0.25">
      <c r="A42" s="13" t="s">
        <v>74</v>
      </c>
      <c r="B42" s="13" t="s">
        <v>135</v>
      </c>
      <c r="C42" s="14">
        <v>43571.634027777778</v>
      </c>
      <c r="D42" s="13" t="s">
        <v>232</v>
      </c>
      <c r="E42" s="13" t="s">
        <v>366</v>
      </c>
      <c r="F42" s="15" t="s">
        <v>133</v>
      </c>
      <c r="G42" s="13" t="s">
        <v>377</v>
      </c>
      <c r="H42" s="14">
        <v>40725</v>
      </c>
      <c r="I42" s="14"/>
      <c r="J42" s="15"/>
      <c r="K42" s="15"/>
      <c r="L42" s="13" t="s">
        <v>332</v>
      </c>
      <c r="M42" s="15"/>
      <c r="N42" s="13"/>
      <c r="O42" s="13"/>
      <c r="P42" s="13" t="s">
        <v>340</v>
      </c>
      <c r="Q42" s="13"/>
      <c r="R42" s="13"/>
      <c r="S42" s="13"/>
      <c r="T42" s="13" t="s">
        <v>307</v>
      </c>
      <c r="U42" s="15" t="s">
        <v>133</v>
      </c>
    </row>
    <row r="43" spans="1:21" s="22" customFormat="1" ht="75" x14ac:dyDescent="0.25">
      <c r="A43" s="19" t="s">
        <v>180</v>
      </c>
      <c r="B43" s="19" t="s">
        <v>135</v>
      </c>
      <c r="C43" s="20">
        <v>45995.667361111111</v>
      </c>
      <c r="D43" s="19" t="s">
        <v>184</v>
      </c>
      <c r="E43" s="19" t="s">
        <v>366</v>
      </c>
      <c r="F43" s="21" t="s">
        <v>185</v>
      </c>
      <c r="G43" s="19" t="s">
        <v>378</v>
      </c>
      <c r="H43" s="20">
        <v>45901</v>
      </c>
      <c r="I43" s="20"/>
      <c r="J43" s="21"/>
      <c r="K43" s="21"/>
      <c r="L43" s="19" t="s">
        <v>332</v>
      </c>
      <c r="M43" s="21"/>
      <c r="N43" s="19"/>
      <c r="O43" s="19"/>
      <c r="P43" s="19" t="s">
        <v>379</v>
      </c>
      <c r="Q43" s="19"/>
      <c r="R43" s="19" t="s">
        <v>186</v>
      </c>
      <c r="S43" s="19"/>
      <c r="T43" s="19" t="s">
        <v>307</v>
      </c>
      <c r="U43" s="21" t="s">
        <v>185</v>
      </c>
    </row>
    <row r="44" spans="1:21" ht="45" x14ac:dyDescent="0.25">
      <c r="A44" s="13" t="s">
        <v>365</v>
      </c>
      <c r="B44" s="13" t="s">
        <v>75</v>
      </c>
      <c r="C44" s="14">
        <v>45783.584027777775</v>
      </c>
      <c r="D44" s="13" t="s">
        <v>154</v>
      </c>
      <c r="E44" s="13" t="s">
        <v>366</v>
      </c>
      <c r="F44" s="15" t="s">
        <v>155</v>
      </c>
      <c r="G44" s="13" t="s">
        <v>380</v>
      </c>
      <c r="H44" s="14">
        <v>44678</v>
      </c>
      <c r="I44" s="14"/>
      <c r="J44" s="15"/>
      <c r="K44" s="15"/>
      <c r="L44" s="13" t="s">
        <v>332</v>
      </c>
      <c r="M44" s="15"/>
      <c r="N44" s="13"/>
      <c r="O44" s="13"/>
      <c r="P44" s="13" t="s">
        <v>381</v>
      </c>
      <c r="Q44" s="13"/>
      <c r="R44" s="13"/>
      <c r="S44" s="13"/>
      <c r="T44" s="13" t="s">
        <v>307</v>
      </c>
      <c r="U44" s="15" t="s">
        <v>155</v>
      </c>
    </row>
    <row r="45" spans="1:21" ht="45" x14ac:dyDescent="0.25">
      <c r="A45" s="13" t="s">
        <v>74</v>
      </c>
      <c r="B45" s="13" t="s">
        <v>135</v>
      </c>
      <c r="C45" s="14">
        <v>43570.677777777775</v>
      </c>
      <c r="D45" s="13" t="s">
        <v>245</v>
      </c>
      <c r="E45" s="13" t="s">
        <v>382</v>
      </c>
      <c r="F45" s="15" t="s">
        <v>246</v>
      </c>
      <c r="G45" s="13"/>
      <c r="H45" s="14">
        <v>40725</v>
      </c>
      <c r="I45" s="14"/>
      <c r="J45" s="15"/>
      <c r="K45" s="15"/>
      <c r="L45" s="13" t="s">
        <v>332</v>
      </c>
      <c r="M45" s="15"/>
      <c r="N45" s="13"/>
      <c r="O45" s="13"/>
      <c r="P45" s="13"/>
      <c r="Q45" s="13" t="s">
        <v>383</v>
      </c>
      <c r="R45" s="13"/>
      <c r="S45" s="13"/>
      <c r="T45" s="13" t="s">
        <v>307</v>
      </c>
      <c r="U45" s="15" t="s">
        <v>246</v>
      </c>
    </row>
    <row r="46" spans="1:21" ht="45" x14ac:dyDescent="0.25">
      <c r="A46" s="13" t="s">
        <v>74</v>
      </c>
      <c r="B46" s="13" t="s">
        <v>135</v>
      </c>
      <c r="C46" s="14">
        <v>43570.678472222222</v>
      </c>
      <c r="D46" s="13" t="s">
        <v>247</v>
      </c>
      <c r="E46" s="13" t="s">
        <v>382</v>
      </c>
      <c r="F46" s="15" t="s">
        <v>248</v>
      </c>
      <c r="G46" s="13"/>
      <c r="H46" s="14">
        <v>40725</v>
      </c>
      <c r="I46" s="14"/>
      <c r="J46" s="15"/>
      <c r="K46" s="15"/>
      <c r="L46" s="13" t="s">
        <v>332</v>
      </c>
      <c r="M46" s="15"/>
      <c r="N46" s="13"/>
      <c r="O46" s="13"/>
      <c r="P46" s="13"/>
      <c r="Q46" s="13" t="s">
        <v>384</v>
      </c>
      <c r="R46" s="13"/>
      <c r="S46" s="13"/>
      <c r="T46" s="13" t="s">
        <v>307</v>
      </c>
      <c r="U46" s="15" t="s">
        <v>248</v>
      </c>
    </row>
    <row r="47" spans="1:21" ht="30" x14ac:dyDescent="0.25">
      <c r="A47" s="13" t="s">
        <v>74</v>
      </c>
      <c r="B47" s="13" t="s">
        <v>135</v>
      </c>
      <c r="C47" s="14">
        <v>43570.679166666669</v>
      </c>
      <c r="D47" s="13" t="s">
        <v>255</v>
      </c>
      <c r="E47" s="13" t="s">
        <v>382</v>
      </c>
      <c r="F47" s="15" t="s">
        <v>256</v>
      </c>
      <c r="G47" s="13"/>
      <c r="H47" s="14">
        <v>40725</v>
      </c>
      <c r="I47" s="14"/>
      <c r="J47" s="15"/>
      <c r="K47" s="15"/>
      <c r="L47" s="13" t="s">
        <v>332</v>
      </c>
      <c r="M47" s="15"/>
      <c r="N47" s="13"/>
      <c r="O47" s="13"/>
      <c r="P47" s="13"/>
      <c r="Q47" s="13" t="s">
        <v>385</v>
      </c>
      <c r="R47" s="13"/>
      <c r="S47" s="13"/>
      <c r="T47" s="13" t="s">
        <v>307</v>
      </c>
      <c r="U47" s="15" t="s">
        <v>256</v>
      </c>
    </row>
    <row r="48" spans="1:21" ht="45" x14ac:dyDescent="0.25">
      <c r="A48" s="13" t="s">
        <v>74</v>
      </c>
      <c r="B48" s="13" t="s">
        <v>135</v>
      </c>
      <c r="C48" s="14">
        <v>43570.679861111108</v>
      </c>
      <c r="D48" s="13" t="s">
        <v>257</v>
      </c>
      <c r="E48" s="13" t="s">
        <v>382</v>
      </c>
      <c r="F48" s="15" t="s">
        <v>258</v>
      </c>
      <c r="G48" s="13"/>
      <c r="H48" s="14">
        <v>40725</v>
      </c>
      <c r="I48" s="14"/>
      <c r="J48" s="15"/>
      <c r="K48" s="15"/>
      <c r="L48" s="13" t="s">
        <v>332</v>
      </c>
      <c r="M48" s="15"/>
      <c r="N48" s="13"/>
      <c r="O48" s="13"/>
      <c r="P48" s="13"/>
      <c r="Q48" s="13" t="s">
        <v>386</v>
      </c>
      <c r="R48" s="13"/>
      <c r="S48" s="13"/>
      <c r="T48" s="13" t="s">
        <v>307</v>
      </c>
      <c r="U48" s="15" t="s">
        <v>258</v>
      </c>
    </row>
    <row r="49" spans="1:21" ht="60" x14ac:dyDescent="0.25">
      <c r="A49" s="13" t="s">
        <v>74</v>
      </c>
      <c r="B49" s="13" t="s">
        <v>135</v>
      </c>
      <c r="C49" s="14">
        <v>43570.680555555555</v>
      </c>
      <c r="D49" s="13" t="s">
        <v>259</v>
      </c>
      <c r="E49" s="13" t="s">
        <v>382</v>
      </c>
      <c r="F49" s="15" t="s">
        <v>260</v>
      </c>
      <c r="G49" s="13"/>
      <c r="H49" s="14">
        <v>40725</v>
      </c>
      <c r="I49" s="14"/>
      <c r="J49" s="15"/>
      <c r="K49" s="15"/>
      <c r="L49" s="13" t="s">
        <v>332</v>
      </c>
      <c r="M49" s="15"/>
      <c r="N49" s="13"/>
      <c r="O49" s="13"/>
      <c r="P49" s="13"/>
      <c r="Q49" s="13" t="s">
        <v>387</v>
      </c>
      <c r="R49" s="13"/>
      <c r="S49" s="13"/>
      <c r="T49" s="13" t="s">
        <v>307</v>
      </c>
      <c r="U49" s="15" t="s">
        <v>260</v>
      </c>
    </row>
    <row r="50" spans="1:21" ht="45" x14ac:dyDescent="0.25">
      <c r="A50" s="13" t="s">
        <v>74</v>
      </c>
      <c r="B50" s="13" t="s">
        <v>135</v>
      </c>
      <c r="C50" s="14">
        <v>43570.681944444441</v>
      </c>
      <c r="D50" s="13" t="s">
        <v>249</v>
      </c>
      <c r="E50" s="13" t="s">
        <v>382</v>
      </c>
      <c r="F50" s="15" t="s">
        <v>250</v>
      </c>
      <c r="G50" s="13"/>
      <c r="H50" s="14">
        <v>40725</v>
      </c>
      <c r="I50" s="14"/>
      <c r="J50" s="15"/>
      <c r="K50" s="15"/>
      <c r="L50" s="13" t="s">
        <v>332</v>
      </c>
      <c r="M50" s="15"/>
      <c r="N50" s="13"/>
      <c r="O50" s="13"/>
      <c r="P50" s="13"/>
      <c r="Q50" s="13" t="s">
        <v>388</v>
      </c>
      <c r="R50" s="13"/>
      <c r="S50" s="13"/>
      <c r="T50" s="13" t="s">
        <v>307</v>
      </c>
      <c r="U50" s="15" t="s">
        <v>250</v>
      </c>
    </row>
    <row r="51" spans="1:21" ht="30" x14ac:dyDescent="0.25">
      <c r="A51" s="13" t="s">
        <v>74</v>
      </c>
      <c r="B51" s="13" t="s">
        <v>135</v>
      </c>
      <c r="C51" s="14">
        <v>43570.683333333334</v>
      </c>
      <c r="D51" s="13" t="s">
        <v>251</v>
      </c>
      <c r="E51" s="13" t="s">
        <v>382</v>
      </c>
      <c r="F51" s="15" t="s">
        <v>252</v>
      </c>
      <c r="G51" s="13"/>
      <c r="H51" s="14">
        <v>40725</v>
      </c>
      <c r="I51" s="14"/>
      <c r="J51" s="15"/>
      <c r="K51" s="15"/>
      <c r="L51" s="13" t="s">
        <v>332</v>
      </c>
      <c r="M51" s="15"/>
      <c r="N51" s="13"/>
      <c r="O51" s="13"/>
      <c r="P51" s="13"/>
      <c r="Q51" s="13" t="s">
        <v>389</v>
      </c>
      <c r="R51" s="13"/>
      <c r="S51" s="13"/>
      <c r="T51" s="13" t="s">
        <v>307</v>
      </c>
      <c r="U51" s="15" t="s">
        <v>252</v>
      </c>
    </row>
  </sheetData>
  <autoFilter ref="A1:Z51" xr:uid="{D8DBD4BF-8C49-4421-B5CF-9EAB8FDD89F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2026-01-22T08:36:27Z</dcterms:created>
  <dcterms:modified xsi:type="dcterms:W3CDTF">2026-01-22T08:37:59Z</dcterms:modified>
</cp:coreProperties>
</file>