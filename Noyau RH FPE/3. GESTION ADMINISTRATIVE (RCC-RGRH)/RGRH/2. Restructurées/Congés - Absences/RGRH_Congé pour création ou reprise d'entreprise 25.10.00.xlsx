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parmantier-adc\Mes Documents\"/>
    </mc:Choice>
  </mc:AlternateContent>
  <xr:revisionPtr revIDLastSave="0" documentId="13_ncr:1_{E4649E11-ABC8-46E5-BEC6-5ED4F9FA2267}" xr6:coauthVersionLast="47" xr6:coauthVersionMax="47" xr10:uidLastSave="{00000000-0000-0000-0000-000000000000}"/>
  <bookViews>
    <workbookView xWindow="-110" yWindow="-110" windowWidth="19420" windowHeight="11500" xr2:uid="{B794D778-C072-4618-8456-1592917A8E84}"/>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E21" i="4" l="1"/>
  <c r="AE20" i="4"/>
  <c r="AE18" i="4"/>
  <c r="AE17" i="4"/>
  <c r="AC21" i="4"/>
  <c r="AC20" i="4"/>
  <c r="AC18" i="4"/>
  <c r="AC17" i="4"/>
  <c r="AA21" i="4"/>
  <c r="AA20" i="4"/>
  <c r="AA18" i="4"/>
  <c r="AA17" i="4"/>
  <c r="Y21" i="4"/>
  <c r="Y20" i="4"/>
  <c r="Y18" i="4"/>
  <c r="Y17" i="4"/>
  <c r="BY20" i="5"/>
  <c r="BY18" i="5"/>
  <c r="BY17" i="5"/>
  <c r="BW21" i="5"/>
  <c r="BW20" i="5"/>
  <c r="BW18" i="5"/>
  <c r="BW17" i="5"/>
  <c r="BU21" i="5"/>
  <c r="BU20" i="5"/>
  <c r="BU18" i="5"/>
  <c r="BU17" i="5"/>
  <c r="BS22" i="5"/>
  <c r="BS21" i="5"/>
  <c r="BS20" i="5"/>
  <c r="BS19" i="5"/>
  <c r="BS18" i="5"/>
  <c r="BS17" i="5"/>
  <c r="BQ22" i="5"/>
  <c r="BQ21" i="5"/>
  <c r="BQ20" i="5"/>
  <c r="BQ19" i="5"/>
  <c r="BQ18" i="5"/>
  <c r="BQ17" i="5"/>
  <c r="BO22" i="5"/>
  <c r="BO21" i="5"/>
  <c r="BO20" i="5"/>
  <c r="BO19" i="5"/>
  <c r="BO18" i="5"/>
  <c r="BO17" i="5"/>
  <c r="BM22" i="5"/>
  <c r="BM21" i="5"/>
  <c r="BM20" i="5"/>
  <c r="BM19" i="5"/>
  <c r="BM18" i="5"/>
  <c r="BM17" i="5"/>
  <c r="BK22" i="5"/>
  <c r="BK21" i="5"/>
  <c r="BK20" i="5"/>
  <c r="BK19" i="5"/>
  <c r="BK18" i="5"/>
  <c r="BK17" i="5"/>
  <c r="BI22" i="5"/>
  <c r="BI21" i="5"/>
  <c r="BI20" i="5"/>
  <c r="BI19" i="5"/>
  <c r="BI18" i="5"/>
  <c r="BI17" i="5"/>
  <c r="BG17" i="5"/>
  <c r="BE18" i="5"/>
  <c r="BE17" i="5"/>
  <c r="BC20" i="5"/>
  <c r="BC19" i="5"/>
  <c r="BC18" i="5"/>
  <c r="BC17" i="5"/>
  <c r="BA21" i="5"/>
  <c r="BA20" i="5"/>
  <c r="BA19" i="5"/>
  <c r="BA18" i="5"/>
  <c r="BA17" i="5"/>
  <c r="AY22" i="5"/>
  <c r="AY21" i="5"/>
  <c r="AY20" i="5"/>
  <c r="AY19" i="5"/>
  <c r="AY18" i="5"/>
  <c r="AY17" i="5"/>
  <c r="AW22" i="5"/>
  <c r="AW21" i="5"/>
  <c r="AW20" i="5"/>
  <c r="AW19" i="5"/>
  <c r="AW18" i="5"/>
  <c r="AW17" i="5"/>
  <c r="AU21" i="5"/>
  <c r="AU20" i="5"/>
  <c r="AU18" i="5"/>
  <c r="AU17" i="5"/>
  <c r="AS21" i="5"/>
  <c r="AS20" i="5"/>
  <c r="AS18" i="5"/>
  <c r="AS17" i="5"/>
  <c r="AQ21" i="5"/>
  <c r="AQ20" i="5"/>
  <c r="AQ18" i="5"/>
  <c r="AQ17" i="5"/>
  <c r="AO21" i="5"/>
  <c r="AO20" i="5"/>
  <c r="AO18" i="5"/>
  <c r="AO17" i="5"/>
  <c r="AM21" i="5"/>
  <c r="AM20" i="5"/>
  <c r="AM18" i="5"/>
  <c r="AM17" i="5"/>
  <c r="AK21" i="5"/>
  <c r="AK20" i="5"/>
  <c r="AK18" i="5"/>
  <c r="AK17" i="5"/>
  <c r="AI21" i="5"/>
  <c r="AI20" i="5"/>
  <c r="AI18" i="5"/>
  <c r="AI17" i="5"/>
  <c r="AG21" i="5"/>
  <c r="AG20" i="5"/>
  <c r="AG18" i="5"/>
  <c r="AG17" i="5"/>
  <c r="AE21" i="5"/>
  <c r="AE20" i="5"/>
  <c r="AE18" i="5"/>
  <c r="AE17" i="5"/>
  <c r="AC22" i="5"/>
  <c r="AC21" i="5"/>
  <c r="AC20" i="5"/>
  <c r="AC19" i="5"/>
  <c r="AC18" i="5"/>
  <c r="AC17" i="5"/>
  <c r="AA22" i="5"/>
  <c r="AA21" i="5"/>
  <c r="AA20" i="5"/>
  <c r="AA19" i="5"/>
  <c r="AA18" i="5"/>
  <c r="AA17" i="5"/>
  <c r="Y22" i="5"/>
  <c r="Y21" i="5"/>
  <c r="Y20" i="5"/>
  <c r="Y19" i="5"/>
  <c r="Y18" i="5"/>
  <c r="Y17" i="5"/>
</calcChain>
</file>

<file path=xl/sharedStrings.xml><?xml version="1.0" encoding="utf-8"?>
<sst xmlns="http://schemas.openxmlformats.org/spreadsheetml/2006/main" count="1897" uniqueCount="298">
  <si>
    <t>MODE OPERATOIRE</t>
  </si>
  <si>
    <t>La transaction s'effectue au niveau de la rubrique "Congés/absences", elle inclut l'ensemble des sous-rubriques listées ci-dessous :
Congés/absences
Complément pour congé / absence : impact rémunération
On notera que :
La sous-rubrique "Complément pour congé / absence : impact rémunération" est réputée, suite au découpage des absences en tranche de rémunération, avoir des dates de début et de fin alignées sur les dates de début et de fin de la sous-rubrique "Congés/absences" (contrôle bloquant)</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</si>
  <si>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</si>
  <si>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</si>
  <si>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</si>
  <si>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</si>
  <si>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</si>
  <si>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</si>
  <si>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</si>
  <si>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</si>
  <si>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</si>
  <si>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</si>
  <si>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</si>
  <si>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</si>
  <si>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</si>
  <si>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</si>
  <si>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</si>
  <si>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</si>
  <si>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</si>
  <si>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</si>
  <si>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</si>
  <si>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</si>
  <si>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</si>
  <si>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</si>
  <si>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</si>
  <si>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</si>
  <si>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</si>
  <si>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</si>
  <si>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</si>
  <si>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</si>
  <si>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</si>
  <si>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</si>
  <si>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</si>
  <si>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</si>
  <si>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</si>
  <si>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</si>
  <si>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</si>
  <si>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</si>
  <si>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</si>
  <si>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</si>
  <si>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</si>
  <si>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</si>
  <si>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</si>
  <si>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</si>
  <si>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</si>
  <si>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</si>
  <si>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</si>
  <si>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</si>
  <si>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</si>
  <si>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</si>
  <si>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</si>
  <si>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</si>
  <si>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</si>
  <si>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</si>
  <si>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</si>
  <si>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</si>
  <si>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</si>
  <si>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</si>
  <si>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</si>
  <si>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</si>
  <si>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</si>
  <si>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</si>
  <si>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</si>
  <si>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</si>
  <si>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</si>
  <si>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</si>
  <si>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</si>
  <si>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</si>
  <si>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</si>
  <si>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</si>
  <si>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</si>
  <si>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</si>
  <si>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</si>
  <si>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</si>
  <si>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</si>
  <si>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</si>
  <si>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</si>
  <si>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</si>
  <si>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FIME</t>
  </si>
  <si>
    <t>Statut de travail</t>
  </si>
  <si>
    <t>22.10.00</t>
  </si>
  <si>
    <t>A</t>
  </si>
  <si>
    <t>D0007</t>
  </si>
  <si>
    <t>Congés/Absence</t>
  </si>
  <si>
    <t>S0156</t>
  </si>
  <si>
    <t>Congé pour création ou reprise d'entreprise</t>
  </si>
  <si>
    <t>E0893</t>
  </si>
  <si>
    <t>Type de congé/absence saisi = 'Congé pour création ou reprise d'entreprise'</t>
  </si>
  <si>
    <t>A_COA_TYCOAB [Saisi] = 'CF014'</t>
  </si>
  <si>
    <t>T2198</t>
  </si>
  <si>
    <t>Congé pour création ou reprise d'entreprise - Demande</t>
  </si>
  <si>
    <t>Création Modification</t>
  </si>
  <si>
    <t>La valeur de l'Etat du congé est 'Initial' et la valeur de l'Etat du congé saisie est différente de celle avant saisie</t>
  </si>
  <si>
    <t>A_COA_ETCOMA [Saisi] = 'EC01' ET A_COA_ETCOMA [Saisi] &lt;&gt; A_COA_ETCOMA [Valeur avant saisie]</t>
  </si>
  <si>
    <t>Titulaire ou magistrat</t>
  </si>
  <si>
    <t>P0001</t>
  </si>
  <si>
    <t>Général</t>
  </si>
  <si>
    <t>Exclu</t>
  </si>
  <si>
    <t>T2199</t>
  </si>
  <si>
    <t>Congé pour création ou reprise d'entreprise - Renouvellement</t>
  </si>
  <si>
    <t>La valeur de l'Etat du congé est 'Renouvellement' et la valeur de l'Etat du congé saisie est différente de celle avant saisie</t>
  </si>
  <si>
    <t>A_COA_ETCOMA [Saisi] = 'EC02' ET A_COA_ETCOMA [Saisi] &lt;&gt; A_COA_ETCOMA [Valeur avant saisie]</t>
  </si>
  <si>
    <t>T2200</t>
  </si>
  <si>
    <t>Congé pour création ou reprise d'entreprise - Fin</t>
  </si>
  <si>
    <t>Modification</t>
  </si>
  <si>
    <t>La valeur de l'Etat du congé saisie est égale à celle avant saisie</t>
  </si>
  <si>
    <t>A_COA_ETCOMA [Saisi] = A_COA_ETCOMA [Valeur avant saisie]</t>
  </si>
  <si>
    <t>Militaire</t>
  </si>
  <si>
    <t>P0002</t>
  </si>
  <si>
    <t>Contractuel</t>
  </si>
  <si>
    <t>P0003</t>
  </si>
  <si>
    <t>Stagiaire ou auditeur ou élève</t>
  </si>
  <si>
    <t>P0004</t>
  </si>
  <si>
    <t>Ouvrier d'état</t>
  </si>
  <si>
    <t>P0005</t>
  </si>
  <si>
    <t>Militaire sous contrat</t>
  </si>
  <si>
    <t>P0145</t>
  </si>
  <si>
    <t>Particulier</t>
  </si>
  <si>
    <t>Passant</t>
  </si>
  <si>
    <t>CCE_I_003 ET CCE_I_017 ET CCE_I_001 ET CCE_I_002 ET CCE_I_004 ET CCE_I_005 ET CCE_I_006 ET CCE_I_007 ET CCE_I_008 ET CCE_I_009 ET CCE_I_010 ET CCE_I_011 ET CCE_D_003 ET CCE_D_004 ET CCE_D_002 ET CCE_D_001 ET CCE_D_008 ET CCE_D_009 ET ABS_C_002 ET ABS_C_003 ET ABS_C_004 ET ABS_C_007 ET ABS_C_008 ET ABS_C_009 ET ABS_C_019 ET ABS_C_020 ET ABS_C_026</t>
  </si>
  <si>
    <t>CCE_I_003</t>
  </si>
  <si>
    <t>Le bénéfice d'un congé pour création ou reprise d'entreprise est exclusif de tout congé de reconversion et de congé complémentaire de reconversion.</t>
  </si>
  <si>
    <t>CCE_I_017</t>
  </si>
  <si>
    <t>L'interdiction d'exercer à titre professionnel une activité privée lucrative et de participer aux organes de direction de sociétés ou d'associations à but lucratif n'est pas applicable dans le cadre de ce congé.</t>
  </si>
  <si>
    <t>CCE_I_001</t>
  </si>
  <si>
    <t>Le militaire doit présenter une demande écrite à l'autorité dont il relève 2 mois au moins avant la date de création ou de reprise de l'entreprise.</t>
  </si>
  <si>
    <t>CCE_I_002</t>
  </si>
  <si>
    <t>La demande mentionne la forme et l'objet social de l'entreprise susceptible d'être créée, son secteur et sa branche d'activité et, le cas échéant, la nature et le montant des subventions publiques dont cette entreprise est susceptible de bénéficier.</t>
  </si>
  <si>
    <t>CCE_I_004</t>
  </si>
  <si>
    <t>Le ministre compétent saisit la commission de déontologie des militaires de cette demande dans le mois qui suit la date à laquelle elle l'a reçue.</t>
  </si>
  <si>
    <t>CCE_I_005</t>
  </si>
  <si>
    <t>La commission rend son avis dans un délai d'1 mois à compter de l'enregistrement du dossier de saisine.</t>
  </si>
  <si>
    <t>CCE_I_006</t>
  </si>
  <si>
    <t>L'absence d'avis de la commission à l'expiration du délai vaut avis favorable.</t>
  </si>
  <si>
    <t>CCE_I_007</t>
  </si>
  <si>
    <t>L'avis de la commission est transmis au ministre compétent pour décision qui doit intervenir dans un délai d'1 mois à compter de la réception du dossier.</t>
  </si>
  <si>
    <t>CCE_I_008</t>
  </si>
  <si>
    <t>L'absence de décision du ministre compétent dans le délai vaut refus d'attribution du congé.</t>
  </si>
  <si>
    <t>CCE_I_009</t>
  </si>
  <si>
    <t>En cas de décision favorable, le ministre compétent doit mentionner la durée du congé accordé.</t>
  </si>
  <si>
    <t>CCE_I_010</t>
  </si>
  <si>
    <t>Pendant la durée du congé, le militaire se consacre obligatoirement à la création et à l'exploitation de l'entreprise qu'il crée ou reprend.</t>
  </si>
  <si>
    <t>CCE_I_011</t>
  </si>
  <si>
    <t>Le ministre compétent peut faire procéder aux enquêtes nécessaires afin de vérifier si l'activité du militaire est conforme à l'objet du congé.</t>
  </si>
  <si>
    <t>CCE_D_003</t>
  </si>
  <si>
    <t>La durée maximale de chaque période est de 1 an (date de fin prévisionnelle de l'absence).</t>
  </si>
  <si>
    <t>CCE_D_004</t>
  </si>
  <si>
    <t>La durée maximale de chaque période est de 1 an (date de fin réelle de l'absence).</t>
  </si>
  <si>
    <t>CCE_D_002</t>
  </si>
  <si>
    <t>Le militaire doit avoir accompli au moins 8 ans de services militaires effectifs.</t>
  </si>
  <si>
    <t>CCE_D_001</t>
  </si>
  <si>
    <t>Le militaire est en activité.</t>
  </si>
  <si>
    <t>CCE_D_008</t>
  </si>
  <si>
    <t>La date de fin réelle du congé doit être antérieure ou égale à la date limite de fin réelle ou prévisionnelle du lien juridique. Cependant le militaire peut voir son contrat prorogé jusqu'à la date de fin du congé dans la limite de la durée de service.</t>
  </si>
  <si>
    <t>CCE_D_009</t>
  </si>
  <si>
    <t>La date de fin prévisionnelle du congé doit être antérieure ou égale à la date limite de fin réelle ou prévisionnelle du lien juridique. Cependant le militaire peut voir son contrat prorogé jusqu'à la date de fin du congé dans la limite de la durée de service.</t>
  </si>
  <si>
    <t>ABS_C_002</t>
  </si>
  <si>
    <t>La date de début du congé/absence doit être postérieure ou égale à la date de début du lien juridique.</t>
  </si>
  <si>
    <t>ABS_C_003</t>
  </si>
  <si>
    <t>La date de début du congé/absence doit être antérieure ou égale à la date de fin réelle du congé/absence.</t>
  </si>
  <si>
    <t>ABS_C_004</t>
  </si>
  <si>
    <t>La date de début du congé/absence doit être antérieure ou égale à la date de fin prévisionnelle du congé/absence.</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</si>
  <si>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</si>
  <si>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</si>
  <si>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</si>
  <si>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</si>
  <si>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ABS_C_009</t>
  </si>
  <si>
    <t>La date de fin réelle ou la date de fin prévisionnelle du congé/absence doit être saisie.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</si>
  <si>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</si>
  <si>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</si>
  <si>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</si>
  <si>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</si>
  <si>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ABS_C_026</t>
  </si>
  <si>
    <t>Dans le cas d'un congé autre que CLM, CLD, CGM et CITIS, l'indicateur de requalification doit être à non et les impacts spécifiques à la requalification ne doivent pas être mobilisés ou l'impact rémunération est vide.</t>
  </si>
  <si>
    <t>CCE_I_017 ET CCE_I_014 ET CCE_I_002 ET CCE_I_004 ET CCE_I_005 ET CCE_I_006 ET CCE_I_007 ET CCE_I_008 ET CCE_I_009 ET CCE_I_015 ET CCE_I_010 ET CCE_I_011 ET CCE_D_003 ET CCE_D_004 ET CCE_D_005 ET CCE_D_008 ET CCE_D_009 ET ABS_C_002 ET ABS_C_003 ET ABS_C_004 ET ABS_C_007 ET ABS_C_008 ET ABS_C_009 ET ABS_C_019 ET ABS_C_020 ET ABS_C_026</t>
  </si>
  <si>
    <t>CCE_I_014</t>
  </si>
  <si>
    <t>Le militaire qui souhaite prolonger la durée du congé doit en faire la demande au moins 2 mois avant l'échéance de la date mentionnée dans l'autorisation initiale.</t>
  </si>
  <si>
    <t>CCE_I_015</t>
  </si>
  <si>
    <t>Toutefois si l'objet social de l'entreprise, son secteur et sa branche d'activité sont identiques à ceux de la demande initiale, l'autorisation de prorogation du congé est de droit. L'avis de la commission de déontologie n'est alors pas sollicité.</t>
  </si>
  <si>
    <t>CCE_D_005</t>
  </si>
  <si>
    <t>Le congé est renouvelable 1 fois.</t>
  </si>
  <si>
    <t>CCE_I_012 ET CCE_I_016 ET CCE_I_013 ET CCE_D_003 ET CCE_D_004 ET CCE_D_008 ET CCE_D_009 ET ABS_C_003 ET ABS_C_004 ET ABS_C_007 ET ABS_C_008 ET ABS_C_009 ET ABS_C_026</t>
  </si>
  <si>
    <t>CCE_I_012</t>
  </si>
  <si>
    <t>Si le congé n'est pas mis à profit pour créer, reprendre ou exploiter une entreprise, le ministre compétent notifie au militaire la fin du congé par anticipation. Il est alors radié des cadres ou rayé des contrôles.</t>
  </si>
  <si>
    <t>CCE_I_016</t>
  </si>
  <si>
    <t>Le militaire qui souhaite interrompre le congé doit en faire la demande au moins 2 mois avant l'expiration du congé. Il est alors affecté dans un emploi de son grade.</t>
  </si>
  <si>
    <t>CCE_I_013</t>
  </si>
  <si>
    <t>Le militaire est radié des cadres ou rayé des contrôles à titre définitif à l'expiration de ce congé.</t>
  </si>
  <si>
    <t>Militaire de carrière</t>
  </si>
  <si>
    <t>P0189</t>
  </si>
  <si>
    <t>CCE_I_003 ET CCE_I_017 ET CCE_I_001 ET CCE_I_002 ET CCE_I_004 ET CCE_I_005 ET CCE_I_006 ET CCE_I_007 ET CCE_I_008 ET CCE_I_009 ET CCE_I_010 ET CCE_I_011 ET CCE_D_003 ET CCE_D_004 ET CCE_D_002 ET CCE_D_001 ET ABS_C_001 ET ABS_C_003 ET ABS_C_004 ET ABS_C_007 ET ABS_C_008 ET ABS_C_009 ET ABS_C_019 ET ABS_C_020 ET ABS_C_026</t>
  </si>
  <si>
    <t>ABS_C_001</t>
  </si>
  <si>
    <t>La date de début du congé/absence doit être postérieure ou égale à la date de recrutement dans la FPE ou dans la carrière militaire.</t>
  </si>
  <si>
    <t>CCE_I_017 ET CCE_I_014 ET CCE_I_002 ET CCE_I_004 ET CCE_I_005 ET CCE_I_006 ET CCE_I_007 ET CCE_I_008 ET CCE_I_009 ET CCE_I_015 ET CCE_I_010 ET CCE_I_011 ET CCE_D_003 ET CCE_D_004 ET CCE_D_005 ET ABS_C_003 ET ABS_C_004 ET ABS_C_007 ET ABS_C_008 ET ABS_C_009 ET ABS_C_019 ET ABS_C_020 ET ABS_C_026</t>
  </si>
  <si>
    <t>CCE_I_012 ET CCE_I_016 ET CCE_I_013 ET CCE_D_003 ET CCE_D_004 ET ABS_C_003 ET ABS_C_004 ET ABS_C_007 ET ABS_C_008 ET ABS_C_009 ET ABS_C_026</t>
  </si>
  <si>
    <t>Impacts</t>
  </si>
  <si>
    <t>Identifiant Impacts  1</t>
  </si>
  <si>
    <t>Libellé Impacts  1</t>
  </si>
  <si>
    <t>Identifiant Impacts 2</t>
  </si>
  <si>
    <t>Libellé Impacts 2</t>
  </si>
  <si>
    <t>Identifiant Impacts 3</t>
  </si>
  <si>
    <t>Libellé Impacts 3</t>
  </si>
  <si>
    <t>Identifiant Impacts 4</t>
  </si>
  <si>
    <t>Libellé Impacts 4</t>
  </si>
  <si>
    <t>CCE_P_001 ET CCE_P_002 ET CCE_P_003 ET CCE_P_005</t>
  </si>
  <si>
    <t>CCE_P_001</t>
  </si>
  <si>
    <t>Rémunération : Durant ce congé, le militaire perçoit la rémunération de son grade.</t>
  </si>
  <si>
    <t>CCE_P_002</t>
  </si>
  <si>
    <t>Carrière : La durée de ce congé compte pour les droits à avancement.</t>
  </si>
  <si>
    <t>CCE_P_003</t>
  </si>
  <si>
    <t>Retraite : La durée de ce congé compte pour les droits à pension.</t>
  </si>
  <si>
    <t>CCE_P_005</t>
  </si>
  <si>
    <t>Acte : Un acte administratif doit être produit.</t>
  </si>
  <si>
    <t>CCE_P_004 ET CCE_P_002 ET CCE_P_003 ET CCE_P_005</t>
  </si>
  <si>
    <t>CCE_P_004</t>
  </si>
  <si>
    <t>Rémunération : Lorsque le congé est renouvelé, le militaire perçoit pendant la période de renouvellement, la rémunération de son grade réduite de moitié.</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</si>
  <si>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</si>
  <si>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</si>
  <si>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</si>
  <si>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</si>
  <si>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</si>
  <si>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</si>
  <si>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</si>
  <si>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</si>
  <si>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</si>
  <si>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</si>
  <si>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</si>
  <si>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</si>
  <si>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</si>
  <si>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</si>
  <si>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</si>
  <si>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</si>
  <si>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</si>
  <si>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</si>
  <si>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</si>
  <si>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</si>
  <si>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</si>
  <si>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</si>
  <si>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</si>
  <si>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</si>
  <si>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</si>
  <si>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</si>
  <si>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</si>
  <si>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</si>
  <si>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</si>
  <si>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</si>
  <si>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Code de la défense L4138-2 | L4138-1</t>
  </si>
  <si>
    <t>A_POS_POSIAD [Dossier] = POSITION_SITUATION.R_FOR_IDEN05 ET (POSITION_SITUATION.R_REL_PSSAG2 DANS ('ACI','HCA','MAD','DEL','MDE','MLD') OU (POSITION_SITUATION.R_REL_PSSAG1 DANS ('DEE00', 'DES00'))</t>
  </si>
  <si>
    <t>Bloquant</t>
  </si>
  <si>
    <t>P0145 / P0189 - E0893 - Demande/Renouvellement</t>
  </si>
  <si>
    <t>x</t>
  </si>
  <si>
    <t>Code de la défense L4139-5-1</t>
  </si>
  <si>
    <t>A_AND_TYPANC [Dossier] = 'ANCGS' ET (A_COA_DADBCA [Saisi] - A_AND_DACAAN [Dossier] &gt;= 8 AN-3D)</t>
  </si>
  <si>
    <t>Non Bloquant</t>
  </si>
  <si>
    <t>Contrôle non bloquant, car le contrôle de l'ancienneté de l'agent reste de la responsabilité du gestionnaire ministériel qui peut le modifier en fonction d'un contexte qui le justifie.</t>
  </si>
  <si>
    <t>P0145 / P0189 - E0893 - Demande</t>
  </si>
  <si>
    <t>A_COA_DAFIPR [Saisi] - A_COA_DADBCA [Saisi] &lt;= 1 AN</t>
  </si>
  <si>
    <t>P0145 / P0189 - E0893 - Demande/Renouvellement/Fin</t>
  </si>
  <si>
    <t>A_COA_DFRECA [Saisi] - A_COA_DADBCA [Saisi] &lt;= 1 AN</t>
  </si>
  <si>
    <t>La durée maximale de chaque période est de 1 an.</t>
  </si>
  <si>
    <t>A_COA_ETCOMA [Occurrence précédente] = 'EC01'</t>
  </si>
  <si>
    <t>P0145 / P0189 - E0893 - Renouvellement</t>
  </si>
  <si>
    <t>Code de la défense L4138-2</t>
  </si>
  <si>
    <t>SI A_CAR_TYPCOT [Dossier] = 'TC01' ET A_COA_DFRECA [Saisi] &lt;&gt; Vide</t>
  </si>
  <si>
    <t>A_COA_DFRECA [Saisi] &lt;= [Date limite de fin réelle ou prévisionnelle du lien juridique]</t>
  </si>
  <si>
    <t>P0145 - E0893 - Demande/Renouvellement/Fin</t>
  </si>
  <si>
    <t>Le militaire peut voir son contrat prorogé jusqu'à la date de fin du congé dans la limite de la durée de service.</t>
  </si>
  <si>
    <t>SI A_CAR_TYPCOT [Dossier] = 'TC01' ET A_COA_DFRECA [Saisi] = Vide ET A_COA_DAFIPR [Saisi] &lt;&gt; Vide</t>
  </si>
  <si>
    <t>A_COA_DAFIPR [Saisi] &lt;= [Date limite de fin réelle ou prévisionnelle du lien juridique]</t>
  </si>
  <si>
    <t>17.10.00</t>
  </si>
  <si>
    <t>Contrôle</t>
  </si>
  <si>
    <t>A_COA_DADBCA [Saisi] &gt;= A_SAP_DENFPE [Dossier]</t>
  </si>
  <si>
    <t>A_COA_DADBCA [Saisi] &gt;= A_CAR_DDLIJU [Dossier]</t>
  </si>
  <si>
    <t>SI A_COA_DFRECA [Saisi] &lt;&gt; Vide</t>
  </si>
  <si>
    <t>A_COA_DADBCA [Saisi] &lt;= A_COA_DFRECA [Saisi]</t>
  </si>
  <si>
    <t>SI A_COA_DAFIPR [Saisi] &lt;&gt; Vide ET A_COA_DFRECA [Saisi] = Vide</t>
  </si>
  <si>
    <t>A_COA_DADBCA [Saisi] &lt;= A_COA_DAFIPR [Saisi]</t>
  </si>
  <si>
    <t>A_COA_DFRECA [Saisi] &lt; A_SAP_DLDPRE [Dossier]</t>
  </si>
  <si>
    <t>A_COA_DAFIPR [Saisi] &lt; A_SAP_DLDPRE [Dossier]</t>
  </si>
  <si>
    <t>A_COA_DAFIPR [Saisi] &lt;&gt; Vide OU A_COA_DFRECA [Saisi] &lt;&gt; Vide</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</si>
  <si>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</si>
  <si>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</si>
  <si>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</si>
  <si>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</si>
  <si>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</si>
  <si>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19.00.00</t>
  </si>
  <si>
    <t>M</t>
  </si>
  <si>
    <t>A_COA_CMOREQ [Saisi]  = 0  ET ((A_COA_IMPPAY [Saisi] = IMPACT_REMU.R_FOR_IDEN04 ET IMPACT_REMU.R_FOR_REQUAL = '0') OU A_COA_IMPPAY [Saisi] = Vide)</t>
  </si>
  <si>
    <t>Intellectuel</t>
  </si>
  <si>
    <t>Code de la défense L4139-5-1 | R4138-29-1</t>
  </si>
  <si>
    <t>Code de la défense R4138-29-1</t>
  </si>
  <si>
    <t>Code de la défense R4138-29-1 | R4122-17</t>
  </si>
  <si>
    <t>P0145 / P0189 - E0893 - Fin</t>
  </si>
  <si>
    <t>Code de la défense R4138-29-3</t>
  </si>
  <si>
    <t>Impact</t>
  </si>
  <si>
    <t>Code de la défense L4139-5-1 | R4138-29-2 | R4138-29</t>
  </si>
  <si>
    <t>Code de la défense L4139-5-1 |R4138-29-2 | R4138-29</t>
  </si>
  <si>
    <t>P0189 / P0145 - E0893 - Demande/Renouvellement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</si>
</sst>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79943-72E2-4A69-8BB2-9D2CD2035F32}">
  <sheetPr codeName="Feuil2"/>
  <dimension ref="A1:AG425"/>
  <sheetViews>
    <sheetView tabSelected="1" zoomScaleNormal="100" workbookViewId="0"/>
  </sheetViews>
  <sheetFormatPr baseColWidth="10" defaultRowHeight="14.5" x14ac:dyDescent="0.35"/>
  <cols>
    <col min="2" max="2" width="144.26953125" style="9" customWidth="1"/>
    <col min="3" max="3" width="64.81640625" style="2" bestFit="1" customWidth="1"/>
    <col min="18" max="19" width="10.90625" style="2"/>
  </cols>
  <sheetData>
    <row r="1" spans="1:33" x14ac:dyDescent="0.35">
      <c r="B1" s="1" t="s">
        <v>0</v>
      </c>
    </row>
    <row r="2" spans="1:33" ht="87"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31632-39E3-4902-9AD0-572E1961BE8C}">
  <dimension ref="A1:CA181"/>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15.6328125" style="18" customWidth="1"/>
    <col min="45" max="45" width="25.6328125" style="17" customWidth="1"/>
    <col min="46" max="46" width="15.6328125" style="18" customWidth="1"/>
    <col min="47" max="47" width="25.6328125" style="17" customWidth="1"/>
    <col min="48" max="48" width="15.6328125" style="18" customWidth="1"/>
    <col min="49" max="49" width="25.6328125" style="17" customWidth="1"/>
    <col min="50" max="50" width="15.6328125" style="18" customWidth="1"/>
    <col min="51" max="51" width="25.6328125" style="17" customWidth="1"/>
    <col min="52" max="52" width="15.6328125" style="18" customWidth="1"/>
    <col min="53" max="53" width="25.6328125" style="17" customWidth="1"/>
    <col min="54" max="54" width="15.6328125" style="18" customWidth="1"/>
    <col min="55" max="55" width="25.6328125" style="17" customWidth="1"/>
    <col min="56" max="56" width="15.6328125" style="18" customWidth="1"/>
    <col min="57" max="57" width="25.6328125" style="17" customWidth="1"/>
    <col min="58" max="58" width="15.6328125" style="18" customWidth="1"/>
    <col min="59" max="59" width="25.6328125" style="17" customWidth="1"/>
    <col min="60" max="60" width="15.6328125" style="18" customWidth="1"/>
    <col min="61" max="61" width="25.6328125" style="17" customWidth="1"/>
    <col min="62" max="62" width="15.6328125" style="18" customWidth="1"/>
    <col min="63" max="63" width="25.6328125" style="17" customWidth="1"/>
    <col min="64" max="64" width="15.6328125" style="18" customWidth="1"/>
    <col min="65" max="65" width="25.6328125" style="17" customWidth="1"/>
    <col min="66" max="66" width="15.6328125" style="18" customWidth="1"/>
    <col min="67" max="67" width="25.6328125" style="17" customWidth="1"/>
    <col min="68" max="68" width="15.6328125" style="18" customWidth="1"/>
    <col min="69" max="69" width="25.6328125" style="17" customWidth="1"/>
    <col min="70" max="70" width="15.6328125" style="18" customWidth="1"/>
    <col min="71" max="71" width="25.6328125" style="17" customWidth="1"/>
    <col min="72" max="72" width="15.6328125" style="18" customWidth="1"/>
    <col min="73" max="73" width="25.6328125" style="17" customWidth="1"/>
    <col min="74" max="74" width="15.6328125" style="18" customWidth="1"/>
    <col min="75" max="75" width="25.6328125" style="17" customWidth="1"/>
    <col min="76" max="76" width="15.6328125" style="18" customWidth="1"/>
    <col min="77" max="77" width="25.6328125" style="17" customWidth="1"/>
    <col min="78" max="78" width="9.6328125" style="18" customWidth="1"/>
    <col min="79" max="79" width="15.6328125" style="17" customWidth="1"/>
    <col min="80" max="16384" width="10.90625" style="12"/>
  </cols>
  <sheetData>
    <row r="1" spans="1:79"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c r="BD1" s="10" t="s">
        <v>56</v>
      </c>
      <c r="BE1" s="10" t="s">
        <v>57</v>
      </c>
      <c r="BF1" s="10" t="s">
        <v>58</v>
      </c>
      <c r="BG1" s="10" t="s">
        <v>59</v>
      </c>
      <c r="BH1" s="10" t="s">
        <v>60</v>
      </c>
      <c r="BI1" s="10" t="s">
        <v>61</v>
      </c>
      <c r="BJ1" s="10" t="s">
        <v>62</v>
      </c>
      <c r="BK1" s="10" t="s">
        <v>63</v>
      </c>
      <c r="BL1" s="10" t="s">
        <v>64</v>
      </c>
      <c r="BM1" s="10" t="s">
        <v>65</v>
      </c>
      <c r="BN1" s="10" t="s">
        <v>66</v>
      </c>
      <c r="BO1" s="10" t="s">
        <v>67</v>
      </c>
      <c r="BP1" s="10" t="s">
        <v>68</v>
      </c>
      <c r="BQ1" s="10" t="s">
        <v>69</v>
      </c>
      <c r="BR1" s="10" t="s">
        <v>70</v>
      </c>
      <c r="BS1" s="10" t="s">
        <v>71</v>
      </c>
      <c r="BT1" s="10" t="s">
        <v>72</v>
      </c>
      <c r="BU1" s="10" t="s">
        <v>73</v>
      </c>
      <c r="BV1" s="10" t="s">
        <v>74</v>
      </c>
      <c r="BW1" s="10" t="s">
        <v>75</v>
      </c>
      <c r="BX1" s="10" t="s">
        <v>76</v>
      </c>
      <c r="BY1" s="10" t="s">
        <v>77</v>
      </c>
      <c r="BZ1" s="10" t="s">
        <v>78</v>
      </c>
      <c r="CA1" s="10" t="s">
        <v>79</v>
      </c>
    </row>
    <row r="2" spans="1:79" ht="58" x14ac:dyDescent="0.35">
      <c r="A2" s="13" t="s">
        <v>80</v>
      </c>
      <c r="B2" s="13" t="s">
        <v>81</v>
      </c>
      <c r="C2" s="14">
        <v>44854.470833333333</v>
      </c>
      <c r="D2" s="13" t="s">
        <v>82</v>
      </c>
      <c r="E2" s="15" t="s">
        <v>83</v>
      </c>
      <c r="F2" s="13" t="s">
        <v>84</v>
      </c>
      <c r="G2" s="15" t="s">
        <v>85</v>
      </c>
      <c r="H2" s="13" t="s">
        <v>86</v>
      </c>
      <c r="I2" s="15" t="s">
        <v>85</v>
      </c>
      <c r="J2" s="15" t="s">
        <v>87</v>
      </c>
      <c r="K2" s="15" t="s">
        <v>88</v>
      </c>
      <c r="L2" s="13" t="s">
        <v>89</v>
      </c>
      <c r="M2" s="15" t="s">
        <v>90</v>
      </c>
      <c r="N2" s="13" t="s">
        <v>91</v>
      </c>
      <c r="O2" s="15" t="s">
        <v>92</v>
      </c>
      <c r="P2" s="15" t="s">
        <v>93</v>
      </c>
      <c r="Q2" s="15" t="s">
        <v>94</v>
      </c>
      <c r="R2" s="13" t="s">
        <v>95</v>
      </c>
      <c r="S2" s="13" t="s">
        <v>96</v>
      </c>
      <c r="T2" s="13" t="s">
        <v>97</v>
      </c>
      <c r="U2" s="14">
        <v>43831</v>
      </c>
      <c r="V2" s="14"/>
      <c r="W2" s="15"/>
      <c r="X2" s="13"/>
      <c r="Y2" s="15"/>
      <c r="Z2" s="13"/>
      <c r="AA2" s="15"/>
      <c r="AB2" s="13"/>
      <c r="AC2" s="15"/>
      <c r="AD2" s="13"/>
      <c r="AE2" s="15"/>
      <c r="AF2" s="13"/>
      <c r="AG2" s="15"/>
      <c r="AH2" s="13"/>
      <c r="AI2" s="15"/>
      <c r="AJ2" s="13"/>
      <c r="AK2" s="15"/>
      <c r="AL2" s="13"/>
      <c r="AM2" s="15"/>
      <c r="AN2" s="13"/>
      <c r="AO2" s="15"/>
      <c r="AP2" s="13"/>
      <c r="AQ2" s="15"/>
      <c r="AR2" s="13"/>
      <c r="AS2" s="15"/>
      <c r="AT2" s="13"/>
      <c r="AU2" s="15"/>
      <c r="AV2" s="13"/>
      <c r="AW2" s="15"/>
      <c r="AX2" s="13"/>
      <c r="AY2" s="15"/>
      <c r="AZ2" s="13"/>
      <c r="BA2" s="15"/>
      <c r="BB2" s="13"/>
      <c r="BC2" s="15"/>
      <c r="BD2" s="13"/>
      <c r="BE2" s="15"/>
      <c r="BF2" s="13"/>
      <c r="BG2" s="15"/>
      <c r="BH2" s="13"/>
      <c r="BI2" s="15"/>
      <c r="BJ2" s="13"/>
      <c r="BK2" s="15"/>
      <c r="BL2" s="13"/>
      <c r="BM2" s="15"/>
      <c r="BN2" s="13"/>
      <c r="BO2" s="15"/>
      <c r="BP2" s="13"/>
      <c r="BQ2" s="15"/>
      <c r="BR2" s="13"/>
      <c r="BS2" s="15"/>
      <c r="BT2" s="13"/>
      <c r="BU2" s="15"/>
      <c r="BV2" s="13"/>
      <c r="BW2" s="15"/>
      <c r="BX2" s="13"/>
      <c r="BY2" s="15"/>
      <c r="BZ2" s="13"/>
      <c r="CA2" s="15"/>
    </row>
    <row r="3" spans="1:79" ht="58" x14ac:dyDescent="0.35">
      <c r="A3" s="13" t="s">
        <v>80</v>
      </c>
      <c r="B3" s="13" t="s">
        <v>81</v>
      </c>
      <c r="C3" s="14">
        <v>44854.484027777777</v>
      </c>
      <c r="D3" s="13" t="s">
        <v>82</v>
      </c>
      <c r="E3" s="15" t="s">
        <v>83</v>
      </c>
      <c r="F3" s="13" t="s">
        <v>84</v>
      </c>
      <c r="G3" s="15" t="s">
        <v>85</v>
      </c>
      <c r="H3" s="13" t="s">
        <v>86</v>
      </c>
      <c r="I3" s="15" t="s">
        <v>85</v>
      </c>
      <c r="J3" s="15" t="s">
        <v>87</v>
      </c>
      <c r="K3" s="15" t="s">
        <v>88</v>
      </c>
      <c r="L3" s="13" t="s">
        <v>98</v>
      </c>
      <c r="M3" s="15" t="s">
        <v>99</v>
      </c>
      <c r="N3" s="13" t="s">
        <v>91</v>
      </c>
      <c r="O3" s="15" t="s">
        <v>100</v>
      </c>
      <c r="P3" s="15" t="s">
        <v>101</v>
      </c>
      <c r="Q3" s="15" t="s">
        <v>94</v>
      </c>
      <c r="R3" s="13" t="s">
        <v>95</v>
      </c>
      <c r="S3" s="13" t="s">
        <v>96</v>
      </c>
      <c r="T3" s="13" t="s">
        <v>97</v>
      </c>
      <c r="U3" s="14">
        <v>43831</v>
      </c>
      <c r="V3" s="14"/>
      <c r="W3" s="15"/>
      <c r="X3" s="13"/>
      <c r="Y3" s="15"/>
      <c r="Z3" s="13"/>
      <c r="AA3" s="15"/>
      <c r="AB3" s="13"/>
      <c r="AC3" s="15"/>
      <c r="AD3" s="13"/>
      <c r="AE3" s="15"/>
      <c r="AF3" s="13"/>
      <c r="AG3" s="15"/>
      <c r="AH3" s="13"/>
      <c r="AI3" s="15"/>
      <c r="AJ3" s="13"/>
      <c r="AK3" s="15"/>
      <c r="AL3" s="13"/>
      <c r="AM3" s="15"/>
      <c r="AN3" s="13"/>
      <c r="AO3" s="15"/>
      <c r="AP3" s="13"/>
      <c r="AQ3" s="15"/>
      <c r="AR3" s="13"/>
      <c r="AS3" s="15"/>
      <c r="AT3" s="13"/>
      <c r="AU3" s="15"/>
      <c r="AV3" s="13"/>
      <c r="AW3" s="15"/>
      <c r="AX3" s="13"/>
      <c r="AY3" s="15"/>
      <c r="AZ3" s="13"/>
      <c r="BA3" s="15"/>
      <c r="BB3" s="13"/>
      <c r="BC3" s="15"/>
      <c r="BD3" s="13"/>
      <c r="BE3" s="15"/>
      <c r="BF3" s="13"/>
      <c r="BG3" s="15"/>
      <c r="BH3" s="13"/>
      <c r="BI3" s="15"/>
      <c r="BJ3" s="13"/>
      <c r="BK3" s="15"/>
      <c r="BL3" s="13"/>
      <c r="BM3" s="15"/>
      <c r="BN3" s="13"/>
      <c r="BO3" s="15"/>
      <c r="BP3" s="13"/>
      <c r="BQ3" s="15"/>
      <c r="BR3" s="13"/>
      <c r="BS3" s="15"/>
      <c r="BT3" s="13"/>
      <c r="BU3" s="15"/>
      <c r="BV3" s="13"/>
      <c r="BW3" s="15"/>
      <c r="BX3" s="13"/>
      <c r="BY3" s="15"/>
      <c r="BZ3" s="13"/>
      <c r="CA3" s="15"/>
    </row>
    <row r="4" spans="1:79" ht="43.5" x14ac:dyDescent="0.35">
      <c r="A4" s="13" t="s">
        <v>80</v>
      </c>
      <c r="B4" s="13" t="s">
        <v>81</v>
      </c>
      <c r="C4" s="14">
        <v>44854.493055555555</v>
      </c>
      <c r="D4" s="13" t="s">
        <v>82</v>
      </c>
      <c r="E4" s="15" t="s">
        <v>83</v>
      </c>
      <c r="F4" s="13" t="s">
        <v>84</v>
      </c>
      <c r="G4" s="15" t="s">
        <v>85</v>
      </c>
      <c r="H4" s="13" t="s">
        <v>86</v>
      </c>
      <c r="I4" s="15" t="s">
        <v>85</v>
      </c>
      <c r="J4" s="15" t="s">
        <v>87</v>
      </c>
      <c r="K4" s="15" t="s">
        <v>88</v>
      </c>
      <c r="L4" s="13" t="s">
        <v>102</v>
      </c>
      <c r="M4" s="15" t="s">
        <v>103</v>
      </c>
      <c r="N4" s="13" t="s">
        <v>104</v>
      </c>
      <c r="O4" s="15" t="s">
        <v>105</v>
      </c>
      <c r="P4" s="15" t="s">
        <v>106</v>
      </c>
      <c r="Q4" s="15" t="s">
        <v>94</v>
      </c>
      <c r="R4" s="13" t="s">
        <v>95</v>
      </c>
      <c r="S4" s="13" t="s">
        <v>96</v>
      </c>
      <c r="T4" s="13" t="s">
        <v>97</v>
      </c>
      <c r="U4" s="14">
        <v>43831</v>
      </c>
      <c r="V4" s="14"/>
      <c r="W4" s="15"/>
      <c r="X4" s="13"/>
      <c r="Y4" s="15"/>
      <c r="Z4" s="13"/>
      <c r="AA4" s="15"/>
      <c r="AB4" s="13"/>
      <c r="AC4" s="15"/>
      <c r="AD4" s="13"/>
      <c r="AE4" s="15"/>
      <c r="AF4" s="13"/>
      <c r="AG4" s="15"/>
      <c r="AH4" s="13"/>
      <c r="AI4" s="15"/>
      <c r="AJ4" s="13"/>
      <c r="AK4" s="15"/>
      <c r="AL4" s="13"/>
      <c r="AM4" s="15"/>
      <c r="AN4" s="13"/>
      <c r="AO4" s="15"/>
      <c r="AP4" s="13"/>
      <c r="AQ4" s="15"/>
      <c r="AR4" s="13"/>
      <c r="AS4" s="15"/>
      <c r="AT4" s="13"/>
      <c r="AU4" s="15"/>
      <c r="AV4" s="13"/>
      <c r="AW4" s="15"/>
      <c r="AX4" s="13"/>
      <c r="AY4" s="15"/>
      <c r="AZ4" s="13"/>
      <c r="BA4" s="15"/>
      <c r="BB4" s="13"/>
      <c r="BC4" s="15"/>
      <c r="BD4" s="13"/>
      <c r="BE4" s="15"/>
      <c r="BF4" s="13"/>
      <c r="BG4" s="15"/>
      <c r="BH4" s="13"/>
      <c r="BI4" s="15"/>
      <c r="BJ4" s="13"/>
      <c r="BK4" s="15"/>
      <c r="BL4" s="13"/>
      <c r="BM4" s="15"/>
      <c r="BN4" s="13"/>
      <c r="BO4" s="15"/>
      <c r="BP4" s="13"/>
      <c r="BQ4" s="15"/>
      <c r="BR4" s="13"/>
      <c r="BS4" s="15"/>
      <c r="BT4" s="13"/>
      <c r="BU4" s="15"/>
      <c r="BV4" s="13"/>
      <c r="BW4" s="15"/>
      <c r="BX4" s="13"/>
      <c r="BY4" s="15"/>
      <c r="BZ4" s="13"/>
      <c r="CA4" s="15"/>
    </row>
    <row r="5" spans="1:79" ht="58" x14ac:dyDescent="0.35">
      <c r="A5" s="13" t="s">
        <v>80</v>
      </c>
      <c r="B5" s="13" t="s">
        <v>81</v>
      </c>
      <c r="C5" s="14">
        <v>44854.47152777778</v>
      </c>
      <c r="D5" s="13" t="s">
        <v>82</v>
      </c>
      <c r="E5" s="15" t="s">
        <v>83</v>
      </c>
      <c r="F5" s="13" t="s">
        <v>84</v>
      </c>
      <c r="G5" s="15" t="s">
        <v>85</v>
      </c>
      <c r="H5" s="13" t="s">
        <v>86</v>
      </c>
      <c r="I5" s="15" t="s">
        <v>85</v>
      </c>
      <c r="J5" s="15" t="s">
        <v>87</v>
      </c>
      <c r="K5" s="15" t="s">
        <v>88</v>
      </c>
      <c r="L5" s="13" t="s">
        <v>89</v>
      </c>
      <c r="M5" s="15" t="s">
        <v>90</v>
      </c>
      <c r="N5" s="13" t="s">
        <v>91</v>
      </c>
      <c r="O5" s="15" t="s">
        <v>92</v>
      </c>
      <c r="P5" s="15" t="s">
        <v>93</v>
      </c>
      <c r="Q5" s="15" t="s">
        <v>107</v>
      </c>
      <c r="R5" s="13" t="s">
        <v>108</v>
      </c>
      <c r="S5" s="13" t="s">
        <v>96</v>
      </c>
      <c r="T5" s="13" t="s">
        <v>97</v>
      </c>
      <c r="U5" s="14">
        <v>43831</v>
      </c>
      <c r="V5" s="14"/>
      <c r="W5" s="15"/>
      <c r="X5" s="13"/>
      <c r="Y5" s="15"/>
      <c r="Z5" s="13"/>
      <c r="AA5" s="15"/>
      <c r="AB5" s="13"/>
      <c r="AC5" s="15"/>
      <c r="AD5" s="13"/>
      <c r="AE5" s="15"/>
      <c r="AF5" s="13"/>
      <c r="AG5" s="15"/>
      <c r="AH5" s="13"/>
      <c r="AI5" s="15"/>
      <c r="AJ5" s="13"/>
      <c r="AK5" s="15"/>
      <c r="AL5" s="13"/>
      <c r="AM5" s="15"/>
      <c r="AN5" s="13"/>
      <c r="AO5" s="15"/>
      <c r="AP5" s="13"/>
      <c r="AQ5" s="15"/>
      <c r="AR5" s="13"/>
      <c r="AS5" s="15"/>
      <c r="AT5" s="13"/>
      <c r="AU5" s="15"/>
      <c r="AV5" s="13"/>
      <c r="AW5" s="15"/>
      <c r="AX5" s="13"/>
      <c r="AY5" s="15"/>
      <c r="AZ5" s="13"/>
      <c r="BA5" s="15"/>
      <c r="BB5" s="13"/>
      <c r="BC5" s="15"/>
      <c r="BD5" s="13"/>
      <c r="BE5" s="15"/>
      <c r="BF5" s="13"/>
      <c r="BG5" s="15"/>
      <c r="BH5" s="13"/>
      <c r="BI5" s="15"/>
      <c r="BJ5" s="13"/>
      <c r="BK5" s="15"/>
      <c r="BL5" s="13"/>
      <c r="BM5" s="15"/>
      <c r="BN5" s="13"/>
      <c r="BO5" s="15"/>
      <c r="BP5" s="13"/>
      <c r="BQ5" s="15"/>
      <c r="BR5" s="13"/>
      <c r="BS5" s="15"/>
      <c r="BT5" s="13"/>
      <c r="BU5" s="15"/>
      <c r="BV5" s="13"/>
      <c r="BW5" s="15"/>
      <c r="BX5" s="13"/>
      <c r="BY5" s="15"/>
      <c r="BZ5" s="13"/>
      <c r="CA5" s="15"/>
    </row>
    <row r="6" spans="1:79" ht="58" x14ac:dyDescent="0.35">
      <c r="A6" s="13" t="s">
        <v>80</v>
      </c>
      <c r="B6" s="13" t="s">
        <v>81</v>
      </c>
      <c r="C6" s="14">
        <v>44854.48541666667</v>
      </c>
      <c r="D6" s="13" t="s">
        <v>82</v>
      </c>
      <c r="E6" s="15" t="s">
        <v>83</v>
      </c>
      <c r="F6" s="13" t="s">
        <v>84</v>
      </c>
      <c r="G6" s="15" t="s">
        <v>85</v>
      </c>
      <c r="H6" s="13" t="s">
        <v>86</v>
      </c>
      <c r="I6" s="15" t="s">
        <v>85</v>
      </c>
      <c r="J6" s="15" t="s">
        <v>87</v>
      </c>
      <c r="K6" s="15" t="s">
        <v>88</v>
      </c>
      <c r="L6" s="13" t="s">
        <v>98</v>
      </c>
      <c r="M6" s="15" t="s">
        <v>99</v>
      </c>
      <c r="N6" s="13" t="s">
        <v>91</v>
      </c>
      <c r="O6" s="15" t="s">
        <v>100</v>
      </c>
      <c r="P6" s="15" t="s">
        <v>101</v>
      </c>
      <c r="Q6" s="15" t="s">
        <v>107</v>
      </c>
      <c r="R6" s="13" t="s">
        <v>108</v>
      </c>
      <c r="S6" s="13" t="s">
        <v>96</v>
      </c>
      <c r="T6" s="13" t="s">
        <v>97</v>
      </c>
      <c r="U6" s="14">
        <v>43831</v>
      </c>
      <c r="V6" s="14"/>
      <c r="W6" s="15"/>
      <c r="X6" s="13"/>
      <c r="Y6" s="15"/>
      <c r="Z6" s="13"/>
      <c r="AA6" s="15"/>
      <c r="AB6" s="13"/>
      <c r="AC6" s="15"/>
      <c r="AD6" s="13"/>
      <c r="AE6" s="15"/>
      <c r="AF6" s="13"/>
      <c r="AG6" s="15"/>
      <c r="AH6" s="13"/>
      <c r="AI6" s="15"/>
      <c r="AJ6" s="13"/>
      <c r="AK6" s="15"/>
      <c r="AL6" s="13"/>
      <c r="AM6" s="15"/>
      <c r="AN6" s="13"/>
      <c r="AO6" s="15"/>
      <c r="AP6" s="13"/>
      <c r="AQ6" s="15"/>
      <c r="AR6" s="13"/>
      <c r="AS6" s="15"/>
      <c r="AT6" s="13"/>
      <c r="AU6" s="15"/>
      <c r="AV6" s="13"/>
      <c r="AW6" s="15"/>
      <c r="AX6" s="13"/>
      <c r="AY6" s="15"/>
      <c r="AZ6" s="13"/>
      <c r="BA6" s="15"/>
      <c r="BB6" s="13"/>
      <c r="BC6" s="15"/>
      <c r="BD6" s="13"/>
      <c r="BE6" s="15"/>
      <c r="BF6" s="13"/>
      <c r="BG6" s="15"/>
      <c r="BH6" s="13"/>
      <c r="BI6" s="15"/>
      <c r="BJ6" s="13"/>
      <c r="BK6" s="15"/>
      <c r="BL6" s="13"/>
      <c r="BM6" s="15"/>
      <c r="BN6" s="13"/>
      <c r="BO6" s="15"/>
      <c r="BP6" s="13"/>
      <c r="BQ6" s="15"/>
      <c r="BR6" s="13"/>
      <c r="BS6" s="15"/>
      <c r="BT6" s="13"/>
      <c r="BU6" s="15"/>
      <c r="BV6" s="13"/>
      <c r="BW6" s="15"/>
      <c r="BX6" s="13"/>
      <c r="BY6" s="15"/>
      <c r="BZ6" s="13"/>
      <c r="CA6" s="15"/>
    </row>
    <row r="7" spans="1:79" ht="43.5" x14ac:dyDescent="0.35">
      <c r="A7" s="13" t="s">
        <v>80</v>
      </c>
      <c r="B7" s="13" t="s">
        <v>81</v>
      </c>
      <c r="C7" s="14">
        <v>44854.493055555555</v>
      </c>
      <c r="D7" s="13" t="s">
        <v>82</v>
      </c>
      <c r="E7" s="15" t="s">
        <v>83</v>
      </c>
      <c r="F7" s="13" t="s">
        <v>84</v>
      </c>
      <c r="G7" s="15" t="s">
        <v>85</v>
      </c>
      <c r="H7" s="13" t="s">
        <v>86</v>
      </c>
      <c r="I7" s="15" t="s">
        <v>85</v>
      </c>
      <c r="J7" s="15" t="s">
        <v>87</v>
      </c>
      <c r="K7" s="15" t="s">
        <v>88</v>
      </c>
      <c r="L7" s="13" t="s">
        <v>102</v>
      </c>
      <c r="M7" s="15" t="s">
        <v>103</v>
      </c>
      <c r="N7" s="13" t="s">
        <v>104</v>
      </c>
      <c r="O7" s="15" t="s">
        <v>105</v>
      </c>
      <c r="P7" s="15" t="s">
        <v>106</v>
      </c>
      <c r="Q7" s="15" t="s">
        <v>107</v>
      </c>
      <c r="R7" s="13" t="s">
        <v>108</v>
      </c>
      <c r="S7" s="13" t="s">
        <v>96</v>
      </c>
      <c r="T7" s="13" t="s">
        <v>97</v>
      </c>
      <c r="U7" s="14">
        <v>43831</v>
      </c>
      <c r="V7" s="14"/>
      <c r="W7" s="15"/>
      <c r="X7" s="13"/>
      <c r="Y7" s="15"/>
      <c r="Z7" s="13"/>
      <c r="AA7" s="15"/>
      <c r="AB7" s="13"/>
      <c r="AC7" s="15"/>
      <c r="AD7" s="13"/>
      <c r="AE7" s="15"/>
      <c r="AF7" s="13"/>
      <c r="AG7" s="15"/>
      <c r="AH7" s="13"/>
      <c r="AI7" s="15"/>
      <c r="AJ7" s="13"/>
      <c r="AK7" s="15"/>
      <c r="AL7" s="13"/>
      <c r="AM7" s="15"/>
      <c r="AN7" s="13"/>
      <c r="AO7" s="15"/>
      <c r="AP7" s="13"/>
      <c r="AQ7" s="15"/>
      <c r="AR7" s="13"/>
      <c r="AS7" s="15"/>
      <c r="AT7" s="13"/>
      <c r="AU7" s="15"/>
      <c r="AV7" s="13"/>
      <c r="AW7" s="15"/>
      <c r="AX7" s="13"/>
      <c r="AY7" s="15"/>
      <c r="AZ7" s="13"/>
      <c r="BA7" s="15"/>
      <c r="BB7" s="13"/>
      <c r="BC7" s="15"/>
      <c r="BD7" s="13"/>
      <c r="BE7" s="15"/>
      <c r="BF7" s="13"/>
      <c r="BG7" s="15"/>
      <c r="BH7" s="13"/>
      <c r="BI7" s="15"/>
      <c r="BJ7" s="13"/>
      <c r="BK7" s="15"/>
      <c r="BL7" s="13"/>
      <c r="BM7" s="15"/>
      <c r="BN7" s="13"/>
      <c r="BO7" s="15"/>
      <c r="BP7" s="13"/>
      <c r="BQ7" s="15"/>
      <c r="BR7" s="13"/>
      <c r="BS7" s="15"/>
      <c r="BT7" s="13"/>
      <c r="BU7" s="15"/>
      <c r="BV7" s="13"/>
      <c r="BW7" s="15"/>
      <c r="BX7" s="13"/>
      <c r="BY7" s="15"/>
      <c r="BZ7" s="13"/>
      <c r="CA7" s="15"/>
    </row>
    <row r="8" spans="1:79" ht="58" x14ac:dyDescent="0.35">
      <c r="A8" s="13" t="s">
        <v>80</v>
      </c>
      <c r="B8" s="13" t="s">
        <v>81</v>
      </c>
      <c r="C8" s="14">
        <v>44854.472222222219</v>
      </c>
      <c r="D8" s="13" t="s">
        <v>82</v>
      </c>
      <c r="E8" s="15" t="s">
        <v>83</v>
      </c>
      <c r="F8" s="13" t="s">
        <v>84</v>
      </c>
      <c r="G8" s="15" t="s">
        <v>85</v>
      </c>
      <c r="H8" s="13" t="s">
        <v>86</v>
      </c>
      <c r="I8" s="15" t="s">
        <v>85</v>
      </c>
      <c r="J8" s="15" t="s">
        <v>87</v>
      </c>
      <c r="K8" s="15" t="s">
        <v>88</v>
      </c>
      <c r="L8" s="13" t="s">
        <v>89</v>
      </c>
      <c r="M8" s="15" t="s">
        <v>90</v>
      </c>
      <c r="N8" s="13" t="s">
        <v>91</v>
      </c>
      <c r="O8" s="15" t="s">
        <v>92</v>
      </c>
      <c r="P8" s="15" t="s">
        <v>93</v>
      </c>
      <c r="Q8" s="15" t="s">
        <v>109</v>
      </c>
      <c r="R8" s="13" t="s">
        <v>110</v>
      </c>
      <c r="S8" s="13" t="s">
        <v>96</v>
      </c>
      <c r="T8" s="13" t="s">
        <v>97</v>
      </c>
      <c r="U8" s="14">
        <v>43831</v>
      </c>
      <c r="V8" s="14"/>
      <c r="W8" s="15"/>
      <c r="X8" s="13"/>
      <c r="Y8" s="15"/>
      <c r="Z8" s="13"/>
      <c r="AA8" s="15"/>
      <c r="AB8" s="13"/>
      <c r="AC8" s="15"/>
      <c r="AD8" s="13"/>
      <c r="AE8" s="15"/>
      <c r="AF8" s="13"/>
      <c r="AG8" s="15"/>
      <c r="AH8" s="13"/>
      <c r="AI8" s="15"/>
      <c r="AJ8" s="13"/>
      <c r="AK8" s="15"/>
      <c r="AL8" s="13"/>
      <c r="AM8" s="15"/>
      <c r="AN8" s="13"/>
      <c r="AO8" s="15"/>
      <c r="AP8" s="13"/>
      <c r="AQ8" s="15"/>
      <c r="AR8" s="13"/>
      <c r="AS8" s="15"/>
      <c r="AT8" s="13"/>
      <c r="AU8" s="15"/>
      <c r="AV8" s="13"/>
      <c r="AW8" s="15"/>
      <c r="AX8" s="13"/>
      <c r="AY8" s="15"/>
      <c r="AZ8" s="13"/>
      <c r="BA8" s="15"/>
      <c r="BB8" s="13"/>
      <c r="BC8" s="15"/>
      <c r="BD8" s="13"/>
      <c r="BE8" s="15"/>
      <c r="BF8" s="13"/>
      <c r="BG8" s="15"/>
      <c r="BH8" s="13"/>
      <c r="BI8" s="15"/>
      <c r="BJ8" s="13"/>
      <c r="BK8" s="15"/>
      <c r="BL8" s="13"/>
      <c r="BM8" s="15"/>
      <c r="BN8" s="13"/>
      <c r="BO8" s="15"/>
      <c r="BP8" s="13"/>
      <c r="BQ8" s="15"/>
      <c r="BR8" s="13"/>
      <c r="BS8" s="15"/>
      <c r="BT8" s="13"/>
      <c r="BU8" s="15"/>
      <c r="BV8" s="13"/>
      <c r="BW8" s="15"/>
      <c r="BX8" s="13"/>
      <c r="BY8" s="15"/>
      <c r="BZ8" s="13"/>
      <c r="CA8" s="15"/>
    </row>
    <row r="9" spans="1:79" ht="58" x14ac:dyDescent="0.35">
      <c r="A9" s="13" t="s">
        <v>80</v>
      </c>
      <c r="B9" s="13" t="s">
        <v>81</v>
      </c>
      <c r="C9" s="14">
        <v>44854.48541666667</v>
      </c>
      <c r="D9" s="13" t="s">
        <v>82</v>
      </c>
      <c r="E9" s="15" t="s">
        <v>83</v>
      </c>
      <c r="F9" s="13" t="s">
        <v>84</v>
      </c>
      <c r="G9" s="15" t="s">
        <v>85</v>
      </c>
      <c r="H9" s="13" t="s">
        <v>86</v>
      </c>
      <c r="I9" s="15" t="s">
        <v>85</v>
      </c>
      <c r="J9" s="15" t="s">
        <v>87</v>
      </c>
      <c r="K9" s="15" t="s">
        <v>88</v>
      </c>
      <c r="L9" s="13" t="s">
        <v>98</v>
      </c>
      <c r="M9" s="15" t="s">
        <v>99</v>
      </c>
      <c r="N9" s="13" t="s">
        <v>91</v>
      </c>
      <c r="O9" s="15" t="s">
        <v>100</v>
      </c>
      <c r="P9" s="15" t="s">
        <v>101</v>
      </c>
      <c r="Q9" s="15" t="s">
        <v>109</v>
      </c>
      <c r="R9" s="13" t="s">
        <v>110</v>
      </c>
      <c r="S9" s="13" t="s">
        <v>96</v>
      </c>
      <c r="T9" s="13" t="s">
        <v>97</v>
      </c>
      <c r="U9" s="14">
        <v>43831</v>
      </c>
      <c r="V9" s="14"/>
      <c r="W9" s="15"/>
      <c r="X9" s="13"/>
      <c r="Y9" s="15"/>
      <c r="Z9" s="13"/>
      <c r="AA9" s="15"/>
      <c r="AB9" s="13"/>
      <c r="AC9" s="15"/>
      <c r="AD9" s="13"/>
      <c r="AE9" s="15"/>
      <c r="AF9" s="13"/>
      <c r="AG9" s="15"/>
      <c r="AH9" s="13"/>
      <c r="AI9" s="15"/>
      <c r="AJ9" s="13"/>
      <c r="AK9" s="15"/>
      <c r="AL9" s="13"/>
      <c r="AM9" s="15"/>
      <c r="AN9" s="13"/>
      <c r="AO9" s="15"/>
      <c r="AP9" s="13"/>
      <c r="AQ9" s="15"/>
      <c r="AR9" s="13"/>
      <c r="AS9" s="15"/>
      <c r="AT9" s="13"/>
      <c r="AU9" s="15"/>
      <c r="AV9" s="13"/>
      <c r="AW9" s="15"/>
      <c r="AX9" s="13"/>
      <c r="AY9" s="15"/>
      <c r="AZ9" s="13"/>
      <c r="BA9" s="15"/>
      <c r="BB9" s="13"/>
      <c r="BC9" s="15"/>
      <c r="BD9" s="13"/>
      <c r="BE9" s="15"/>
      <c r="BF9" s="13"/>
      <c r="BG9" s="15"/>
      <c r="BH9" s="13"/>
      <c r="BI9" s="15"/>
      <c r="BJ9" s="13"/>
      <c r="BK9" s="15"/>
      <c r="BL9" s="13"/>
      <c r="BM9" s="15"/>
      <c r="BN9" s="13"/>
      <c r="BO9" s="15"/>
      <c r="BP9" s="13"/>
      <c r="BQ9" s="15"/>
      <c r="BR9" s="13"/>
      <c r="BS9" s="15"/>
      <c r="BT9" s="13"/>
      <c r="BU9" s="15"/>
      <c r="BV9" s="13"/>
      <c r="BW9" s="15"/>
      <c r="BX9" s="13"/>
      <c r="BY9" s="15"/>
      <c r="BZ9" s="13"/>
      <c r="CA9" s="15"/>
    </row>
    <row r="10" spans="1:79" ht="43.5" x14ac:dyDescent="0.35">
      <c r="A10" s="13" t="s">
        <v>80</v>
      </c>
      <c r="B10" s="13" t="s">
        <v>81</v>
      </c>
      <c r="C10" s="14">
        <v>44854.493750000001</v>
      </c>
      <c r="D10" s="13" t="s">
        <v>82</v>
      </c>
      <c r="E10" s="15" t="s">
        <v>83</v>
      </c>
      <c r="F10" s="13" t="s">
        <v>84</v>
      </c>
      <c r="G10" s="15" t="s">
        <v>85</v>
      </c>
      <c r="H10" s="13" t="s">
        <v>86</v>
      </c>
      <c r="I10" s="15" t="s">
        <v>85</v>
      </c>
      <c r="J10" s="15" t="s">
        <v>87</v>
      </c>
      <c r="K10" s="15" t="s">
        <v>88</v>
      </c>
      <c r="L10" s="13" t="s">
        <v>102</v>
      </c>
      <c r="M10" s="15" t="s">
        <v>103</v>
      </c>
      <c r="N10" s="13" t="s">
        <v>104</v>
      </c>
      <c r="O10" s="15" t="s">
        <v>105</v>
      </c>
      <c r="P10" s="15" t="s">
        <v>106</v>
      </c>
      <c r="Q10" s="15" t="s">
        <v>109</v>
      </c>
      <c r="R10" s="13" t="s">
        <v>110</v>
      </c>
      <c r="S10" s="13" t="s">
        <v>96</v>
      </c>
      <c r="T10" s="13" t="s">
        <v>97</v>
      </c>
      <c r="U10" s="14">
        <v>43831</v>
      </c>
      <c r="V10" s="14"/>
      <c r="W10" s="15"/>
      <c r="X10" s="13"/>
      <c r="Y10" s="15"/>
      <c r="Z10" s="13"/>
      <c r="AA10" s="15"/>
      <c r="AB10" s="13"/>
      <c r="AC10" s="15"/>
      <c r="AD10" s="13"/>
      <c r="AE10" s="15"/>
      <c r="AF10" s="13"/>
      <c r="AG10" s="15"/>
      <c r="AH10" s="13"/>
      <c r="AI10" s="15"/>
      <c r="AJ10" s="13"/>
      <c r="AK10" s="15"/>
      <c r="AL10" s="13"/>
      <c r="AM10" s="15"/>
      <c r="AN10" s="13"/>
      <c r="AO10" s="15"/>
      <c r="AP10" s="13"/>
      <c r="AQ10" s="15"/>
      <c r="AR10" s="13"/>
      <c r="AS10" s="15"/>
      <c r="AT10" s="13"/>
      <c r="AU10" s="15"/>
      <c r="AV10" s="13"/>
      <c r="AW10" s="15"/>
      <c r="AX10" s="13"/>
      <c r="AY10" s="15"/>
      <c r="AZ10" s="13"/>
      <c r="BA10" s="15"/>
      <c r="BB10" s="13"/>
      <c r="BC10" s="15"/>
      <c r="BD10" s="13"/>
      <c r="BE10" s="15"/>
      <c r="BF10" s="13"/>
      <c r="BG10" s="15"/>
      <c r="BH10" s="13"/>
      <c r="BI10" s="15"/>
      <c r="BJ10" s="13"/>
      <c r="BK10" s="15"/>
      <c r="BL10" s="13"/>
      <c r="BM10" s="15"/>
      <c r="BN10" s="13"/>
      <c r="BO10" s="15"/>
      <c r="BP10" s="13"/>
      <c r="BQ10" s="15"/>
      <c r="BR10" s="13"/>
      <c r="BS10" s="15"/>
      <c r="BT10" s="13"/>
      <c r="BU10" s="15"/>
      <c r="BV10" s="13"/>
      <c r="BW10" s="15"/>
      <c r="BX10" s="13"/>
      <c r="BY10" s="15"/>
      <c r="BZ10" s="13"/>
      <c r="CA10" s="15"/>
    </row>
    <row r="11" spans="1:79" ht="58" x14ac:dyDescent="0.35">
      <c r="A11" s="13" t="s">
        <v>80</v>
      </c>
      <c r="B11" s="13" t="s">
        <v>81</v>
      </c>
      <c r="C11" s="14">
        <v>44854.473611111112</v>
      </c>
      <c r="D11" s="13" t="s">
        <v>82</v>
      </c>
      <c r="E11" s="15" t="s">
        <v>83</v>
      </c>
      <c r="F11" s="13" t="s">
        <v>84</v>
      </c>
      <c r="G11" s="15" t="s">
        <v>85</v>
      </c>
      <c r="H11" s="13" t="s">
        <v>86</v>
      </c>
      <c r="I11" s="15" t="s">
        <v>85</v>
      </c>
      <c r="J11" s="15" t="s">
        <v>87</v>
      </c>
      <c r="K11" s="15" t="s">
        <v>88</v>
      </c>
      <c r="L11" s="13" t="s">
        <v>89</v>
      </c>
      <c r="M11" s="15" t="s">
        <v>90</v>
      </c>
      <c r="N11" s="13" t="s">
        <v>91</v>
      </c>
      <c r="O11" s="15" t="s">
        <v>92</v>
      </c>
      <c r="P11" s="15" t="s">
        <v>93</v>
      </c>
      <c r="Q11" s="15" t="s">
        <v>111</v>
      </c>
      <c r="R11" s="13" t="s">
        <v>112</v>
      </c>
      <c r="S11" s="13" t="s">
        <v>96</v>
      </c>
      <c r="T11" s="13" t="s">
        <v>97</v>
      </c>
      <c r="U11" s="14">
        <v>43831</v>
      </c>
      <c r="V11" s="14"/>
      <c r="W11" s="15"/>
      <c r="X11" s="13"/>
      <c r="Y11" s="15"/>
      <c r="Z11" s="13"/>
      <c r="AA11" s="15"/>
      <c r="AB11" s="13"/>
      <c r="AC11" s="15"/>
      <c r="AD11" s="13"/>
      <c r="AE11" s="15"/>
      <c r="AF11" s="13"/>
      <c r="AG11" s="15"/>
      <c r="AH11" s="13"/>
      <c r="AI11" s="15"/>
      <c r="AJ11" s="13"/>
      <c r="AK11" s="15"/>
      <c r="AL11" s="13"/>
      <c r="AM11" s="15"/>
      <c r="AN11" s="13"/>
      <c r="AO11" s="15"/>
      <c r="AP11" s="13"/>
      <c r="AQ11" s="15"/>
      <c r="AR11" s="13"/>
      <c r="AS11" s="15"/>
      <c r="AT11" s="13"/>
      <c r="AU11" s="15"/>
      <c r="AV11" s="13"/>
      <c r="AW11" s="15"/>
      <c r="AX11" s="13"/>
      <c r="AY11" s="15"/>
      <c r="AZ11" s="13"/>
      <c r="BA11" s="15"/>
      <c r="BB11" s="13"/>
      <c r="BC11" s="15"/>
      <c r="BD11" s="13"/>
      <c r="BE11" s="15"/>
      <c r="BF11" s="13"/>
      <c r="BG11" s="15"/>
      <c r="BH11" s="13"/>
      <c r="BI11" s="15"/>
      <c r="BJ11" s="13"/>
      <c r="BK11" s="15"/>
      <c r="BL11" s="13"/>
      <c r="BM11" s="15"/>
      <c r="BN11" s="13"/>
      <c r="BO11" s="15"/>
      <c r="BP11" s="13"/>
      <c r="BQ11" s="15"/>
      <c r="BR11" s="13"/>
      <c r="BS11" s="15"/>
      <c r="BT11" s="13"/>
      <c r="BU11" s="15"/>
      <c r="BV11" s="13"/>
      <c r="BW11" s="15"/>
      <c r="BX11" s="13"/>
      <c r="BY11" s="15"/>
      <c r="BZ11" s="13"/>
      <c r="CA11" s="15"/>
    </row>
    <row r="12" spans="1:79" ht="58" x14ac:dyDescent="0.35">
      <c r="A12" s="13" t="s">
        <v>80</v>
      </c>
      <c r="B12" s="13" t="s">
        <v>81</v>
      </c>
      <c r="C12" s="14">
        <v>44854.486111111109</v>
      </c>
      <c r="D12" s="13" t="s">
        <v>82</v>
      </c>
      <c r="E12" s="15" t="s">
        <v>83</v>
      </c>
      <c r="F12" s="13" t="s">
        <v>84</v>
      </c>
      <c r="G12" s="15" t="s">
        <v>85</v>
      </c>
      <c r="H12" s="13" t="s">
        <v>86</v>
      </c>
      <c r="I12" s="15" t="s">
        <v>85</v>
      </c>
      <c r="J12" s="15" t="s">
        <v>87</v>
      </c>
      <c r="K12" s="15" t="s">
        <v>88</v>
      </c>
      <c r="L12" s="13" t="s">
        <v>98</v>
      </c>
      <c r="M12" s="15" t="s">
        <v>99</v>
      </c>
      <c r="N12" s="13" t="s">
        <v>91</v>
      </c>
      <c r="O12" s="15" t="s">
        <v>100</v>
      </c>
      <c r="P12" s="15" t="s">
        <v>101</v>
      </c>
      <c r="Q12" s="15" t="s">
        <v>111</v>
      </c>
      <c r="R12" s="13" t="s">
        <v>112</v>
      </c>
      <c r="S12" s="13" t="s">
        <v>96</v>
      </c>
      <c r="T12" s="13" t="s">
        <v>97</v>
      </c>
      <c r="U12" s="14">
        <v>43831</v>
      </c>
      <c r="V12" s="14"/>
      <c r="W12" s="15"/>
      <c r="X12" s="13"/>
      <c r="Y12" s="15"/>
      <c r="Z12" s="13"/>
      <c r="AA12" s="15"/>
      <c r="AB12" s="13"/>
      <c r="AC12" s="15"/>
      <c r="AD12" s="13"/>
      <c r="AE12" s="15"/>
      <c r="AF12" s="13"/>
      <c r="AG12" s="15"/>
      <c r="AH12" s="13"/>
      <c r="AI12" s="15"/>
      <c r="AJ12" s="13"/>
      <c r="AK12" s="15"/>
      <c r="AL12" s="13"/>
      <c r="AM12" s="15"/>
      <c r="AN12" s="13"/>
      <c r="AO12" s="15"/>
      <c r="AP12" s="13"/>
      <c r="AQ12" s="15"/>
      <c r="AR12" s="13"/>
      <c r="AS12" s="15"/>
      <c r="AT12" s="13"/>
      <c r="AU12" s="15"/>
      <c r="AV12" s="13"/>
      <c r="AW12" s="15"/>
      <c r="AX12" s="13"/>
      <c r="AY12" s="15"/>
      <c r="AZ12" s="13"/>
      <c r="BA12" s="15"/>
      <c r="BB12" s="13"/>
      <c r="BC12" s="15"/>
      <c r="BD12" s="13"/>
      <c r="BE12" s="15"/>
      <c r="BF12" s="13"/>
      <c r="BG12" s="15"/>
      <c r="BH12" s="13"/>
      <c r="BI12" s="15"/>
      <c r="BJ12" s="13"/>
      <c r="BK12" s="15"/>
      <c r="BL12" s="13"/>
      <c r="BM12" s="15"/>
      <c r="BN12" s="13"/>
      <c r="BO12" s="15"/>
      <c r="BP12" s="13"/>
      <c r="BQ12" s="15"/>
      <c r="BR12" s="13"/>
      <c r="BS12" s="15"/>
      <c r="BT12" s="13"/>
      <c r="BU12" s="15"/>
      <c r="BV12" s="13"/>
      <c r="BW12" s="15"/>
      <c r="BX12" s="13"/>
      <c r="BY12" s="15"/>
      <c r="BZ12" s="13"/>
      <c r="CA12" s="15"/>
    </row>
    <row r="13" spans="1:79" ht="43.5" x14ac:dyDescent="0.35">
      <c r="A13" s="13" t="s">
        <v>80</v>
      </c>
      <c r="B13" s="13" t="s">
        <v>81</v>
      </c>
      <c r="C13" s="14">
        <v>44854.494444444441</v>
      </c>
      <c r="D13" s="13" t="s">
        <v>82</v>
      </c>
      <c r="E13" s="15" t="s">
        <v>83</v>
      </c>
      <c r="F13" s="13" t="s">
        <v>84</v>
      </c>
      <c r="G13" s="15" t="s">
        <v>85</v>
      </c>
      <c r="H13" s="13" t="s">
        <v>86</v>
      </c>
      <c r="I13" s="15" t="s">
        <v>85</v>
      </c>
      <c r="J13" s="15" t="s">
        <v>87</v>
      </c>
      <c r="K13" s="15" t="s">
        <v>88</v>
      </c>
      <c r="L13" s="13" t="s">
        <v>102</v>
      </c>
      <c r="M13" s="15" t="s">
        <v>103</v>
      </c>
      <c r="N13" s="13" t="s">
        <v>104</v>
      </c>
      <c r="O13" s="15" t="s">
        <v>105</v>
      </c>
      <c r="P13" s="15" t="s">
        <v>106</v>
      </c>
      <c r="Q13" s="15" t="s">
        <v>111</v>
      </c>
      <c r="R13" s="13" t="s">
        <v>112</v>
      </c>
      <c r="S13" s="13" t="s">
        <v>96</v>
      </c>
      <c r="T13" s="13" t="s">
        <v>97</v>
      </c>
      <c r="U13" s="14">
        <v>43831</v>
      </c>
      <c r="V13" s="14"/>
      <c r="W13" s="15"/>
      <c r="X13" s="13"/>
      <c r="Y13" s="15"/>
      <c r="Z13" s="13"/>
      <c r="AA13" s="15"/>
      <c r="AB13" s="13"/>
      <c r="AC13" s="15"/>
      <c r="AD13" s="13"/>
      <c r="AE13" s="15"/>
      <c r="AF13" s="13"/>
      <c r="AG13" s="15"/>
      <c r="AH13" s="13"/>
      <c r="AI13" s="15"/>
      <c r="AJ13" s="13"/>
      <c r="AK13" s="15"/>
      <c r="AL13" s="13"/>
      <c r="AM13" s="15"/>
      <c r="AN13" s="13"/>
      <c r="AO13" s="15"/>
      <c r="AP13" s="13"/>
      <c r="AQ13" s="15"/>
      <c r="AR13" s="13"/>
      <c r="AS13" s="15"/>
      <c r="AT13" s="13"/>
      <c r="AU13" s="15"/>
      <c r="AV13" s="13"/>
      <c r="AW13" s="15"/>
      <c r="AX13" s="13"/>
      <c r="AY13" s="15"/>
      <c r="AZ13" s="13"/>
      <c r="BA13" s="15"/>
      <c r="BB13" s="13"/>
      <c r="BC13" s="15"/>
      <c r="BD13" s="13"/>
      <c r="BE13" s="15"/>
      <c r="BF13" s="13"/>
      <c r="BG13" s="15"/>
      <c r="BH13" s="13"/>
      <c r="BI13" s="15"/>
      <c r="BJ13" s="13"/>
      <c r="BK13" s="15"/>
      <c r="BL13" s="13"/>
      <c r="BM13" s="15"/>
      <c r="BN13" s="13"/>
      <c r="BO13" s="15"/>
      <c r="BP13" s="13"/>
      <c r="BQ13" s="15"/>
      <c r="BR13" s="13"/>
      <c r="BS13" s="15"/>
      <c r="BT13" s="13"/>
      <c r="BU13" s="15"/>
      <c r="BV13" s="13"/>
      <c r="BW13" s="15"/>
      <c r="BX13" s="13"/>
      <c r="BY13" s="15"/>
      <c r="BZ13" s="13"/>
      <c r="CA13" s="15"/>
    </row>
    <row r="14" spans="1:79" ht="58" x14ac:dyDescent="0.35">
      <c r="A14" s="13" t="s">
        <v>80</v>
      </c>
      <c r="B14" s="13" t="s">
        <v>81</v>
      </c>
      <c r="C14" s="14">
        <v>44854.473611111112</v>
      </c>
      <c r="D14" s="13" t="s">
        <v>82</v>
      </c>
      <c r="E14" s="15" t="s">
        <v>83</v>
      </c>
      <c r="F14" s="13" t="s">
        <v>84</v>
      </c>
      <c r="G14" s="15" t="s">
        <v>85</v>
      </c>
      <c r="H14" s="13" t="s">
        <v>86</v>
      </c>
      <c r="I14" s="15" t="s">
        <v>85</v>
      </c>
      <c r="J14" s="15" t="s">
        <v>87</v>
      </c>
      <c r="K14" s="15" t="s">
        <v>88</v>
      </c>
      <c r="L14" s="13" t="s">
        <v>89</v>
      </c>
      <c r="M14" s="15" t="s">
        <v>90</v>
      </c>
      <c r="N14" s="13" t="s">
        <v>91</v>
      </c>
      <c r="O14" s="15" t="s">
        <v>92</v>
      </c>
      <c r="P14" s="15" t="s">
        <v>93</v>
      </c>
      <c r="Q14" s="15" t="s">
        <v>113</v>
      </c>
      <c r="R14" s="13" t="s">
        <v>114</v>
      </c>
      <c r="S14" s="13" t="s">
        <v>96</v>
      </c>
      <c r="T14" s="13" t="s">
        <v>97</v>
      </c>
      <c r="U14" s="14">
        <v>43831</v>
      </c>
      <c r="V14" s="14"/>
      <c r="W14" s="15"/>
      <c r="X14" s="13"/>
      <c r="Y14" s="15"/>
      <c r="Z14" s="13"/>
      <c r="AA14" s="15"/>
      <c r="AB14" s="13"/>
      <c r="AC14" s="15"/>
      <c r="AD14" s="13"/>
      <c r="AE14" s="15"/>
      <c r="AF14" s="13"/>
      <c r="AG14" s="15"/>
      <c r="AH14" s="13"/>
      <c r="AI14" s="15"/>
      <c r="AJ14" s="13"/>
      <c r="AK14" s="15"/>
      <c r="AL14" s="13"/>
      <c r="AM14" s="15"/>
      <c r="AN14" s="13"/>
      <c r="AO14" s="15"/>
      <c r="AP14" s="13"/>
      <c r="AQ14" s="15"/>
      <c r="AR14" s="13"/>
      <c r="AS14" s="15"/>
      <c r="AT14" s="13"/>
      <c r="AU14" s="15"/>
      <c r="AV14" s="13"/>
      <c r="AW14" s="15"/>
      <c r="AX14" s="13"/>
      <c r="AY14" s="15"/>
      <c r="AZ14" s="13"/>
      <c r="BA14" s="15"/>
      <c r="BB14" s="13"/>
      <c r="BC14" s="15"/>
      <c r="BD14" s="13"/>
      <c r="BE14" s="15"/>
      <c r="BF14" s="13"/>
      <c r="BG14" s="15"/>
      <c r="BH14" s="13"/>
      <c r="BI14" s="15"/>
      <c r="BJ14" s="13"/>
      <c r="BK14" s="15"/>
      <c r="BL14" s="13"/>
      <c r="BM14" s="15"/>
      <c r="BN14" s="13"/>
      <c r="BO14" s="15"/>
      <c r="BP14" s="13"/>
      <c r="BQ14" s="15"/>
      <c r="BR14" s="13"/>
      <c r="BS14" s="15"/>
      <c r="BT14" s="13"/>
      <c r="BU14" s="15"/>
      <c r="BV14" s="13"/>
      <c r="BW14" s="15"/>
      <c r="BX14" s="13"/>
      <c r="BY14" s="15"/>
      <c r="BZ14" s="13"/>
      <c r="CA14" s="15"/>
    </row>
    <row r="15" spans="1:79" ht="58" x14ac:dyDescent="0.35">
      <c r="A15" s="13" t="s">
        <v>80</v>
      </c>
      <c r="B15" s="13" t="s">
        <v>81</v>
      </c>
      <c r="C15" s="14">
        <v>44854.486805555556</v>
      </c>
      <c r="D15" s="13" t="s">
        <v>82</v>
      </c>
      <c r="E15" s="15" t="s">
        <v>83</v>
      </c>
      <c r="F15" s="13" t="s">
        <v>84</v>
      </c>
      <c r="G15" s="15" t="s">
        <v>85</v>
      </c>
      <c r="H15" s="13" t="s">
        <v>86</v>
      </c>
      <c r="I15" s="15" t="s">
        <v>85</v>
      </c>
      <c r="J15" s="15" t="s">
        <v>87</v>
      </c>
      <c r="K15" s="15" t="s">
        <v>88</v>
      </c>
      <c r="L15" s="13" t="s">
        <v>98</v>
      </c>
      <c r="M15" s="15" t="s">
        <v>99</v>
      </c>
      <c r="N15" s="13" t="s">
        <v>91</v>
      </c>
      <c r="O15" s="15" t="s">
        <v>100</v>
      </c>
      <c r="P15" s="15" t="s">
        <v>101</v>
      </c>
      <c r="Q15" s="15" t="s">
        <v>113</v>
      </c>
      <c r="R15" s="13" t="s">
        <v>114</v>
      </c>
      <c r="S15" s="13" t="s">
        <v>96</v>
      </c>
      <c r="T15" s="13" t="s">
        <v>97</v>
      </c>
      <c r="U15" s="14">
        <v>43831</v>
      </c>
      <c r="V15" s="14"/>
      <c r="W15" s="15"/>
      <c r="X15" s="13"/>
      <c r="Y15" s="15"/>
      <c r="Z15" s="13"/>
      <c r="AA15" s="15"/>
      <c r="AB15" s="13"/>
      <c r="AC15" s="15"/>
      <c r="AD15" s="13"/>
      <c r="AE15" s="15"/>
      <c r="AF15" s="13"/>
      <c r="AG15" s="15"/>
      <c r="AH15" s="13"/>
      <c r="AI15" s="15"/>
      <c r="AJ15" s="13"/>
      <c r="AK15" s="15"/>
      <c r="AL15" s="13"/>
      <c r="AM15" s="15"/>
      <c r="AN15" s="13"/>
      <c r="AO15" s="15"/>
      <c r="AP15" s="13"/>
      <c r="AQ15" s="15"/>
      <c r="AR15" s="13"/>
      <c r="AS15" s="15"/>
      <c r="AT15" s="13"/>
      <c r="AU15" s="15"/>
      <c r="AV15" s="13"/>
      <c r="AW15" s="15"/>
      <c r="AX15" s="13"/>
      <c r="AY15" s="15"/>
      <c r="AZ15" s="13"/>
      <c r="BA15" s="15"/>
      <c r="BB15" s="13"/>
      <c r="BC15" s="15"/>
      <c r="BD15" s="13"/>
      <c r="BE15" s="15"/>
      <c r="BF15" s="13"/>
      <c r="BG15" s="15"/>
      <c r="BH15" s="13"/>
      <c r="BI15" s="15"/>
      <c r="BJ15" s="13"/>
      <c r="BK15" s="15"/>
      <c r="BL15" s="13"/>
      <c r="BM15" s="15"/>
      <c r="BN15" s="13"/>
      <c r="BO15" s="15"/>
      <c r="BP15" s="13"/>
      <c r="BQ15" s="15"/>
      <c r="BR15" s="13"/>
      <c r="BS15" s="15"/>
      <c r="BT15" s="13"/>
      <c r="BU15" s="15"/>
      <c r="BV15" s="13"/>
      <c r="BW15" s="15"/>
      <c r="BX15" s="13"/>
      <c r="BY15" s="15"/>
      <c r="BZ15" s="13"/>
      <c r="CA15" s="15"/>
    </row>
    <row r="16" spans="1:79" ht="43.5" x14ac:dyDescent="0.35">
      <c r="A16" s="13" t="s">
        <v>80</v>
      </c>
      <c r="B16" s="13" t="s">
        <v>81</v>
      </c>
      <c r="C16" s="14">
        <v>44854.494444444441</v>
      </c>
      <c r="D16" s="13" t="s">
        <v>82</v>
      </c>
      <c r="E16" s="15" t="s">
        <v>83</v>
      </c>
      <c r="F16" s="13" t="s">
        <v>84</v>
      </c>
      <c r="G16" s="15" t="s">
        <v>85</v>
      </c>
      <c r="H16" s="13" t="s">
        <v>86</v>
      </c>
      <c r="I16" s="15" t="s">
        <v>85</v>
      </c>
      <c r="J16" s="15" t="s">
        <v>87</v>
      </c>
      <c r="K16" s="15" t="s">
        <v>88</v>
      </c>
      <c r="L16" s="13" t="s">
        <v>102</v>
      </c>
      <c r="M16" s="15" t="s">
        <v>103</v>
      </c>
      <c r="N16" s="13" t="s">
        <v>104</v>
      </c>
      <c r="O16" s="15" t="s">
        <v>105</v>
      </c>
      <c r="P16" s="15" t="s">
        <v>106</v>
      </c>
      <c r="Q16" s="15" t="s">
        <v>113</v>
      </c>
      <c r="R16" s="13" t="s">
        <v>114</v>
      </c>
      <c r="S16" s="13" t="s">
        <v>96</v>
      </c>
      <c r="T16" s="13" t="s">
        <v>97</v>
      </c>
      <c r="U16" s="14">
        <v>43831</v>
      </c>
      <c r="V16" s="14"/>
      <c r="W16" s="15"/>
      <c r="X16" s="13"/>
      <c r="Y16" s="15"/>
      <c r="Z16" s="13"/>
      <c r="AA16" s="15"/>
      <c r="AB16" s="13"/>
      <c r="AC16" s="15"/>
      <c r="AD16" s="13"/>
      <c r="AE16" s="15"/>
      <c r="AF16" s="13"/>
      <c r="AG16" s="15"/>
      <c r="AH16" s="13"/>
      <c r="AI16" s="15"/>
      <c r="AJ16" s="13"/>
      <c r="AK16" s="15"/>
      <c r="AL16" s="13"/>
      <c r="AM16" s="15"/>
      <c r="AN16" s="13"/>
      <c r="AO16" s="15"/>
      <c r="AP16" s="13"/>
      <c r="AQ16" s="15"/>
      <c r="AR16" s="13"/>
      <c r="AS16" s="15"/>
      <c r="AT16" s="13"/>
      <c r="AU16" s="15"/>
      <c r="AV16" s="13"/>
      <c r="AW16" s="15"/>
      <c r="AX16" s="13"/>
      <c r="AY16" s="15"/>
      <c r="AZ16" s="13"/>
      <c r="BA16" s="15"/>
      <c r="BB16" s="13"/>
      <c r="BC16" s="15"/>
      <c r="BD16" s="13"/>
      <c r="BE16" s="15"/>
      <c r="BF16" s="13"/>
      <c r="BG16" s="15"/>
      <c r="BH16" s="13"/>
      <c r="BI16" s="15"/>
      <c r="BJ16" s="13"/>
      <c r="BK16" s="15"/>
      <c r="BL16" s="13"/>
      <c r="BM16" s="15"/>
      <c r="BN16" s="13"/>
      <c r="BO16" s="15"/>
      <c r="BP16" s="13"/>
      <c r="BQ16" s="15"/>
      <c r="BR16" s="13"/>
      <c r="BS16" s="15"/>
      <c r="BT16" s="13"/>
      <c r="BU16" s="15"/>
      <c r="BV16" s="13"/>
      <c r="BW16" s="15"/>
      <c r="BX16" s="13"/>
      <c r="BY16" s="15"/>
      <c r="BZ16" s="13"/>
      <c r="CA16" s="15"/>
    </row>
    <row r="17" spans="1:79" ht="145" x14ac:dyDescent="0.35">
      <c r="A17" s="13" t="s">
        <v>80</v>
      </c>
      <c r="B17" s="13" t="s">
        <v>81</v>
      </c>
      <c r="C17" s="14">
        <v>44887.5</v>
      </c>
      <c r="D17" s="13" t="s">
        <v>82</v>
      </c>
      <c r="E17" s="15" t="s">
        <v>83</v>
      </c>
      <c r="F17" s="13" t="s">
        <v>84</v>
      </c>
      <c r="G17" s="15" t="s">
        <v>85</v>
      </c>
      <c r="H17" s="13" t="s">
        <v>86</v>
      </c>
      <c r="I17" s="15" t="s">
        <v>85</v>
      </c>
      <c r="J17" s="15" t="s">
        <v>87</v>
      </c>
      <c r="K17" s="15" t="s">
        <v>88</v>
      </c>
      <c r="L17" s="13" t="s">
        <v>89</v>
      </c>
      <c r="M17" s="15" t="s">
        <v>90</v>
      </c>
      <c r="N17" s="13" t="s">
        <v>91</v>
      </c>
      <c r="O17" s="15" t="s">
        <v>92</v>
      </c>
      <c r="P17" s="15" t="s">
        <v>93</v>
      </c>
      <c r="Q17" s="15" t="s">
        <v>115</v>
      </c>
      <c r="R17" s="13" t="s">
        <v>116</v>
      </c>
      <c r="S17" s="13" t="s">
        <v>117</v>
      </c>
      <c r="T17" s="13" t="s">
        <v>118</v>
      </c>
      <c r="U17" s="14">
        <v>43831</v>
      </c>
      <c r="V17" s="14"/>
      <c r="W17" s="15" t="s">
        <v>119</v>
      </c>
      <c r="X17" s="13" t="s">
        <v>120</v>
      </c>
      <c r="Y17" s="15" t="str">
        <f>VLOOKUP(X17,'Axe 2 Règles de gestion'!$D$2:$F$40,3, FALSE)</f>
        <v>Le bénéfice d'un congé pour création ou reprise d'entreprise est exclusif de tout congé de reconversion et de congé complémentaire de reconversion.</v>
      </c>
      <c r="Z17" s="13" t="s">
        <v>122</v>
      </c>
      <c r="AA17" s="15" t="str">
        <f>VLOOKUP(Z17,'Axe 2 Règles de gestion'!$D$2:$F$40,3, FALSE)</f>
        <v>L'interdiction d'exercer à titre professionnel une activité privée lucrative et de participer aux organes de direction de sociétés ou d'associations à but lucratif n'est pas applicable dans le cadre de ce congé.</v>
      </c>
      <c r="AB17" s="13" t="s">
        <v>124</v>
      </c>
      <c r="AC17" s="15" t="str">
        <f>VLOOKUP(AB17,'Axe 2 Règles de gestion'!$D$2:$F$40,3, FALSE)</f>
        <v>Le militaire doit présenter une demande écrite à l'autorité dont il relève 2 mois au moins avant la date de création ou de reprise de l'entreprise.</v>
      </c>
      <c r="AD17" s="13" t="s">
        <v>126</v>
      </c>
      <c r="AE17" s="15" t="str">
        <f>VLOOKUP(AD17,'Axe 2 Règles de gestion'!$D$2:$F$40,3, FALSE)</f>
        <v>La demande mentionne la forme et l'objet social de l'entreprise susceptible d'être créée, son secteur et sa branche d'activité et, le cas échéant, la nature et le montant des subventions publiques dont cette entreprise est susceptible de bénéficier.</v>
      </c>
      <c r="AF17" s="13" t="s">
        <v>128</v>
      </c>
      <c r="AG17" s="15" t="str">
        <f>VLOOKUP(AF17,'Axe 2 Règles de gestion'!$D$2:$F$40,3, FALSE)</f>
        <v>Le ministre compétent saisit la commission de déontologie des militaires de cette demande dans le mois qui suit la date à laquelle elle l'a reçue.</v>
      </c>
      <c r="AH17" s="13" t="s">
        <v>130</v>
      </c>
      <c r="AI17" s="15" t="str">
        <f>VLOOKUP(AH17,'Axe 2 Règles de gestion'!$D$2:$F$40,3, FALSE)</f>
        <v>La commission rend son avis dans un délai d'1 mois à compter de l'enregistrement du dossier de saisine.</v>
      </c>
      <c r="AJ17" s="13" t="s">
        <v>132</v>
      </c>
      <c r="AK17" s="15" t="str">
        <f>VLOOKUP(AJ17,'Axe 2 Règles de gestion'!$D$2:$F$40,3, FALSE)</f>
        <v>L'absence d'avis de la commission à l'expiration du délai vaut avis favorable.</v>
      </c>
      <c r="AL17" s="13" t="s">
        <v>134</v>
      </c>
      <c r="AM17" s="15" t="str">
        <f>VLOOKUP(AL17,'Axe 2 Règles de gestion'!$D$2:$F$40,3, FALSE)</f>
        <v>L'avis de la commission est transmis au ministre compétent pour décision qui doit intervenir dans un délai d'1 mois à compter de la réception du dossier.</v>
      </c>
      <c r="AN17" s="13" t="s">
        <v>136</v>
      </c>
      <c r="AO17" s="15" t="str">
        <f>VLOOKUP(AN17,'Axe 2 Règles de gestion'!$D$2:$F$40,3, FALSE)</f>
        <v>L'absence de décision du ministre compétent dans le délai vaut refus d'attribution du congé.</v>
      </c>
      <c r="AP17" s="13" t="s">
        <v>138</v>
      </c>
      <c r="AQ17" s="15" t="str">
        <f>VLOOKUP(AP17,'Axe 2 Règles de gestion'!$D$2:$F$40,3, FALSE)</f>
        <v>En cas de décision favorable, le ministre compétent doit mentionner la durée du congé accordé.</v>
      </c>
      <c r="AR17" s="13" t="s">
        <v>140</v>
      </c>
      <c r="AS17" s="15" t="str">
        <f>VLOOKUP(AR17,'Axe 2 Règles de gestion'!$D$2:$F$40,3, FALSE)</f>
        <v>Pendant la durée du congé, le militaire se consacre obligatoirement à la création et à l'exploitation de l'entreprise qu'il crée ou reprend.</v>
      </c>
      <c r="AT17" s="13" t="s">
        <v>142</v>
      </c>
      <c r="AU17" s="15" t="str">
        <f>VLOOKUP(AT17,'Axe 2 Règles de gestion'!$D$2:$F$40,3, FALSE)</f>
        <v>Le ministre compétent peut faire procéder aux enquêtes nécessaires afin de vérifier si l'activité du militaire est conforme à l'objet du congé.</v>
      </c>
      <c r="AV17" s="13" t="s">
        <v>144</v>
      </c>
      <c r="AW17" s="15" t="str">
        <f>VLOOKUP(AV17,'Axe 2 Règles de gestion'!$D$2:$F$40,3, FALSE)</f>
        <v>La durée maximale de chaque période est de 1 an (date de fin prévisionnelle de l'absence).</v>
      </c>
      <c r="AX17" s="13" t="s">
        <v>146</v>
      </c>
      <c r="AY17" s="15" t="str">
        <f>VLOOKUP(AX17,'Axe 2 Règles de gestion'!$D$2:$F$40,3, FALSE)</f>
        <v>La durée maximale de chaque période est de 1 an (date de fin réelle de l'absence).</v>
      </c>
      <c r="AZ17" s="13" t="s">
        <v>148</v>
      </c>
      <c r="BA17" s="15" t="str">
        <f>VLOOKUP(AZ17,'Axe 2 Règles de gestion'!$D$2:$F$40,3, FALSE)</f>
        <v>Le militaire doit avoir accompli au moins 8 ans de services militaires effectifs.</v>
      </c>
      <c r="BB17" s="13" t="s">
        <v>150</v>
      </c>
      <c r="BC17" s="15" t="str">
        <f>VLOOKUP(BB17,'Axe 2 Règles de gestion'!$D$2:$F$40,3, FALSE)</f>
        <v>Le militaire est en activité.</v>
      </c>
      <c r="BD17" s="13" t="s">
        <v>152</v>
      </c>
      <c r="BE17" s="15" t="str">
        <f>VLOOKUP(BD17,'Axe 2 Règles de gestion'!$D$2:$F$40,3, FALSE)</f>
        <v>La date de fin réelle du congé doit être antérieure ou égale à la date limite de fin réelle ou prévisionnelle du lien juridique. Cependant le militaire peut voir son contrat prorogé jusqu'à la date de fin du congé dans la limite de la durée de service.</v>
      </c>
      <c r="BF17" s="13" t="s">
        <v>154</v>
      </c>
      <c r="BG17" s="15" t="str">
        <f>VLOOKUP(BF17,'Axe 2 Règles de gestion'!$D$2:$F$40,3,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H17" s="13" t="s">
        <v>156</v>
      </c>
      <c r="BI17" s="15" t="str">
        <f>VLOOKUP(BH17,'Axe 2 Règles de gestion'!$D$2:$F$40,3, FALSE)</f>
        <v>La date de début du congé/absence doit être postérieure ou égale à la date de début du lien juridique.</v>
      </c>
      <c r="BJ17" s="13" t="s">
        <v>158</v>
      </c>
      <c r="BK17" s="15" t="str">
        <f>VLOOKUP(BJ17,'Axe 2 Règles de gestion'!$D$2:$F$40,3, FALSE)</f>
        <v>La date de début du congé/absence doit être antérieure ou égale à la date de fin réelle du congé/absence.</v>
      </c>
      <c r="BL17" s="13" t="s">
        <v>160</v>
      </c>
      <c r="BM17" s="15" t="str">
        <f>VLOOKUP(BL17,'Axe 2 Règles de gestion'!$D$2:$F$40,3, FALSE)</f>
        <v>La date de début du congé/absence doit être antérieure ou égale à la date de fin prévisionnelle du congé/absence.</v>
      </c>
      <c r="BN17" s="13" t="s">
        <v>162</v>
      </c>
      <c r="BO17" s="15" t="str">
        <f>VLOOKUP(BN17,'Axe 2 Règles de gestion'!$D$2:$F$40,3, FALSE)</f>
        <v>La date de fin réelle du congé/absence doit être antérieure à la date limite de départ à la retraite.</v>
      </c>
      <c r="BP17" s="13" t="s">
        <v>164</v>
      </c>
      <c r="BQ17" s="15" t="str">
        <f>VLOOKUP(BP17,'Axe 2 Règles de gestion'!$D$2:$F$40,3, FALSE)</f>
        <v>La date de fin prévisionnelle du congé/absence doit être antérieure à la date limite de départ à la retraite.</v>
      </c>
      <c r="BR17" s="13" t="s">
        <v>166</v>
      </c>
      <c r="BS17" s="15" t="str">
        <f>VLOOKUP(BR17,'Axe 2 Règles de gestion'!$D$2:$F$40,3, FALSE)</f>
        <v>La date de fin réelle ou la date de fin prévisionnelle du congé/absence doit être saisie.</v>
      </c>
      <c r="BT17" s="13" t="s">
        <v>168</v>
      </c>
      <c r="BU17" s="15" t="str">
        <f>VLOOKUP(BT17,'Axe 2 Règles de gestion'!$D$2:$F$40,3, FALSE)</f>
        <v>Si l'absence ne commence pas par une demi-journée et si l'absence précédente ne finit pas par une demi journée, la date de début de l'absence saisie est postérieure à la date de fin réelle de l'absence précédente.</v>
      </c>
      <c r="BV17" s="13" t="s">
        <v>170</v>
      </c>
      <c r="BW17" s="15" t="str">
        <f>VLOOKUP(BV17,'Axe 2 Règles de gestion'!$D$2:$F$40,3, FALSE)</f>
        <v>Si l'absence ne commence pas par une demi-journée et si l'absence précédente ne finit pas par une demi journée, la date de début de l'absence saisie est postérieure à la date de fin prévisionnelle de l'absence précédente.</v>
      </c>
      <c r="BX17" s="13" t="s">
        <v>172</v>
      </c>
      <c r="BY17" s="15" t="str">
        <f>VLOOKUP(BX17,'Axe 2 Règles de gestion'!$D$2:$F$40,3, FALSE)</f>
        <v>Dans le cas d'un congé autre que CLM, CLD, CGM et CITIS, l'indicateur de requalification doit être à non et les impacts spécifiques à la requalification ne doivent pas être mobilisés ou l'impact rémunération est vide.</v>
      </c>
      <c r="BZ17" s="13"/>
      <c r="CA17" s="15"/>
    </row>
    <row r="18" spans="1:79" ht="145" x14ac:dyDescent="0.35">
      <c r="A18" s="13" t="s">
        <v>80</v>
      </c>
      <c r="B18" s="13" t="s">
        <v>81</v>
      </c>
      <c r="C18" s="14">
        <v>44887.500694444447</v>
      </c>
      <c r="D18" s="13" t="s">
        <v>82</v>
      </c>
      <c r="E18" s="15" t="s">
        <v>83</v>
      </c>
      <c r="F18" s="13" t="s">
        <v>84</v>
      </c>
      <c r="G18" s="15" t="s">
        <v>85</v>
      </c>
      <c r="H18" s="13" t="s">
        <v>86</v>
      </c>
      <c r="I18" s="15" t="s">
        <v>85</v>
      </c>
      <c r="J18" s="15" t="s">
        <v>87</v>
      </c>
      <c r="K18" s="15" t="s">
        <v>88</v>
      </c>
      <c r="L18" s="13" t="s">
        <v>98</v>
      </c>
      <c r="M18" s="15" t="s">
        <v>99</v>
      </c>
      <c r="N18" s="13" t="s">
        <v>91</v>
      </c>
      <c r="O18" s="15" t="s">
        <v>100</v>
      </c>
      <c r="P18" s="15" t="s">
        <v>101</v>
      </c>
      <c r="Q18" s="15" t="s">
        <v>115</v>
      </c>
      <c r="R18" s="13" t="s">
        <v>116</v>
      </c>
      <c r="S18" s="13" t="s">
        <v>117</v>
      </c>
      <c r="T18" s="13" t="s">
        <v>118</v>
      </c>
      <c r="U18" s="14">
        <v>43831</v>
      </c>
      <c r="V18" s="14"/>
      <c r="W18" s="15" t="s">
        <v>174</v>
      </c>
      <c r="X18" s="13" t="s">
        <v>122</v>
      </c>
      <c r="Y18" s="15" t="str">
        <f>VLOOKUP(X18,'Axe 2 Règles de gestion'!$D$2:$F$40,3, FALSE)</f>
        <v>L'interdiction d'exercer à titre professionnel une activité privée lucrative et de participer aux organes de direction de sociétés ou d'associations à but lucratif n'est pas applicable dans le cadre de ce congé.</v>
      </c>
      <c r="Z18" s="13" t="s">
        <v>175</v>
      </c>
      <c r="AA18" s="15" t="str">
        <f>VLOOKUP(Z18,'Axe 2 Règles de gestion'!$D$2:$F$40,3, FALSE)</f>
        <v>Le militaire qui souhaite prolonger la durée du congé doit en faire la demande au moins 2 mois avant l'échéance de la date mentionnée dans l'autorisation initiale.</v>
      </c>
      <c r="AB18" s="13" t="s">
        <v>126</v>
      </c>
      <c r="AC18" s="15" t="str">
        <f>VLOOKUP(AB18,'Axe 2 Règles de gestion'!$D$2:$F$40,3, FALSE)</f>
        <v>La demande mentionne la forme et l'objet social de l'entreprise susceptible d'être créée, son secteur et sa branche d'activité et, le cas échéant, la nature et le montant des subventions publiques dont cette entreprise est susceptible de bénéficier.</v>
      </c>
      <c r="AD18" s="13" t="s">
        <v>128</v>
      </c>
      <c r="AE18" s="15" t="str">
        <f>VLOOKUP(AD18,'Axe 2 Règles de gestion'!$D$2:$F$40,3, FALSE)</f>
        <v>Le ministre compétent saisit la commission de déontologie des militaires de cette demande dans le mois qui suit la date à laquelle elle l'a reçue.</v>
      </c>
      <c r="AF18" s="13" t="s">
        <v>130</v>
      </c>
      <c r="AG18" s="15" t="str">
        <f>VLOOKUP(AF18,'Axe 2 Règles de gestion'!$D$2:$F$40,3, FALSE)</f>
        <v>La commission rend son avis dans un délai d'1 mois à compter de l'enregistrement du dossier de saisine.</v>
      </c>
      <c r="AH18" s="13" t="s">
        <v>132</v>
      </c>
      <c r="AI18" s="15" t="str">
        <f>VLOOKUP(AH18,'Axe 2 Règles de gestion'!$D$2:$F$40,3, FALSE)</f>
        <v>L'absence d'avis de la commission à l'expiration du délai vaut avis favorable.</v>
      </c>
      <c r="AJ18" s="13" t="s">
        <v>134</v>
      </c>
      <c r="AK18" s="15" t="str">
        <f>VLOOKUP(AJ18,'Axe 2 Règles de gestion'!$D$2:$F$40,3, FALSE)</f>
        <v>L'avis de la commission est transmis au ministre compétent pour décision qui doit intervenir dans un délai d'1 mois à compter de la réception du dossier.</v>
      </c>
      <c r="AL18" s="13" t="s">
        <v>136</v>
      </c>
      <c r="AM18" s="15" t="str">
        <f>VLOOKUP(AL18,'Axe 2 Règles de gestion'!$D$2:$F$40,3, FALSE)</f>
        <v>L'absence de décision du ministre compétent dans le délai vaut refus d'attribution du congé.</v>
      </c>
      <c r="AN18" s="13" t="s">
        <v>138</v>
      </c>
      <c r="AO18" s="15" t="str">
        <f>VLOOKUP(AN18,'Axe 2 Règles de gestion'!$D$2:$F$40,3, FALSE)</f>
        <v>En cas de décision favorable, le ministre compétent doit mentionner la durée du congé accordé.</v>
      </c>
      <c r="AP18" s="13" t="s">
        <v>177</v>
      </c>
      <c r="AQ18" s="15" t="str">
        <f>VLOOKUP(AP18,'Axe 2 Règles de gestion'!$D$2:$F$40,3, FALSE)</f>
        <v>Toutefois si l'objet social de l'entreprise, son secteur et sa branche d'activité sont identiques à ceux de la demande initiale, l'autorisation de prorogation du congé est de droit. L'avis de la commission de déontologie n'est alors pas sollicité.</v>
      </c>
      <c r="AR18" s="13" t="s">
        <v>140</v>
      </c>
      <c r="AS18" s="15" t="str">
        <f>VLOOKUP(AR18,'Axe 2 Règles de gestion'!$D$2:$F$40,3, FALSE)</f>
        <v>Pendant la durée du congé, le militaire se consacre obligatoirement à la création et à l'exploitation de l'entreprise qu'il crée ou reprend.</v>
      </c>
      <c r="AT18" s="13" t="s">
        <v>142</v>
      </c>
      <c r="AU18" s="15" t="str">
        <f>VLOOKUP(AT18,'Axe 2 Règles de gestion'!$D$2:$F$40,3, FALSE)</f>
        <v>Le ministre compétent peut faire procéder aux enquêtes nécessaires afin de vérifier si l'activité du militaire est conforme à l'objet du congé.</v>
      </c>
      <c r="AV18" s="13" t="s">
        <v>144</v>
      </c>
      <c r="AW18" s="15" t="str">
        <f>VLOOKUP(AV18,'Axe 2 Règles de gestion'!$D$2:$F$40,3, FALSE)</f>
        <v>La durée maximale de chaque période est de 1 an (date de fin prévisionnelle de l'absence).</v>
      </c>
      <c r="AX18" s="13" t="s">
        <v>146</v>
      </c>
      <c r="AY18" s="15" t="str">
        <f>VLOOKUP(AX18,'Axe 2 Règles de gestion'!$D$2:$F$40,3, FALSE)</f>
        <v>La durée maximale de chaque période est de 1 an (date de fin réelle de l'absence).</v>
      </c>
      <c r="AZ18" s="13" t="s">
        <v>179</v>
      </c>
      <c r="BA18" s="15" t="str">
        <f>VLOOKUP(AZ18,'Axe 2 Règles de gestion'!$D$2:$F$40,3, FALSE)</f>
        <v>Le congé est renouvelable 1 fois.</v>
      </c>
      <c r="BB18" s="13" t="s">
        <v>152</v>
      </c>
      <c r="BC18" s="15" t="str">
        <f>VLOOKUP(BB18,'Axe 2 Règles de gestion'!$D$2:$F$40,3, FALSE)</f>
        <v>La date de fin réelle du congé doit être antérieure ou égale à la date limite de fin réelle ou prévisionnelle du lien juridique. Cependant le militaire peut voir son contrat prorogé jusqu'à la date de fin du congé dans la limite de la durée de service.</v>
      </c>
      <c r="BD18" s="13" t="s">
        <v>154</v>
      </c>
      <c r="BE18" s="15" t="str">
        <f>VLOOKUP(BD18,'Axe 2 Règles de gestion'!$D$2:$F$40,3,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F18" s="13"/>
      <c r="BG18" s="15"/>
      <c r="BH18" s="13" t="s">
        <v>156</v>
      </c>
      <c r="BI18" s="15" t="str">
        <f>VLOOKUP(BH18,'Axe 2 Règles de gestion'!$D$2:$F$40,3, FALSE)</f>
        <v>La date de début du congé/absence doit être postérieure ou égale à la date de début du lien juridique.</v>
      </c>
      <c r="BJ18" s="13" t="s">
        <v>158</v>
      </c>
      <c r="BK18" s="15" t="str">
        <f>VLOOKUP(BJ18,'Axe 2 Règles de gestion'!$D$2:$F$40,3, FALSE)</f>
        <v>La date de début du congé/absence doit être antérieure ou égale à la date de fin réelle du congé/absence.</v>
      </c>
      <c r="BL18" s="13" t="s">
        <v>160</v>
      </c>
      <c r="BM18" s="15" t="str">
        <f>VLOOKUP(BL18,'Axe 2 Règles de gestion'!$D$2:$F$40,3, FALSE)</f>
        <v>La date de début du congé/absence doit être antérieure ou égale à la date de fin prévisionnelle du congé/absence.</v>
      </c>
      <c r="BN18" s="13" t="s">
        <v>162</v>
      </c>
      <c r="BO18" s="15" t="str">
        <f>VLOOKUP(BN18,'Axe 2 Règles de gestion'!$D$2:$F$40,3, FALSE)</f>
        <v>La date de fin réelle du congé/absence doit être antérieure à la date limite de départ à la retraite.</v>
      </c>
      <c r="BP18" s="13" t="s">
        <v>164</v>
      </c>
      <c r="BQ18" s="15" t="str">
        <f>VLOOKUP(BP18,'Axe 2 Règles de gestion'!$D$2:$F$40,3, FALSE)</f>
        <v>La date de fin prévisionnelle du congé/absence doit être antérieure à la date limite de départ à la retraite.</v>
      </c>
      <c r="BR18" s="13" t="s">
        <v>166</v>
      </c>
      <c r="BS18" s="15" t="str">
        <f>VLOOKUP(BR18,'Axe 2 Règles de gestion'!$D$2:$F$40,3, FALSE)</f>
        <v>La date de fin réelle ou la date de fin prévisionnelle du congé/absence doit être saisie.</v>
      </c>
      <c r="BT18" s="13" t="s">
        <v>168</v>
      </c>
      <c r="BU18" s="15" t="str">
        <f>VLOOKUP(BT18,'Axe 2 Règles de gestion'!$D$2:$F$40,3, FALSE)</f>
        <v>Si l'absence ne commence pas par une demi-journée et si l'absence précédente ne finit pas par une demi journée, la date de début de l'absence saisie est postérieure à la date de fin réelle de l'absence précédente.</v>
      </c>
      <c r="BV18" s="13" t="s">
        <v>170</v>
      </c>
      <c r="BW18" s="15" t="str">
        <f>VLOOKUP(BV18,'Axe 2 Règles de gestion'!$D$2:$F$40,3, FALSE)</f>
        <v>Si l'absence ne commence pas par une demi-journée et si l'absence précédente ne finit pas par une demi journée, la date de début de l'absence saisie est postérieure à la date de fin prévisionnelle de l'absence précédente.</v>
      </c>
      <c r="BX18" s="13" t="s">
        <v>172</v>
      </c>
      <c r="BY18" s="15" t="str">
        <f>VLOOKUP(BX18,'Axe 2 Règles de gestion'!$D$2:$F$40,3, FALSE)</f>
        <v>Dans le cas d'un congé autre que CLM, CLD, CGM et CITIS, l'indicateur de requalification doit être à non et les impacts spécifiques à la requalification ne doivent pas être mobilisés ou l'impact rémunération est vide.</v>
      </c>
      <c r="BZ18" s="13"/>
      <c r="CA18" s="15"/>
    </row>
    <row r="19" spans="1:79" ht="130.5" x14ac:dyDescent="0.35">
      <c r="A19" s="13" t="s">
        <v>80</v>
      </c>
      <c r="B19" s="13" t="s">
        <v>81</v>
      </c>
      <c r="C19" s="14">
        <v>44854.497916666667</v>
      </c>
      <c r="D19" s="13" t="s">
        <v>82</v>
      </c>
      <c r="E19" s="15" t="s">
        <v>83</v>
      </c>
      <c r="F19" s="13" t="s">
        <v>84</v>
      </c>
      <c r="G19" s="15" t="s">
        <v>85</v>
      </c>
      <c r="H19" s="13" t="s">
        <v>86</v>
      </c>
      <c r="I19" s="15" t="s">
        <v>85</v>
      </c>
      <c r="J19" s="15" t="s">
        <v>87</v>
      </c>
      <c r="K19" s="15" t="s">
        <v>88</v>
      </c>
      <c r="L19" s="13" t="s">
        <v>102</v>
      </c>
      <c r="M19" s="15" t="s">
        <v>103</v>
      </c>
      <c r="N19" s="13" t="s">
        <v>104</v>
      </c>
      <c r="O19" s="15" t="s">
        <v>105</v>
      </c>
      <c r="P19" s="15" t="s">
        <v>106</v>
      </c>
      <c r="Q19" s="15" t="s">
        <v>115</v>
      </c>
      <c r="R19" s="13" t="s">
        <v>116</v>
      </c>
      <c r="S19" s="13" t="s">
        <v>117</v>
      </c>
      <c r="T19" s="13" t="s">
        <v>118</v>
      </c>
      <c r="U19" s="14">
        <v>43831</v>
      </c>
      <c r="V19" s="14"/>
      <c r="W19" s="15" t="s">
        <v>181</v>
      </c>
      <c r="X19" s="13" t="s">
        <v>182</v>
      </c>
      <c r="Y19" s="15" t="str">
        <f>VLOOKUP(X19,'Axe 2 Règles de gestion'!$D$2:$F$40,3, FALSE)</f>
        <v>Si le congé n'est pas mis à profit pour créer, reprendre ou exploiter une entreprise, le ministre compétent notifie au militaire la fin du congé par anticipation. Il est alors radié des cadres ou rayé des contrôles.</v>
      </c>
      <c r="Z19" s="13" t="s">
        <v>184</v>
      </c>
      <c r="AA19" s="15" t="str">
        <f>VLOOKUP(Z19,'Axe 2 Règles de gestion'!$D$2:$F$40,3, FALSE)</f>
        <v>Le militaire qui souhaite interrompre le congé doit en faire la demande au moins 2 mois avant l'expiration du congé. Il est alors affecté dans un emploi de son grade.</v>
      </c>
      <c r="AB19" s="13" t="s">
        <v>186</v>
      </c>
      <c r="AC19" s="15" t="str">
        <f>VLOOKUP(AB19,'Axe 2 Règles de gestion'!$D$2:$F$40,3, FALSE)</f>
        <v>Le militaire est radié des cadres ou rayé des contrôles à titre définitif à l'expiration de ce congé.</v>
      </c>
      <c r="AD19" s="13"/>
      <c r="AE19" s="15"/>
      <c r="AF19" s="13"/>
      <c r="AG19" s="15"/>
      <c r="AH19" s="13"/>
      <c r="AI19" s="15"/>
      <c r="AJ19" s="13"/>
      <c r="AK19" s="15"/>
      <c r="AL19" s="13"/>
      <c r="AM19" s="15"/>
      <c r="AN19" s="13"/>
      <c r="AO19" s="15"/>
      <c r="AP19" s="13"/>
      <c r="AQ19" s="15"/>
      <c r="AR19" s="13"/>
      <c r="AS19" s="15"/>
      <c r="AT19" s="13"/>
      <c r="AU19" s="15"/>
      <c r="AV19" s="13" t="s">
        <v>144</v>
      </c>
      <c r="AW19" s="15" t="str">
        <f>VLOOKUP(AV19,'Axe 2 Règles de gestion'!$D$2:$F$40,3, FALSE)</f>
        <v>La durée maximale de chaque période est de 1 an (date de fin prévisionnelle de l'absence).</v>
      </c>
      <c r="AX19" s="13" t="s">
        <v>146</v>
      </c>
      <c r="AY19" s="15" t="str">
        <f>VLOOKUP(AX19,'Axe 2 Règles de gestion'!$D$2:$F$40,3, FALSE)</f>
        <v>La durée maximale de chaque période est de 1 an (date de fin réelle de l'absence).</v>
      </c>
      <c r="AZ19" s="13" t="s">
        <v>152</v>
      </c>
      <c r="BA19" s="15" t="str">
        <f>VLOOKUP(AZ19,'Axe 2 Règles de gestion'!$D$2:$F$40,3, FALSE)</f>
        <v>La date de fin réelle du congé doit être antérieure ou égale à la date limite de fin réelle ou prévisionnelle du lien juridique. Cependant le militaire peut voir son contrat prorogé jusqu'à la date de fin du congé dans la limite de la durée de service.</v>
      </c>
      <c r="BB19" s="13" t="s">
        <v>154</v>
      </c>
      <c r="BC19" s="15" t="str">
        <f>VLOOKUP(BB19,'Axe 2 Règles de gestion'!$D$2:$F$40,3,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D19" s="13"/>
      <c r="BE19" s="15"/>
      <c r="BF19" s="13"/>
      <c r="BG19" s="15"/>
      <c r="BH19" s="13" t="s">
        <v>158</v>
      </c>
      <c r="BI19" s="15" t="str">
        <f>VLOOKUP(BH19,'Axe 2 Règles de gestion'!$D$2:$F$40,3, FALSE)</f>
        <v>La date de début du congé/absence doit être antérieure ou égale à la date de fin réelle du congé/absence.</v>
      </c>
      <c r="BJ19" s="13" t="s">
        <v>160</v>
      </c>
      <c r="BK19" s="15" t="str">
        <f>VLOOKUP(BJ19,'Axe 2 Règles de gestion'!$D$2:$F$40,3, FALSE)</f>
        <v>La date de début du congé/absence doit être antérieure ou égale à la date de fin prévisionnelle du congé/absence.</v>
      </c>
      <c r="BL19" s="13" t="s">
        <v>162</v>
      </c>
      <c r="BM19" s="15" t="str">
        <f>VLOOKUP(BL19,'Axe 2 Règles de gestion'!$D$2:$F$40,3, FALSE)</f>
        <v>La date de fin réelle du congé/absence doit être antérieure à la date limite de départ à la retraite.</v>
      </c>
      <c r="BN19" s="13" t="s">
        <v>164</v>
      </c>
      <c r="BO19" s="15" t="str">
        <f>VLOOKUP(BN19,'Axe 2 Règles de gestion'!$D$2:$F$40,3, FALSE)</f>
        <v>La date de fin prévisionnelle du congé/absence doit être antérieure à la date limite de départ à la retraite.</v>
      </c>
      <c r="BP19" s="13" t="s">
        <v>166</v>
      </c>
      <c r="BQ19" s="15" t="str">
        <f>VLOOKUP(BP19,'Axe 2 Règles de gestion'!$D$2:$F$40,3, FALSE)</f>
        <v>La date de fin réelle ou la date de fin prévisionnelle du congé/absence doit être saisie.</v>
      </c>
      <c r="BR19" s="13" t="s">
        <v>172</v>
      </c>
      <c r="BS19" s="15" t="str">
        <f>VLOOKUP(BR19,'Axe 2 Règles de gestion'!$D$2:$F$40,3, FALSE)</f>
        <v>Dans le cas d'un congé autre que CLM, CLD, CGM et CITIS, l'indicateur de requalification doit être à non et les impacts spécifiques à la requalification ne doivent pas être mobilisés ou l'impact rémunération est vide.</v>
      </c>
      <c r="BT19" s="13"/>
      <c r="BU19" s="15"/>
      <c r="BV19" s="13"/>
      <c r="BW19" s="15"/>
      <c r="BX19" s="13"/>
      <c r="BY19" s="15"/>
      <c r="BZ19" s="13"/>
      <c r="CA19" s="15"/>
    </row>
    <row r="20" spans="1:79" ht="145" x14ac:dyDescent="0.35">
      <c r="A20" s="13" t="s">
        <v>80</v>
      </c>
      <c r="B20" s="13" t="s">
        <v>81</v>
      </c>
      <c r="C20" s="14">
        <v>44854.480555555558</v>
      </c>
      <c r="D20" s="13" t="s">
        <v>82</v>
      </c>
      <c r="E20" s="15" t="s">
        <v>83</v>
      </c>
      <c r="F20" s="13" t="s">
        <v>84</v>
      </c>
      <c r="G20" s="15" t="s">
        <v>85</v>
      </c>
      <c r="H20" s="13" t="s">
        <v>86</v>
      </c>
      <c r="I20" s="15" t="s">
        <v>85</v>
      </c>
      <c r="J20" s="15" t="s">
        <v>87</v>
      </c>
      <c r="K20" s="15" t="s">
        <v>88</v>
      </c>
      <c r="L20" s="13" t="s">
        <v>89</v>
      </c>
      <c r="M20" s="15" t="s">
        <v>90</v>
      </c>
      <c r="N20" s="13" t="s">
        <v>91</v>
      </c>
      <c r="O20" s="15" t="s">
        <v>92</v>
      </c>
      <c r="P20" s="15" t="s">
        <v>93</v>
      </c>
      <c r="Q20" s="15" t="s">
        <v>188</v>
      </c>
      <c r="R20" s="13" t="s">
        <v>189</v>
      </c>
      <c r="S20" s="13" t="s">
        <v>117</v>
      </c>
      <c r="T20" s="13" t="s">
        <v>118</v>
      </c>
      <c r="U20" s="14">
        <v>43831</v>
      </c>
      <c r="V20" s="14"/>
      <c r="W20" s="15" t="s">
        <v>190</v>
      </c>
      <c r="X20" s="13" t="s">
        <v>120</v>
      </c>
      <c r="Y20" s="15" t="str">
        <f>VLOOKUP(X20,'Axe 2 Règles de gestion'!$D$2:$F$40,3, FALSE)</f>
        <v>Le bénéfice d'un congé pour création ou reprise d'entreprise est exclusif de tout congé de reconversion et de congé complémentaire de reconversion.</v>
      </c>
      <c r="Z20" s="13" t="s">
        <v>122</v>
      </c>
      <c r="AA20" s="15" t="str">
        <f>VLOOKUP(Z20,'Axe 2 Règles de gestion'!$D$2:$F$40,3, FALSE)</f>
        <v>L'interdiction d'exercer à titre professionnel une activité privée lucrative et de participer aux organes de direction de sociétés ou d'associations à but lucratif n'est pas applicable dans le cadre de ce congé.</v>
      </c>
      <c r="AB20" s="13" t="s">
        <v>124</v>
      </c>
      <c r="AC20" s="15" t="str">
        <f>VLOOKUP(AB20,'Axe 2 Règles de gestion'!$D$2:$F$40,3, FALSE)</f>
        <v>Le militaire doit présenter une demande écrite à l'autorité dont il relève 2 mois au moins avant la date de création ou de reprise de l'entreprise.</v>
      </c>
      <c r="AD20" s="13" t="s">
        <v>126</v>
      </c>
      <c r="AE20" s="15" t="str">
        <f>VLOOKUP(AD20,'Axe 2 Règles de gestion'!$D$2:$F$40,3, FALSE)</f>
        <v>La demande mentionne la forme et l'objet social de l'entreprise susceptible d'être créée, son secteur et sa branche d'activité et, le cas échéant, la nature et le montant des subventions publiques dont cette entreprise est susceptible de bénéficier.</v>
      </c>
      <c r="AF20" s="13" t="s">
        <v>128</v>
      </c>
      <c r="AG20" s="15" t="str">
        <f>VLOOKUP(AF20,'Axe 2 Règles de gestion'!$D$2:$F$40,3, FALSE)</f>
        <v>Le ministre compétent saisit la commission de déontologie des militaires de cette demande dans le mois qui suit la date à laquelle elle l'a reçue.</v>
      </c>
      <c r="AH20" s="13" t="s">
        <v>130</v>
      </c>
      <c r="AI20" s="15" t="str">
        <f>VLOOKUP(AH20,'Axe 2 Règles de gestion'!$D$2:$F$40,3, FALSE)</f>
        <v>La commission rend son avis dans un délai d'1 mois à compter de l'enregistrement du dossier de saisine.</v>
      </c>
      <c r="AJ20" s="13" t="s">
        <v>132</v>
      </c>
      <c r="AK20" s="15" t="str">
        <f>VLOOKUP(AJ20,'Axe 2 Règles de gestion'!$D$2:$F$40,3, FALSE)</f>
        <v>L'absence d'avis de la commission à l'expiration du délai vaut avis favorable.</v>
      </c>
      <c r="AL20" s="13" t="s">
        <v>134</v>
      </c>
      <c r="AM20" s="15" t="str">
        <f>VLOOKUP(AL20,'Axe 2 Règles de gestion'!$D$2:$F$40,3, FALSE)</f>
        <v>L'avis de la commission est transmis au ministre compétent pour décision qui doit intervenir dans un délai d'1 mois à compter de la réception du dossier.</v>
      </c>
      <c r="AN20" s="13" t="s">
        <v>136</v>
      </c>
      <c r="AO20" s="15" t="str">
        <f>VLOOKUP(AN20,'Axe 2 Règles de gestion'!$D$2:$F$40,3, FALSE)</f>
        <v>L'absence de décision du ministre compétent dans le délai vaut refus d'attribution du congé.</v>
      </c>
      <c r="AP20" s="13" t="s">
        <v>138</v>
      </c>
      <c r="AQ20" s="15" t="str">
        <f>VLOOKUP(AP20,'Axe 2 Règles de gestion'!$D$2:$F$40,3, FALSE)</f>
        <v>En cas de décision favorable, le ministre compétent doit mentionner la durée du congé accordé.</v>
      </c>
      <c r="AR20" s="13" t="s">
        <v>140</v>
      </c>
      <c r="AS20" s="15" t="str">
        <f>VLOOKUP(AR20,'Axe 2 Règles de gestion'!$D$2:$F$40,3, FALSE)</f>
        <v>Pendant la durée du congé, le militaire se consacre obligatoirement à la création et à l'exploitation de l'entreprise qu'il crée ou reprend.</v>
      </c>
      <c r="AT20" s="13" t="s">
        <v>142</v>
      </c>
      <c r="AU20" s="15" t="str">
        <f>VLOOKUP(AT20,'Axe 2 Règles de gestion'!$D$2:$F$40,3, FALSE)</f>
        <v>Le ministre compétent peut faire procéder aux enquêtes nécessaires afin de vérifier si l'activité du militaire est conforme à l'objet du congé.</v>
      </c>
      <c r="AV20" s="13" t="s">
        <v>144</v>
      </c>
      <c r="AW20" s="15" t="str">
        <f>VLOOKUP(AV20,'Axe 2 Règles de gestion'!$D$2:$F$40,3, FALSE)</f>
        <v>La durée maximale de chaque période est de 1 an (date de fin prévisionnelle de l'absence).</v>
      </c>
      <c r="AX20" s="13" t="s">
        <v>146</v>
      </c>
      <c r="AY20" s="15" t="str">
        <f>VLOOKUP(AX20,'Axe 2 Règles de gestion'!$D$2:$F$40,3, FALSE)</f>
        <v>La durée maximale de chaque période est de 1 an (date de fin réelle de l'absence).</v>
      </c>
      <c r="AZ20" s="13" t="s">
        <v>148</v>
      </c>
      <c r="BA20" s="15" t="str">
        <f>VLOOKUP(AZ20,'Axe 2 Règles de gestion'!$D$2:$F$40,3, FALSE)</f>
        <v>Le militaire doit avoir accompli au moins 8 ans de services militaires effectifs.</v>
      </c>
      <c r="BB20" s="13" t="s">
        <v>150</v>
      </c>
      <c r="BC20" s="15" t="str">
        <f>VLOOKUP(BB20,'Axe 2 Règles de gestion'!$D$2:$F$40,3, FALSE)</f>
        <v>Le militaire est en activité.</v>
      </c>
      <c r="BD20" s="13"/>
      <c r="BE20" s="15"/>
      <c r="BF20" s="13"/>
      <c r="BG20" s="15"/>
      <c r="BH20" s="13" t="s">
        <v>191</v>
      </c>
      <c r="BI20" s="15" t="str">
        <f>VLOOKUP(BH20,'Axe 2 Règles de gestion'!$D$2:$F$40,3, FALSE)</f>
        <v>La date de début du congé/absence doit être postérieure ou égale à la date de recrutement dans la FPE ou dans la carrière militaire.</v>
      </c>
      <c r="BJ20" s="13" t="s">
        <v>158</v>
      </c>
      <c r="BK20" s="15" t="str">
        <f>VLOOKUP(BJ20,'Axe 2 Règles de gestion'!$D$2:$F$40,3, FALSE)</f>
        <v>La date de début du congé/absence doit être antérieure ou égale à la date de fin réelle du congé/absence.</v>
      </c>
      <c r="BL20" s="13" t="s">
        <v>160</v>
      </c>
      <c r="BM20" s="15" t="str">
        <f>VLOOKUP(BL20,'Axe 2 Règles de gestion'!$D$2:$F$40,3, FALSE)</f>
        <v>La date de début du congé/absence doit être antérieure ou égale à la date de fin prévisionnelle du congé/absence.</v>
      </c>
      <c r="BN20" s="13" t="s">
        <v>162</v>
      </c>
      <c r="BO20" s="15" t="str">
        <f>VLOOKUP(BN20,'Axe 2 Règles de gestion'!$D$2:$F$40,3, FALSE)</f>
        <v>La date de fin réelle du congé/absence doit être antérieure à la date limite de départ à la retraite.</v>
      </c>
      <c r="BP20" s="13" t="s">
        <v>164</v>
      </c>
      <c r="BQ20" s="15" t="str">
        <f>VLOOKUP(BP20,'Axe 2 Règles de gestion'!$D$2:$F$40,3, FALSE)</f>
        <v>La date de fin prévisionnelle du congé/absence doit être antérieure à la date limite de départ à la retraite.</v>
      </c>
      <c r="BR20" s="13" t="s">
        <v>166</v>
      </c>
      <c r="BS20" s="15" t="str">
        <f>VLOOKUP(BR20,'Axe 2 Règles de gestion'!$D$2:$F$40,3, FALSE)</f>
        <v>La date de fin réelle ou la date de fin prévisionnelle du congé/absence doit être saisie.</v>
      </c>
      <c r="BT20" s="13" t="s">
        <v>168</v>
      </c>
      <c r="BU20" s="15" t="str">
        <f>VLOOKUP(BT20,'Axe 2 Règles de gestion'!$D$2:$F$40,3, FALSE)</f>
        <v>Si l'absence ne commence pas par une demi-journée et si l'absence précédente ne finit pas par une demi journée, la date de début de l'absence saisie est postérieure à la date de fin réelle de l'absence précédente.</v>
      </c>
      <c r="BV20" s="13" t="s">
        <v>170</v>
      </c>
      <c r="BW20" s="15" t="str">
        <f>VLOOKUP(BV20,'Axe 2 Règles de gestion'!$D$2:$F$40,3, FALSE)</f>
        <v>Si l'absence ne commence pas par une demi-journée et si l'absence précédente ne finit pas par une demi journée, la date de début de l'absence saisie est postérieure à la date de fin prévisionnelle de l'absence précédente.</v>
      </c>
      <c r="BX20" s="13" t="s">
        <v>172</v>
      </c>
      <c r="BY20" s="15" t="str">
        <f>VLOOKUP(BX20,'Axe 2 Règles de gestion'!$D$2:$F$40,3, FALSE)</f>
        <v>Dans le cas d'un congé autre que CLM, CLD, CGM et CITIS, l'indicateur de requalification doit être à non et les impacts spécifiques à la requalification ne doivent pas être mobilisés ou l'impact rémunération est vide.</v>
      </c>
      <c r="BZ20" s="13"/>
      <c r="CA20" s="15"/>
    </row>
    <row r="21" spans="1:79" ht="145" x14ac:dyDescent="0.35">
      <c r="A21" s="13" t="s">
        <v>80</v>
      </c>
      <c r="B21" s="13" t="s">
        <v>81</v>
      </c>
      <c r="C21" s="14">
        <v>44854.490277777775</v>
      </c>
      <c r="D21" s="13" t="s">
        <v>82</v>
      </c>
      <c r="E21" s="15" t="s">
        <v>83</v>
      </c>
      <c r="F21" s="13" t="s">
        <v>84</v>
      </c>
      <c r="G21" s="15" t="s">
        <v>85</v>
      </c>
      <c r="H21" s="13" t="s">
        <v>86</v>
      </c>
      <c r="I21" s="15" t="s">
        <v>85</v>
      </c>
      <c r="J21" s="15" t="s">
        <v>87</v>
      </c>
      <c r="K21" s="15" t="s">
        <v>88</v>
      </c>
      <c r="L21" s="13" t="s">
        <v>98</v>
      </c>
      <c r="M21" s="15" t="s">
        <v>99</v>
      </c>
      <c r="N21" s="13" t="s">
        <v>91</v>
      </c>
      <c r="O21" s="15" t="s">
        <v>100</v>
      </c>
      <c r="P21" s="15" t="s">
        <v>101</v>
      </c>
      <c r="Q21" s="15" t="s">
        <v>188</v>
      </c>
      <c r="R21" s="13" t="s">
        <v>189</v>
      </c>
      <c r="S21" s="13" t="s">
        <v>117</v>
      </c>
      <c r="T21" s="13" t="s">
        <v>118</v>
      </c>
      <c r="U21" s="14">
        <v>43831</v>
      </c>
      <c r="V21" s="14"/>
      <c r="W21" s="15" t="s">
        <v>193</v>
      </c>
      <c r="X21" s="13" t="s">
        <v>122</v>
      </c>
      <c r="Y21" s="15" t="str">
        <f>VLOOKUP(X21,'Axe 2 Règles de gestion'!$D$2:$F$40,3, FALSE)</f>
        <v>L'interdiction d'exercer à titre professionnel une activité privée lucrative et de participer aux organes de direction de sociétés ou d'associations à but lucratif n'est pas applicable dans le cadre de ce congé.</v>
      </c>
      <c r="Z21" s="13" t="s">
        <v>175</v>
      </c>
      <c r="AA21" s="15" t="str">
        <f>VLOOKUP(Z21,'Axe 2 Règles de gestion'!$D$2:$F$40,3, FALSE)</f>
        <v>Le militaire qui souhaite prolonger la durée du congé doit en faire la demande au moins 2 mois avant l'échéance de la date mentionnée dans l'autorisation initiale.</v>
      </c>
      <c r="AB21" s="13" t="s">
        <v>126</v>
      </c>
      <c r="AC21" s="15" t="str">
        <f>VLOOKUP(AB21,'Axe 2 Règles de gestion'!$D$2:$F$40,3, FALSE)</f>
        <v>La demande mentionne la forme et l'objet social de l'entreprise susceptible d'être créée, son secteur et sa branche d'activité et, le cas échéant, la nature et le montant des subventions publiques dont cette entreprise est susceptible de bénéficier.</v>
      </c>
      <c r="AD21" s="13" t="s">
        <v>128</v>
      </c>
      <c r="AE21" s="15" t="str">
        <f>VLOOKUP(AD21,'Axe 2 Règles de gestion'!$D$2:$F$40,3, FALSE)</f>
        <v>Le ministre compétent saisit la commission de déontologie des militaires de cette demande dans le mois qui suit la date à laquelle elle l'a reçue.</v>
      </c>
      <c r="AF21" s="13" t="s">
        <v>130</v>
      </c>
      <c r="AG21" s="15" t="str">
        <f>VLOOKUP(AF21,'Axe 2 Règles de gestion'!$D$2:$F$40,3, FALSE)</f>
        <v>La commission rend son avis dans un délai d'1 mois à compter de l'enregistrement du dossier de saisine.</v>
      </c>
      <c r="AH21" s="13" t="s">
        <v>132</v>
      </c>
      <c r="AI21" s="15" t="str">
        <f>VLOOKUP(AH21,'Axe 2 Règles de gestion'!$D$2:$F$40,3, FALSE)</f>
        <v>L'absence d'avis de la commission à l'expiration du délai vaut avis favorable.</v>
      </c>
      <c r="AJ21" s="13" t="s">
        <v>134</v>
      </c>
      <c r="AK21" s="15" t="str">
        <f>VLOOKUP(AJ21,'Axe 2 Règles de gestion'!$D$2:$F$40,3, FALSE)</f>
        <v>L'avis de la commission est transmis au ministre compétent pour décision qui doit intervenir dans un délai d'1 mois à compter de la réception du dossier.</v>
      </c>
      <c r="AL21" s="13" t="s">
        <v>136</v>
      </c>
      <c r="AM21" s="15" t="str">
        <f>VLOOKUP(AL21,'Axe 2 Règles de gestion'!$D$2:$F$40,3, FALSE)</f>
        <v>L'absence de décision du ministre compétent dans le délai vaut refus d'attribution du congé.</v>
      </c>
      <c r="AN21" s="13" t="s">
        <v>138</v>
      </c>
      <c r="AO21" s="15" t="str">
        <f>VLOOKUP(AN21,'Axe 2 Règles de gestion'!$D$2:$F$40,3, FALSE)</f>
        <v>En cas de décision favorable, le ministre compétent doit mentionner la durée du congé accordé.</v>
      </c>
      <c r="AP21" s="13" t="s">
        <v>177</v>
      </c>
      <c r="AQ21" s="15" t="str">
        <f>VLOOKUP(AP21,'Axe 2 Règles de gestion'!$D$2:$F$40,3, FALSE)</f>
        <v>Toutefois si l'objet social de l'entreprise, son secteur et sa branche d'activité sont identiques à ceux de la demande initiale, l'autorisation de prorogation du congé est de droit. L'avis de la commission de déontologie n'est alors pas sollicité.</v>
      </c>
      <c r="AR21" s="13" t="s">
        <v>140</v>
      </c>
      <c r="AS21" s="15" t="str">
        <f>VLOOKUP(AR21,'Axe 2 Règles de gestion'!$D$2:$F$40,3, FALSE)</f>
        <v>Pendant la durée du congé, le militaire se consacre obligatoirement à la création et à l'exploitation de l'entreprise qu'il crée ou reprend.</v>
      </c>
      <c r="AT21" s="13" t="s">
        <v>142</v>
      </c>
      <c r="AU21" s="15" t="str">
        <f>VLOOKUP(AT21,'Axe 2 Règles de gestion'!$D$2:$F$40,3, FALSE)</f>
        <v>Le ministre compétent peut faire procéder aux enquêtes nécessaires afin de vérifier si l'activité du militaire est conforme à l'objet du congé.</v>
      </c>
      <c r="AV21" s="13" t="s">
        <v>144</v>
      </c>
      <c r="AW21" s="15" t="str">
        <f>VLOOKUP(AV21,'Axe 2 Règles de gestion'!$D$2:$F$40,3, FALSE)</f>
        <v>La durée maximale de chaque période est de 1 an (date de fin prévisionnelle de l'absence).</v>
      </c>
      <c r="AX21" s="13" t="s">
        <v>146</v>
      </c>
      <c r="AY21" s="15" t="str">
        <f>VLOOKUP(AX21,'Axe 2 Règles de gestion'!$D$2:$F$40,3, FALSE)</f>
        <v>La durée maximale de chaque période est de 1 an (date de fin réelle de l'absence).</v>
      </c>
      <c r="AZ21" s="13" t="s">
        <v>179</v>
      </c>
      <c r="BA21" s="15" t="str">
        <f>VLOOKUP(AZ21,'Axe 2 Règles de gestion'!$D$2:$F$40,3, FALSE)</f>
        <v>Le congé est renouvelable 1 fois.</v>
      </c>
      <c r="BB21" s="13"/>
      <c r="BC21" s="15"/>
      <c r="BD21" s="13"/>
      <c r="BE21" s="15"/>
      <c r="BF21" s="13"/>
      <c r="BG21" s="15"/>
      <c r="BH21" s="13" t="s">
        <v>158</v>
      </c>
      <c r="BI21" s="15" t="str">
        <f>VLOOKUP(BH21,'Axe 2 Règles de gestion'!$D$2:$F$40,3, FALSE)</f>
        <v>La date de début du congé/absence doit être antérieure ou égale à la date de fin réelle du congé/absence.</v>
      </c>
      <c r="BJ21" s="13" t="s">
        <v>160</v>
      </c>
      <c r="BK21" s="15" t="str">
        <f>VLOOKUP(BJ21,'Axe 2 Règles de gestion'!$D$2:$F$40,3, FALSE)</f>
        <v>La date de début du congé/absence doit être antérieure ou égale à la date de fin prévisionnelle du congé/absence.</v>
      </c>
      <c r="BL21" s="13" t="s">
        <v>162</v>
      </c>
      <c r="BM21" s="15" t="str">
        <f>VLOOKUP(BL21,'Axe 2 Règles de gestion'!$D$2:$F$40,3, FALSE)</f>
        <v>La date de fin réelle du congé/absence doit être antérieure à la date limite de départ à la retraite.</v>
      </c>
      <c r="BN21" s="13" t="s">
        <v>164</v>
      </c>
      <c r="BO21" s="15" t="str">
        <f>VLOOKUP(BN21,'Axe 2 Règles de gestion'!$D$2:$F$40,3, FALSE)</f>
        <v>La date de fin prévisionnelle du congé/absence doit être antérieure à la date limite de départ à la retraite.</v>
      </c>
      <c r="BP21" s="13" t="s">
        <v>166</v>
      </c>
      <c r="BQ21" s="15" t="str">
        <f>VLOOKUP(BP21,'Axe 2 Règles de gestion'!$D$2:$F$40,3, FALSE)</f>
        <v>La date de fin réelle ou la date de fin prévisionnelle du congé/absence doit être saisie.</v>
      </c>
      <c r="BR21" s="13" t="s">
        <v>168</v>
      </c>
      <c r="BS21" s="15" t="str">
        <f>VLOOKUP(BR21,'Axe 2 Règles de gestion'!$D$2:$F$40,3, FALSE)</f>
        <v>Si l'absence ne commence pas par une demi-journée et si l'absence précédente ne finit pas par une demi journée, la date de début de l'absence saisie est postérieure à la date de fin réelle de l'absence précédente.</v>
      </c>
      <c r="BT21" s="13" t="s">
        <v>170</v>
      </c>
      <c r="BU21" s="15" t="str">
        <f>VLOOKUP(BT21,'Axe 2 Règles de gestion'!$D$2:$F$40,3, FALSE)</f>
        <v>Si l'absence ne commence pas par une demi-journée et si l'absence précédente ne finit pas par une demi journée, la date de début de l'absence saisie est postérieure à la date de fin prévisionnelle de l'absence précédente.</v>
      </c>
      <c r="BV21" s="13" t="s">
        <v>172</v>
      </c>
      <c r="BW21" s="15" t="str">
        <f>VLOOKUP(BV21,'Axe 2 Règles de gestion'!$D$2:$F$40,3, FALSE)</f>
        <v>Dans le cas d'un congé autre que CLM, CLD, CGM et CITIS, l'indicateur de requalification doit être à non et les impacts spécifiques à la requalification ne doivent pas être mobilisés ou l'impact rémunération est vide.</v>
      </c>
      <c r="BX21" s="13"/>
      <c r="BY21" s="15"/>
      <c r="BZ21" s="13"/>
      <c r="CA21" s="15"/>
    </row>
    <row r="22" spans="1:79" ht="116" x14ac:dyDescent="0.35">
      <c r="A22" s="13" t="s">
        <v>80</v>
      </c>
      <c r="B22" s="13" t="s">
        <v>81</v>
      </c>
      <c r="C22" s="14">
        <v>44854.496527777781</v>
      </c>
      <c r="D22" s="13" t="s">
        <v>82</v>
      </c>
      <c r="E22" s="15" t="s">
        <v>83</v>
      </c>
      <c r="F22" s="13" t="s">
        <v>84</v>
      </c>
      <c r="G22" s="15" t="s">
        <v>85</v>
      </c>
      <c r="H22" s="13" t="s">
        <v>86</v>
      </c>
      <c r="I22" s="15" t="s">
        <v>85</v>
      </c>
      <c r="J22" s="15" t="s">
        <v>87</v>
      </c>
      <c r="K22" s="15" t="s">
        <v>88</v>
      </c>
      <c r="L22" s="13" t="s">
        <v>102</v>
      </c>
      <c r="M22" s="15" t="s">
        <v>103</v>
      </c>
      <c r="N22" s="13" t="s">
        <v>104</v>
      </c>
      <c r="O22" s="15" t="s">
        <v>105</v>
      </c>
      <c r="P22" s="15" t="s">
        <v>106</v>
      </c>
      <c r="Q22" s="15" t="s">
        <v>188</v>
      </c>
      <c r="R22" s="13" t="s">
        <v>189</v>
      </c>
      <c r="S22" s="13" t="s">
        <v>117</v>
      </c>
      <c r="T22" s="13" t="s">
        <v>118</v>
      </c>
      <c r="U22" s="14">
        <v>43831</v>
      </c>
      <c r="V22" s="14"/>
      <c r="W22" s="15" t="s">
        <v>194</v>
      </c>
      <c r="X22" s="13" t="s">
        <v>182</v>
      </c>
      <c r="Y22" s="15" t="str">
        <f>VLOOKUP(X22,'Axe 2 Règles de gestion'!$D$2:$F$40,3, FALSE)</f>
        <v>Si le congé n'est pas mis à profit pour créer, reprendre ou exploiter une entreprise, le ministre compétent notifie au militaire la fin du congé par anticipation. Il est alors radié des cadres ou rayé des contrôles.</v>
      </c>
      <c r="Z22" s="13" t="s">
        <v>184</v>
      </c>
      <c r="AA22" s="15" t="str">
        <f>VLOOKUP(Z22,'Axe 2 Règles de gestion'!$D$2:$F$40,3, FALSE)</f>
        <v>Le militaire qui souhaite interrompre le congé doit en faire la demande au moins 2 mois avant l'expiration du congé. Il est alors affecté dans un emploi de son grade.</v>
      </c>
      <c r="AB22" s="13" t="s">
        <v>186</v>
      </c>
      <c r="AC22" s="15" t="str">
        <f>VLOOKUP(AB22,'Axe 2 Règles de gestion'!$D$2:$F$40,3, FALSE)</f>
        <v>Le militaire est radié des cadres ou rayé des contrôles à titre définitif à l'expiration de ce congé.</v>
      </c>
      <c r="AD22" s="13"/>
      <c r="AE22" s="15"/>
      <c r="AF22" s="13"/>
      <c r="AG22" s="15"/>
      <c r="AH22" s="13"/>
      <c r="AI22" s="15"/>
      <c r="AJ22" s="13"/>
      <c r="AK22" s="15"/>
      <c r="AL22" s="13"/>
      <c r="AM22" s="15"/>
      <c r="AN22" s="13"/>
      <c r="AO22" s="15"/>
      <c r="AP22" s="13"/>
      <c r="AQ22" s="15"/>
      <c r="AR22" s="13"/>
      <c r="AS22" s="15"/>
      <c r="AT22" s="13"/>
      <c r="AU22" s="15"/>
      <c r="AV22" s="13" t="s">
        <v>144</v>
      </c>
      <c r="AW22" s="15" t="str">
        <f>VLOOKUP(AV22,'Axe 2 Règles de gestion'!$D$2:$F$40,3, FALSE)</f>
        <v>La durée maximale de chaque période est de 1 an (date de fin prévisionnelle de l'absence).</v>
      </c>
      <c r="AX22" s="13" t="s">
        <v>146</v>
      </c>
      <c r="AY22" s="15" t="str">
        <f>VLOOKUP(AX22,'Axe 2 Règles de gestion'!$D$2:$F$40,3, FALSE)</f>
        <v>La durée maximale de chaque période est de 1 an (date de fin réelle de l'absence).</v>
      </c>
      <c r="AZ22" s="13"/>
      <c r="BA22" s="15"/>
      <c r="BB22" s="13"/>
      <c r="BC22" s="15"/>
      <c r="BD22" s="13"/>
      <c r="BE22" s="15"/>
      <c r="BF22" s="13"/>
      <c r="BG22" s="15"/>
      <c r="BH22" s="13" t="s">
        <v>158</v>
      </c>
      <c r="BI22" s="15" t="str">
        <f>VLOOKUP(BH22,'Axe 2 Règles de gestion'!$D$2:$F$40,3, FALSE)</f>
        <v>La date de début du congé/absence doit être antérieure ou égale à la date de fin réelle du congé/absence.</v>
      </c>
      <c r="BJ22" s="13" t="s">
        <v>160</v>
      </c>
      <c r="BK22" s="15" t="str">
        <f>VLOOKUP(BJ22,'Axe 2 Règles de gestion'!$D$2:$F$40,3, FALSE)</f>
        <v>La date de début du congé/absence doit être antérieure ou égale à la date de fin prévisionnelle du congé/absence.</v>
      </c>
      <c r="BL22" s="13" t="s">
        <v>162</v>
      </c>
      <c r="BM22" s="15" t="str">
        <f>VLOOKUP(BL22,'Axe 2 Règles de gestion'!$D$2:$F$40,3, FALSE)</f>
        <v>La date de fin réelle du congé/absence doit être antérieure à la date limite de départ à la retraite.</v>
      </c>
      <c r="BN22" s="13" t="s">
        <v>164</v>
      </c>
      <c r="BO22" s="15" t="str">
        <f>VLOOKUP(BN22,'Axe 2 Règles de gestion'!$D$2:$F$40,3, FALSE)</f>
        <v>La date de fin prévisionnelle du congé/absence doit être antérieure à la date limite de départ à la retraite.</v>
      </c>
      <c r="BP22" s="13" t="s">
        <v>166</v>
      </c>
      <c r="BQ22" s="15" t="str">
        <f>VLOOKUP(BP22,'Axe 2 Règles de gestion'!$D$2:$F$40,3, FALSE)</f>
        <v>La date de fin réelle ou la date de fin prévisionnelle du congé/absence doit être saisie.</v>
      </c>
      <c r="BR22" s="13" t="s">
        <v>172</v>
      </c>
      <c r="BS22" s="15" t="str">
        <f>VLOOKUP(BR22,'Axe 2 Règles de gestion'!$D$2:$F$40,3, FALSE)</f>
        <v>Dans le cas d'un congé autre que CLM, CLD, CGM et CITIS, l'indicateur de requalification doit être à non et les impacts spécifiques à la requalification ne doivent pas être mobilisés ou l'impact rémunération est vide.</v>
      </c>
      <c r="BT22" s="13"/>
      <c r="BU22" s="15"/>
      <c r="BV22" s="13"/>
      <c r="BW22" s="15"/>
      <c r="BX22" s="13"/>
      <c r="BY22" s="15"/>
      <c r="BZ22" s="13"/>
      <c r="CA22" s="15"/>
    </row>
    <row r="23" spans="1:79" x14ac:dyDescent="0.35">
      <c r="C23" s="16"/>
      <c r="U23" s="16"/>
      <c r="V23" s="16"/>
    </row>
    <row r="24" spans="1:79" x14ac:dyDescent="0.35">
      <c r="C24" s="16"/>
      <c r="U24" s="16"/>
      <c r="V24" s="16"/>
    </row>
    <row r="25" spans="1:79" x14ac:dyDescent="0.35">
      <c r="C25" s="16"/>
      <c r="U25" s="16"/>
      <c r="V25" s="16"/>
    </row>
    <row r="26" spans="1:79" x14ac:dyDescent="0.35">
      <c r="C26" s="16"/>
      <c r="U26" s="16"/>
      <c r="V26" s="16"/>
    </row>
    <row r="27" spans="1:79" x14ac:dyDescent="0.35">
      <c r="C27" s="16"/>
      <c r="U27" s="16"/>
      <c r="V27" s="16"/>
    </row>
    <row r="28" spans="1:79" x14ac:dyDescent="0.35">
      <c r="C28" s="16"/>
      <c r="U28" s="16"/>
      <c r="V28" s="16"/>
    </row>
    <row r="29" spans="1:79" x14ac:dyDescent="0.35">
      <c r="C29" s="16"/>
      <c r="U29" s="16"/>
      <c r="V29" s="16"/>
    </row>
    <row r="30" spans="1:79" x14ac:dyDescent="0.35">
      <c r="C30" s="16"/>
      <c r="U30" s="16"/>
      <c r="V30" s="16"/>
    </row>
    <row r="31" spans="1:79" x14ac:dyDescent="0.35">
      <c r="C31" s="16"/>
      <c r="U31" s="16"/>
      <c r="V31" s="16"/>
    </row>
    <row r="32" spans="1:79" x14ac:dyDescent="0.35">
      <c r="C32" s="16"/>
      <c r="U32" s="16"/>
      <c r="V32" s="16"/>
    </row>
    <row r="33" spans="3:22" x14ac:dyDescent="0.35">
      <c r="C33" s="16"/>
      <c r="U33" s="16"/>
      <c r="V33" s="16"/>
    </row>
    <row r="34" spans="3:22" x14ac:dyDescent="0.35">
      <c r="C34" s="16"/>
      <c r="U34" s="16"/>
      <c r="V34" s="16"/>
    </row>
    <row r="35" spans="3:22" x14ac:dyDescent="0.35">
      <c r="C35" s="16"/>
      <c r="U35" s="16"/>
      <c r="V35" s="16"/>
    </row>
    <row r="36" spans="3:22" x14ac:dyDescent="0.35">
      <c r="C36" s="16"/>
      <c r="U36" s="16"/>
      <c r="V36" s="16"/>
    </row>
    <row r="37" spans="3:22" x14ac:dyDescent="0.35">
      <c r="C37" s="16"/>
      <c r="U37" s="16"/>
      <c r="V37" s="16"/>
    </row>
    <row r="38" spans="3:22" x14ac:dyDescent="0.35">
      <c r="C38" s="16"/>
      <c r="U38" s="16"/>
      <c r="V38" s="16"/>
    </row>
    <row r="39" spans="3:22" x14ac:dyDescent="0.35">
      <c r="C39" s="16"/>
      <c r="U39" s="16"/>
      <c r="V39" s="16"/>
    </row>
    <row r="40" spans="3:22" x14ac:dyDescent="0.35">
      <c r="C40" s="16"/>
      <c r="U40" s="16"/>
      <c r="V40" s="16"/>
    </row>
    <row r="41" spans="3:22" x14ac:dyDescent="0.35">
      <c r="C41" s="16"/>
      <c r="U41" s="16"/>
      <c r="V41" s="16"/>
    </row>
    <row r="42" spans="3:22" x14ac:dyDescent="0.35">
      <c r="C42" s="16"/>
      <c r="U42" s="16"/>
      <c r="V42" s="16"/>
    </row>
    <row r="43" spans="3:22" x14ac:dyDescent="0.35">
      <c r="C43" s="16"/>
      <c r="U43" s="16"/>
      <c r="V43" s="16"/>
    </row>
    <row r="44" spans="3:22" x14ac:dyDescent="0.35">
      <c r="C44" s="16"/>
      <c r="U44" s="16"/>
      <c r="V44" s="16"/>
    </row>
    <row r="45" spans="3:22" x14ac:dyDescent="0.35">
      <c r="C45" s="16"/>
      <c r="U45" s="16"/>
      <c r="V45" s="16"/>
    </row>
    <row r="46" spans="3:22" x14ac:dyDescent="0.35">
      <c r="C46" s="16"/>
      <c r="U46" s="16"/>
      <c r="V46" s="16"/>
    </row>
    <row r="47" spans="3:22" x14ac:dyDescent="0.35">
      <c r="C47" s="16"/>
      <c r="U47" s="16"/>
      <c r="V47" s="16"/>
    </row>
    <row r="48" spans="3:22" x14ac:dyDescent="0.35">
      <c r="C48" s="16"/>
      <c r="U48" s="16"/>
      <c r="V48" s="16"/>
    </row>
    <row r="49" spans="3:22" x14ac:dyDescent="0.35">
      <c r="C49" s="16"/>
      <c r="U49" s="16"/>
      <c r="V49" s="16"/>
    </row>
    <row r="50" spans="3:22" x14ac:dyDescent="0.35">
      <c r="C50" s="16"/>
      <c r="U50" s="16"/>
      <c r="V50" s="16"/>
    </row>
    <row r="51" spans="3:22" x14ac:dyDescent="0.35">
      <c r="C51" s="16"/>
      <c r="U51" s="16"/>
      <c r="V51" s="16"/>
    </row>
    <row r="52" spans="3:22" x14ac:dyDescent="0.35">
      <c r="C52" s="16"/>
      <c r="U52" s="16"/>
      <c r="V52" s="16"/>
    </row>
    <row r="53" spans="3:22" x14ac:dyDescent="0.35">
      <c r="C53" s="16"/>
      <c r="U53" s="16"/>
      <c r="V53" s="16"/>
    </row>
    <row r="54" spans="3:22" x14ac:dyDescent="0.35">
      <c r="C54" s="16"/>
      <c r="U54" s="16"/>
      <c r="V54" s="16"/>
    </row>
    <row r="55" spans="3:22" x14ac:dyDescent="0.35">
      <c r="C55" s="16"/>
      <c r="U55" s="16"/>
      <c r="V55" s="16"/>
    </row>
    <row r="56" spans="3:22" x14ac:dyDescent="0.35">
      <c r="C56" s="16"/>
      <c r="U56" s="16"/>
      <c r="V56" s="16"/>
    </row>
    <row r="57" spans="3:22" x14ac:dyDescent="0.35">
      <c r="C57" s="16"/>
      <c r="U57" s="16"/>
      <c r="V57" s="16"/>
    </row>
    <row r="58" spans="3:22" x14ac:dyDescent="0.35">
      <c r="C58" s="16"/>
      <c r="U58" s="16"/>
      <c r="V58" s="16"/>
    </row>
    <row r="59" spans="3:22" x14ac:dyDescent="0.35">
      <c r="C59" s="16"/>
      <c r="U59" s="16"/>
      <c r="V59" s="16"/>
    </row>
    <row r="60" spans="3:22" x14ac:dyDescent="0.35">
      <c r="C60" s="16"/>
      <c r="U60" s="16"/>
      <c r="V60" s="16"/>
    </row>
    <row r="61" spans="3:22" x14ac:dyDescent="0.35">
      <c r="C61" s="16"/>
      <c r="U61" s="16"/>
      <c r="V61" s="16"/>
    </row>
    <row r="62" spans="3:22" x14ac:dyDescent="0.35">
      <c r="C62" s="16"/>
      <c r="U62" s="16"/>
      <c r="V62" s="16"/>
    </row>
    <row r="63" spans="3:22" x14ac:dyDescent="0.35">
      <c r="C63" s="16"/>
      <c r="U63" s="16"/>
      <c r="V63" s="16"/>
    </row>
    <row r="64" spans="3:22" x14ac:dyDescent="0.35">
      <c r="C64" s="16"/>
      <c r="U64" s="16"/>
      <c r="V64" s="16"/>
    </row>
    <row r="65" spans="3:22" x14ac:dyDescent="0.35">
      <c r="C65" s="16"/>
      <c r="U65" s="16"/>
      <c r="V65" s="16"/>
    </row>
    <row r="66" spans="3:22" x14ac:dyDescent="0.35">
      <c r="C66" s="16"/>
      <c r="U66" s="16"/>
      <c r="V66" s="16"/>
    </row>
    <row r="67" spans="3:22" x14ac:dyDescent="0.35">
      <c r="C67" s="16"/>
      <c r="U67" s="16"/>
      <c r="V67" s="16"/>
    </row>
    <row r="68" spans="3:22" x14ac:dyDescent="0.35">
      <c r="C68" s="16"/>
      <c r="U68" s="16"/>
      <c r="V68" s="16"/>
    </row>
    <row r="69" spans="3:22" x14ac:dyDescent="0.35">
      <c r="C69" s="16"/>
      <c r="U69" s="16"/>
      <c r="V69" s="16"/>
    </row>
    <row r="70" spans="3:22" x14ac:dyDescent="0.35">
      <c r="C70" s="16"/>
      <c r="U70" s="16"/>
      <c r="V70" s="16"/>
    </row>
    <row r="71" spans="3:22" x14ac:dyDescent="0.35">
      <c r="C71" s="16"/>
      <c r="U71" s="16"/>
      <c r="V71" s="16"/>
    </row>
    <row r="72" spans="3:22" x14ac:dyDescent="0.35">
      <c r="C72" s="16"/>
      <c r="U72" s="16"/>
      <c r="V72" s="16"/>
    </row>
    <row r="73" spans="3:22" x14ac:dyDescent="0.35">
      <c r="C73" s="16"/>
      <c r="U73" s="16"/>
      <c r="V73" s="16"/>
    </row>
    <row r="74" spans="3:22" x14ac:dyDescent="0.35">
      <c r="C74" s="16"/>
      <c r="U74" s="16"/>
      <c r="V74" s="16"/>
    </row>
    <row r="75" spans="3:22" x14ac:dyDescent="0.35">
      <c r="C75" s="16"/>
      <c r="U75" s="16"/>
      <c r="V75" s="16"/>
    </row>
    <row r="76" spans="3:22" x14ac:dyDescent="0.35">
      <c r="C76" s="16"/>
      <c r="U76" s="16"/>
      <c r="V76" s="16"/>
    </row>
    <row r="77" spans="3:22" x14ac:dyDescent="0.35">
      <c r="C77" s="16"/>
      <c r="U77" s="16"/>
      <c r="V77" s="16"/>
    </row>
    <row r="78" spans="3:22" x14ac:dyDescent="0.35">
      <c r="C78" s="16"/>
      <c r="U78" s="16"/>
      <c r="V78" s="16"/>
    </row>
    <row r="79" spans="3:22" x14ac:dyDescent="0.35">
      <c r="C79" s="16"/>
      <c r="U79" s="16"/>
      <c r="V79" s="16"/>
    </row>
    <row r="80" spans="3:22" x14ac:dyDescent="0.35">
      <c r="C80" s="16"/>
      <c r="U80" s="16"/>
      <c r="V80" s="16"/>
    </row>
    <row r="81" spans="3:22" x14ac:dyDescent="0.35">
      <c r="C81" s="16"/>
      <c r="U81" s="16"/>
      <c r="V81" s="16"/>
    </row>
    <row r="82" spans="3:22" x14ac:dyDescent="0.35">
      <c r="C82" s="16"/>
      <c r="U82" s="16"/>
      <c r="V82" s="16"/>
    </row>
    <row r="83" spans="3:22" x14ac:dyDescent="0.35">
      <c r="C83" s="16"/>
      <c r="U83" s="16"/>
      <c r="V83" s="16"/>
    </row>
    <row r="84" spans="3:22" x14ac:dyDescent="0.35">
      <c r="C84" s="16"/>
      <c r="U84" s="16"/>
      <c r="V84" s="16"/>
    </row>
    <row r="85" spans="3:22" x14ac:dyDescent="0.35">
      <c r="C85" s="16"/>
      <c r="U85" s="16"/>
      <c r="V85" s="16"/>
    </row>
    <row r="86" spans="3:22" x14ac:dyDescent="0.35">
      <c r="C86" s="16"/>
      <c r="U86" s="16"/>
      <c r="V86" s="16"/>
    </row>
    <row r="87" spans="3:22" x14ac:dyDescent="0.35">
      <c r="C87" s="16"/>
      <c r="U87" s="16"/>
      <c r="V87" s="16"/>
    </row>
    <row r="88" spans="3:22" x14ac:dyDescent="0.35">
      <c r="C88" s="16"/>
      <c r="U88" s="16"/>
      <c r="V88" s="16"/>
    </row>
    <row r="89" spans="3:22" x14ac:dyDescent="0.35">
      <c r="C89" s="16"/>
      <c r="U89" s="16"/>
      <c r="V89" s="16"/>
    </row>
    <row r="90" spans="3:22" x14ac:dyDescent="0.35">
      <c r="C90" s="16"/>
      <c r="U90" s="16"/>
      <c r="V90" s="16"/>
    </row>
    <row r="91" spans="3:22" x14ac:dyDescent="0.35">
      <c r="C91" s="16"/>
      <c r="U91" s="16"/>
      <c r="V91" s="16"/>
    </row>
    <row r="92" spans="3:22" x14ac:dyDescent="0.35">
      <c r="C92" s="16"/>
      <c r="U92" s="16"/>
      <c r="V92" s="16"/>
    </row>
    <row r="93" spans="3:22" x14ac:dyDescent="0.35">
      <c r="C93" s="16"/>
      <c r="U93" s="16"/>
      <c r="V93" s="16"/>
    </row>
    <row r="94" spans="3:22" x14ac:dyDescent="0.35">
      <c r="C94" s="16"/>
      <c r="U94" s="16"/>
      <c r="V94" s="16"/>
    </row>
    <row r="95" spans="3:22" x14ac:dyDescent="0.35">
      <c r="C95" s="16"/>
      <c r="U95" s="16"/>
      <c r="V95" s="16"/>
    </row>
    <row r="96" spans="3:22" x14ac:dyDescent="0.35">
      <c r="C96" s="16"/>
      <c r="U96" s="16"/>
      <c r="V96" s="16"/>
    </row>
    <row r="97" spans="3:22" x14ac:dyDescent="0.35">
      <c r="C97" s="16"/>
      <c r="U97" s="16"/>
      <c r="V97" s="16"/>
    </row>
    <row r="98" spans="3:22" x14ac:dyDescent="0.35">
      <c r="C98" s="16"/>
      <c r="U98" s="16"/>
      <c r="V98" s="16"/>
    </row>
    <row r="99" spans="3:22" x14ac:dyDescent="0.35">
      <c r="C99" s="16"/>
      <c r="U99" s="16"/>
      <c r="V99" s="16"/>
    </row>
    <row r="100" spans="3:22" x14ac:dyDescent="0.35">
      <c r="C100" s="16"/>
      <c r="U100" s="16"/>
      <c r="V100" s="16"/>
    </row>
    <row r="101" spans="3:22" x14ac:dyDescent="0.35">
      <c r="C101" s="16"/>
      <c r="U101" s="16"/>
      <c r="V101" s="16"/>
    </row>
    <row r="102" spans="3:22" x14ac:dyDescent="0.35">
      <c r="C102" s="16"/>
      <c r="U102" s="16"/>
      <c r="V102" s="16"/>
    </row>
    <row r="103" spans="3:22" x14ac:dyDescent="0.35">
      <c r="C103" s="16"/>
      <c r="U103" s="16"/>
      <c r="V103" s="16"/>
    </row>
    <row r="104" spans="3:22" x14ac:dyDescent="0.35">
      <c r="C104" s="16"/>
      <c r="U104" s="16"/>
      <c r="V104" s="16"/>
    </row>
    <row r="105" spans="3:22" x14ac:dyDescent="0.35">
      <c r="C105" s="16"/>
      <c r="U105" s="16"/>
      <c r="V105" s="16"/>
    </row>
    <row r="106" spans="3:22" x14ac:dyDescent="0.35">
      <c r="C106" s="16"/>
      <c r="U106" s="16"/>
      <c r="V106" s="16"/>
    </row>
    <row r="107" spans="3:22" x14ac:dyDescent="0.35">
      <c r="C107" s="16"/>
      <c r="U107" s="16"/>
      <c r="V107" s="16"/>
    </row>
    <row r="108" spans="3:22" x14ac:dyDescent="0.35">
      <c r="C108" s="16"/>
      <c r="U108" s="16"/>
      <c r="V108" s="16"/>
    </row>
    <row r="109" spans="3:22" x14ac:dyDescent="0.35">
      <c r="C109" s="16"/>
      <c r="U109" s="16"/>
      <c r="V109" s="16"/>
    </row>
    <row r="110" spans="3:22" x14ac:dyDescent="0.35">
      <c r="C110" s="16"/>
      <c r="U110" s="16"/>
      <c r="V110" s="16"/>
    </row>
    <row r="111" spans="3:22" x14ac:dyDescent="0.35">
      <c r="C111" s="16"/>
      <c r="U111" s="16"/>
      <c r="V111" s="16"/>
    </row>
    <row r="112" spans="3:22" x14ac:dyDescent="0.35">
      <c r="C112" s="16"/>
      <c r="U112" s="16"/>
      <c r="V112" s="16"/>
    </row>
    <row r="113" spans="3:22" x14ac:dyDescent="0.35">
      <c r="C113" s="16"/>
      <c r="U113" s="16"/>
      <c r="V113" s="16"/>
    </row>
    <row r="114" spans="3:22" x14ac:dyDescent="0.35">
      <c r="C114" s="16"/>
      <c r="U114" s="16"/>
      <c r="V114" s="16"/>
    </row>
    <row r="115" spans="3:22" x14ac:dyDescent="0.35">
      <c r="C115" s="16"/>
      <c r="U115" s="16"/>
      <c r="V115" s="16"/>
    </row>
    <row r="116" spans="3:22" x14ac:dyDescent="0.35">
      <c r="C116" s="16"/>
      <c r="U116" s="16"/>
      <c r="V116" s="16"/>
    </row>
    <row r="117" spans="3:22" x14ac:dyDescent="0.35">
      <c r="C117" s="16"/>
      <c r="U117" s="16"/>
      <c r="V117" s="16"/>
    </row>
    <row r="118" spans="3:22" x14ac:dyDescent="0.35">
      <c r="C118" s="16"/>
      <c r="U118" s="16"/>
      <c r="V118" s="16"/>
    </row>
    <row r="119" spans="3:22" x14ac:dyDescent="0.35">
      <c r="C119" s="16"/>
      <c r="U119" s="16"/>
      <c r="V119" s="16"/>
    </row>
    <row r="120" spans="3:22" x14ac:dyDescent="0.35">
      <c r="C120" s="16"/>
      <c r="U120" s="16"/>
      <c r="V120" s="16"/>
    </row>
    <row r="121" spans="3:22" x14ac:dyDescent="0.35">
      <c r="C121" s="16"/>
      <c r="U121" s="16"/>
      <c r="V121" s="16"/>
    </row>
    <row r="122" spans="3:22" x14ac:dyDescent="0.35">
      <c r="C122" s="16"/>
      <c r="U122" s="16"/>
      <c r="V122" s="16"/>
    </row>
    <row r="123" spans="3:22" x14ac:dyDescent="0.35">
      <c r="C123" s="16"/>
      <c r="U123" s="16"/>
      <c r="V123" s="16"/>
    </row>
    <row r="124" spans="3:22" x14ac:dyDescent="0.35">
      <c r="C124" s="16"/>
      <c r="U124" s="16"/>
      <c r="V124" s="16"/>
    </row>
    <row r="125" spans="3:22" x14ac:dyDescent="0.35">
      <c r="C125" s="16"/>
      <c r="U125" s="16"/>
      <c r="V125" s="16"/>
    </row>
    <row r="126" spans="3:22" x14ac:dyDescent="0.35">
      <c r="C126" s="16"/>
      <c r="U126" s="16"/>
      <c r="V126" s="16"/>
    </row>
    <row r="127" spans="3:22" x14ac:dyDescent="0.35">
      <c r="C127" s="16"/>
      <c r="U127" s="16"/>
      <c r="V127" s="16"/>
    </row>
    <row r="128" spans="3:22" x14ac:dyDescent="0.35">
      <c r="C128" s="16"/>
      <c r="U128" s="16"/>
      <c r="V128" s="16"/>
    </row>
    <row r="129" spans="3:22" x14ac:dyDescent="0.35">
      <c r="C129" s="16"/>
      <c r="U129" s="16"/>
      <c r="V129" s="16"/>
    </row>
    <row r="130" spans="3:22" x14ac:dyDescent="0.35">
      <c r="C130" s="16"/>
      <c r="U130" s="16"/>
      <c r="V130" s="16"/>
    </row>
    <row r="131" spans="3:22" x14ac:dyDescent="0.35">
      <c r="C131" s="16"/>
      <c r="U131" s="16"/>
      <c r="V131" s="16"/>
    </row>
    <row r="132" spans="3:22" x14ac:dyDescent="0.35">
      <c r="C132" s="16"/>
      <c r="U132" s="16"/>
      <c r="V132" s="16"/>
    </row>
    <row r="133" spans="3:22" x14ac:dyDescent="0.35">
      <c r="C133" s="16"/>
      <c r="U133" s="16"/>
      <c r="V133" s="16"/>
    </row>
    <row r="134" spans="3:22" x14ac:dyDescent="0.35">
      <c r="C134" s="16"/>
      <c r="U134" s="16"/>
      <c r="V134" s="16"/>
    </row>
    <row r="135" spans="3:22" x14ac:dyDescent="0.35">
      <c r="C135" s="16"/>
      <c r="U135" s="16"/>
      <c r="V135" s="16"/>
    </row>
    <row r="136" spans="3:22" x14ac:dyDescent="0.35">
      <c r="C136" s="16"/>
      <c r="U136" s="16"/>
      <c r="V136" s="16"/>
    </row>
    <row r="137" spans="3:22" x14ac:dyDescent="0.35">
      <c r="C137" s="16"/>
      <c r="U137" s="16"/>
      <c r="V137" s="16"/>
    </row>
    <row r="138" spans="3:22" x14ac:dyDescent="0.35">
      <c r="C138" s="16"/>
      <c r="U138" s="16"/>
      <c r="V138" s="16"/>
    </row>
    <row r="139" spans="3:22" x14ac:dyDescent="0.35">
      <c r="C139" s="16"/>
      <c r="U139" s="16"/>
      <c r="V139" s="16"/>
    </row>
    <row r="140" spans="3:22" x14ac:dyDescent="0.35">
      <c r="C140" s="16"/>
      <c r="U140" s="16"/>
      <c r="V140" s="16"/>
    </row>
    <row r="141" spans="3:22" x14ac:dyDescent="0.35">
      <c r="C141" s="16"/>
      <c r="U141" s="16"/>
      <c r="V141" s="16"/>
    </row>
    <row r="142" spans="3:22" x14ac:dyDescent="0.35">
      <c r="C142" s="16"/>
      <c r="U142" s="16"/>
      <c r="V142" s="16"/>
    </row>
    <row r="143" spans="3:22" x14ac:dyDescent="0.35">
      <c r="C143" s="16"/>
      <c r="U143" s="16"/>
      <c r="V143" s="16"/>
    </row>
    <row r="144" spans="3:22" x14ac:dyDescent="0.35">
      <c r="C144" s="16"/>
      <c r="U144" s="16"/>
      <c r="V144" s="16"/>
    </row>
    <row r="145" spans="3:22" x14ac:dyDescent="0.35">
      <c r="C145" s="16"/>
      <c r="U145" s="16"/>
      <c r="V145" s="16"/>
    </row>
    <row r="146" spans="3:22" x14ac:dyDescent="0.35">
      <c r="C146" s="16"/>
      <c r="U146" s="16"/>
      <c r="V146" s="16"/>
    </row>
    <row r="147" spans="3:22" x14ac:dyDescent="0.35">
      <c r="C147" s="16"/>
      <c r="U147" s="16"/>
      <c r="V147" s="16"/>
    </row>
    <row r="148" spans="3:22" x14ac:dyDescent="0.35">
      <c r="C148" s="16"/>
      <c r="U148" s="16"/>
      <c r="V148" s="16"/>
    </row>
    <row r="149" spans="3:22" x14ac:dyDescent="0.35">
      <c r="C149" s="16"/>
      <c r="U149" s="16"/>
      <c r="V149" s="16"/>
    </row>
    <row r="150" spans="3:22" x14ac:dyDescent="0.35">
      <c r="C150" s="16"/>
      <c r="U150" s="16"/>
      <c r="V150" s="16"/>
    </row>
    <row r="151" spans="3:22" x14ac:dyDescent="0.35">
      <c r="C151" s="16"/>
      <c r="U151" s="16"/>
      <c r="V151" s="16"/>
    </row>
    <row r="152" spans="3:22" x14ac:dyDescent="0.35">
      <c r="C152" s="16"/>
      <c r="U152" s="16"/>
      <c r="V152" s="16"/>
    </row>
    <row r="153" spans="3:22" x14ac:dyDescent="0.35">
      <c r="C153" s="16"/>
      <c r="U153" s="16"/>
      <c r="V153" s="16"/>
    </row>
    <row r="154" spans="3:22" x14ac:dyDescent="0.35">
      <c r="C154" s="16"/>
      <c r="U154" s="16"/>
      <c r="V154" s="16"/>
    </row>
    <row r="155" spans="3:22" x14ac:dyDescent="0.35">
      <c r="C155" s="16"/>
      <c r="U155" s="16"/>
      <c r="V155" s="16"/>
    </row>
    <row r="156" spans="3:22" x14ac:dyDescent="0.35">
      <c r="C156" s="16"/>
      <c r="U156" s="16"/>
      <c r="V156" s="16"/>
    </row>
    <row r="157" spans="3:22" x14ac:dyDescent="0.35">
      <c r="C157" s="16"/>
      <c r="U157" s="16"/>
      <c r="V157" s="16"/>
    </row>
    <row r="158" spans="3:22" x14ac:dyDescent="0.35">
      <c r="C158" s="16"/>
      <c r="U158" s="16"/>
      <c r="V158" s="16"/>
    </row>
    <row r="159" spans="3:22" x14ac:dyDescent="0.35">
      <c r="C159" s="16"/>
      <c r="U159" s="16"/>
      <c r="V159" s="16"/>
    </row>
    <row r="160" spans="3:22" x14ac:dyDescent="0.35">
      <c r="C160" s="16"/>
      <c r="U160" s="16"/>
      <c r="V160" s="16"/>
    </row>
    <row r="161" spans="3:22" x14ac:dyDescent="0.35">
      <c r="C161" s="16"/>
      <c r="U161" s="16"/>
      <c r="V161" s="16"/>
    </row>
    <row r="162" spans="3:22" x14ac:dyDescent="0.35">
      <c r="C162" s="16"/>
      <c r="U162" s="16"/>
      <c r="V162" s="16"/>
    </row>
    <row r="163" spans="3:22" x14ac:dyDescent="0.35">
      <c r="C163" s="16"/>
      <c r="U163" s="16"/>
      <c r="V163" s="16"/>
    </row>
    <row r="164" spans="3:22" x14ac:dyDescent="0.35">
      <c r="C164" s="16"/>
      <c r="U164" s="16"/>
      <c r="V164" s="16"/>
    </row>
    <row r="165" spans="3:22" x14ac:dyDescent="0.35">
      <c r="C165" s="16"/>
      <c r="U165" s="16"/>
      <c r="V165" s="16"/>
    </row>
    <row r="166" spans="3:22" x14ac:dyDescent="0.35">
      <c r="C166" s="16"/>
      <c r="U166" s="16"/>
      <c r="V166" s="16"/>
    </row>
    <row r="167" spans="3:22" x14ac:dyDescent="0.35">
      <c r="C167" s="16"/>
      <c r="U167" s="16"/>
      <c r="V167" s="16"/>
    </row>
    <row r="168" spans="3:22" x14ac:dyDescent="0.35">
      <c r="C168" s="16"/>
      <c r="U168" s="16"/>
      <c r="V168" s="16"/>
    </row>
    <row r="169" spans="3:22" x14ac:dyDescent="0.35">
      <c r="C169" s="16"/>
      <c r="U169" s="16"/>
      <c r="V169" s="16"/>
    </row>
    <row r="170" spans="3:22" x14ac:dyDescent="0.35">
      <c r="C170" s="16"/>
      <c r="U170" s="16"/>
      <c r="V170" s="16"/>
    </row>
    <row r="171" spans="3:22" x14ac:dyDescent="0.35">
      <c r="C171" s="16"/>
      <c r="U171" s="16"/>
      <c r="V171" s="16"/>
    </row>
    <row r="172" spans="3:22" x14ac:dyDescent="0.35">
      <c r="C172" s="16"/>
      <c r="U172" s="16"/>
      <c r="V172" s="16"/>
    </row>
    <row r="173" spans="3:22" x14ac:dyDescent="0.35">
      <c r="C173" s="16"/>
      <c r="U173" s="16"/>
      <c r="V173" s="16"/>
    </row>
    <row r="174" spans="3:22" x14ac:dyDescent="0.35">
      <c r="C174" s="16"/>
      <c r="U174" s="16"/>
      <c r="V174" s="16"/>
    </row>
    <row r="175" spans="3:22" x14ac:dyDescent="0.35">
      <c r="C175" s="16"/>
      <c r="U175" s="16"/>
      <c r="V175" s="16"/>
    </row>
    <row r="176" spans="3:22" x14ac:dyDescent="0.35">
      <c r="C176" s="16"/>
      <c r="U176" s="16"/>
      <c r="V176" s="16"/>
    </row>
    <row r="177" spans="3:22" x14ac:dyDescent="0.35">
      <c r="C177" s="16"/>
      <c r="U177" s="16"/>
      <c r="V177" s="16"/>
    </row>
    <row r="178" spans="3:22" x14ac:dyDescent="0.35">
      <c r="C178" s="16"/>
      <c r="U178" s="16"/>
      <c r="V178" s="16"/>
    </row>
    <row r="179" spans="3:22" x14ac:dyDescent="0.35">
      <c r="C179" s="16"/>
      <c r="U179" s="16"/>
      <c r="V179" s="16"/>
    </row>
    <row r="180" spans="3:22" x14ac:dyDescent="0.35">
      <c r="C180" s="16"/>
      <c r="U180" s="16"/>
      <c r="V180" s="16"/>
    </row>
    <row r="181" spans="3:22" x14ac:dyDescent="0.35">
      <c r="C181" s="16"/>
      <c r="U181" s="16"/>
      <c r="V181" s="16"/>
    </row>
  </sheetData>
  <autoFilter ref="A1:OJ1" xr:uid="{88231632-39E3-4902-9AD0-572E1961BE8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63D36-52DC-41D4-80F2-5F96564C62AF}">
  <dimension ref="A1:AG181"/>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9.6328125" style="18" customWidth="1"/>
    <col min="33" max="33" width="15.6328125" style="12" customWidth="1"/>
    <col min="34" max="16384" width="10.90625" style="12"/>
  </cols>
  <sheetData>
    <row r="1" spans="1:33"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195</v>
      </c>
      <c r="X1" s="10" t="s">
        <v>196</v>
      </c>
      <c r="Y1" s="10" t="s">
        <v>197</v>
      </c>
      <c r="Z1" s="10" t="s">
        <v>198</v>
      </c>
      <c r="AA1" s="10" t="s">
        <v>199</v>
      </c>
      <c r="AB1" s="10" t="s">
        <v>200</v>
      </c>
      <c r="AC1" s="10" t="s">
        <v>201</v>
      </c>
      <c r="AD1" s="10" t="s">
        <v>202</v>
      </c>
      <c r="AE1" s="10" t="s">
        <v>203</v>
      </c>
      <c r="AF1" s="10" t="s">
        <v>78</v>
      </c>
      <c r="AG1" s="10" t="s">
        <v>79</v>
      </c>
    </row>
    <row r="2" spans="1:33" ht="58" x14ac:dyDescent="0.35">
      <c r="A2" s="13" t="s">
        <v>80</v>
      </c>
      <c r="B2" s="13" t="s">
        <v>81</v>
      </c>
      <c r="C2" s="14">
        <v>44854.470833333333</v>
      </c>
      <c r="D2" s="13" t="s">
        <v>82</v>
      </c>
      <c r="E2" s="15" t="s">
        <v>83</v>
      </c>
      <c r="F2" s="13" t="s">
        <v>84</v>
      </c>
      <c r="G2" s="15" t="s">
        <v>85</v>
      </c>
      <c r="H2" s="13" t="s">
        <v>86</v>
      </c>
      <c r="I2" s="15" t="s">
        <v>85</v>
      </c>
      <c r="J2" s="15" t="s">
        <v>87</v>
      </c>
      <c r="K2" s="15" t="s">
        <v>88</v>
      </c>
      <c r="L2" s="13" t="s">
        <v>89</v>
      </c>
      <c r="M2" s="15" t="s">
        <v>90</v>
      </c>
      <c r="N2" s="13" t="s">
        <v>91</v>
      </c>
      <c r="O2" s="15" t="s">
        <v>92</v>
      </c>
      <c r="P2" s="15" t="s">
        <v>93</v>
      </c>
      <c r="Q2" s="15" t="s">
        <v>94</v>
      </c>
      <c r="R2" s="13" t="s">
        <v>95</v>
      </c>
      <c r="S2" s="13" t="s">
        <v>96</v>
      </c>
      <c r="T2" s="13" t="s">
        <v>97</v>
      </c>
      <c r="U2" s="14">
        <v>43831</v>
      </c>
      <c r="V2" s="14"/>
      <c r="W2" s="15"/>
      <c r="X2" s="13"/>
      <c r="Y2" s="15"/>
      <c r="Z2" s="13"/>
      <c r="AA2" s="15"/>
      <c r="AB2" s="13"/>
      <c r="AC2" s="15"/>
      <c r="AD2" s="13"/>
      <c r="AE2" s="15"/>
      <c r="AF2" s="13"/>
      <c r="AG2" s="13"/>
    </row>
    <row r="3" spans="1:33" ht="58" x14ac:dyDescent="0.35">
      <c r="A3" s="13" t="s">
        <v>80</v>
      </c>
      <c r="B3" s="13" t="s">
        <v>81</v>
      </c>
      <c r="C3" s="14">
        <v>44854.484027777777</v>
      </c>
      <c r="D3" s="13" t="s">
        <v>82</v>
      </c>
      <c r="E3" s="15" t="s">
        <v>83</v>
      </c>
      <c r="F3" s="13" t="s">
        <v>84</v>
      </c>
      <c r="G3" s="15" t="s">
        <v>85</v>
      </c>
      <c r="H3" s="13" t="s">
        <v>86</v>
      </c>
      <c r="I3" s="15" t="s">
        <v>85</v>
      </c>
      <c r="J3" s="15" t="s">
        <v>87</v>
      </c>
      <c r="K3" s="15" t="s">
        <v>88</v>
      </c>
      <c r="L3" s="13" t="s">
        <v>98</v>
      </c>
      <c r="M3" s="15" t="s">
        <v>99</v>
      </c>
      <c r="N3" s="13" t="s">
        <v>91</v>
      </c>
      <c r="O3" s="15" t="s">
        <v>100</v>
      </c>
      <c r="P3" s="15" t="s">
        <v>101</v>
      </c>
      <c r="Q3" s="15" t="s">
        <v>94</v>
      </c>
      <c r="R3" s="13" t="s">
        <v>95</v>
      </c>
      <c r="S3" s="13" t="s">
        <v>96</v>
      </c>
      <c r="T3" s="13" t="s">
        <v>97</v>
      </c>
      <c r="U3" s="14">
        <v>43831</v>
      </c>
      <c r="V3" s="14"/>
      <c r="W3" s="15"/>
      <c r="X3" s="13"/>
      <c r="Y3" s="15"/>
      <c r="Z3" s="13"/>
      <c r="AA3" s="15"/>
      <c r="AB3" s="13"/>
      <c r="AC3" s="15"/>
      <c r="AD3" s="13"/>
      <c r="AE3" s="15"/>
      <c r="AF3" s="13"/>
      <c r="AG3" s="13"/>
    </row>
    <row r="4" spans="1:33" ht="43.5" x14ac:dyDescent="0.35">
      <c r="A4" s="13" t="s">
        <v>80</v>
      </c>
      <c r="B4" s="13" t="s">
        <v>81</v>
      </c>
      <c r="C4" s="14">
        <v>44854.493055555555</v>
      </c>
      <c r="D4" s="13" t="s">
        <v>82</v>
      </c>
      <c r="E4" s="15" t="s">
        <v>83</v>
      </c>
      <c r="F4" s="13" t="s">
        <v>84</v>
      </c>
      <c r="G4" s="15" t="s">
        <v>85</v>
      </c>
      <c r="H4" s="13" t="s">
        <v>86</v>
      </c>
      <c r="I4" s="15" t="s">
        <v>85</v>
      </c>
      <c r="J4" s="15" t="s">
        <v>87</v>
      </c>
      <c r="K4" s="15" t="s">
        <v>88</v>
      </c>
      <c r="L4" s="13" t="s">
        <v>102</v>
      </c>
      <c r="M4" s="15" t="s">
        <v>103</v>
      </c>
      <c r="N4" s="13" t="s">
        <v>104</v>
      </c>
      <c r="O4" s="15" t="s">
        <v>105</v>
      </c>
      <c r="P4" s="15" t="s">
        <v>106</v>
      </c>
      <c r="Q4" s="15" t="s">
        <v>94</v>
      </c>
      <c r="R4" s="13" t="s">
        <v>95</v>
      </c>
      <c r="S4" s="13" t="s">
        <v>96</v>
      </c>
      <c r="T4" s="13" t="s">
        <v>97</v>
      </c>
      <c r="U4" s="14">
        <v>43831</v>
      </c>
      <c r="V4" s="14"/>
      <c r="W4" s="15"/>
      <c r="X4" s="13"/>
      <c r="Y4" s="15"/>
      <c r="Z4" s="13"/>
      <c r="AA4" s="15"/>
      <c r="AB4" s="13"/>
      <c r="AC4" s="15"/>
      <c r="AD4" s="13"/>
      <c r="AE4" s="15"/>
      <c r="AF4" s="13"/>
      <c r="AG4" s="13"/>
    </row>
    <row r="5" spans="1:33" ht="58" x14ac:dyDescent="0.35">
      <c r="A5" s="13" t="s">
        <v>80</v>
      </c>
      <c r="B5" s="13" t="s">
        <v>81</v>
      </c>
      <c r="C5" s="14">
        <v>44854.47152777778</v>
      </c>
      <c r="D5" s="13" t="s">
        <v>82</v>
      </c>
      <c r="E5" s="15" t="s">
        <v>83</v>
      </c>
      <c r="F5" s="13" t="s">
        <v>84</v>
      </c>
      <c r="G5" s="15" t="s">
        <v>85</v>
      </c>
      <c r="H5" s="13" t="s">
        <v>86</v>
      </c>
      <c r="I5" s="15" t="s">
        <v>85</v>
      </c>
      <c r="J5" s="15" t="s">
        <v>87</v>
      </c>
      <c r="K5" s="15" t="s">
        <v>88</v>
      </c>
      <c r="L5" s="13" t="s">
        <v>89</v>
      </c>
      <c r="M5" s="15" t="s">
        <v>90</v>
      </c>
      <c r="N5" s="13" t="s">
        <v>91</v>
      </c>
      <c r="O5" s="15" t="s">
        <v>92</v>
      </c>
      <c r="P5" s="15" t="s">
        <v>93</v>
      </c>
      <c r="Q5" s="15" t="s">
        <v>107</v>
      </c>
      <c r="R5" s="13" t="s">
        <v>108</v>
      </c>
      <c r="S5" s="13" t="s">
        <v>96</v>
      </c>
      <c r="T5" s="13" t="s">
        <v>97</v>
      </c>
      <c r="U5" s="14">
        <v>43831</v>
      </c>
      <c r="V5" s="14"/>
      <c r="W5" s="15"/>
      <c r="X5" s="13"/>
      <c r="Y5" s="15"/>
      <c r="Z5" s="13"/>
      <c r="AA5" s="15"/>
      <c r="AB5" s="13"/>
      <c r="AC5" s="15"/>
      <c r="AD5" s="13"/>
      <c r="AE5" s="15"/>
      <c r="AF5" s="13"/>
      <c r="AG5" s="13"/>
    </row>
    <row r="6" spans="1:33" ht="58" x14ac:dyDescent="0.35">
      <c r="A6" s="13" t="s">
        <v>80</v>
      </c>
      <c r="B6" s="13" t="s">
        <v>81</v>
      </c>
      <c r="C6" s="14">
        <v>44854.48541666667</v>
      </c>
      <c r="D6" s="13" t="s">
        <v>82</v>
      </c>
      <c r="E6" s="15" t="s">
        <v>83</v>
      </c>
      <c r="F6" s="13" t="s">
        <v>84</v>
      </c>
      <c r="G6" s="15" t="s">
        <v>85</v>
      </c>
      <c r="H6" s="13" t="s">
        <v>86</v>
      </c>
      <c r="I6" s="15" t="s">
        <v>85</v>
      </c>
      <c r="J6" s="15" t="s">
        <v>87</v>
      </c>
      <c r="K6" s="15" t="s">
        <v>88</v>
      </c>
      <c r="L6" s="13" t="s">
        <v>98</v>
      </c>
      <c r="M6" s="15" t="s">
        <v>99</v>
      </c>
      <c r="N6" s="13" t="s">
        <v>91</v>
      </c>
      <c r="O6" s="15" t="s">
        <v>100</v>
      </c>
      <c r="P6" s="15" t="s">
        <v>101</v>
      </c>
      <c r="Q6" s="15" t="s">
        <v>107</v>
      </c>
      <c r="R6" s="13" t="s">
        <v>108</v>
      </c>
      <c r="S6" s="13" t="s">
        <v>96</v>
      </c>
      <c r="T6" s="13" t="s">
        <v>97</v>
      </c>
      <c r="U6" s="14">
        <v>43831</v>
      </c>
      <c r="V6" s="14"/>
      <c r="W6" s="15"/>
      <c r="X6" s="13"/>
      <c r="Y6" s="15"/>
      <c r="Z6" s="13"/>
      <c r="AA6" s="15"/>
      <c r="AB6" s="13"/>
      <c r="AC6" s="15"/>
      <c r="AD6" s="13"/>
      <c r="AE6" s="15"/>
      <c r="AF6" s="13"/>
      <c r="AG6" s="13"/>
    </row>
    <row r="7" spans="1:33" ht="43.5" x14ac:dyDescent="0.35">
      <c r="A7" s="13" t="s">
        <v>80</v>
      </c>
      <c r="B7" s="13" t="s">
        <v>81</v>
      </c>
      <c r="C7" s="14">
        <v>44854.493055555555</v>
      </c>
      <c r="D7" s="13" t="s">
        <v>82</v>
      </c>
      <c r="E7" s="15" t="s">
        <v>83</v>
      </c>
      <c r="F7" s="13" t="s">
        <v>84</v>
      </c>
      <c r="G7" s="15" t="s">
        <v>85</v>
      </c>
      <c r="H7" s="13" t="s">
        <v>86</v>
      </c>
      <c r="I7" s="15" t="s">
        <v>85</v>
      </c>
      <c r="J7" s="15" t="s">
        <v>87</v>
      </c>
      <c r="K7" s="15" t="s">
        <v>88</v>
      </c>
      <c r="L7" s="13" t="s">
        <v>102</v>
      </c>
      <c r="M7" s="15" t="s">
        <v>103</v>
      </c>
      <c r="N7" s="13" t="s">
        <v>104</v>
      </c>
      <c r="O7" s="15" t="s">
        <v>105</v>
      </c>
      <c r="P7" s="15" t="s">
        <v>106</v>
      </c>
      <c r="Q7" s="15" t="s">
        <v>107</v>
      </c>
      <c r="R7" s="13" t="s">
        <v>108</v>
      </c>
      <c r="S7" s="13" t="s">
        <v>96</v>
      </c>
      <c r="T7" s="13" t="s">
        <v>97</v>
      </c>
      <c r="U7" s="14">
        <v>43831</v>
      </c>
      <c r="V7" s="14"/>
      <c r="W7" s="15"/>
      <c r="X7" s="13"/>
      <c r="Y7" s="15"/>
      <c r="Z7" s="13"/>
      <c r="AA7" s="15"/>
      <c r="AB7" s="13"/>
      <c r="AC7" s="15"/>
      <c r="AD7" s="13"/>
      <c r="AE7" s="15"/>
      <c r="AF7" s="13"/>
      <c r="AG7" s="13"/>
    </row>
    <row r="8" spans="1:33" ht="58" x14ac:dyDescent="0.35">
      <c r="A8" s="13" t="s">
        <v>80</v>
      </c>
      <c r="B8" s="13" t="s">
        <v>81</v>
      </c>
      <c r="C8" s="14">
        <v>44854.472222222219</v>
      </c>
      <c r="D8" s="13" t="s">
        <v>82</v>
      </c>
      <c r="E8" s="15" t="s">
        <v>83</v>
      </c>
      <c r="F8" s="13" t="s">
        <v>84</v>
      </c>
      <c r="G8" s="15" t="s">
        <v>85</v>
      </c>
      <c r="H8" s="13" t="s">
        <v>86</v>
      </c>
      <c r="I8" s="15" t="s">
        <v>85</v>
      </c>
      <c r="J8" s="15" t="s">
        <v>87</v>
      </c>
      <c r="K8" s="15" t="s">
        <v>88</v>
      </c>
      <c r="L8" s="13" t="s">
        <v>89</v>
      </c>
      <c r="M8" s="15" t="s">
        <v>90</v>
      </c>
      <c r="N8" s="13" t="s">
        <v>91</v>
      </c>
      <c r="O8" s="15" t="s">
        <v>92</v>
      </c>
      <c r="P8" s="15" t="s">
        <v>93</v>
      </c>
      <c r="Q8" s="15" t="s">
        <v>109</v>
      </c>
      <c r="R8" s="13" t="s">
        <v>110</v>
      </c>
      <c r="S8" s="13" t="s">
        <v>96</v>
      </c>
      <c r="T8" s="13" t="s">
        <v>97</v>
      </c>
      <c r="U8" s="14">
        <v>43831</v>
      </c>
      <c r="V8" s="14"/>
      <c r="W8" s="15"/>
      <c r="X8" s="13"/>
      <c r="Y8" s="15"/>
      <c r="Z8" s="13"/>
      <c r="AA8" s="15"/>
      <c r="AB8" s="13"/>
      <c r="AC8" s="15"/>
      <c r="AD8" s="13"/>
      <c r="AE8" s="15"/>
      <c r="AF8" s="13"/>
      <c r="AG8" s="13"/>
    </row>
    <row r="9" spans="1:33" ht="58" x14ac:dyDescent="0.35">
      <c r="A9" s="13" t="s">
        <v>80</v>
      </c>
      <c r="B9" s="13" t="s">
        <v>81</v>
      </c>
      <c r="C9" s="14">
        <v>44854.48541666667</v>
      </c>
      <c r="D9" s="13" t="s">
        <v>82</v>
      </c>
      <c r="E9" s="15" t="s">
        <v>83</v>
      </c>
      <c r="F9" s="13" t="s">
        <v>84</v>
      </c>
      <c r="G9" s="15" t="s">
        <v>85</v>
      </c>
      <c r="H9" s="13" t="s">
        <v>86</v>
      </c>
      <c r="I9" s="15" t="s">
        <v>85</v>
      </c>
      <c r="J9" s="15" t="s">
        <v>87</v>
      </c>
      <c r="K9" s="15" t="s">
        <v>88</v>
      </c>
      <c r="L9" s="13" t="s">
        <v>98</v>
      </c>
      <c r="M9" s="15" t="s">
        <v>99</v>
      </c>
      <c r="N9" s="13" t="s">
        <v>91</v>
      </c>
      <c r="O9" s="15" t="s">
        <v>100</v>
      </c>
      <c r="P9" s="15" t="s">
        <v>101</v>
      </c>
      <c r="Q9" s="15" t="s">
        <v>109</v>
      </c>
      <c r="R9" s="13" t="s">
        <v>110</v>
      </c>
      <c r="S9" s="13" t="s">
        <v>96</v>
      </c>
      <c r="T9" s="13" t="s">
        <v>97</v>
      </c>
      <c r="U9" s="14">
        <v>43831</v>
      </c>
      <c r="V9" s="14"/>
      <c r="W9" s="15"/>
      <c r="X9" s="13"/>
      <c r="Y9" s="15"/>
      <c r="Z9" s="13"/>
      <c r="AA9" s="15"/>
      <c r="AB9" s="13"/>
      <c r="AC9" s="15"/>
      <c r="AD9" s="13"/>
      <c r="AE9" s="15"/>
      <c r="AF9" s="13"/>
      <c r="AG9" s="13"/>
    </row>
    <row r="10" spans="1:33" ht="43.5" x14ac:dyDescent="0.35">
      <c r="A10" s="13" t="s">
        <v>80</v>
      </c>
      <c r="B10" s="13" t="s">
        <v>81</v>
      </c>
      <c r="C10" s="14">
        <v>44854.493750000001</v>
      </c>
      <c r="D10" s="13" t="s">
        <v>82</v>
      </c>
      <c r="E10" s="15" t="s">
        <v>83</v>
      </c>
      <c r="F10" s="13" t="s">
        <v>84</v>
      </c>
      <c r="G10" s="15" t="s">
        <v>85</v>
      </c>
      <c r="H10" s="13" t="s">
        <v>86</v>
      </c>
      <c r="I10" s="15" t="s">
        <v>85</v>
      </c>
      <c r="J10" s="15" t="s">
        <v>87</v>
      </c>
      <c r="K10" s="15" t="s">
        <v>88</v>
      </c>
      <c r="L10" s="13" t="s">
        <v>102</v>
      </c>
      <c r="M10" s="15" t="s">
        <v>103</v>
      </c>
      <c r="N10" s="13" t="s">
        <v>104</v>
      </c>
      <c r="O10" s="15" t="s">
        <v>105</v>
      </c>
      <c r="P10" s="15" t="s">
        <v>106</v>
      </c>
      <c r="Q10" s="15" t="s">
        <v>109</v>
      </c>
      <c r="R10" s="13" t="s">
        <v>110</v>
      </c>
      <c r="S10" s="13" t="s">
        <v>96</v>
      </c>
      <c r="T10" s="13" t="s">
        <v>97</v>
      </c>
      <c r="U10" s="14">
        <v>43831</v>
      </c>
      <c r="V10" s="14"/>
      <c r="W10" s="15"/>
      <c r="X10" s="13"/>
      <c r="Y10" s="15"/>
      <c r="Z10" s="13"/>
      <c r="AA10" s="15"/>
      <c r="AB10" s="13"/>
      <c r="AC10" s="15"/>
      <c r="AD10" s="13"/>
      <c r="AE10" s="15"/>
      <c r="AF10" s="13"/>
      <c r="AG10" s="13"/>
    </row>
    <row r="11" spans="1:33" ht="58" x14ac:dyDescent="0.35">
      <c r="A11" s="13" t="s">
        <v>80</v>
      </c>
      <c r="B11" s="13" t="s">
        <v>81</v>
      </c>
      <c r="C11" s="14">
        <v>44854.473611111112</v>
      </c>
      <c r="D11" s="13" t="s">
        <v>82</v>
      </c>
      <c r="E11" s="15" t="s">
        <v>83</v>
      </c>
      <c r="F11" s="13" t="s">
        <v>84</v>
      </c>
      <c r="G11" s="15" t="s">
        <v>85</v>
      </c>
      <c r="H11" s="13" t="s">
        <v>86</v>
      </c>
      <c r="I11" s="15" t="s">
        <v>85</v>
      </c>
      <c r="J11" s="15" t="s">
        <v>87</v>
      </c>
      <c r="K11" s="15" t="s">
        <v>88</v>
      </c>
      <c r="L11" s="13" t="s">
        <v>89</v>
      </c>
      <c r="M11" s="15" t="s">
        <v>90</v>
      </c>
      <c r="N11" s="13" t="s">
        <v>91</v>
      </c>
      <c r="O11" s="15" t="s">
        <v>92</v>
      </c>
      <c r="P11" s="15" t="s">
        <v>93</v>
      </c>
      <c r="Q11" s="15" t="s">
        <v>111</v>
      </c>
      <c r="R11" s="13" t="s">
        <v>112</v>
      </c>
      <c r="S11" s="13" t="s">
        <v>96</v>
      </c>
      <c r="T11" s="13" t="s">
        <v>97</v>
      </c>
      <c r="U11" s="14">
        <v>43831</v>
      </c>
      <c r="V11" s="14"/>
      <c r="W11" s="15"/>
      <c r="X11" s="13"/>
      <c r="Y11" s="15"/>
      <c r="Z11" s="13"/>
      <c r="AA11" s="15"/>
      <c r="AB11" s="13"/>
      <c r="AC11" s="15"/>
      <c r="AD11" s="13"/>
      <c r="AE11" s="15"/>
      <c r="AF11" s="13"/>
      <c r="AG11" s="13"/>
    </row>
    <row r="12" spans="1:33" ht="58" x14ac:dyDescent="0.35">
      <c r="A12" s="13" t="s">
        <v>80</v>
      </c>
      <c r="B12" s="13" t="s">
        <v>81</v>
      </c>
      <c r="C12" s="14">
        <v>44854.486111111109</v>
      </c>
      <c r="D12" s="13" t="s">
        <v>82</v>
      </c>
      <c r="E12" s="15" t="s">
        <v>83</v>
      </c>
      <c r="F12" s="13" t="s">
        <v>84</v>
      </c>
      <c r="G12" s="15" t="s">
        <v>85</v>
      </c>
      <c r="H12" s="13" t="s">
        <v>86</v>
      </c>
      <c r="I12" s="15" t="s">
        <v>85</v>
      </c>
      <c r="J12" s="15" t="s">
        <v>87</v>
      </c>
      <c r="K12" s="15" t="s">
        <v>88</v>
      </c>
      <c r="L12" s="13" t="s">
        <v>98</v>
      </c>
      <c r="M12" s="15" t="s">
        <v>99</v>
      </c>
      <c r="N12" s="13" t="s">
        <v>91</v>
      </c>
      <c r="O12" s="15" t="s">
        <v>100</v>
      </c>
      <c r="P12" s="15" t="s">
        <v>101</v>
      </c>
      <c r="Q12" s="15" t="s">
        <v>111</v>
      </c>
      <c r="R12" s="13" t="s">
        <v>112</v>
      </c>
      <c r="S12" s="13" t="s">
        <v>96</v>
      </c>
      <c r="T12" s="13" t="s">
        <v>97</v>
      </c>
      <c r="U12" s="14">
        <v>43831</v>
      </c>
      <c r="V12" s="14"/>
      <c r="W12" s="15"/>
      <c r="X12" s="13"/>
      <c r="Y12" s="15"/>
      <c r="Z12" s="13"/>
      <c r="AA12" s="15"/>
      <c r="AB12" s="13"/>
      <c r="AC12" s="15"/>
      <c r="AD12" s="13"/>
      <c r="AE12" s="15"/>
      <c r="AF12" s="13"/>
      <c r="AG12" s="13"/>
    </row>
    <row r="13" spans="1:33" ht="43.5" x14ac:dyDescent="0.35">
      <c r="A13" s="13" t="s">
        <v>80</v>
      </c>
      <c r="B13" s="13" t="s">
        <v>81</v>
      </c>
      <c r="C13" s="14">
        <v>44854.494444444441</v>
      </c>
      <c r="D13" s="13" t="s">
        <v>82</v>
      </c>
      <c r="E13" s="15" t="s">
        <v>83</v>
      </c>
      <c r="F13" s="13" t="s">
        <v>84</v>
      </c>
      <c r="G13" s="15" t="s">
        <v>85</v>
      </c>
      <c r="H13" s="13" t="s">
        <v>86</v>
      </c>
      <c r="I13" s="15" t="s">
        <v>85</v>
      </c>
      <c r="J13" s="15" t="s">
        <v>87</v>
      </c>
      <c r="K13" s="15" t="s">
        <v>88</v>
      </c>
      <c r="L13" s="13" t="s">
        <v>102</v>
      </c>
      <c r="M13" s="15" t="s">
        <v>103</v>
      </c>
      <c r="N13" s="13" t="s">
        <v>104</v>
      </c>
      <c r="O13" s="15" t="s">
        <v>105</v>
      </c>
      <c r="P13" s="15" t="s">
        <v>106</v>
      </c>
      <c r="Q13" s="15" t="s">
        <v>111</v>
      </c>
      <c r="R13" s="13" t="s">
        <v>112</v>
      </c>
      <c r="S13" s="13" t="s">
        <v>96</v>
      </c>
      <c r="T13" s="13" t="s">
        <v>97</v>
      </c>
      <c r="U13" s="14">
        <v>43831</v>
      </c>
      <c r="V13" s="14"/>
      <c r="W13" s="15"/>
      <c r="X13" s="13"/>
      <c r="Y13" s="15"/>
      <c r="Z13" s="13"/>
      <c r="AA13" s="15"/>
      <c r="AB13" s="13"/>
      <c r="AC13" s="15"/>
      <c r="AD13" s="13"/>
      <c r="AE13" s="15"/>
      <c r="AF13" s="13"/>
      <c r="AG13" s="13"/>
    </row>
    <row r="14" spans="1:33" ht="58" x14ac:dyDescent="0.35">
      <c r="A14" s="13" t="s">
        <v>80</v>
      </c>
      <c r="B14" s="13" t="s">
        <v>81</v>
      </c>
      <c r="C14" s="14">
        <v>44854.473611111112</v>
      </c>
      <c r="D14" s="13" t="s">
        <v>82</v>
      </c>
      <c r="E14" s="15" t="s">
        <v>83</v>
      </c>
      <c r="F14" s="13" t="s">
        <v>84</v>
      </c>
      <c r="G14" s="15" t="s">
        <v>85</v>
      </c>
      <c r="H14" s="13" t="s">
        <v>86</v>
      </c>
      <c r="I14" s="15" t="s">
        <v>85</v>
      </c>
      <c r="J14" s="15" t="s">
        <v>87</v>
      </c>
      <c r="K14" s="15" t="s">
        <v>88</v>
      </c>
      <c r="L14" s="13" t="s">
        <v>89</v>
      </c>
      <c r="M14" s="15" t="s">
        <v>90</v>
      </c>
      <c r="N14" s="13" t="s">
        <v>91</v>
      </c>
      <c r="O14" s="15" t="s">
        <v>92</v>
      </c>
      <c r="P14" s="15" t="s">
        <v>93</v>
      </c>
      <c r="Q14" s="15" t="s">
        <v>113</v>
      </c>
      <c r="R14" s="13" t="s">
        <v>114</v>
      </c>
      <c r="S14" s="13" t="s">
        <v>96</v>
      </c>
      <c r="T14" s="13" t="s">
        <v>97</v>
      </c>
      <c r="U14" s="14">
        <v>43831</v>
      </c>
      <c r="V14" s="14"/>
      <c r="W14" s="15"/>
      <c r="X14" s="13"/>
      <c r="Y14" s="15"/>
      <c r="Z14" s="13"/>
      <c r="AA14" s="15"/>
      <c r="AB14" s="13"/>
      <c r="AC14" s="15"/>
      <c r="AD14" s="13"/>
      <c r="AE14" s="15"/>
      <c r="AF14" s="13"/>
      <c r="AG14" s="13"/>
    </row>
    <row r="15" spans="1:33" ht="58" x14ac:dyDescent="0.35">
      <c r="A15" s="13" t="s">
        <v>80</v>
      </c>
      <c r="B15" s="13" t="s">
        <v>81</v>
      </c>
      <c r="C15" s="14">
        <v>44854.486805555556</v>
      </c>
      <c r="D15" s="13" t="s">
        <v>82</v>
      </c>
      <c r="E15" s="15" t="s">
        <v>83</v>
      </c>
      <c r="F15" s="13" t="s">
        <v>84</v>
      </c>
      <c r="G15" s="15" t="s">
        <v>85</v>
      </c>
      <c r="H15" s="13" t="s">
        <v>86</v>
      </c>
      <c r="I15" s="15" t="s">
        <v>85</v>
      </c>
      <c r="J15" s="15" t="s">
        <v>87</v>
      </c>
      <c r="K15" s="15" t="s">
        <v>88</v>
      </c>
      <c r="L15" s="13" t="s">
        <v>98</v>
      </c>
      <c r="M15" s="15" t="s">
        <v>99</v>
      </c>
      <c r="N15" s="13" t="s">
        <v>91</v>
      </c>
      <c r="O15" s="15" t="s">
        <v>100</v>
      </c>
      <c r="P15" s="15" t="s">
        <v>101</v>
      </c>
      <c r="Q15" s="15" t="s">
        <v>113</v>
      </c>
      <c r="R15" s="13" t="s">
        <v>114</v>
      </c>
      <c r="S15" s="13" t="s">
        <v>96</v>
      </c>
      <c r="T15" s="13" t="s">
        <v>97</v>
      </c>
      <c r="U15" s="14">
        <v>43831</v>
      </c>
      <c r="V15" s="14"/>
      <c r="W15" s="15"/>
      <c r="X15" s="13"/>
      <c r="Y15" s="15"/>
      <c r="Z15" s="13"/>
      <c r="AA15" s="15"/>
      <c r="AB15" s="13"/>
      <c r="AC15" s="15"/>
      <c r="AD15" s="13"/>
      <c r="AE15" s="15"/>
      <c r="AF15" s="13"/>
      <c r="AG15" s="13"/>
    </row>
    <row r="16" spans="1:33" ht="43.5" x14ac:dyDescent="0.35">
      <c r="A16" s="13" t="s">
        <v>80</v>
      </c>
      <c r="B16" s="13" t="s">
        <v>81</v>
      </c>
      <c r="C16" s="14">
        <v>44854.494444444441</v>
      </c>
      <c r="D16" s="13" t="s">
        <v>82</v>
      </c>
      <c r="E16" s="15" t="s">
        <v>83</v>
      </c>
      <c r="F16" s="13" t="s">
        <v>84</v>
      </c>
      <c r="G16" s="15" t="s">
        <v>85</v>
      </c>
      <c r="H16" s="13" t="s">
        <v>86</v>
      </c>
      <c r="I16" s="15" t="s">
        <v>85</v>
      </c>
      <c r="J16" s="15" t="s">
        <v>87</v>
      </c>
      <c r="K16" s="15" t="s">
        <v>88</v>
      </c>
      <c r="L16" s="13" t="s">
        <v>102</v>
      </c>
      <c r="M16" s="15" t="s">
        <v>103</v>
      </c>
      <c r="N16" s="13" t="s">
        <v>104</v>
      </c>
      <c r="O16" s="15" t="s">
        <v>105</v>
      </c>
      <c r="P16" s="15" t="s">
        <v>106</v>
      </c>
      <c r="Q16" s="15" t="s">
        <v>113</v>
      </c>
      <c r="R16" s="13" t="s">
        <v>114</v>
      </c>
      <c r="S16" s="13" t="s">
        <v>96</v>
      </c>
      <c r="T16" s="13" t="s">
        <v>97</v>
      </c>
      <c r="U16" s="14">
        <v>43831</v>
      </c>
      <c r="V16" s="14"/>
      <c r="W16" s="15"/>
      <c r="X16" s="13"/>
      <c r="Y16" s="15"/>
      <c r="Z16" s="13"/>
      <c r="AA16" s="15"/>
      <c r="AB16" s="13"/>
      <c r="AC16" s="15"/>
      <c r="AD16" s="13"/>
      <c r="AE16" s="15"/>
      <c r="AF16" s="13"/>
      <c r="AG16" s="13"/>
    </row>
    <row r="17" spans="1:33" ht="58" x14ac:dyDescent="0.35">
      <c r="A17" s="13" t="s">
        <v>80</v>
      </c>
      <c r="B17" s="13" t="s">
        <v>81</v>
      </c>
      <c r="C17" s="14">
        <v>44887.5</v>
      </c>
      <c r="D17" s="13" t="s">
        <v>82</v>
      </c>
      <c r="E17" s="15" t="s">
        <v>83</v>
      </c>
      <c r="F17" s="13" t="s">
        <v>84</v>
      </c>
      <c r="G17" s="15" t="s">
        <v>85</v>
      </c>
      <c r="H17" s="13" t="s">
        <v>86</v>
      </c>
      <c r="I17" s="15" t="s">
        <v>85</v>
      </c>
      <c r="J17" s="15" t="s">
        <v>87</v>
      </c>
      <c r="K17" s="15" t="s">
        <v>88</v>
      </c>
      <c r="L17" s="13" t="s">
        <v>89</v>
      </c>
      <c r="M17" s="15" t="s">
        <v>90</v>
      </c>
      <c r="N17" s="13" t="s">
        <v>91</v>
      </c>
      <c r="O17" s="15" t="s">
        <v>92</v>
      </c>
      <c r="P17" s="15" t="s">
        <v>93</v>
      </c>
      <c r="Q17" s="15" t="s">
        <v>115</v>
      </c>
      <c r="R17" s="13" t="s">
        <v>116</v>
      </c>
      <c r="S17" s="13" t="s">
        <v>117</v>
      </c>
      <c r="T17" s="13" t="s">
        <v>118</v>
      </c>
      <c r="U17" s="14">
        <v>43831</v>
      </c>
      <c r="V17" s="14"/>
      <c r="W17" s="15" t="s">
        <v>204</v>
      </c>
      <c r="X17" s="13" t="s">
        <v>205</v>
      </c>
      <c r="Y17" s="15" t="str">
        <f>VLOOKUP(X17,'Axe 2 Règles de gestion'!$D$2:$F$40,3, FALSE)</f>
        <v>Rémunération : Durant ce congé, le militaire perçoit la rémunération de son grade.</v>
      </c>
      <c r="Z17" s="13" t="s">
        <v>207</v>
      </c>
      <c r="AA17" s="15" t="str">
        <f>VLOOKUP(Z17,'Axe 2 Règles de gestion'!$D$2:$F$40,3, FALSE)</f>
        <v>Carrière : La durée de ce congé compte pour les droits à avancement.</v>
      </c>
      <c r="AB17" s="13" t="s">
        <v>209</v>
      </c>
      <c r="AC17" s="15" t="str">
        <f>VLOOKUP(AB17,'Axe 2 Règles de gestion'!$D$2:$F$40,3, FALSE)</f>
        <v>Retraite : La durée de ce congé compte pour les droits à pension.</v>
      </c>
      <c r="AD17" s="13" t="s">
        <v>211</v>
      </c>
      <c r="AE17" s="15" t="str">
        <f>VLOOKUP(AD17,'Axe 2 Règles de gestion'!$D$2:$F$40,3, FALSE)</f>
        <v>Acte : Un acte administratif doit être produit.</v>
      </c>
      <c r="AF17" s="13"/>
      <c r="AG17" s="13"/>
    </row>
    <row r="18" spans="1:33" ht="87" x14ac:dyDescent="0.35">
      <c r="A18" s="13" t="s">
        <v>80</v>
      </c>
      <c r="B18" s="13" t="s">
        <v>81</v>
      </c>
      <c r="C18" s="14">
        <v>44887.500694444447</v>
      </c>
      <c r="D18" s="13" t="s">
        <v>82</v>
      </c>
      <c r="E18" s="15" t="s">
        <v>83</v>
      </c>
      <c r="F18" s="13" t="s">
        <v>84</v>
      </c>
      <c r="G18" s="15" t="s">
        <v>85</v>
      </c>
      <c r="H18" s="13" t="s">
        <v>86</v>
      </c>
      <c r="I18" s="15" t="s">
        <v>85</v>
      </c>
      <c r="J18" s="15" t="s">
        <v>87</v>
      </c>
      <c r="K18" s="15" t="s">
        <v>88</v>
      </c>
      <c r="L18" s="13" t="s">
        <v>98</v>
      </c>
      <c r="M18" s="15" t="s">
        <v>99</v>
      </c>
      <c r="N18" s="13" t="s">
        <v>91</v>
      </c>
      <c r="O18" s="15" t="s">
        <v>100</v>
      </c>
      <c r="P18" s="15" t="s">
        <v>101</v>
      </c>
      <c r="Q18" s="15" t="s">
        <v>115</v>
      </c>
      <c r="R18" s="13" t="s">
        <v>116</v>
      </c>
      <c r="S18" s="13" t="s">
        <v>117</v>
      </c>
      <c r="T18" s="13" t="s">
        <v>118</v>
      </c>
      <c r="U18" s="14">
        <v>43831</v>
      </c>
      <c r="V18" s="14"/>
      <c r="W18" s="15" t="s">
        <v>213</v>
      </c>
      <c r="X18" s="13" t="s">
        <v>214</v>
      </c>
      <c r="Y18" s="15" t="str">
        <f>VLOOKUP(X18,'Axe 2 Règles de gestion'!$D$2:$F$40,3, FALSE)</f>
        <v>Rémunération : Lorsque le congé est renouvelé, le militaire perçoit pendant la période de renouvellement, la rémunération de son grade réduite de moitié.</v>
      </c>
      <c r="Z18" s="13" t="s">
        <v>207</v>
      </c>
      <c r="AA18" s="15" t="str">
        <f>VLOOKUP(Z18,'Axe 2 Règles de gestion'!$D$2:$F$40,3, FALSE)</f>
        <v>Carrière : La durée de ce congé compte pour les droits à avancement.</v>
      </c>
      <c r="AB18" s="13" t="s">
        <v>209</v>
      </c>
      <c r="AC18" s="15" t="str">
        <f>VLOOKUP(AB18,'Axe 2 Règles de gestion'!$D$2:$F$40,3, FALSE)</f>
        <v>Retraite : La durée de ce congé compte pour les droits à pension.</v>
      </c>
      <c r="AD18" s="13" t="s">
        <v>211</v>
      </c>
      <c r="AE18" s="15" t="str">
        <f>VLOOKUP(AD18,'Axe 2 Règles de gestion'!$D$2:$F$40,3, FALSE)</f>
        <v>Acte : Un acte administratif doit être produit.</v>
      </c>
      <c r="AF18" s="13"/>
      <c r="AG18" s="13"/>
    </row>
    <row r="19" spans="1:33" ht="43.5" x14ac:dyDescent="0.35">
      <c r="A19" s="13" t="s">
        <v>80</v>
      </c>
      <c r="B19" s="13" t="s">
        <v>81</v>
      </c>
      <c r="C19" s="14">
        <v>44854.497916666667</v>
      </c>
      <c r="D19" s="13" t="s">
        <v>82</v>
      </c>
      <c r="E19" s="15" t="s">
        <v>83</v>
      </c>
      <c r="F19" s="13" t="s">
        <v>84</v>
      </c>
      <c r="G19" s="15" t="s">
        <v>85</v>
      </c>
      <c r="H19" s="13" t="s">
        <v>86</v>
      </c>
      <c r="I19" s="15" t="s">
        <v>85</v>
      </c>
      <c r="J19" s="15" t="s">
        <v>87</v>
      </c>
      <c r="K19" s="15" t="s">
        <v>88</v>
      </c>
      <c r="L19" s="13" t="s">
        <v>102</v>
      </c>
      <c r="M19" s="15" t="s">
        <v>103</v>
      </c>
      <c r="N19" s="13" t="s">
        <v>104</v>
      </c>
      <c r="O19" s="15" t="s">
        <v>105</v>
      </c>
      <c r="P19" s="15" t="s">
        <v>106</v>
      </c>
      <c r="Q19" s="15" t="s">
        <v>115</v>
      </c>
      <c r="R19" s="13" t="s">
        <v>116</v>
      </c>
      <c r="S19" s="13" t="s">
        <v>117</v>
      </c>
      <c r="T19" s="13" t="s">
        <v>118</v>
      </c>
      <c r="U19" s="14">
        <v>43831</v>
      </c>
      <c r="V19" s="14"/>
      <c r="W19" s="15"/>
      <c r="X19" s="13"/>
      <c r="Y19" s="15"/>
      <c r="Z19" s="13"/>
      <c r="AA19" s="15"/>
      <c r="AB19" s="13"/>
      <c r="AC19" s="15"/>
      <c r="AD19" s="13"/>
      <c r="AE19" s="15"/>
      <c r="AF19" s="13"/>
      <c r="AG19" s="13"/>
    </row>
    <row r="20" spans="1:33" ht="58" x14ac:dyDescent="0.35">
      <c r="A20" s="13" t="s">
        <v>80</v>
      </c>
      <c r="B20" s="13" t="s">
        <v>81</v>
      </c>
      <c r="C20" s="14">
        <v>44854.480555555558</v>
      </c>
      <c r="D20" s="13" t="s">
        <v>82</v>
      </c>
      <c r="E20" s="15" t="s">
        <v>83</v>
      </c>
      <c r="F20" s="13" t="s">
        <v>84</v>
      </c>
      <c r="G20" s="15" t="s">
        <v>85</v>
      </c>
      <c r="H20" s="13" t="s">
        <v>86</v>
      </c>
      <c r="I20" s="15" t="s">
        <v>85</v>
      </c>
      <c r="J20" s="15" t="s">
        <v>87</v>
      </c>
      <c r="K20" s="15" t="s">
        <v>88</v>
      </c>
      <c r="L20" s="13" t="s">
        <v>89</v>
      </c>
      <c r="M20" s="15" t="s">
        <v>90</v>
      </c>
      <c r="N20" s="13" t="s">
        <v>91</v>
      </c>
      <c r="O20" s="15" t="s">
        <v>92</v>
      </c>
      <c r="P20" s="15" t="s">
        <v>93</v>
      </c>
      <c r="Q20" s="15" t="s">
        <v>188</v>
      </c>
      <c r="R20" s="13" t="s">
        <v>189</v>
      </c>
      <c r="S20" s="13" t="s">
        <v>117</v>
      </c>
      <c r="T20" s="13" t="s">
        <v>118</v>
      </c>
      <c r="U20" s="14">
        <v>43831</v>
      </c>
      <c r="V20" s="14"/>
      <c r="W20" s="15" t="s">
        <v>204</v>
      </c>
      <c r="X20" s="13" t="s">
        <v>205</v>
      </c>
      <c r="Y20" s="15" t="str">
        <f>VLOOKUP(X20,'Axe 2 Règles de gestion'!$D$2:$F$40,3, FALSE)</f>
        <v>Rémunération : Durant ce congé, le militaire perçoit la rémunération de son grade.</v>
      </c>
      <c r="Z20" s="13" t="s">
        <v>207</v>
      </c>
      <c r="AA20" s="15" t="str">
        <f>VLOOKUP(Z20,'Axe 2 Règles de gestion'!$D$2:$F$40,3, FALSE)</f>
        <v>Carrière : La durée de ce congé compte pour les droits à avancement.</v>
      </c>
      <c r="AB20" s="13" t="s">
        <v>209</v>
      </c>
      <c r="AC20" s="15" t="str">
        <f>VLOOKUP(AB20,'Axe 2 Règles de gestion'!$D$2:$F$40,3, FALSE)</f>
        <v>Retraite : La durée de ce congé compte pour les droits à pension.</v>
      </c>
      <c r="AD20" s="13" t="s">
        <v>211</v>
      </c>
      <c r="AE20" s="15" t="str">
        <f>VLOOKUP(AD20,'Axe 2 Règles de gestion'!$D$2:$F$40,3, FALSE)</f>
        <v>Acte : Un acte administratif doit être produit.</v>
      </c>
      <c r="AF20" s="13"/>
      <c r="AG20" s="13"/>
    </row>
    <row r="21" spans="1:33" ht="87" x14ac:dyDescent="0.35">
      <c r="A21" s="13" t="s">
        <v>80</v>
      </c>
      <c r="B21" s="13" t="s">
        <v>81</v>
      </c>
      <c r="C21" s="14">
        <v>44854.490277777775</v>
      </c>
      <c r="D21" s="13" t="s">
        <v>82</v>
      </c>
      <c r="E21" s="15" t="s">
        <v>83</v>
      </c>
      <c r="F21" s="13" t="s">
        <v>84</v>
      </c>
      <c r="G21" s="15" t="s">
        <v>85</v>
      </c>
      <c r="H21" s="13" t="s">
        <v>86</v>
      </c>
      <c r="I21" s="15" t="s">
        <v>85</v>
      </c>
      <c r="J21" s="15" t="s">
        <v>87</v>
      </c>
      <c r="K21" s="15" t="s">
        <v>88</v>
      </c>
      <c r="L21" s="13" t="s">
        <v>98</v>
      </c>
      <c r="M21" s="15" t="s">
        <v>99</v>
      </c>
      <c r="N21" s="13" t="s">
        <v>91</v>
      </c>
      <c r="O21" s="15" t="s">
        <v>100</v>
      </c>
      <c r="P21" s="15" t="s">
        <v>101</v>
      </c>
      <c r="Q21" s="15" t="s">
        <v>188</v>
      </c>
      <c r="R21" s="13" t="s">
        <v>189</v>
      </c>
      <c r="S21" s="13" t="s">
        <v>117</v>
      </c>
      <c r="T21" s="13" t="s">
        <v>118</v>
      </c>
      <c r="U21" s="14">
        <v>43831</v>
      </c>
      <c r="V21" s="14"/>
      <c r="W21" s="15" t="s">
        <v>213</v>
      </c>
      <c r="X21" s="13" t="s">
        <v>214</v>
      </c>
      <c r="Y21" s="15" t="str">
        <f>VLOOKUP(X21,'Axe 2 Règles de gestion'!$D$2:$F$40,3, FALSE)</f>
        <v>Rémunération : Lorsque le congé est renouvelé, le militaire perçoit pendant la période de renouvellement, la rémunération de son grade réduite de moitié.</v>
      </c>
      <c r="Z21" s="13" t="s">
        <v>207</v>
      </c>
      <c r="AA21" s="15" t="str">
        <f>VLOOKUP(Z21,'Axe 2 Règles de gestion'!$D$2:$F$40,3, FALSE)</f>
        <v>Carrière : La durée de ce congé compte pour les droits à avancement.</v>
      </c>
      <c r="AB21" s="13" t="s">
        <v>209</v>
      </c>
      <c r="AC21" s="15" t="str">
        <f>VLOOKUP(AB21,'Axe 2 Règles de gestion'!$D$2:$F$40,3, FALSE)</f>
        <v>Retraite : La durée de ce congé compte pour les droits à pension.</v>
      </c>
      <c r="AD21" s="13" t="s">
        <v>211</v>
      </c>
      <c r="AE21" s="15" t="str">
        <f>VLOOKUP(AD21,'Axe 2 Règles de gestion'!$D$2:$F$40,3, FALSE)</f>
        <v>Acte : Un acte administratif doit être produit.</v>
      </c>
      <c r="AF21" s="13"/>
      <c r="AG21" s="13"/>
    </row>
    <row r="22" spans="1:33" ht="43.5" x14ac:dyDescent="0.35">
      <c r="A22" s="13" t="s">
        <v>80</v>
      </c>
      <c r="B22" s="13" t="s">
        <v>81</v>
      </c>
      <c r="C22" s="14">
        <v>44854.496527777781</v>
      </c>
      <c r="D22" s="13" t="s">
        <v>82</v>
      </c>
      <c r="E22" s="15" t="s">
        <v>83</v>
      </c>
      <c r="F22" s="13" t="s">
        <v>84</v>
      </c>
      <c r="G22" s="15" t="s">
        <v>85</v>
      </c>
      <c r="H22" s="13" t="s">
        <v>86</v>
      </c>
      <c r="I22" s="15" t="s">
        <v>85</v>
      </c>
      <c r="J22" s="15" t="s">
        <v>87</v>
      </c>
      <c r="K22" s="15" t="s">
        <v>88</v>
      </c>
      <c r="L22" s="13" t="s">
        <v>102</v>
      </c>
      <c r="M22" s="15" t="s">
        <v>103</v>
      </c>
      <c r="N22" s="13" t="s">
        <v>104</v>
      </c>
      <c r="O22" s="15" t="s">
        <v>105</v>
      </c>
      <c r="P22" s="15" t="s">
        <v>106</v>
      </c>
      <c r="Q22" s="15" t="s">
        <v>188</v>
      </c>
      <c r="R22" s="13" t="s">
        <v>189</v>
      </c>
      <c r="S22" s="13" t="s">
        <v>117</v>
      </c>
      <c r="T22" s="13" t="s">
        <v>118</v>
      </c>
      <c r="U22" s="14">
        <v>43831</v>
      </c>
      <c r="V22" s="14"/>
      <c r="W22" s="15"/>
      <c r="X22" s="13"/>
      <c r="Y22" s="15"/>
      <c r="Z22" s="13"/>
      <c r="AA22" s="15"/>
      <c r="AB22" s="13"/>
      <c r="AC22" s="15"/>
      <c r="AD22" s="13"/>
      <c r="AE22" s="15"/>
      <c r="AF22" s="13"/>
      <c r="AG22" s="13"/>
    </row>
    <row r="23" spans="1:33" x14ac:dyDescent="0.35">
      <c r="C23" s="16"/>
      <c r="U23" s="16"/>
      <c r="V23" s="16"/>
    </row>
    <row r="24" spans="1:33" x14ac:dyDescent="0.35">
      <c r="C24" s="16"/>
      <c r="U24" s="16"/>
      <c r="V24" s="16"/>
    </row>
    <row r="25" spans="1:33" x14ac:dyDescent="0.35">
      <c r="C25" s="16"/>
      <c r="U25" s="16"/>
      <c r="V25" s="16"/>
    </row>
    <row r="26" spans="1:33" x14ac:dyDescent="0.35">
      <c r="C26" s="16"/>
      <c r="U26" s="16"/>
      <c r="V26" s="16"/>
    </row>
    <row r="27" spans="1:33" x14ac:dyDescent="0.35">
      <c r="C27" s="16"/>
      <c r="U27" s="16"/>
      <c r="V27" s="16"/>
    </row>
    <row r="28" spans="1:33" x14ac:dyDescent="0.35">
      <c r="C28" s="16"/>
      <c r="U28" s="16"/>
      <c r="V28" s="16"/>
    </row>
    <row r="29" spans="1:33" x14ac:dyDescent="0.35">
      <c r="C29" s="16"/>
      <c r="U29" s="16"/>
      <c r="V29" s="16"/>
    </row>
    <row r="30" spans="1:33" x14ac:dyDescent="0.35">
      <c r="C30" s="16"/>
      <c r="U30" s="16"/>
      <c r="V30" s="16"/>
    </row>
    <row r="31" spans="1:33" x14ac:dyDescent="0.35">
      <c r="C31" s="16"/>
      <c r="U31" s="16"/>
      <c r="V31" s="16"/>
    </row>
    <row r="32" spans="1:33" x14ac:dyDescent="0.35">
      <c r="C32" s="16"/>
      <c r="U32" s="16"/>
      <c r="V32" s="16"/>
    </row>
    <row r="33" spans="3:22" x14ac:dyDescent="0.35">
      <c r="C33" s="16"/>
      <c r="U33" s="16"/>
      <c r="V33" s="16"/>
    </row>
    <row r="34" spans="3:22" x14ac:dyDescent="0.35">
      <c r="C34" s="16"/>
      <c r="U34" s="16"/>
      <c r="V34" s="16"/>
    </row>
    <row r="35" spans="3:22" x14ac:dyDescent="0.35">
      <c r="C35" s="16"/>
      <c r="U35" s="16"/>
      <c r="V35" s="16"/>
    </row>
    <row r="36" spans="3:22" x14ac:dyDescent="0.35">
      <c r="C36" s="16"/>
      <c r="U36" s="16"/>
      <c r="V36" s="16"/>
    </row>
    <row r="37" spans="3:22" x14ac:dyDescent="0.35">
      <c r="C37" s="16"/>
      <c r="U37" s="16"/>
      <c r="V37" s="16"/>
    </row>
    <row r="38" spans="3:22" x14ac:dyDescent="0.35">
      <c r="C38" s="16"/>
      <c r="U38" s="16"/>
      <c r="V38" s="16"/>
    </row>
    <row r="39" spans="3:22" x14ac:dyDescent="0.35">
      <c r="C39" s="16"/>
      <c r="U39" s="16"/>
      <c r="V39" s="16"/>
    </row>
    <row r="40" spans="3:22" x14ac:dyDescent="0.35">
      <c r="C40" s="16"/>
      <c r="U40" s="16"/>
      <c r="V40" s="16"/>
    </row>
    <row r="41" spans="3:22" x14ac:dyDescent="0.35">
      <c r="C41" s="16"/>
      <c r="U41" s="16"/>
      <c r="V41" s="16"/>
    </row>
    <row r="42" spans="3:22" x14ac:dyDescent="0.35">
      <c r="C42" s="16"/>
      <c r="U42" s="16"/>
      <c r="V42" s="16"/>
    </row>
    <row r="43" spans="3:22" x14ac:dyDescent="0.35">
      <c r="C43" s="16"/>
      <c r="U43" s="16"/>
      <c r="V43" s="16"/>
    </row>
    <row r="44" spans="3:22" x14ac:dyDescent="0.35">
      <c r="C44" s="16"/>
      <c r="U44" s="16"/>
      <c r="V44" s="16"/>
    </row>
    <row r="45" spans="3:22" x14ac:dyDescent="0.35">
      <c r="C45" s="16"/>
      <c r="U45" s="16"/>
      <c r="V45" s="16"/>
    </row>
    <row r="46" spans="3:22" x14ac:dyDescent="0.35">
      <c r="C46" s="16"/>
      <c r="U46" s="16"/>
      <c r="V46" s="16"/>
    </row>
    <row r="47" spans="3:22" x14ac:dyDescent="0.35">
      <c r="C47" s="16"/>
      <c r="U47" s="16"/>
      <c r="V47" s="16"/>
    </row>
    <row r="48" spans="3:22" x14ac:dyDescent="0.35">
      <c r="C48" s="16"/>
      <c r="U48" s="16"/>
      <c r="V48" s="16"/>
    </row>
    <row r="49" spans="3:22" x14ac:dyDescent="0.35">
      <c r="C49" s="16"/>
      <c r="U49" s="16"/>
      <c r="V49" s="16"/>
    </row>
    <row r="50" spans="3:22" x14ac:dyDescent="0.35">
      <c r="C50" s="16"/>
      <c r="U50" s="16"/>
      <c r="V50" s="16"/>
    </row>
    <row r="51" spans="3:22" x14ac:dyDescent="0.35">
      <c r="C51" s="16"/>
      <c r="U51" s="16"/>
      <c r="V51" s="16"/>
    </row>
    <row r="52" spans="3:22" x14ac:dyDescent="0.35">
      <c r="C52" s="16"/>
      <c r="U52" s="16"/>
      <c r="V52" s="16"/>
    </row>
    <row r="53" spans="3:22" x14ac:dyDescent="0.35">
      <c r="C53" s="16"/>
      <c r="U53" s="16"/>
      <c r="V53" s="16"/>
    </row>
    <row r="54" spans="3:22" x14ac:dyDescent="0.35">
      <c r="C54" s="16"/>
      <c r="U54" s="16"/>
      <c r="V54" s="16"/>
    </row>
    <row r="55" spans="3:22" x14ac:dyDescent="0.35">
      <c r="C55" s="16"/>
      <c r="U55" s="16"/>
      <c r="V55" s="16"/>
    </row>
    <row r="56" spans="3:22" x14ac:dyDescent="0.35">
      <c r="C56" s="16"/>
      <c r="U56" s="16"/>
      <c r="V56" s="16"/>
    </row>
    <row r="57" spans="3:22" x14ac:dyDescent="0.35">
      <c r="C57" s="16"/>
      <c r="U57" s="16"/>
      <c r="V57" s="16"/>
    </row>
    <row r="58" spans="3:22" x14ac:dyDescent="0.35">
      <c r="C58" s="16"/>
      <c r="U58" s="16"/>
      <c r="V58" s="16"/>
    </row>
    <row r="59" spans="3:22" x14ac:dyDescent="0.35">
      <c r="C59" s="16"/>
      <c r="U59" s="16"/>
      <c r="V59" s="16"/>
    </row>
    <row r="60" spans="3:22" x14ac:dyDescent="0.35">
      <c r="C60" s="16"/>
      <c r="U60" s="16"/>
      <c r="V60" s="16"/>
    </row>
    <row r="61" spans="3:22" x14ac:dyDescent="0.35">
      <c r="C61" s="16"/>
      <c r="U61" s="16"/>
      <c r="V61" s="16"/>
    </row>
    <row r="62" spans="3:22" x14ac:dyDescent="0.35">
      <c r="C62" s="16"/>
      <c r="U62" s="16"/>
      <c r="V62" s="16"/>
    </row>
    <row r="63" spans="3:22" x14ac:dyDescent="0.35">
      <c r="C63" s="16"/>
      <c r="U63" s="16"/>
      <c r="V63" s="16"/>
    </row>
    <row r="64" spans="3:22" x14ac:dyDescent="0.35">
      <c r="C64" s="16"/>
      <c r="U64" s="16"/>
      <c r="V64" s="16"/>
    </row>
    <row r="65" spans="3:22" x14ac:dyDescent="0.35">
      <c r="C65" s="16"/>
      <c r="U65" s="16"/>
      <c r="V65" s="16"/>
    </row>
    <row r="66" spans="3:22" x14ac:dyDescent="0.35">
      <c r="C66" s="16"/>
      <c r="U66" s="16"/>
      <c r="V66" s="16"/>
    </row>
    <row r="67" spans="3:22" x14ac:dyDescent="0.35">
      <c r="C67" s="16"/>
      <c r="U67" s="16"/>
      <c r="V67" s="16"/>
    </row>
    <row r="68" spans="3:22" x14ac:dyDescent="0.35">
      <c r="C68" s="16"/>
      <c r="U68" s="16"/>
      <c r="V68" s="16"/>
    </row>
    <row r="69" spans="3:22" x14ac:dyDescent="0.35">
      <c r="C69" s="16"/>
      <c r="U69" s="16"/>
      <c r="V69" s="16"/>
    </row>
    <row r="70" spans="3:22" x14ac:dyDescent="0.35">
      <c r="C70" s="16"/>
      <c r="U70" s="16"/>
      <c r="V70" s="16"/>
    </row>
    <row r="71" spans="3:22" x14ac:dyDescent="0.35">
      <c r="C71" s="16"/>
      <c r="U71" s="16"/>
      <c r="V71" s="16"/>
    </row>
    <row r="72" spans="3:22" x14ac:dyDescent="0.35">
      <c r="C72" s="16"/>
      <c r="U72" s="16"/>
      <c r="V72" s="16"/>
    </row>
    <row r="73" spans="3:22" x14ac:dyDescent="0.35">
      <c r="C73" s="16"/>
      <c r="U73" s="16"/>
      <c r="V73" s="16"/>
    </row>
    <row r="74" spans="3:22" x14ac:dyDescent="0.35">
      <c r="C74" s="16"/>
      <c r="U74" s="16"/>
      <c r="V74" s="16"/>
    </row>
    <row r="75" spans="3:22" x14ac:dyDescent="0.35">
      <c r="C75" s="16"/>
      <c r="U75" s="16"/>
      <c r="V75" s="16"/>
    </row>
    <row r="76" spans="3:22" x14ac:dyDescent="0.35">
      <c r="C76" s="16"/>
      <c r="U76" s="16"/>
      <c r="V76" s="16"/>
    </row>
    <row r="77" spans="3:22" x14ac:dyDescent="0.35">
      <c r="C77" s="16"/>
      <c r="U77" s="16"/>
      <c r="V77" s="16"/>
    </row>
    <row r="78" spans="3:22" x14ac:dyDescent="0.35">
      <c r="C78" s="16"/>
      <c r="U78" s="16"/>
      <c r="V78" s="16"/>
    </row>
    <row r="79" spans="3:22" x14ac:dyDescent="0.35">
      <c r="C79" s="16"/>
      <c r="U79" s="16"/>
      <c r="V79" s="16"/>
    </row>
    <row r="80" spans="3:22" x14ac:dyDescent="0.35">
      <c r="C80" s="16"/>
      <c r="U80" s="16"/>
      <c r="V80" s="16"/>
    </row>
    <row r="81" spans="3:22" x14ac:dyDescent="0.35">
      <c r="C81" s="16"/>
      <c r="U81" s="16"/>
      <c r="V81" s="16"/>
    </row>
    <row r="82" spans="3:22" x14ac:dyDescent="0.35">
      <c r="C82" s="16"/>
      <c r="U82" s="16"/>
      <c r="V82" s="16"/>
    </row>
    <row r="83" spans="3:22" x14ac:dyDescent="0.35">
      <c r="C83" s="16"/>
      <c r="U83" s="16"/>
      <c r="V83" s="16"/>
    </row>
    <row r="84" spans="3:22" x14ac:dyDescent="0.35">
      <c r="C84" s="16"/>
      <c r="U84" s="16"/>
      <c r="V84" s="16"/>
    </row>
    <row r="85" spans="3:22" x14ac:dyDescent="0.35">
      <c r="C85" s="16"/>
      <c r="U85" s="16"/>
      <c r="V85" s="16"/>
    </row>
    <row r="86" spans="3:22" x14ac:dyDescent="0.35">
      <c r="C86" s="16"/>
      <c r="U86" s="16"/>
      <c r="V86" s="16"/>
    </row>
    <row r="87" spans="3:22" x14ac:dyDescent="0.35">
      <c r="C87" s="16"/>
      <c r="U87" s="16"/>
      <c r="V87" s="16"/>
    </row>
    <row r="88" spans="3:22" x14ac:dyDescent="0.35">
      <c r="C88" s="16"/>
      <c r="U88" s="16"/>
      <c r="V88" s="16"/>
    </row>
    <row r="89" spans="3:22" x14ac:dyDescent="0.35">
      <c r="C89" s="16"/>
      <c r="U89" s="16"/>
      <c r="V89" s="16"/>
    </row>
    <row r="90" spans="3:22" x14ac:dyDescent="0.35">
      <c r="C90" s="16"/>
      <c r="U90" s="16"/>
      <c r="V90" s="16"/>
    </row>
    <row r="91" spans="3:22" x14ac:dyDescent="0.35">
      <c r="C91" s="16"/>
      <c r="U91" s="16"/>
      <c r="V91" s="16"/>
    </row>
    <row r="92" spans="3:22" x14ac:dyDescent="0.35">
      <c r="C92" s="16"/>
      <c r="U92" s="16"/>
      <c r="V92" s="16"/>
    </row>
    <row r="93" spans="3:22" x14ac:dyDescent="0.35">
      <c r="C93" s="16"/>
      <c r="U93" s="16"/>
      <c r="V93" s="16"/>
    </row>
    <row r="94" spans="3:22" x14ac:dyDescent="0.35">
      <c r="C94" s="16"/>
      <c r="U94" s="16"/>
      <c r="V94" s="16"/>
    </row>
    <row r="95" spans="3:22" x14ac:dyDescent="0.35">
      <c r="C95" s="16"/>
      <c r="U95" s="16"/>
      <c r="V95" s="16"/>
    </row>
    <row r="96" spans="3:22" x14ac:dyDescent="0.35">
      <c r="C96" s="16"/>
      <c r="U96" s="16"/>
      <c r="V96" s="16"/>
    </row>
    <row r="97" spans="3:22" x14ac:dyDescent="0.35">
      <c r="C97" s="16"/>
      <c r="U97" s="16"/>
      <c r="V97" s="16"/>
    </row>
    <row r="98" spans="3:22" x14ac:dyDescent="0.35">
      <c r="C98" s="16"/>
      <c r="U98" s="16"/>
      <c r="V98" s="16"/>
    </row>
    <row r="99" spans="3:22" x14ac:dyDescent="0.35">
      <c r="C99" s="16"/>
      <c r="U99" s="16"/>
      <c r="V99" s="16"/>
    </row>
    <row r="100" spans="3:22" x14ac:dyDescent="0.35">
      <c r="C100" s="16"/>
      <c r="U100" s="16"/>
      <c r="V100" s="16"/>
    </row>
    <row r="101" spans="3:22" x14ac:dyDescent="0.35">
      <c r="C101" s="16"/>
      <c r="U101" s="16"/>
      <c r="V101" s="16"/>
    </row>
    <row r="102" spans="3:22" x14ac:dyDescent="0.35">
      <c r="C102" s="16"/>
      <c r="U102" s="16"/>
      <c r="V102" s="16"/>
    </row>
    <row r="103" spans="3:22" x14ac:dyDescent="0.35">
      <c r="C103" s="16"/>
      <c r="U103" s="16"/>
      <c r="V103" s="16"/>
    </row>
    <row r="104" spans="3:22" x14ac:dyDescent="0.35">
      <c r="C104" s="16"/>
      <c r="U104" s="16"/>
      <c r="V104" s="16"/>
    </row>
    <row r="105" spans="3:22" x14ac:dyDescent="0.35">
      <c r="C105" s="16"/>
      <c r="U105" s="16"/>
      <c r="V105" s="16"/>
    </row>
    <row r="106" spans="3:22" x14ac:dyDescent="0.35">
      <c r="C106" s="16"/>
      <c r="U106" s="16"/>
      <c r="V106" s="16"/>
    </row>
    <row r="107" spans="3:22" x14ac:dyDescent="0.35">
      <c r="C107" s="16"/>
      <c r="U107" s="16"/>
      <c r="V107" s="16"/>
    </row>
    <row r="108" spans="3:22" x14ac:dyDescent="0.35">
      <c r="C108" s="16"/>
      <c r="U108" s="16"/>
      <c r="V108" s="16"/>
    </row>
    <row r="109" spans="3:22" x14ac:dyDescent="0.35">
      <c r="C109" s="16"/>
      <c r="U109" s="16"/>
      <c r="V109" s="16"/>
    </row>
    <row r="110" spans="3:22" x14ac:dyDescent="0.35">
      <c r="C110" s="16"/>
      <c r="U110" s="16"/>
      <c r="V110" s="16"/>
    </row>
    <row r="111" spans="3:22" x14ac:dyDescent="0.35">
      <c r="C111" s="16"/>
      <c r="U111" s="16"/>
      <c r="V111" s="16"/>
    </row>
    <row r="112" spans="3:22" x14ac:dyDescent="0.35">
      <c r="C112" s="16"/>
      <c r="U112" s="16"/>
      <c r="V112" s="16"/>
    </row>
    <row r="113" spans="3:22" x14ac:dyDescent="0.35">
      <c r="C113" s="16"/>
      <c r="U113" s="16"/>
      <c r="V113" s="16"/>
    </row>
    <row r="114" spans="3:22" x14ac:dyDescent="0.35">
      <c r="C114" s="16"/>
      <c r="U114" s="16"/>
      <c r="V114" s="16"/>
    </row>
    <row r="115" spans="3:22" x14ac:dyDescent="0.35">
      <c r="C115" s="16"/>
      <c r="U115" s="16"/>
      <c r="V115" s="16"/>
    </row>
    <row r="116" spans="3:22" x14ac:dyDescent="0.35">
      <c r="C116" s="16"/>
      <c r="U116" s="16"/>
      <c r="V116" s="16"/>
    </row>
    <row r="117" spans="3:22" x14ac:dyDescent="0.35">
      <c r="C117" s="16"/>
      <c r="U117" s="16"/>
      <c r="V117" s="16"/>
    </row>
    <row r="118" spans="3:22" x14ac:dyDescent="0.35">
      <c r="C118" s="16"/>
      <c r="U118" s="16"/>
      <c r="V118" s="16"/>
    </row>
    <row r="119" spans="3:22" x14ac:dyDescent="0.35">
      <c r="C119" s="16"/>
      <c r="U119" s="16"/>
      <c r="V119" s="16"/>
    </row>
    <row r="120" spans="3:22" x14ac:dyDescent="0.35">
      <c r="C120" s="16"/>
      <c r="U120" s="16"/>
      <c r="V120" s="16"/>
    </row>
    <row r="121" spans="3:22" x14ac:dyDescent="0.35">
      <c r="C121" s="16"/>
      <c r="U121" s="16"/>
      <c r="V121" s="16"/>
    </row>
    <row r="122" spans="3:22" x14ac:dyDescent="0.35">
      <c r="C122" s="16"/>
      <c r="U122" s="16"/>
      <c r="V122" s="16"/>
    </row>
    <row r="123" spans="3:22" x14ac:dyDescent="0.35">
      <c r="C123" s="16"/>
      <c r="U123" s="16"/>
      <c r="V123" s="16"/>
    </row>
    <row r="124" spans="3:22" x14ac:dyDescent="0.35">
      <c r="C124" s="16"/>
      <c r="U124" s="16"/>
      <c r="V124" s="16"/>
    </row>
    <row r="125" spans="3:22" x14ac:dyDescent="0.35">
      <c r="C125" s="16"/>
      <c r="U125" s="16"/>
      <c r="V125" s="16"/>
    </row>
    <row r="126" spans="3:22" x14ac:dyDescent="0.35">
      <c r="C126" s="16"/>
      <c r="U126" s="16"/>
      <c r="V126" s="16"/>
    </row>
    <row r="127" spans="3:22" x14ac:dyDescent="0.35">
      <c r="C127" s="16"/>
      <c r="U127" s="16"/>
      <c r="V127" s="16"/>
    </row>
    <row r="128" spans="3:22" x14ac:dyDescent="0.35">
      <c r="C128" s="16"/>
      <c r="U128" s="16"/>
      <c r="V128" s="16"/>
    </row>
    <row r="129" spans="3:22" x14ac:dyDescent="0.35">
      <c r="C129" s="16"/>
      <c r="U129" s="16"/>
      <c r="V129" s="16"/>
    </row>
    <row r="130" spans="3:22" x14ac:dyDescent="0.35">
      <c r="C130" s="16"/>
      <c r="U130" s="16"/>
      <c r="V130" s="16"/>
    </row>
    <row r="131" spans="3:22" x14ac:dyDescent="0.35">
      <c r="C131" s="16"/>
      <c r="U131" s="16"/>
      <c r="V131" s="16"/>
    </row>
    <row r="132" spans="3:22" x14ac:dyDescent="0.35">
      <c r="C132" s="16"/>
      <c r="U132" s="16"/>
      <c r="V132" s="16"/>
    </row>
    <row r="133" spans="3:22" x14ac:dyDescent="0.35">
      <c r="C133" s="16"/>
      <c r="U133" s="16"/>
      <c r="V133" s="16"/>
    </row>
    <row r="134" spans="3:22" x14ac:dyDescent="0.35">
      <c r="C134" s="16"/>
      <c r="U134" s="16"/>
      <c r="V134" s="16"/>
    </row>
    <row r="135" spans="3:22" x14ac:dyDescent="0.35">
      <c r="C135" s="16"/>
      <c r="U135" s="16"/>
      <c r="V135" s="16"/>
    </row>
    <row r="136" spans="3:22" x14ac:dyDescent="0.35">
      <c r="C136" s="16"/>
      <c r="U136" s="16"/>
      <c r="V136" s="16"/>
    </row>
    <row r="137" spans="3:22" x14ac:dyDescent="0.35">
      <c r="C137" s="16"/>
      <c r="U137" s="16"/>
      <c r="V137" s="16"/>
    </row>
    <row r="138" spans="3:22" x14ac:dyDescent="0.35">
      <c r="C138" s="16"/>
      <c r="U138" s="16"/>
      <c r="V138" s="16"/>
    </row>
    <row r="139" spans="3:22" x14ac:dyDescent="0.35">
      <c r="C139" s="16"/>
      <c r="U139" s="16"/>
      <c r="V139" s="16"/>
    </row>
    <row r="140" spans="3:22" x14ac:dyDescent="0.35">
      <c r="C140" s="16"/>
      <c r="U140" s="16"/>
      <c r="V140" s="16"/>
    </row>
    <row r="141" spans="3:22" x14ac:dyDescent="0.35">
      <c r="C141" s="16"/>
      <c r="U141" s="16"/>
      <c r="V141" s="16"/>
    </row>
    <row r="142" spans="3:22" x14ac:dyDescent="0.35">
      <c r="C142" s="16"/>
      <c r="U142" s="16"/>
      <c r="V142" s="16"/>
    </row>
    <row r="143" spans="3:22" x14ac:dyDescent="0.35">
      <c r="C143" s="16"/>
      <c r="U143" s="16"/>
      <c r="V143" s="16"/>
    </row>
    <row r="144" spans="3:22" x14ac:dyDescent="0.35">
      <c r="C144" s="16"/>
      <c r="U144" s="16"/>
      <c r="V144" s="16"/>
    </row>
    <row r="145" spans="3:22" x14ac:dyDescent="0.35">
      <c r="C145" s="16"/>
      <c r="U145" s="16"/>
      <c r="V145" s="16"/>
    </row>
    <row r="146" spans="3:22" x14ac:dyDescent="0.35">
      <c r="C146" s="16"/>
      <c r="U146" s="16"/>
      <c r="V146" s="16"/>
    </row>
    <row r="147" spans="3:22" x14ac:dyDescent="0.35">
      <c r="C147" s="16"/>
      <c r="U147" s="16"/>
      <c r="V147" s="16"/>
    </row>
    <row r="148" spans="3:22" x14ac:dyDescent="0.35">
      <c r="C148" s="16"/>
      <c r="U148" s="16"/>
      <c r="V148" s="16"/>
    </row>
    <row r="149" spans="3:22" x14ac:dyDescent="0.35">
      <c r="C149" s="16"/>
      <c r="U149" s="16"/>
      <c r="V149" s="16"/>
    </row>
    <row r="150" spans="3:22" x14ac:dyDescent="0.35">
      <c r="C150" s="16"/>
      <c r="U150" s="16"/>
      <c r="V150" s="16"/>
    </row>
    <row r="151" spans="3:22" x14ac:dyDescent="0.35">
      <c r="C151" s="16"/>
      <c r="U151" s="16"/>
      <c r="V151" s="16"/>
    </row>
    <row r="152" spans="3:22" x14ac:dyDescent="0.35">
      <c r="C152" s="16"/>
      <c r="U152" s="16"/>
      <c r="V152" s="16"/>
    </row>
    <row r="153" spans="3:22" x14ac:dyDescent="0.35">
      <c r="C153" s="16"/>
      <c r="U153" s="16"/>
      <c r="V153" s="16"/>
    </row>
    <row r="154" spans="3:22" x14ac:dyDescent="0.35">
      <c r="C154" s="16"/>
      <c r="U154" s="16"/>
      <c r="V154" s="16"/>
    </row>
    <row r="155" spans="3:22" x14ac:dyDescent="0.35">
      <c r="C155" s="16"/>
      <c r="U155" s="16"/>
      <c r="V155" s="16"/>
    </row>
    <row r="156" spans="3:22" x14ac:dyDescent="0.35">
      <c r="C156" s="16"/>
      <c r="U156" s="16"/>
      <c r="V156" s="16"/>
    </row>
    <row r="157" spans="3:22" x14ac:dyDescent="0.35">
      <c r="C157" s="16"/>
      <c r="U157" s="16"/>
      <c r="V157" s="16"/>
    </row>
    <row r="158" spans="3:22" x14ac:dyDescent="0.35">
      <c r="C158" s="16"/>
      <c r="U158" s="16"/>
      <c r="V158" s="16"/>
    </row>
    <row r="159" spans="3:22" x14ac:dyDescent="0.35">
      <c r="C159" s="16"/>
      <c r="U159" s="16"/>
      <c r="V159" s="16"/>
    </row>
    <row r="160" spans="3:22" x14ac:dyDescent="0.35">
      <c r="C160" s="16"/>
      <c r="U160" s="16"/>
      <c r="V160" s="16"/>
    </row>
    <row r="161" spans="3:22" x14ac:dyDescent="0.35">
      <c r="C161" s="16"/>
      <c r="U161" s="16"/>
      <c r="V161" s="16"/>
    </row>
    <row r="162" spans="3:22" x14ac:dyDescent="0.35">
      <c r="C162" s="16"/>
      <c r="U162" s="16"/>
      <c r="V162" s="16"/>
    </row>
    <row r="163" spans="3:22" x14ac:dyDescent="0.35">
      <c r="C163" s="16"/>
      <c r="U163" s="16"/>
      <c r="V163" s="16"/>
    </row>
    <row r="164" spans="3:22" x14ac:dyDescent="0.35">
      <c r="C164" s="16"/>
      <c r="U164" s="16"/>
      <c r="V164" s="16"/>
    </row>
    <row r="165" spans="3:22" x14ac:dyDescent="0.35">
      <c r="C165" s="16"/>
      <c r="U165" s="16"/>
      <c r="V165" s="16"/>
    </row>
    <row r="166" spans="3:22" x14ac:dyDescent="0.35">
      <c r="C166" s="16"/>
      <c r="U166" s="16"/>
      <c r="V166" s="16"/>
    </row>
    <row r="167" spans="3:22" x14ac:dyDescent="0.35">
      <c r="C167" s="16"/>
      <c r="U167" s="16"/>
      <c r="V167" s="16"/>
    </row>
    <row r="168" spans="3:22" x14ac:dyDescent="0.35">
      <c r="C168" s="16"/>
      <c r="U168" s="16"/>
      <c r="V168" s="16"/>
    </row>
    <row r="169" spans="3:22" x14ac:dyDescent="0.35">
      <c r="C169" s="16"/>
      <c r="U169" s="16"/>
      <c r="V169" s="16"/>
    </row>
    <row r="170" spans="3:22" x14ac:dyDescent="0.35">
      <c r="C170" s="16"/>
      <c r="U170" s="16"/>
      <c r="V170" s="16"/>
    </row>
    <row r="171" spans="3:22" x14ac:dyDescent="0.35">
      <c r="C171" s="16"/>
      <c r="U171" s="16"/>
      <c r="V171" s="16"/>
    </row>
    <row r="172" spans="3:22" x14ac:dyDescent="0.35">
      <c r="C172" s="16"/>
      <c r="U172" s="16"/>
      <c r="V172" s="16"/>
    </row>
    <row r="173" spans="3:22" x14ac:dyDescent="0.35">
      <c r="C173" s="16"/>
      <c r="U173" s="16"/>
      <c r="V173" s="16"/>
    </row>
    <row r="174" spans="3:22" x14ac:dyDescent="0.35">
      <c r="C174" s="16"/>
      <c r="U174" s="16"/>
      <c r="V174" s="16"/>
    </row>
    <row r="175" spans="3:22" x14ac:dyDescent="0.35">
      <c r="C175" s="16"/>
      <c r="U175" s="16"/>
      <c r="V175" s="16"/>
    </row>
    <row r="176" spans="3:22" x14ac:dyDescent="0.35">
      <c r="C176" s="16"/>
      <c r="U176" s="16"/>
      <c r="V176" s="16"/>
    </row>
    <row r="177" spans="3:22" x14ac:dyDescent="0.35">
      <c r="C177" s="16"/>
      <c r="U177" s="16"/>
      <c r="V177" s="16"/>
    </row>
    <row r="178" spans="3:22" x14ac:dyDescent="0.35">
      <c r="C178" s="16"/>
      <c r="U178" s="16"/>
      <c r="V178" s="16"/>
    </row>
    <row r="179" spans="3:22" x14ac:dyDescent="0.35">
      <c r="C179" s="16"/>
      <c r="U179" s="16"/>
      <c r="V179" s="16"/>
    </row>
    <row r="180" spans="3:22" x14ac:dyDescent="0.35">
      <c r="C180" s="16"/>
      <c r="U180" s="16"/>
      <c r="V180" s="16"/>
    </row>
    <row r="181" spans="3:22" x14ac:dyDescent="0.35">
      <c r="C181" s="16"/>
      <c r="U181" s="16"/>
      <c r="V181" s="16"/>
    </row>
  </sheetData>
  <autoFilter ref="A1:OJ1" xr:uid="{99963D36-52DC-41D4-80F2-5F96564C62AF}"/>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0B2DA-8EB1-4DFA-80EC-DD83DE6D4547}">
  <dimension ref="A1:AO22"/>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8.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4" width="25.6328125" style="17" customWidth="1"/>
    <col min="25" max="25" width="15.6328125" style="12" customWidth="1"/>
    <col min="26" max="28" width="25.6328125" style="17" customWidth="1"/>
    <col min="29" max="29" width="15.6328125" style="12" customWidth="1"/>
    <col min="30" max="32" width="25.6328125" style="17" customWidth="1"/>
    <col min="33" max="33" width="15.6328125" style="12" customWidth="1"/>
    <col min="34" max="36" width="25.6328125" style="17" customWidth="1"/>
    <col min="37" max="37" width="15.6328125" style="12" customWidth="1"/>
    <col min="38" max="38" width="25.6328125" style="17" customWidth="1"/>
    <col min="39" max="39" width="40.6328125" style="17" customWidth="1"/>
    <col min="40" max="40" width="9.6328125" style="12" customWidth="1"/>
    <col min="41" max="41" width="15.6328125" style="12" customWidth="1"/>
    <col min="42" max="16384" width="10.90625" style="12"/>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216</v>
      </c>
      <c r="X1" s="10" t="s">
        <v>217</v>
      </c>
      <c r="Y1" s="10" t="s">
        <v>218</v>
      </c>
      <c r="Z1" s="10" t="s">
        <v>219</v>
      </c>
      <c r="AA1" s="10" t="s">
        <v>220</v>
      </c>
      <c r="AB1" s="10" t="s">
        <v>221</v>
      </c>
      <c r="AC1" s="10" t="s">
        <v>222</v>
      </c>
      <c r="AD1" s="10" t="s">
        <v>223</v>
      </c>
      <c r="AE1" s="10" t="s">
        <v>224</v>
      </c>
      <c r="AF1" s="10" t="s">
        <v>225</v>
      </c>
      <c r="AG1" s="10" t="s">
        <v>226</v>
      </c>
      <c r="AH1" s="10" t="s">
        <v>227</v>
      </c>
      <c r="AI1" s="10" t="s">
        <v>228</v>
      </c>
      <c r="AJ1" s="10" t="s">
        <v>229</v>
      </c>
      <c r="AK1" s="10" t="s">
        <v>230</v>
      </c>
      <c r="AL1" s="10" t="s">
        <v>231</v>
      </c>
      <c r="AM1" s="10" t="s">
        <v>232</v>
      </c>
      <c r="AN1" s="10" t="s">
        <v>78</v>
      </c>
      <c r="AO1" s="10" t="s">
        <v>79</v>
      </c>
    </row>
    <row r="2" spans="1:41" ht="58" x14ac:dyDescent="0.35">
      <c r="A2" s="13" t="s">
        <v>80</v>
      </c>
      <c r="B2" s="13" t="s">
        <v>81</v>
      </c>
      <c r="C2" s="14">
        <v>44854.470833333333</v>
      </c>
      <c r="D2" s="13" t="s">
        <v>82</v>
      </c>
      <c r="E2" s="15" t="s">
        <v>83</v>
      </c>
      <c r="F2" s="13" t="s">
        <v>84</v>
      </c>
      <c r="G2" s="15" t="s">
        <v>85</v>
      </c>
      <c r="H2" s="13" t="s">
        <v>86</v>
      </c>
      <c r="I2" s="15" t="s">
        <v>85</v>
      </c>
      <c r="J2" s="15" t="s">
        <v>87</v>
      </c>
      <c r="K2" s="15" t="s">
        <v>88</v>
      </c>
      <c r="L2" s="13" t="s">
        <v>89</v>
      </c>
      <c r="M2" s="15" t="s">
        <v>90</v>
      </c>
      <c r="N2" s="13" t="s">
        <v>91</v>
      </c>
      <c r="O2" s="15" t="s">
        <v>92</v>
      </c>
      <c r="P2" s="15" t="s">
        <v>93</v>
      </c>
      <c r="Q2" s="15" t="s">
        <v>94</v>
      </c>
      <c r="R2" s="13" t="s">
        <v>95</v>
      </c>
      <c r="S2" s="13" t="s">
        <v>96</v>
      </c>
      <c r="T2" s="13" t="s">
        <v>97</v>
      </c>
      <c r="U2" s="14">
        <v>43831</v>
      </c>
      <c r="V2" s="14"/>
      <c r="W2" s="15"/>
      <c r="X2" s="15"/>
      <c r="Y2" s="13"/>
      <c r="Z2" s="15"/>
      <c r="AA2" s="15"/>
      <c r="AB2" s="15"/>
      <c r="AC2" s="13"/>
      <c r="AD2" s="15"/>
      <c r="AE2" s="15"/>
      <c r="AF2" s="15"/>
      <c r="AG2" s="13"/>
      <c r="AH2" s="15"/>
      <c r="AI2" s="15"/>
      <c r="AJ2" s="15"/>
      <c r="AK2" s="13"/>
      <c r="AL2" s="15"/>
      <c r="AM2" s="15"/>
      <c r="AN2" s="13"/>
      <c r="AO2" s="13"/>
    </row>
    <row r="3" spans="1:41" ht="58" x14ac:dyDescent="0.35">
      <c r="A3" s="13" t="s">
        <v>80</v>
      </c>
      <c r="B3" s="13" t="s">
        <v>81</v>
      </c>
      <c r="C3" s="14">
        <v>44854.484027777777</v>
      </c>
      <c r="D3" s="13" t="s">
        <v>82</v>
      </c>
      <c r="E3" s="15" t="s">
        <v>83</v>
      </c>
      <c r="F3" s="13" t="s">
        <v>84</v>
      </c>
      <c r="G3" s="15" t="s">
        <v>85</v>
      </c>
      <c r="H3" s="13" t="s">
        <v>86</v>
      </c>
      <c r="I3" s="15" t="s">
        <v>85</v>
      </c>
      <c r="J3" s="15" t="s">
        <v>87</v>
      </c>
      <c r="K3" s="15" t="s">
        <v>88</v>
      </c>
      <c r="L3" s="13" t="s">
        <v>98</v>
      </c>
      <c r="M3" s="15" t="s">
        <v>99</v>
      </c>
      <c r="N3" s="13" t="s">
        <v>91</v>
      </c>
      <c r="O3" s="15" t="s">
        <v>100</v>
      </c>
      <c r="P3" s="15" t="s">
        <v>101</v>
      </c>
      <c r="Q3" s="15" t="s">
        <v>94</v>
      </c>
      <c r="R3" s="13" t="s">
        <v>95</v>
      </c>
      <c r="S3" s="13" t="s">
        <v>96</v>
      </c>
      <c r="T3" s="13" t="s">
        <v>97</v>
      </c>
      <c r="U3" s="14">
        <v>43831</v>
      </c>
      <c r="V3" s="14"/>
      <c r="W3" s="15"/>
      <c r="X3" s="15"/>
      <c r="Y3" s="13"/>
      <c r="Z3" s="15"/>
      <c r="AA3" s="15"/>
      <c r="AB3" s="15"/>
      <c r="AC3" s="13"/>
      <c r="AD3" s="15"/>
      <c r="AE3" s="15"/>
      <c r="AF3" s="15"/>
      <c r="AG3" s="13"/>
      <c r="AH3" s="15"/>
      <c r="AI3" s="15"/>
      <c r="AJ3" s="15"/>
      <c r="AK3" s="13"/>
      <c r="AL3" s="15"/>
      <c r="AM3" s="15"/>
      <c r="AN3" s="13"/>
      <c r="AO3" s="13"/>
    </row>
    <row r="4" spans="1:41" ht="43.5" x14ac:dyDescent="0.35">
      <c r="A4" s="13" t="s">
        <v>80</v>
      </c>
      <c r="B4" s="13" t="s">
        <v>81</v>
      </c>
      <c r="C4" s="14">
        <v>44854.493055555555</v>
      </c>
      <c r="D4" s="13" t="s">
        <v>82</v>
      </c>
      <c r="E4" s="15" t="s">
        <v>83</v>
      </c>
      <c r="F4" s="13" t="s">
        <v>84</v>
      </c>
      <c r="G4" s="15" t="s">
        <v>85</v>
      </c>
      <c r="H4" s="13" t="s">
        <v>86</v>
      </c>
      <c r="I4" s="15" t="s">
        <v>85</v>
      </c>
      <c r="J4" s="15" t="s">
        <v>87</v>
      </c>
      <c r="K4" s="15" t="s">
        <v>88</v>
      </c>
      <c r="L4" s="13" t="s">
        <v>102</v>
      </c>
      <c r="M4" s="15" t="s">
        <v>103</v>
      </c>
      <c r="N4" s="13" t="s">
        <v>104</v>
      </c>
      <c r="O4" s="15" t="s">
        <v>105</v>
      </c>
      <c r="P4" s="15" t="s">
        <v>106</v>
      </c>
      <c r="Q4" s="15" t="s">
        <v>94</v>
      </c>
      <c r="R4" s="13" t="s">
        <v>95</v>
      </c>
      <c r="S4" s="13" t="s">
        <v>96</v>
      </c>
      <c r="T4" s="13" t="s">
        <v>97</v>
      </c>
      <c r="U4" s="14">
        <v>43831</v>
      </c>
      <c r="V4" s="14"/>
      <c r="W4" s="15"/>
      <c r="X4" s="15"/>
      <c r="Y4" s="13"/>
      <c r="Z4" s="15"/>
      <c r="AA4" s="15"/>
      <c r="AB4" s="15"/>
      <c r="AC4" s="13"/>
      <c r="AD4" s="15"/>
      <c r="AE4" s="15"/>
      <c r="AF4" s="15"/>
      <c r="AG4" s="13"/>
      <c r="AH4" s="15"/>
      <c r="AI4" s="15"/>
      <c r="AJ4" s="15"/>
      <c r="AK4" s="13"/>
      <c r="AL4" s="15"/>
      <c r="AM4" s="15"/>
      <c r="AN4" s="13"/>
      <c r="AO4" s="13"/>
    </row>
    <row r="5" spans="1:41" ht="58" x14ac:dyDescent="0.35">
      <c r="A5" s="13" t="s">
        <v>80</v>
      </c>
      <c r="B5" s="13" t="s">
        <v>81</v>
      </c>
      <c r="C5" s="14">
        <v>44854.47152777778</v>
      </c>
      <c r="D5" s="13" t="s">
        <v>82</v>
      </c>
      <c r="E5" s="15" t="s">
        <v>83</v>
      </c>
      <c r="F5" s="13" t="s">
        <v>84</v>
      </c>
      <c r="G5" s="15" t="s">
        <v>85</v>
      </c>
      <c r="H5" s="13" t="s">
        <v>86</v>
      </c>
      <c r="I5" s="15" t="s">
        <v>85</v>
      </c>
      <c r="J5" s="15" t="s">
        <v>87</v>
      </c>
      <c r="K5" s="15" t="s">
        <v>88</v>
      </c>
      <c r="L5" s="13" t="s">
        <v>89</v>
      </c>
      <c r="M5" s="15" t="s">
        <v>90</v>
      </c>
      <c r="N5" s="13" t="s">
        <v>91</v>
      </c>
      <c r="O5" s="15" t="s">
        <v>92</v>
      </c>
      <c r="P5" s="15" t="s">
        <v>93</v>
      </c>
      <c r="Q5" s="15" t="s">
        <v>107</v>
      </c>
      <c r="R5" s="13" t="s">
        <v>108</v>
      </c>
      <c r="S5" s="13" t="s">
        <v>96</v>
      </c>
      <c r="T5" s="13" t="s">
        <v>97</v>
      </c>
      <c r="U5" s="14">
        <v>43831</v>
      </c>
      <c r="V5" s="14"/>
      <c r="W5" s="15"/>
      <c r="X5" s="15"/>
      <c r="Y5" s="13"/>
      <c r="Z5" s="15"/>
      <c r="AA5" s="15"/>
      <c r="AB5" s="15"/>
      <c r="AC5" s="13"/>
      <c r="AD5" s="15"/>
      <c r="AE5" s="15"/>
      <c r="AF5" s="15"/>
      <c r="AG5" s="13"/>
      <c r="AH5" s="15"/>
      <c r="AI5" s="15"/>
      <c r="AJ5" s="15"/>
      <c r="AK5" s="13"/>
      <c r="AL5" s="15"/>
      <c r="AM5" s="15"/>
      <c r="AN5" s="13"/>
      <c r="AO5" s="13"/>
    </row>
    <row r="6" spans="1:41" ht="58" x14ac:dyDescent="0.35">
      <c r="A6" s="13" t="s">
        <v>80</v>
      </c>
      <c r="B6" s="13" t="s">
        <v>81</v>
      </c>
      <c r="C6" s="14">
        <v>44854.48541666667</v>
      </c>
      <c r="D6" s="13" t="s">
        <v>82</v>
      </c>
      <c r="E6" s="15" t="s">
        <v>83</v>
      </c>
      <c r="F6" s="13" t="s">
        <v>84</v>
      </c>
      <c r="G6" s="15" t="s">
        <v>85</v>
      </c>
      <c r="H6" s="13" t="s">
        <v>86</v>
      </c>
      <c r="I6" s="15" t="s">
        <v>85</v>
      </c>
      <c r="J6" s="15" t="s">
        <v>87</v>
      </c>
      <c r="K6" s="15" t="s">
        <v>88</v>
      </c>
      <c r="L6" s="13" t="s">
        <v>98</v>
      </c>
      <c r="M6" s="15" t="s">
        <v>99</v>
      </c>
      <c r="N6" s="13" t="s">
        <v>91</v>
      </c>
      <c r="O6" s="15" t="s">
        <v>100</v>
      </c>
      <c r="P6" s="15" t="s">
        <v>101</v>
      </c>
      <c r="Q6" s="15" t="s">
        <v>107</v>
      </c>
      <c r="R6" s="13" t="s">
        <v>108</v>
      </c>
      <c r="S6" s="13" t="s">
        <v>96</v>
      </c>
      <c r="T6" s="13" t="s">
        <v>97</v>
      </c>
      <c r="U6" s="14">
        <v>43831</v>
      </c>
      <c r="V6" s="14"/>
      <c r="W6" s="15"/>
      <c r="X6" s="15"/>
      <c r="Y6" s="13"/>
      <c r="Z6" s="15"/>
      <c r="AA6" s="15"/>
      <c r="AB6" s="15"/>
      <c r="AC6" s="13"/>
      <c r="AD6" s="15"/>
      <c r="AE6" s="15"/>
      <c r="AF6" s="15"/>
      <c r="AG6" s="13"/>
      <c r="AH6" s="15"/>
      <c r="AI6" s="15"/>
      <c r="AJ6" s="15"/>
      <c r="AK6" s="13"/>
      <c r="AL6" s="15"/>
      <c r="AM6" s="15"/>
      <c r="AN6" s="13"/>
      <c r="AO6" s="13"/>
    </row>
    <row r="7" spans="1:41" ht="43.5" x14ac:dyDescent="0.35">
      <c r="A7" s="13" t="s">
        <v>80</v>
      </c>
      <c r="B7" s="13" t="s">
        <v>81</v>
      </c>
      <c r="C7" s="14">
        <v>44854.493055555555</v>
      </c>
      <c r="D7" s="13" t="s">
        <v>82</v>
      </c>
      <c r="E7" s="15" t="s">
        <v>83</v>
      </c>
      <c r="F7" s="13" t="s">
        <v>84</v>
      </c>
      <c r="G7" s="15" t="s">
        <v>85</v>
      </c>
      <c r="H7" s="13" t="s">
        <v>86</v>
      </c>
      <c r="I7" s="15" t="s">
        <v>85</v>
      </c>
      <c r="J7" s="15" t="s">
        <v>87</v>
      </c>
      <c r="K7" s="15" t="s">
        <v>88</v>
      </c>
      <c r="L7" s="13" t="s">
        <v>102</v>
      </c>
      <c r="M7" s="15" t="s">
        <v>103</v>
      </c>
      <c r="N7" s="13" t="s">
        <v>104</v>
      </c>
      <c r="O7" s="15" t="s">
        <v>105</v>
      </c>
      <c r="P7" s="15" t="s">
        <v>106</v>
      </c>
      <c r="Q7" s="15" t="s">
        <v>107</v>
      </c>
      <c r="R7" s="13" t="s">
        <v>108</v>
      </c>
      <c r="S7" s="13" t="s">
        <v>96</v>
      </c>
      <c r="T7" s="13" t="s">
        <v>97</v>
      </c>
      <c r="U7" s="14">
        <v>43831</v>
      </c>
      <c r="V7" s="14"/>
      <c r="W7" s="15"/>
      <c r="X7" s="15"/>
      <c r="Y7" s="13"/>
      <c r="Z7" s="15"/>
      <c r="AA7" s="15"/>
      <c r="AB7" s="15"/>
      <c r="AC7" s="13"/>
      <c r="AD7" s="15"/>
      <c r="AE7" s="15"/>
      <c r="AF7" s="15"/>
      <c r="AG7" s="13"/>
      <c r="AH7" s="15"/>
      <c r="AI7" s="15"/>
      <c r="AJ7" s="15"/>
      <c r="AK7" s="13"/>
      <c r="AL7" s="15"/>
      <c r="AM7" s="15"/>
      <c r="AN7" s="13"/>
      <c r="AO7" s="13"/>
    </row>
    <row r="8" spans="1:41" ht="58" x14ac:dyDescent="0.35">
      <c r="A8" s="13" t="s">
        <v>80</v>
      </c>
      <c r="B8" s="13" t="s">
        <v>81</v>
      </c>
      <c r="C8" s="14">
        <v>44854.472222222219</v>
      </c>
      <c r="D8" s="13" t="s">
        <v>82</v>
      </c>
      <c r="E8" s="15" t="s">
        <v>83</v>
      </c>
      <c r="F8" s="13" t="s">
        <v>84</v>
      </c>
      <c r="G8" s="15" t="s">
        <v>85</v>
      </c>
      <c r="H8" s="13" t="s">
        <v>86</v>
      </c>
      <c r="I8" s="15" t="s">
        <v>85</v>
      </c>
      <c r="J8" s="15" t="s">
        <v>87</v>
      </c>
      <c r="K8" s="15" t="s">
        <v>88</v>
      </c>
      <c r="L8" s="13" t="s">
        <v>89</v>
      </c>
      <c r="M8" s="15" t="s">
        <v>90</v>
      </c>
      <c r="N8" s="13" t="s">
        <v>91</v>
      </c>
      <c r="O8" s="15" t="s">
        <v>92</v>
      </c>
      <c r="P8" s="15" t="s">
        <v>93</v>
      </c>
      <c r="Q8" s="15" t="s">
        <v>109</v>
      </c>
      <c r="R8" s="13" t="s">
        <v>110</v>
      </c>
      <c r="S8" s="13" t="s">
        <v>96</v>
      </c>
      <c r="T8" s="13" t="s">
        <v>97</v>
      </c>
      <c r="U8" s="14">
        <v>43831</v>
      </c>
      <c r="V8" s="14"/>
      <c r="W8" s="15"/>
      <c r="X8" s="15"/>
      <c r="Y8" s="13"/>
      <c r="Z8" s="15"/>
      <c r="AA8" s="15"/>
      <c r="AB8" s="15"/>
      <c r="AC8" s="13"/>
      <c r="AD8" s="15"/>
      <c r="AE8" s="15"/>
      <c r="AF8" s="15"/>
      <c r="AG8" s="13"/>
      <c r="AH8" s="15"/>
      <c r="AI8" s="15"/>
      <c r="AJ8" s="15"/>
      <c r="AK8" s="13"/>
      <c r="AL8" s="15"/>
      <c r="AM8" s="15"/>
      <c r="AN8" s="13"/>
      <c r="AO8" s="13"/>
    </row>
    <row r="9" spans="1:41" ht="58" x14ac:dyDescent="0.35">
      <c r="A9" s="13" t="s">
        <v>80</v>
      </c>
      <c r="B9" s="13" t="s">
        <v>81</v>
      </c>
      <c r="C9" s="14">
        <v>44854.48541666667</v>
      </c>
      <c r="D9" s="13" t="s">
        <v>82</v>
      </c>
      <c r="E9" s="15" t="s">
        <v>83</v>
      </c>
      <c r="F9" s="13" t="s">
        <v>84</v>
      </c>
      <c r="G9" s="15" t="s">
        <v>85</v>
      </c>
      <c r="H9" s="13" t="s">
        <v>86</v>
      </c>
      <c r="I9" s="15" t="s">
        <v>85</v>
      </c>
      <c r="J9" s="15" t="s">
        <v>87</v>
      </c>
      <c r="K9" s="15" t="s">
        <v>88</v>
      </c>
      <c r="L9" s="13" t="s">
        <v>98</v>
      </c>
      <c r="M9" s="15" t="s">
        <v>99</v>
      </c>
      <c r="N9" s="13" t="s">
        <v>91</v>
      </c>
      <c r="O9" s="15" t="s">
        <v>100</v>
      </c>
      <c r="P9" s="15" t="s">
        <v>101</v>
      </c>
      <c r="Q9" s="15" t="s">
        <v>109</v>
      </c>
      <c r="R9" s="13" t="s">
        <v>110</v>
      </c>
      <c r="S9" s="13" t="s">
        <v>96</v>
      </c>
      <c r="T9" s="13" t="s">
        <v>97</v>
      </c>
      <c r="U9" s="14">
        <v>43831</v>
      </c>
      <c r="V9" s="14"/>
      <c r="W9" s="15"/>
      <c r="X9" s="15"/>
      <c r="Y9" s="13"/>
      <c r="Z9" s="15"/>
      <c r="AA9" s="15"/>
      <c r="AB9" s="15"/>
      <c r="AC9" s="13"/>
      <c r="AD9" s="15"/>
      <c r="AE9" s="15"/>
      <c r="AF9" s="15"/>
      <c r="AG9" s="13"/>
      <c r="AH9" s="15"/>
      <c r="AI9" s="15"/>
      <c r="AJ9" s="15"/>
      <c r="AK9" s="13"/>
      <c r="AL9" s="15"/>
      <c r="AM9" s="15"/>
      <c r="AN9" s="13"/>
      <c r="AO9" s="13"/>
    </row>
    <row r="10" spans="1:41" ht="43.5" x14ac:dyDescent="0.35">
      <c r="A10" s="13" t="s">
        <v>80</v>
      </c>
      <c r="B10" s="13" t="s">
        <v>81</v>
      </c>
      <c r="C10" s="14">
        <v>44854.493750000001</v>
      </c>
      <c r="D10" s="13" t="s">
        <v>82</v>
      </c>
      <c r="E10" s="15" t="s">
        <v>83</v>
      </c>
      <c r="F10" s="13" t="s">
        <v>84</v>
      </c>
      <c r="G10" s="15" t="s">
        <v>85</v>
      </c>
      <c r="H10" s="13" t="s">
        <v>86</v>
      </c>
      <c r="I10" s="15" t="s">
        <v>85</v>
      </c>
      <c r="J10" s="15" t="s">
        <v>87</v>
      </c>
      <c r="K10" s="15" t="s">
        <v>88</v>
      </c>
      <c r="L10" s="13" t="s">
        <v>102</v>
      </c>
      <c r="M10" s="15" t="s">
        <v>103</v>
      </c>
      <c r="N10" s="13" t="s">
        <v>104</v>
      </c>
      <c r="O10" s="15" t="s">
        <v>105</v>
      </c>
      <c r="P10" s="15" t="s">
        <v>106</v>
      </c>
      <c r="Q10" s="15" t="s">
        <v>109</v>
      </c>
      <c r="R10" s="13" t="s">
        <v>110</v>
      </c>
      <c r="S10" s="13" t="s">
        <v>96</v>
      </c>
      <c r="T10" s="13" t="s">
        <v>97</v>
      </c>
      <c r="U10" s="14">
        <v>43831</v>
      </c>
      <c r="V10" s="14"/>
      <c r="W10" s="15"/>
      <c r="X10" s="15"/>
      <c r="Y10" s="13"/>
      <c r="Z10" s="15"/>
      <c r="AA10" s="15"/>
      <c r="AB10" s="15"/>
      <c r="AC10" s="13"/>
      <c r="AD10" s="15"/>
      <c r="AE10" s="15"/>
      <c r="AF10" s="15"/>
      <c r="AG10" s="13"/>
      <c r="AH10" s="15"/>
      <c r="AI10" s="15"/>
      <c r="AJ10" s="15"/>
      <c r="AK10" s="13"/>
      <c r="AL10" s="15"/>
      <c r="AM10" s="15"/>
      <c r="AN10" s="13"/>
      <c r="AO10" s="13"/>
    </row>
    <row r="11" spans="1:41" ht="58" x14ac:dyDescent="0.35">
      <c r="A11" s="13" t="s">
        <v>80</v>
      </c>
      <c r="B11" s="13" t="s">
        <v>81</v>
      </c>
      <c r="C11" s="14">
        <v>44854.473611111112</v>
      </c>
      <c r="D11" s="13" t="s">
        <v>82</v>
      </c>
      <c r="E11" s="15" t="s">
        <v>83</v>
      </c>
      <c r="F11" s="13" t="s">
        <v>84</v>
      </c>
      <c r="G11" s="15" t="s">
        <v>85</v>
      </c>
      <c r="H11" s="13" t="s">
        <v>86</v>
      </c>
      <c r="I11" s="15" t="s">
        <v>85</v>
      </c>
      <c r="J11" s="15" t="s">
        <v>87</v>
      </c>
      <c r="K11" s="15" t="s">
        <v>88</v>
      </c>
      <c r="L11" s="13" t="s">
        <v>89</v>
      </c>
      <c r="M11" s="15" t="s">
        <v>90</v>
      </c>
      <c r="N11" s="13" t="s">
        <v>91</v>
      </c>
      <c r="O11" s="15" t="s">
        <v>92</v>
      </c>
      <c r="P11" s="15" t="s">
        <v>93</v>
      </c>
      <c r="Q11" s="15" t="s">
        <v>111</v>
      </c>
      <c r="R11" s="13" t="s">
        <v>112</v>
      </c>
      <c r="S11" s="13" t="s">
        <v>96</v>
      </c>
      <c r="T11" s="13" t="s">
        <v>97</v>
      </c>
      <c r="U11" s="14">
        <v>43831</v>
      </c>
      <c r="V11" s="14"/>
      <c r="W11" s="15"/>
      <c r="X11" s="15"/>
      <c r="Y11" s="13"/>
      <c r="Z11" s="15"/>
      <c r="AA11" s="15"/>
      <c r="AB11" s="15"/>
      <c r="AC11" s="13"/>
      <c r="AD11" s="15"/>
      <c r="AE11" s="15"/>
      <c r="AF11" s="15"/>
      <c r="AG11" s="13"/>
      <c r="AH11" s="15"/>
      <c r="AI11" s="15"/>
      <c r="AJ11" s="15"/>
      <c r="AK11" s="13"/>
      <c r="AL11" s="15"/>
      <c r="AM11" s="15"/>
      <c r="AN11" s="13"/>
      <c r="AO11" s="13"/>
    </row>
    <row r="12" spans="1:41" ht="58" x14ac:dyDescent="0.35">
      <c r="A12" s="13" t="s">
        <v>80</v>
      </c>
      <c r="B12" s="13" t="s">
        <v>81</v>
      </c>
      <c r="C12" s="14">
        <v>44854.486111111109</v>
      </c>
      <c r="D12" s="13" t="s">
        <v>82</v>
      </c>
      <c r="E12" s="15" t="s">
        <v>83</v>
      </c>
      <c r="F12" s="13" t="s">
        <v>84</v>
      </c>
      <c r="G12" s="15" t="s">
        <v>85</v>
      </c>
      <c r="H12" s="13" t="s">
        <v>86</v>
      </c>
      <c r="I12" s="15" t="s">
        <v>85</v>
      </c>
      <c r="J12" s="15" t="s">
        <v>87</v>
      </c>
      <c r="K12" s="15" t="s">
        <v>88</v>
      </c>
      <c r="L12" s="13" t="s">
        <v>98</v>
      </c>
      <c r="M12" s="15" t="s">
        <v>99</v>
      </c>
      <c r="N12" s="13" t="s">
        <v>91</v>
      </c>
      <c r="O12" s="15" t="s">
        <v>100</v>
      </c>
      <c r="P12" s="15" t="s">
        <v>101</v>
      </c>
      <c r="Q12" s="15" t="s">
        <v>111</v>
      </c>
      <c r="R12" s="13" t="s">
        <v>112</v>
      </c>
      <c r="S12" s="13" t="s">
        <v>96</v>
      </c>
      <c r="T12" s="13" t="s">
        <v>97</v>
      </c>
      <c r="U12" s="14">
        <v>43831</v>
      </c>
      <c r="V12" s="14"/>
      <c r="W12" s="15"/>
      <c r="X12" s="15"/>
      <c r="Y12" s="13"/>
      <c r="Z12" s="15"/>
      <c r="AA12" s="15"/>
      <c r="AB12" s="15"/>
      <c r="AC12" s="13"/>
      <c r="AD12" s="15"/>
      <c r="AE12" s="15"/>
      <c r="AF12" s="15"/>
      <c r="AG12" s="13"/>
      <c r="AH12" s="15"/>
      <c r="AI12" s="15"/>
      <c r="AJ12" s="15"/>
      <c r="AK12" s="13"/>
      <c r="AL12" s="15"/>
      <c r="AM12" s="15"/>
      <c r="AN12" s="13"/>
      <c r="AO12" s="13"/>
    </row>
    <row r="13" spans="1:41" ht="43.5" x14ac:dyDescent="0.35">
      <c r="A13" s="13" t="s">
        <v>80</v>
      </c>
      <c r="B13" s="13" t="s">
        <v>81</v>
      </c>
      <c r="C13" s="14">
        <v>44854.494444444441</v>
      </c>
      <c r="D13" s="13" t="s">
        <v>82</v>
      </c>
      <c r="E13" s="15" t="s">
        <v>83</v>
      </c>
      <c r="F13" s="13" t="s">
        <v>84</v>
      </c>
      <c r="G13" s="15" t="s">
        <v>85</v>
      </c>
      <c r="H13" s="13" t="s">
        <v>86</v>
      </c>
      <c r="I13" s="15" t="s">
        <v>85</v>
      </c>
      <c r="J13" s="15" t="s">
        <v>87</v>
      </c>
      <c r="K13" s="15" t="s">
        <v>88</v>
      </c>
      <c r="L13" s="13" t="s">
        <v>102</v>
      </c>
      <c r="M13" s="15" t="s">
        <v>103</v>
      </c>
      <c r="N13" s="13" t="s">
        <v>104</v>
      </c>
      <c r="O13" s="15" t="s">
        <v>105</v>
      </c>
      <c r="P13" s="15" t="s">
        <v>106</v>
      </c>
      <c r="Q13" s="15" t="s">
        <v>111</v>
      </c>
      <c r="R13" s="13" t="s">
        <v>112</v>
      </c>
      <c r="S13" s="13" t="s">
        <v>96</v>
      </c>
      <c r="T13" s="13" t="s">
        <v>97</v>
      </c>
      <c r="U13" s="14">
        <v>43831</v>
      </c>
      <c r="V13" s="14"/>
      <c r="W13" s="15"/>
      <c r="X13" s="15"/>
      <c r="Y13" s="13"/>
      <c r="Z13" s="15"/>
      <c r="AA13" s="15"/>
      <c r="AB13" s="15"/>
      <c r="AC13" s="13"/>
      <c r="AD13" s="15"/>
      <c r="AE13" s="15"/>
      <c r="AF13" s="15"/>
      <c r="AG13" s="13"/>
      <c r="AH13" s="15"/>
      <c r="AI13" s="15"/>
      <c r="AJ13" s="15"/>
      <c r="AK13" s="13"/>
      <c r="AL13" s="15"/>
      <c r="AM13" s="15"/>
      <c r="AN13" s="13"/>
      <c r="AO13" s="13"/>
    </row>
    <row r="14" spans="1:41" ht="58" x14ac:dyDescent="0.35">
      <c r="A14" s="13" t="s">
        <v>80</v>
      </c>
      <c r="B14" s="13" t="s">
        <v>81</v>
      </c>
      <c r="C14" s="14">
        <v>44854.473611111112</v>
      </c>
      <c r="D14" s="13" t="s">
        <v>82</v>
      </c>
      <c r="E14" s="15" t="s">
        <v>83</v>
      </c>
      <c r="F14" s="13" t="s">
        <v>84</v>
      </c>
      <c r="G14" s="15" t="s">
        <v>85</v>
      </c>
      <c r="H14" s="13" t="s">
        <v>86</v>
      </c>
      <c r="I14" s="15" t="s">
        <v>85</v>
      </c>
      <c r="J14" s="15" t="s">
        <v>87</v>
      </c>
      <c r="K14" s="15" t="s">
        <v>88</v>
      </c>
      <c r="L14" s="13" t="s">
        <v>89</v>
      </c>
      <c r="M14" s="15" t="s">
        <v>90</v>
      </c>
      <c r="N14" s="13" t="s">
        <v>91</v>
      </c>
      <c r="O14" s="15" t="s">
        <v>92</v>
      </c>
      <c r="P14" s="15" t="s">
        <v>93</v>
      </c>
      <c r="Q14" s="15" t="s">
        <v>113</v>
      </c>
      <c r="R14" s="13" t="s">
        <v>114</v>
      </c>
      <c r="S14" s="13" t="s">
        <v>96</v>
      </c>
      <c r="T14" s="13" t="s">
        <v>97</v>
      </c>
      <c r="U14" s="14">
        <v>43831</v>
      </c>
      <c r="V14" s="14"/>
      <c r="W14" s="15"/>
      <c r="X14" s="15"/>
      <c r="Y14" s="13"/>
      <c r="Z14" s="15"/>
      <c r="AA14" s="15"/>
      <c r="AB14" s="15"/>
      <c r="AC14" s="13"/>
      <c r="AD14" s="15"/>
      <c r="AE14" s="15"/>
      <c r="AF14" s="15"/>
      <c r="AG14" s="13"/>
      <c r="AH14" s="15"/>
      <c r="AI14" s="15"/>
      <c r="AJ14" s="15"/>
      <c r="AK14" s="13"/>
      <c r="AL14" s="15"/>
      <c r="AM14" s="15"/>
      <c r="AN14" s="13"/>
      <c r="AO14" s="13"/>
    </row>
    <row r="15" spans="1:41" ht="58" x14ac:dyDescent="0.35">
      <c r="A15" s="13" t="s">
        <v>80</v>
      </c>
      <c r="B15" s="13" t="s">
        <v>81</v>
      </c>
      <c r="C15" s="14">
        <v>44854.486805555556</v>
      </c>
      <c r="D15" s="13" t="s">
        <v>82</v>
      </c>
      <c r="E15" s="15" t="s">
        <v>83</v>
      </c>
      <c r="F15" s="13" t="s">
        <v>84</v>
      </c>
      <c r="G15" s="15" t="s">
        <v>85</v>
      </c>
      <c r="H15" s="13" t="s">
        <v>86</v>
      </c>
      <c r="I15" s="15" t="s">
        <v>85</v>
      </c>
      <c r="J15" s="15" t="s">
        <v>87</v>
      </c>
      <c r="K15" s="15" t="s">
        <v>88</v>
      </c>
      <c r="L15" s="13" t="s">
        <v>98</v>
      </c>
      <c r="M15" s="15" t="s">
        <v>99</v>
      </c>
      <c r="N15" s="13" t="s">
        <v>91</v>
      </c>
      <c r="O15" s="15" t="s">
        <v>100</v>
      </c>
      <c r="P15" s="15" t="s">
        <v>101</v>
      </c>
      <c r="Q15" s="15" t="s">
        <v>113</v>
      </c>
      <c r="R15" s="13" t="s">
        <v>114</v>
      </c>
      <c r="S15" s="13" t="s">
        <v>96</v>
      </c>
      <c r="T15" s="13" t="s">
        <v>97</v>
      </c>
      <c r="U15" s="14">
        <v>43831</v>
      </c>
      <c r="V15" s="14"/>
      <c r="W15" s="15"/>
      <c r="X15" s="15"/>
      <c r="Y15" s="13"/>
      <c r="Z15" s="15"/>
      <c r="AA15" s="15"/>
      <c r="AB15" s="15"/>
      <c r="AC15" s="13"/>
      <c r="AD15" s="15"/>
      <c r="AE15" s="15"/>
      <c r="AF15" s="15"/>
      <c r="AG15" s="13"/>
      <c r="AH15" s="15"/>
      <c r="AI15" s="15"/>
      <c r="AJ15" s="15"/>
      <c r="AK15" s="13"/>
      <c r="AL15" s="15"/>
      <c r="AM15" s="15"/>
      <c r="AN15" s="13"/>
      <c r="AO15" s="13"/>
    </row>
    <row r="16" spans="1:41" ht="43.5" x14ac:dyDescent="0.35">
      <c r="A16" s="13" t="s">
        <v>80</v>
      </c>
      <c r="B16" s="13" t="s">
        <v>81</v>
      </c>
      <c r="C16" s="14">
        <v>44854.494444444441</v>
      </c>
      <c r="D16" s="13" t="s">
        <v>82</v>
      </c>
      <c r="E16" s="15" t="s">
        <v>83</v>
      </c>
      <c r="F16" s="13" t="s">
        <v>84</v>
      </c>
      <c r="G16" s="15" t="s">
        <v>85</v>
      </c>
      <c r="H16" s="13" t="s">
        <v>86</v>
      </c>
      <c r="I16" s="15" t="s">
        <v>85</v>
      </c>
      <c r="J16" s="15" t="s">
        <v>87</v>
      </c>
      <c r="K16" s="15" t="s">
        <v>88</v>
      </c>
      <c r="L16" s="13" t="s">
        <v>102</v>
      </c>
      <c r="M16" s="15" t="s">
        <v>103</v>
      </c>
      <c r="N16" s="13" t="s">
        <v>104</v>
      </c>
      <c r="O16" s="15" t="s">
        <v>105</v>
      </c>
      <c r="P16" s="15" t="s">
        <v>106</v>
      </c>
      <c r="Q16" s="15" t="s">
        <v>113</v>
      </c>
      <c r="R16" s="13" t="s">
        <v>114</v>
      </c>
      <c r="S16" s="13" t="s">
        <v>96</v>
      </c>
      <c r="T16" s="13" t="s">
        <v>97</v>
      </c>
      <c r="U16" s="14">
        <v>43831</v>
      </c>
      <c r="V16" s="14"/>
      <c r="W16" s="15"/>
      <c r="X16" s="15"/>
      <c r="Y16" s="13"/>
      <c r="Z16" s="15"/>
      <c r="AA16" s="15"/>
      <c r="AB16" s="15"/>
      <c r="AC16" s="13"/>
      <c r="AD16" s="15"/>
      <c r="AE16" s="15"/>
      <c r="AF16" s="15"/>
      <c r="AG16" s="13"/>
      <c r="AH16" s="15"/>
      <c r="AI16" s="15"/>
      <c r="AJ16" s="15"/>
      <c r="AK16" s="13"/>
      <c r="AL16" s="15"/>
      <c r="AM16" s="15"/>
      <c r="AN16" s="13"/>
      <c r="AO16" s="13"/>
    </row>
    <row r="17" spans="1:41" ht="58" x14ac:dyDescent="0.35">
      <c r="A17" s="13" t="s">
        <v>80</v>
      </c>
      <c r="B17" s="13" t="s">
        <v>81</v>
      </c>
      <c r="C17" s="14">
        <v>44887.5</v>
      </c>
      <c r="D17" s="13" t="s">
        <v>82</v>
      </c>
      <c r="E17" s="15" t="s">
        <v>83</v>
      </c>
      <c r="F17" s="13" t="s">
        <v>84</v>
      </c>
      <c r="G17" s="15" t="s">
        <v>85</v>
      </c>
      <c r="H17" s="13" t="s">
        <v>86</v>
      </c>
      <c r="I17" s="15" t="s">
        <v>85</v>
      </c>
      <c r="J17" s="15" t="s">
        <v>87</v>
      </c>
      <c r="K17" s="15" t="s">
        <v>88</v>
      </c>
      <c r="L17" s="13" t="s">
        <v>89</v>
      </c>
      <c r="M17" s="15" t="s">
        <v>90</v>
      </c>
      <c r="N17" s="13" t="s">
        <v>91</v>
      </c>
      <c r="O17" s="15" t="s">
        <v>92</v>
      </c>
      <c r="P17" s="15" t="s">
        <v>93</v>
      </c>
      <c r="Q17" s="15" t="s">
        <v>115</v>
      </c>
      <c r="R17" s="13" t="s">
        <v>116</v>
      </c>
      <c r="S17" s="13" t="s">
        <v>117</v>
      </c>
      <c r="T17" s="13" t="s">
        <v>118</v>
      </c>
      <c r="U17" s="14">
        <v>43831</v>
      </c>
      <c r="V17" s="14"/>
      <c r="W17" s="15"/>
      <c r="X17" s="15"/>
      <c r="Y17" s="13"/>
      <c r="Z17" s="15"/>
      <c r="AA17" s="15"/>
      <c r="AB17" s="15"/>
      <c r="AC17" s="13"/>
      <c r="AD17" s="15"/>
      <c r="AE17" s="15"/>
      <c r="AF17" s="15"/>
      <c r="AG17" s="13"/>
      <c r="AH17" s="15"/>
      <c r="AI17" s="15"/>
      <c r="AJ17" s="15"/>
      <c r="AK17" s="13"/>
      <c r="AL17" s="15"/>
      <c r="AM17" s="15"/>
      <c r="AN17" s="13"/>
      <c r="AO17" s="13"/>
    </row>
    <row r="18" spans="1:41" ht="58" x14ac:dyDescent="0.35">
      <c r="A18" s="13" t="s">
        <v>80</v>
      </c>
      <c r="B18" s="13" t="s">
        <v>81</v>
      </c>
      <c r="C18" s="14">
        <v>44887.500694444447</v>
      </c>
      <c r="D18" s="13" t="s">
        <v>82</v>
      </c>
      <c r="E18" s="15" t="s">
        <v>83</v>
      </c>
      <c r="F18" s="13" t="s">
        <v>84</v>
      </c>
      <c r="G18" s="15" t="s">
        <v>85</v>
      </c>
      <c r="H18" s="13" t="s">
        <v>86</v>
      </c>
      <c r="I18" s="15" t="s">
        <v>85</v>
      </c>
      <c r="J18" s="15" t="s">
        <v>87</v>
      </c>
      <c r="K18" s="15" t="s">
        <v>88</v>
      </c>
      <c r="L18" s="13" t="s">
        <v>98</v>
      </c>
      <c r="M18" s="15" t="s">
        <v>99</v>
      </c>
      <c r="N18" s="13" t="s">
        <v>91</v>
      </c>
      <c r="O18" s="15" t="s">
        <v>100</v>
      </c>
      <c r="P18" s="15" t="s">
        <v>101</v>
      </c>
      <c r="Q18" s="15" t="s">
        <v>115</v>
      </c>
      <c r="R18" s="13" t="s">
        <v>116</v>
      </c>
      <c r="S18" s="13" t="s">
        <v>117</v>
      </c>
      <c r="T18" s="13" t="s">
        <v>118</v>
      </c>
      <c r="U18" s="14">
        <v>43831</v>
      </c>
      <c r="V18" s="14"/>
      <c r="W18" s="15"/>
      <c r="X18" s="15"/>
      <c r="Y18" s="13"/>
      <c r="Z18" s="15"/>
      <c r="AA18" s="15"/>
      <c r="AB18" s="15"/>
      <c r="AC18" s="13"/>
      <c r="AD18" s="15"/>
      <c r="AE18" s="15"/>
      <c r="AF18" s="15"/>
      <c r="AG18" s="13"/>
      <c r="AH18" s="15"/>
      <c r="AI18" s="15"/>
      <c r="AJ18" s="15"/>
      <c r="AK18" s="13"/>
      <c r="AL18" s="15"/>
      <c r="AM18" s="15"/>
      <c r="AN18" s="13"/>
      <c r="AO18" s="13"/>
    </row>
    <row r="19" spans="1:41" ht="43.5" x14ac:dyDescent="0.35">
      <c r="A19" s="13" t="s">
        <v>80</v>
      </c>
      <c r="B19" s="13" t="s">
        <v>81</v>
      </c>
      <c r="C19" s="14">
        <v>44854.497916666667</v>
      </c>
      <c r="D19" s="13" t="s">
        <v>82</v>
      </c>
      <c r="E19" s="15" t="s">
        <v>83</v>
      </c>
      <c r="F19" s="13" t="s">
        <v>84</v>
      </c>
      <c r="G19" s="15" t="s">
        <v>85</v>
      </c>
      <c r="H19" s="13" t="s">
        <v>86</v>
      </c>
      <c r="I19" s="15" t="s">
        <v>85</v>
      </c>
      <c r="J19" s="15" t="s">
        <v>87</v>
      </c>
      <c r="K19" s="15" t="s">
        <v>88</v>
      </c>
      <c r="L19" s="13" t="s">
        <v>102</v>
      </c>
      <c r="M19" s="15" t="s">
        <v>103</v>
      </c>
      <c r="N19" s="13" t="s">
        <v>104</v>
      </c>
      <c r="O19" s="15" t="s">
        <v>105</v>
      </c>
      <c r="P19" s="15" t="s">
        <v>106</v>
      </c>
      <c r="Q19" s="15" t="s">
        <v>115</v>
      </c>
      <c r="R19" s="13" t="s">
        <v>116</v>
      </c>
      <c r="S19" s="13" t="s">
        <v>117</v>
      </c>
      <c r="T19" s="13" t="s">
        <v>118</v>
      </c>
      <c r="U19" s="14">
        <v>43831</v>
      </c>
      <c r="V19" s="14"/>
      <c r="W19" s="15"/>
      <c r="X19" s="15"/>
      <c r="Y19" s="13"/>
      <c r="Z19" s="15"/>
      <c r="AA19" s="15"/>
      <c r="AB19" s="15"/>
      <c r="AC19" s="13"/>
      <c r="AD19" s="15"/>
      <c r="AE19" s="15"/>
      <c r="AF19" s="15"/>
      <c r="AG19" s="13"/>
      <c r="AH19" s="15"/>
      <c r="AI19" s="15"/>
      <c r="AJ19" s="15"/>
      <c r="AK19" s="13"/>
      <c r="AL19" s="15"/>
      <c r="AM19" s="15"/>
      <c r="AN19" s="13"/>
      <c r="AO19" s="13"/>
    </row>
    <row r="20" spans="1:41" ht="58" x14ac:dyDescent="0.35">
      <c r="A20" s="13" t="s">
        <v>80</v>
      </c>
      <c r="B20" s="13" t="s">
        <v>81</v>
      </c>
      <c r="C20" s="14">
        <v>44854.480555555558</v>
      </c>
      <c r="D20" s="13" t="s">
        <v>82</v>
      </c>
      <c r="E20" s="15" t="s">
        <v>83</v>
      </c>
      <c r="F20" s="13" t="s">
        <v>84</v>
      </c>
      <c r="G20" s="15" t="s">
        <v>85</v>
      </c>
      <c r="H20" s="13" t="s">
        <v>86</v>
      </c>
      <c r="I20" s="15" t="s">
        <v>85</v>
      </c>
      <c r="J20" s="15" t="s">
        <v>87</v>
      </c>
      <c r="K20" s="15" t="s">
        <v>88</v>
      </c>
      <c r="L20" s="13" t="s">
        <v>89</v>
      </c>
      <c r="M20" s="15" t="s">
        <v>90</v>
      </c>
      <c r="N20" s="13" t="s">
        <v>91</v>
      </c>
      <c r="O20" s="15" t="s">
        <v>92</v>
      </c>
      <c r="P20" s="15" t="s">
        <v>93</v>
      </c>
      <c r="Q20" s="15" t="s">
        <v>188</v>
      </c>
      <c r="R20" s="13" t="s">
        <v>189</v>
      </c>
      <c r="S20" s="13" t="s">
        <v>117</v>
      </c>
      <c r="T20" s="13" t="s">
        <v>118</v>
      </c>
      <c r="U20" s="14">
        <v>43831</v>
      </c>
      <c r="V20" s="14"/>
      <c r="W20" s="15"/>
      <c r="X20" s="15"/>
      <c r="Y20" s="13"/>
      <c r="Z20" s="15"/>
      <c r="AA20" s="15"/>
      <c r="AB20" s="15"/>
      <c r="AC20" s="13"/>
      <c r="AD20" s="15"/>
      <c r="AE20" s="15"/>
      <c r="AF20" s="15"/>
      <c r="AG20" s="13"/>
      <c r="AH20" s="15"/>
      <c r="AI20" s="15"/>
      <c r="AJ20" s="15"/>
      <c r="AK20" s="13"/>
      <c r="AL20" s="15"/>
      <c r="AM20" s="15"/>
      <c r="AN20" s="13"/>
      <c r="AO20" s="13"/>
    </row>
    <row r="21" spans="1:41" ht="58" x14ac:dyDescent="0.35">
      <c r="A21" s="13" t="s">
        <v>80</v>
      </c>
      <c r="B21" s="13" t="s">
        <v>81</v>
      </c>
      <c r="C21" s="14">
        <v>44854.490277777775</v>
      </c>
      <c r="D21" s="13" t="s">
        <v>82</v>
      </c>
      <c r="E21" s="15" t="s">
        <v>83</v>
      </c>
      <c r="F21" s="13" t="s">
        <v>84</v>
      </c>
      <c r="G21" s="15" t="s">
        <v>85</v>
      </c>
      <c r="H21" s="13" t="s">
        <v>86</v>
      </c>
      <c r="I21" s="15" t="s">
        <v>85</v>
      </c>
      <c r="J21" s="15" t="s">
        <v>87</v>
      </c>
      <c r="K21" s="15" t="s">
        <v>88</v>
      </c>
      <c r="L21" s="13" t="s">
        <v>98</v>
      </c>
      <c r="M21" s="15" t="s">
        <v>99</v>
      </c>
      <c r="N21" s="13" t="s">
        <v>91</v>
      </c>
      <c r="O21" s="15" t="s">
        <v>100</v>
      </c>
      <c r="P21" s="15" t="s">
        <v>101</v>
      </c>
      <c r="Q21" s="15" t="s">
        <v>188</v>
      </c>
      <c r="R21" s="13" t="s">
        <v>189</v>
      </c>
      <c r="S21" s="13" t="s">
        <v>117</v>
      </c>
      <c r="T21" s="13" t="s">
        <v>118</v>
      </c>
      <c r="U21" s="14">
        <v>43831</v>
      </c>
      <c r="V21" s="14"/>
      <c r="W21" s="15"/>
      <c r="X21" s="15"/>
      <c r="Y21" s="13"/>
      <c r="Z21" s="15"/>
      <c r="AA21" s="15"/>
      <c r="AB21" s="15"/>
      <c r="AC21" s="13"/>
      <c r="AD21" s="15"/>
      <c r="AE21" s="15"/>
      <c r="AF21" s="15"/>
      <c r="AG21" s="13"/>
      <c r="AH21" s="15"/>
      <c r="AI21" s="15"/>
      <c r="AJ21" s="15"/>
      <c r="AK21" s="13"/>
      <c r="AL21" s="15"/>
      <c r="AM21" s="15"/>
      <c r="AN21" s="13"/>
      <c r="AO21" s="13"/>
    </row>
    <row r="22" spans="1:41" ht="43.5" x14ac:dyDescent="0.35">
      <c r="A22" s="13" t="s">
        <v>80</v>
      </c>
      <c r="B22" s="13" t="s">
        <v>81</v>
      </c>
      <c r="C22" s="14">
        <v>44854.496527777781</v>
      </c>
      <c r="D22" s="13" t="s">
        <v>82</v>
      </c>
      <c r="E22" s="15" t="s">
        <v>83</v>
      </c>
      <c r="F22" s="13" t="s">
        <v>84</v>
      </c>
      <c r="G22" s="15" t="s">
        <v>85</v>
      </c>
      <c r="H22" s="13" t="s">
        <v>86</v>
      </c>
      <c r="I22" s="15" t="s">
        <v>85</v>
      </c>
      <c r="J22" s="15" t="s">
        <v>87</v>
      </c>
      <c r="K22" s="15" t="s">
        <v>88</v>
      </c>
      <c r="L22" s="13" t="s">
        <v>102</v>
      </c>
      <c r="M22" s="15" t="s">
        <v>103</v>
      </c>
      <c r="N22" s="13" t="s">
        <v>104</v>
      </c>
      <c r="O22" s="15" t="s">
        <v>105</v>
      </c>
      <c r="P22" s="15" t="s">
        <v>106</v>
      </c>
      <c r="Q22" s="15" t="s">
        <v>188</v>
      </c>
      <c r="R22" s="13" t="s">
        <v>189</v>
      </c>
      <c r="S22" s="13" t="s">
        <v>117</v>
      </c>
      <c r="T22" s="13" t="s">
        <v>118</v>
      </c>
      <c r="U22" s="14">
        <v>43831</v>
      </c>
      <c r="V22" s="14"/>
      <c r="W22" s="15"/>
      <c r="X22" s="15"/>
      <c r="Y22" s="13"/>
      <c r="Z22" s="15"/>
      <c r="AA22" s="15"/>
      <c r="AB22" s="15"/>
      <c r="AC22" s="13"/>
      <c r="AD22" s="15"/>
      <c r="AE22" s="15"/>
      <c r="AF22" s="15"/>
      <c r="AG22" s="13"/>
      <c r="AH22" s="15"/>
      <c r="AI22" s="15"/>
      <c r="AJ22" s="15"/>
      <c r="AK22" s="13"/>
      <c r="AL22" s="15"/>
      <c r="AM22" s="15"/>
      <c r="AN22" s="13"/>
      <c r="AO22" s="13"/>
    </row>
  </sheetData>
  <autoFilter ref="A1:AS1" xr:uid="{F980B2DA-8EB1-4DFA-80EC-DD83DE6D4547}"/>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94DFB-2CC1-4EC0-8AA4-64F5713BBF5F}">
  <dimension ref="A1:U40"/>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4" width="12.6328125" style="12" customWidth="1"/>
    <col min="5" max="5" width="14.6328125" style="12" customWidth="1"/>
    <col min="6" max="6" width="40.6328125" style="17" customWidth="1"/>
    <col min="7" max="7" width="25.6328125" style="12" customWidth="1"/>
    <col min="8" max="9" width="12.6328125" style="12" customWidth="1"/>
    <col min="10" max="11" width="40.6328125" style="17" customWidth="1"/>
    <col min="12" max="12" width="14.6328125" style="12" customWidth="1"/>
    <col min="13" max="13" width="25.6328125" style="17" customWidth="1"/>
    <col min="14" max="17" width="25.6328125" style="12" customWidth="1"/>
    <col min="18" max="18" width="9.6328125" style="12" customWidth="1"/>
    <col min="19" max="20" width="15.6328125" style="12" customWidth="1"/>
    <col min="21" max="21" width="40.6328125" style="17" customWidth="1"/>
    <col min="22" max="16384" width="10.90625" style="12"/>
  </cols>
  <sheetData>
    <row r="1" spans="1:21" ht="43.5" x14ac:dyDescent="0.35">
      <c r="A1" s="10" t="s">
        <v>2</v>
      </c>
      <c r="B1" s="10" t="s">
        <v>3</v>
      </c>
      <c r="C1" s="11" t="s">
        <v>4</v>
      </c>
      <c r="D1" s="10" t="s">
        <v>233</v>
      </c>
      <c r="E1" s="10" t="s">
        <v>234</v>
      </c>
      <c r="F1" s="10" t="s">
        <v>235</v>
      </c>
      <c r="G1" s="10" t="s">
        <v>236</v>
      </c>
      <c r="H1" s="11" t="s">
        <v>21</v>
      </c>
      <c r="I1" s="11" t="s">
        <v>22</v>
      </c>
      <c r="J1" s="10" t="s">
        <v>237</v>
      </c>
      <c r="K1" s="10" t="s">
        <v>238</v>
      </c>
      <c r="L1" s="10" t="s">
        <v>239</v>
      </c>
      <c r="M1" s="10" t="s">
        <v>232</v>
      </c>
      <c r="N1" s="10" t="s">
        <v>240</v>
      </c>
      <c r="O1" s="10" t="s">
        <v>241</v>
      </c>
      <c r="P1" s="10" t="s">
        <v>242</v>
      </c>
      <c r="Q1" s="10" t="s">
        <v>243</v>
      </c>
      <c r="R1" s="10" t="s">
        <v>78</v>
      </c>
      <c r="S1" s="10" t="s">
        <v>79</v>
      </c>
      <c r="T1" s="10" t="s">
        <v>244</v>
      </c>
      <c r="U1" s="10" t="s">
        <v>245</v>
      </c>
    </row>
    <row r="2" spans="1:21" ht="87" x14ac:dyDescent="0.35">
      <c r="A2" s="13" t="s">
        <v>80</v>
      </c>
      <c r="B2" s="13" t="s">
        <v>81</v>
      </c>
      <c r="C2" s="14">
        <v>44886.600694444445</v>
      </c>
      <c r="D2" s="13" t="s">
        <v>150</v>
      </c>
      <c r="E2" s="13" t="s">
        <v>237</v>
      </c>
      <c r="F2" s="15" t="s">
        <v>151</v>
      </c>
      <c r="G2" s="13" t="s">
        <v>246</v>
      </c>
      <c r="H2" s="14">
        <v>43831</v>
      </c>
      <c r="I2" s="14"/>
      <c r="J2" s="15"/>
      <c r="K2" s="15" t="s">
        <v>247</v>
      </c>
      <c r="L2" s="13" t="s">
        <v>248</v>
      </c>
      <c r="M2" s="15"/>
      <c r="N2" s="13" t="s">
        <v>249</v>
      </c>
      <c r="O2" s="13"/>
      <c r="P2" s="13"/>
      <c r="Q2" s="13"/>
      <c r="R2" s="13"/>
      <c r="S2" s="13"/>
      <c r="T2" s="13" t="s">
        <v>250</v>
      </c>
      <c r="U2" s="15" t="s">
        <v>151</v>
      </c>
    </row>
    <row r="3" spans="1:21" ht="101.5" x14ac:dyDescent="0.35">
      <c r="A3" s="13" t="s">
        <v>80</v>
      </c>
      <c r="B3" s="13" t="s">
        <v>81</v>
      </c>
      <c r="C3" s="14">
        <v>44873.460416666669</v>
      </c>
      <c r="D3" s="13" t="s">
        <v>148</v>
      </c>
      <c r="E3" s="13" t="s">
        <v>237</v>
      </c>
      <c r="F3" s="15" t="s">
        <v>149</v>
      </c>
      <c r="G3" s="13" t="s">
        <v>251</v>
      </c>
      <c r="H3" s="14">
        <v>43831</v>
      </c>
      <c r="I3" s="14"/>
      <c r="J3" s="15"/>
      <c r="K3" s="15" t="s">
        <v>252</v>
      </c>
      <c r="L3" s="13" t="s">
        <v>253</v>
      </c>
      <c r="M3" s="15" t="s">
        <v>254</v>
      </c>
      <c r="N3" s="13" t="s">
        <v>255</v>
      </c>
      <c r="O3" s="13"/>
      <c r="P3" s="13"/>
      <c r="Q3" s="13"/>
      <c r="R3" s="13"/>
      <c r="S3" s="13"/>
      <c r="T3" s="13" t="s">
        <v>250</v>
      </c>
      <c r="U3" s="15" t="s">
        <v>149</v>
      </c>
    </row>
    <row r="4" spans="1:21" ht="43.5" x14ac:dyDescent="0.35">
      <c r="A4" s="13" t="s">
        <v>80</v>
      </c>
      <c r="B4" s="13" t="s">
        <v>81</v>
      </c>
      <c r="C4" s="14">
        <v>44873.461111111108</v>
      </c>
      <c r="D4" s="13" t="s">
        <v>144</v>
      </c>
      <c r="E4" s="13" t="s">
        <v>237</v>
      </c>
      <c r="F4" s="15" t="s">
        <v>145</v>
      </c>
      <c r="G4" s="13" t="s">
        <v>251</v>
      </c>
      <c r="H4" s="14">
        <v>43831</v>
      </c>
      <c r="I4" s="14"/>
      <c r="J4" s="15"/>
      <c r="K4" s="15" t="s">
        <v>256</v>
      </c>
      <c r="L4" s="13" t="s">
        <v>248</v>
      </c>
      <c r="M4" s="15"/>
      <c r="N4" s="13" t="s">
        <v>257</v>
      </c>
      <c r="O4" s="13"/>
      <c r="P4" s="13"/>
      <c r="Q4" s="13"/>
      <c r="R4" s="13"/>
      <c r="S4" s="13"/>
      <c r="T4" s="13"/>
      <c r="U4" s="15"/>
    </row>
    <row r="5" spans="1:21" ht="43.5" x14ac:dyDescent="0.35">
      <c r="A5" s="13" t="s">
        <v>80</v>
      </c>
      <c r="B5" s="13" t="s">
        <v>81</v>
      </c>
      <c r="C5" s="14">
        <v>44854.411111111112</v>
      </c>
      <c r="D5" s="13" t="s">
        <v>146</v>
      </c>
      <c r="E5" s="13" t="s">
        <v>237</v>
      </c>
      <c r="F5" s="15" t="s">
        <v>147</v>
      </c>
      <c r="G5" s="13" t="s">
        <v>251</v>
      </c>
      <c r="H5" s="14">
        <v>43831</v>
      </c>
      <c r="I5" s="14"/>
      <c r="J5" s="15"/>
      <c r="K5" s="15" t="s">
        <v>258</v>
      </c>
      <c r="L5" s="13" t="s">
        <v>248</v>
      </c>
      <c r="M5" s="15"/>
      <c r="N5" s="13" t="s">
        <v>257</v>
      </c>
      <c r="O5" s="13"/>
      <c r="P5" s="13"/>
      <c r="Q5" s="13"/>
      <c r="R5" s="13"/>
      <c r="S5" s="13"/>
      <c r="T5" s="13" t="s">
        <v>250</v>
      </c>
      <c r="U5" s="15" t="s">
        <v>259</v>
      </c>
    </row>
    <row r="6" spans="1:21" ht="29" x14ac:dyDescent="0.35">
      <c r="A6" s="13" t="s">
        <v>80</v>
      </c>
      <c r="B6" s="13" t="s">
        <v>81</v>
      </c>
      <c r="C6" s="14">
        <v>44854.413888888892</v>
      </c>
      <c r="D6" s="13" t="s">
        <v>179</v>
      </c>
      <c r="E6" s="13" t="s">
        <v>237</v>
      </c>
      <c r="F6" s="15" t="s">
        <v>180</v>
      </c>
      <c r="G6" s="13" t="s">
        <v>251</v>
      </c>
      <c r="H6" s="14">
        <v>43831</v>
      </c>
      <c r="I6" s="14"/>
      <c r="J6" s="15"/>
      <c r="K6" s="15" t="s">
        <v>260</v>
      </c>
      <c r="L6" s="13" t="s">
        <v>248</v>
      </c>
      <c r="M6" s="15"/>
      <c r="N6" s="13" t="s">
        <v>261</v>
      </c>
      <c r="O6" s="13"/>
      <c r="P6" s="13"/>
      <c r="Q6" s="13"/>
      <c r="R6" s="13"/>
      <c r="S6" s="13"/>
      <c r="T6" s="13" t="s">
        <v>250</v>
      </c>
      <c r="U6" s="15" t="s">
        <v>180</v>
      </c>
    </row>
    <row r="7" spans="1:21" ht="87" x14ac:dyDescent="0.35">
      <c r="A7" s="13" t="s">
        <v>80</v>
      </c>
      <c r="B7" s="13" t="s">
        <v>81</v>
      </c>
      <c r="C7" s="14">
        <v>44873.461111111108</v>
      </c>
      <c r="D7" s="13" t="s">
        <v>152</v>
      </c>
      <c r="E7" s="13" t="s">
        <v>237</v>
      </c>
      <c r="F7" s="15" t="s">
        <v>153</v>
      </c>
      <c r="G7" s="13" t="s">
        <v>262</v>
      </c>
      <c r="H7" s="14">
        <v>43831</v>
      </c>
      <c r="I7" s="14"/>
      <c r="J7" s="15" t="s">
        <v>263</v>
      </c>
      <c r="K7" s="15" t="s">
        <v>264</v>
      </c>
      <c r="L7" s="13" t="s">
        <v>248</v>
      </c>
      <c r="M7" s="15"/>
      <c r="N7" s="13" t="s">
        <v>265</v>
      </c>
      <c r="O7" s="13"/>
      <c r="P7" s="13"/>
      <c r="Q7" s="13"/>
      <c r="R7" s="13"/>
      <c r="S7" s="13"/>
      <c r="T7" s="13" t="s">
        <v>250</v>
      </c>
      <c r="U7" s="15" t="s">
        <v>266</v>
      </c>
    </row>
    <row r="8" spans="1:21" ht="87" x14ac:dyDescent="0.35">
      <c r="A8" s="13" t="s">
        <v>80</v>
      </c>
      <c r="B8" s="13" t="s">
        <v>81</v>
      </c>
      <c r="C8" s="14">
        <v>44873.461111111108</v>
      </c>
      <c r="D8" s="13" t="s">
        <v>154</v>
      </c>
      <c r="E8" s="13" t="s">
        <v>237</v>
      </c>
      <c r="F8" s="15" t="s">
        <v>155</v>
      </c>
      <c r="G8" s="13" t="s">
        <v>262</v>
      </c>
      <c r="H8" s="14">
        <v>43831</v>
      </c>
      <c r="I8" s="14"/>
      <c r="J8" s="15" t="s">
        <v>267</v>
      </c>
      <c r="K8" s="15" t="s">
        <v>268</v>
      </c>
      <c r="L8" s="13" t="s">
        <v>248</v>
      </c>
      <c r="M8" s="15"/>
      <c r="N8" s="13" t="s">
        <v>265</v>
      </c>
      <c r="O8" s="13"/>
      <c r="P8" s="13"/>
      <c r="Q8" s="13"/>
      <c r="R8" s="13"/>
      <c r="S8" s="13"/>
      <c r="T8" s="13"/>
      <c r="U8" s="15"/>
    </row>
    <row r="9" spans="1:21" ht="43.5" x14ac:dyDescent="0.35">
      <c r="A9" s="13" t="s">
        <v>269</v>
      </c>
      <c r="B9" s="13" t="s">
        <v>81</v>
      </c>
      <c r="C9" s="14">
        <v>43152.5</v>
      </c>
      <c r="D9" s="13" t="s">
        <v>191</v>
      </c>
      <c r="E9" s="13" t="s">
        <v>270</v>
      </c>
      <c r="F9" s="15" t="s">
        <v>192</v>
      </c>
      <c r="G9" s="13"/>
      <c r="H9" s="14">
        <v>40725</v>
      </c>
      <c r="I9" s="14"/>
      <c r="J9" s="15"/>
      <c r="K9" s="15" t="s">
        <v>271</v>
      </c>
      <c r="L9" s="13" t="s">
        <v>248</v>
      </c>
      <c r="M9" s="15"/>
      <c r="N9" s="13"/>
      <c r="O9" s="13"/>
      <c r="P9" s="13"/>
      <c r="Q9" s="13"/>
      <c r="R9" s="13"/>
      <c r="S9" s="13"/>
      <c r="T9" s="13"/>
      <c r="U9" s="15"/>
    </row>
    <row r="10" spans="1:21" ht="43.5" x14ac:dyDescent="0.35">
      <c r="A10" s="13" t="s">
        <v>269</v>
      </c>
      <c r="B10" s="13" t="s">
        <v>81</v>
      </c>
      <c r="C10" s="14">
        <v>43152.5</v>
      </c>
      <c r="D10" s="13" t="s">
        <v>156</v>
      </c>
      <c r="E10" s="13" t="s">
        <v>270</v>
      </c>
      <c r="F10" s="15" t="s">
        <v>157</v>
      </c>
      <c r="G10" s="13"/>
      <c r="H10" s="14">
        <v>40725</v>
      </c>
      <c r="I10" s="14"/>
      <c r="J10" s="15"/>
      <c r="K10" s="15" t="s">
        <v>272</v>
      </c>
      <c r="L10" s="13" t="s">
        <v>248</v>
      </c>
      <c r="M10" s="15"/>
      <c r="N10" s="13"/>
      <c r="O10" s="13"/>
      <c r="P10" s="13"/>
      <c r="Q10" s="13"/>
      <c r="R10" s="13"/>
      <c r="S10" s="13"/>
      <c r="T10" s="13"/>
      <c r="U10" s="15"/>
    </row>
    <row r="11" spans="1:21" ht="43.5" x14ac:dyDescent="0.35">
      <c r="A11" s="13" t="s">
        <v>269</v>
      </c>
      <c r="B11" s="13" t="s">
        <v>81</v>
      </c>
      <c r="C11" s="14">
        <v>43152.5</v>
      </c>
      <c r="D11" s="13" t="s">
        <v>158</v>
      </c>
      <c r="E11" s="13" t="s">
        <v>270</v>
      </c>
      <c r="F11" s="15" t="s">
        <v>159</v>
      </c>
      <c r="G11" s="13"/>
      <c r="H11" s="14">
        <v>40725</v>
      </c>
      <c r="I11" s="14"/>
      <c r="J11" s="15" t="s">
        <v>273</v>
      </c>
      <c r="K11" s="15" t="s">
        <v>274</v>
      </c>
      <c r="L11" s="13" t="s">
        <v>248</v>
      </c>
      <c r="M11" s="15"/>
      <c r="N11" s="13"/>
      <c r="O11" s="13"/>
      <c r="P11" s="13"/>
      <c r="Q11" s="13"/>
      <c r="R11" s="13"/>
      <c r="S11" s="13"/>
      <c r="T11" s="13"/>
      <c r="U11" s="15"/>
    </row>
    <row r="12" spans="1:21" ht="43.5" x14ac:dyDescent="0.35">
      <c r="A12" s="13" t="s">
        <v>269</v>
      </c>
      <c r="B12" s="13" t="s">
        <v>81</v>
      </c>
      <c r="C12" s="14">
        <v>43152.5</v>
      </c>
      <c r="D12" s="13" t="s">
        <v>160</v>
      </c>
      <c r="E12" s="13" t="s">
        <v>270</v>
      </c>
      <c r="F12" s="15" t="s">
        <v>161</v>
      </c>
      <c r="G12" s="13"/>
      <c r="H12" s="14">
        <v>40725</v>
      </c>
      <c r="I12" s="14"/>
      <c r="J12" s="15" t="s">
        <v>275</v>
      </c>
      <c r="K12" s="15" t="s">
        <v>276</v>
      </c>
      <c r="L12" s="13" t="s">
        <v>248</v>
      </c>
      <c r="M12" s="15"/>
      <c r="N12" s="13"/>
      <c r="O12" s="13"/>
      <c r="P12" s="13"/>
      <c r="Q12" s="13"/>
      <c r="R12" s="13"/>
      <c r="S12" s="13"/>
      <c r="T12" s="13"/>
      <c r="U12" s="15"/>
    </row>
    <row r="13" spans="1:21" ht="43.5" x14ac:dyDescent="0.35">
      <c r="A13" s="13" t="s">
        <v>269</v>
      </c>
      <c r="B13" s="13" t="s">
        <v>81</v>
      </c>
      <c r="C13" s="14">
        <v>43152.5</v>
      </c>
      <c r="D13" s="13" t="s">
        <v>162</v>
      </c>
      <c r="E13" s="13" t="s">
        <v>270</v>
      </c>
      <c r="F13" s="15" t="s">
        <v>163</v>
      </c>
      <c r="G13" s="13"/>
      <c r="H13" s="14">
        <v>40725</v>
      </c>
      <c r="I13" s="14"/>
      <c r="J13" s="15" t="s">
        <v>273</v>
      </c>
      <c r="K13" s="15" t="s">
        <v>277</v>
      </c>
      <c r="L13" s="13" t="s">
        <v>253</v>
      </c>
      <c r="M13" s="15"/>
      <c r="N13" s="13"/>
      <c r="O13" s="13"/>
      <c r="P13" s="13"/>
      <c r="Q13" s="13"/>
      <c r="R13" s="13"/>
      <c r="S13" s="13"/>
      <c r="T13" s="13"/>
      <c r="U13" s="15"/>
    </row>
    <row r="14" spans="1:21" ht="43.5" x14ac:dyDescent="0.35">
      <c r="A14" s="13" t="s">
        <v>269</v>
      </c>
      <c r="B14" s="13" t="s">
        <v>81</v>
      </c>
      <c r="C14" s="14">
        <v>43152.5</v>
      </c>
      <c r="D14" s="13" t="s">
        <v>164</v>
      </c>
      <c r="E14" s="13" t="s">
        <v>270</v>
      </c>
      <c r="F14" s="15" t="s">
        <v>165</v>
      </c>
      <c r="G14" s="13"/>
      <c r="H14" s="14">
        <v>40725</v>
      </c>
      <c r="I14" s="14"/>
      <c r="J14" s="15" t="s">
        <v>275</v>
      </c>
      <c r="K14" s="15" t="s">
        <v>278</v>
      </c>
      <c r="L14" s="13" t="s">
        <v>253</v>
      </c>
      <c r="M14" s="15"/>
      <c r="N14" s="13"/>
      <c r="O14" s="13"/>
      <c r="P14" s="13"/>
      <c r="Q14" s="13"/>
      <c r="R14" s="13"/>
      <c r="S14" s="13"/>
      <c r="T14" s="13"/>
      <c r="U14" s="15"/>
    </row>
    <row r="15" spans="1:21" ht="43.5" x14ac:dyDescent="0.35">
      <c r="A15" s="13" t="s">
        <v>269</v>
      </c>
      <c r="B15" s="13" t="s">
        <v>81</v>
      </c>
      <c r="C15" s="14">
        <v>43152.5</v>
      </c>
      <c r="D15" s="13" t="s">
        <v>166</v>
      </c>
      <c r="E15" s="13" t="s">
        <v>270</v>
      </c>
      <c r="F15" s="15" t="s">
        <v>167</v>
      </c>
      <c r="G15" s="13"/>
      <c r="H15" s="14">
        <v>40725</v>
      </c>
      <c r="I15" s="14"/>
      <c r="J15" s="15"/>
      <c r="K15" s="15" t="s">
        <v>279</v>
      </c>
      <c r="L15" s="13" t="s">
        <v>248</v>
      </c>
      <c r="M15" s="15"/>
      <c r="N15" s="13"/>
      <c r="O15" s="13"/>
      <c r="P15" s="13"/>
      <c r="Q15" s="13"/>
      <c r="R15" s="13"/>
      <c r="S15" s="13"/>
      <c r="T15" s="13"/>
      <c r="U15" s="15"/>
    </row>
    <row r="16" spans="1:21" ht="72.5" x14ac:dyDescent="0.35">
      <c r="A16" s="13" t="s">
        <v>269</v>
      </c>
      <c r="B16" s="13" t="s">
        <v>81</v>
      </c>
      <c r="C16" s="14">
        <v>44932.46875</v>
      </c>
      <c r="D16" s="13" t="s">
        <v>168</v>
      </c>
      <c r="E16" s="13" t="s">
        <v>270</v>
      </c>
      <c r="F16" s="15" t="s">
        <v>169</v>
      </c>
      <c r="G16" s="13"/>
      <c r="H16" s="14">
        <v>40725</v>
      </c>
      <c r="I16" s="14"/>
      <c r="J16" s="15" t="s">
        <v>280</v>
      </c>
      <c r="K16" s="15" t="s">
        <v>281</v>
      </c>
      <c r="L16" s="13" t="s">
        <v>248</v>
      </c>
      <c r="M16" s="15" t="s">
        <v>282</v>
      </c>
      <c r="N16" s="13"/>
      <c r="O16" s="13"/>
      <c r="P16" s="13"/>
      <c r="Q16" s="13"/>
      <c r="R16" s="13"/>
      <c r="S16" s="13"/>
      <c r="T16" s="13"/>
      <c r="U16" s="15"/>
    </row>
    <row r="17" spans="1:21" ht="72.5" x14ac:dyDescent="0.35">
      <c r="A17" s="13" t="s">
        <v>269</v>
      </c>
      <c r="B17" s="13" t="s">
        <v>81</v>
      </c>
      <c r="C17" s="14">
        <v>44932.470833333333</v>
      </c>
      <c r="D17" s="13" t="s">
        <v>170</v>
      </c>
      <c r="E17" s="13" t="s">
        <v>270</v>
      </c>
      <c r="F17" s="15" t="s">
        <v>171</v>
      </c>
      <c r="G17" s="13"/>
      <c r="H17" s="14">
        <v>40725</v>
      </c>
      <c r="I17" s="14"/>
      <c r="J17" s="15" t="s">
        <v>283</v>
      </c>
      <c r="K17" s="15" t="s">
        <v>284</v>
      </c>
      <c r="L17" s="13" t="s">
        <v>248</v>
      </c>
      <c r="M17" s="15" t="s">
        <v>282</v>
      </c>
      <c r="N17" s="13"/>
      <c r="O17" s="13"/>
      <c r="P17" s="13"/>
      <c r="Q17" s="13"/>
      <c r="R17" s="13"/>
      <c r="S17" s="13"/>
      <c r="T17" s="13"/>
      <c r="U17" s="15"/>
    </row>
    <row r="18" spans="1:21" ht="72.5" x14ac:dyDescent="0.35">
      <c r="A18" s="13" t="s">
        <v>285</v>
      </c>
      <c r="B18" s="13" t="s">
        <v>286</v>
      </c>
      <c r="C18" s="14">
        <v>43669.656944444447</v>
      </c>
      <c r="D18" s="13" t="s">
        <v>172</v>
      </c>
      <c r="E18" s="13" t="s">
        <v>270</v>
      </c>
      <c r="F18" s="15" t="s">
        <v>173</v>
      </c>
      <c r="G18" s="13"/>
      <c r="H18" s="14">
        <v>40725</v>
      </c>
      <c r="I18" s="14"/>
      <c r="J18" s="15"/>
      <c r="K18" s="15" t="s">
        <v>287</v>
      </c>
      <c r="L18" s="13" t="s">
        <v>248</v>
      </c>
      <c r="M18" s="15"/>
      <c r="N18" s="13"/>
      <c r="O18" s="13"/>
      <c r="P18" s="13"/>
      <c r="Q18" s="13"/>
      <c r="R18" s="13"/>
      <c r="S18" s="13"/>
      <c r="T18" s="13"/>
      <c r="U18" s="15"/>
    </row>
    <row r="19" spans="1:21" ht="58" x14ac:dyDescent="0.35">
      <c r="A19" s="13" t="s">
        <v>80</v>
      </c>
      <c r="B19" s="13" t="s">
        <v>81</v>
      </c>
      <c r="C19" s="14">
        <v>44873.463194444441</v>
      </c>
      <c r="D19" s="13" t="s">
        <v>124</v>
      </c>
      <c r="E19" s="13" t="s">
        <v>288</v>
      </c>
      <c r="F19" s="15" t="s">
        <v>125</v>
      </c>
      <c r="G19" s="13" t="s">
        <v>289</v>
      </c>
      <c r="H19" s="14">
        <v>43831</v>
      </c>
      <c r="I19" s="14"/>
      <c r="J19" s="15"/>
      <c r="K19" s="15"/>
      <c r="L19" s="13" t="s">
        <v>253</v>
      </c>
      <c r="M19" s="15"/>
      <c r="N19" s="13"/>
      <c r="O19" s="13"/>
      <c r="P19" s="13" t="s">
        <v>255</v>
      </c>
      <c r="Q19" s="13"/>
      <c r="R19" s="13"/>
      <c r="S19" s="13"/>
      <c r="T19" s="13" t="s">
        <v>250</v>
      </c>
      <c r="U19" s="15" t="s">
        <v>125</v>
      </c>
    </row>
    <row r="20" spans="1:21" ht="87" x14ac:dyDescent="0.35">
      <c r="A20" s="13" t="s">
        <v>80</v>
      </c>
      <c r="B20" s="13" t="s">
        <v>81</v>
      </c>
      <c r="C20" s="14">
        <v>44873.463194444441</v>
      </c>
      <c r="D20" s="13" t="s">
        <v>126</v>
      </c>
      <c r="E20" s="13" t="s">
        <v>288</v>
      </c>
      <c r="F20" s="15" t="s">
        <v>127</v>
      </c>
      <c r="G20" s="13" t="s">
        <v>290</v>
      </c>
      <c r="H20" s="14">
        <v>43831</v>
      </c>
      <c r="I20" s="14"/>
      <c r="J20" s="15"/>
      <c r="K20" s="15"/>
      <c r="L20" s="13" t="s">
        <v>253</v>
      </c>
      <c r="M20" s="15"/>
      <c r="N20" s="13"/>
      <c r="O20" s="13"/>
      <c r="P20" s="13" t="s">
        <v>249</v>
      </c>
      <c r="Q20" s="13"/>
      <c r="R20" s="13"/>
      <c r="S20" s="13"/>
      <c r="T20" s="13" t="s">
        <v>250</v>
      </c>
      <c r="U20" s="15" t="s">
        <v>127</v>
      </c>
    </row>
    <row r="21" spans="1:21" ht="58" x14ac:dyDescent="0.35">
      <c r="A21" s="13" t="s">
        <v>80</v>
      </c>
      <c r="B21" s="13" t="s">
        <v>81</v>
      </c>
      <c r="C21" s="14">
        <v>44873.456250000003</v>
      </c>
      <c r="D21" s="13" t="s">
        <v>120</v>
      </c>
      <c r="E21" s="13" t="s">
        <v>288</v>
      </c>
      <c r="F21" s="15" t="s">
        <v>121</v>
      </c>
      <c r="G21" s="13" t="s">
        <v>251</v>
      </c>
      <c r="H21" s="14">
        <v>43831</v>
      </c>
      <c r="I21" s="14"/>
      <c r="J21" s="15"/>
      <c r="K21" s="15"/>
      <c r="L21" s="13" t="s">
        <v>253</v>
      </c>
      <c r="M21" s="15"/>
      <c r="N21" s="13"/>
      <c r="O21" s="13"/>
      <c r="P21" s="13" t="s">
        <v>255</v>
      </c>
      <c r="Q21" s="13"/>
      <c r="R21" s="13"/>
      <c r="S21" s="13"/>
      <c r="T21" s="13" t="s">
        <v>250</v>
      </c>
      <c r="U21" s="15" t="s">
        <v>121</v>
      </c>
    </row>
    <row r="22" spans="1:21" ht="58" x14ac:dyDescent="0.35">
      <c r="A22" s="13" t="s">
        <v>80</v>
      </c>
      <c r="B22" s="13" t="s">
        <v>81</v>
      </c>
      <c r="C22" s="14">
        <v>44887.456944444442</v>
      </c>
      <c r="D22" s="13" t="s">
        <v>128</v>
      </c>
      <c r="E22" s="13" t="s">
        <v>288</v>
      </c>
      <c r="F22" s="15" t="s">
        <v>129</v>
      </c>
      <c r="G22" s="13" t="s">
        <v>291</v>
      </c>
      <c r="H22" s="14">
        <v>43831</v>
      </c>
      <c r="I22" s="14"/>
      <c r="J22" s="15"/>
      <c r="K22" s="15"/>
      <c r="L22" s="13" t="s">
        <v>253</v>
      </c>
      <c r="M22" s="15"/>
      <c r="N22" s="13"/>
      <c r="O22" s="13"/>
      <c r="P22" s="13" t="s">
        <v>249</v>
      </c>
      <c r="Q22" s="13"/>
      <c r="R22" s="13"/>
      <c r="S22" s="13"/>
      <c r="T22" s="13" t="s">
        <v>250</v>
      </c>
      <c r="U22" s="15" t="s">
        <v>129</v>
      </c>
    </row>
    <row r="23" spans="1:21" ht="43.5" x14ac:dyDescent="0.35">
      <c r="A23" s="13" t="s">
        <v>80</v>
      </c>
      <c r="B23" s="13" t="s">
        <v>81</v>
      </c>
      <c r="C23" s="14">
        <v>44887.456944444442</v>
      </c>
      <c r="D23" s="13" t="s">
        <v>130</v>
      </c>
      <c r="E23" s="13" t="s">
        <v>288</v>
      </c>
      <c r="F23" s="15" t="s">
        <v>131</v>
      </c>
      <c r="G23" s="13" t="s">
        <v>291</v>
      </c>
      <c r="H23" s="14">
        <v>43831</v>
      </c>
      <c r="I23" s="14"/>
      <c r="J23" s="15"/>
      <c r="K23" s="15"/>
      <c r="L23" s="13" t="s">
        <v>253</v>
      </c>
      <c r="M23" s="15"/>
      <c r="N23" s="13"/>
      <c r="O23" s="13"/>
      <c r="P23" s="13" t="s">
        <v>249</v>
      </c>
      <c r="Q23" s="13"/>
      <c r="R23" s="13"/>
      <c r="S23" s="13"/>
      <c r="T23" s="13" t="s">
        <v>250</v>
      </c>
      <c r="U23" s="15" t="s">
        <v>131</v>
      </c>
    </row>
    <row r="24" spans="1:21" ht="29" x14ac:dyDescent="0.35">
      <c r="A24" s="13" t="s">
        <v>80</v>
      </c>
      <c r="B24" s="13" t="s">
        <v>81</v>
      </c>
      <c r="C24" s="14">
        <v>44873.47152777778</v>
      </c>
      <c r="D24" s="13" t="s">
        <v>132</v>
      </c>
      <c r="E24" s="13" t="s">
        <v>288</v>
      </c>
      <c r="F24" s="15" t="s">
        <v>133</v>
      </c>
      <c r="G24" s="13" t="s">
        <v>291</v>
      </c>
      <c r="H24" s="14">
        <v>43831</v>
      </c>
      <c r="I24" s="14"/>
      <c r="J24" s="15"/>
      <c r="K24" s="15"/>
      <c r="L24" s="13" t="s">
        <v>253</v>
      </c>
      <c r="M24" s="15"/>
      <c r="N24" s="13"/>
      <c r="O24" s="13"/>
      <c r="P24" s="13" t="s">
        <v>249</v>
      </c>
      <c r="Q24" s="13"/>
      <c r="R24" s="13"/>
      <c r="S24" s="13"/>
      <c r="T24" s="13" t="s">
        <v>250</v>
      </c>
      <c r="U24" s="15" t="s">
        <v>133</v>
      </c>
    </row>
    <row r="25" spans="1:21" ht="58" x14ac:dyDescent="0.35">
      <c r="A25" s="13" t="s">
        <v>80</v>
      </c>
      <c r="B25" s="13" t="s">
        <v>81</v>
      </c>
      <c r="C25" s="14">
        <v>44873.463194444441</v>
      </c>
      <c r="D25" s="13" t="s">
        <v>134</v>
      </c>
      <c r="E25" s="13" t="s">
        <v>288</v>
      </c>
      <c r="F25" s="15" t="s">
        <v>135</v>
      </c>
      <c r="G25" s="13" t="s">
        <v>291</v>
      </c>
      <c r="H25" s="14">
        <v>43831</v>
      </c>
      <c r="I25" s="14"/>
      <c r="J25" s="15"/>
      <c r="K25" s="15"/>
      <c r="L25" s="13" t="s">
        <v>253</v>
      </c>
      <c r="M25" s="15"/>
      <c r="N25" s="13"/>
      <c r="O25" s="13"/>
      <c r="P25" s="13" t="s">
        <v>249</v>
      </c>
      <c r="Q25" s="13"/>
      <c r="R25" s="13"/>
      <c r="S25" s="13"/>
      <c r="T25" s="13" t="s">
        <v>250</v>
      </c>
      <c r="U25" s="15" t="s">
        <v>135</v>
      </c>
    </row>
    <row r="26" spans="1:21" ht="29" x14ac:dyDescent="0.35">
      <c r="A26" s="13" t="s">
        <v>80</v>
      </c>
      <c r="B26" s="13" t="s">
        <v>81</v>
      </c>
      <c r="C26" s="14">
        <v>44854.43472222222</v>
      </c>
      <c r="D26" s="13" t="s">
        <v>136</v>
      </c>
      <c r="E26" s="13" t="s">
        <v>288</v>
      </c>
      <c r="F26" s="15" t="s">
        <v>137</v>
      </c>
      <c r="G26" s="13" t="s">
        <v>290</v>
      </c>
      <c r="H26" s="14">
        <v>43831</v>
      </c>
      <c r="I26" s="14"/>
      <c r="J26" s="15"/>
      <c r="K26" s="15"/>
      <c r="L26" s="13" t="s">
        <v>253</v>
      </c>
      <c r="M26" s="15"/>
      <c r="N26" s="13"/>
      <c r="O26" s="13"/>
      <c r="P26" s="13" t="s">
        <v>249</v>
      </c>
      <c r="Q26" s="13"/>
      <c r="R26" s="13"/>
      <c r="S26" s="13"/>
      <c r="T26" s="13" t="s">
        <v>250</v>
      </c>
      <c r="U26" s="15" t="s">
        <v>137</v>
      </c>
    </row>
    <row r="27" spans="1:21" ht="43.5" x14ac:dyDescent="0.35">
      <c r="A27" s="13" t="s">
        <v>80</v>
      </c>
      <c r="B27" s="13" t="s">
        <v>81</v>
      </c>
      <c r="C27" s="14">
        <v>44854.436805555553</v>
      </c>
      <c r="D27" s="13" t="s">
        <v>138</v>
      </c>
      <c r="E27" s="13" t="s">
        <v>288</v>
      </c>
      <c r="F27" s="15" t="s">
        <v>139</v>
      </c>
      <c r="G27" s="13" t="s">
        <v>290</v>
      </c>
      <c r="H27" s="14">
        <v>43831</v>
      </c>
      <c r="I27" s="14"/>
      <c r="J27" s="15"/>
      <c r="K27" s="15"/>
      <c r="L27" s="13" t="s">
        <v>253</v>
      </c>
      <c r="M27" s="15"/>
      <c r="N27" s="13"/>
      <c r="O27" s="13"/>
      <c r="P27" s="13" t="s">
        <v>249</v>
      </c>
      <c r="Q27" s="13"/>
      <c r="R27" s="13"/>
      <c r="S27" s="13"/>
      <c r="T27" s="13" t="s">
        <v>250</v>
      </c>
      <c r="U27" s="15" t="s">
        <v>139</v>
      </c>
    </row>
    <row r="28" spans="1:21" ht="58" x14ac:dyDescent="0.35">
      <c r="A28" s="13" t="s">
        <v>80</v>
      </c>
      <c r="B28" s="13" t="s">
        <v>81</v>
      </c>
      <c r="C28" s="14">
        <v>44854.438194444447</v>
      </c>
      <c r="D28" s="13" t="s">
        <v>140</v>
      </c>
      <c r="E28" s="13" t="s">
        <v>288</v>
      </c>
      <c r="F28" s="15" t="s">
        <v>141</v>
      </c>
      <c r="G28" s="13" t="s">
        <v>290</v>
      </c>
      <c r="H28" s="14">
        <v>43831</v>
      </c>
      <c r="I28" s="14"/>
      <c r="J28" s="15"/>
      <c r="K28" s="15"/>
      <c r="L28" s="13" t="s">
        <v>253</v>
      </c>
      <c r="M28" s="15"/>
      <c r="N28" s="13"/>
      <c r="O28" s="13"/>
      <c r="P28" s="13" t="s">
        <v>249</v>
      </c>
      <c r="Q28" s="13"/>
      <c r="R28" s="13"/>
      <c r="S28" s="13"/>
      <c r="T28" s="13" t="s">
        <v>250</v>
      </c>
      <c r="U28" s="15" t="s">
        <v>141</v>
      </c>
    </row>
    <row r="29" spans="1:21" ht="43.5" x14ac:dyDescent="0.35">
      <c r="A29" s="13" t="s">
        <v>80</v>
      </c>
      <c r="B29" s="13" t="s">
        <v>81</v>
      </c>
      <c r="C29" s="14">
        <v>44873.472222222219</v>
      </c>
      <c r="D29" s="13" t="s">
        <v>142</v>
      </c>
      <c r="E29" s="13" t="s">
        <v>288</v>
      </c>
      <c r="F29" s="15" t="s">
        <v>143</v>
      </c>
      <c r="G29" s="13" t="s">
        <v>290</v>
      </c>
      <c r="H29" s="14">
        <v>43831</v>
      </c>
      <c r="I29" s="14"/>
      <c r="J29" s="15"/>
      <c r="K29" s="15"/>
      <c r="L29" s="13" t="s">
        <v>253</v>
      </c>
      <c r="M29" s="15"/>
      <c r="N29" s="13"/>
      <c r="O29" s="13"/>
      <c r="P29" s="13" t="s">
        <v>249</v>
      </c>
      <c r="Q29" s="13"/>
      <c r="R29" s="13"/>
      <c r="S29" s="13"/>
      <c r="T29" s="13" t="s">
        <v>250</v>
      </c>
      <c r="U29" s="15" t="s">
        <v>143</v>
      </c>
    </row>
    <row r="30" spans="1:21" ht="72.5" x14ac:dyDescent="0.35">
      <c r="A30" s="13" t="s">
        <v>80</v>
      </c>
      <c r="B30" s="13" t="s">
        <v>81</v>
      </c>
      <c r="C30" s="14">
        <v>44873.472916666666</v>
      </c>
      <c r="D30" s="13" t="s">
        <v>182</v>
      </c>
      <c r="E30" s="13" t="s">
        <v>288</v>
      </c>
      <c r="F30" s="15" t="s">
        <v>183</v>
      </c>
      <c r="G30" s="13" t="s">
        <v>290</v>
      </c>
      <c r="H30" s="14">
        <v>43831</v>
      </c>
      <c r="I30" s="14"/>
      <c r="J30" s="15"/>
      <c r="K30" s="15"/>
      <c r="L30" s="13" t="s">
        <v>253</v>
      </c>
      <c r="M30" s="15"/>
      <c r="N30" s="13"/>
      <c r="O30" s="13"/>
      <c r="P30" s="13" t="s">
        <v>292</v>
      </c>
      <c r="Q30" s="13"/>
      <c r="R30" s="13"/>
      <c r="S30" s="13"/>
      <c r="T30" s="13" t="s">
        <v>250</v>
      </c>
      <c r="U30" s="15" t="s">
        <v>183</v>
      </c>
    </row>
    <row r="31" spans="1:21" ht="43.5" x14ac:dyDescent="0.35">
      <c r="A31" s="13" t="s">
        <v>80</v>
      </c>
      <c r="B31" s="13" t="s">
        <v>81</v>
      </c>
      <c r="C31" s="14">
        <v>44873.473611111112</v>
      </c>
      <c r="D31" s="13" t="s">
        <v>186</v>
      </c>
      <c r="E31" s="13" t="s">
        <v>288</v>
      </c>
      <c r="F31" s="15" t="s">
        <v>187</v>
      </c>
      <c r="G31" s="13" t="s">
        <v>251</v>
      </c>
      <c r="H31" s="14">
        <v>43831</v>
      </c>
      <c r="I31" s="14"/>
      <c r="J31" s="15"/>
      <c r="K31" s="15"/>
      <c r="L31" s="13" t="s">
        <v>253</v>
      </c>
      <c r="M31" s="15"/>
      <c r="N31" s="13"/>
      <c r="O31" s="13"/>
      <c r="P31" s="13" t="s">
        <v>292</v>
      </c>
      <c r="Q31" s="13"/>
      <c r="R31" s="13"/>
      <c r="S31" s="13"/>
      <c r="T31" s="13" t="s">
        <v>250</v>
      </c>
      <c r="U31" s="15" t="s">
        <v>187</v>
      </c>
    </row>
    <row r="32" spans="1:21" ht="58" x14ac:dyDescent="0.35">
      <c r="A32" s="13" t="s">
        <v>80</v>
      </c>
      <c r="B32" s="13" t="s">
        <v>81</v>
      </c>
      <c r="C32" s="14">
        <v>44873.463194444441</v>
      </c>
      <c r="D32" s="13" t="s">
        <v>175</v>
      </c>
      <c r="E32" s="13" t="s">
        <v>288</v>
      </c>
      <c r="F32" s="15" t="s">
        <v>176</v>
      </c>
      <c r="G32" s="13" t="s">
        <v>293</v>
      </c>
      <c r="H32" s="14">
        <v>43831</v>
      </c>
      <c r="I32" s="14"/>
      <c r="J32" s="15"/>
      <c r="K32" s="15"/>
      <c r="L32" s="13" t="s">
        <v>253</v>
      </c>
      <c r="M32" s="15"/>
      <c r="N32" s="13"/>
      <c r="O32" s="13"/>
      <c r="P32" s="13" t="s">
        <v>261</v>
      </c>
      <c r="Q32" s="13"/>
      <c r="R32" s="13"/>
      <c r="S32" s="13"/>
      <c r="T32" s="13" t="s">
        <v>250</v>
      </c>
      <c r="U32" s="15" t="s">
        <v>176</v>
      </c>
    </row>
    <row r="33" spans="1:21" ht="87" x14ac:dyDescent="0.35">
      <c r="A33" s="13" t="s">
        <v>80</v>
      </c>
      <c r="B33" s="13" t="s">
        <v>81</v>
      </c>
      <c r="C33" s="14">
        <v>44873.463194444441</v>
      </c>
      <c r="D33" s="13" t="s">
        <v>177</v>
      </c>
      <c r="E33" s="13" t="s">
        <v>288</v>
      </c>
      <c r="F33" s="15" t="s">
        <v>178</v>
      </c>
      <c r="G33" s="13" t="s">
        <v>293</v>
      </c>
      <c r="H33" s="14">
        <v>43831</v>
      </c>
      <c r="I33" s="14"/>
      <c r="J33" s="15"/>
      <c r="K33" s="15"/>
      <c r="L33" s="13" t="s">
        <v>253</v>
      </c>
      <c r="M33" s="15"/>
      <c r="N33" s="13"/>
      <c r="O33" s="13"/>
      <c r="P33" s="13" t="s">
        <v>261</v>
      </c>
      <c r="Q33" s="13"/>
      <c r="R33" s="13"/>
      <c r="S33" s="13"/>
      <c r="T33" s="13" t="s">
        <v>250</v>
      </c>
      <c r="U33" s="15" t="s">
        <v>178</v>
      </c>
    </row>
    <row r="34" spans="1:21" ht="58" x14ac:dyDescent="0.35">
      <c r="A34" s="13" t="s">
        <v>80</v>
      </c>
      <c r="B34" s="13" t="s">
        <v>81</v>
      </c>
      <c r="C34" s="14">
        <v>44873.474305555559</v>
      </c>
      <c r="D34" s="13" t="s">
        <v>184</v>
      </c>
      <c r="E34" s="13" t="s">
        <v>288</v>
      </c>
      <c r="F34" s="15" t="s">
        <v>185</v>
      </c>
      <c r="G34" s="13" t="s">
        <v>293</v>
      </c>
      <c r="H34" s="14">
        <v>43831</v>
      </c>
      <c r="I34" s="14"/>
      <c r="J34" s="15"/>
      <c r="K34" s="15"/>
      <c r="L34" s="13" t="s">
        <v>253</v>
      </c>
      <c r="M34" s="15"/>
      <c r="N34" s="13"/>
      <c r="O34" s="13"/>
      <c r="P34" s="13" t="s">
        <v>292</v>
      </c>
      <c r="Q34" s="13"/>
      <c r="R34" s="13"/>
      <c r="S34" s="13"/>
      <c r="T34" s="13" t="s">
        <v>250</v>
      </c>
      <c r="U34" s="15" t="s">
        <v>185</v>
      </c>
    </row>
    <row r="35" spans="1:21" ht="72.5" x14ac:dyDescent="0.35">
      <c r="A35" s="13" t="s">
        <v>80</v>
      </c>
      <c r="B35" s="13" t="s">
        <v>81</v>
      </c>
      <c r="C35" s="14">
        <v>44854.425000000003</v>
      </c>
      <c r="D35" s="13" t="s">
        <v>122</v>
      </c>
      <c r="E35" s="13" t="s">
        <v>288</v>
      </c>
      <c r="F35" s="15" t="s">
        <v>123</v>
      </c>
      <c r="G35" s="13" t="s">
        <v>251</v>
      </c>
      <c r="H35" s="14">
        <v>43831</v>
      </c>
      <c r="I35" s="14"/>
      <c r="J35" s="15"/>
      <c r="K35" s="15"/>
      <c r="L35" s="13" t="s">
        <v>253</v>
      </c>
      <c r="M35" s="15"/>
      <c r="N35" s="13"/>
      <c r="O35" s="13"/>
      <c r="P35" s="13" t="s">
        <v>249</v>
      </c>
      <c r="Q35" s="13"/>
      <c r="R35" s="13"/>
      <c r="S35" s="13"/>
      <c r="T35" s="13" t="s">
        <v>250</v>
      </c>
      <c r="U35" s="15" t="s">
        <v>123</v>
      </c>
    </row>
    <row r="36" spans="1:21" ht="29" x14ac:dyDescent="0.35">
      <c r="A36" s="13" t="s">
        <v>80</v>
      </c>
      <c r="B36" s="13" t="s">
        <v>81</v>
      </c>
      <c r="C36" s="14">
        <v>44873.463194444441</v>
      </c>
      <c r="D36" s="13" t="s">
        <v>205</v>
      </c>
      <c r="E36" s="13" t="s">
        <v>294</v>
      </c>
      <c r="F36" s="15" t="s">
        <v>206</v>
      </c>
      <c r="G36" s="13" t="s">
        <v>295</v>
      </c>
      <c r="H36" s="14">
        <v>43831</v>
      </c>
      <c r="I36" s="14"/>
      <c r="J36" s="15"/>
      <c r="K36" s="15"/>
      <c r="L36" s="13" t="s">
        <v>253</v>
      </c>
      <c r="M36" s="15"/>
      <c r="N36" s="13"/>
      <c r="O36" s="13"/>
      <c r="P36" s="13"/>
      <c r="Q36" s="13" t="s">
        <v>255</v>
      </c>
      <c r="R36" s="13"/>
      <c r="S36" s="13"/>
      <c r="T36" s="13" t="s">
        <v>250</v>
      </c>
      <c r="U36" s="15" t="s">
        <v>206</v>
      </c>
    </row>
    <row r="37" spans="1:21" ht="29" x14ac:dyDescent="0.35">
      <c r="A37" s="13" t="s">
        <v>80</v>
      </c>
      <c r="B37" s="13" t="s">
        <v>81</v>
      </c>
      <c r="C37" s="14">
        <v>44873.463194444441</v>
      </c>
      <c r="D37" s="13" t="s">
        <v>207</v>
      </c>
      <c r="E37" s="13" t="s">
        <v>294</v>
      </c>
      <c r="F37" s="15" t="s">
        <v>208</v>
      </c>
      <c r="G37" s="13" t="s">
        <v>251</v>
      </c>
      <c r="H37" s="14">
        <v>43831</v>
      </c>
      <c r="I37" s="14"/>
      <c r="J37" s="15"/>
      <c r="K37" s="15"/>
      <c r="L37" s="13" t="s">
        <v>253</v>
      </c>
      <c r="M37" s="15"/>
      <c r="N37" s="13"/>
      <c r="O37" s="13"/>
      <c r="P37" s="13"/>
      <c r="Q37" s="13" t="s">
        <v>249</v>
      </c>
      <c r="R37" s="13"/>
      <c r="S37" s="13"/>
      <c r="T37" s="13" t="s">
        <v>250</v>
      </c>
      <c r="U37" s="15" t="s">
        <v>208</v>
      </c>
    </row>
    <row r="38" spans="1:21" ht="29" x14ac:dyDescent="0.35">
      <c r="A38" s="13" t="s">
        <v>80</v>
      </c>
      <c r="B38" s="13" t="s">
        <v>81</v>
      </c>
      <c r="C38" s="14">
        <v>44873.463194444441</v>
      </c>
      <c r="D38" s="13" t="s">
        <v>209</v>
      </c>
      <c r="E38" s="13" t="s">
        <v>294</v>
      </c>
      <c r="F38" s="15" t="s">
        <v>210</v>
      </c>
      <c r="G38" s="13" t="s">
        <v>251</v>
      </c>
      <c r="H38" s="14">
        <v>43831</v>
      </c>
      <c r="I38" s="14"/>
      <c r="J38" s="15"/>
      <c r="K38" s="15"/>
      <c r="L38" s="13" t="s">
        <v>253</v>
      </c>
      <c r="M38" s="15"/>
      <c r="N38" s="13"/>
      <c r="O38" s="13"/>
      <c r="P38" s="13"/>
      <c r="Q38" s="13" t="s">
        <v>249</v>
      </c>
      <c r="R38" s="13"/>
      <c r="S38" s="13"/>
      <c r="T38" s="13" t="s">
        <v>250</v>
      </c>
      <c r="U38" s="15" t="s">
        <v>210</v>
      </c>
    </row>
    <row r="39" spans="1:21" ht="58" x14ac:dyDescent="0.35">
      <c r="A39" s="13" t="s">
        <v>80</v>
      </c>
      <c r="B39" s="13" t="s">
        <v>81</v>
      </c>
      <c r="C39" s="14">
        <v>44854.457638888889</v>
      </c>
      <c r="D39" s="13" t="s">
        <v>214</v>
      </c>
      <c r="E39" s="13" t="s">
        <v>294</v>
      </c>
      <c r="F39" s="15" t="s">
        <v>215</v>
      </c>
      <c r="G39" s="13" t="s">
        <v>296</v>
      </c>
      <c r="H39" s="14">
        <v>43831</v>
      </c>
      <c r="I39" s="14"/>
      <c r="J39" s="15"/>
      <c r="K39" s="15"/>
      <c r="L39" s="13" t="s">
        <v>253</v>
      </c>
      <c r="M39" s="15"/>
      <c r="N39" s="13"/>
      <c r="O39" s="13"/>
      <c r="P39" s="13"/>
      <c r="Q39" s="13" t="s">
        <v>261</v>
      </c>
      <c r="R39" s="13"/>
      <c r="S39" s="13"/>
      <c r="T39" s="13" t="s">
        <v>250</v>
      </c>
      <c r="U39" s="15" t="s">
        <v>215</v>
      </c>
    </row>
    <row r="40" spans="1:21" ht="29" x14ac:dyDescent="0.35">
      <c r="A40" s="13" t="s">
        <v>80</v>
      </c>
      <c r="B40" s="13" t="s">
        <v>81</v>
      </c>
      <c r="C40" s="14">
        <v>44873.463888888888</v>
      </c>
      <c r="D40" s="13" t="s">
        <v>211</v>
      </c>
      <c r="E40" s="13" t="s">
        <v>294</v>
      </c>
      <c r="F40" s="15" t="s">
        <v>212</v>
      </c>
      <c r="G40" s="13"/>
      <c r="H40" s="14">
        <v>43831</v>
      </c>
      <c r="I40" s="14"/>
      <c r="J40" s="15"/>
      <c r="K40" s="15"/>
      <c r="L40" s="13" t="s">
        <v>253</v>
      </c>
      <c r="M40" s="15"/>
      <c r="N40" s="13"/>
      <c r="O40" s="13"/>
      <c r="P40" s="13"/>
      <c r="Q40" s="13" t="s">
        <v>297</v>
      </c>
      <c r="R40" s="13"/>
      <c r="S40" s="13"/>
      <c r="T40" s="13" t="s">
        <v>250</v>
      </c>
      <c r="U40" s="15" t="s">
        <v>212</v>
      </c>
    </row>
  </sheetData>
  <autoFilter ref="A1:Z1" xr:uid="{B7094DFB-2CC1-4EC0-8AA4-64F5713BBF5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2025-12-10T08:42:30Z</dcterms:created>
  <dcterms:modified xsi:type="dcterms:W3CDTF">2025-12-10T08:42:31Z</dcterms:modified>
</cp:coreProperties>
</file>