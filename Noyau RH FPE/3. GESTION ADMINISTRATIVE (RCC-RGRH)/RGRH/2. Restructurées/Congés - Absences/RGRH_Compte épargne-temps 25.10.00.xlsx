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Y:\03-BARRI\REFERENTIELS\NOYAU\1-20260206_25.10.00\4-Règles de gestion\RGRH\Restructurées\Congé_absence\"/>
    </mc:Choice>
  </mc:AlternateContent>
  <xr:revisionPtr revIDLastSave="0" documentId="13_ncr:1_{FC596562-7F34-41CB-BA5B-D09305BB44AC}" xr6:coauthVersionLast="47" xr6:coauthVersionMax="47" xr10:uidLastSave="{00000000-0000-0000-0000-000000000000}"/>
  <bookViews>
    <workbookView xWindow="-110" yWindow="-110" windowWidth="19420" windowHeight="11500" xr2:uid="{C9E5BDBF-CFA7-4CD3-A8C7-95224C5DCB06}"/>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RG'!$A$1:$OJ$63</definedName>
    <definedName name="_xlnm._FilterDatabase" localSheetId="2" hidden="1">'Axe 1 Enchaînement RG Impact'!$A$1:$OJ$63</definedName>
    <definedName name="_xlnm._FilterDatabase" localSheetId="3" hidden="1">'Axe 1 Rattachement des actes'!$A$1:$AS$1</definedName>
    <definedName name="_xlnm._FilterDatabase" localSheetId="4" hidden="1">'Axe 2 Règles de gestion'!$A$1:$Z$43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C52" i="4" l="1"/>
  <c r="AC5" i="4"/>
  <c r="AC4" i="4"/>
  <c r="AC3" i="4"/>
  <c r="AC2" i="4"/>
  <c r="AA54" i="4"/>
  <c r="AA52" i="4"/>
  <c r="AA42" i="4"/>
  <c r="AA40" i="4"/>
  <c r="AA12" i="4"/>
  <c r="AA11" i="4"/>
  <c r="AA10" i="4"/>
  <c r="AA9" i="4"/>
  <c r="AA5" i="4"/>
  <c r="AA4" i="4"/>
  <c r="AA3" i="4"/>
  <c r="AA2" i="4"/>
  <c r="Y54" i="4"/>
  <c r="Y52" i="4"/>
  <c r="Y42" i="4"/>
  <c r="Y40" i="4"/>
  <c r="Y12" i="4"/>
  <c r="Y11" i="4"/>
  <c r="Y10" i="4"/>
  <c r="Y9" i="4"/>
  <c r="Y5" i="4"/>
  <c r="Y4" i="4"/>
  <c r="Y3" i="4"/>
  <c r="Y2" i="4"/>
  <c r="AY48" i="5"/>
  <c r="AY42" i="5"/>
  <c r="AY40" i="5"/>
  <c r="AW48" i="5"/>
  <c r="AW42" i="5"/>
  <c r="AW40" i="5"/>
  <c r="AW30" i="5"/>
  <c r="AW12" i="5"/>
  <c r="AW5" i="5"/>
  <c r="AU48" i="5"/>
  <c r="AU42" i="5"/>
  <c r="AU40" i="5"/>
  <c r="AU30" i="5"/>
  <c r="AU29" i="5"/>
  <c r="AU28" i="5"/>
  <c r="AU12" i="5"/>
  <c r="AU11" i="5"/>
  <c r="AU10" i="5"/>
  <c r="AU9" i="5"/>
  <c r="AU5" i="5"/>
  <c r="AU4" i="5"/>
  <c r="AU3" i="5"/>
  <c r="AU2" i="5"/>
  <c r="AS56" i="5"/>
  <c r="AS48" i="5"/>
  <c r="AS44" i="5"/>
  <c r="AS42" i="5"/>
  <c r="AS40" i="5"/>
  <c r="AS30" i="5"/>
  <c r="AS29" i="5"/>
  <c r="AS28" i="5"/>
  <c r="AS18" i="5"/>
  <c r="AS17" i="5"/>
  <c r="AS16" i="5"/>
  <c r="AS12" i="5"/>
  <c r="AS11" i="5"/>
  <c r="AS10" i="5"/>
  <c r="AS9" i="5"/>
  <c r="AS5" i="5"/>
  <c r="AS4" i="5"/>
  <c r="AS3" i="5"/>
  <c r="AS2" i="5"/>
  <c r="AQ10" i="5"/>
  <c r="AQ3" i="5"/>
  <c r="AO30" i="5"/>
  <c r="AO29" i="5"/>
  <c r="AO12" i="5"/>
  <c r="AO11" i="5"/>
  <c r="AO10" i="5"/>
  <c r="AO5" i="5"/>
  <c r="AO4" i="5"/>
  <c r="AO3" i="5"/>
  <c r="AM30" i="5"/>
  <c r="AM29" i="5"/>
  <c r="AM28" i="5"/>
  <c r="AM12" i="5"/>
  <c r="AM11" i="5"/>
  <c r="AM10" i="5"/>
  <c r="AM9" i="5"/>
  <c r="AM5" i="5"/>
  <c r="AM4" i="5"/>
  <c r="AM3" i="5"/>
  <c r="AM2" i="5"/>
  <c r="AK30" i="5"/>
  <c r="AK29" i="5"/>
  <c r="AK28" i="5"/>
  <c r="AK12" i="5"/>
  <c r="AK11" i="5"/>
  <c r="AK10" i="5"/>
  <c r="AK9" i="5"/>
  <c r="AK5" i="5"/>
  <c r="AK4" i="5"/>
  <c r="AK3" i="5"/>
  <c r="AK2" i="5"/>
  <c r="AI30" i="5"/>
  <c r="AG60" i="5"/>
  <c r="AG54" i="5"/>
  <c r="AG30" i="5"/>
  <c r="AG12" i="5"/>
  <c r="AG5" i="5"/>
  <c r="AE60" i="5"/>
  <c r="AE54" i="5"/>
  <c r="AE52" i="5"/>
  <c r="AE30" i="5"/>
  <c r="AE12" i="5"/>
  <c r="AE5" i="5"/>
  <c r="AC60" i="5"/>
  <c r="AC54" i="5"/>
  <c r="AC52" i="5"/>
  <c r="AC48" i="5"/>
  <c r="AC30" i="5"/>
  <c r="AC29" i="5"/>
  <c r="AC12" i="5"/>
  <c r="AC5" i="5"/>
  <c r="AA60" i="5"/>
  <c r="AA54" i="5"/>
  <c r="AA52" i="5"/>
  <c r="AA48" i="5"/>
  <c r="AA42" i="5"/>
  <c r="AA40" i="5"/>
  <c r="AA30" i="5"/>
  <c r="AA29" i="5"/>
  <c r="AA28" i="5"/>
  <c r="AA12" i="5"/>
  <c r="AA11" i="5"/>
  <c r="AA10" i="5"/>
  <c r="AA5" i="5"/>
  <c r="AA4" i="5"/>
  <c r="AA3" i="5"/>
  <c r="Y60" i="5"/>
  <c r="Y54" i="5"/>
  <c r="Y52" i="5"/>
  <c r="Y48" i="5"/>
  <c r="Y42" i="5"/>
  <c r="Y40" i="5"/>
  <c r="Y30" i="5"/>
  <c r="Y29" i="5"/>
  <c r="Y28" i="5"/>
  <c r="Y12" i="5"/>
  <c r="Y11" i="5"/>
  <c r="Y10" i="5"/>
  <c r="Y9" i="5"/>
  <c r="Y5" i="5"/>
  <c r="Y4" i="5"/>
  <c r="Y3" i="5"/>
  <c r="Y2" i="5"/>
</calcChain>
</file>

<file path=xl/sharedStrings.xml><?xml version="1.0" encoding="utf-8"?>
<sst xmlns="http://schemas.openxmlformats.org/spreadsheetml/2006/main" count="4176" uniqueCount="319">
  <si>
    <t>MODE OPERATOIRE</t>
  </si>
  <si>
    <t>La transaction s'effectue pour l'évènement E0971 'Compte épargne-temps' au niveau des sous rubriques :
- Compte épargne-temps - Ouverture 
- Compte épargne-temps - Alimentation
- Compte épargne-temps - Choix d'option
La transaction s'effectue pour l'évènement E0972 'Compte épargne-temps historique' au niveau de la sous rubrique :
- Compte épargne-temps historique - Choix d'option
La transaction s'effectue pour l'évènement E0973 'Compte épargne-temps - Mobilité/Fin de fonction' au niveau de la sous rubrique :
- Compte épargne-temps - Mobilité/Fin de fonction</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</si>
  <si>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</si>
  <si>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</si>
  <si>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</si>
  <si>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</si>
  <si>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</si>
  <si>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</si>
  <si>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</si>
  <si>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</si>
  <si>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</si>
  <si>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</si>
  <si>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</si>
  <si>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</si>
  <si>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</si>
  <si>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</si>
  <si>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</si>
  <si>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</si>
  <si>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</si>
  <si>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Général / Particulier</t>
  </si>
  <si>
    <t>Passant / Exclu</t>
  </si>
  <si>
    <t>Date de début</t>
  </si>
  <si>
    <t>Date de fin</t>
  </si>
  <si>
    <t>Règles mobilisées</t>
  </si>
  <si>
    <t>Identifiant Règle de contrôle intellectuel  1</t>
  </si>
  <si>
    <t>Libellé Règle de contrôle intellectuel  1</t>
  </si>
  <si>
    <t>Identifiant Règle de contrôle intellectuel 2</t>
  </si>
  <si>
    <t>Libellé Règle de contrôle intellectuel 2</t>
  </si>
  <si>
    <t>Identifiant Règle de contrôle intellectuel 3</t>
  </si>
  <si>
    <t>Libellé Règle de contrôle intellectuel 3</t>
  </si>
  <si>
    <t>Identifiant Règle de contrôle intellectuel 4</t>
  </si>
  <si>
    <t>Libellé Règle de contrôle intellectuel 4</t>
  </si>
  <si>
    <t>Identifiant Règle de contrôle intellectuel 5</t>
  </si>
  <si>
    <t>Libellé Règle de contrôle intellectuel 5</t>
  </si>
  <si>
    <t>Identifiant Règle de contrôle intellectuel 6</t>
  </si>
  <si>
    <t>Libellé Règle de contrôle intellectuel 6</t>
  </si>
  <si>
    <t>Identifiant Règle de condition  1</t>
  </si>
  <si>
    <t>Libellé Règle de condition  1</t>
  </si>
  <si>
    <t>Identifiant Règle de condition 2</t>
  </si>
  <si>
    <t>Libellé Règle de condition 2</t>
  </si>
  <si>
    <t>Identifiant Règle de condition 3</t>
  </si>
  <si>
    <t>Libellé Règle de condition 3</t>
  </si>
  <si>
    <t>Identifiant Règle de condition 4</t>
  </si>
  <si>
    <t>Libellé Règle de condition 4</t>
  </si>
  <si>
    <t>Identifiant Règle de contrôle  1</t>
  </si>
  <si>
    <t>Libellé Règle de contrôle  1</t>
  </si>
  <si>
    <t>Identifiant Règle de contrôle 2</t>
  </si>
  <si>
    <t>Libellé Règle de contrôle 2</t>
  </si>
  <si>
    <t>Identifiant Règle de contrôle 3</t>
  </si>
  <si>
    <t>Libellé Règle de contrôle 3</t>
  </si>
  <si>
    <t>Identifiant Règle de contrôle 4</t>
  </si>
  <si>
    <t>Libellé Règle de contrôle 4</t>
  </si>
  <si>
    <t>FIME</t>
  </si>
  <si>
    <t>Statut de travail</t>
  </si>
  <si>
    <t>24.10.00</t>
  </si>
  <si>
    <t>A</t>
  </si>
  <si>
    <t>D0007</t>
  </si>
  <si>
    <t>Congés/Absence</t>
  </si>
  <si>
    <t>S0183</t>
  </si>
  <si>
    <t>Compte épargne-temps</t>
  </si>
  <si>
    <t>E0971</t>
  </si>
  <si>
    <t>Compte épargne-temps (CET)</t>
  </si>
  <si>
    <t>La date d'observation saisie du CET est non vide</t>
  </si>
  <si>
    <t>A_CET_DAGCET [Saisi] &lt;&gt; Vide</t>
  </si>
  <si>
    <t>T2358</t>
  </si>
  <si>
    <t>Compte épargne-temps - Ouverture</t>
  </si>
  <si>
    <t>Création Modification</t>
  </si>
  <si>
    <t>La date d'ouverture saisie est non vide et la date de l'opération est vide</t>
  </si>
  <si>
    <t>A_CET_DCRCET [Saisi] &lt;&gt; VIDE ET A_CET_DOOCET [Saisi] = VIDE</t>
  </si>
  <si>
    <t>Titulaire ou magistrat</t>
  </si>
  <si>
    <t>P0001</t>
  </si>
  <si>
    <t>Général</t>
  </si>
  <si>
    <t>Passant</t>
  </si>
  <si>
    <t>CET_I_050 ET CET_D_400 ET CET_D_407 ET CET_C_017 ET CET_C_031</t>
  </si>
  <si>
    <t>CET_I_050</t>
  </si>
  <si>
    <t>L'agent doit effectuer une demande d'ouverture d'un compte épargne-temps.</t>
  </si>
  <si>
    <t>CET_D_400</t>
  </si>
  <si>
    <t>L'agent ne doit pas relever des régimes d'obligation de service.</t>
  </si>
  <si>
    <t>CET_D_407</t>
  </si>
  <si>
    <t>L'agent est employé de manière continue et a accompli au moins 1 année de service.</t>
  </si>
  <si>
    <t>CET_C_017</t>
  </si>
  <si>
    <t>La date d'ouverture du compte épargne temps global doit être postérieure ou égale à la date d'entrée dans le SIRH.</t>
  </si>
  <si>
    <t>CET_C_031</t>
  </si>
  <si>
    <t>Les champs "Origine", "Nombre de jours de l'opération", "Nombre de jours pour valorisation financière" et "Nombre de jours pour cotisation RAFP" ne doivent pas être renseignés.</t>
  </si>
  <si>
    <t>T2359</t>
  </si>
  <si>
    <t>Compte épargne-temps - Alimentation</t>
  </si>
  <si>
    <t>La date de l'opération saisie est non vide et le sens de l'opération est "Versé"</t>
  </si>
  <si>
    <t>A_CET_DOOCET [Saisi] &lt;&gt; Vide ET A_CET_SEOCET [Saisi] = 'V'</t>
  </si>
  <si>
    <t>CET_I_061 ET CET_I_060 ET CET_D_401 ET CET_D_402 ET CET_D_403 ET CET_D_404 ET CET_C_023 ET CET_C_026</t>
  </si>
  <si>
    <t>CET_I_061</t>
  </si>
  <si>
    <t>Pour les agents en service à l'étranger, le compte épargne-temps est alimenté par le report des jours de congés annuels dont ils bénéficient au titre du pays dans lequel ils sont affectés.</t>
  </si>
  <si>
    <t>CET_I_060</t>
  </si>
  <si>
    <t>L'agent ne peut pas alimenter son compte épargne-temps par le report de congés bonifiés.</t>
  </si>
  <si>
    <t>CET_D_401</t>
  </si>
  <si>
    <t>L'agent peut alimenter son compte épargne-temps par le report de jours de réduction du temps de travail, par le report de congés annuels et de fractionnement et si un arrêté le prévoit par le report de jours de repos compensateur.</t>
  </si>
  <si>
    <t>CET_D_402</t>
  </si>
  <si>
    <t>L'agent pour pouvoir alimenter son compte épargne-temps doit avoir pris dans l'année au moins 20 jours de congés.</t>
  </si>
  <si>
    <t>CET_D_403</t>
  </si>
  <si>
    <t>Lorsque le compte épargne-temps atteint 15 jours, l'agent peut épargner ensuite chaque année 10 jours au maximum.</t>
  </si>
  <si>
    <t>CET_D_404</t>
  </si>
  <si>
    <t>L'agent peut au titre de l'année 2024, lorsque le compte épargne-temps atteint 15 jours, épargner 20 jours au maximum en raison de l'organisation des jeux olympiques et paralympiques.</t>
  </si>
  <si>
    <t>CET_C_023</t>
  </si>
  <si>
    <t>Lorsque le sens de l'opération est à "Versé", le compteur global saisi est égal au compteur global de l'occurrence précédente auquel sont ajoutés les jours versés.</t>
  </si>
  <si>
    <t>CET_C_026</t>
  </si>
  <si>
    <t>Lorsque le sens de l'opération est égal à "versé", le nombre de jours pour valorisation financière et le nombre de jours pour cotisation RAFP ne doivent pas être renseignés.</t>
  </si>
  <si>
    <t>CET_I_061 ET CET_I_060 ET CET_D_401 ET CET_D_402 ET CET_D_403 ET CET_C_023 ET CET_C_026</t>
  </si>
  <si>
    <t>T2360</t>
  </si>
  <si>
    <t>Compte épargne-temps - Choix d'option</t>
  </si>
  <si>
    <t>La date de l'opération saisie est non vide et le sens de l'opération est "Consommé"</t>
  </si>
  <si>
    <t>A_CET_DOOCET [Saisi] &lt;&gt; Vide ET A_CET_SEOCET [Saisi] = 'C'</t>
  </si>
  <si>
    <t>CET_I_052 ET CET_I_054 ET CET_I_055 ET CET_I_057 ET CET_I_059 ET CET_D_405 ET CET_D_406 ET CET_D_408 ET CET_C_004 ET CET_C_024 ET CET_C_027</t>
  </si>
  <si>
    <t>CET_I_052</t>
  </si>
  <si>
    <t>L'agent est informé chaque année, par l'administration, des jours épargnés et consommés.</t>
  </si>
  <si>
    <t>CET_I_054</t>
  </si>
  <si>
    <t>Si le nombre de jours inscrits est supérieur à 15 jours au terme de l'année civile, l'agent ne peut utiliser ces 15 jours que sous forme de congés, pour les autres jours il doit exercer une option au plus le tard le 31 janvier de l'année suivante.</t>
  </si>
  <si>
    <t>CET_I_055</t>
  </si>
  <si>
    <t>L'agent peut opter dans les proportions qu'il souhaite pour un prise en compte au sein du régime de retraite additionnelle de la fonction publique, pour une indemnisation ou pour un maintien sur le compte épargne-temps.</t>
  </si>
  <si>
    <t>CET_I_057</t>
  </si>
  <si>
    <t>Si l'agent n'exerce pas son droit d'option, les jours au-delà de 15 sont pris en compte au sein du régime de retraite additionnelle de la fonction publique.</t>
  </si>
  <si>
    <t>CET_I_059</t>
  </si>
  <si>
    <t>Les années suivantes, les jours ainsi épargnés excédant le plafond global de jours prévu peuvent être maintenus sur le compte épargne-temps ou être consommés.</t>
  </si>
  <si>
    <t>CET_D_405</t>
  </si>
  <si>
    <t>Le nombre de jours maintenus sur le compte épargne-temps ne doit pas dépasser un plafond annuel de 60 jours.</t>
  </si>
  <si>
    <t>CET_D_406</t>
  </si>
  <si>
    <t>Au terme de l'année 2024, en raison de l'organisation des jeux olympiques et paralympiques, ce plafond annuel passe à 70 jours ou si le nombre de jours épargnés au terme de l'année 2023 excède 60 jours, au nombre de jours épargnés augmentés de 10 jours.</t>
  </si>
  <si>
    <t>CET_D_408</t>
  </si>
  <si>
    <t>Si le nombre de jours inscrits sur le compte épargne-temps est inférieur ou égal à 15 jours au terme de l'année civile, l'agent ne peut utiliser ces jours épargnés que sous forme de congés.</t>
  </si>
  <si>
    <t>CET_C_004</t>
  </si>
  <si>
    <t>Le nombre de jours de l'opération doit être inférieur ou égal au nombre de jours du compteur global du CET.</t>
  </si>
  <si>
    <t>CET_C_024</t>
  </si>
  <si>
    <t>Lorsque le sens de l'opération est à "consommé", le compteur global saisi est égal au compteur global de l'occurrence précédente duquel sont soustraits les jours consommés en congés, les jours pour valorisation financière et les jours pour cotisation RAFP.</t>
  </si>
  <si>
    <t>CET_C_027</t>
  </si>
  <si>
    <t>Lorsque le sens de l'opération est égal à "consommé", l'origine des jours n'est pas à renseigner.</t>
  </si>
  <si>
    <t>Militaire</t>
  </si>
  <si>
    <t>P0002</t>
  </si>
  <si>
    <t>Exclu</t>
  </si>
  <si>
    <t>Contractuel</t>
  </si>
  <si>
    <t>P0003</t>
  </si>
  <si>
    <t>CET_I_052 ET CET_I_054 ET CET_I_056 ET CET_I_058 ET CET_I_059 ET CET_D_405 ET CET_D_406 ET CET_D_408 ET CET_C_004 ET CET_C_024 ET CET_C_027</t>
  </si>
  <si>
    <t>CET_I_056</t>
  </si>
  <si>
    <t>L'agent peut opter dans les proportions qu'il souhaite pour une indemnisation ou pour un maintien sur le compte épargne-temps.</t>
  </si>
  <si>
    <t>CET_I_058</t>
  </si>
  <si>
    <t>Si l'agent n'exerce pas son droit d'option, les jours au-delà de 15 sont indemnisés.</t>
  </si>
  <si>
    <t>Stagiaire ou auditeur ou élève</t>
  </si>
  <si>
    <t>P0004</t>
  </si>
  <si>
    <t>25.10.00</t>
  </si>
  <si>
    <t>Ouvrier d'état</t>
  </si>
  <si>
    <t>P0005</t>
  </si>
  <si>
    <t>2025-114</t>
  </si>
  <si>
    <t>Expert technique international</t>
  </si>
  <si>
    <t>P0018</t>
  </si>
  <si>
    <t>Particulier</t>
  </si>
  <si>
    <t>Personnel civil payé à l'acte ou à la tâche</t>
  </si>
  <si>
    <t>P0054</t>
  </si>
  <si>
    <t>Contractuel de droit privé</t>
  </si>
  <si>
    <t>P0072</t>
  </si>
  <si>
    <t>Ouvrier des parcs et ateliers ou assimilé confirmé</t>
  </si>
  <si>
    <t>P0096</t>
  </si>
  <si>
    <t>CET_I_036 ET CET_I_050 ET CET_D_400 ET CET_D_407 ET CET_C_017 ET CET_C_031</t>
  </si>
  <si>
    <t>CET_I_036</t>
  </si>
  <si>
    <t>L'agent bénéficie des dispositions applicables aux agents titulaires pour le compte épargne-temps, sauf dispositions contraires.</t>
  </si>
  <si>
    <t>CET_I_036 ET CET_I_061 ET CET_I_060 ET CET_D_401 ET CET_D_402 ET CET_D_403 ET CET_C_023 ET CET_C_026</t>
  </si>
  <si>
    <t>CET_I_036 ET CET_I_052 ET CET_I_054 ET CET_I_037 ET CET_I_038 ET CET_I_059 ET CET_D_405 ET CET_D_406 ET CET_D_408 ET CET_C_004 ET CET_C_024 ET CET_C_027</t>
  </si>
  <si>
    <t>CET_I_037</t>
  </si>
  <si>
    <t>CET_I_038</t>
  </si>
  <si>
    <t>Volontaire International</t>
  </si>
  <si>
    <t>P0178</t>
  </si>
  <si>
    <t>Personnel civil de coopération (assistant technique)</t>
  </si>
  <si>
    <t>P0214</t>
  </si>
  <si>
    <t>Ouvrier des parcs et ateliers stagiaire</t>
  </si>
  <si>
    <t>P0226</t>
  </si>
  <si>
    <t>E0972</t>
  </si>
  <si>
    <t>Compte épargne-temps (CET) historique</t>
  </si>
  <si>
    <t>La date d'observation saisie du CET historique est non vide</t>
  </si>
  <si>
    <t>A_CET_DAGTRA [Saisi] &lt;&gt; Vide</t>
  </si>
  <si>
    <t>T2361</t>
  </si>
  <si>
    <t>Compte épargne-temps historique - Choix d'option</t>
  </si>
  <si>
    <t>La date de l'opération saisie est non vide pour le CET historique</t>
  </si>
  <si>
    <t>A_CET_DOOCET [Saisi] &lt;&gt; Vide #pour le CET historique#</t>
  </si>
  <si>
    <t>CET_I_062 ET CET_I_069 ET CET_C_004 ET CET_C_024 ET CET_C_027 ET CET_C_030</t>
  </si>
  <si>
    <t>CET_I_062</t>
  </si>
  <si>
    <t>L'agent titulaire d'un compte épargne-temps historique peut utiliser ses jours épargnés sous forme de congés ou les faire indemniser ou pour une prise en compte au sein du régime additionnel de la fonction publique.</t>
  </si>
  <si>
    <t>CET_I_069</t>
  </si>
  <si>
    <t>Depuis 2009, l'ouverture et l'alimentation du compte épargne-temps historique ne sont plus autorisées.</t>
  </si>
  <si>
    <t>CET_C_030</t>
  </si>
  <si>
    <t>Le sens de l'opération doit être à "consommé".</t>
  </si>
  <si>
    <t>M</t>
  </si>
  <si>
    <t>CET_I_039 ET CET_I_069 ET CET_C_004 ET CET_C_024 ET CET_C_027 ET CET_C_030</t>
  </si>
  <si>
    <t>CET_I_039</t>
  </si>
  <si>
    <t>L'agent titulaire d'un compte épargne-temps historique peut utiliser ses jours épargnés sous forme de congés ou les faire indemniser.</t>
  </si>
  <si>
    <t>CET_I_036 ET CET_I_039 ET CET_I_069 ET CET_C_004 ET CET_C_024 ET CET_C_027 ET CET_C_030</t>
  </si>
  <si>
    <t>E0973</t>
  </si>
  <si>
    <t>Compte épargne-temps (CET) - Mobilité/Fin de fonction</t>
  </si>
  <si>
    <t>T2362</t>
  </si>
  <si>
    <t>Compte épargne-temps - Mobilité/Fin de fonction</t>
  </si>
  <si>
    <t>CET_I_063 ET CET_I_064 ET CET_I_067 ET CET_I_068</t>
  </si>
  <si>
    <t>CET_I_063</t>
  </si>
  <si>
    <t>En cas de mutation, d'intégration directe, de mise à disposition, de détachement dans la fonction publique d'Etat, l'agent peut utiliser son compte épargne-temps. Sa gestion est assurée par l'administration d'accueil.</t>
  </si>
  <si>
    <t>CET_I_064</t>
  </si>
  <si>
    <t>En cas de disponibilité ou en cas de congé parental, l'agent peut utiliser son compte épargne-temps à condition d'avoir obtenu l'autorisation de son administration d'origine.</t>
  </si>
  <si>
    <t>CET_I_067</t>
  </si>
  <si>
    <t>En cas de décès de l'agent, les ayants droit bénéficient d'une indemnisation des jours accumulés sur le compte épargne-temps.</t>
  </si>
  <si>
    <t>CET_I_068</t>
  </si>
  <si>
    <t>Si l'agent cesse définitivement ses fonctions, le solde éventuel de l'indemnisation dû à sa cessation de fonctions est versé à cette date.</t>
  </si>
  <si>
    <t>CET_I_063 ET CET_I_065 ET CET_I_066 ET CET_I_067 ET CET_I_068</t>
  </si>
  <si>
    <t>CET_I_065</t>
  </si>
  <si>
    <t>En cas de congé parental, l'agent peut utiliser son compte épargne-temps à condition d'avoir obtenu l'autorisation de son administration d'origine.</t>
  </si>
  <si>
    <t>CET_I_066</t>
  </si>
  <si>
    <t>En cas de congé de mobilité, l'agent peut utiliser son compte épargne-temps. Sa gestion est assurée par l'administration d'accueil.</t>
  </si>
  <si>
    <t>CET_I_036 ET CET_I_063 ET CET_I_064 ET CET_I_067 ET CET_I_068</t>
  </si>
  <si>
    <t>Impacts</t>
  </si>
  <si>
    <t>Identifiant Impacts  1</t>
  </si>
  <si>
    <t>Libellé Impacts  1</t>
  </si>
  <si>
    <t>Identifiant Impacts 2</t>
  </si>
  <si>
    <t>Libellé Impacts 2</t>
  </si>
  <si>
    <t>Identifiant Impacts 3</t>
  </si>
  <si>
    <t>Libellé Impacts 3</t>
  </si>
  <si>
    <t>CET_P_001 ET CET_P_006 ET CET_P_007</t>
  </si>
  <si>
    <t>CET_P_001</t>
  </si>
  <si>
    <t>Rémunération : En cas d'indemnisation, le montant versé est un montant forfaitaire qui dépend de la catégorie statutaire d'appartenance de l'agent.</t>
  </si>
  <si>
    <t>CET_P_006</t>
  </si>
  <si>
    <t>Stage : L'agent ne peut pas demander l'ouverture ou l'utilisation d'un compte épargne-temps durant la durée de son stage.</t>
  </si>
  <si>
    <t>CET_P_007</t>
  </si>
  <si>
    <t>Congés annuels : L'agent conserve son droit à congé annuel.</t>
  </si>
  <si>
    <t>CET_P_001 ET CET_P_007</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</si>
  <si>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</si>
  <si>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</si>
  <si>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</si>
  <si>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</si>
  <si>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</si>
  <si>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</si>
  <si>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</si>
  <si>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</si>
  <si>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</si>
  <si>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</si>
  <si>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</si>
  <si>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</si>
  <si>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</si>
  <si>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</si>
  <si>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</si>
  <si>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</si>
  <si>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</si>
  <si>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Code de la règle</t>
  </si>
  <si>
    <t>Type de règle</t>
  </si>
  <si>
    <t>Règle littérale</t>
  </si>
  <si>
    <t>Références juridiques</t>
  </si>
  <si>
    <t>Condition</t>
  </si>
  <si>
    <t>Articulation</t>
  </si>
  <si>
    <t>Type de contrôle</t>
  </si>
  <si>
    <t>Typage RG condition</t>
  </si>
  <si>
    <t>Typage RG contrôle</t>
  </si>
  <si>
    <t>Typage RG intellectuel</t>
  </si>
  <si>
    <t>Typage RG impact</t>
  </si>
  <si>
    <t>Règle retenue</t>
  </si>
  <si>
    <t>Expression littérale</t>
  </si>
  <si>
    <t>Décret 2002-634 A2 / Décret 2000-815 A2</t>
  </si>
  <si>
    <t>A_MOS_INDORS [Dossier] = '0'</t>
  </si>
  <si>
    <t>Bloquant</t>
  </si>
  <si>
    <t>P0096 - P0001 / P0003 - E0971</t>
  </si>
  <si>
    <t>x</t>
  </si>
  <si>
    <t>Décret 2002-634 A3</t>
  </si>
  <si>
    <t>A_CET_ORICET [Saisi] DANS ('CV000','CV001','CV002','CV010','CE000','CE001')</t>
  </si>
  <si>
    <t>A_COA_TYCONG [Dossier] DANS ('CV000','CV001','CV002','CV010','CE000','CE001') ET # La somme des droits consommés (A_COA_DROCON) pour ces motifs dans l'année est supérieure ou égale à 20 jours.#</t>
  </si>
  <si>
    <t>Décret 2002-634 A6-3 / Arrêté du 28 aout 2009 A2</t>
  </si>
  <si>
    <t>SI A_CET_COGCET [Occurrence précédente] &gt;= 15,0</t>
  </si>
  <si>
    <t>A_CET_MOPCET [Saisi] &lt;= 10,0</t>
  </si>
  <si>
    <t>Pour la période transitoire liée à l?organisation des jeux Olympiques et Paralympiques, cette règle sera non bloquante car la progression annuelle maximale du nombre de jours pouvant être inscrits sur le CET est fixée à 20 jours, au titre de l'année 2024.</t>
  </si>
  <si>
    <t>Arrêté du 22 février 2024 A2 / Décret 2002-634 A6-3 / Arrêté du 28 aout 2009 A2</t>
  </si>
  <si>
    <t>A_CET_MOPCET [Saisi] &lt;= 20,0</t>
  </si>
  <si>
    <t>P0001 / P0003 - E0971</t>
  </si>
  <si>
    <t>Décret 2002-634 A6-3 / Arrêté du 28 aout 2009 A3</t>
  </si>
  <si>
    <t>A_CET_COGCET [Saisi] &lt;= 60,0</t>
  </si>
  <si>
    <t>Non Bloquant</t>
  </si>
  <si>
    <t>Ce contrôle est non bloquant car les 60 jours doivent être atteints au 31/01 de l'année considérée.</t>
  </si>
  <si>
    <t>Arrêté du 22 février 2024 A2 / Décret 2002-634 A6-3 / Arrêté du 28 aout 2009 A3</t>
  </si>
  <si>
    <t>A_CET_COGCET [Saisi] &lt;= 80,0</t>
  </si>
  <si>
    <t>Ce contrôle est non bloquant car les 80 jours doivent être atteints au 31/01 de l'année considérée.</t>
  </si>
  <si>
    <t>Décret 2002-634 A2</t>
  </si>
  <si>
    <t>A_AND_TYPANC [Dossier] = 'ANCGS' ET (A_CET_DCRCET [Saisi] - A_AND_DACAAN [Dossier] &gt;= 1 AN-3D)</t>
  </si>
  <si>
    <t>Contrôle non bloquant, car le contrôle de l'ancienneté de l'agent reste de la responsabilité du gestionnaire ministériel qui peut le modifier en fonction d'un contexte qui le justifie.</t>
  </si>
  <si>
    <t>Décret 2002-634 A5 / Arrêté du 28 aout 2009 A1</t>
  </si>
  <si>
    <t>SI A_CET_COGCET [Saisi] &lt;= 15,0</t>
  </si>
  <si>
    <t>A_CET_MOPCET [Saisi] &lt;&gt; VIDE ET A_CET_VFICET [Saisi] = VIDE ET A_CET_RAFCET [Saisi] = VIDE</t>
  </si>
  <si>
    <t>17.10.00</t>
  </si>
  <si>
    <t>Contrôle</t>
  </si>
  <si>
    <t>A_CET_MOPCET [Saisi] &lt;= A_CET_COGCET [Saisi]</t>
  </si>
  <si>
    <t>A_CET_DCRCET [Saisi] &gt;= A_SAP_DESIRH [Dossier]</t>
  </si>
  <si>
    <t>Ce contrôle est non bloquant pour permettre les cas de transfert de CET lors de détachement ...</t>
  </si>
  <si>
    <t>A_CET_COGCET [Saisi] = A_CET_COGCET [Occurrence précédente] + A_CET_MOPCET [Saisi]</t>
  </si>
  <si>
    <t>A_CET_COGCET [Saisi] = A_CET_COGCET [Occurrence précédente] - (A_CET_MOPCET [Saisi] + A_CET_VFICET [Saisi] + A_CET_RAFCET [Saisi])</t>
  </si>
  <si>
    <t>A_CET_VFICET [Saisi] = Vide ET A_CET_RAFCET [Saisi] = Vide</t>
  </si>
  <si>
    <t>A_CET_ORICET [Saisi] = Vide</t>
  </si>
  <si>
    <t>A_CET_SEOCET [Saisi] = 'C'</t>
  </si>
  <si>
    <t>A_CET_ORICET [Saisi] = Vide ET A_CET_MOPCET [Saisi] ET A_CET_VFICET [Saisi] = Vide ET A_CET_RAFCET [Saisi] = Vide</t>
  </si>
  <si>
    <t>Intellectuel</t>
  </si>
  <si>
    <t>Décret 65-382 A19</t>
  </si>
  <si>
    <t>P0096 - E0971 / E0972 / E0973</t>
  </si>
  <si>
    <t>Décret 2002-634 A6-II-2° / Décret 65-382 A19</t>
  </si>
  <si>
    <t>P0096 - E0971 - Choix d'option</t>
  </si>
  <si>
    <t>Décret 2009-1065 A9</t>
  </si>
  <si>
    <t>P0096 - P0003 - E0972</t>
  </si>
  <si>
    <t>Décret 2002-634 A1</t>
  </si>
  <si>
    <t>Décret 2002-634 A6 / Arrêté du 28 aout 2009 A1</t>
  </si>
  <si>
    <t>Décret 2002-634 A6</t>
  </si>
  <si>
    <t>P0001 - E0971</t>
  </si>
  <si>
    <t>P0003 - E0971</t>
  </si>
  <si>
    <t>P0001 / P0003 - E0972</t>
  </si>
  <si>
    <t>Décret 2002-634 A10</t>
  </si>
  <si>
    <t>P0096 - P0001 / P0003 - E0973</t>
  </si>
  <si>
    <t>P0096 - P0001 - E0973</t>
  </si>
  <si>
    <t>P0003 - E0973</t>
  </si>
  <si>
    <t>Décret 2002-634 A6-2 | A10-1</t>
  </si>
  <si>
    <t>Décret 2009-1065 A9-II</t>
  </si>
  <si>
    <t>Décret 2009-1065</t>
  </si>
  <si>
    <t>P0096 - P0001 / P0003 - E0972</t>
  </si>
  <si>
    <t>Impact</t>
  </si>
  <si>
    <t>P0001 / P0003 - E0466 / E0468 / E0971 / E0972 / E0973 - Rémunération</t>
  </si>
  <si>
    <t>P0001 / P0003 - E0971 / E0466 / E0468 / E0972 / E0973 - Stage</t>
  </si>
  <si>
    <t>P0001 / P0003 - E0466 / E0468 / E0971 / E0972 / E0973 - Congés annuels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</si>
</sst>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000000"/>
      <name val="Calibri"/>
      <family val="2"/>
    </font>
    <font>
      <b/>
      <sz val="11"/>
      <color theme="1"/>
      <name val="Calibri"/>
      <family val="2"/>
      <scheme val="minor"/>
    </font>
    <font>
      <sz val="11"/>
      <color rgb="FF0000FF"/>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0" fontId="2" fillId="2" borderId="1" xfId="0"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0" fillId="0" borderId="0" xfId="0" applyAlignment="1">
      <alignment wrapText="1"/>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0" fillId="0" borderId="1" xfId="0" applyBorder="1" applyAlignment="1">
      <alignment horizontal="left" vertical="center" wrapText="1"/>
    </xf>
    <xf numFmtId="14" fontId="0" fillId="0" borderId="0" xfId="0" applyNumberFormat="1" applyAlignment="1">
      <alignment wrapText="1"/>
    </xf>
    <xf numFmtId="0" fontId="0" fillId="0" borderId="0" xfId="0" applyAlignment="1">
      <alignment horizontal="left" wrapText="1"/>
    </xf>
    <xf numFmtId="0" fontId="0" fillId="0" borderId="0" xfId="0" applyAlignment="1">
      <alignment horizontal="center" wrapText="1"/>
    </xf>
    <xf numFmtId="0" fontId="3" fillId="0" borderId="1" xfId="0" applyFont="1" applyBorder="1" applyAlignment="1">
      <alignment horizontal="center" vertical="center" wrapText="1"/>
    </xf>
    <xf numFmtId="14" fontId="3" fillId="0" borderId="1" xfId="0" applyNumberFormat="1" applyFont="1" applyBorder="1" applyAlignment="1">
      <alignment horizontal="center" vertical="center" wrapText="1"/>
    </xf>
    <xf numFmtId="0" fontId="3" fillId="0" borderId="1" xfId="0" applyFont="1" applyBorder="1" applyAlignment="1">
      <alignment horizontal="left" vertical="center"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115D2-25B3-4546-B14C-591B57B42E4C}">
  <sheetPr codeName="Feuil2"/>
  <dimension ref="A1:AG425"/>
  <sheetViews>
    <sheetView tabSelected="1" zoomScaleNormal="100" workbookViewId="0"/>
  </sheetViews>
  <sheetFormatPr baseColWidth="10" defaultRowHeight="14.5" x14ac:dyDescent="0.35"/>
  <cols>
    <col min="2" max="2" width="144.26953125" style="9" customWidth="1"/>
    <col min="3" max="3" width="64.81640625" style="2" bestFit="1" customWidth="1"/>
    <col min="18" max="19" width="10.90625" style="2"/>
  </cols>
  <sheetData>
    <row r="1" spans="1:33" x14ac:dyDescent="0.35">
      <c r="B1" s="1" t="s">
        <v>0</v>
      </c>
    </row>
    <row r="2" spans="1:33" ht="116" x14ac:dyDescent="0.35">
      <c r="B2" s="3" t="s">
        <v>1</v>
      </c>
    </row>
    <row r="3" spans="1:33" x14ac:dyDescent="0.35">
      <c r="B3" s="4"/>
    </row>
    <row r="4" spans="1:33" x14ac:dyDescent="0.35">
      <c r="B4" s="4"/>
    </row>
    <row r="5" spans="1:33" x14ac:dyDescent="0.35">
      <c r="B5" s="4"/>
    </row>
    <row r="6" spans="1:33" x14ac:dyDescent="0.35">
      <c r="B6" s="4"/>
    </row>
    <row r="7" spans="1:33" x14ac:dyDescent="0.35">
      <c r="B7" s="4"/>
    </row>
    <row r="8" spans="1:33" x14ac:dyDescent="0.35">
      <c r="B8" s="4"/>
    </row>
    <row r="9" spans="1:33" x14ac:dyDescent="0.35">
      <c r="B9" s="4"/>
    </row>
    <row r="10" spans="1:33" x14ac:dyDescent="0.35">
      <c r="B10" s="4"/>
    </row>
    <row r="11" spans="1:33" x14ac:dyDescent="0.3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3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3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3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35">
      <c r="B15" s="4"/>
      <c r="C15"/>
      <c r="R15"/>
      <c r="S15"/>
    </row>
    <row r="16" spans="1:33" x14ac:dyDescent="0.3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3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3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3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3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3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3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3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3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3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3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3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3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3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3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3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3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3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3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3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3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3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3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3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3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35">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row>
    <row r="43" spans="1:33" x14ac:dyDescent="0.3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3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3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3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3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3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3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3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3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3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3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35">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row>
    <row r="55" spans="1:33" x14ac:dyDescent="0.3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35">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row>
    <row r="57" spans="1:33" x14ac:dyDescent="0.3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3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3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3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3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3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3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3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3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3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3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3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3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3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3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3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3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3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3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3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3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3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3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3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3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35">
      <c r="A82" s="5"/>
      <c r="B82" s="5"/>
      <c r="C82" s="5"/>
      <c r="D82" s="5"/>
      <c r="E82" s="5"/>
      <c r="F82" s="5"/>
      <c r="G82" s="5"/>
      <c r="H82" s="5"/>
      <c r="I82" s="5"/>
      <c r="J82" s="5"/>
      <c r="K82" s="5"/>
      <c r="L82" s="5"/>
      <c r="M82" s="5"/>
      <c r="N82" s="5"/>
      <c r="O82" s="5"/>
      <c r="P82" s="5"/>
      <c r="Q82" s="5"/>
      <c r="R82" s="5"/>
      <c r="S82" s="5"/>
      <c r="T82" s="5"/>
      <c r="U82" s="5"/>
      <c r="V82" s="5"/>
      <c r="W82" s="8"/>
      <c r="X82" s="5"/>
      <c r="Y82" s="5"/>
      <c r="Z82" s="5"/>
      <c r="AA82" s="5"/>
      <c r="AB82" s="5"/>
      <c r="AC82" s="5"/>
      <c r="AD82" s="5"/>
      <c r="AE82" s="5"/>
      <c r="AF82" s="5"/>
      <c r="AG82" s="5"/>
    </row>
    <row r="83" spans="1:33" x14ac:dyDescent="0.3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3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3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3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3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35">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row>
    <row r="89" spans="1:33" x14ac:dyDescent="0.3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3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35">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row>
    <row r="92" spans="1:33" x14ac:dyDescent="0.3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3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35">
      <c r="A94" s="5"/>
      <c r="B94" s="5"/>
      <c r="C94" s="5"/>
      <c r="D94" s="5"/>
      <c r="E94" s="5"/>
      <c r="F94" s="5"/>
      <c r="G94" s="5"/>
      <c r="H94" s="5"/>
      <c r="I94" s="5"/>
      <c r="J94" s="5"/>
      <c r="K94" s="5"/>
      <c r="L94" s="5"/>
      <c r="M94" s="5"/>
      <c r="N94" s="5"/>
      <c r="O94" s="5"/>
      <c r="P94" s="5"/>
      <c r="Q94" s="5"/>
      <c r="R94" s="5"/>
      <c r="S94" s="5"/>
      <c r="T94" s="5"/>
      <c r="U94" s="5"/>
      <c r="V94" s="5"/>
      <c r="W94" s="8"/>
      <c r="X94" s="5"/>
      <c r="Y94" s="5"/>
      <c r="Z94" s="5"/>
      <c r="AA94" s="5"/>
      <c r="AB94" s="5"/>
      <c r="AC94" s="5"/>
      <c r="AD94" s="5"/>
      <c r="AE94" s="5"/>
      <c r="AF94" s="5"/>
      <c r="AG94" s="5"/>
    </row>
    <row r="95" spans="1:33" x14ac:dyDescent="0.3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row>
    <row r="96" spans="1:33" x14ac:dyDescent="0.35">
      <c r="A96" s="5"/>
      <c r="B96" s="5"/>
      <c r="C96" s="5"/>
      <c r="D96" s="5"/>
      <c r="E96" s="5"/>
      <c r="F96" s="5"/>
      <c r="G96" s="5"/>
      <c r="H96" s="5"/>
      <c r="I96" s="5"/>
      <c r="J96" s="5"/>
      <c r="K96" s="5"/>
      <c r="L96" s="5"/>
      <c r="M96" s="5"/>
      <c r="N96" s="5"/>
      <c r="O96" s="5"/>
      <c r="P96" s="5"/>
      <c r="Q96" s="5"/>
      <c r="R96" s="5"/>
      <c r="S96" s="5"/>
      <c r="T96" s="5"/>
      <c r="U96" s="5"/>
      <c r="V96" s="5"/>
      <c r="W96" s="8"/>
      <c r="X96" s="5"/>
      <c r="Y96" s="5"/>
      <c r="Z96" s="5"/>
      <c r="AA96" s="5"/>
      <c r="AB96" s="5"/>
      <c r="AC96" s="5"/>
      <c r="AD96" s="5"/>
      <c r="AE96" s="5"/>
      <c r="AF96" s="5"/>
      <c r="AG96" s="5"/>
    </row>
    <row r="97" spans="1:33" x14ac:dyDescent="0.3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3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3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3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3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3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row>
    <row r="103" spans="1:33" x14ac:dyDescent="0.3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3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3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3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row>
    <row r="107" spans="1:33" x14ac:dyDescent="0.3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row>
    <row r="108" spans="1:33" x14ac:dyDescent="0.3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row>
    <row r="109" spans="1:33" x14ac:dyDescent="0.3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3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3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3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3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3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row>
    <row r="115" spans="1:33" x14ac:dyDescent="0.3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row>
    <row r="116" spans="1:33" x14ac:dyDescent="0.3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row>
    <row r="117" spans="1:33" x14ac:dyDescent="0.3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3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3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3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3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3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3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3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row>
    <row r="125" spans="1:33" x14ac:dyDescent="0.3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row>
    <row r="126" spans="1:33" x14ac:dyDescent="0.3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3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3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3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3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35">
      <c r="A131" s="5"/>
      <c r="B131" s="5"/>
      <c r="C131" s="5"/>
      <c r="D131" s="5"/>
      <c r="E131" s="5"/>
      <c r="F131" s="5"/>
      <c r="G131" s="5"/>
      <c r="H131" s="5"/>
      <c r="I131" s="5"/>
      <c r="J131" s="5"/>
      <c r="K131" s="5"/>
      <c r="L131" s="5"/>
      <c r="M131" s="5"/>
      <c r="N131" s="5"/>
      <c r="O131" s="5"/>
      <c r="P131" s="5"/>
      <c r="Q131" s="5"/>
      <c r="R131" s="5"/>
      <c r="S131" s="5"/>
      <c r="T131" s="5"/>
      <c r="U131" s="5"/>
      <c r="V131" s="5"/>
      <c r="W131" s="8"/>
      <c r="X131" s="5"/>
      <c r="Y131" s="5"/>
      <c r="Z131" s="5"/>
      <c r="AA131" s="5"/>
      <c r="AB131" s="5"/>
      <c r="AC131" s="5"/>
      <c r="AD131" s="5"/>
      <c r="AE131" s="5"/>
      <c r="AF131" s="5"/>
      <c r="AG131" s="5"/>
    </row>
    <row r="132" spans="1:33" x14ac:dyDescent="0.3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3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row>
    <row r="134" spans="1:33" x14ac:dyDescent="0.3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3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3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3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3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3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3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3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row>
    <row r="142" spans="1:33" x14ac:dyDescent="0.35">
      <c r="A142" s="5"/>
      <c r="B142" s="5"/>
      <c r="C142" s="5"/>
      <c r="D142" s="5"/>
      <c r="E142" s="5"/>
      <c r="F142" s="5"/>
      <c r="G142" s="5"/>
      <c r="H142" s="5"/>
      <c r="I142" s="5"/>
      <c r="J142" s="5"/>
      <c r="K142" s="5"/>
      <c r="L142" s="5"/>
      <c r="M142" s="5"/>
      <c r="N142" s="5"/>
      <c r="O142" s="5"/>
      <c r="P142" s="5"/>
      <c r="Q142" s="5"/>
      <c r="R142" s="5"/>
      <c r="S142" s="5"/>
      <c r="T142" s="5"/>
      <c r="U142" s="5"/>
      <c r="V142" s="5"/>
      <c r="W142" s="8"/>
      <c r="X142" s="5"/>
      <c r="Y142" s="5"/>
      <c r="Z142" s="5"/>
      <c r="AA142" s="5"/>
      <c r="AB142" s="5"/>
      <c r="AC142" s="5"/>
      <c r="AD142" s="5"/>
      <c r="AE142" s="5"/>
      <c r="AF142" s="5"/>
      <c r="AG142" s="5"/>
    </row>
    <row r="143" spans="1:33" x14ac:dyDescent="0.3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3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3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35">
      <c r="A146" s="5"/>
      <c r="B146" s="5"/>
      <c r="C146" s="5"/>
      <c r="D146" s="5"/>
      <c r="E146" s="5"/>
      <c r="F146" s="5"/>
      <c r="G146" s="5"/>
      <c r="H146" s="5"/>
      <c r="I146" s="5"/>
      <c r="J146" s="5"/>
      <c r="K146" s="5"/>
      <c r="L146" s="5"/>
      <c r="M146" s="5"/>
      <c r="N146" s="5"/>
      <c r="O146" s="5"/>
      <c r="P146" s="5"/>
      <c r="Q146" s="5"/>
      <c r="R146" s="5"/>
      <c r="S146" s="5"/>
      <c r="T146" s="5"/>
      <c r="U146" s="5"/>
      <c r="V146" s="5"/>
      <c r="W146" s="8"/>
      <c r="X146" s="5"/>
      <c r="Y146" s="5"/>
      <c r="Z146" s="5"/>
      <c r="AA146" s="5"/>
      <c r="AB146" s="5"/>
      <c r="AC146" s="5"/>
      <c r="AD146" s="5"/>
      <c r="AE146" s="5"/>
      <c r="AF146" s="5"/>
      <c r="AG146" s="5"/>
    </row>
    <row r="147" spans="1:33" x14ac:dyDescent="0.35">
      <c r="A147" s="5"/>
      <c r="B147" s="5"/>
      <c r="C147" s="5"/>
      <c r="D147" s="5"/>
      <c r="E147" s="5"/>
      <c r="F147" s="5"/>
      <c r="G147" s="5"/>
      <c r="H147" s="5"/>
      <c r="I147" s="5"/>
      <c r="J147" s="5"/>
      <c r="K147" s="5"/>
      <c r="L147" s="5"/>
      <c r="M147" s="5"/>
      <c r="N147" s="5"/>
      <c r="O147" s="5"/>
      <c r="P147" s="5"/>
      <c r="Q147" s="5"/>
      <c r="R147" s="5"/>
      <c r="S147" s="5"/>
      <c r="T147" s="5"/>
      <c r="U147" s="5"/>
      <c r="V147" s="5"/>
      <c r="W147" s="8"/>
      <c r="X147" s="5"/>
      <c r="Y147" s="5"/>
      <c r="Z147" s="5"/>
      <c r="AA147" s="5"/>
      <c r="AB147" s="5"/>
      <c r="AC147" s="5"/>
      <c r="AD147" s="5"/>
      <c r="AE147" s="5"/>
      <c r="AF147" s="5"/>
      <c r="AG147" s="5"/>
    </row>
    <row r="148" spans="1:33" x14ac:dyDescent="0.3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3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3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3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3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3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35">
      <c r="A154" s="5"/>
      <c r="B154" s="5"/>
      <c r="C154" s="5"/>
      <c r="D154" s="5"/>
      <c r="E154" s="5"/>
      <c r="F154" s="5"/>
      <c r="G154" s="5"/>
      <c r="H154" s="5"/>
      <c r="I154" s="5"/>
      <c r="J154" s="5"/>
      <c r="K154" s="5"/>
      <c r="L154" s="5"/>
      <c r="M154" s="5"/>
      <c r="N154" s="5"/>
      <c r="O154" s="5"/>
      <c r="P154" s="5"/>
      <c r="Q154" s="5"/>
      <c r="R154" s="5"/>
      <c r="S154" s="5"/>
      <c r="T154" s="5"/>
      <c r="U154" s="5"/>
      <c r="V154" s="5"/>
      <c r="W154" s="8"/>
      <c r="X154" s="5"/>
      <c r="Y154" s="5"/>
      <c r="Z154" s="5"/>
      <c r="AA154" s="5"/>
      <c r="AB154" s="5"/>
      <c r="AC154" s="5"/>
      <c r="AD154" s="5"/>
      <c r="AE154" s="5"/>
      <c r="AF154" s="5"/>
      <c r="AG154" s="5"/>
    </row>
    <row r="155" spans="1:33" x14ac:dyDescent="0.35">
      <c r="A155" s="5"/>
      <c r="B155" s="5"/>
      <c r="C155" s="5"/>
      <c r="D155" s="5"/>
      <c r="E155" s="5"/>
      <c r="F155" s="5"/>
      <c r="G155" s="5"/>
      <c r="H155" s="5"/>
      <c r="I155" s="5"/>
      <c r="J155" s="5"/>
      <c r="K155" s="5"/>
      <c r="L155" s="5"/>
      <c r="M155" s="5"/>
      <c r="N155" s="5"/>
      <c r="O155" s="5"/>
      <c r="P155" s="5"/>
      <c r="Q155" s="5"/>
      <c r="R155" s="5"/>
      <c r="S155" s="5"/>
      <c r="T155" s="5"/>
      <c r="U155" s="5"/>
      <c r="V155" s="5"/>
      <c r="W155" s="8"/>
      <c r="X155" s="5"/>
      <c r="Y155" s="5"/>
      <c r="Z155" s="5"/>
      <c r="AA155" s="5"/>
      <c r="AB155" s="5"/>
      <c r="AC155" s="5"/>
      <c r="AD155" s="5"/>
      <c r="AE155" s="5"/>
      <c r="AF155" s="5"/>
      <c r="AG155" s="5"/>
    </row>
    <row r="156" spans="1:33" x14ac:dyDescent="0.35">
      <c r="A156" s="5"/>
      <c r="B156" s="5"/>
      <c r="C156" s="5"/>
      <c r="D156" s="5"/>
      <c r="E156" s="5"/>
      <c r="F156" s="5"/>
      <c r="G156" s="5"/>
      <c r="H156" s="5"/>
      <c r="I156" s="5"/>
      <c r="J156" s="5"/>
      <c r="K156" s="5"/>
      <c r="L156" s="5"/>
      <c r="M156" s="5"/>
      <c r="N156" s="5"/>
      <c r="O156" s="5"/>
      <c r="P156" s="5"/>
      <c r="Q156" s="5"/>
      <c r="R156" s="5"/>
      <c r="S156" s="5"/>
      <c r="T156" s="5"/>
      <c r="U156" s="5"/>
      <c r="V156" s="5"/>
      <c r="W156" s="8"/>
      <c r="X156" s="5"/>
      <c r="Y156" s="5"/>
      <c r="Z156" s="5"/>
      <c r="AA156" s="5"/>
      <c r="AB156" s="5"/>
      <c r="AC156" s="5"/>
      <c r="AD156" s="5"/>
      <c r="AE156" s="5"/>
      <c r="AF156" s="5"/>
      <c r="AG156" s="5"/>
    </row>
    <row r="157" spans="1:33" x14ac:dyDescent="0.3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row>
    <row r="158" spans="1:33" x14ac:dyDescent="0.3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row>
    <row r="159" spans="1:33" x14ac:dyDescent="0.3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3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3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3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3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row>
    <row r="164" spans="1:33" x14ac:dyDescent="0.35">
      <c r="A164" s="5"/>
      <c r="B164" s="5"/>
      <c r="C164" s="5"/>
      <c r="D164" s="5"/>
      <c r="E164" s="5"/>
      <c r="F164" s="5"/>
      <c r="G164" s="5"/>
      <c r="H164" s="5"/>
      <c r="I164" s="5"/>
      <c r="J164" s="5"/>
      <c r="K164" s="5"/>
      <c r="L164" s="5"/>
      <c r="M164" s="5"/>
      <c r="N164" s="5"/>
      <c r="O164" s="5"/>
      <c r="P164" s="5"/>
      <c r="Q164" s="5"/>
      <c r="R164" s="5"/>
      <c r="S164" s="5"/>
      <c r="T164" s="5"/>
      <c r="U164" s="5"/>
      <c r="V164" s="5"/>
      <c r="W164" s="8"/>
      <c r="X164" s="5"/>
      <c r="Y164" s="5"/>
      <c r="Z164" s="5"/>
      <c r="AA164" s="5"/>
      <c r="AB164" s="5"/>
      <c r="AC164" s="5"/>
      <c r="AD164" s="5"/>
      <c r="AE164" s="5"/>
      <c r="AF164" s="5"/>
      <c r="AG164" s="5"/>
    </row>
    <row r="165" spans="1:33" x14ac:dyDescent="0.35">
      <c r="A165" s="5"/>
      <c r="B165" s="5"/>
      <c r="C165" s="5"/>
      <c r="D165" s="5"/>
      <c r="E165" s="5"/>
      <c r="F165" s="5"/>
      <c r="G165" s="5"/>
      <c r="H165" s="5"/>
      <c r="I165" s="5"/>
      <c r="J165" s="5"/>
      <c r="K165" s="5"/>
      <c r="L165" s="5"/>
      <c r="M165" s="5"/>
      <c r="N165" s="5"/>
      <c r="O165" s="5"/>
      <c r="P165" s="5"/>
      <c r="Q165" s="5"/>
      <c r="R165" s="5"/>
      <c r="S165" s="5"/>
      <c r="T165" s="5"/>
      <c r="U165" s="5"/>
      <c r="V165" s="5"/>
      <c r="W165" s="8"/>
      <c r="X165" s="5"/>
      <c r="Y165" s="5"/>
      <c r="Z165" s="5"/>
      <c r="AA165" s="5"/>
      <c r="AB165" s="5"/>
      <c r="AC165" s="5"/>
      <c r="AD165" s="5"/>
      <c r="AE165" s="5"/>
      <c r="AF165" s="5"/>
      <c r="AG165" s="5"/>
    </row>
    <row r="166" spans="1:33" x14ac:dyDescent="0.3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3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3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3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3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3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3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35">
      <c r="A173" s="5"/>
      <c r="B173" s="5"/>
      <c r="C173" s="5"/>
      <c r="D173" s="5"/>
      <c r="E173" s="5"/>
      <c r="F173" s="5"/>
      <c r="G173" s="5"/>
      <c r="H173" s="5"/>
      <c r="I173" s="5"/>
      <c r="J173" s="5"/>
      <c r="K173" s="5"/>
      <c r="L173" s="5"/>
      <c r="M173" s="5"/>
      <c r="N173" s="5"/>
      <c r="O173" s="5"/>
      <c r="P173" s="5"/>
      <c r="Q173" s="5"/>
      <c r="R173" s="5"/>
      <c r="S173" s="5"/>
      <c r="T173" s="5"/>
      <c r="U173" s="5"/>
      <c r="V173" s="5"/>
      <c r="W173" s="8"/>
      <c r="X173" s="5"/>
      <c r="Y173" s="5"/>
      <c r="Z173" s="5"/>
      <c r="AA173" s="5"/>
      <c r="AB173" s="5"/>
      <c r="AC173" s="5"/>
      <c r="AD173" s="5"/>
      <c r="AE173" s="5"/>
      <c r="AF173" s="5"/>
      <c r="AG173" s="5"/>
    </row>
    <row r="174" spans="1:33" x14ac:dyDescent="0.3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35">
      <c r="A175" s="5"/>
      <c r="B175" s="5"/>
      <c r="C175" s="5"/>
      <c r="D175" s="5"/>
      <c r="E175" s="5"/>
      <c r="F175" s="5"/>
      <c r="G175" s="5"/>
      <c r="H175" s="5"/>
      <c r="I175" s="5"/>
      <c r="J175" s="5"/>
      <c r="K175" s="5"/>
      <c r="L175" s="5"/>
      <c r="M175" s="5"/>
      <c r="N175" s="5"/>
      <c r="O175" s="5"/>
      <c r="P175" s="5"/>
      <c r="Q175" s="5"/>
      <c r="R175" s="5"/>
      <c r="S175" s="5"/>
      <c r="T175" s="5"/>
      <c r="U175" s="5"/>
      <c r="V175" s="5"/>
      <c r="W175" s="8"/>
      <c r="X175" s="5"/>
      <c r="Y175" s="5"/>
      <c r="Z175" s="5"/>
      <c r="AA175" s="5"/>
      <c r="AB175" s="5"/>
      <c r="AC175" s="5"/>
      <c r="AD175" s="5"/>
      <c r="AE175" s="5"/>
      <c r="AF175" s="5"/>
      <c r="AG175" s="5"/>
    </row>
    <row r="176" spans="1:33" x14ac:dyDescent="0.3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3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3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3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3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35">
      <c r="A181" s="5"/>
      <c r="B181" s="5"/>
      <c r="C181" s="5"/>
      <c r="D181" s="5"/>
      <c r="E181" s="5"/>
      <c r="F181" s="5"/>
      <c r="G181" s="5"/>
      <c r="H181" s="5"/>
      <c r="I181" s="5"/>
      <c r="J181" s="5"/>
      <c r="K181" s="5"/>
      <c r="L181" s="5"/>
      <c r="M181" s="5"/>
      <c r="N181" s="5"/>
      <c r="O181" s="5"/>
      <c r="P181" s="5"/>
      <c r="Q181" s="5"/>
      <c r="R181" s="5"/>
      <c r="S181" s="5"/>
      <c r="T181" s="5"/>
      <c r="U181" s="5"/>
      <c r="V181" s="5"/>
      <c r="W181" s="8"/>
      <c r="X181" s="5"/>
      <c r="Y181" s="5"/>
      <c r="Z181" s="5"/>
      <c r="AA181" s="5"/>
      <c r="AB181" s="5"/>
      <c r="AC181" s="5"/>
      <c r="AD181" s="5"/>
      <c r="AE181" s="5"/>
      <c r="AF181" s="5"/>
      <c r="AG181" s="5"/>
    </row>
    <row r="182" spans="1:33" x14ac:dyDescent="0.3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3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3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3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3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3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35">
      <c r="A188" s="5"/>
      <c r="B188" s="5"/>
      <c r="C188" s="5"/>
      <c r="D188" s="5"/>
      <c r="E188" s="5"/>
      <c r="F188" s="5"/>
      <c r="G188" s="5"/>
      <c r="H188" s="5"/>
      <c r="I188" s="5"/>
      <c r="J188" s="5"/>
      <c r="K188" s="5"/>
      <c r="L188" s="5"/>
      <c r="M188" s="5"/>
      <c r="N188" s="5"/>
      <c r="O188" s="5"/>
      <c r="P188" s="5"/>
      <c r="Q188" s="5"/>
      <c r="R188" s="5"/>
      <c r="S188" s="5"/>
      <c r="T188" s="5"/>
      <c r="U188" s="5"/>
      <c r="V188" s="5"/>
      <c r="W188" s="8"/>
      <c r="X188" s="5"/>
      <c r="Y188" s="5"/>
      <c r="Z188" s="5"/>
      <c r="AA188" s="5"/>
      <c r="AB188" s="5"/>
      <c r="AC188" s="5"/>
      <c r="AD188" s="5"/>
      <c r="AE188" s="5"/>
      <c r="AF188" s="5"/>
      <c r="AG188" s="5"/>
    </row>
    <row r="189" spans="1:33" x14ac:dyDescent="0.3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3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3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3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3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3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3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3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35">
      <c r="A197" s="5"/>
      <c r="B197" s="5"/>
      <c r="C197" s="5"/>
      <c r="D197" s="5"/>
      <c r="E197" s="5"/>
      <c r="F197" s="5"/>
      <c r="G197" s="5"/>
      <c r="H197" s="5"/>
      <c r="I197" s="5"/>
      <c r="J197" s="5"/>
      <c r="K197" s="5"/>
      <c r="L197" s="5"/>
      <c r="M197" s="5"/>
      <c r="N197" s="5"/>
      <c r="O197" s="5"/>
      <c r="P197" s="5"/>
      <c r="Q197" s="5"/>
      <c r="R197" s="5"/>
      <c r="S197" s="5"/>
      <c r="T197" s="5"/>
      <c r="U197" s="5"/>
      <c r="V197" s="5"/>
      <c r="W197" s="8"/>
      <c r="X197" s="5"/>
      <c r="Y197" s="5"/>
      <c r="Z197" s="5"/>
      <c r="AA197" s="5"/>
      <c r="AB197" s="5"/>
      <c r="AC197" s="5"/>
      <c r="AD197" s="5"/>
      <c r="AE197" s="5"/>
      <c r="AF197" s="5"/>
      <c r="AG197" s="5"/>
    </row>
    <row r="198" spans="1:33" x14ac:dyDescent="0.35">
      <c r="A198" s="5"/>
      <c r="B198" s="5"/>
      <c r="C198" s="5"/>
      <c r="D198" s="5"/>
      <c r="E198" s="5"/>
      <c r="F198" s="5"/>
      <c r="G198" s="5"/>
      <c r="H198" s="5"/>
      <c r="I198" s="5"/>
      <c r="J198" s="5"/>
      <c r="K198" s="5"/>
      <c r="L198" s="5"/>
      <c r="M198" s="5"/>
      <c r="N198" s="5"/>
      <c r="O198" s="5"/>
      <c r="P198" s="5"/>
      <c r="Q198" s="5"/>
      <c r="R198" s="5"/>
      <c r="S198" s="5"/>
      <c r="T198" s="5"/>
      <c r="U198" s="5"/>
      <c r="V198" s="5"/>
      <c r="W198" s="8"/>
      <c r="X198" s="5"/>
      <c r="Y198" s="5"/>
      <c r="Z198" s="5"/>
      <c r="AA198" s="5"/>
      <c r="AB198" s="5"/>
      <c r="AC198" s="5"/>
      <c r="AD198" s="5"/>
      <c r="AE198" s="5"/>
      <c r="AF198" s="5"/>
      <c r="AG198" s="5"/>
    </row>
    <row r="199" spans="1:33" x14ac:dyDescent="0.3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3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3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3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35">
      <c r="A203" s="5"/>
      <c r="B203" s="5"/>
      <c r="C203" s="5"/>
      <c r="D203" s="5"/>
      <c r="E203" s="5"/>
      <c r="F203" s="5"/>
      <c r="G203" s="5"/>
      <c r="H203" s="5"/>
      <c r="I203" s="5"/>
      <c r="J203" s="5"/>
      <c r="K203" s="5"/>
      <c r="L203" s="5"/>
      <c r="M203" s="5"/>
      <c r="N203" s="5"/>
      <c r="O203" s="5"/>
      <c r="P203" s="5"/>
      <c r="Q203" s="5"/>
      <c r="R203" s="5"/>
      <c r="S203" s="5"/>
      <c r="T203" s="5"/>
      <c r="U203" s="5"/>
      <c r="V203" s="5"/>
      <c r="W203" s="8"/>
      <c r="X203" s="5"/>
      <c r="Y203" s="5"/>
      <c r="Z203" s="5"/>
      <c r="AA203" s="5"/>
      <c r="AB203" s="5"/>
      <c r="AC203" s="5"/>
      <c r="AD203" s="5"/>
      <c r="AE203" s="5"/>
      <c r="AF203" s="5"/>
      <c r="AG203" s="5"/>
    </row>
    <row r="204" spans="1:33" x14ac:dyDescent="0.3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3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3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3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35">
      <c r="A208" s="5"/>
      <c r="B208" s="5"/>
      <c r="C208" s="5"/>
      <c r="D208" s="5"/>
      <c r="E208" s="5"/>
      <c r="F208" s="5"/>
      <c r="G208" s="5"/>
      <c r="H208" s="5"/>
      <c r="I208" s="5"/>
      <c r="J208" s="5"/>
      <c r="K208" s="5"/>
      <c r="L208" s="5"/>
      <c r="M208" s="5"/>
      <c r="N208" s="5"/>
      <c r="O208" s="5"/>
      <c r="P208" s="5"/>
      <c r="Q208" s="5"/>
      <c r="R208" s="5"/>
      <c r="S208" s="5"/>
      <c r="T208" s="5"/>
      <c r="U208" s="5"/>
      <c r="V208" s="5"/>
      <c r="W208" s="8"/>
      <c r="X208" s="5"/>
      <c r="Y208" s="5"/>
      <c r="Z208" s="5"/>
      <c r="AA208" s="5"/>
      <c r="AB208" s="5"/>
      <c r="AC208" s="5"/>
      <c r="AD208" s="5"/>
      <c r="AE208" s="5"/>
      <c r="AF208" s="5"/>
      <c r="AG208" s="5"/>
    </row>
    <row r="209" spans="1:33" x14ac:dyDescent="0.3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3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3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row>
    <row r="261" spans="1:33"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3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row>
    <row r="264" spans="1:33"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3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row>
    <row r="272" spans="1:33" x14ac:dyDescent="0.3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row>
    <row r="273" spans="1:33"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3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row>
    <row r="287" spans="1:33"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3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row>
    <row r="294" spans="1:33"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35">
      <c r="A300" s="5"/>
      <c r="B300" s="5"/>
      <c r="C300" s="5"/>
      <c r="D300" s="5"/>
      <c r="E300" s="5"/>
      <c r="F300" s="5"/>
      <c r="G300" s="5"/>
      <c r="H300" s="5"/>
      <c r="I300" s="5"/>
      <c r="J300" s="5"/>
      <c r="K300" s="5"/>
      <c r="L300" s="5"/>
      <c r="M300" s="5"/>
      <c r="N300" s="5"/>
      <c r="O300" s="5"/>
      <c r="P300" s="5"/>
      <c r="Q300" s="5"/>
      <c r="R300" s="5"/>
      <c r="S300" s="5"/>
      <c r="T300" s="5"/>
      <c r="U300" s="5"/>
      <c r="V300" s="5"/>
      <c r="W300" s="8"/>
      <c r="X300" s="5"/>
      <c r="Y300" s="5"/>
      <c r="Z300" s="5"/>
      <c r="AA300" s="5"/>
      <c r="AB300" s="5"/>
      <c r="AC300" s="5"/>
      <c r="AD300" s="5"/>
      <c r="AE300" s="5"/>
      <c r="AF300" s="5"/>
      <c r="AG300" s="5"/>
    </row>
    <row r="301" spans="1:33"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35">
      <c r="A303" s="5"/>
      <c r="B303" s="5"/>
      <c r="C303" s="5"/>
      <c r="D303" s="5"/>
      <c r="E303" s="5"/>
      <c r="F303" s="5"/>
      <c r="G303" s="5"/>
      <c r="H303" s="5"/>
      <c r="I303" s="5"/>
      <c r="J303" s="5"/>
      <c r="K303" s="5"/>
      <c r="L303" s="5"/>
      <c r="M303" s="5"/>
      <c r="N303" s="5"/>
      <c r="O303" s="5"/>
      <c r="P303" s="5"/>
      <c r="Q303" s="5"/>
      <c r="R303" s="5"/>
      <c r="S303" s="5"/>
      <c r="T303" s="5"/>
      <c r="U303" s="5"/>
      <c r="V303" s="5"/>
      <c r="W303" s="8"/>
      <c r="X303" s="5"/>
      <c r="Y303" s="5"/>
      <c r="Z303" s="5"/>
      <c r="AA303" s="5"/>
      <c r="AB303" s="5"/>
      <c r="AC303" s="5"/>
      <c r="AD303" s="5"/>
      <c r="AE303" s="5"/>
      <c r="AF303" s="5"/>
      <c r="AG303" s="5"/>
    </row>
    <row r="304" spans="1:33"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35">
      <c r="A311" s="5"/>
      <c r="B311" s="5"/>
      <c r="C311" s="5"/>
      <c r="D311" s="5"/>
      <c r="E311" s="5"/>
      <c r="F311" s="5"/>
      <c r="G311" s="5"/>
      <c r="H311" s="5"/>
      <c r="I311" s="5"/>
      <c r="J311" s="5"/>
      <c r="K311" s="5"/>
      <c r="L311" s="5"/>
      <c r="M311" s="5"/>
      <c r="N311" s="5"/>
      <c r="O311" s="5"/>
      <c r="P311" s="5"/>
      <c r="Q311" s="5"/>
      <c r="R311" s="5"/>
      <c r="S311" s="5"/>
      <c r="T311" s="5"/>
      <c r="U311" s="5"/>
      <c r="V311" s="5"/>
      <c r="W311" s="8"/>
      <c r="X311" s="5"/>
      <c r="Y311" s="5"/>
      <c r="Z311" s="5"/>
      <c r="AA311" s="5"/>
      <c r="AB311" s="5"/>
      <c r="AC311" s="5"/>
      <c r="AD311" s="5"/>
      <c r="AE311" s="5"/>
      <c r="AF311" s="5"/>
      <c r="AG311" s="5"/>
    </row>
    <row r="312" spans="1:33" x14ac:dyDescent="0.35">
      <c r="A312" s="5"/>
      <c r="B312" s="5"/>
      <c r="C312" s="5"/>
      <c r="D312" s="5"/>
      <c r="E312" s="5"/>
      <c r="F312" s="5"/>
      <c r="G312" s="5"/>
      <c r="H312" s="5"/>
      <c r="I312" s="5"/>
      <c r="J312" s="5"/>
      <c r="K312" s="5"/>
      <c r="L312" s="5"/>
      <c r="M312" s="5"/>
      <c r="N312" s="5"/>
      <c r="O312" s="5"/>
      <c r="P312" s="5"/>
      <c r="Q312" s="5"/>
      <c r="R312" s="5"/>
      <c r="S312" s="5"/>
      <c r="T312" s="5"/>
      <c r="U312" s="5"/>
      <c r="V312" s="5"/>
      <c r="W312" s="8"/>
      <c r="X312" s="5"/>
      <c r="Y312" s="5"/>
      <c r="Z312" s="5"/>
      <c r="AA312" s="5"/>
      <c r="AB312" s="5"/>
      <c r="AC312" s="5"/>
      <c r="AD312" s="5"/>
      <c r="AE312" s="5"/>
      <c r="AF312" s="5"/>
      <c r="AG312" s="5"/>
    </row>
    <row r="313" spans="1:33"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35">
      <c r="A326" s="5"/>
      <c r="B326" s="5"/>
      <c r="C326" s="5"/>
      <c r="D326" s="5"/>
      <c r="E326" s="5"/>
      <c r="F326" s="5"/>
      <c r="G326" s="5"/>
      <c r="H326" s="5"/>
      <c r="I326" s="5"/>
      <c r="J326" s="5"/>
      <c r="K326" s="5"/>
      <c r="L326" s="5"/>
      <c r="M326" s="5"/>
      <c r="N326" s="5"/>
      <c r="O326" s="5"/>
      <c r="P326" s="5"/>
      <c r="Q326" s="5"/>
      <c r="R326" s="5"/>
      <c r="S326" s="5"/>
      <c r="T326" s="5"/>
      <c r="U326" s="5"/>
      <c r="V326" s="5"/>
      <c r="W326" s="8"/>
      <c r="X326" s="5"/>
      <c r="Y326" s="5"/>
      <c r="Z326" s="5"/>
      <c r="AA326" s="5"/>
      <c r="AB326" s="5"/>
      <c r="AC326" s="5"/>
      <c r="AD326" s="5"/>
      <c r="AE326" s="5"/>
      <c r="AF326" s="5"/>
      <c r="AG326" s="5"/>
    </row>
    <row r="327" spans="1:33"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35">
      <c r="A333" s="5"/>
      <c r="B333" s="5"/>
      <c r="C333" s="5"/>
      <c r="D333" s="5"/>
      <c r="E333" s="5"/>
      <c r="F333" s="5"/>
      <c r="G333" s="5"/>
      <c r="H333" s="5"/>
      <c r="I333" s="5"/>
      <c r="J333" s="5"/>
      <c r="K333" s="5"/>
      <c r="L333" s="5"/>
      <c r="M333" s="5"/>
      <c r="N333" s="5"/>
      <c r="O333" s="5"/>
      <c r="P333" s="5"/>
      <c r="Q333" s="5"/>
      <c r="R333" s="5"/>
      <c r="S333" s="5"/>
      <c r="T333" s="5"/>
      <c r="U333" s="5"/>
      <c r="V333" s="5"/>
      <c r="W333" s="8"/>
      <c r="X333" s="5"/>
      <c r="Y333" s="5"/>
      <c r="Z333" s="5"/>
      <c r="AA333" s="5"/>
      <c r="AB333" s="5"/>
      <c r="AC333" s="5"/>
      <c r="AD333" s="5"/>
      <c r="AE333" s="5"/>
      <c r="AF333" s="5"/>
      <c r="AG333" s="5"/>
    </row>
    <row r="334" spans="1:33"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row r="386" spans="1:33" x14ac:dyDescent="0.3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row>
    <row r="387" spans="1:33" x14ac:dyDescent="0.3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row>
    <row r="388" spans="1:33" x14ac:dyDescent="0.3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row>
    <row r="389" spans="1:33" x14ac:dyDescent="0.3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row>
    <row r="390" spans="1:33" x14ac:dyDescent="0.3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row>
    <row r="391" spans="1:33" x14ac:dyDescent="0.3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row>
    <row r="392" spans="1:33" x14ac:dyDescent="0.3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row>
    <row r="393" spans="1:33" x14ac:dyDescent="0.3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row>
    <row r="394" spans="1:33" x14ac:dyDescent="0.3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row>
    <row r="395" spans="1:33" x14ac:dyDescent="0.3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row>
    <row r="396" spans="1:33" x14ac:dyDescent="0.3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row>
    <row r="397" spans="1:33" x14ac:dyDescent="0.3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row>
    <row r="398" spans="1:33" x14ac:dyDescent="0.3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row>
    <row r="399" spans="1:33" x14ac:dyDescent="0.3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row>
    <row r="400" spans="1:33" x14ac:dyDescent="0.3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row>
    <row r="401" spans="1:33" x14ac:dyDescent="0.3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row>
    <row r="402" spans="1:33" x14ac:dyDescent="0.3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row>
    <row r="403" spans="1:33" x14ac:dyDescent="0.3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row>
    <row r="404" spans="1:33" x14ac:dyDescent="0.3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row>
    <row r="405" spans="1:33" x14ac:dyDescent="0.3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row>
    <row r="406" spans="1:33" x14ac:dyDescent="0.3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row>
    <row r="407" spans="1:33" x14ac:dyDescent="0.3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row>
    <row r="408" spans="1:33" x14ac:dyDescent="0.3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row>
    <row r="409" spans="1:33" x14ac:dyDescent="0.3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row>
    <row r="410" spans="1:33" x14ac:dyDescent="0.3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row>
    <row r="411" spans="1:33" x14ac:dyDescent="0.3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row>
    <row r="412" spans="1:33" x14ac:dyDescent="0.3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row>
    <row r="413" spans="1:33" x14ac:dyDescent="0.3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row>
    <row r="414" spans="1:33" x14ac:dyDescent="0.3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row>
    <row r="415" spans="1:33" x14ac:dyDescent="0.3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row>
    <row r="416" spans="1:33" x14ac:dyDescent="0.3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row>
    <row r="417" spans="1:33" x14ac:dyDescent="0.3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row>
    <row r="418" spans="1:33" x14ac:dyDescent="0.3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row>
    <row r="419" spans="1:33" x14ac:dyDescent="0.3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row>
    <row r="420" spans="1:33" x14ac:dyDescent="0.3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row>
    <row r="421" spans="1:33" x14ac:dyDescent="0.3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row>
    <row r="422" spans="1:33" x14ac:dyDescent="0.3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row>
    <row r="423" spans="1:33" x14ac:dyDescent="0.3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row>
    <row r="424" spans="1:33" x14ac:dyDescent="0.3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row>
    <row r="425" spans="1:33" x14ac:dyDescent="0.3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42E5B-A3FD-4173-BF1E-C019DE7CC590}">
  <dimension ref="A1:BA275"/>
  <sheetViews>
    <sheetView topLeftCell="O1" workbookViewId="0">
      <pane ySplit="1" topLeftCell="A2" activePane="bottomLeft" state="frozenSplit"/>
      <selection pane="bottomLeft" activeCell="Q17" sqref="Q17"/>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13.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3" width="40.6328125" style="17" customWidth="1"/>
    <col min="24" max="24" width="15.6328125" style="18" customWidth="1"/>
    <col min="25" max="25" width="25.6328125" style="17" customWidth="1"/>
    <col min="26" max="26" width="15.6328125" style="18" customWidth="1"/>
    <col min="27" max="27" width="25.6328125" style="17" customWidth="1"/>
    <col min="28" max="28" width="15.6328125" style="18" customWidth="1"/>
    <col min="29" max="29" width="25.6328125" style="17" customWidth="1"/>
    <col min="30" max="30" width="15.6328125" style="18" customWidth="1"/>
    <col min="31" max="31" width="25.6328125" style="17" customWidth="1"/>
    <col min="32" max="32" width="15.6328125" style="18" customWidth="1"/>
    <col min="33" max="33" width="25.6328125" style="17" customWidth="1"/>
    <col min="34" max="34" width="15.6328125" style="18" customWidth="1"/>
    <col min="35" max="35" width="25.6328125" style="17" customWidth="1"/>
    <col min="36" max="36" width="15.6328125" style="18" customWidth="1"/>
    <col min="37" max="37" width="25.6328125" style="17" customWidth="1"/>
    <col min="38" max="38" width="15.6328125" style="18" customWidth="1"/>
    <col min="39" max="39" width="25.6328125" style="17" customWidth="1"/>
    <col min="40" max="40" width="15.6328125" style="18" customWidth="1"/>
    <col min="41" max="41" width="25.6328125" style="17" customWidth="1"/>
    <col min="42" max="42" width="15.6328125" style="18" customWidth="1"/>
    <col min="43" max="43" width="25.6328125" style="17" customWidth="1"/>
    <col min="44" max="44" width="15.6328125" style="18" customWidth="1"/>
    <col min="45" max="45" width="25.6328125" style="17" customWidth="1"/>
    <col min="46" max="46" width="15.6328125" style="18" customWidth="1"/>
    <col min="47" max="47" width="25.6328125" style="17" customWidth="1"/>
    <col min="48" max="48" width="15.6328125" style="18" customWidth="1"/>
    <col min="49" max="49" width="25.6328125" style="17" customWidth="1"/>
    <col min="50" max="50" width="15.6328125" style="18" customWidth="1"/>
    <col min="51" max="51" width="25.6328125" style="17" customWidth="1"/>
    <col min="52" max="52" width="9.6328125" style="18" customWidth="1"/>
    <col min="53" max="53" width="15.6328125" style="12" customWidth="1"/>
    <col min="54" max="16384" width="10.90625" style="12"/>
  </cols>
  <sheetData>
    <row r="1" spans="1:53"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23</v>
      </c>
      <c r="X1" s="10" t="s">
        <v>24</v>
      </c>
      <c r="Y1" s="10" t="s">
        <v>25</v>
      </c>
      <c r="Z1" s="10" t="s">
        <v>26</v>
      </c>
      <c r="AA1" s="10" t="s">
        <v>27</v>
      </c>
      <c r="AB1" s="10" t="s">
        <v>28</v>
      </c>
      <c r="AC1" s="10" t="s">
        <v>29</v>
      </c>
      <c r="AD1" s="10" t="s">
        <v>30</v>
      </c>
      <c r="AE1" s="10" t="s">
        <v>31</v>
      </c>
      <c r="AF1" s="10" t="s">
        <v>32</v>
      </c>
      <c r="AG1" s="10" t="s">
        <v>33</v>
      </c>
      <c r="AH1" s="10" t="s">
        <v>34</v>
      </c>
      <c r="AI1" s="10" t="s">
        <v>35</v>
      </c>
      <c r="AJ1" s="10" t="s">
        <v>36</v>
      </c>
      <c r="AK1" s="10" t="s">
        <v>37</v>
      </c>
      <c r="AL1" s="10" t="s">
        <v>38</v>
      </c>
      <c r="AM1" s="10" t="s">
        <v>39</v>
      </c>
      <c r="AN1" s="10" t="s">
        <v>40</v>
      </c>
      <c r="AO1" s="10" t="s">
        <v>41</v>
      </c>
      <c r="AP1" s="10" t="s">
        <v>42</v>
      </c>
      <c r="AQ1" s="10" t="s">
        <v>43</v>
      </c>
      <c r="AR1" s="10" t="s">
        <v>44</v>
      </c>
      <c r="AS1" s="10" t="s">
        <v>45</v>
      </c>
      <c r="AT1" s="10" t="s">
        <v>46</v>
      </c>
      <c r="AU1" s="10" t="s">
        <v>47</v>
      </c>
      <c r="AV1" s="10" t="s">
        <v>48</v>
      </c>
      <c r="AW1" s="10" t="s">
        <v>49</v>
      </c>
      <c r="AX1" s="10" t="s">
        <v>50</v>
      </c>
      <c r="AY1" s="10" t="s">
        <v>51</v>
      </c>
      <c r="AZ1" s="10" t="s">
        <v>52</v>
      </c>
      <c r="BA1" s="10" t="s">
        <v>53</v>
      </c>
    </row>
    <row r="2" spans="1:53" ht="116" x14ac:dyDescent="0.35">
      <c r="A2" s="13" t="s">
        <v>54</v>
      </c>
      <c r="B2" s="13" t="s">
        <v>55</v>
      </c>
      <c r="C2" s="14">
        <v>45628.63958333333</v>
      </c>
      <c r="D2" s="13" t="s">
        <v>56</v>
      </c>
      <c r="E2" s="15" t="s">
        <v>57</v>
      </c>
      <c r="F2" s="13" t="s">
        <v>58</v>
      </c>
      <c r="G2" s="15" t="s">
        <v>59</v>
      </c>
      <c r="H2" s="13" t="s">
        <v>60</v>
      </c>
      <c r="I2" s="15" t="s">
        <v>61</v>
      </c>
      <c r="J2" s="15" t="s">
        <v>62</v>
      </c>
      <c r="K2" s="15" t="s">
        <v>63</v>
      </c>
      <c r="L2" s="13" t="s">
        <v>64</v>
      </c>
      <c r="M2" s="15" t="s">
        <v>65</v>
      </c>
      <c r="N2" s="13" t="s">
        <v>66</v>
      </c>
      <c r="O2" s="15" t="s">
        <v>67</v>
      </c>
      <c r="P2" s="15" t="s">
        <v>68</v>
      </c>
      <c r="Q2" s="15" t="s">
        <v>69</v>
      </c>
      <c r="R2" s="13" t="s">
        <v>70</v>
      </c>
      <c r="S2" s="13" t="s">
        <v>71</v>
      </c>
      <c r="T2" s="13" t="s">
        <v>72</v>
      </c>
      <c r="U2" s="14">
        <v>45323</v>
      </c>
      <c r="V2" s="14"/>
      <c r="W2" s="15" t="s">
        <v>73</v>
      </c>
      <c r="X2" s="13" t="s">
        <v>74</v>
      </c>
      <c r="Y2" s="15" t="str">
        <f>VLOOKUP(X2,'Axe 2 Règles de gestion'!$D$2:$F$43,3, FALSE)</f>
        <v>L'agent doit effectuer une demande d'ouverture d'un compte épargne-temps.</v>
      </c>
      <c r="Z2" s="13"/>
      <c r="AA2" s="15"/>
      <c r="AB2" s="13"/>
      <c r="AC2" s="15"/>
      <c r="AD2" s="13"/>
      <c r="AE2" s="15"/>
      <c r="AF2" s="13"/>
      <c r="AG2" s="15"/>
      <c r="AH2" s="13"/>
      <c r="AI2" s="15"/>
      <c r="AJ2" s="13" t="s">
        <v>76</v>
      </c>
      <c r="AK2" s="15" t="str">
        <f>VLOOKUP(AJ2,'Axe 2 Règles de gestion'!$D$2:$F$43,3, FALSE)</f>
        <v>L'agent ne doit pas relever des régimes d'obligation de service.</v>
      </c>
      <c r="AL2" s="13" t="s">
        <v>78</v>
      </c>
      <c r="AM2" s="15" t="str">
        <f>VLOOKUP(AL2,'Axe 2 Règles de gestion'!$D$2:$F$43,3, FALSE)</f>
        <v>L'agent est employé de manière continue et a accompli au moins 1 année de service.</v>
      </c>
      <c r="AN2" s="13"/>
      <c r="AO2" s="15"/>
      <c r="AP2" s="13"/>
      <c r="AQ2" s="15"/>
      <c r="AR2" s="13" t="s">
        <v>80</v>
      </c>
      <c r="AS2" s="15" t="str">
        <f>VLOOKUP(AR2,'Axe 2 Règles de gestion'!$D$2:$F$43,3, FALSE)</f>
        <v>La date d'ouverture du compte épargne temps global doit être postérieure ou égale à la date d'entrée dans le SIRH.</v>
      </c>
      <c r="AT2" s="13" t="s">
        <v>82</v>
      </c>
      <c r="AU2" s="15" t="str">
        <f>VLOOKUP(AT2,'Axe 2 Règles de gestion'!$D$2:$F$43,3, FALSE)</f>
        <v>Les champs "Origine", "Nombre de jours de l'opération", "Nombre de jours pour valorisation financière" et "Nombre de jours pour cotisation RAFP" ne doivent pas être renseignés.</v>
      </c>
      <c r="AV2" s="13"/>
      <c r="AW2" s="15"/>
      <c r="AX2" s="13"/>
      <c r="AY2" s="15"/>
      <c r="AZ2" s="13"/>
      <c r="BA2" s="13"/>
    </row>
    <row r="3" spans="1:53" ht="130.5" x14ac:dyDescent="0.35">
      <c r="A3" s="13" t="s">
        <v>54</v>
      </c>
      <c r="B3" s="13" t="s">
        <v>55</v>
      </c>
      <c r="C3" s="14">
        <v>45628.644444444442</v>
      </c>
      <c r="D3" s="13" t="s">
        <v>56</v>
      </c>
      <c r="E3" s="15" t="s">
        <v>57</v>
      </c>
      <c r="F3" s="13" t="s">
        <v>58</v>
      </c>
      <c r="G3" s="15" t="s">
        <v>59</v>
      </c>
      <c r="H3" s="13" t="s">
        <v>60</v>
      </c>
      <c r="I3" s="15" t="s">
        <v>61</v>
      </c>
      <c r="J3" s="15" t="s">
        <v>62</v>
      </c>
      <c r="K3" s="15" t="s">
        <v>63</v>
      </c>
      <c r="L3" s="13" t="s">
        <v>84</v>
      </c>
      <c r="M3" s="15" t="s">
        <v>85</v>
      </c>
      <c r="N3" s="13" t="s">
        <v>66</v>
      </c>
      <c r="O3" s="15" t="s">
        <v>86</v>
      </c>
      <c r="P3" s="15" t="s">
        <v>87</v>
      </c>
      <c r="Q3" s="15" t="s">
        <v>69</v>
      </c>
      <c r="R3" s="13" t="s">
        <v>70</v>
      </c>
      <c r="S3" s="13" t="s">
        <v>71</v>
      </c>
      <c r="T3" s="13" t="s">
        <v>72</v>
      </c>
      <c r="U3" s="14">
        <v>45323</v>
      </c>
      <c r="V3" s="14">
        <v>45688</v>
      </c>
      <c r="W3" s="15" t="s">
        <v>88</v>
      </c>
      <c r="X3" s="13" t="s">
        <v>89</v>
      </c>
      <c r="Y3" s="15" t="str">
        <f>VLOOKUP(X3,'Axe 2 Règles de gestion'!$D$2:$F$43,3, FALSE)</f>
        <v>Pour les agents en service à l'étranger, le compte épargne-temps est alimenté par le report des jours de congés annuels dont ils bénéficient au titre du pays dans lequel ils sont affectés.</v>
      </c>
      <c r="Z3" s="13" t="s">
        <v>91</v>
      </c>
      <c r="AA3" s="15" t="str">
        <f>VLOOKUP(Z3,'Axe 2 Règles de gestion'!$D$2:$F$43,3, FALSE)</f>
        <v>L'agent ne peut pas alimenter son compte épargne-temps par le report de congés bonifiés.</v>
      </c>
      <c r="AB3" s="13"/>
      <c r="AC3" s="15"/>
      <c r="AD3" s="13"/>
      <c r="AE3" s="15"/>
      <c r="AF3" s="13"/>
      <c r="AG3" s="15"/>
      <c r="AH3" s="13"/>
      <c r="AI3" s="15"/>
      <c r="AJ3" s="13" t="s">
        <v>93</v>
      </c>
      <c r="AK3" s="15" t="str">
        <f>VLOOKUP(AJ3,'Axe 2 Règles de gestion'!$D$2:$F$43,3, FALSE)</f>
        <v>L'agent peut alimenter son compte épargne-temps par le report de jours de réduction du temps de travail, par le report de congés annuels et de fractionnement et si un arrêté le prévoit par le report de jours de repos compensateur.</v>
      </c>
      <c r="AL3" s="13" t="s">
        <v>95</v>
      </c>
      <c r="AM3" s="15" t="str">
        <f>VLOOKUP(AL3,'Axe 2 Règles de gestion'!$D$2:$F$43,3, FALSE)</f>
        <v>L'agent pour pouvoir alimenter son compte épargne-temps doit avoir pris dans l'année au moins 20 jours de congés.</v>
      </c>
      <c r="AN3" s="13" t="s">
        <v>97</v>
      </c>
      <c r="AO3" s="15" t="str">
        <f>VLOOKUP(AN3,'Axe 2 Règles de gestion'!$D$2:$F$43,3, FALSE)</f>
        <v>Lorsque le compte épargne-temps atteint 15 jours, l'agent peut épargner ensuite chaque année 10 jours au maximum.</v>
      </c>
      <c r="AP3" s="13" t="s">
        <v>99</v>
      </c>
      <c r="AQ3" s="15" t="str">
        <f>VLOOKUP(AP3,'Axe 2 Règles de gestion'!$D$2:$F$43,3, FALSE)</f>
        <v>L'agent peut au titre de l'année 2024, lorsque le compte épargne-temps atteint 15 jours, épargner 20 jours au maximum en raison de l'organisation des jeux olympiques et paralympiques.</v>
      </c>
      <c r="AR3" s="13" t="s">
        <v>101</v>
      </c>
      <c r="AS3" s="15" t="str">
        <f>VLOOKUP(AR3,'Axe 2 Règles de gestion'!$D$2:$F$43,3, FALSE)</f>
        <v>Lorsque le sens de l'opération est à "Versé", le compteur global saisi est égal au compteur global de l'occurrence précédente auquel sont ajoutés les jours versés.</v>
      </c>
      <c r="AT3" s="13" t="s">
        <v>103</v>
      </c>
      <c r="AU3" s="15" t="str">
        <f>VLOOKUP(AT3,'Axe 2 Règles de gestion'!$D$2:$F$43,3, FALSE)</f>
        <v>Lorsque le sens de l'opération est égal à "versé", le nombre de jours pour valorisation financière et le nombre de jours pour cotisation RAFP ne doivent pas être renseignés.</v>
      </c>
      <c r="AV3" s="13"/>
      <c r="AW3" s="15"/>
      <c r="AX3" s="13"/>
      <c r="AY3" s="15"/>
      <c r="AZ3" s="13"/>
      <c r="BA3" s="13"/>
    </row>
    <row r="4" spans="1:53" ht="130.5" x14ac:dyDescent="0.35">
      <c r="A4" s="13" t="s">
        <v>54</v>
      </c>
      <c r="B4" s="13" t="s">
        <v>55</v>
      </c>
      <c r="C4" s="14">
        <v>45628.645138888889</v>
      </c>
      <c r="D4" s="13" t="s">
        <v>56</v>
      </c>
      <c r="E4" s="15" t="s">
        <v>57</v>
      </c>
      <c r="F4" s="13" t="s">
        <v>58</v>
      </c>
      <c r="G4" s="15" t="s">
        <v>59</v>
      </c>
      <c r="H4" s="13" t="s">
        <v>60</v>
      </c>
      <c r="I4" s="15" t="s">
        <v>61</v>
      </c>
      <c r="J4" s="15" t="s">
        <v>62</v>
      </c>
      <c r="K4" s="15" t="s">
        <v>63</v>
      </c>
      <c r="L4" s="13" t="s">
        <v>84</v>
      </c>
      <c r="M4" s="15" t="s">
        <v>85</v>
      </c>
      <c r="N4" s="13" t="s">
        <v>66</v>
      </c>
      <c r="O4" s="15" t="s">
        <v>86</v>
      </c>
      <c r="P4" s="15" t="s">
        <v>87</v>
      </c>
      <c r="Q4" s="15" t="s">
        <v>69</v>
      </c>
      <c r="R4" s="13" t="s">
        <v>70</v>
      </c>
      <c r="S4" s="13" t="s">
        <v>71</v>
      </c>
      <c r="T4" s="13" t="s">
        <v>72</v>
      </c>
      <c r="U4" s="14">
        <v>45689</v>
      </c>
      <c r="V4" s="14"/>
      <c r="W4" s="15" t="s">
        <v>105</v>
      </c>
      <c r="X4" s="13" t="s">
        <v>89</v>
      </c>
      <c r="Y4" s="15" t="str">
        <f>VLOOKUP(X4,'Axe 2 Règles de gestion'!$D$2:$F$43,3, FALSE)</f>
        <v>Pour les agents en service à l'étranger, le compte épargne-temps est alimenté par le report des jours de congés annuels dont ils bénéficient au titre du pays dans lequel ils sont affectés.</v>
      </c>
      <c r="Z4" s="13" t="s">
        <v>91</v>
      </c>
      <c r="AA4" s="15" t="str">
        <f>VLOOKUP(Z4,'Axe 2 Règles de gestion'!$D$2:$F$43,3, FALSE)</f>
        <v>L'agent ne peut pas alimenter son compte épargne-temps par le report de congés bonifiés.</v>
      </c>
      <c r="AB4" s="13"/>
      <c r="AC4" s="15"/>
      <c r="AD4" s="13"/>
      <c r="AE4" s="15"/>
      <c r="AF4" s="13"/>
      <c r="AG4" s="15"/>
      <c r="AH4" s="13"/>
      <c r="AI4" s="15"/>
      <c r="AJ4" s="13" t="s">
        <v>93</v>
      </c>
      <c r="AK4" s="15" t="str">
        <f>VLOOKUP(AJ4,'Axe 2 Règles de gestion'!$D$2:$F$43,3, FALSE)</f>
        <v>L'agent peut alimenter son compte épargne-temps par le report de jours de réduction du temps de travail, par le report de congés annuels et de fractionnement et si un arrêté le prévoit par le report de jours de repos compensateur.</v>
      </c>
      <c r="AL4" s="13" t="s">
        <v>95</v>
      </c>
      <c r="AM4" s="15" t="str">
        <f>VLOOKUP(AL4,'Axe 2 Règles de gestion'!$D$2:$F$43,3, FALSE)</f>
        <v>L'agent pour pouvoir alimenter son compte épargne-temps doit avoir pris dans l'année au moins 20 jours de congés.</v>
      </c>
      <c r="AN4" s="13" t="s">
        <v>97</v>
      </c>
      <c r="AO4" s="15" t="str">
        <f>VLOOKUP(AN4,'Axe 2 Règles de gestion'!$D$2:$F$43,3, FALSE)</f>
        <v>Lorsque le compte épargne-temps atteint 15 jours, l'agent peut épargner ensuite chaque année 10 jours au maximum.</v>
      </c>
      <c r="AP4" s="13"/>
      <c r="AQ4" s="15"/>
      <c r="AR4" s="13" t="s">
        <v>101</v>
      </c>
      <c r="AS4" s="15" t="str">
        <f>VLOOKUP(AR4,'Axe 2 Règles de gestion'!$D$2:$F$43,3, FALSE)</f>
        <v>Lorsque le sens de l'opération est à "Versé", le compteur global saisi est égal au compteur global de l'occurrence précédente auquel sont ajoutés les jours versés.</v>
      </c>
      <c r="AT4" s="13" t="s">
        <v>103</v>
      </c>
      <c r="AU4" s="15" t="str">
        <f>VLOOKUP(AT4,'Axe 2 Règles de gestion'!$D$2:$F$43,3, FALSE)</f>
        <v>Lorsque le sens de l'opération est égal à "versé", le nombre de jours pour valorisation financière et le nombre de jours pour cotisation RAFP ne doivent pas être renseignés.</v>
      </c>
      <c r="AV4" s="13"/>
      <c r="AW4" s="15"/>
      <c r="AX4" s="13"/>
      <c r="AY4" s="15"/>
      <c r="AZ4" s="13"/>
      <c r="BA4" s="13"/>
    </row>
    <row r="5" spans="1:53" ht="159.5" x14ac:dyDescent="0.35">
      <c r="A5" s="13" t="s">
        <v>54</v>
      </c>
      <c r="B5" s="13" t="s">
        <v>55</v>
      </c>
      <c r="C5" s="14">
        <v>45628.65902777778</v>
      </c>
      <c r="D5" s="13" t="s">
        <v>56</v>
      </c>
      <c r="E5" s="15" t="s">
        <v>57</v>
      </c>
      <c r="F5" s="13" t="s">
        <v>58</v>
      </c>
      <c r="G5" s="15" t="s">
        <v>59</v>
      </c>
      <c r="H5" s="13" t="s">
        <v>60</v>
      </c>
      <c r="I5" s="15" t="s">
        <v>61</v>
      </c>
      <c r="J5" s="15" t="s">
        <v>62</v>
      </c>
      <c r="K5" s="15" t="s">
        <v>63</v>
      </c>
      <c r="L5" s="13" t="s">
        <v>106</v>
      </c>
      <c r="M5" s="15" t="s">
        <v>107</v>
      </c>
      <c r="N5" s="13" t="s">
        <v>66</v>
      </c>
      <c r="O5" s="15" t="s">
        <v>108</v>
      </c>
      <c r="P5" s="15" t="s">
        <v>109</v>
      </c>
      <c r="Q5" s="15" t="s">
        <v>69</v>
      </c>
      <c r="R5" s="13" t="s">
        <v>70</v>
      </c>
      <c r="S5" s="13" t="s">
        <v>71</v>
      </c>
      <c r="T5" s="13" t="s">
        <v>72</v>
      </c>
      <c r="U5" s="14">
        <v>45323</v>
      </c>
      <c r="V5" s="14"/>
      <c r="W5" s="15" t="s">
        <v>110</v>
      </c>
      <c r="X5" s="13" t="s">
        <v>111</v>
      </c>
      <c r="Y5" s="15" t="str">
        <f>VLOOKUP(X5,'Axe 2 Règles de gestion'!$D$2:$F$43,3, FALSE)</f>
        <v>L'agent est informé chaque année, par l'administration, des jours épargnés et consommés.</v>
      </c>
      <c r="Z5" s="13" t="s">
        <v>113</v>
      </c>
      <c r="AA5" s="15" t="str">
        <f>VLOOKUP(Z5,'Axe 2 Règles de gestion'!$D$2:$F$43,3, FALSE)</f>
        <v>Si le nombre de jours inscrits est supérieur à 15 jours au terme de l'année civile, l'agent ne peut utiliser ces 15 jours que sous forme de congés, pour les autres jours il doit exercer une option au plus le tard le 31 janvier de l'année suivante.</v>
      </c>
      <c r="AB5" s="13" t="s">
        <v>115</v>
      </c>
      <c r="AC5" s="15" t="str">
        <f>VLOOKUP(AB5,'Axe 2 Règles de gestion'!$D$2:$F$43,3, FALSE)</f>
        <v>L'agent peut opter dans les proportions qu'il souhaite pour un prise en compte au sein du régime de retraite additionnelle de la fonction publique, pour une indemnisation ou pour un maintien sur le compte épargne-temps.</v>
      </c>
      <c r="AD5" s="13" t="s">
        <v>117</v>
      </c>
      <c r="AE5" s="15" t="str">
        <f>VLOOKUP(AD5,'Axe 2 Règles de gestion'!$D$2:$F$43,3, FALSE)</f>
        <v>Si l'agent n'exerce pas son droit d'option, les jours au-delà de 15 sont pris en compte au sein du régime de retraite additionnelle de la fonction publique.</v>
      </c>
      <c r="AF5" s="13" t="s">
        <v>119</v>
      </c>
      <c r="AG5" s="15" t="str">
        <f>VLOOKUP(AF5,'Axe 2 Règles de gestion'!$D$2:$F$43,3, FALSE)</f>
        <v>Les années suivantes, les jours ainsi épargnés excédant le plafond global de jours prévu peuvent être maintenus sur le compte épargne-temps ou être consommés.</v>
      </c>
      <c r="AH5" s="13"/>
      <c r="AI5" s="15"/>
      <c r="AJ5" s="13" t="s">
        <v>121</v>
      </c>
      <c r="AK5" s="15" t="str">
        <f>VLOOKUP(AJ5,'Axe 2 Règles de gestion'!$D$2:$F$43,3, FALSE)</f>
        <v>Le nombre de jours maintenus sur le compte épargne-temps ne doit pas dépasser un plafond annuel de 60 jours.</v>
      </c>
      <c r="AL5" s="13" t="s">
        <v>123</v>
      </c>
      <c r="AM5" s="15" t="str">
        <f>VLOOKUP(AL5,'Axe 2 Règles de gestion'!$D$2:$F$43,3, FALSE)</f>
        <v>Au terme de l'année 2024, en raison de l'organisation des jeux olympiques et paralympiques, ce plafond annuel passe à 70 jours ou si le nombre de jours épargnés au terme de l'année 2023 excède 60 jours, au nombre de jours épargnés augmentés de 10 jours.</v>
      </c>
      <c r="AN5" s="13" t="s">
        <v>125</v>
      </c>
      <c r="AO5" s="15" t="str">
        <f>VLOOKUP(AN5,'Axe 2 Règles de gestion'!$D$2:$F$43,3, FALSE)</f>
        <v>Si le nombre de jours inscrits sur le compte épargne-temps est inférieur ou égal à 15 jours au terme de l'année civile, l'agent ne peut utiliser ces jours épargnés que sous forme de congés.</v>
      </c>
      <c r="AP5" s="13"/>
      <c r="AQ5" s="15"/>
      <c r="AR5" s="13" t="s">
        <v>127</v>
      </c>
      <c r="AS5" s="15" t="str">
        <f>VLOOKUP(AR5,'Axe 2 Règles de gestion'!$D$2:$F$43,3, FALSE)</f>
        <v>Le nombre de jours de l'opération doit être inférieur ou égal au nombre de jours du compteur global du CET.</v>
      </c>
      <c r="AT5" s="13" t="s">
        <v>129</v>
      </c>
      <c r="AU5" s="15" t="str">
        <f>VLOOKUP(AT5,'Axe 2 Règles de gestion'!$D$2:$F$43,3, FALSE)</f>
        <v>Lorsque le sens de l'opération est à "consommé", le compteur global saisi est égal au compteur global de l'occurrence précédente duquel sont soustraits les jours consommés en congés, les jours pour valorisation financière et les jours pour cotisation RAFP.</v>
      </c>
      <c r="AV5" s="13" t="s">
        <v>131</v>
      </c>
      <c r="AW5" s="15" t="str">
        <f>VLOOKUP(AV5,'Axe 2 Règles de gestion'!$D$2:$F$43,3, FALSE)</f>
        <v>Lorsque le sens de l'opération est égal à "consommé", l'origine des jours n'est pas à renseigner.</v>
      </c>
      <c r="AX5" s="13"/>
      <c r="AY5" s="15"/>
      <c r="AZ5" s="13"/>
      <c r="BA5" s="13"/>
    </row>
    <row r="6" spans="1:53" ht="43.5" x14ac:dyDescent="0.35">
      <c r="A6" s="13" t="s">
        <v>54</v>
      </c>
      <c r="B6" s="13" t="s">
        <v>55</v>
      </c>
      <c r="C6" s="14">
        <v>45628.640277777777</v>
      </c>
      <c r="D6" s="13" t="s">
        <v>56</v>
      </c>
      <c r="E6" s="15" t="s">
        <v>57</v>
      </c>
      <c r="F6" s="13" t="s">
        <v>58</v>
      </c>
      <c r="G6" s="15" t="s">
        <v>59</v>
      </c>
      <c r="H6" s="13" t="s">
        <v>60</v>
      </c>
      <c r="I6" s="15" t="s">
        <v>61</v>
      </c>
      <c r="J6" s="15" t="s">
        <v>62</v>
      </c>
      <c r="K6" s="15" t="s">
        <v>63</v>
      </c>
      <c r="L6" s="13" t="s">
        <v>64</v>
      </c>
      <c r="M6" s="15" t="s">
        <v>65</v>
      </c>
      <c r="N6" s="13" t="s">
        <v>66</v>
      </c>
      <c r="O6" s="15" t="s">
        <v>67</v>
      </c>
      <c r="P6" s="15" t="s">
        <v>68</v>
      </c>
      <c r="Q6" s="15" t="s">
        <v>133</v>
      </c>
      <c r="R6" s="13" t="s">
        <v>134</v>
      </c>
      <c r="S6" s="13" t="s">
        <v>71</v>
      </c>
      <c r="T6" s="13" t="s">
        <v>135</v>
      </c>
      <c r="U6" s="14">
        <v>45323</v>
      </c>
      <c r="V6" s="14"/>
      <c r="W6" s="15"/>
      <c r="X6" s="13"/>
      <c r="Y6" s="15"/>
      <c r="Z6" s="13"/>
      <c r="AA6" s="15"/>
      <c r="AB6" s="13"/>
      <c r="AC6" s="15"/>
      <c r="AD6" s="13"/>
      <c r="AE6" s="15"/>
      <c r="AF6" s="13"/>
      <c r="AG6" s="15"/>
      <c r="AH6" s="13"/>
      <c r="AI6" s="15"/>
      <c r="AJ6" s="13"/>
      <c r="AK6" s="15"/>
      <c r="AL6" s="13"/>
      <c r="AM6" s="15"/>
      <c r="AN6" s="13"/>
      <c r="AO6" s="15"/>
      <c r="AP6" s="13"/>
      <c r="AQ6" s="15"/>
      <c r="AR6" s="13"/>
      <c r="AS6" s="15"/>
      <c r="AT6" s="13"/>
      <c r="AU6" s="15"/>
      <c r="AV6" s="13"/>
      <c r="AW6" s="15"/>
      <c r="AX6" s="13"/>
      <c r="AY6" s="15"/>
      <c r="AZ6" s="13"/>
      <c r="BA6" s="13"/>
    </row>
    <row r="7" spans="1:53" ht="43.5" x14ac:dyDescent="0.35">
      <c r="A7" s="13" t="s">
        <v>54</v>
      </c>
      <c r="B7" s="13" t="s">
        <v>55</v>
      </c>
      <c r="C7" s="14">
        <v>45628.645138888889</v>
      </c>
      <c r="D7" s="13" t="s">
        <v>56</v>
      </c>
      <c r="E7" s="15" t="s">
        <v>57</v>
      </c>
      <c r="F7" s="13" t="s">
        <v>58</v>
      </c>
      <c r="G7" s="15" t="s">
        <v>59</v>
      </c>
      <c r="H7" s="13" t="s">
        <v>60</v>
      </c>
      <c r="I7" s="15" t="s">
        <v>61</v>
      </c>
      <c r="J7" s="15" t="s">
        <v>62</v>
      </c>
      <c r="K7" s="15" t="s">
        <v>63</v>
      </c>
      <c r="L7" s="13" t="s">
        <v>84</v>
      </c>
      <c r="M7" s="15" t="s">
        <v>85</v>
      </c>
      <c r="N7" s="13" t="s">
        <v>66</v>
      </c>
      <c r="O7" s="15" t="s">
        <v>86</v>
      </c>
      <c r="P7" s="15" t="s">
        <v>87</v>
      </c>
      <c r="Q7" s="15" t="s">
        <v>133</v>
      </c>
      <c r="R7" s="13" t="s">
        <v>134</v>
      </c>
      <c r="S7" s="13" t="s">
        <v>71</v>
      </c>
      <c r="T7" s="13" t="s">
        <v>135</v>
      </c>
      <c r="U7" s="14">
        <v>45323</v>
      </c>
      <c r="V7" s="14"/>
      <c r="W7" s="15"/>
      <c r="X7" s="13"/>
      <c r="Y7" s="15"/>
      <c r="Z7" s="13"/>
      <c r="AA7" s="15"/>
      <c r="AB7" s="13"/>
      <c r="AC7" s="15"/>
      <c r="AD7" s="13"/>
      <c r="AE7" s="15"/>
      <c r="AF7" s="13"/>
      <c r="AG7" s="15"/>
      <c r="AH7" s="13"/>
      <c r="AI7" s="15"/>
      <c r="AJ7" s="13"/>
      <c r="AK7" s="15"/>
      <c r="AL7" s="13"/>
      <c r="AM7" s="15"/>
      <c r="AN7" s="13"/>
      <c r="AO7" s="15"/>
      <c r="AP7" s="13"/>
      <c r="AQ7" s="15"/>
      <c r="AR7" s="13"/>
      <c r="AS7" s="15"/>
      <c r="AT7" s="13"/>
      <c r="AU7" s="15"/>
      <c r="AV7" s="13"/>
      <c r="AW7" s="15"/>
      <c r="AX7" s="13"/>
      <c r="AY7" s="15"/>
      <c r="AZ7" s="13"/>
      <c r="BA7" s="13"/>
    </row>
    <row r="8" spans="1:53" ht="43.5" x14ac:dyDescent="0.35">
      <c r="A8" s="13" t="s">
        <v>54</v>
      </c>
      <c r="B8" s="13" t="s">
        <v>55</v>
      </c>
      <c r="C8" s="14">
        <v>45628.659722222219</v>
      </c>
      <c r="D8" s="13" t="s">
        <v>56</v>
      </c>
      <c r="E8" s="15" t="s">
        <v>57</v>
      </c>
      <c r="F8" s="13" t="s">
        <v>58</v>
      </c>
      <c r="G8" s="15" t="s">
        <v>59</v>
      </c>
      <c r="H8" s="13" t="s">
        <v>60</v>
      </c>
      <c r="I8" s="15" t="s">
        <v>61</v>
      </c>
      <c r="J8" s="15" t="s">
        <v>62</v>
      </c>
      <c r="K8" s="15" t="s">
        <v>63</v>
      </c>
      <c r="L8" s="13" t="s">
        <v>106</v>
      </c>
      <c r="M8" s="15" t="s">
        <v>107</v>
      </c>
      <c r="N8" s="13" t="s">
        <v>66</v>
      </c>
      <c r="O8" s="15" t="s">
        <v>108</v>
      </c>
      <c r="P8" s="15" t="s">
        <v>109</v>
      </c>
      <c r="Q8" s="15" t="s">
        <v>133</v>
      </c>
      <c r="R8" s="13" t="s">
        <v>134</v>
      </c>
      <c r="S8" s="13" t="s">
        <v>71</v>
      </c>
      <c r="T8" s="13" t="s">
        <v>135</v>
      </c>
      <c r="U8" s="14">
        <v>45323</v>
      </c>
      <c r="V8" s="14"/>
      <c r="W8" s="15"/>
      <c r="X8" s="13"/>
      <c r="Y8" s="15"/>
      <c r="Z8" s="13"/>
      <c r="AA8" s="15"/>
      <c r="AB8" s="13"/>
      <c r="AC8" s="15"/>
      <c r="AD8" s="13"/>
      <c r="AE8" s="15"/>
      <c r="AF8" s="13"/>
      <c r="AG8" s="15"/>
      <c r="AH8" s="13"/>
      <c r="AI8" s="15"/>
      <c r="AJ8" s="13"/>
      <c r="AK8" s="15"/>
      <c r="AL8" s="13"/>
      <c r="AM8" s="15"/>
      <c r="AN8" s="13"/>
      <c r="AO8" s="15"/>
      <c r="AP8" s="13"/>
      <c r="AQ8" s="15"/>
      <c r="AR8" s="13"/>
      <c r="AS8" s="15"/>
      <c r="AT8" s="13"/>
      <c r="AU8" s="15"/>
      <c r="AV8" s="13"/>
      <c r="AW8" s="15"/>
      <c r="AX8" s="13"/>
      <c r="AY8" s="15"/>
      <c r="AZ8" s="13"/>
      <c r="BA8" s="13"/>
    </row>
    <row r="9" spans="1:53" ht="116" x14ac:dyDescent="0.35">
      <c r="A9" s="13" t="s">
        <v>54</v>
      </c>
      <c r="B9" s="13" t="s">
        <v>55</v>
      </c>
      <c r="C9" s="14">
        <v>45628.640277777777</v>
      </c>
      <c r="D9" s="13" t="s">
        <v>56</v>
      </c>
      <c r="E9" s="15" t="s">
        <v>57</v>
      </c>
      <c r="F9" s="13" t="s">
        <v>58</v>
      </c>
      <c r="G9" s="15" t="s">
        <v>59</v>
      </c>
      <c r="H9" s="13" t="s">
        <v>60</v>
      </c>
      <c r="I9" s="15" t="s">
        <v>61</v>
      </c>
      <c r="J9" s="15" t="s">
        <v>62</v>
      </c>
      <c r="K9" s="15" t="s">
        <v>63</v>
      </c>
      <c r="L9" s="13" t="s">
        <v>64</v>
      </c>
      <c r="M9" s="15" t="s">
        <v>65</v>
      </c>
      <c r="N9" s="13" t="s">
        <v>66</v>
      </c>
      <c r="O9" s="15" t="s">
        <v>67</v>
      </c>
      <c r="P9" s="15" t="s">
        <v>68</v>
      </c>
      <c r="Q9" s="15" t="s">
        <v>136</v>
      </c>
      <c r="R9" s="13" t="s">
        <v>137</v>
      </c>
      <c r="S9" s="13" t="s">
        <v>71</v>
      </c>
      <c r="T9" s="13" t="s">
        <v>72</v>
      </c>
      <c r="U9" s="14">
        <v>45323</v>
      </c>
      <c r="V9" s="14"/>
      <c r="W9" s="15" t="s">
        <v>73</v>
      </c>
      <c r="X9" s="13" t="s">
        <v>74</v>
      </c>
      <c r="Y9" s="15" t="str">
        <f>VLOOKUP(X9,'Axe 2 Règles de gestion'!$D$2:$F$43,3, FALSE)</f>
        <v>L'agent doit effectuer une demande d'ouverture d'un compte épargne-temps.</v>
      </c>
      <c r="Z9" s="13"/>
      <c r="AA9" s="15"/>
      <c r="AB9" s="13"/>
      <c r="AC9" s="15"/>
      <c r="AD9" s="13"/>
      <c r="AE9" s="15"/>
      <c r="AF9" s="13"/>
      <c r="AG9" s="15"/>
      <c r="AH9" s="13"/>
      <c r="AI9" s="15"/>
      <c r="AJ9" s="13" t="s">
        <v>76</v>
      </c>
      <c r="AK9" s="15" t="str">
        <f>VLOOKUP(AJ9,'Axe 2 Règles de gestion'!$D$2:$F$43,3, FALSE)</f>
        <v>L'agent ne doit pas relever des régimes d'obligation de service.</v>
      </c>
      <c r="AL9" s="13" t="s">
        <v>78</v>
      </c>
      <c r="AM9" s="15" t="str">
        <f>VLOOKUP(AL9,'Axe 2 Règles de gestion'!$D$2:$F$43,3, FALSE)</f>
        <v>L'agent est employé de manière continue et a accompli au moins 1 année de service.</v>
      </c>
      <c r="AN9" s="13"/>
      <c r="AO9" s="15"/>
      <c r="AP9" s="13"/>
      <c r="AQ9" s="15"/>
      <c r="AR9" s="13" t="s">
        <v>80</v>
      </c>
      <c r="AS9" s="15" t="str">
        <f>VLOOKUP(AR9,'Axe 2 Règles de gestion'!$D$2:$F$43,3, FALSE)</f>
        <v>La date d'ouverture du compte épargne temps global doit être postérieure ou égale à la date d'entrée dans le SIRH.</v>
      </c>
      <c r="AT9" s="13" t="s">
        <v>82</v>
      </c>
      <c r="AU9" s="15" t="str">
        <f>VLOOKUP(AT9,'Axe 2 Règles de gestion'!$D$2:$F$43,3, FALSE)</f>
        <v>Les champs "Origine", "Nombre de jours de l'opération", "Nombre de jours pour valorisation financière" et "Nombre de jours pour cotisation RAFP" ne doivent pas être renseignés.</v>
      </c>
      <c r="AV9" s="13"/>
      <c r="AW9" s="15"/>
      <c r="AX9" s="13"/>
      <c r="AY9" s="15"/>
      <c r="AZ9" s="13"/>
      <c r="BA9" s="13"/>
    </row>
    <row r="10" spans="1:53" ht="130.5" x14ac:dyDescent="0.35">
      <c r="A10" s="13" t="s">
        <v>54</v>
      </c>
      <c r="B10" s="13" t="s">
        <v>55</v>
      </c>
      <c r="C10" s="14">
        <v>45635.72152777778</v>
      </c>
      <c r="D10" s="13" t="s">
        <v>56</v>
      </c>
      <c r="E10" s="15" t="s">
        <v>57</v>
      </c>
      <c r="F10" s="13" t="s">
        <v>58</v>
      </c>
      <c r="G10" s="15" t="s">
        <v>59</v>
      </c>
      <c r="H10" s="13" t="s">
        <v>60</v>
      </c>
      <c r="I10" s="15" t="s">
        <v>61</v>
      </c>
      <c r="J10" s="15" t="s">
        <v>62</v>
      </c>
      <c r="K10" s="15" t="s">
        <v>63</v>
      </c>
      <c r="L10" s="13" t="s">
        <v>84</v>
      </c>
      <c r="M10" s="15" t="s">
        <v>85</v>
      </c>
      <c r="N10" s="13" t="s">
        <v>66</v>
      </c>
      <c r="O10" s="15" t="s">
        <v>86</v>
      </c>
      <c r="P10" s="15" t="s">
        <v>87</v>
      </c>
      <c r="Q10" s="15" t="s">
        <v>136</v>
      </c>
      <c r="R10" s="13" t="s">
        <v>137</v>
      </c>
      <c r="S10" s="13" t="s">
        <v>71</v>
      </c>
      <c r="T10" s="13" t="s">
        <v>72</v>
      </c>
      <c r="U10" s="14">
        <v>45323</v>
      </c>
      <c r="V10" s="14">
        <v>45688</v>
      </c>
      <c r="W10" s="15" t="s">
        <v>88</v>
      </c>
      <c r="X10" s="13" t="s">
        <v>89</v>
      </c>
      <c r="Y10" s="15" t="str">
        <f>VLOOKUP(X10,'Axe 2 Règles de gestion'!$D$2:$F$43,3, FALSE)</f>
        <v>Pour les agents en service à l'étranger, le compte épargne-temps est alimenté par le report des jours de congés annuels dont ils bénéficient au titre du pays dans lequel ils sont affectés.</v>
      </c>
      <c r="Z10" s="13" t="s">
        <v>91</v>
      </c>
      <c r="AA10" s="15" t="str">
        <f>VLOOKUP(Z10,'Axe 2 Règles de gestion'!$D$2:$F$43,3, FALSE)</f>
        <v>L'agent ne peut pas alimenter son compte épargne-temps par le report de congés bonifiés.</v>
      </c>
      <c r="AB10" s="13"/>
      <c r="AC10" s="15"/>
      <c r="AD10" s="13"/>
      <c r="AE10" s="15"/>
      <c r="AF10" s="13"/>
      <c r="AG10" s="15"/>
      <c r="AH10" s="13"/>
      <c r="AI10" s="15"/>
      <c r="AJ10" s="13" t="s">
        <v>93</v>
      </c>
      <c r="AK10" s="15" t="str">
        <f>VLOOKUP(AJ10,'Axe 2 Règles de gestion'!$D$2:$F$43,3, FALSE)</f>
        <v>L'agent peut alimenter son compte épargne-temps par le report de jours de réduction du temps de travail, par le report de congés annuels et de fractionnement et si un arrêté le prévoit par le report de jours de repos compensateur.</v>
      </c>
      <c r="AL10" s="13" t="s">
        <v>95</v>
      </c>
      <c r="AM10" s="15" t="str">
        <f>VLOOKUP(AL10,'Axe 2 Règles de gestion'!$D$2:$F$43,3, FALSE)</f>
        <v>L'agent pour pouvoir alimenter son compte épargne-temps doit avoir pris dans l'année au moins 20 jours de congés.</v>
      </c>
      <c r="AN10" s="13" t="s">
        <v>97</v>
      </c>
      <c r="AO10" s="15" t="str">
        <f>VLOOKUP(AN10,'Axe 2 Règles de gestion'!$D$2:$F$43,3, FALSE)</f>
        <v>Lorsque le compte épargne-temps atteint 15 jours, l'agent peut épargner ensuite chaque année 10 jours au maximum.</v>
      </c>
      <c r="AP10" s="13" t="s">
        <v>99</v>
      </c>
      <c r="AQ10" s="15" t="str">
        <f>VLOOKUP(AP10,'Axe 2 Règles de gestion'!$D$2:$F$43,3, FALSE)</f>
        <v>L'agent peut au titre de l'année 2024, lorsque le compte épargne-temps atteint 15 jours, épargner 20 jours au maximum en raison de l'organisation des jeux olympiques et paralympiques.</v>
      </c>
      <c r="AR10" s="13" t="s">
        <v>101</v>
      </c>
      <c r="AS10" s="15" t="str">
        <f>VLOOKUP(AR10,'Axe 2 Règles de gestion'!$D$2:$F$43,3, FALSE)</f>
        <v>Lorsque le sens de l'opération est à "Versé", le compteur global saisi est égal au compteur global de l'occurrence précédente auquel sont ajoutés les jours versés.</v>
      </c>
      <c r="AT10" s="13" t="s">
        <v>103</v>
      </c>
      <c r="AU10" s="15" t="str">
        <f>VLOOKUP(AT10,'Axe 2 Règles de gestion'!$D$2:$F$43,3, FALSE)</f>
        <v>Lorsque le sens de l'opération est égal à "versé", le nombre de jours pour valorisation financière et le nombre de jours pour cotisation RAFP ne doivent pas être renseignés.</v>
      </c>
      <c r="AV10" s="13"/>
      <c r="AW10" s="15"/>
      <c r="AX10" s="13"/>
      <c r="AY10" s="15"/>
      <c r="AZ10" s="13"/>
      <c r="BA10" s="13"/>
    </row>
    <row r="11" spans="1:53" ht="130.5" x14ac:dyDescent="0.35">
      <c r="A11" s="13" t="s">
        <v>54</v>
      </c>
      <c r="B11" s="13" t="s">
        <v>55</v>
      </c>
      <c r="C11" s="14">
        <v>45635.72152777778</v>
      </c>
      <c r="D11" s="13" t="s">
        <v>56</v>
      </c>
      <c r="E11" s="15" t="s">
        <v>57</v>
      </c>
      <c r="F11" s="13" t="s">
        <v>58</v>
      </c>
      <c r="G11" s="15" t="s">
        <v>59</v>
      </c>
      <c r="H11" s="13" t="s">
        <v>60</v>
      </c>
      <c r="I11" s="15" t="s">
        <v>61</v>
      </c>
      <c r="J11" s="15" t="s">
        <v>62</v>
      </c>
      <c r="K11" s="15" t="s">
        <v>63</v>
      </c>
      <c r="L11" s="13" t="s">
        <v>84</v>
      </c>
      <c r="M11" s="15" t="s">
        <v>85</v>
      </c>
      <c r="N11" s="13" t="s">
        <v>66</v>
      </c>
      <c r="O11" s="15" t="s">
        <v>86</v>
      </c>
      <c r="P11" s="15" t="s">
        <v>87</v>
      </c>
      <c r="Q11" s="15" t="s">
        <v>136</v>
      </c>
      <c r="R11" s="13" t="s">
        <v>137</v>
      </c>
      <c r="S11" s="13" t="s">
        <v>71</v>
      </c>
      <c r="T11" s="13" t="s">
        <v>72</v>
      </c>
      <c r="U11" s="14">
        <v>45689</v>
      </c>
      <c r="V11" s="14"/>
      <c r="W11" s="15" t="s">
        <v>105</v>
      </c>
      <c r="X11" s="13" t="s">
        <v>89</v>
      </c>
      <c r="Y11" s="15" t="str">
        <f>VLOOKUP(X11,'Axe 2 Règles de gestion'!$D$2:$F$43,3, FALSE)</f>
        <v>Pour les agents en service à l'étranger, le compte épargne-temps est alimenté par le report des jours de congés annuels dont ils bénéficient au titre du pays dans lequel ils sont affectés.</v>
      </c>
      <c r="Z11" s="13" t="s">
        <v>91</v>
      </c>
      <c r="AA11" s="15" t="str">
        <f>VLOOKUP(Z11,'Axe 2 Règles de gestion'!$D$2:$F$43,3, FALSE)</f>
        <v>L'agent ne peut pas alimenter son compte épargne-temps par le report de congés bonifiés.</v>
      </c>
      <c r="AB11" s="13"/>
      <c r="AC11" s="15"/>
      <c r="AD11" s="13"/>
      <c r="AE11" s="15"/>
      <c r="AF11" s="13"/>
      <c r="AG11" s="15"/>
      <c r="AH11" s="13"/>
      <c r="AI11" s="15"/>
      <c r="AJ11" s="13" t="s">
        <v>93</v>
      </c>
      <c r="AK11" s="15" t="str">
        <f>VLOOKUP(AJ11,'Axe 2 Règles de gestion'!$D$2:$F$43,3, FALSE)</f>
        <v>L'agent peut alimenter son compte épargne-temps par le report de jours de réduction du temps de travail, par le report de congés annuels et de fractionnement et si un arrêté le prévoit par le report de jours de repos compensateur.</v>
      </c>
      <c r="AL11" s="13" t="s">
        <v>95</v>
      </c>
      <c r="AM11" s="15" t="str">
        <f>VLOOKUP(AL11,'Axe 2 Règles de gestion'!$D$2:$F$43,3, FALSE)</f>
        <v>L'agent pour pouvoir alimenter son compte épargne-temps doit avoir pris dans l'année au moins 20 jours de congés.</v>
      </c>
      <c r="AN11" s="13" t="s">
        <v>97</v>
      </c>
      <c r="AO11" s="15" t="str">
        <f>VLOOKUP(AN11,'Axe 2 Règles de gestion'!$D$2:$F$43,3, FALSE)</f>
        <v>Lorsque le compte épargne-temps atteint 15 jours, l'agent peut épargner ensuite chaque année 10 jours au maximum.</v>
      </c>
      <c r="AP11" s="13"/>
      <c r="AQ11" s="15"/>
      <c r="AR11" s="13" t="s">
        <v>101</v>
      </c>
      <c r="AS11" s="15" t="str">
        <f>VLOOKUP(AR11,'Axe 2 Règles de gestion'!$D$2:$F$43,3, FALSE)</f>
        <v>Lorsque le sens de l'opération est à "Versé", le compteur global saisi est égal au compteur global de l'occurrence précédente auquel sont ajoutés les jours versés.</v>
      </c>
      <c r="AT11" s="13" t="s">
        <v>103</v>
      </c>
      <c r="AU11" s="15" t="str">
        <f>VLOOKUP(AT11,'Axe 2 Règles de gestion'!$D$2:$F$43,3, FALSE)</f>
        <v>Lorsque le sens de l'opération est égal à "versé", le nombre de jours pour valorisation financière et le nombre de jours pour cotisation RAFP ne doivent pas être renseignés.</v>
      </c>
      <c r="AV11" s="13"/>
      <c r="AW11" s="15"/>
      <c r="AX11" s="13"/>
      <c r="AY11" s="15"/>
      <c r="AZ11" s="13"/>
      <c r="BA11" s="13"/>
    </row>
    <row r="12" spans="1:53" ht="159.5" x14ac:dyDescent="0.35">
      <c r="A12" s="13" t="s">
        <v>54</v>
      </c>
      <c r="B12" s="13" t="s">
        <v>55</v>
      </c>
      <c r="C12" s="14">
        <v>45628.660416666666</v>
      </c>
      <c r="D12" s="13" t="s">
        <v>56</v>
      </c>
      <c r="E12" s="15" t="s">
        <v>57</v>
      </c>
      <c r="F12" s="13" t="s">
        <v>58</v>
      </c>
      <c r="G12" s="15" t="s">
        <v>59</v>
      </c>
      <c r="H12" s="13" t="s">
        <v>60</v>
      </c>
      <c r="I12" s="15" t="s">
        <v>61</v>
      </c>
      <c r="J12" s="15" t="s">
        <v>62</v>
      </c>
      <c r="K12" s="15" t="s">
        <v>63</v>
      </c>
      <c r="L12" s="13" t="s">
        <v>106</v>
      </c>
      <c r="M12" s="15" t="s">
        <v>107</v>
      </c>
      <c r="N12" s="13" t="s">
        <v>66</v>
      </c>
      <c r="O12" s="15" t="s">
        <v>108</v>
      </c>
      <c r="P12" s="15" t="s">
        <v>109</v>
      </c>
      <c r="Q12" s="15" t="s">
        <v>136</v>
      </c>
      <c r="R12" s="13" t="s">
        <v>137</v>
      </c>
      <c r="S12" s="13" t="s">
        <v>71</v>
      </c>
      <c r="T12" s="13" t="s">
        <v>72</v>
      </c>
      <c r="U12" s="14">
        <v>45323</v>
      </c>
      <c r="V12" s="14"/>
      <c r="W12" s="15" t="s">
        <v>138</v>
      </c>
      <c r="X12" s="13" t="s">
        <v>111</v>
      </c>
      <c r="Y12" s="15" t="str">
        <f>VLOOKUP(X12,'Axe 2 Règles de gestion'!$D$2:$F$43,3, FALSE)</f>
        <v>L'agent est informé chaque année, par l'administration, des jours épargnés et consommés.</v>
      </c>
      <c r="Z12" s="13" t="s">
        <v>113</v>
      </c>
      <c r="AA12" s="15" t="str">
        <f>VLOOKUP(Z12,'Axe 2 Règles de gestion'!$D$2:$F$43,3, FALSE)</f>
        <v>Si le nombre de jours inscrits est supérieur à 15 jours au terme de l'année civile, l'agent ne peut utiliser ces 15 jours que sous forme de congés, pour les autres jours il doit exercer une option au plus le tard le 31 janvier de l'année suivante.</v>
      </c>
      <c r="AB12" s="13" t="s">
        <v>139</v>
      </c>
      <c r="AC12" s="15" t="str">
        <f>VLOOKUP(AB12,'Axe 2 Règles de gestion'!$D$2:$F$43,3, FALSE)</f>
        <v>L'agent peut opter dans les proportions qu'il souhaite pour une indemnisation ou pour un maintien sur le compte épargne-temps.</v>
      </c>
      <c r="AD12" s="13" t="s">
        <v>141</v>
      </c>
      <c r="AE12" s="15" t="str">
        <f>VLOOKUP(AD12,'Axe 2 Règles de gestion'!$D$2:$F$43,3, FALSE)</f>
        <v>Si l'agent n'exerce pas son droit d'option, les jours au-delà de 15 sont indemnisés.</v>
      </c>
      <c r="AF12" s="13" t="s">
        <v>119</v>
      </c>
      <c r="AG12" s="15" t="str">
        <f>VLOOKUP(AF12,'Axe 2 Règles de gestion'!$D$2:$F$43,3, FALSE)</f>
        <v>Les années suivantes, les jours ainsi épargnés excédant le plafond global de jours prévu peuvent être maintenus sur le compte épargne-temps ou être consommés.</v>
      </c>
      <c r="AH12" s="13"/>
      <c r="AI12" s="15"/>
      <c r="AJ12" s="13" t="s">
        <v>121</v>
      </c>
      <c r="AK12" s="15" t="str">
        <f>VLOOKUP(AJ12,'Axe 2 Règles de gestion'!$D$2:$F$43,3, FALSE)</f>
        <v>Le nombre de jours maintenus sur le compte épargne-temps ne doit pas dépasser un plafond annuel de 60 jours.</v>
      </c>
      <c r="AL12" s="13" t="s">
        <v>123</v>
      </c>
      <c r="AM12" s="15" t="str">
        <f>VLOOKUP(AL12,'Axe 2 Règles de gestion'!$D$2:$F$43,3, FALSE)</f>
        <v>Au terme de l'année 2024, en raison de l'organisation des jeux olympiques et paralympiques, ce plafond annuel passe à 70 jours ou si le nombre de jours épargnés au terme de l'année 2023 excède 60 jours, au nombre de jours épargnés augmentés de 10 jours.</v>
      </c>
      <c r="AN12" s="13" t="s">
        <v>125</v>
      </c>
      <c r="AO12" s="15" t="str">
        <f>VLOOKUP(AN12,'Axe 2 Règles de gestion'!$D$2:$F$43,3, FALSE)</f>
        <v>Si le nombre de jours inscrits sur le compte épargne-temps est inférieur ou égal à 15 jours au terme de l'année civile, l'agent ne peut utiliser ces jours épargnés que sous forme de congés.</v>
      </c>
      <c r="AP12" s="13"/>
      <c r="AQ12" s="15"/>
      <c r="AR12" s="13" t="s">
        <v>127</v>
      </c>
      <c r="AS12" s="15" t="str">
        <f>VLOOKUP(AR12,'Axe 2 Règles de gestion'!$D$2:$F$43,3, FALSE)</f>
        <v>Le nombre de jours de l'opération doit être inférieur ou égal au nombre de jours du compteur global du CET.</v>
      </c>
      <c r="AT12" s="13" t="s">
        <v>129</v>
      </c>
      <c r="AU12" s="15" t="str">
        <f>VLOOKUP(AT12,'Axe 2 Règles de gestion'!$D$2:$F$43,3, FALSE)</f>
        <v>Lorsque le sens de l'opération est à "consommé", le compteur global saisi est égal au compteur global de l'occurrence précédente duquel sont soustraits les jours consommés en congés, les jours pour valorisation financière et les jours pour cotisation RAFP.</v>
      </c>
      <c r="AV12" s="13" t="s">
        <v>131</v>
      </c>
      <c r="AW12" s="15" t="str">
        <f>VLOOKUP(AV12,'Axe 2 Règles de gestion'!$D$2:$F$43,3, FALSE)</f>
        <v>Lorsque le sens de l'opération est égal à "consommé", l'origine des jours n'est pas à renseigner.</v>
      </c>
      <c r="AX12" s="13"/>
      <c r="AY12" s="15"/>
      <c r="AZ12" s="13"/>
      <c r="BA12" s="13"/>
    </row>
    <row r="13" spans="1:53" ht="43.5" x14ac:dyDescent="0.35">
      <c r="A13" s="13" t="s">
        <v>54</v>
      </c>
      <c r="B13" s="13" t="s">
        <v>55</v>
      </c>
      <c r="C13" s="14">
        <v>45628.640972222223</v>
      </c>
      <c r="D13" s="13" t="s">
        <v>56</v>
      </c>
      <c r="E13" s="15" t="s">
        <v>57</v>
      </c>
      <c r="F13" s="13" t="s">
        <v>58</v>
      </c>
      <c r="G13" s="15" t="s">
        <v>59</v>
      </c>
      <c r="H13" s="13" t="s">
        <v>60</v>
      </c>
      <c r="I13" s="15" t="s">
        <v>61</v>
      </c>
      <c r="J13" s="15" t="s">
        <v>62</v>
      </c>
      <c r="K13" s="15" t="s">
        <v>63</v>
      </c>
      <c r="L13" s="13" t="s">
        <v>64</v>
      </c>
      <c r="M13" s="15" t="s">
        <v>65</v>
      </c>
      <c r="N13" s="13" t="s">
        <v>66</v>
      </c>
      <c r="O13" s="15" t="s">
        <v>67</v>
      </c>
      <c r="P13" s="15" t="s">
        <v>68</v>
      </c>
      <c r="Q13" s="15" t="s">
        <v>143</v>
      </c>
      <c r="R13" s="13" t="s">
        <v>144</v>
      </c>
      <c r="S13" s="13" t="s">
        <v>71</v>
      </c>
      <c r="T13" s="13" t="s">
        <v>135</v>
      </c>
      <c r="U13" s="14">
        <v>45323</v>
      </c>
      <c r="V13" s="14"/>
      <c r="W13" s="15"/>
      <c r="X13" s="13"/>
      <c r="Y13" s="15"/>
      <c r="Z13" s="13"/>
      <c r="AA13" s="15"/>
      <c r="AB13" s="13"/>
      <c r="AC13" s="15"/>
      <c r="AD13" s="13"/>
      <c r="AE13" s="15"/>
      <c r="AF13" s="13"/>
      <c r="AG13" s="15"/>
      <c r="AH13" s="13"/>
      <c r="AI13" s="15"/>
      <c r="AJ13" s="13"/>
      <c r="AK13" s="15"/>
      <c r="AL13" s="13"/>
      <c r="AM13" s="15"/>
      <c r="AN13" s="13"/>
      <c r="AO13" s="15"/>
      <c r="AP13" s="13"/>
      <c r="AQ13" s="15"/>
      <c r="AR13" s="13"/>
      <c r="AS13" s="15"/>
      <c r="AT13" s="13"/>
      <c r="AU13" s="15"/>
      <c r="AV13" s="13"/>
      <c r="AW13" s="15"/>
      <c r="AX13" s="13"/>
      <c r="AY13" s="15"/>
      <c r="AZ13" s="13"/>
      <c r="BA13" s="13"/>
    </row>
    <row r="14" spans="1:53" ht="43.5" x14ac:dyDescent="0.35">
      <c r="A14" s="13" t="s">
        <v>54</v>
      </c>
      <c r="B14" s="13" t="s">
        <v>55</v>
      </c>
      <c r="C14" s="14">
        <v>45628.647222222222</v>
      </c>
      <c r="D14" s="13" t="s">
        <v>56</v>
      </c>
      <c r="E14" s="15" t="s">
        <v>57</v>
      </c>
      <c r="F14" s="13" t="s">
        <v>58</v>
      </c>
      <c r="G14" s="15" t="s">
        <v>59</v>
      </c>
      <c r="H14" s="13" t="s">
        <v>60</v>
      </c>
      <c r="I14" s="15" t="s">
        <v>61</v>
      </c>
      <c r="J14" s="15" t="s">
        <v>62</v>
      </c>
      <c r="K14" s="15" t="s">
        <v>63</v>
      </c>
      <c r="L14" s="13" t="s">
        <v>84</v>
      </c>
      <c r="M14" s="15" t="s">
        <v>85</v>
      </c>
      <c r="N14" s="13" t="s">
        <v>66</v>
      </c>
      <c r="O14" s="15" t="s">
        <v>86</v>
      </c>
      <c r="P14" s="15" t="s">
        <v>87</v>
      </c>
      <c r="Q14" s="15" t="s">
        <v>143</v>
      </c>
      <c r="R14" s="13" t="s">
        <v>144</v>
      </c>
      <c r="S14" s="13" t="s">
        <v>71</v>
      </c>
      <c r="T14" s="13" t="s">
        <v>135</v>
      </c>
      <c r="U14" s="14">
        <v>45323</v>
      </c>
      <c r="V14" s="14"/>
      <c r="W14" s="15"/>
      <c r="X14" s="13"/>
      <c r="Y14" s="15"/>
      <c r="Z14" s="13"/>
      <c r="AA14" s="15"/>
      <c r="AB14" s="13"/>
      <c r="AC14" s="15"/>
      <c r="AD14" s="13"/>
      <c r="AE14" s="15"/>
      <c r="AF14" s="13"/>
      <c r="AG14" s="15"/>
      <c r="AH14" s="13"/>
      <c r="AI14" s="15"/>
      <c r="AJ14" s="13"/>
      <c r="AK14" s="15"/>
      <c r="AL14" s="13"/>
      <c r="AM14" s="15"/>
      <c r="AN14" s="13"/>
      <c r="AO14" s="15"/>
      <c r="AP14" s="13"/>
      <c r="AQ14" s="15"/>
      <c r="AR14" s="13"/>
      <c r="AS14" s="15"/>
      <c r="AT14" s="13"/>
      <c r="AU14" s="15"/>
      <c r="AV14" s="13"/>
      <c r="AW14" s="15"/>
      <c r="AX14" s="13"/>
      <c r="AY14" s="15"/>
      <c r="AZ14" s="13"/>
      <c r="BA14" s="13"/>
    </row>
    <row r="15" spans="1:53" ht="43.5" x14ac:dyDescent="0.35">
      <c r="A15" s="13" t="s">
        <v>54</v>
      </c>
      <c r="B15" s="13" t="s">
        <v>55</v>
      </c>
      <c r="C15" s="14">
        <v>45628.661111111112</v>
      </c>
      <c r="D15" s="13" t="s">
        <v>56</v>
      </c>
      <c r="E15" s="15" t="s">
        <v>57</v>
      </c>
      <c r="F15" s="13" t="s">
        <v>58</v>
      </c>
      <c r="G15" s="15" t="s">
        <v>59</v>
      </c>
      <c r="H15" s="13" t="s">
        <v>60</v>
      </c>
      <c r="I15" s="15" t="s">
        <v>61</v>
      </c>
      <c r="J15" s="15" t="s">
        <v>62</v>
      </c>
      <c r="K15" s="15" t="s">
        <v>63</v>
      </c>
      <c r="L15" s="13" t="s">
        <v>106</v>
      </c>
      <c r="M15" s="15" t="s">
        <v>107</v>
      </c>
      <c r="N15" s="13" t="s">
        <v>66</v>
      </c>
      <c r="O15" s="15" t="s">
        <v>108</v>
      </c>
      <c r="P15" s="15" t="s">
        <v>109</v>
      </c>
      <c r="Q15" s="15" t="s">
        <v>143</v>
      </c>
      <c r="R15" s="13" t="s">
        <v>144</v>
      </c>
      <c r="S15" s="13" t="s">
        <v>71</v>
      </c>
      <c r="T15" s="13" t="s">
        <v>135</v>
      </c>
      <c r="U15" s="14">
        <v>45323</v>
      </c>
      <c r="V15" s="14"/>
      <c r="W15" s="15"/>
      <c r="X15" s="13"/>
      <c r="Y15" s="15"/>
      <c r="Z15" s="13"/>
      <c r="AA15" s="15"/>
      <c r="AB15" s="13"/>
      <c r="AC15" s="15"/>
      <c r="AD15" s="13"/>
      <c r="AE15" s="15"/>
      <c r="AF15" s="13"/>
      <c r="AG15" s="15"/>
      <c r="AH15" s="13"/>
      <c r="AI15" s="15"/>
      <c r="AJ15" s="13"/>
      <c r="AK15" s="15"/>
      <c r="AL15" s="13"/>
      <c r="AM15" s="15"/>
      <c r="AN15" s="13"/>
      <c r="AO15" s="15"/>
      <c r="AP15" s="13"/>
      <c r="AQ15" s="15"/>
      <c r="AR15" s="13"/>
      <c r="AS15" s="15"/>
      <c r="AT15" s="13"/>
      <c r="AU15" s="15"/>
      <c r="AV15" s="13"/>
      <c r="AW15" s="15"/>
      <c r="AX15" s="13"/>
      <c r="AY15" s="15"/>
      <c r="AZ15" s="13"/>
      <c r="BA15" s="13"/>
    </row>
    <row r="16" spans="1:53" s="22" customFormat="1" ht="72.5" x14ac:dyDescent="0.35">
      <c r="A16" s="19" t="s">
        <v>145</v>
      </c>
      <c r="B16" s="19" t="s">
        <v>55</v>
      </c>
      <c r="C16" s="20">
        <v>45994.647222222222</v>
      </c>
      <c r="D16" s="19" t="s">
        <v>56</v>
      </c>
      <c r="E16" s="21" t="s">
        <v>57</v>
      </c>
      <c r="F16" s="19" t="s">
        <v>58</v>
      </c>
      <c r="G16" s="21" t="s">
        <v>59</v>
      </c>
      <c r="H16" s="19" t="s">
        <v>60</v>
      </c>
      <c r="I16" s="21" t="s">
        <v>61</v>
      </c>
      <c r="J16" s="21" t="s">
        <v>62</v>
      </c>
      <c r="K16" s="21" t="s">
        <v>63</v>
      </c>
      <c r="L16" s="19" t="s">
        <v>64</v>
      </c>
      <c r="M16" s="21" t="s">
        <v>65</v>
      </c>
      <c r="N16" s="19" t="s">
        <v>66</v>
      </c>
      <c r="O16" s="21" t="s">
        <v>67</v>
      </c>
      <c r="P16" s="21" t="s">
        <v>68</v>
      </c>
      <c r="Q16" s="21" t="s">
        <v>146</v>
      </c>
      <c r="R16" s="19" t="s">
        <v>147</v>
      </c>
      <c r="S16" s="19" t="s">
        <v>71</v>
      </c>
      <c r="T16" s="19" t="s">
        <v>72</v>
      </c>
      <c r="U16" s="20">
        <v>45901</v>
      </c>
      <c r="V16" s="20"/>
      <c r="W16" s="21" t="s">
        <v>80</v>
      </c>
      <c r="X16" s="19"/>
      <c r="Y16" s="21"/>
      <c r="Z16" s="19"/>
      <c r="AA16" s="21"/>
      <c r="AB16" s="19"/>
      <c r="AC16" s="21"/>
      <c r="AD16" s="19"/>
      <c r="AE16" s="21"/>
      <c r="AF16" s="19"/>
      <c r="AG16" s="21"/>
      <c r="AH16" s="19"/>
      <c r="AI16" s="21"/>
      <c r="AJ16" s="19"/>
      <c r="AK16" s="21"/>
      <c r="AL16" s="19"/>
      <c r="AM16" s="21"/>
      <c r="AN16" s="19"/>
      <c r="AO16" s="21"/>
      <c r="AP16" s="19"/>
      <c r="AQ16" s="21"/>
      <c r="AR16" s="19" t="s">
        <v>80</v>
      </c>
      <c r="AS16" s="21" t="str">
        <f>VLOOKUP(AR16,'Axe 2 Règles de gestion'!$D$2:$F$43,3, FALSE)</f>
        <v>La date d'ouverture du compte épargne temps global doit être postérieure ou égale à la date d'entrée dans le SIRH.</v>
      </c>
      <c r="AT16" s="19"/>
      <c r="AU16" s="21"/>
      <c r="AV16" s="19"/>
      <c r="AW16" s="21"/>
      <c r="AX16" s="19"/>
      <c r="AY16" s="21"/>
      <c r="AZ16" s="19" t="s">
        <v>148</v>
      </c>
      <c r="BA16" s="19"/>
    </row>
    <row r="17" spans="1:53" s="22" customFormat="1" ht="101.5" x14ac:dyDescent="0.35">
      <c r="A17" s="19" t="s">
        <v>145</v>
      </c>
      <c r="B17" s="19" t="s">
        <v>55</v>
      </c>
      <c r="C17" s="20">
        <v>45994.65</v>
      </c>
      <c r="D17" s="19" t="s">
        <v>56</v>
      </c>
      <c r="E17" s="21" t="s">
        <v>57</v>
      </c>
      <c r="F17" s="19" t="s">
        <v>58</v>
      </c>
      <c r="G17" s="21" t="s">
        <v>59</v>
      </c>
      <c r="H17" s="19" t="s">
        <v>60</v>
      </c>
      <c r="I17" s="21" t="s">
        <v>61</v>
      </c>
      <c r="J17" s="21" t="s">
        <v>62</v>
      </c>
      <c r="K17" s="21" t="s">
        <v>63</v>
      </c>
      <c r="L17" s="19" t="s">
        <v>84</v>
      </c>
      <c r="M17" s="21" t="s">
        <v>85</v>
      </c>
      <c r="N17" s="19" t="s">
        <v>66</v>
      </c>
      <c r="O17" s="21" t="s">
        <v>86</v>
      </c>
      <c r="P17" s="21" t="s">
        <v>87</v>
      </c>
      <c r="Q17" s="21" t="s">
        <v>146</v>
      </c>
      <c r="R17" s="19" t="s">
        <v>147</v>
      </c>
      <c r="S17" s="19" t="s">
        <v>71</v>
      </c>
      <c r="T17" s="19" t="s">
        <v>72</v>
      </c>
      <c r="U17" s="20">
        <v>45901</v>
      </c>
      <c r="V17" s="20"/>
      <c r="W17" s="21" t="s">
        <v>101</v>
      </c>
      <c r="X17" s="19"/>
      <c r="Y17" s="21"/>
      <c r="Z17" s="19"/>
      <c r="AA17" s="21"/>
      <c r="AB17" s="19"/>
      <c r="AC17" s="21"/>
      <c r="AD17" s="19"/>
      <c r="AE17" s="21"/>
      <c r="AF17" s="19"/>
      <c r="AG17" s="21"/>
      <c r="AH17" s="19"/>
      <c r="AI17" s="21"/>
      <c r="AJ17" s="19"/>
      <c r="AK17" s="21"/>
      <c r="AL17" s="19"/>
      <c r="AM17" s="21"/>
      <c r="AN17" s="19"/>
      <c r="AO17" s="21"/>
      <c r="AP17" s="19"/>
      <c r="AQ17" s="21"/>
      <c r="AR17" s="19" t="s">
        <v>101</v>
      </c>
      <c r="AS17" s="21" t="str">
        <f>VLOOKUP(AR17,'Axe 2 Règles de gestion'!$D$2:$F$43,3, FALSE)</f>
        <v>Lorsque le sens de l'opération est à "Versé", le compteur global saisi est égal au compteur global de l'occurrence précédente auquel sont ajoutés les jours versés.</v>
      </c>
      <c r="AT17" s="19"/>
      <c r="AU17" s="21"/>
      <c r="AV17" s="19"/>
      <c r="AW17" s="21"/>
      <c r="AX17" s="19"/>
      <c r="AY17" s="21"/>
      <c r="AZ17" s="19" t="s">
        <v>148</v>
      </c>
      <c r="BA17" s="19"/>
    </row>
    <row r="18" spans="1:53" s="22" customFormat="1" ht="58" x14ac:dyDescent="0.35">
      <c r="A18" s="19" t="s">
        <v>145</v>
      </c>
      <c r="B18" s="19" t="s">
        <v>55</v>
      </c>
      <c r="C18" s="20">
        <v>45994.651388888888</v>
      </c>
      <c r="D18" s="19" t="s">
        <v>56</v>
      </c>
      <c r="E18" s="21" t="s">
        <v>57</v>
      </c>
      <c r="F18" s="19" t="s">
        <v>58</v>
      </c>
      <c r="G18" s="21" t="s">
        <v>59</v>
      </c>
      <c r="H18" s="19" t="s">
        <v>60</v>
      </c>
      <c r="I18" s="21" t="s">
        <v>61</v>
      </c>
      <c r="J18" s="21" t="s">
        <v>62</v>
      </c>
      <c r="K18" s="21" t="s">
        <v>63</v>
      </c>
      <c r="L18" s="19" t="s">
        <v>106</v>
      </c>
      <c r="M18" s="21" t="s">
        <v>107</v>
      </c>
      <c r="N18" s="19" t="s">
        <v>66</v>
      </c>
      <c r="O18" s="21" t="s">
        <v>108</v>
      </c>
      <c r="P18" s="21" t="s">
        <v>109</v>
      </c>
      <c r="Q18" s="21" t="s">
        <v>146</v>
      </c>
      <c r="R18" s="19" t="s">
        <v>147</v>
      </c>
      <c r="S18" s="19" t="s">
        <v>71</v>
      </c>
      <c r="T18" s="19" t="s">
        <v>72</v>
      </c>
      <c r="U18" s="20">
        <v>45901</v>
      </c>
      <c r="V18" s="20"/>
      <c r="W18" s="21" t="s">
        <v>127</v>
      </c>
      <c r="X18" s="19"/>
      <c r="Y18" s="21"/>
      <c r="Z18" s="19"/>
      <c r="AA18" s="21"/>
      <c r="AB18" s="19"/>
      <c r="AC18" s="21"/>
      <c r="AD18" s="19"/>
      <c r="AE18" s="21"/>
      <c r="AF18" s="19"/>
      <c r="AG18" s="21"/>
      <c r="AH18" s="19"/>
      <c r="AI18" s="21"/>
      <c r="AJ18" s="19"/>
      <c r="AK18" s="21"/>
      <c r="AL18" s="19"/>
      <c r="AM18" s="21"/>
      <c r="AN18" s="19"/>
      <c r="AO18" s="21"/>
      <c r="AP18" s="19"/>
      <c r="AQ18" s="21"/>
      <c r="AR18" s="19" t="s">
        <v>127</v>
      </c>
      <c r="AS18" s="21" t="str">
        <f>VLOOKUP(AR18,'Axe 2 Règles de gestion'!$D$2:$F$43,3, FALSE)</f>
        <v>Le nombre de jours de l'opération doit être inférieur ou égal au nombre de jours du compteur global du CET.</v>
      </c>
      <c r="AT18" s="19"/>
      <c r="AU18" s="21"/>
      <c r="AV18" s="19"/>
      <c r="AW18" s="21"/>
      <c r="AX18" s="19"/>
      <c r="AY18" s="21"/>
      <c r="AZ18" s="19" t="s">
        <v>148</v>
      </c>
      <c r="BA18" s="19"/>
    </row>
    <row r="19" spans="1:53" ht="43.5" x14ac:dyDescent="0.35">
      <c r="A19" s="13" t="s">
        <v>54</v>
      </c>
      <c r="B19" s="13" t="s">
        <v>55</v>
      </c>
      <c r="C19" s="14">
        <v>45628.642361111109</v>
      </c>
      <c r="D19" s="13" t="s">
        <v>56</v>
      </c>
      <c r="E19" s="15" t="s">
        <v>57</v>
      </c>
      <c r="F19" s="13" t="s">
        <v>58</v>
      </c>
      <c r="G19" s="15" t="s">
        <v>59</v>
      </c>
      <c r="H19" s="13" t="s">
        <v>60</v>
      </c>
      <c r="I19" s="15" t="s">
        <v>61</v>
      </c>
      <c r="J19" s="15" t="s">
        <v>62</v>
      </c>
      <c r="K19" s="15" t="s">
        <v>63</v>
      </c>
      <c r="L19" s="13" t="s">
        <v>64</v>
      </c>
      <c r="M19" s="15" t="s">
        <v>65</v>
      </c>
      <c r="N19" s="13" t="s">
        <v>66</v>
      </c>
      <c r="O19" s="15" t="s">
        <v>67</v>
      </c>
      <c r="P19" s="15" t="s">
        <v>68</v>
      </c>
      <c r="Q19" s="15" t="s">
        <v>149</v>
      </c>
      <c r="R19" s="13" t="s">
        <v>150</v>
      </c>
      <c r="S19" s="13" t="s">
        <v>151</v>
      </c>
      <c r="T19" s="13" t="s">
        <v>135</v>
      </c>
      <c r="U19" s="14">
        <v>45323</v>
      </c>
      <c r="V19" s="14"/>
      <c r="W19" s="15"/>
      <c r="X19" s="13"/>
      <c r="Y19" s="15"/>
      <c r="Z19" s="13"/>
      <c r="AA19" s="15"/>
      <c r="AB19" s="13"/>
      <c r="AC19" s="15"/>
      <c r="AD19" s="13"/>
      <c r="AE19" s="15"/>
      <c r="AF19" s="13"/>
      <c r="AG19" s="15"/>
      <c r="AH19" s="13"/>
      <c r="AI19" s="15"/>
      <c r="AJ19" s="13"/>
      <c r="AK19" s="15"/>
      <c r="AL19" s="13"/>
      <c r="AM19" s="15"/>
      <c r="AN19" s="13"/>
      <c r="AO19" s="15"/>
      <c r="AP19" s="13"/>
      <c r="AQ19" s="15"/>
      <c r="AR19" s="13"/>
      <c r="AS19" s="15"/>
      <c r="AT19" s="13"/>
      <c r="AU19" s="15"/>
      <c r="AV19" s="13"/>
      <c r="AW19" s="15"/>
      <c r="AX19" s="13"/>
      <c r="AY19" s="15"/>
      <c r="AZ19" s="13"/>
      <c r="BA19" s="13"/>
    </row>
    <row r="20" spans="1:53" ht="43.5" x14ac:dyDescent="0.35">
      <c r="A20" s="13" t="s">
        <v>54</v>
      </c>
      <c r="B20" s="13" t="s">
        <v>55</v>
      </c>
      <c r="C20" s="14">
        <v>45628.647222222222</v>
      </c>
      <c r="D20" s="13" t="s">
        <v>56</v>
      </c>
      <c r="E20" s="15" t="s">
        <v>57</v>
      </c>
      <c r="F20" s="13" t="s">
        <v>58</v>
      </c>
      <c r="G20" s="15" t="s">
        <v>59</v>
      </c>
      <c r="H20" s="13" t="s">
        <v>60</v>
      </c>
      <c r="I20" s="15" t="s">
        <v>61</v>
      </c>
      <c r="J20" s="15" t="s">
        <v>62</v>
      </c>
      <c r="K20" s="15" t="s">
        <v>63</v>
      </c>
      <c r="L20" s="13" t="s">
        <v>84</v>
      </c>
      <c r="M20" s="15" t="s">
        <v>85</v>
      </c>
      <c r="N20" s="13" t="s">
        <v>66</v>
      </c>
      <c r="O20" s="15" t="s">
        <v>86</v>
      </c>
      <c r="P20" s="15" t="s">
        <v>87</v>
      </c>
      <c r="Q20" s="15" t="s">
        <v>149</v>
      </c>
      <c r="R20" s="13" t="s">
        <v>150</v>
      </c>
      <c r="S20" s="13" t="s">
        <v>151</v>
      </c>
      <c r="T20" s="13" t="s">
        <v>135</v>
      </c>
      <c r="U20" s="14">
        <v>45323</v>
      </c>
      <c r="V20" s="14"/>
      <c r="W20" s="15"/>
      <c r="X20" s="13"/>
      <c r="Y20" s="15"/>
      <c r="Z20" s="13"/>
      <c r="AA20" s="15"/>
      <c r="AB20" s="13"/>
      <c r="AC20" s="15"/>
      <c r="AD20" s="13"/>
      <c r="AE20" s="15"/>
      <c r="AF20" s="13"/>
      <c r="AG20" s="15"/>
      <c r="AH20" s="13"/>
      <c r="AI20" s="15"/>
      <c r="AJ20" s="13"/>
      <c r="AK20" s="15"/>
      <c r="AL20" s="13"/>
      <c r="AM20" s="15"/>
      <c r="AN20" s="13"/>
      <c r="AO20" s="15"/>
      <c r="AP20" s="13"/>
      <c r="AQ20" s="15"/>
      <c r="AR20" s="13"/>
      <c r="AS20" s="15"/>
      <c r="AT20" s="13"/>
      <c r="AU20" s="15"/>
      <c r="AV20" s="13"/>
      <c r="AW20" s="15"/>
      <c r="AX20" s="13"/>
      <c r="AY20" s="15"/>
      <c r="AZ20" s="13"/>
      <c r="BA20" s="13"/>
    </row>
    <row r="21" spans="1:53" ht="43.5" x14ac:dyDescent="0.35">
      <c r="A21" s="13" t="s">
        <v>54</v>
      </c>
      <c r="B21" s="13" t="s">
        <v>55</v>
      </c>
      <c r="C21" s="14">
        <v>45628.661805555559</v>
      </c>
      <c r="D21" s="13" t="s">
        <v>56</v>
      </c>
      <c r="E21" s="15" t="s">
        <v>57</v>
      </c>
      <c r="F21" s="13" t="s">
        <v>58</v>
      </c>
      <c r="G21" s="15" t="s">
        <v>59</v>
      </c>
      <c r="H21" s="13" t="s">
        <v>60</v>
      </c>
      <c r="I21" s="15" t="s">
        <v>61</v>
      </c>
      <c r="J21" s="15" t="s">
        <v>62</v>
      </c>
      <c r="K21" s="15" t="s">
        <v>63</v>
      </c>
      <c r="L21" s="13" t="s">
        <v>106</v>
      </c>
      <c r="M21" s="15" t="s">
        <v>107</v>
      </c>
      <c r="N21" s="13" t="s">
        <v>66</v>
      </c>
      <c r="O21" s="15" t="s">
        <v>108</v>
      </c>
      <c r="P21" s="15" t="s">
        <v>109</v>
      </c>
      <c r="Q21" s="15" t="s">
        <v>149</v>
      </c>
      <c r="R21" s="13" t="s">
        <v>150</v>
      </c>
      <c r="S21" s="13" t="s">
        <v>151</v>
      </c>
      <c r="T21" s="13" t="s">
        <v>135</v>
      </c>
      <c r="U21" s="14">
        <v>45323</v>
      </c>
      <c r="V21" s="14"/>
      <c r="W21" s="15"/>
      <c r="X21" s="13"/>
      <c r="Y21" s="15"/>
      <c r="Z21" s="13"/>
      <c r="AA21" s="15"/>
      <c r="AB21" s="13"/>
      <c r="AC21" s="15"/>
      <c r="AD21" s="13"/>
      <c r="AE21" s="15"/>
      <c r="AF21" s="13"/>
      <c r="AG21" s="15"/>
      <c r="AH21" s="13"/>
      <c r="AI21" s="15"/>
      <c r="AJ21" s="13"/>
      <c r="AK21" s="15"/>
      <c r="AL21" s="13"/>
      <c r="AM21" s="15"/>
      <c r="AN21" s="13"/>
      <c r="AO21" s="15"/>
      <c r="AP21" s="13"/>
      <c r="AQ21" s="15"/>
      <c r="AR21" s="13"/>
      <c r="AS21" s="15"/>
      <c r="AT21" s="13"/>
      <c r="AU21" s="15"/>
      <c r="AV21" s="13"/>
      <c r="AW21" s="15"/>
      <c r="AX21" s="13"/>
      <c r="AY21" s="15"/>
      <c r="AZ21" s="13"/>
      <c r="BA21" s="13"/>
    </row>
    <row r="22" spans="1:53" ht="43.5" x14ac:dyDescent="0.35">
      <c r="A22" s="13" t="s">
        <v>54</v>
      </c>
      <c r="B22" s="13" t="s">
        <v>55</v>
      </c>
      <c r="C22" s="14">
        <v>45628.642361111109</v>
      </c>
      <c r="D22" s="13" t="s">
        <v>56</v>
      </c>
      <c r="E22" s="15" t="s">
        <v>57</v>
      </c>
      <c r="F22" s="13" t="s">
        <v>58</v>
      </c>
      <c r="G22" s="15" t="s">
        <v>59</v>
      </c>
      <c r="H22" s="13" t="s">
        <v>60</v>
      </c>
      <c r="I22" s="15" t="s">
        <v>61</v>
      </c>
      <c r="J22" s="15" t="s">
        <v>62</v>
      </c>
      <c r="K22" s="15" t="s">
        <v>63</v>
      </c>
      <c r="L22" s="13" t="s">
        <v>64</v>
      </c>
      <c r="M22" s="15" t="s">
        <v>65</v>
      </c>
      <c r="N22" s="13" t="s">
        <v>66</v>
      </c>
      <c r="O22" s="15" t="s">
        <v>67</v>
      </c>
      <c r="P22" s="15" t="s">
        <v>68</v>
      </c>
      <c r="Q22" s="15" t="s">
        <v>152</v>
      </c>
      <c r="R22" s="13" t="s">
        <v>153</v>
      </c>
      <c r="S22" s="13" t="s">
        <v>151</v>
      </c>
      <c r="T22" s="13" t="s">
        <v>135</v>
      </c>
      <c r="U22" s="14">
        <v>45323</v>
      </c>
      <c r="V22" s="14"/>
      <c r="W22" s="15"/>
      <c r="X22" s="13"/>
      <c r="Y22" s="15"/>
      <c r="Z22" s="13"/>
      <c r="AA22" s="15"/>
      <c r="AB22" s="13"/>
      <c r="AC22" s="15"/>
      <c r="AD22" s="13"/>
      <c r="AE22" s="15"/>
      <c r="AF22" s="13"/>
      <c r="AG22" s="15"/>
      <c r="AH22" s="13"/>
      <c r="AI22" s="15"/>
      <c r="AJ22" s="13"/>
      <c r="AK22" s="15"/>
      <c r="AL22" s="13"/>
      <c r="AM22" s="15"/>
      <c r="AN22" s="13"/>
      <c r="AO22" s="15"/>
      <c r="AP22" s="13"/>
      <c r="AQ22" s="15"/>
      <c r="AR22" s="13"/>
      <c r="AS22" s="15"/>
      <c r="AT22" s="13"/>
      <c r="AU22" s="15"/>
      <c r="AV22" s="13"/>
      <c r="AW22" s="15"/>
      <c r="AX22" s="13"/>
      <c r="AY22" s="15"/>
      <c r="AZ22" s="13"/>
      <c r="BA22" s="13"/>
    </row>
    <row r="23" spans="1:53" ht="43.5" x14ac:dyDescent="0.35">
      <c r="A23" s="13" t="s">
        <v>54</v>
      </c>
      <c r="B23" s="13" t="s">
        <v>55</v>
      </c>
      <c r="C23" s="14">
        <v>45628.647916666669</v>
      </c>
      <c r="D23" s="13" t="s">
        <v>56</v>
      </c>
      <c r="E23" s="15" t="s">
        <v>57</v>
      </c>
      <c r="F23" s="13" t="s">
        <v>58</v>
      </c>
      <c r="G23" s="15" t="s">
        <v>59</v>
      </c>
      <c r="H23" s="13" t="s">
        <v>60</v>
      </c>
      <c r="I23" s="15" t="s">
        <v>61</v>
      </c>
      <c r="J23" s="15" t="s">
        <v>62</v>
      </c>
      <c r="K23" s="15" t="s">
        <v>63</v>
      </c>
      <c r="L23" s="13" t="s">
        <v>84</v>
      </c>
      <c r="M23" s="15" t="s">
        <v>85</v>
      </c>
      <c r="N23" s="13" t="s">
        <v>66</v>
      </c>
      <c r="O23" s="15" t="s">
        <v>86</v>
      </c>
      <c r="P23" s="15" t="s">
        <v>87</v>
      </c>
      <c r="Q23" s="15" t="s">
        <v>152</v>
      </c>
      <c r="R23" s="13" t="s">
        <v>153</v>
      </c>
      <c r="S23" s="13" t="s">
        <v>151</v>
      </c>
      <c r="T23" s="13" t="s">
        <v>135</v>
      </c>
      <c r="U23" s="14">
        <v>45323</v>
      </c>
      <c r="V23" s="14"/>
      <c r="W23" s="15"/>
      <c r="X23" s="13"/>
      <c r="Y23" s="15"/>
      <c r="Z23" s="13"/>
      <c r="AA23" s="15"/>
      <c r="AB23" s="13"/>
      <c r="AC23" s="15"/>
      <c r="AD23" s="13"/>
      <c r="AE23" s="15"/>
      <c r="AF23" s="13"/>
      <c r="AG23" s="15"/>
      <c r="AH23" s="13"/>
      <c r="AI23" s="15"/>
      <c r="AJ23" s="13"/>
      <c r="AK23" s="15"/>
      <c r="AL23" s="13"/>
      <c r="AM23" s="15"/>
      <c r="AN23" s="13"/>
      <c r="AO23" s="15"/>
      <c r="AP23" s="13"/>
      <c r="AQ23" s="15"/>
      <c r="AR23" s="13"/>
      <c r="AS23" s="15"/>
      <c r="AT23" s="13"/>
      <c r="AU23" s="15"/>
      <c r="AV23" s="13"/>
      <c r="AW23" s="15"/>
      <c r="AX23" s="13"/>
      <c r="AY23" s="15"/>
      <c r="AZ23" s="13"/>
      <c r="BA23" s="13"/>
    </row>
    <row r="24" spans="1:53" ht="43.5" x14ac:dyDescent="0.35">
      <c r="A24" s="13" t="s">
        <v>54</v>
      </c>
      <c r="B24" s="13" t="s">
        <v>55</v>
      </c>
      <c r="C24" s="14">
        <v>45628.661805555559</v>
      </c>
      <c r="D24" s="13" t="s">
        <v>56</v>
      </c>
      <c r="E24" s="15" t="s">
        <v>57</v>
      </c>
      <c r="F24" s="13" t="s">
        <v>58</v>
      </c>
      <c r="G24" s="15" t="s">
        <v>59</v>
      </c>
      <c r="H24" s="13" t="s">
        <v>60</v>
      </c>
      <c r="I24" s="15" t="s">
        <v>61</v>
      </c>
      <c r="J24" s="15" t="s">
        <v>62</v>
      </c>
      <c r="K24" s="15" t="s">
        <v>63</v>
      </c>
      <c r="L24" s="13" t="s">
        <v>106</v>
      </c>
      <c r="M24" s="15" t="s">
        <v>107</v>
      </c>
      <c r="N24" s="13" t="s">
        <v>66</v>
      </c>
      <c r="O24" s="15" t="s">
        <v>108</v>
      </c>
      <c r="P24" s="15" t="s">
        <v>109</v>
      </c>
      <c r="Q24" s="15" t="s">
        <v>152</v>
      </c>
      <c r="R24" s="13" t="s">
        <v>153</v>
      </c>
      <c r="S24" s="13" t="s">
        <v>151</v>
      </c>
      <c r="T24" s="13" t="s">
        <v>135</v>
      </c>
      <c r="U24" s="14">
        <v>45323</v>
      </c>
      <c r="V24" s="14"/>
      <c r="W24" s="15"/>
      <c r="X24" s="13"/>
      <c r="Y24" s="15"/>
      <c r="Z24" s="13"/>
      <c r="AA24" s="15"/>
      <c r="AB24" s="13"/>
      <c r="AC24" s="15"/>
      <c r="AD24" s="13"/>
      <c r="AE24" s="15"/>
      <c r="AF24" s="13"/>
      <c r="AG24" s="15"/>
      <c r="AH24" s="13"/>
      <c r="AI24" s="15"/>
      <c r="AJ24" s="13"/>
      <c r="AK24" s="15"/>
      <c r="AL24" s="13"/>
      <c r="AM24" s="15"/>
      <c r="AN24" s="13"/>
      <c r="AO24" s="15"/>
      <c r="AP24" s="13"/>
      <c r="AQ24" s="15"/>
      <c r="AR24" s="13"/>
      <c r="AS24" s="15"/>
      <c r="AT24" s="13"/>
      <c r="AU24" s="15"/>
      <c r="AV24" s="13"/>
      <c r="AW24" s="15"/>
      <c r="AX24" s="13"/>
      <c r="AY24" s="15"/>
      <c r="AZ24" s="13"/>
      <c r="BA24" s="13"/>
    </row>
    <row r="25" spans="1:53" ht="43.5" x14ac:dyDescent="0.35">
      <c r="A25" s="13" t="s">
        <v>54</v>
      </c>
      <c r="B25" s="13" t="s">
        <v>55</v>
      </c>
      <c r="C25" s="14">
        <v>45628.642361111109</v>
      </c>
      <c r="D25" s="13" t="s">
        <v>56</v>
      </c>
      <c r="E25" s="15" t="s">
        <v>57</v>
      </c>
      <c r="F25" s="13" t="s">
        <v>58</v>
      </c>
      <c r="G25" s="15" t="s">
        <v>59</v>
      </c>
      <c r="H25" s="13" t="s">
        <v>60</v>
      </c>
      <c r="I25" s="15" t="s">
        <v>61</v>
      </c>
      <c r="J25" s="15" t="s">
        <v>62</v>
      </c>
      <c r="K25" s="15" t="s">
        <v>63</v>
      </c>
      <c r="L25" s="13" t="s">
        <v>64</v>
      </c>
      <c r="M25" s="15" t="s">
        <v>65</v>
      </c>
      <c r="N25" s="13" t="s">
        <v>66</v>
      </c>
      <c r="O25" s="15" t="s">
        <v>67</v>
      </c>
      <c r="P25" s="15" t="s">
        <v>68</v>
      </c>
      <c r="Q25" s="15" t="s">
        <v>154</v>
      </c>
      <c r="R25" s="13" t="s">
        <v>155</v>
      </c>
      <c r="S25" s="13" t="s">
        <v>151</v>
      </c>
      <c r="T25" s="13" t="s">
        <v>135</v>
      </c>
      <c r="U25" s="14">
        <v>45323</v>
      </c>
      <c r="V25" s="14"/>
      <c r="W25" s="15"/>
      <c r="X25" s="13"/>
      <c r="Y25" s="15"/>
      <c r="Z25" s="13"/>
      <c r="AA25" s="15"/>
      <c r="AB25" s="13"/>
      <c r="AC25" s="15"/>
      <c r="AD25" s="13"/>
      <c r="AE25" s="15"/>
      <c r="AF25" s="13"/>
      <c r="AG25" s="15"/>
      <c r="AH25" s="13"/>
      <c r="AI25" s="15"/>
      <c r="AJ25" s="13"/>
      <c r="AK25" s="15"/>
      <c r="AL25" s="13"/>
      <c r="AM25" s="15"/>
      <c r="AN25" s="13"/>
      <c r="AO25" s="15"/>
      <c r="AP25" s="13"/>
      <c r="AQ25" s="15"/>
      <c r="AR25" s="13"/>
      <c r="AS25" s="15"/>
      <c r="AT25" s="13"/>
      <c r="AU25" s="15"/>
      <c r="AV25" s="13"/>
      <c r="AW25" s="15"/>
      <c r="AX25" s="13"/>
      <c r="AY25" s="15"/>
      <c r="AZ25" s="13"/>
      <c r="BA25" s="13"/>
    </row>
    <row r="26" spans="1:53" ht="43.5" x14ac:dyDescent="0.35">
      <c r="A26" s="13" t="s">
        <v>54</v>
      </c>
      <c r="B26" s="13" t="s">
        <v>55</v>
      </c>
      <c r="C26" s="14">
        <v>45628.647916666669</v>
      </c>
      <c r="D26" s="13" t="s">
        <v>56</v>
      </c>
      <c r="E26" s="15" t="s">
        <v>57</v>
      </c>
      <c r="F26" s="13" t="s">
        <v>58</v>
      </c>
      <c r="G26" s="15" t="s">
        <v>59</v>
      </c>
      <c r="H26" s="13" t="s">
        <v>60</v>
      </c>
      <c r="I26" s="15" t="s">
        <v>61</v>
      </c>
      <c r="J26" s="15" t="s">
        <v>62</v>
      </c>
      <c r="K26" s="15" t="s">
        <v>63</v>
      </c>
      <c r="L26" s="13" t="s">
        <v>84</v>
      </c>
      <c r="M26" s="15" t="s">
        <v>85</v>
      </c>
      <c r="N26" s="13" t="s">
        <v>66</v>
      </c>
      <c r="O26" s="15" t="s">
        <v>86</v>
      </c>
      <c r="P26" s="15" t="s">
        <v>87</v>
      </c>
      <c r="Q26" s="15" t="s">
        <v>154</v>
      </c>
      <c r="R26" s="13" t="s">
        <v>155</v>
      </c>
      <c r="S26" s="13" t="s">
        <v>151</v>
      </c>
      <c r="T26" s="13" t="s">
        <v>135</v>
      </c>
      <c r="U26" s="14">
        <v>45323</v>
      </c>
      <c r="V26" s="14"/>
      <c r="W26" s="15"/>
      <c r="X26" s="13"/>
      <c r="Y26" s="15"/>
      <c r="Z26" s="13"/>
      <c r="AA26" s="15"/>
      <c r="AB26" s="13"/>
      <c r="AC26" s="15"/>
      <c r="AD26" s="13"/>
      <c r="AE26" s="15"/>
      <c r="AF26" s="13"/>
      <c r="AG26" s="15"/>
      <c r="AH26" s="13"/>
      <c r="AI26" s="15"/>
      <c r="AJ26" s="13"/>
      <c r="AK26" s="15"/>
      <c r="AL26" s="13"/>
      <c r="AM26" s="15"/>
      <c r="AN26" s="13"/>
      <c r="AO26" s="15"/>
      <c r="AP26" s="13"/>
      <c r="AQ26" s="15"/>
      <c r="AR26" s="13"/>
      <c r="AS26" s="15"/>
      <c r="AT26" s="13"/>
      <c r="AU26" s="15"/>
      <c r="AV26" s="13"/>
      <c r="AW26" s="15"/>
      <c r="AX26" s="13"/>
      <c r="AY26" s="15"/>
      <c r="AZ26" s="13"/>
      <c r="BA26" s="13"/>
    </row>
    <row r="27" spans="1:53" ht="43.5" x14ac:dyDescent="0.35">
      <c r="A27" s="13" t="s">
        <v>54</v>
      </c>
      <c r="B27" s="13" t="s">
        <v>55</v>
      </c>
      <c r="C27" s="14">
        <v>45628.662499999999</v>
      </c>
      <c r="D27" s="13" t="s">
        <v>56</v>
      </c>
      <c r="E27" s="15" t="s">
        <v>57</v>
      </c>
      <c r="F27" s="13" t="s">
        <v>58</v>
      </c>
      <c r="G27" s="15" t="s">
        <v>59</v>
      </c>
      <c r="H27" s="13" t="s">
        <v>60</v>
      </c>
      <c r="I27" s="15" t="s">
        <v>61</v>
      </c>
      <c r="J27" s="15" t="s">
        <v>62</v>
      </c>
      <c r="K27" s="15" t="s">
        <v>63</v>
      </c>
      <c r="L27" s="13" t="s">
        <v>106</v>
      </c>
      <c r="M27" s="15" t="s">
        <v>107</v>
      </c>
      <c r="N27" s="13" t="s">
        <v>66</v>
      </c>
      <c r="O27" s="15" t="s">
        <v>108</v>
      </c>
      <c r="P27" s="15" t="s">
        <v>109</v>
      </c>
      <c r="Q27" s="15" t="s">
        <v>154</v>
      </c>
      <c r="R27" s="13" t="s">
        <v>155</v>
      </c>
      <c r="S27" s="13" t="s">
        <v>151</v>
      </c>
      <c r="T27" s="13" t="s">
        <v>135</v>
      </c>
      <c r="U27" s="14">
        <v>45323</v>
      </c>
      <c r="V27" s="14"/>
      <c r="W27" s="15"/>
      <c r="X27" s="13"/>
      <c r="Y27" s="15"/>
      <c r="Z27" s="13"/>
      <c r="AA27" s="15"/>
      <c r="AB27" s="13"/>
      <c r="AC27" s="15"/>
      <c r="AD27" s="13"/>
      <c r="AE27" s="15"/>
      <c r="AF27" s="13"/>
      <c r="AG27" s="15"/>
      <c r="AH27" s="13"/>
      <c r="AI27" s="15"/>
      <c r="AJ27" s="13"/>
      <c r="AK27" s="15"/>
      <c r="AL27" s="13"/>
      <c r="AM27" s="15"/>
      <c r="AN27" s="13"/>
      <c r="AO27" s="15"/>
      <c r="AP27" s="13"/>
      <c r="AQ27" s="15"/>
      <c r="AR27" s="13"/>
      <c r="AS27" s="15"/>
      <c r="AT27" s="13"/>
      <c r="AU27" s="15"/>
      <c r="AV27" s="13"/>
      <c r="AW27" s="15"/>
      <c r="AX27" s="13"/>
      <c r="AY27" s="15"/>
      <c r="AZ27" s="13"/>
      <c r="BA27" s="13"/>
    </row>
    <row r="28" spans="1:53" s="22" customFormat="1" ht="116" x14ac:dyDescent="0.35">
      <c r="A28" s="19" t="s">
        <v>145</v>
      </c>
      <c r="B28" s="19" t="s">
        <v>55</v>
      </c>
      <c r="C28" s="20">
        <v>45994.438194444447</v>
      </c>
      <c r="D28" s="19" t="s">
        <v>56</v>
      </c>
      <c r="E28" s="21" t="s">
        <v>57</v>
      </c>
      <c r="F28" s="19" t="s">
        <v>58</v>
      </c>
      <c r="G28" s="21" t="s">
        <v>59</v>
      </c>
      <c r="H28" s="19" t="s">
        <v>60</v>
      </c>
      <c r="I28" s="21" t="s">
        <v>61</v>
      </c>
      <c r="J28" s="21" t="s">
        <v>62</v>
      </c>
      <c r="K28" s="21" t="s">
        <v>63</v>
      </c>
      <c r="L28" s="19" t="s">
        <v>64</v>
      </c>
      <c r="M28" s="21" t="s">
        <v>65</v>
      </c>
      <c r="N28" s="19" t="s">
        <v>66</v>
      </c>
      <c r="O28" s="21" t="s">
        <v>67</v>
      </c>
      <c r="P28" s="21" t="s">
        <v>68</v>
      </c>
      <c r="Q28" s="21" t="s">
        <v>156</v>
      </c>
      <c r="R28" s="19" t="s">
        <v>157</v>
      </c>
      <c r="S28" s="19" t="s">
        <v>151</v>
      </c>
      <c r="T28" s="19" t="s">
        <v>72</v>
      </c>
      <c r="U28" s="20">
        <v>45901</v>
      </c>
      <c r="V28" s="20"/>
      <c r="W28" s="21" t="s">
        <v>158</v>
      </c>
      <c r="X28" s="19" t="s">
        <v>159</v>
      </c>
      <c r="Y28" s="21" t="str">
        <f>VLOOKUP(X28,'Axe 2 Règles de gestion'!$D$2:$F$43,3, FALSE)</f>
        <v>L'agent bénéficie des dispositions applicables aux agents titulaires pour le compte épargne-temps, sauf dispositions contraires.</v>
      </c>
      <c r="Z28" s="19" t="s">
        <v>74</v>
      </c>
      <c r="AA28" s="21" t="str">
        <f>VLOOKUP(Z28,'Axe 2 Règles de gestion'!$D$2:$F$43,3, FALSE)</f>
        <v>L'agent doit effectuer une demande d'ouverture d'un compte épargne-temps.</v>
      </c>
      <c r="AB28" s="19"/>
      <c r="AC28" s="21"/>
      <c r="AD28" s="19"/>
      <c r="AE28" s="21"/>
      <c r="AF28" s="19"/>
      <c r="AG28" s="21"/>
      <c r="AH28" s="19"/>
      <c r="AI28" s="21"/>
      <c r="AJ28" s="19" t="s">
        <v>76</v>
      </c>
      <c r="AK28" s="21" t="str">
        <f>VLOOKUP(AJ28,'Axe 2 Règles de gestion'!$D$2:$F$43,3, FALSE)</f>
        <v>L'agent ne doit pas relever des régimes d'obligation de service.</v>
      </c>
      <c r="AL28" s="19" t="s">
        <v>78</v>
      </c>
      <c r="AM28" s="21" t="str">
        <f>VLOOKUP(AL28,'Axe 2 Règles de gestion'!$D$2:$F$43,3, FALSE)</f>
        <v>L'agent est employé de manière continue et a accompli au moins 1 année de service.</v>
      </c>
      <c r="AN28" s="19"/>
      <c r="AO28" s="21"/>
      <c r="AP28" s="19"/>
      <c r="AQ28" s="21"/>
      <c r="AR28" s="19" t="s">
        <v>80</v>
      </c>
      <c r="AS28" s="21" t="str">
        <f>VLOOKUP(AR28,'Axe 2 Règles de gestion'!$D$2:$F$43,3, FALSE)</f>
        <v>La date d'ouverture du compte épargne temps global doit être postérieure ou égale à la date d'entrée dans le SIRH.</v>
      </c>
      <c r="AT28" s="19" t="s">
        <v>82</v>
      </c>
      <c r="AU28" s="21" t="str">
        <f>VLOOKUP(AT28,'Axe 2 Règles de gestion'!$D$2:$F$43,3, FALSE)</f>
        <v>Les champs "Origine", "Nombre de jours de l'opération", "Nombre de jours pour valorisation financière" et "Nombre de jours pour cotisation RAFP" ne doivent pas être renseignés.</v>
      </c>
      <c r="AV28" s="19"/>
      <c r="AW28" s="21"/>
      <c r="AX28" s="19"/>
      <c r="AY28" s="21"/>
      <c r="AZ28" s="19" t="s">
        <v>148</v>
      </c>
      <c r="BA28" s="19"/>
    </row>
    <row r="29" spans="1:53" s="22" customFormat="1" ht="130.5" x14ac:dyDescent="0.35">
      <c r="A29" s="19" t="s">
        <v>145</v>
      </c>
      <c r="B29" s="19" t="s">
        <v>55</v>
      </c>
      <c r="C29" s="20">
        <v>45994.44027777778</v>
      </c>
      <c r="D29" s="19" t="s">
        <v>56</v>
      </c>
      <c r="E29" s="21" t="s">
        <v>57</v>
      </c>
      <c r="F29" s="19" t="s">
        <v>58</v>
      </c>
      <c r="G29" s="21" t="s">
        <v>59</v>
      </c>
      <c r="H29" s="19" t="s">
        <v>60</v>
      </c>
      <c r="I29" s="21" t="s">
        <v>61</v>
      </c>
      <c r="J29" s="21" t="s">
        <v>62</v>
      </c>
      <c r="K29" s="21" t="s">
        <v>63</v>
      </c>
      <c r="L29" s="19" t="s">
        <v>84</v>
      </c>
      <c r="M29" s="21" t="s">
        <v>85</v>
      </c>
      <c r="N29" s="19" t="s">
        <v>66</v>
      </c>
      <c r="O29" s="21" t="s">
        <v>86</v>
      </c>
      <c r="P29" s="21" t="s">
        <v>87</v>
      </c>
      <c r="Q29" s="21" t="s">
        <v>156</v>
      </c>
      <c r="R29" s="19" t="s">
        <v>157</v>
      </c>
      <c r="S29" s="19" t="s">
        <v>151</v>
      </c>
      <c r="T29" s="19" t="s">
        <v>72</v>
      </c>
      <c r="U29" s="20">
        <v>45901</v>
      </c>
      <c r="V29" s="20"/>
      <c r="W29" s="21" t="s">
        <v>161</v>
      </c>
      <c r="X29" s="19" t="s">
        <v>159</v>
      </c>
      <c r="Y29" s="21" t="str">
        <f>VLOOKUP(X29,'Axe 2 Règles de gestion'!$D$2:$F$43,3, FALSE)</f>
        <v>L'agent bénéficie des dispositions applicables aux agents titulaires pour le compte épargne-temps, sauf dispositions contraires.</v>
      </c>
      <c r="Z29" s="19" t="s">
        <v>89</v>
      </c>
      <c r="AA29" s="21" t="str">
        <f>VLOOKUP(Z29,'Axe 2 Règles de gestion'!$D$2:$F$43,3, FALSE)</f>
        <v>Pour les agents en service à l'étranger, le compte épargne-temps est alimenté par le report des jours de congés annuels dont ils bénéficient au titre du pays dans lequel ils sont affectés.</v>
      </c>
      <c r="AB29" s="19" t="s">
        <v>91</v>
      </c>
      <c r="AC29" s="21" t="str">
        <f>VLOOKUP(AB29,'Axe 2 Règles de gestion'!$D$2:$F$43,3, FALSE)</f>
        <v>L'agent ne peut pas alimenter son compte épargne-temps par le report de congés bonifiés.</v>
      </c>
      <c r="AD29" s="19"/>
      <c r="AE29" s="21"/>
      <c r="AF29" s="19"/>
      <c r="AG29" s="21"/>
      <c r="AH29" s="19"/>
      <c r="AI29" s="21"/>
      <c r="AJ29" s="19" t="s">
        <v>93</v>
      </c>
      <c r="AK29" s="21" t="str">
        <f>VLOOKUP(AJ29,'Axe 2 Règles de gestion'!$D$2:$F$43,3, FALSE)</f>
        <v>L'agent peut alimenter son compte épargne-temps par le report de jours de réduction du temps de travail, par le report de congés annuels et de fractionnement et si un arrêté le prévoit par le report de jours de repos compensateur.</v>
      </c>
      <c r="AL29" s="19" t="s">
        <v>95</v>
      </c>
      <c r="AM29" s="21" t="str">
        <f>VLOOKUP(AL29,'Axe 2 Règles de gestion'!$D$2:$F$43,3, FALSE)</f>
        <v>L'agent pour pouvoir alimenter son compte épargne-temps doit avoir pris dans l'année au moins 20 jours de congés.</v>
      </c>
      <c r="AN29" s="19" t="s">
        <v>97</v>
      </c>
      <c r="AO29" s="21" t="str">
        <f>VLOOKUP(AN29,'Axe 2 Règles de gestion'!$D$2:$F$43,3, FALSE)</f>
        <v>Lorsque le compte épargne-temps atteint 15 jours, l'agent peut épargner ensuite chaque année 10 jours au maximum.</v>
      </c>
      <c r="AP29" s="19"/>
      <c r="AQ29" s="21"/>
      <c r="AR29" s="19" t="s">
        <v>101</v>
      </c>
      <c r="AS29" s="21" t="str">
        <f>VLOOKUP(AR29,'Axe 2 Règles de gestion'!$D$2:$F$43,3, FALSE)</f>
        <v>Lorsque le sens de l'opération est à "Versé", le compteur global saisi est égal au compteur global de l'occurrence précédente auquel sont ajoutés les jours versés.</v>
      </c>
      <c r="AT29" s="19" t="s">
        <v>103</v>
      </c>
      <c r="AU29" s="21" t="str">
        <f>VLOOKUP(AT29,'Axe 2 Règles de gestion'!$D$2:$F$43,3, FALSE)</f>
        <v>Lorsque le sens de l'opération est égal à "versé", le nombre de jours pour valorisation financière et le nombre de jours pour cotisation RAFP ne doivent pas être renseignés.</v>
      </c>
      <c r="AV29" s="19"/>
      <c r="AW29" s="21"/>
      <c r="AX29" s="19"/>
      <c r="AY29" s="21"/>
      <c r="AZ29" s="19" t="s">
        <v>148</v>
      </c>
      <c r="BA29" s="19"/>
    </row>
    <row r="30" spans="1:53" s="22" customFormat="1" ht="159.5" x14ac:dyDescent="0.35">
      <c r="A30" s="19" t="s">
        <v>145</v>
      </c>
      <c r="B30" s="19" t="s">
        <v>55</v>
      </c>
      <c r="C30" s="20">
        <v>45994.442361111112</v>
      </c>
      <c r="D30" s="19" t="s">
        <v>56</v>
      </c>
      <c r="E30" s="21" t="s">
        <v>57</v>
      </c>
      <c r="F30" s="19" t="s">
        <v>58</v>
      </c>
      <c r="G30" s="21" t="s">
        <v>59</v>
      </c>
      <c r="H30" s="19" t="s">
        <v>60</v>
      </c>
      <c r="I30" s="21" t="s">
        <v>61</v>
      </c>
      <c r="J30" s="21" t="s">
        <v>62</v>
      </c>
      <c r="K30" s="21" t="s">
        <v>63</v>
      </c>
      <c r="L30" s="19" t="s">
        <v>106</v>
      </c>
      <c r="M30" s="21" t="s">
        <v>107</v>
      </c>
      <c r="N30" s="19" t="s">
        <v>66</v>
      </c>
      <c r="O30" s="21" t="s">
        <v>108</v>
      </c>
      <c r="P30" s="21" t="s">
        <v>109</v>
      </c>
      <c r="Q30" s="21" t="s">
        <v>156</v>
      </c>
      <c r="R30" s="19" t="s">
        <v>157</v>
      </c>
      <c r="S30" s="19" t="s">
        <v>151</v>
      </c>
      <c r="T30" s="19" t="s">
        <v>72</v>
      </c>
      <c r="U30" s="20">
        <v>45901</v>
      </c>
      <c r="V30" s="20"/>
      <c r="W30" s="21" t="s">
        <v>162</v>
      </c>
      <c r="X30" s="19" t="s">
        <v>159</v>
      </c>
      <c r="Y30" s="21" t="str">
        <f>VLOOKUP(X30,'Axe 2 Règles de gestion'!$D$2:$F$43,3, FALSE)</f>
        <v>L'agent bénéficie des dispositions applicables aux agents titulaires pour le compte épargne-temps, sauf dispositions contraires.</v>
      </c>
      <c r="Z30" s="19" t="s">
        <v>111</v>
      </c>
      <c r="AA30" s="21" t="str">
        <f>VLOOKUP(Z30,'Axe 2 Règles de gestion'!$D$2:$F$43,3, FALSE)</f>
        <v>L'agent est informé chaque année, par l'administration, des jours épargnés et consommés.</v>
      </c>
      <c r="AB30" s="19" t="s">
        <v>113</v>
      </c>
      <c r="AC30" s="21" t="str">
        <f>VLOOKUP(AB30,'Axe 2 Règles de gestion'!$D$2:$F$43,3, FALSE)</f>
        <v>Si le nombre de jours inscrits est supérieur à 15 jours au terme de l'année civile, l'agent ne peut utiliser ces 15 jours que sous forme de congés, pour les autres jours il doit exercer une option au plus le tard le 31 janvier de l'année suivante.</v>
      </c>
      <c r="AD30" s="19" t="s">
        <v>163</v>
      </c>
      <c r="AE30" s="21" t="str">
        <f>VLOOKUP(AD30,'Axe 2 Règles de gestion'!$D$2:$F$43,3, FALSE)</f>
        <v>L'agent peut opter dans les proportions qu'il souhaite pour une indemnisation ou pour un maintien sur le compte épargne-temps.</v>
      </c>
      <c r="AF30" s="19" t="s">
        <v>164</v>
      </c>
      <c r="AG30" s="21" t="str">
        <f>VLOOKUP(AF30,'Axe 2 Règles de gestion'!$D$2:$F$43,3, FALSE)</f>
        <v>Si l'agent n'exerce pas son droit d'option, les jours au-delà de 15 sont indemnisés.</v>
      </c>
      <c r="AH30" s="19" t="s">
        <v>119</v>
      </c>
      <c r="AI30" s="21" t="str">
        <f>VLOOKUP(AH30,'Axe 2 Règles de gestion'!$D$2:$F$43,3, FALSE)</f>
        <v>Les années suivantes, les jours ainsi épargnés excédant le plafond global de jours prévu peuvent être maintenus sur le compte épargne-temps ou être consommés.</v>
      </c>
      <c r="AJ30" s="19" t="s">
        <v>121</v>
      </c>
      <c r="AK30" s="21" t="str">
        <f>VLOOKUP(AJ30,'Axe 2 Règles de gestion'!$D$2:$F$43,3, FALSE)</f>
        <v>Le nombre de jours maintenus sur le compte épargne-temps ne doit pas dépasser un plafond annuel de 60 jours.</v>
      </c>
      <c r="AL30" s="19" t="s">
        <v>123</v>
      </c>
      <c r="AM30" s="21" t="str">
        <f>VLOOKUP(AL30,'Axe 2 Règles de gestion'!$D$2:$F$43,3, FALSE)</f>
        <v>Au terme de l'année 2024, en raison de l'organisation des jeux olympiques et paralympiques, ce plafond annuel passe à 70 jours ou si le nombre de jours épargnés au terme de l'année 2023 excède 60 jours, au nombre de jours épargnés augmentés de 10 jours.</v>
      </c>
      <c r="AN30" s="19" t="s">
        <v>125</v>
      </c>
      <c r="AO30" s="21" t="str">
        <f>VLOOKUP(AN30,'Axe 2 Règles de gestion'!$D$2:$F$43,3, FALSE)</f>
        <v>Si le nombre de jours inscrits sur le compte épargne-temps est inférieur ou égal à 15 jours au terme de l'année civile, l'agent ne peut utiliser ces jours épargnés que sous forme de congés.</v>
      </c>
      <c r="AP30" s="19"/>
      <c r="AQ30" s="21"/>
      <c r="AR30" s="19" t="s">
        <v>127</v>
      </c>
      <c r="AS30" s="21" t="str">
        <f>VLOOKUP(AR30,'Axe 2 Règles de gestion'!$D$2:$F$43,3, FALSE)</f>
        <v>Le nombre de jours de l'opération doit être inférieur ou égal au nombre de jours du compteur global du CET.</v>
      </c>
      <c r="AT30" s="19" t="s">
        <v>129</v>
      </c>
      <c r="AU30" s="21" t="str">
        <f>VLOOKUP(AT30,'Axe 2 Règles de gestion'!$D$2:$F$43,3, FALSE)</f>
        <v>Lorsque le sens de l'opération est à "consommé", le compteur global saisi est égal au compteur global de l'occurrence précédente duquel sont soustraits les jours consommés en congés, les jours pour valorisation financière et les jours pour cotisation RAFP.</v>
      </c>
      <c r="AV30" s="19" t="s">
        <v>131</v>
      </c>
      <c r="AW30" s="21" t="str">
        <f>VLOOKUP(AV30,'Axe 2 Règles de gestion'!$D$2:$F$43,3, FALSE)</f>
        <v>Lorsque le sens de l'opération est égal à "consommé", l'origine des jours n'est pas à renseigner.</v>
      </c>
      <c r="AX30" s="19"/>
      <c r="AY30" s="21"/>
      <c r="AZ30" s="19" t="s">
        <v>148</v>
      </c>
      <c r="BA30" s="19"/>
    </row>
    <row r="31" spans="1:53" ht="43.5" x14ac:dyDescent="0.35">
      <c r="A31" s="13" t="s">
        <v>54</v>
      </c>
      <c r="B31" s="13" t="s">
        <v>55</v>
      </c>
      <c r="C31" s="14">
        <v>45628.643055555556</v>
      </c>
      <c r="D31" s="13" t="s">
        <v>56</v>
      </c>
      <c r="E31" s="15" t="s">
        <v>57</v>
      </c>
      <c r="F31" s="13" t="s">
        <v>58</v>
      </c>
      <c r="G31" s="15" t="s">
        <v>59</v>
      </c>
      <c r="H31" s="13" t="s">
        <v>60</v>
      </c>
      <c r="I31" s="15" t="s">
        <v>61</v>
      </c>
      <c r="J31" s="15" t="s">
        <v>62</v>
      </c>
      <c r="K31" s="15" t="s">
        <v>63</v>
      </c>
      <c r="L31" s="13" t="s">
        <v>64</v>
      </c>
      <c r="M31" s="15" t="s">
        <v>65</v>
      </c>
      <c r="N31" s="13" t="s">
        <v>66</v>
      </c>
      <c r="O31" s="15" t="s">
        <v>67</v>
      </c>
      <c r="P31" s="15" t="s">
        <v>68</v>
      </c>
      <c r="Q31" s="15" t="s">
        <v>165</v>
      </c>
      <c r="R31" s="13" t="s">
        <v>166</v>
      </c>
      <c r="S31" s="13" t="s">
        <v>151</v>
      </c>
      <c r="T31" s="13" t="s">
        <v>135</v>
      </c>
      <c r="U31" s="14">
        <v>45323</v>
      </c>
      <c r="V31" s="14"/>
      <c r="W31" s="15"/>
      <c r="X31" s="13"/>
      <c r="Y31" s="15"/>
      <c r="Z31" s="13"/>
      <c r="AA31" s="15"/>
      <c r="AB31" s="13"/>
      <c r="AC31" s="15"/>
      <c r="AD31" s="13"/>
      <c r="AE31" s="15"/>
      <c r="AF31" s="13"/>
      <c r="AG31" s="15"/>
      <c r="AH31" s="13"/>
      <c r="AI31" s="15"/>
      <c r="AJ31" s="13"/>
      <c r="AK31" s="15"/>
      <c r="AL31" s="13"/>
      <c r="AM31" s="15"/>
      <c r="AN31" s="13"/>
      <c r="AO31" s="15"/>
      <c r="AP31" s="13"/>
      <c r="AQ31" s="15"/>
      <c r="AR31" s="13"/>
      <c r="AS31" s="15"/>
      <c r="AT31" s="13"/>
      <c r="AU31" s="15"/>
      <c r="AV31" s="13"/>
      <c r="AW31" s="15"/>
      <c r="AX31" s="13"/>
      <c r="AY31" s="15"/>
      <c r="AZ31" s="13"/>
      <c r="BA31" s="13"/>
    </row>
    <row r="32" spans="1:53" ht="43.5" x14ac:dyDescent="0.35">
      <c r="A32" s="13" t="s">
        <v>54</v>
      </c>
      <c r="B32" s="13" t="s">
        <v>55</v>
      </c>
      <c r="C32" s="14">
        <v>45628.647916666669</v>
      </c>
      <c r="D32" s="13" t="s">
        <v>56</v>
      </c>
      <c r="E32" s="15" t="s">
        <v>57</v>
      </c>
      <c r="F32" s="13" t="s">
        <v>58</v>
      </c>
      <c r="G32" s="15" t="s">
        <v>59</v>
      </c>
      <c r="H32" s="13" t="s">
        <v>60</v>
      </c>
      <c r="I32" s="15" t="s">
        <v>61</v>
      </c>
      <c r="J32" s="15" t="s">
        <v>62</v>
      </c>
      <c r="K32" s="15" t="s">
        <v>63</v>
      </c>
      <c r="L32" s="13" t="s">
        <v>84</v>
      </c>
      <c r="M32" s="15" t="s">
        <v>85</v>
      </c>
      <c r="N32" s="13" t="s">
        <v>66</v>
      </c>
      <c r="O32" s="15" t="s">
        <v>86</v>
      </c>
      <c r="P32" s="15" t="s">
        <v>87</v>
      </c>
      <c r="Q32" s="15" t="s">
        <v>165</v>
      </c>
      <c r="R32" s="13" t="s">
        <v>166</v>
      </c>
      <c r="S32" s="13" t="s">
        <v>151</v>
      </c>
      <c r="T32" s="13" t="s">
        <v>135</v>
      </c>
      <c r="U32" s="14">
        <v>45323</v>
      </c>
      <c r="V32" s="14"/>
      <c r="W32" s="15"/>
      <c r="X32" s="13"/>
      <c r="Y32" s="15"/>
      <c r="Z32" s="13"/>
      <c r="AA32" s="15"/>
      <c r="AB32" s="13"/>
      <c r="AC32" s="15"/>
      <c r="AD32" s="13"/>
      <c r="AE32" s="15"/>
      <c r="AF32" s="13"/>
      <c r="AG32" s="15"/>
      <c r="AH32" s="13"/>
      <c r="AI32" s="15"/>
      <c r="AJ32" s="13"/>
      <c r="AK32" s="15"/>
      <c r="AL32" s="13"/>
      <c r="AM32" s="15"/>
      <c r="AN32" s="13"/>
      <c r="AO32" s="15"/>
      <c r="AP32" s="13"/>
      <c r="AQ32" s="15"/>
      <c r="AR32" s="13"/>
      <c r="AS32" s="15"/>
      <c r="AT32" s="13"/>
      <c r="AU32" s="15"/>
      <c r="AV32" s="13"/>
      <c r="AW32" s="15"/>
      <c r="AX32" s="13"/>
      <c r="AY32" s="15"/>
      <c r="AZ32" s="13"/>
      <c r="BA32" s="13"/>
    </row>
    <row r="33" spans="1:53" ht="43.5" x14ac:dyDescent="0.35">
      <c r="A33" s="13" t="s">
        <v>54</v>
      </c>
      <c r="B33" s="13" t="s">
        <v>55</v>
      </c>
      <c r="C33" s="14">
        <v>45628.662499999999</v>
      </c>
      <c r="D33" s="13" t="s">
        <v>56</v>
      </c>
      <c r="E33" s="15" t="s">
        <v>57</v>
      </c>
      <c r="F33" s="13" t="s">
        <v>58</v>
      </c>
      <c r="G33" s="15" t="s">
        <v>59</v>
      </c>
      <c r="H33" s="13" t="s">
        <v>60</v>
      </c>
      <c r="I33" s="15" t="s">
        <v>61</v>
      </c>
      <c r="J33" s="15" t="s">
        <v>62</v>
      </c>
      <c r="K33" s="15" t="s">
        <v>63</v>
      </c>
      <c r="L33" s="13" t="s">
        <v>106</v>
      </c>
      <c r="M33" s="15" t="s">
        <v>107</v>
      </c>
      <c r="N33" s="13" t="s">
        <v>66</v>
      </c>
      <c r="O33" s="15" t="s">
        <v>108</v>
      </c>
      <c r="P33" s="15" t="s">
        <v>109</v>
      </c>
      <c r="Q33" s="15" t="s">
        <v>165</v>
      </c>
      <c r="R33" s="13" t="s">
        <v>166</v>
      </c>
      <c r="S33" s="13" t="s">
        <v>151</v>
      </c>
      <c r="T33" s="13" t="s">
        <v>135</v>
      </c>
      <c r="U33" s="14">
        <v>45323</v>
      </c>
      <c r="V33" s="14"/>
      <c r="W33" s="15"/>
      <c r="X33" s="13"/>
      <c r="Y33" s="15"/>
      <c r="Z33" s="13"/>
      <c r="AA33" s="15"/>
      <c r="AB33" s="13"/>
      <c r="AC33" s="15"/>
      <c r="AD33" s="13"/>
      <c r="AE33" s="15"/>
      <c r="AF33" s="13"/>
      <c r="AG33" s="15"/>
      <c r="AH33" s="13"/>
      <c r="AI33" s="15"/>
      <c r="AJ33" s="13"/>
      <c r="AK33" s="15"/>
      <c r="AL33" s="13"/>
      <c r="AM33" s="15"/>
      <c r="AN33" s="13"/>
      <c r="AO33" s="15"/>
      <c r="AP33" s="13"/>
      <c r="AQ33" s="15"/>
      <c r="AR33" s="13"/>
      <c r="AS33" s="15"/>
      <c r="AT33" s="13"/>
      <c r="AU33" s="15"/>
      <c r="AV33" s="13"/>
      <c r="AW33" s="15"/>
      <c r="AX33" s="13"/>
      <c r="AY33" s="15"/>
      <c r="AZ33" s="13"/>
      <c r="BA33" s="13"/>
    </row>
    <row r="34" spans="1:53" ht="43.5" x14ac:dyDescent="0.35">
      <c r="A34" s="13" t="s">
        <v>54</v>
      </c>
      <c r="B34" s="13" t="s">
        <v>55</v>
      </c>
      <c r="C34" s="14">
        <v>45628.643055555556</v>
      </c>
      <c r="D34" s="13" t="s">
        <v>56</v>
      </c>
      <c r="E34" s="15" t="s">
        <v>57</v>
      </c>
      <c r="F34" s="13" t="s">
        <v>58</v>
      </c>
      <c r="G34" s="15" t="s">
        <v>59</v>
      </c>
      <c r="H34" s="13" t="s">
        <v>60</v>
      </c>
      <c r="I34" s="15" t="s">
        <v>61</v>
      </c>
      <c r="J34" s="15" t="s">
        <v>62</v>
      </c>
      <c r="K34" s="15" t="s">
        <v>63</v>
      </c>
      <c r="L34" s="13" t="s">
        <v>64</v>
      </c>
      <c r="M34" s="15" t="s">
        <v>65</v>
      </c>
      <c r="N34" s="13" t="s">
        <v>66</v>
      </c>
      <c r="O34" s="15" t="s">
        <v>67</v>
      </c>
      <c r="P34" s="15" t="s">
        <v>68</v>
      </c>
      <c r="Q34" s="15" t="s">
        <v>167</v>
      </c>
      <c r="R34" s="13" t="s">
        <v>168</v>
      </c>
      <c r="S34" s="13" t="s">
        <v>151</v>
      </c>
      <c r="T34" s="13" t="s">
        <v>135</v>
      </c>
      <c r="U34" s="14">
        <v>45323</v>
      </c>
      <c r="V34" s="14"/>
      <c r="W34" s="15"/>
      <c r="X34" s="13"/>
      <c r="Y34" s="15"/>
      <c r="Z34" s="13"/>
      <c r="AA34" s="15"/>
      <c r="AB34" s="13"/>
      <c r="AC34" s="15"/>
      <c r="AD34" s="13"/>
      <c r="AE34" s="15"/>
      <c r="AF34" s="13"/>
      <c r="AG34" s="15"/>
      <c r="AH34" s="13"/>
      <c r="AI34" s="15"/>
      <c r="AJ34" s="13"/>
      <c r="AK34" s="15"/>
      <c r="AL34" s="13"/>
      <c r="AM34" s="15"/>
      <c r="AN34" s="13"/>
      <c r="AO34" s="15"/>
      <c r="AP34" s="13"/>
      <c r="AQ34" s="15"/>
      <c r="AR34" s="13"/>
      <c r="AS34" s="15"/>
      <c r="AT34" s="13"/>
      <c r="AU34" s="15"/>
      <c r="AV34" s="13"/>
      <c r="AW34" s="15"/>
      <c r="AX34" s="13"/>
      <c r="AY34" s="15"/>
      <c r="AZ34" s="13"/>
      <c r="BA34" s="13"/>
    </row>
    <row r="35" spans="1:53" ht="43.5" x14ac:dyDescent="0.35">
      <c r="A35" s="13" t="s">
        <v>54</v>
      </c>
      <c r="B35" s="13" t="s">
        <v>55</v>
      </c>
      <c r="C35" s="14">
        <v>45628.648611111108</v>
      </c>
      <c r="D35" s="13" t="s">
        <v>56</v>
      </c>
      <c r="E35" s="15" t="s">
        <v>57</v>
      </c>
      <c r="F35" s="13" t="s">
        <v>58</v>
      </c>
      <c r="G35" s="15" t="s">
        <v>59</v>
      </c>
      <c r="H35" s="13" t="s">
        <v>60</v>
      </c>
      <c r="I35" s="15" t="s">
        <v>61</v>
      </c>
      <c r="J35" s="15" t="s">
        <v>62</v>
      </c>
      <c r="K35" s="15" t="s">
        <v>63</v>
      </c>
      <c r="L35" s="13" t="s">
        <v>84</v>
      </c>
      <c r="M35" s="15" t="s">
        <v>85</v>
      </c>
      <c r="N35" s="13" t="s">
        <v>66</v>
      </c>
      <c r="O35" s="15" t="s">
        <v>86</v>
      </c>
      <c r="P35" s="15" t="s">
        <v>87</v>
      </c>
      <c r="Q35" s="15" t="s">
        <v>167</v>
      </c>
      <c r="R35" s="13" t="s">
        <v>168</v>
      </c>
      <c r="S35" s="13" t="s">
        <v>151</v>
      </c>
      <c r="T35" s="13" t="s">
        <v>135</v>
      </c>
      <c r="U35" s="14">
        <v>45323</v>
      </c>
      <c r="V35" s="14"/>
      <c r="W35" s="15"/>
      <c r="X35" s="13"/>
      <c r="Y35" s="15"/>
      <c r="Z35" s="13"/>
      <c r="AA35" s="15"/>
      <c r="AB35" s="13"/>
      <c r="AC35" s="15"/>
      <c r="AD35" s="13"/>
      <c r="AE35" s="15"/>
      <c r="AF35" s="13"/>
      <c r="AG35" s="15"/>
      <c r="AH35" s="13"/>
      <c r="AI35" s="15"/>
      <c r="AJ35" s="13"/>
      <c r="AK35" s="15"/>
      <c r="AL35" s="13"/>
      <c r="AM35" s="15"/>
      <c r="AN35" s="13"/>
      <c r="AO35" s="15"/>
      <c r="AP35" s="13"/>
      <c r="AQ35" s="15"/>
      <c r="AR35" s="13"/>
      <c r="AS35" s="15"/>
      <c r="AT35" s="13"/>
      <c r="AU35" s="15"/>
      <c r="AV35" s="13"/>
      <c r="AW35" s="15"/>
      <c r="AX35" s="13"/>
      <c r="AY35" s="15"/>
      <c r="AZ35" s="13"/>
      <c r="BA35" s="13"/>
    </row>
    <row r="36" spans="1:53" ht="43.5" x14ac:dyDescent="0.35">
      <c r="A36" s="13" t="s">
        <v>54</v>
      </c>
      <c r="B36" s="13" t="s">
        <v>55</v>
      </c>
      <c r="C36" s="14">
        <v>45628.663194444445</v>
      </c>
      <c r="D36" s="13" t="s">
        <v>56</v>
      </c>
      <c r="E36" s="15" t="s">
        <v>57</v>
      </c>
      <c r="F36" s="13" t="s">
        <v>58</v>
      </c>
      <c r="G36" s="15" t="s">
        <v>59</v>
      </c>
      <c r="H36" s="13" t="s">
        <v>60</v>
      </c>
      <c r="I36" s="15" t="s">
        <v>61</v>
      </c>
      <c r="J36" s="15" t="s">
        <v>62</v>
      </c>
      <c r="K36" s="15" t="s">
        <v>63</v>
      </c>
      <c r="L36" s="13" t="s">
        <v>106</v>
      </c>
      <c r="M36" s="15" t="s">
        <v>107</v>
      </c>
      <c r="N36" s="13" t="s">
        <v>66</v>
      </c>
      <c r="O36" s="15" t="s">
        <v>108</v>
      </c>
      <c r="P36" s="15" t="s">
        <v>109</v>
      </c>
      <c r="Q36" s="15" t="s">
        <v>167</v>
      </c>
      <c r="R36" s="13" t="s">
        <v>168</v>
      </c>
      <c r="S36" s="13" t="s">
        <v>151</v>
      </c>
      <c r="T36" s="13" t="s">
        <v>135</v>
      </c>
      <c r="U36" s="14">
        <v>45323</v>
      </c>
      <c r="V36" s="14"/>
      <c r="W36" s="15"/>
      <c r="X36" s="13"/>
      <c r="Y36" s="15"/>
      <c r="Z36" s="13"/>
      <c r="AA36" s="15"/>
      <c r="AB36" s="13"/>
      <c r="AC36" s="15"/>
      <c r="AD36" s="13"/>
      <c r="AE36" s="15"/>
      <c r="AF36" s="13"/>
      <c r="AG36" s="15"/>
      <c r="AH36" s="13"/>
      <c r="AI36" s="15"/>
      <c r="AJ36" s="13"/>
      <c r="AK36" s="15"/>
      <c r="AL36" s="13"/>
      <c r="AM36" s="15"/>
      <c r="AN36" s="13"/>
      <c r="AO36" s="15"/>
      <c r="AP36" s="13"/>
      <c r="AQ36" s="15"/>
      <c r="AR36" s="13"/>
      <c r="AS36" s="15"/>
      <c r="AT36" s="13"/>
      <c r="AU36" s="15"/>
      <c r="AV36" s="13"/>
      <c r="AW36" s="15"/>
      <c r="AX36" s="13"/>
      <c r="AY36" s="15"/>
      <c r="AZ36" s="13"/>
      <c r="BA36" s="13"/>
    </row>
    <row r="37" spans="1:53" s="22" customFormat="1" ht="43.5" x14ac:dyDescent="0.35">
      <c r="A37" s="19" t="s">
        <v>145</v>
      </c>
      <c r="B37" s="19" t="s">
        <v>55</v>
      </c>
      <c r="C37" s="20">
        <v>45994.445833333331</v>
      </c>
      <c r="D37" s="19" t="s">
        <v>56</v>
      </c>
      <c r="E37" s="21" t="s">
        <v>57</v>
      </c>
      <c r="F37" s="19" t="s">
        <v>58</v>
      </c>
      <c r="G37" s="21" t="s">
        <v>59</v>
      </c>
      <c r="H37" s="19" t="s">
        <v>60</v>
      </c>
      <c r="I37" s="21" t="s">
        <v>61</v>
      </c>
      <c r="J37" s="21" t="s">
        <v>62</v>
      </c>
      <c r="K37" s="21" t="s">
        <v>63</v>
      </c>
      <c r="L37" s="19" t="s">
        <v>64</v>
      </c>
      <c r="M37" s="21" t="s">
        <v>65</v>
      </c>
      <c r="N37" s="19" t="s">
        <v>66</v>
      </c>
      <c r="O37" s="21" t="s">
        <v>67</v>
      </c>
      <c r="P37" s="21" t="s">
        <v>68</v>
      </c>
      <c r="Q37" s="21" t="s">
        <v>169</v>
      </c>
      <c r="R37" s="19" t="s">
        <v>170</v>
      </c>
      <c r="S37" s="19" t="s">
        <v>151</v>
      </c>
      <c r="T37" s="19" t="s">
        <v>135</v>
      </c>
      <c r="U37" s="20">
        <v>45901</v>
      </c>
      <c r="V37" s="20"/>
      <c r="W37" s="21"/>
      <c r="X37" s="19"/>
      <c r="Y37" s="21"/>
      <c r="Z37" s="19"/>
      <c r="AA37" s="21"/>
      <c r="AB37" s="19"/>
      <c r="AC37" s="21"/>
      <c r="AD37" s="19"/>
      <c r="AE37" s="21"/>
      <c r="AF37" s="19"/>
      <c r="AG37" s="21"/>
      <c r="AH37" s="19"/>
      <c r="AI37" s="21"/>
      <c r="AJ37" s="19"/>
      <c r="AK37" s="21"/>
      <c r="AL37" s="19"/>
      <c r="AM37" s="21"/>
      <c r="AN37" s="19"/>
      <c r="AO37" s="21"/>
      <c r="AP37" s="19"/>
      <c r="AQ37" s="21"/>
      <c r="AR37" s="19"/>
      <c r="AS37" s="21"/>
      <c r="AT37" s="19"/>
      <c r="AU37" s="21"/>
      <c r="AV37" s="19"/>
      <c r="AW37" s="21"/>
      <c r="AX37" s="19"/>
      <c r="AY37" s="21"/>
      <c r="AZ37" s="19" t="s">
        <v>148</v>
      </c>
      <c r="BA37" s="19"/>
    </row>
    <row r="38" spans="1:53" s="22" customFormat="1" ht="43.5" x14ac:dyDescent="0.35">
      <c r="A38" s="19" t="s">
        <v>145</v>
      </c>
      <c r="B38" s="19" t="s">
        <v>55</v>
      </c>
      <c r="C38" s="20">
        <v>45994.649305555555</v>
      </c>
      <c r="D38" s="19" t="s">
        <v>56</v>
      </c>
      <c r="E38" s="21" t="s">
        <v>57</v>
      </c>
      <c r="F38" s="19" t="s">
        <v>58</v>
      </c>
      <c r="G38" s="21" t="s">
        <v>59</v>
      </c>
      <c r="H38" s="19" t="s">
        <v>60</v>
      </c>
      <c r="I38" s="21" t="s">
        <v>61</v>
      </c>
      <c r="J38" s="21" t="s">
        <v>62</v>
      </c>
      <c r="K38" s="21" t="s">
        <v>63</v>
      </c>
      <c r="L38" s="19" t="s">
        <v>84</v>
      </c>
      <c r="M38" s="21" t="s">
        <v>85</v>
      </c>
      <c r="N38" s="19" t="s">
        <v>66</v>
      </c>
      <c r="O38" s="21" t="s">
        <v>86</v>
      </c>
      <c r="P38" s="21" t="s">
        <v>87</v>
      </c>
      <c r="Q38" s="21" t="s">
        <v>169</v>
      </c>
      <c r="R38" s="19" t="s">
        <v>170</v>
      </c>
      <c r="S38" s="19" t="s">
        <v>151</v>
      </c>
      <c r="T38" s="19" t="s">
        <v>135</v>
      </c>
      <c r="U38" s="20">
        <v>45901</v>
      </c>
      <c r="V38" s="20"/>
      <c r="W38" s="21"/>
      <c r="X38" s="19"/>
      <c r="Y38" s="21"/>
      <c r="Z38" s="19"/>
      <c r="AA38" s="21"/>
      <c r="AB38" s="19"/>
      <c r="AC38" s="21"/>
      <c r="AD38" s="19"/>
      <c r="AE38" s="21"/>
      <c r="AF38" s="19"/>
      <c r="AG38" s="21"/>
      <c r="AH38" s="19"/>
      <c r="AI38" s="21"/>
      <c r="AJ38" s="19"/>
      <c r="AK38" s="21"/>
      <c r="AL38" s="19"/>
      <c r="AM38" s="21"/>
      <c r="AN38" s="19"/>
      <c r="AO38" s="21"/>
      <c r="AP38" s="19"/>
      <c r="AQ38" s="21"/>
      <c r="AR38" s="19"/>
      <c r="AS38" s="21"/>
      <c r="AT38" s="19"/>
      <c r="AU38" s="21"/>
      <c r="AV38" s="19"/>
      <c r="AW38" s="21"/>
      <c r="AX38" s="19"/>
      <c r="AY38" s="21"/>
      <c r="AZ38" s="19" t="s">
        <v>148</v>
      </c>
      <c r="BA38" s="19"/>
    </row>
    <row r="39" spans="1:53" s="22" customFormat="1" ht="43.5" x14ac:dyDescent="0.35">
      <c r="A39" s="19" t="s">
        <v>145</v>
      </c>
      <c r="B39" s="19" t="s">
        <v>55</v>
      </c>
      <c r="C39" s="20">
        <v>45994.650694444441</v>
      </c>
      <c r="D39" s="19" t="s">
        <v>56</v>
      </c>
      <c r="E39" s="21" t="s">
        <v>57</v>
      </c>
      <c r="F39" s="19" t="s">
        <v>58</v>
      </c>
      <c r="G39" s="21" t="s">
        <v>59</v>
      </c>
      <c r="H39" s="19" t="s">
        <v>60</v>
      </c>
      <c r="I39" s="21" t="s">
        <v>61</v>
      </c>
      <c r="J39" s="21" t="s">
        <v>62</v>
      </c>
      <c r="K39" s="21" t="s">
        <v>63</v>
      </c>
      <c r="L39" s="19" t="s">
        <v>106</v>
      </c>
      <c r="M39" s="21" t="s">
        <v>107</v>
      </c>
      <c r="N39" s="19" t="s">
        <v>66</v>
      </c>
      <c r="O39" s="21" t="s">
        <v>108</v>
      </c>
      <c r="P39" s="21" t="s">
        <v>109</v>
      </c>
      <c r="Q39" s="21" t="s">
        <v>169</v>
      </c>
      <c r="R39" s="19" t="s">
        <v>170</v>
      </c>
      <c r="S39" s="19" t="s">
        <v>151</v>
      </c>
      <c r="T39" s="19" t="s">
        <v>135</v>
      </c>
      <c r="U39" s="20">
        <v>45901</v>
      </c>
      <c r="V39" s="20"/>
      <c r="W39" s="21"/>
      <c r="X39" s="19"/>
      <c r="Y39" s="21"/>
      <c r="Z39" s="19"/>
      <c r="AA39" s="21"/>
      <c r="AB39" s="19"/>
      <c r="AC39" s="21"/>
      <c r="AD39" s="19"/>
      <c r="AE39" s="21"/>
      <c r="AF39" s="19"/>
      <c r="AG39" s="21"/>
      <c r="AH39" s="19"/>
      <c r="AI39" s="21"/>
      <c r="AJ39" s="19"/>
      <c r="AK39" s="21"/>
      <c r="AL39" s="19"/>
      <c r="AM39" s="21"/>
      <c r="AN39" s="19"/>
      <c r="AO39" s="21"/>
      <c r="AP39" s="19"/>
      <c r="AQ39" s="21"/>
      <c r="AR39" s="19"/>
      <c r="AS39" s="21"/>
      <c r="AT39" s="19"/>
      <c r="AU39" s="21"/>
      <c r="AV39" s="19"/>
      <c r="AW39" s="21"/>
      <c r="AX39" s="19"/>
      <c r="AY39" s="21"/>
      <c r="AZ39" s="19" t="s">
        <v>148</v>
      </c>
      <c r="BA39" s="19"/>
    </row>
    <row r="40" spans="1:53" ht="159.5" x14ac:dyDescent="0.35">
      <c r="A40" s="13" t="s">
        <v>54</v>
      </c>
      <c r="B40" s="13" t="s">
        <v>55</v>
      </c>
      <c r="C40" s="14">
        <v>45628.664583333331</v>
      </c>
      <c r="D40" s="13" t="s">
        <v>56</v>
      </c>
      <c r="E40" s="15" t="s">
        <v>57</v>
      </c>
      <c r="F40" s="13" t="s">
        <v>58</v>
      </c>
      <c r="G40" s="15" t="s">
        <v>59</v>
      </c>
      <c r="H40" s="13" t="s">
        <v>171</v>
      </c>
      <c r="I40" s="15" t="s">
        <v>172</v>
      </c>
      <c r="J40" s="15" t="s">
        <v>173</v>
      </c>
      <c r="K40" s="15" t="s">
        <v>174</v>
      </c>
      <c r="L40" s="13" t="s">
        <v>175</v>
      </c>
      <c r="M40" s="15" t="s">
        <v>176</v>
      </c>
      <c r="N40" s="13" t="s">
        <v>66</v>
      </c>
      <c r="O40" s="15" t="s">
        <v>177</v>
      </c>
      <c r="P40" s="15" t="s">
        <v>178</v>
      </c>
      <c r="Q40" s="15" t="s">
        <v>69</v>
      </c>
      <c r="R40" s="13" t="s">
        <v>70</v>
      </c>
      <c r="S40" s="13" t="s">
        <v>71</v>
      </c>
      <c r="T40" s="13" t="s">
        <v>72</v>
      </c>
      <c r="U40" s="14">
        <v>45323</v>
      </c>
      <c r="V40" s="14"/>
      <c r="W40" s="15" t="s">
        <v>179</v>
      </c>
      <c r="X40" s="13" t="s">
        <v>180</v>
      </c>
      <c r="Y40" s="15" t="str">
        <f>VLOOKUP(X40,'Axe 2 Règles de gestion'!$D$2:$F$43,3, FALSE)</f>
        <v>L'agent titulaire d'un compte épargne-temps historique peut utiliser ses jours épargnés sous forme de congés ou les faire indemniser ou pour une prise en compte au sein du régime additionnel de la fonction publique.</v>
      </c>
      <c r="Z40" s="13" t="s">
        <v>182</v>
      </c>
      <c r="AA40" s="15" t="str">
        <f>VLOOKUP(Z40,'Axe 2 Règles de gestion'!$D$2:$F$43,3, FALSE)</f>
        <v>Depuis 2009, l'ouverture et l'alimentation du compte épargne-temps historique ne sont plus autorisées.</v>
      </c>
      <c r="AB40" s="13"/>
      <c r="AC40" s="15"/>
      <c r="AD40" s="13"/>
      <c r="AE40" s="15"/>
      <c r="AF40" s="13"/>
      <c r="AG40" s="15"/>
      <c r="AH40" s="13"/>
      <c r="AI40" s="15"/>
      <c r="AJ40" s="13"/>
      <c r="AK40" s="15"/>
      <c r="AL40" s="13"/>
      <c r="AM40" s="15"/>
      <c r="AN40" s="13"/>
      <c r="AO40" s="15"/>
      <c r="AP40" s="13"/>
      <c r="AQ40" s="15"/>
      <c r="AR40" s="13" t="s">
        <v>127</v>
      </c>
      <c r="AS40" s="15" t="str">
        <f>VLOOKUP(AR40,'Axe 2 Règles de gestion'!$D$2:$F$43,3, FALSE)</f>
        <v>Le nombre de jours de l'opération doit être inférieur ou égal au nombre de jours du compteur global du CET.</v>
      </c>
      <c r="AT40" s="13" t="s">
        <v>129</v>
      </c>
      <c r="AU40" s="15" t="str">
        <f>VLOOKUP(AT40,'Axe 2 Règles de gestion'!$D$2:$F$43,3, FALSE)</f>
        <v>Lorsque le sens de l'opération est à "consommé", le compteur global saisi est égal au compteur global de l'occurrence précédente duquel sont soustraits les jours consommés en congés, les jours pour valorisation financière et les jours pour cotisation RAFP.</v>
      </c>
      <c r="AV40" s="13" t="s">
        <v>131</v>
      </c>
      <c r="AW40" s="15" t="str">
        <f>VLOOKUP(AV40,'Axe 2 Règles de gestion'!$D$2:$F$43,3, FALSE)</f>
        <v>Lorsque le sens de l'opération est égal à "consommé", l'origine des jours n'est pas à renseigner.</v>
      </c>
      <c r="AX40" s="13" t="s">
        <v>184</v>
      </c>
      <c r="AY40" s="15" t="str">
        <f>VLOOKUP(AX40,'Axe 2 Règles de gestion'!$D$2:$F$43,3, FALSE)</f>
        <v>Le sens de l'opération doit être à "consommé".</v>
      </c>
      <c r="AZ40" s="13"/>
      <c r="BA40" s="13"/>
    </row>
    <row r="41" spans="1:53" ht="43.5" x14ac:dyDescent="0.35">
      <c r="A41" s="13" t="s">
        <v>54</v>
      </c>
      <c r="B41" s="13" t="s">
        <v>55</v>
      </c>
      <c r="C41" s="14">
        <v>45628.665277777778</v>
      </c>
      <c r="D41" s="13" t="s">
        <v>56</v>
      </c>
      <c r="E41" s="15" t="s">
        <v>57</v>
      </c>
      <c r="F41" s="13" t="s">
        <v>58</v>
      </c>
      <c r="G41" s="15" t="s">
        <v>59</v>
      </c>
      <c r="H41" s="13" t="s">
        <v>171</v>
      </c>
      <c r="I41" s="15" t="s">
        <v>172</v>
      </c>
      <c r="J41" s="15" t="s">
        <v>173</v>
      </c>
      <c r="K41" s="15" t="s">
        <v>174</v>
      </c>
      <c r="L41" s="13" t="s">
        <v>175</v>
      </c>
      <c r="M41" s="15" t="s">
        <v>176</v>
      </c>
      <c r="N41" s="13" t="s">
        <v>66</v>
      </c>
      <c r="O41" s="15" t="s">
        <v>177</v>
      </c>
      <c r="P41" s="15" t="s">
        <v>178</v>
      </c>
      <c r="Q41" s="15" t="s">
        <v>133</v>
      </c>
      <c r="R41" s="13" t="s">
        <v>134</v>
      </c>
      <c r="S41" s="13" t="s">
        <v>71</v>
      </c>
      <c r="T41" s="13" t="s">
        <v>135</v>
      </c>
      <c r="U41" s="14">
        <v>45323</v>
      </c>
      <c r="V41" s="14"/>
      <c r="W41" s="15"/>
      <c r="X41" s="13"/>
      <c r="Y41" s="15"/>
      <c r="Z41" s="13"/>
      <c r="AA41" s="15"/>
      <c r="AB41" s="13"/>
      <c r="AC41" s="15"/>
      <c r="AD41" s="13"/>
      <c r="AE41" s="15"/>
      <c r="AF41" s="13"/>
      <c r="AG41" s="15"/>
      <c r="AH41" s="13"/>
      <c r="AI41" s="15"/>
      <c r="AJ41" s="13"/>
      <c r="AK41" s="15"/>
      <c r="AL41" s="13"/>
      <c r="AM41" s="15"/>
      <c r="AN41" s="13"/>
      <c r="AO41" s="15"/>
      <c r="AP41" s="13"/>
      <c r="AQ41" s="15"/>
      <c r="AR41" s="13"/>
      <c r="AS41" s="15"/>
      <c r="AT41" s="13"/>
      <c r="AU41" s="15"/>
      <c r="AV41" s="13"/>
      <c r="AW41" s="15"/>
      <c r="AX41" s="13"/>
      <c r="AY41" s="15"/>
      <c r="AZ41" s="13"/>
      <c r="BA41" s="13"/>
    </row>
    <row r="42" spans="1:53" s="22" customFormat="1" ht="159.5" x14ac:dyDescent="0.35">
      <c r="A42" s="19" t="s">
        <v>145</v>
      </c>
      <c r="B42" s="19" t="s">
        <v>186</v>
      </c>
      <c r="C42" s="20">
        <v>45994.658333333333</v>
      </c>
      <c r="D42" s="19" t="s">
        <v>56</v>
      </c>
      <c r="E42" s="21" t="s">
        <v>57</v>
      </c>
      <c r="F42" s="19" t="s">
        <v>58</v>
      </c>
      <c r="G42" s="21" t="s">
        <v>59</v>
      </c>
      <c r="H42" s="19" t="s">
        <v>171</v>
      </c>
      <c r="I42" s="21" t="s">
        <v>172</v>
      </c>
      <c r="J42" s="21" t="s">
        <v>173</v>
      </c>
      <c r="K42" s="21" t="s">
        <v>174</v>
      </c>
      <c r="L42" s="19" t="s">
        <v>175</v>
      </c>
      <c r="M42" s="21" t="s">
        <v>176</v>
      </c>
      <c r="N42" s="19" t="s">
        <v>66</v>
      </c>
      <c r="O42" s="21" t="s">
        <v>177</v>
      </c>
      <c r="P42" s="21" t="s">
        <v>178</v>
      </c>
      <c r="Q42" s="21" t="s">
        <v>136</v>
      </c>
      <c r="R42" s="19" t="s">
        <v>137</v>
      </c>
      <c r="S42" s="19" t="s">
        <v>71</v>
      </c>
      <c r="T42" s="19" t="s">
        <v>72</v>
      </c>
      <c r="U42" s="20">
        <v>45323</v>
      </c>
      <c r="V42" s="20"/>
      <c r="W42" s="21" t="s">
        <v>187</v>
      </c>
      <c r="X42" s="19" t="s">
        <v>188</v>
      </c>
      <c r="Y42" s="21" t="str">
        <f>VLOOKUP(X42,'Axe 2 Règles de gestion'!$D$2:$F$43,3, FALSE)</f>
        <v>L'agent titulaire d'un compte épargne-temps historique peut utiliser ses jours épargnés sous forme de congés ou les faire indemniser.</v>
      </c>
      <c r="Z42" s="19" t="s">
        <v>182</v>
      </c>
      <c r="AA42" s="21" t="str">
        <f>VLOOKUP(Z42,'Axe 2 Règles de gestion'!$D$2:$F$43,3, FALSE)</f>
        <v>Depuis 2009, l'ouverture et l'alimentation du compte épargne-temps historique ne sont plus autorisées.</v>
      </c>
      <c r="AB42" s="19"/>
      <c r="AC42" s="21"/>
      <c r="AD42" s="19"/>
      <c r="AE42" s="21"/>
      <c r="AF42" s="19"/>
      <c r="AG42" s="21"/>
      <c r="AH42" s="19"/>
      <c r="AI42" s="21"/>
      <c r="AJ42" s="19"/>
      <c r="AK42" s="21"/>
      <c r="AL42" s="19"/>
      <c r="AM42" s="21"/>
      <c r="AN42" s="19"/>
      <c r="AO42" s="21"/>
      <c r="AP42" s="19"/>
      <c r="AQ42" s="21"/>
      <c r="AR42" s="19" t="s">
        <v>127</v>
      </c>
      <c r="AS42" s="21" t="str">
        <f>VLOOKUP(AR42,'Axe 2 Règles de gestion'!$D$2:$F$43,3, FALSE)</f>
        <v>Le nombre de jours de l'opération doit être inférieur ou égal au nombre de jours du compteur global du CET.</v>
      </c>
      <c r="AT42" s="19" t="s">
        <v>129</v>
      </c>
      <c r="AU42" s="21" t="str">
        <f>VLOOKUP(AT42,'Axe 2 Règles de gestion'!$D$2:$F$43,3, FALSE)</f>
        <v>Lorsque le sens de l'opération est à "consommé", le compteur global saisi est égal au compteur global de l'occurrence précédente duquel sont soustraits les jours consommés en congés, les jours pour valorisation financière et les jours pour cotisation RAFP.</v>
      </c>
      <c r="AV42" s="19" t="s">
        <v>131</v>
      </c>
      <c r="AW42" s="21" t="str">
        <f>VLOOKUP(AV42,'Axe 2 Règles de gestion'!$D$2:$F$43,3, FALSE)</f>
        <v>Lorsque le sens de l'opération est égal à "consommé", l'origine des jours n'est pas à renseigner.</v>
      </c>
      <c r="AX42" s="19" t="s">
        <v>184</v>
      </c>
      <c r="AY42" s="21" t="str">
        <f>VLOOKUP(AX42,'Axe 2 Règles de gestion'!$D$2:$F$43,3, FALSE)</f>
        <v>Le sens de l'opération doit être à "consommé".</v>
      </c>
      <c r="AZ42" s="19" t="s">
        <v>148</v>
      </c>
      <c r="BA42" s="19"/>
    </row>
    <row r="43" spans="1:53" ht="43.5" x14ac:dyDescent="0.35">
      <c r="A43" s="13" t="s">
        <v>54</v>
      </c>
      <c r="B43" s="13" t="s">
        <v>55</v>
      </c>
      <c r="C43" s="14">
        <v>45628.665972222225</v>
      </c>
      <c r="D43" s="13" t="s">
        <v>56</v>
      </c>
      <c r="E43" s="15" t="s">
        <v>57</v>
      </c>
      <c r="F43" s="13" t="s">
        <v>58</v>
      </c>
      <c r="G43" s="15" t="s">
        <v>59</v>
      </c>
      <c r="H43" s="13" t="s">
        <v>171</v>
      </c>
      <c r="I43" s="15" t="s">
        <v>172</v>
      </c>
      <c r="J43" s="15" t="s">
        <v>173</v>
      </c>
      <c r="K43" s="15" t="s">
        <v>174</v>
      </c>
      <c r="L43" s="13" t="s">
        <v>175</v>
      </c>
      <c r="M43" s="15" t="s">
        <v>176</v>
      </c>
      <c r="N43" s="13" t="s">
        <v>66</v>
      </c>
      <c r="O43" s="15" t="s">
        <v>177</v>
      </c>
      <c r="P43" s="15" t="s">
        <v>178</v>
      </c>
      <c r="Q43" s="15" t="s">
        <v>143</v>
      </c>
      <c r="R43" s="13" t="s">
        <v>144</v>
      </c>
      <c r="S43" s="13" t="s">
        <v>71</v>
      </c>
      <c r="T43" s="13" t="s">
        <v>135</v>
      </c>
      <c r="U43" s="14">
        <v>45323</v>
      </c>
      <c r="V43" s="14"/>
      <c r="W43" s="15"/>
      <c r="X43" s="13"/>
      <c r="Y43" s="15"/>
      <c r="Z43" s="13"/>
      <c r="AA43" s="15"/>
      <c r="AB43" s="13"/>
      <c r="AC43" s="15"/>
      <c r="AD43" s="13"/>
      <c r="AE43" s="15"/>
      <c r="AF43" s="13"/>
      <c r="AG43" s="15"/>
      <c r="AH43" s="13"/>
      <c r="AI43" s="15"/>
      <c r="AJ43" s="13"/>
      <c r="AK43" s="15"/>
      <c r="AL43" s="13"/>
      <c r="AM43" s="15"/>
      <c r="AN43" s="13"/>
      <c r="AO43" s="15"/>
      <c r="AP43" s="13"/>
      <c r="AQ43" s="15"/>
      <c r="AR43" s="13"/>
      <c r="AS43" s="15"/>
      <c r="AT43" s="13"/>
      <c r="AU43" s="15"/>
      <c r="AV43" s="13"/>
      <c r="AW43" s="15"/>
      <c r="AX43" s="13"/>
      <c r="AY43" s="15"/>
      <c r="AZ43" s="13"/>
      <c r="BA43" s="13"/>
    </row>
    <row r="44" spans="1:53" s="22" customFormat="1" ht="58" x14ac:dyDescent="0.35">
      <c r="A44" s="19" t="s">
        <v>145</v>
      </c>
      <c r="B44" s="19" t="s">
        <v>55</v>
      </c>
      <c r="C44" s="20">
        <v>45994.652777777781</v>
      </c>
      <c r="D44" s="19" t="s">
        <v>56</v>
      </c>
      <c r="E44" s="21" t="s">
        <v>57</v>
      </c>
      <c r="F44" s="19" t="s">
        <v>58</v>
      </c>
      <c r="G44" s="21" t="s">
        <v>59</v>
      </c>
      <c r="H44" s="19" t="s">
        <v>171</v>
      </c>
      <c r="I44" s="21" t="s">
        <v>172</v>
      </c>
      <c r="J44" s="21" t="s">
        <v>173</v>
      </c>
      <c r="K44" s="21" t="s">
        <v>174</v>
      </c>
      <c r="L44" s="19" t="s">
        <v>175</v>
      </c>
      <c r="M44" s="21" t="s">
        <v>176</v>
      </c>
      <c r="N44" s="19" t="s">
        <v>66</v>
      </c>
      <c r="O44" s="21" t="s">
        <v>177</v>
      </c>
      <c r="P44" s="21" t="s">
        <v>178</v>
      </c>
      <c r="Q44" s="21" t="s">
        <v>146</v>
      </c>
      <c r="R44" s="19" t="s">
        <v>147</v>
      </c>
      <c r="S44" s="19" t="s">
        <v>71</v>
      </c>
      <c r="T44" s="19" t="s">
        <v>72</v>
      </c>
      <c r="U44" s="20">
        <v>45901</v>
      </c>
      <c r="V44" s="20"/>
      <c r="W44" s="21" t="s">
        <v>127</v>
      </c>
      <c r="X44" s="19"/>
      <c r="Y44" s="21"/>
      <c r="Z44" s="19"/>
      <c r="AA44" s="21"/>
      <c r="AB44" s="19"/>
      <c r="AC44" s="21"/>
      <c r="AD44" s="19"/>
      <c r="AE44" s="21"/>
      <c r="AF44" s="19"/>
      <c r="AG44" s="21"/>
      <c r="AH44" s="19"/>
      <c r="AI44" s="21"/>
      <c r="AJ44" s="19"/>
      <c r="AK44" s="21"/>
      <c r="AL44" s="19"/>
      <c r="AM44" s="21"/>
      <c r="AN44" s="19"/>
      <c r="AO44" s="21"/>
      <c r="AP44" s="19"/>
      <c r="AQ44" s="21"/>
      <c r="AR44" s="19" t="s">
        <v>127</v>
      </c>
      <c r="AS44" s="21" t="str">
        <f>VLOOKUP(AR44,'Axe 2 Règles de gestion'!$D$2:$F$43,3, FALSE)</f>
        <v>Le nombre de jours de l'opération doit être inférieur ou égal au nombre de jours du compteur global du CET.</v>
      </c>
      <c r="AT44" s="19"/>
      <c r="AU44" s="21"/>
      <c r="AV44" s="19"/>
      <c r="AW44" s="21"/>
      <c r="AX44" s="19"/>
      <c r="AY44" s="21"/>
      <c r="AZ44" s="19" t="s">
        <v>148</v>
      </c>
      <c r="BA44" s="19"/>
    </row>
    <row r="45" spans="1:53" ht="43.5" x14ac:dyDescent="0.35">
      <c r="A45" s="13" t="s">
        <v>54</v>
      </c>
      <c r="B45" s="13" t="s">
        <v>55</v>
      </c>
      <c r="C45" s="14">
        <v>45628.665972222225</v>
      </c>
      <c r="D45" s="13" t="s">
        <v>56</v>
      </c>
      <c r="E45" s="15" t="s">
        <v>57</v>
      </c>
      <c r="F45" s="13" t="s">
        <v>58</v>
      </c>
      <c r="G45" s="15" t="s">
        <v>59</v>
      </c>
      <c r="H45" s="13" t="s">
        <v>171</v>
      </c>
      <c r="I45" s="15" t="s">
        <v>172</v>
      </c>
      <c r="J45" s="15" t="s">
        <v>173</v>
      </c>
      <c r="K45" s="15" t="s">
        <v>174</v>
      </c>
      <c r="L45" s="13" t="s">
        <v>175</v>
      </c>
      <c r="M45" s="15" t="s">
        <v>176</v>
      </c>
      <c r="N45" s="13" t="s">
        <v>66</v>
      </c>
      <c r="O45" s="15" t="s">
        <v>177</v>
      </c>
      <c r="P45" s="15" t="s">
        <v>178</v>
      </c>
      <c r="Q45" s="15" t="s">
        <v>149</v>
      </c>
      <c r="R45" s="13" t="s">
        <v>150</v>
      </c>
      <c r="S45" s="13" t="s">
        <v>151</v>
      </c>
      <c r="T45" s="13" t="s">
        <v>135</v>
      </c>
      <c r="U45" s="14">
        <v>45323</v>
      </c>
      <c r="V45" s="14"/>
      <c r="W45" s="15"/>
      <c r="X45" s="13"/>
      <c r="Y45" s="15"/>
      <c r="Z45" s="13"/>
      <c r="AA45" s="15"/>
      <c r="AB45" s="13"/>
      <c r="AC45" s="15"/>
      <c r="AD45" s="13"/>
      <c r="AE45" s="15"/>
      <c r="AF45" s="13"/>
      <c r="AG45" s="15"/>
      <c r="AH45" s="13"/>
      <c r="AI45" s="15"/>
      <c r="AJ45" s="13"/>
      <c r="AK45" s="15"/>
      <c r="AL45" s="13"/>
      <c r="AM45" s="15"/>
      <c r="AN45" s="13"/>
      <c r="AO45" s="15"/>
      <c r="AP45" s="13"/>
      <c r="AQ45" s="15"/>
      <c r="AR45" s="13"/>
      <c r="AS45" s="15"/>
      <c r="AT45" s="13"/>
      <c r="AU45" s="15"/>
      <c r="AV45" s="13"/>
      <c r="AW45" s="15"/>
      <c r="AX45" s="13"/>
      <c r="AY45" s="15"/>
      <c r="AZ45" s="13"/>
      <c r="BA45" s="13"/>
    </row>
    <row r="46" spans="1:53" ht="43.5" x14ac:dyDescent="0.35">
      <c r="A46" s="13" t="s">
        <v>54</v>
      </c>
      <c r="B46" s="13" t="s">
        <v>55</v>
      </c>
      <c r="C46" s="14">
        <v>45628.666666666664</v>
      </c>
      <c r="D46" s="13" t="s">
        <v>56</v>
      </c>
      <c r="E46" s="15" t="s">
        <v>57</v>
      </c>
      <c r="F46" s="13" t="s">
        <v>58</v>
      </c>
      <c r="G46" s="15" t="s">
        <v>59</v>
      </c>
      <c r="H46" s="13" t="s">
        <v>171</v>
      </c>
      <c r="I46" s="15" t="s">
        <v>172</v>
      </c>
      <c r="J46" s="15" t="s">
        <v>173</v>
      </c>
      <c r="K46" s="15" t="s">
        <v>174</v>
      </c>
      <c r="L46" s="13" t="s">
        <v>175</v>
      </c>
      <c r="M46" s="15" t="s">
        <v>176</v>
      </c>
      <c r="N46" s="13" t="s">
        <v>66</v>
      </c>
      <c r="O46" s="15" t="s">
        <v>177</v>
      </c>
      <c r="P46" s="15" t="s">
        <v>178</v>
      </c>
      <c r="Q46" s="15" t="s">
        <v>152</v>
      </c>
      <c r="R46" s="13" t="s">
        <v>153</v>
      </c>
      <c r="S46" s="13" t="s">
        <v>151</v>
      </c>
      <c r="T46" s="13" t="s">
        <v>135</v>
      </c>
      <c r="U46" s="14">
        <v>45323</v>
      </c>
      <c r="V46" s="14"/>
      <c r="W46" s="15"/>
      <c r="X46" s="13"/>
      <c r="Y46" s="15"/>
      <c r="Z46" s="13"/>
      <c r="AA46" s="15"/>
      <c r="AB46" s="13"/>
      <c r="AC46" s="15"/>
      <c r="AD46" s="13"/>
      <c r="AE46" s="15"/>
      <c r="AF46" s="13"/>
      <c r="AG46" s="15"/>
      <c r="AH46" s="13"/>
      <c r="AI46" s="15"/>
      <c r="AJ46" s="13"/>
      <c r="AK46" s="15"/>
      <c r="AL46" s="13"/>
      <c r="AM46" s="15"/>
      <c r="AN46" s="13"/>
      <c r="AO46" s="15"/>
      <c r="AP46" s="13"/>
      <c r="AQ46" s="15"/>
      <c r="AR46" s="13"/>
      <c r="AS46" s="15"/>
      <c r="AT46" s="13"/>
      <c r="AU46" s="15"/>
      <c r="AV46" s="13"/>
      <c r="AW46" s="15"/>
      <c r="AX46" s="13"/>
      <c r="AY46" s="15"/>
      <c r="AZ46" s="13"/>
      <c r="BA46" s="13"/>
    </row>
    <row r="47" spans="1:53" ht="43.5" x14ac:dyDescent="0.35">
      <c r="A47" s="13" t="s">
        <v>54</v>
      </c>
      <c r="B47" s="13" t="s">
        <v>55</v>
      </c>
      <c r="C47" s="14">
        <v>45628.666666666664</v>
      </c>
      <c r="D47" s="13" t="s">
        <v>56</v>
      </c>
      <c r="E47" s="15" t="s">
        <v>57</v>
      </c>
      <c r="F47" s="13" t="s">
        <v>58</v>
      </c>
      <c r="G47" s="15" t="s">
        <v>59</v>
      </c>
      <c r="H47" s="13" t="s">
        <v>171</v>
      </c>
      <c r="I47" s="15" t="s">
        <v>172</v>
      </c>
      <c r="J47" s="15" t="s">
        <v>173</v>
      </c>
      <c r="K47" s="15" t="s">
        <v>174</v>
      </c>
      <c r="L47" s="13" t="s">
        <v>175</v>
      </c>
      <c r="M47" s="15" t="s">
        <v>176</v>
      </c>
      <c r="N47" s="13" t="s">
        <v>66</v>
      </c>
      <c r="O47" s="15" t="s">
        <v>177</v>
      </c>
      <c r="P47" s="15" t="s">
        <v>178</v>
      </c>
      <c r="Q47" s="15" t="s">
        <v>154</v>
      </c>
      <c r="R47" s="13" t="s">
        <v>155</v>
      </c>
      <c r="S47" s="13" t="s">
        <v>151</v>
      </c>
      <c r="T47" s="13" t="s">
        <v>135</v>
      </c>
      <c r="U47" s="14">
        <v>45323</v>
      </c>
      <c r="V47" s="14"/>
      <c r="W47" s="15"/>
      <c r="X47" s="13"/>
      <c r="Y47" s="15"/>
      <c r="Z47" s="13"/>
      <c r="AA47" s="15"/>
      <c r="AB47" s="13"/>
      <c r="AC47" s="15"/>
      <c r="AD47" s="13"/>
      <c r="AE47" s="15"/>
      <c r="AF47" s="13"/>
      <c r="AG47" s="15"/>
      <c r="AH47" s="13"/>
      <c r="AI47" s="15"/>
      <c r="AJ47" s="13"/>
      <c r="AK47" s="15"/>
      <c r="AL47" s="13"/>
      <c r="AM47" s="15"/>
      <c r="AN47" s="13"/>
      <c r="AO47" s="15"/>
      <c r="AP47" s="13"/>
      <c r="AQ47" s="15"/>
      <c r="AR47" s="13"/>
      <c r="AS47" s="15"/>
      <c r="AT47" s="13"/>
      <c r="AU47" s="15"/>
      <c r="AV47" s="13"/>
      <c r="AW47" s="15"/>
      <c r="AX47" s="13"/>
      <c r="AY47" s="15"/>
      <c r="AZ47" s="13"/>
      <c r="BA47" s="13"/>
    </row>
    <row r="48" spans="1:53" s="22" customFormat="1" ht="159.5" x14ac:dyDescent="0.35">
      <c r="A48" s="19" t="s">
        <v>145</v>
      </c>
      <c r="B48" s="19" t="s">
        <v>55</v>
      </c>
      <c r="C48" s="20">
        <v>45994.443055555559</v>
      </c>
      <c r="D48" s="19" t="s">
        <v>56</v>
      </c>
      <c r="E48" s="21" t="s">
        <v>57</v>
      </c>
      <c r="F48" s="19" t="s">
        <v>58</v>
      </c>
      <c r="G48" s="21" t="s">
        <v>59</v>
      </c>
      <c r="H48" s="19" t="s">
        <v>171</v>
      </c>
      <c r="I48" s="21" t="s">
        <v>172</v>
      </c>
      <c r="J48" s="21" t="s">
        <v>173</v>
      </c>
      <c r="K48" s="21" t="s">
        <v>174</v>
      </c>
      <c r="L48" s="19" t="s">
        <v>175</v>
      </c>
      <c r="M48" s="21" t="s">
        <v>176</v>
      </c>
      <c r="N48" s="19" t="s">
        <v>66</v>
      </c>
      <c r="O48" s="21" t="s">
        <v>177</v>
      </c>
      <c r="P48" s="21" t="s">
        <v>178</v>
      </c>
      <c r="Q48" s="21" t="s">
        <v>156</v>
      </c>
      <c r="R48" s="19" t="s">
        <v>157</v>
      </c>
      <c r="S48" s="19" t="s">
        <v>151</v>
      </c>
      <c r="T48" s="19" t="s">
        <v>72</v>
      </c>
      <c r="U48" s="20">
        <v>45901</v>
      </c>
      <c r="V48" s="20"/>
      <c r="W48" s="21" t="s">
        <v>190</v>
      </c>
      <c r="X48" s="19" t="s">
        <v>159</v>
      </c>
      <c r="Y48" s="21" t="str">
        <f>VLOOKUP(X48,'Axe 2 Règles de gestion'!$D$2:$F$43,3, FALSE)</f>
        <v>L'agent bénéficie des dispositions applicables aux agents titulaires pour le compte épargne-temps, sauf dispositions contraires.</v>
      </c>
      <c r="Z48" s="19" t="s">
        <v>188</v>
      </c>
      <c r="AA48" s="21" t="str">
        <f>VLOOKUP(Z48,'Axe 2 Règles de gestion'!$D$2:$F$43,3, FALSE)</f>
        <v>L'agent titulaire d'un compte épargne-temps historique peut utiliser ses jours épargnés sous forme de congés ou les faire indemniser.</v>
      </c>
      <c r="AB48" s="19" t="s">
        <v>182</v>
      </c>
      <c r="AC48" s="21" t="str">
        <f>VLOOKUP(AB48,'Axe 2 Règles de gestion'!$D$2:$F$43,3, FALSE)</f>
        <v>Depuis 2009, l'ouverture et l'alimentation du compte épargne-temps historique ne sont plus autorisées.</v>
      </c>
      <c r="AD48" s="19"/>
      <c r="AE48" s="21"/>
      <c r="AF48" s="19"/>
      <c r="AG48" s="21"/>
      <c r="AH48" s="19"/>
      <c r="AI48" s="21"/>
      <c r="AJ48" s="19"/>
      <c r="AK48" s="21"/>
      <c r="AL48" s="19"/>
      <c r="AM48" s="21"/>
      <c r="AN48" s="19"/>
      <c r="AO48" s="21"/>
      <c r="AP48" s="19"/>
      <c r="AQ48" s="21"/>
      <c r="AR48" s="19" t="s">
        <v>127</v>
      </c>
      <c r="AS48" s="21" t="str">
        <f>VLOOKUP(AR48,'Axe 2 Règles de gestion'!$D$2:$F$43,3, FALSE)</f>
        <v>Le nombre de jours de l'opération doit être inférieur ou égal au nombre de jours du compteur global du CET.</v>
      </c>
      <c r="AT48" s="19" t="s">
        <v>129</v>
      </c>
      <c r="AU48" s="21" t="str">
        <f>VLOOKUP(AT48,'Axe 2 Règles de gestion'!$D$2:$F$43,3, FALSE)</f>
        <v>Lorsque le sens de l'opération est à "consommé", le compteur global saisi est égal au compteur global de l'occurrence précédente duquel sont soustraits les jours consommés en congés, les jours pour valorisation financière et les jours pour cotisation RAFP.</v>
      </c>
      <c r="AV48" s="19" t="s">
        <v>131</v>
      </c>
      <c r="AW48" s="21" t="str">
        <f>VLOOKUP(AV48,'Axe 2 Règles de gestion'!$D$2:$F$43,3, FALSE)</f>
        <v>Lorsque le sens de l'opération est égal à "consommé", l'origine des jours n'est pas à renseigner.</v>
      </c>
      <c r="AX48" s="19" t="s">
        <v>184</v>
      </c>
      <c r="AY48" s="21" t="str">
        <f>VLOOKUP(AX48,'Axe 2 Règles de gestion'!$D$2:$F$43,3, FALSE)</f>
        <v>Le sens de l'opération doit être à "consommé".</v>
      </c>
      <c r="AZ48" s="19" t="s">
        <v>148</v>
      </c>
      <c r="BA48" s="19"/>
    </row>
    <row r="49" spans="1:53" ht="43.5" x14ac:dyDescent="0.35">
      <c r="A49" s="13" t="s">
        <v>54</v>
      </c>
      <c r="B49" s="13" t="s">
        <v>55</v>
      </c>
      <c r="C49" s="14">
        <v>45628.667361111111</v>
      </c>
      <c r="D49" s="13" t="s">
        <v>56</v>
      </c>
      <c r="E49" s="15" t="s">
        <v>57</v>
      </c>
      <c r="F49" s="13" t="s">
        <v>58</v>
      </c>
      <c r="G49" s="15" t="s">
        <v>59</v>
      </c>
      <c r="H49" s="13" t="s">
        <v>171</v>
      </c>
      <c r="I49" s="15" t="s">
        <v>172</v>
      </c>
      <c r="J49" s="15" t="s">
        <v>173</v>
      </c>
      <c r="K49" s="15" t="s">
        <v>174</v>
      </c>
      <c r="L49" s="13" t="s">
        <v>175</v>
      </c>
      <c r="M49" s="15" t="s">
        <v>176</v>
      </c>
      <c r="N49" s="13" t="s">
        <v>66</v>
      </c>
      <c r="O49" s="15" t="s">
        <v>177</v>
      </c>
      <c r="P49" s="15" t="s">
        <v>178</v>
      </c>
      <c r="Q49" s="15" t="s">
        <v>165</v>
      </c>
      <c r="R49" s="13" t="s">
        <v>166</v>
      </c>
      <c r="S49" s="13" t="s">
        <v>151</v>
      </c>
      <c r="T49" s="13" t="s">
        <v>135</v>
      </c>
      <c r="U49" s="14">
        <v>45323</v>
      </c>
      <c r="V49" s="14"/>
      <c r="W49" s="15"/>
      <c r="X49" s="13"/>
      <c r="Y49" s="15"/>
      <c r="Z49" s="13"/>
      <c r="AA49" s="15"/>
      <c r="AB49" s="13"/>
      <c r="AC49" s="15"/>
      <c r="AD49" s="13"/>
      <c r="AE49" s="15"/>
      <c r="AF49" s="13"/>
      <c r="AG49" s="15"/>
      <c r="AH49" s="13"/>
      <c r="AI49" s="15"/>
      <c r="AJ49" s="13"/>
      <c r="AK49" s="15"/>
      <c r="AL49" s="13"/>
      <c r="AM49" s="15"/>
      <c r="AN49" s="13"/>
      <c r="AO49" s="15"/>
      <c r="AP49" s="13"/>
      <c r="AQ49" s="15"/>
      <c r="AR49" s="13"/>
      <c r="AS49" s="15"/>
      <c r="AT49" s="13"/>
      <c r="AU49" s="15"/>
      <c r="AV49" s="13"/>
      <c r="AW49" s="15"/>
      <c r="AX49" s="13"/>
      <c r="AY49" s="15"/>
      <c r="AZ49" s="13"/>
      <c r="BA49" s="13"/>
    </row>
    <row r="50" spans="1:53" ht="43.5" x14ac:dyDescent="0.35">
      <c r="A50" s="13" t="s">
        <v>54</v>
      </c>
      <c r="B50" s="13" t="s">
        <v>55</v>
      </c>
      <c r="C50" s="14">
        <v>45628.667361111111</v>
      </c>
      <c r="D50" s="13" t="s">
        <v>56</v>
      </c>
      <c r="E50" s="15" t="s">
        <v>57</v>
      </c>
      <c r="F50" s="13" t="s">
        <v>58</v>
      </c>
      <c r="G50" s="15" t="s">
        <v>59</v>
      </c>
      <c r="H50" s="13" t="s">
        <v>171</v>
      </c>
      <c r="I50" s="15" t="s">
        <v>172</v>
      </c>
      <c r="J50" s="15" t="s">
        <v>173</v>
      </c>
      <c r="K50" s="15" t="s">
        <v>174</v>
      </c>
      <c r="L50" s="13" t="s">
        <v>175</v>
      </c>
      <c r="M50" s="15" t="s">
        <v>176</v>
      </c>
      <c r="N50" s="13" t="s">
        <v>66</v>
      </c>
      <c r="O50" s="15" t="s">
        <v>177</v>
      </c>
      <c r="P50" s="15" t="s">
        <v>178</v>
      </c>
      <c r="Q50" s="15" t="s">
        <v>167</v>
      </c>
      <c r="R50" s="13" t="s">
        <v>168</v>
      </c>
      <c r="S50" s="13" t="s">
        <v>151</v>
      </c>
      <c r="T50" s="13" t="s">
        <v>135</v>
      </c>
      <c r="U50" s="14">
        <v>45323</v>
      </c>
      <c r="V50" s="14"/>
      <c r="W50" s="15"/>
      <c r="X50" s="13"/>
      <c r="Y50" s="15"/>
      <c r="Z50" s="13"/>
      <c r="AA50" s="15"/>
      <c r="AB50" s="13"/>
      <c r="AC50" s="15"/>
      <c r="AD50" s="13"/>
      <c r="AE50" s="15"/>
      <c r="AF50" s="13"/>
      <c r="AG50" s="15"/>
      <c r="AH50" s="13"/>
      <c r="AI50" s="15"/>
      <c r="AJ50" s="13"/>
      <c r="AK50" s="15"/>
      <c r="AL50" s="13"/>
      <c r="AM50" s="15"/>
      <c r="AN50" s="13"/>
      <c r="AO50" s="15"/>
      <c r="AP50" s="13"/>
      <c r="AQ50" s="15"/>
      <c r="AR50" s="13"/>
      <c r="AS50" s="15"/>
      <c r="AT50" s="13"/>
      <c r="AU50" s="15"/>
      <c r="AV50" s="13"/>
      <c r="AW50" s="15"/>
      <c r="AX50" s="13"/>
      <c r="AY50" s="15"/>
      <c r="AZ50" s="13"/>
      <c r="BA50" s="13"/>
    </row>
    <row r="51" spans="1:53" s="22" customFormat="1" ht="43.5" x14ac:dyDescent="0.35">
      <c r="A51" s="19" t="s">
        <v>145</v>
      </c>
      <c r="B51" s="19" t="s">
        <v>55</v>
      </c>
      <c r="C51" s="20">
        <v>45994.652083333334</v>
      </c>
      <c r="D51" s="19" t="s">
        <v>56</v>
      </c>
      <c r="E51" s="21" t="s">
        <v>57</v>
      </c>
      <c r="F51" s="19" t="s">
        <v>58</v>
      </c>
      <c r="G51" s="21" t="s">
        <v>59</v>
      </c>
      <c r="H51" s="19" t="s">
        <v>171</v>
      </c>
      <c r="I51" s="21" t="s">
        <v>172</v>
      </c>
      <c r="J51" s="21" t="s">
        <v>173</v>
      </c>
      <c r="K51" s="21" t="s">
        <v>174</v>
      </c>
      <c r="L51" s="19" t="s">
        <v>175</v>
      </c>
      <c r="M51" s="21" t="s">
        <v>176</v>
      </c>
      <c r="N51" s="19" t="s">
        <v>66</v>
      </c>
      <c r="O51" s="21" t="s">
        <v>177</v>
      </c>
      <c r="P51" s="21" t="s">
        <v>178</v>
      </c>
      <c r="Q51" s="21" t="s">
        <v>169</v>
      </c>
      <c r="R51" s="19" t="s">
        <v>170</v>
      </c>
      <c r="S51" s="19" t="s">
        <v>151</v>
      </c>
      <c r="T51" s="19" t="s">
        <v>135</v>
      </c>
      <c r="U51" s="20">
        <v>45901</v>
      </c>
      <c r="V51" s="20"/>
      <c r="W51" s="21"/>
      <c r="X51" s="19"/>
      <c r="Y51" s="21"/>
      <c r="Z51" s="19"/>
      <c r="AA51" s="21"/>
      <c r="AB51" s="19"/>
      <c r="AC51" s="21"/>
      <c r="AD51" s="19"/>
      <c r="AE51" s="21"/>
      <c r="AF51" s="19"/>
      <c r="AG51" s="21"/>
      <c r="AH51" s="19"/>
      <c r="AI51" s="21"/>
      <c r="AJ51" s="19"/>
      <c r="AK51" s="21"/>
      <c r="AL51" s="19"/>
      <c r="AM51" s="21"/>
      <c r="AN51" s="19"/>
      <c r="AO51" s="21"/>
      <c r="AP51" s="19"/>
      <c r="AQ51" s="21"/>
      <c r="AR51" s="19"/>
      <c r="AS51" s="21"/>
      <c r="AT51" s="19"/>
      <c r="AU51" s="21"/>
      <c r="AV51" s="19"/>
      <c r="AW51" s="21"/>
      <c r="AX51" s="19"/>
      <c r="AY51" s="21"/>
      <c r="AZ51" s="19" t="s">
        <v>148</v>
      </c>
      <c r="BA51" s="19"/>
    </row>
    <row r="52" spans="1:53" ht="130.5" x14ac:dyDescent="0.35">
      <c r="A52" s="13" t="s">
        <v>54</v>
      </c>
      <c r="B52" s="13" t="s">
        <v>55</v>
      </c>
      <c r="C52" s="14">
        <v>45628.668749999997</v>
      </c>
      <c r="D52" s="13" t="s">
        <v>56</v>
      </c>
      <c r="E52" s="15" t="s">
        <v>57</v>
      </c>
      <c r="F52" s="13" t="s">
        <v>58</v>
      </c>
      <c r="G52" s="15" t="s">
        <v>59</v>
      </c>
      <c r="H52" s="13" t="s">
        <v>191</v>
      </c>
      <c r="I52" s="15" t="s">
        <v>192</v>
      </c>
      <c r="J52" s="15"/>
      <c r="K52" s="15"/>
      <c r="L52" s="13" t="s">
        <v>193</v>
      </c>
      <c r="M52" s="15" t="s">
        <v>194</v>
      </c>
      <c r="N52" s="13" t="s">
        <v>66</v>
      </c>
      <c r="O52" s="15"/>
      <c r="P52" s="15"/>
      <c r="Q52" s="15" t="s">
        <v>69</v>
      </c>
      <c r="R52" s="13" t="s">
        <v>70</v>
      </c>
      <c r="S52" s="13" t="s">
        <v>71</v>
      </c>
      <c r="T52" s="13" t="s">
        <v>72</v>
      </c>
      <c r="U52" s="14">
        <v>45323</v>
      </c>
      <c r="V52" s="14"/>
      <c r="W52" s="15" t="s">
        <v>195</v>
      </c>
      <c r="X52" s="13" t="s">
        <v>196</v>
      </c>
      <c r="Y52" s="15" t="str">
        <f>VLOOKUP(X52,'Axe 2 Règles de gestion'!$D$2:$F$43,3, FALSE)</f>
        <v>En cas de mutation, d'intégration directe, de mise à disposition, de détachement dans la fonction publique d'Etat, l'agent peut utiliser son compte épargne-temps. Sa gestion est assurée par l'administration d'accueil.</v>
      </c>
      <c r="Z52" s="13" t="s">
        <v>198</v>
      </c>
      <c r="AA52" s="15" t="str">
        <f>VLOOKUP(Z52,'Axe 2 Règles de gestion'!$D$2:$F$43,3, FALSE)</f>
        <v>En cas de disponibilité ou en cas de congé parental, l'agent peut utiliser son compte épargne-temps à condition d'avoir obtenu l'autorisation de son administration d'origine.</v>
      </c>
      <c r="AB52" s="13" t="s">
        <v>200</v>
      </c>
      <c r="AC52" s="15" t="str">
        <f>VLOOKUP(AB52,'Axe 2 Règles de gestion'!$D$2:$F$43,3, FALSE)</f>
        <v>En cas de décès de l'agent, les ayants droit bénéficient d'une indemnisation des jours accumulés sur le compte épargne-temps.</v>
      </c>
      <c r="AD52" s="13" t="s">
        <v>202</v>
      </c>
      <c r="AE52" s="15" t="str">
        <f>VLOOKUP(AD52,'Axe 2 Règles de gestion'!$D$2:$F$43,3, FALSE)</f>
        <v>Si l'agent cesse définitivement ses fonctions, le solde éventuel de l'indemnisation dû à sa cessation de fonctions est versé à cette date.</v>
      </c>
      <c r="AF52" s="13"/>
      <c r="AG52" s="15"/>
      <c r="AH52" s="13"/>
      <c r="AI52" s="15"/>
      <c r="AJ52" s="13"/>
      <c r="AK52" s="15"/>
      <c r="AL52" s="13"/>
      <c r="AM52" s="15"/>
      <c r="AN52" s="13"/>
      <c r="AO52" s="15"/>
      <c r="AP52" s="13"/>
      <c r="AQ52" s="15"/>
      <c r="AR52" s="13"/>
      <c r="AS52" s="15"/>
      <c r="AT52" s="13"/>
      <c r="AU52" s="15"/>
      <c r="AV52" s="13"/>
      <c r="AW52" s="15"/>
      <c r="AX52" s="13"/>
      <c r="AY52" s="15"/>
      <c r="AZ52" s="13"/>
      <c r="BA52" s="13"/>
    </row>
    <row r="53" spans="1:53" ht="29" x14ac:dyDescent="0.35">
      <c r="A53" s="13" t="s">
        <v>54</v>
      </c>
      <c r="B53" s="13" t="s">
        <v>55</v>
      </c>
      <c r="C53" s="14">
        <v>45628.669444444444</v>
      </c>
      <c r="D53" s="13" t="s">
        <v>56</v>
      </c>
      <c r="E53" s="15" t="s">
        <v>57</v>
      </c>
      <c r="F53" s="13" t="s">
        <v>58</v>
      </c>
      <c r="G53" s="15" t="s">
        <v>59</v>
      </c>
      <c r="H53" s="13" t="s">
        <v>191</v>
      </c>
      <c r="I53" s="15" t="s">
        <v>192</v>
      </c>
      <c r="J53" s="15"/>
      <c r="K53" s="15"/>
      <c r="L53" s="13" t="s">
        <v>193</v>
      </c>
      <c r="M53" s="15" t="s">
        <v>194</v>
      </c>
      <c r="N53" s="13" t="s">
        <v>66</v>
      </c>
      <c r="O53" s="15"/>
      <c r="P53" s="15"/>
      <c r="Q53" s="15" t="s">
        <v>133</v>
      </c>
      <c r="R53" s="13" t="s">
        <v>134</v>
      </c>
      <c r="S53" s="13" t="s">
        <v>71</v>
      </c>
      <c r="T53" s="13" t="s">
        <v>135</v>
      </c>
      <c r="U53" s="14">
        <v>45323</v>
      </c>
      <c r="V53" s="14"/>
      <c r="W53" s="15"/>
      <c r="X53" s="13"/>
      <c r="Y53" s="15"/>
      <c r="Z53" s="13"/>
      <c r="AA53" s="15"/>
      <c r="AB53" s="13"/>
      <c r="AC53" s="15"/>
      <c r="AD53" s="13"/>
      <c r="AE53" s="15"/>
      <c r="AF53" s="13"/>
      <c r="AG53" s="15"/>
      <c r="AH53" s="13"/>
      <c r="AI53" s="15"/>
      <c r="AJ53" s="13"/>
      <c r="AK53" s="15"/>
      <c r="AL53" s="13"/>
      <c r="AM53" s="15"/>
      <c r="AN53" s="13"/>
      <c r="AO53" s="15"/>
      <c r="AP53" s="13"/>
      <c r="AQ53" s="15"/>
      <c r="AR53" s="13"/>
      <c r="AS53" s="15"/>
      <c r="AT53" s="13"/>
      <c r="AU53" s="15"/>
      <c r="AV53" s="13"/>
      <c r="AW53" s="15"/>
      <c r="AX53" s="13"/>
      <c r="AY53" s="15"/>
      <c r="AZ53" s="13"/>
      <c r="BA53" s="13"/>
    </row>
    <row r="54" spans="1:53" ht="130.5" x14ac:dyDescent="0.35">
      <c r="A54" s="13" t="s">
        <v>54</v>
      </c>
      <c r="B54" s="13" t="s">
        <v>55</v>
      </c>
      <c r="C54" s="14">
        <v>45628.670138888891</v>
      </c>
      <c r="D54" s="13" t="s">
        <v>56</v>
      </c>
      <c r="E54" s="15" t="s">
        <v>57</v>
      </c>
      <c r="F54" s="13" t="s">
        <v>58</v>
      </c>
      <c r="G54" s="15" t="s">
        <v>59</v>
      </c>
      <c r="H54" s="13" t="s">
        <v>191</v>
      </c>
      <c r="I54" s="15" t="s">
        <v>192</v>
      </c>
      <c r="J54" s="15"/>
      <c r="K54" s="15"/>
      <c r="L54" s="13" t="s">
        <v>193</v>
      </c>
      <c r="M54" s="15" t="s">
        <v>194</v>
      </c>
      <c r="N54" s="13" t="s">
        <v>66</v>
      </c>
      <c r="O54" s="15"/>
      <c r="P54" s="15"/>
      <c r="Q54" s="15" t="s">
        <v>136</v>
      </c>
      <c r="R54" s="13" t="s">
        <v>137</v>
      </c>
      <c r="S54" s="13" t="s">
        <v>71</v>
      </c>
      <c r="T54" s="13" t="s">
        <v>72</v>
      </c>
      <c r="U54" s="14">
        <v>45323</v>
      </c>
      <c r="V54" s="14"/>
      <c r="W54" s="15" t="s">
        <v>204</v>
      </c>
      <c r="X54" s="13" t="s">
        <v>196</v>
      </c>
      <c r="Y54" s="15" t="str">
        <f>VLOOKUP(X54,'Axe 2 Règles de gestion'!$D$2:$F$43,3, FALSE)</f>
        <v>En cas de mutation, d'intégration directe, de mise à disposition, de détachement dans la fonction publique d'Etat, l'agent peut utiliser son compte épargne-temps. Sa gestion est assurée par l'administration d'accueil.</v>
      </c>
      <c r="Z54" s="13" t="s">
        <v>205</v>
      </c>
      <c r="AA54" s="15" t="str">
        <f>VLOOKUP(Z54,'Axe 2 Règles de gestion'!$D$2:$F$43,3, FALSE)</f>
        <v>En cas de congé parental, l'agent peut utiliser son compte épargne-temps à condition d'avoir obtenu l'autorisation de son administration d'origine.</v>
      </c>
      <c r="AB54" s="13" t="s">
        <v>207</v>
      </c>
      <c r="AC54" s="15" t="str">
        <f>VLOOKUP(AB54,'Axe 2 Règles de gestion'!$D$2:$F$43,3, FALSE)</f>
        <v>En cas de congé de mobilité, l'agent peut utiliser son compte épargne-temps. Sa gestion est assurée par l'administration d'accueil.</v>
      </c>
      <c r="AD54" s="13" t="s">
        <v>200</v>
      </c>
      <c r="AE54" s="15" t="str">
        <f>VLOOKUP(AD54,'Axe 2 Règles de gestion'!$D$2:$F$43,3, FALSE)</f>
        <v>En cas de décès de l'agent, les ayants droit bénéficient d'une indemnisation des jours accumulés sur le compte épargne-temps.</v>
      </c>
      <c r="AF54" s="13" t="s">
        <v>202</v>
      </c>
      <c r="AG54" s="15" t="str">
        <f>VLOOKUP(AF54,'Axe 2 Règles de gestion'!$D$2:$F$43,3, FALSE)</f>
        <v>Si l'agent cesse définitivement ses fonctions, le solde éventuel de l'indemnisation dû à sa cessation de fonctions est versé à cette date.</v>
      </c>
      <c r="AH54" s="13"/>
      <c r="AI54" s="15"/>
      <c r="AJ54" s="13"/>
      <c r="AK54" s="15"/>
      <c r="AL54" s="13"/>
      <c r="AM54" s="15"/>
      <c r="AN54" s="13"/>
      <c r="AO54" s="15"/>
      <c r="AP54" s="13"/>
      <c r="AQ54" s="15"/>
      <c r="AR54" s="13"/>
      <c r="AS54" s="15"/>
      <c r="AT54" s="13"/>
      <c r="AU54" s="15"/>
      <c r="AV54" s="13"/>
      <c r="AW54" s="15"/>
      <c r="AX54" s="13"/>
      <c r="AY54" s="15"/>
      <c r="AZ54" s="13"/>
      <c r="BA54" s="13"/>
    </row>
    <row r="55" spans="1:53" ht="29" x14ac:dyDescent="0.35">
      <c r="A55" s="13" t="s">
        <v>54</v>
      </c>
      <c r="B55" s="13" t="s">
        <v>55</v>
      </c>
      <c r="C55" s="14">
        <v>45628.670138888891</v>
      </c>
      <c r="D55" s="13" t="s">
        <v>56</v>
      </c>
      <c r="E55" s="15" t="s">
        <v>57</v>
      </c>
      <c r="F55" s="13" t="s">
        <v>58</v>
      </c>
      <c r="G55" s="15" t="s">
        <v>59</v>
      </c>
      <c r="H55" s="13" t="s">
        <v>191</v>
      </c>
      <c r="I55" s="15" t="s">
        <v>192</v>
      </c>
      <c r="J55" s="15"/>
      <c r="K55" s="15"/>
      <c r="L55" s="13" t="s">
        <v>193</v>
      </c>
      <c r="M55" s="15" t="s">
        <v>194</v>
      </c>
      <c r="N55" s="13" t="s">
        <v>66</v>
      </c>
      <c r="O55" s="15"/>
      <c r="P55" s="15"/>
      <c r="Q55" s="15" t="s">
        <v>143</v>
      </c>
      <c r="R55" s="13" t="s">
        <v>144</v>
      </c>
      <c r="S55" s="13" t="s">
        <v>71</v>
      </c>
      <c r="T55" s="13" t="s">
        <v>135</v>
      </c>
      <c r="U55" s="14">
        <v>45323</v>
      </c>
      <c r="V55" s="14"/>
      <c r="W55" s="15"/>
      <c r="X55" s="13"/>
      <c r="Y55" s="15"/>
      <c r="Z55" s="13"/>
      <c r="AA55" s="15"/>
      <c r="AB55" s="13"/>
      <c r="AC55" s="15"/>
      <c r="AD55" s="13"/>
      <c r="AE55" s="15"/>
      <c r="AF55" s="13"/>
      <c r="AG55" s="15"/>
      <c r="AH55" s="13"/>
      <c r="AI55" s="15"/>
      <c r="AJ55" s="13"/>
      <c r="AK55" s="15"/>
      <c r="AL55" s="13"/>
      <c r="AM55" s="15"/>
      <c r="AN55" s="13"/>
      <c r="AO55" s="15"/>
      <c r="AP55" s="13"/>
      <c r="AQ55" s="15"/>
      <c r="AR55" s="13"/>
      <c r="AS55" s="15"/>
      <c r="AT55" s="13"/>
      <c r="AU55" s="15"/>
      <c r="AV55" s="13"/>
      <c r="AW55" s="15"/>
      <c r="AX55" s="13"/>
      <c r="AY55" s="15"/>
      <c r="AZ55" s="13"/>
      <c r="BA55" s="13"/>
    </row>
    <row r="56" spans="1:53" s="22" customFormat="1" ht="58" x14ac:dyDescent="0.35">
      <c r="A56" s="19" t="s">
        <v>145</v>
      </c>
      <c r="B56" s="19" t="s">
        <v>55</v>
      </c>
      <c r="C56" s="20">
        <v>45994.655555555553</v>
      </c>
      <c r="D56" s="19" t="s">
        <v>56</v>
      </c>
      <c r="E56" s="21" t="s">
        <v>57</v>
      </c>
      <c r="F56" s="19" t="s">
        <v>58</v>
      </c>
      <c r="G56" s="21" t="s">
        <v>59</v>
      </c>
      <c r="H56" s="19" t="s">
        <v>191</v>
      </c>
      <c r="I56" s="21" t="s">
        <v>192</v>
      </c>
      <c r="J56" s="21"/>
      <c r="K56" s="21"/>
      <c r="L56" s="19" t="s">
        <v>193</v>
      </c>
      <c r="M56" s="21" t="s">
        <v>194</v>
      </c>
      <c r="N56" s="19" t="s">
        <v>66</v>
      </c>
      <c r="O56" s="21"/>
      <c r="P56" s="21"/>
      <c r="Q56" s="21" t="s">
        <v>146</v>
      </c>
      <c r="R56" s="19" t="s">
        <v>147</v>
      </c>
      <c r="S56" s="19" t="s">
        <v>71</v>
      </c>
      <c r="T56" s="19" t="s">
        <v>72</v>
      </c>
      <c r="U56" s="20">
        <v>45901</v>
      </c>
      <c r="V56" s="20"/>
      <c r="W56" s="21" t="s">
        <v>127</v>
      </c>
      <c r="X56" s="19"/>
      <c r="Y56" s="21"/>
      <c r="Z56" s="19"/>
      <c r="AA56" s="21"/>
      <c r="AB56" s="19"/>
      <c r="AC56" s="21"/>
      <c r="AD56" s="19"/>
      <c r="AE56" s="21"/>
      <c r="AF56" s="19"/>
      <c r="AG56" s="21"/>
      <c r="AH56" s="19"/>
      <c r="AI56" s="21"/>
      <c r="AJ56" s="19"/>
      <c r="AK56" s="21"/>
      <c r="AL56" s="19"/>
      <c r="AM56" s="21"/>
      <c r="AN56" s="19"/>
      <c r="AO56" s="21"/>
      <c r="AP56" s="19"/>
      <c r="AQ56" s="21"/>
      <c r="AR56" s="19" t="s">
        <v>127</v>
      </c>
      <c r="AS56" s="21" t="str">
        <f>VLOOKUP(AR56,'Axe 2 Règles de gestion'!$D$2:$F$43,3, FALSE)</f>
        <v>Le nombre de jours de l'opération doit être inférieur ou égal au nombre de jours du compteur global du CET.</v>
      </c>
      <c r="AT56" s="19"/>
      <c r="AU56" s="21"/>
      <c r="AV56" s="19"/>
      <c r="AW56" s="21"/>
      <c r="AX56" s="19"/>
      <c r="AY56" s="21"/>
      <c r="AZ56" s="19" t="s">
        <v>148</v>
      </c>
      <c r="BA56" s="19"/>
    </row>
    <row r="57" spans="1:53" ht="29" x14ac:dyDescent="0.35">
      <c r="A57" s="13" t="s">
        <v>54</v>
      </c>
      <c r="B57" s="13" t="s">
        <v>55</v>
      </c>
      <c r="C57" s="14">
        <v>45628.67083333333</v>
      </c>
      <c r="D57" s="13" t="s">
        <v>56</v>
      </c>
      <c r="E57" s="15" t="s">
        <v>57</v>
      </c>
      <c r="F57" s="13" t="s">
        <v>58</v>
      </c>
      <c r="G57" s="15" t="s">
        <v>59</v>
      </c>
      <c r="H57" s="13" t="s">
        <v>191</v>
      </c>
      <c r="I57" s="15" t="s">
        <v>192</v>
      </c>
      <c r="J57" s="15"/>
      <c r="K57" s="15"/>
      <c r="L57" s="13" t="s">
        <v>193</v>
      </c>
      <c r="M57" s="15" t="s">
        <v>194</v>
      </c>
      <c r="N57" s="13" t="s">
        <v>66</v>
      </c>
      <c r="O57" s="15"/>
      <c r="P57" s="15"/>
      <c r="Q57" s="15" t="s">
        <v>149</v>
      </c>
      <c r="R57" s="13" t="s">
        <v>150</v>
      </c>
      <c r="S57" s="13" t="s">
        <v>151</v>
      </c>
      <c r="T57" s="13" t="s">
        <v>135</v>
      </c>
      <c r="U57" s="14">
        <v>45323</v>
      </c>
      <c r="V57" s="14"/>
      <c r="W57" s="15"/>
      <c r="X57" s="13"/>
      <c r="Y57" s="15"/>
      <c r="Z57" s="13"/>
      <c r="AA57" s="15"/>
      <c r="AB57" s="13"/>
      <c r="AC57" s="15"/>
      <c r="AD57" s="13"/>
      <c r="AE57" s="15"/>
      <c r="AF57" s="13"/>
      <c r="AG57" s="15"/>
      <c r="AH57" s="13"/>
      <c r="AI57" s="15"/>
      <c r="AJ57" s="13"/>
      <c r="AK57" s="15"/>
      <c r="AL57" s="13"/>
      <c r="AM57" s="15"/>
      <c r="AN57" s="13"/>
      <c r="AO57" s="15"/>
      <c r="AP57" s="13"/>
      <c r="AQ57" s="15"/>
      <c r="AR57" s="13"/>
      <c r="AS57" s="15"/>
      <c r="AT57" s="13"/>
      <c r="AU57" s="15"/>
      <c r="AV57" s="13"/>
      <c r="AW57" s="15"/>
      <c r="AX57" s="13"/>
      <c r="AY57" s="15"/>
      <c r="AZ57" s="13"/>
      <c r="BA57" s="13"/>
    </row>
    <row r="58" spans="1:53" ht="29" x14ac:dyDescent="0.35">
      <c r="A58" s="13" t="s">
        <v>54</v>
      </c>
      <c r="B58" s="13" t="s">
        <v>55</v>
      </c>
      <c r="C58" s="14">
        <v>45628.67083333333</v>
      </c>
      <c r="D58" s="13" t="s">
        <v>56</v>
      </c>
      <c r="E58" s="15" t="s">
        <v>57</v>
      </c>
      <c r="F58" s="13" t="s">
        <v>58</v>
      </c>
      <c r="G58" s="15" t="s">
        <v>59</v>
      </c>
      <c r="H58" s="13" t="s">
        <v>191</v>
      </c>
      <c r="I58" s="15" t="s">
        <v>192</v>
      </c>
      <c r="J58" s="15"/>
      <c r="K58" s="15"/>
      <c r="L58" s="13" t="s">
        <v>193</v>
      </c>
      <c r="M58" s="15" t="s">
        <v>194</v>
      </c>
      <c r="N58" s="13" t="s">
        <v>66</v>
      </c>
      <c r="O58" s="15"/>
      <c r="P58" s="15"/>
      <c r="Q58" s="15" t="s">
        <v>152</v>
      </c>
      <c r="R58" s="13" t="s">
        <v>153</v>
      </c>
      <c r="S58" s="13" t="s">
        <v>151</v>
      </c>
      <c r="T58" s="13" t="s">
        <v>135</v>
      </c>
      <c r="U58" s="14">
        <v>45323</v>
      </c>
      <c r="V58" s="14"/>
      <c r="W58" s="15"/>
      <c r="X58" s="13"/>
      <c r="Y58" s="15"/>
      <c r="Z58" s="13"/>
      <c r="AA58" s="15"/>
      <c r="AB58" s="13"/>
      <c r="AC58" s="15"/>
      <c r="AD58" s="13"/>
      <c r="AE58" s="15"/>
      <c r="AF58" s="13"/>
      <c r="AG58" s="15"/>
      <c r="AH58" s="13"/>
      <c r="AI58" s="15"/>
      <c r="AJ58" s="13"/>
      <c r="AK58" s="15"/>
      <c r="AL58" s="13"/>
      <c r="AM58" s="15"/>
      <c r="AN58" s="13"/>
      <c r="AO58" s="15"/>
      <c r="AP58" s="13"/>
      <c r="AQ58" s="15"/>
      <c r="AR58" s="13"/>
      <c r="AS58" s="15"/>
      <c r="AT58" s="13"/>
      <c r="AU58" s="15"/>
      <c r="AV58" s="13"/>
      <c r="AW58" s="15"/>
      <c r="AX58" s="13"/>
      <c r="AY58" s="15"/>
      <c r="AZ58" s="13"/>
      <c r="BA58" s="13"/>
    </row>
    <row r="59" spans="1:53" ht="29" x14ac:dyDescent="0.35">
      <c r="A59" s="13" t="s">
        <v>54</v>
      </c>
      <c r="B59" s="13" t="s">
        <v>55</v>
      </c>
      <c r="C59" s="14">
        <v>45628.671527777777</v>
      </c>
      <c r="D59" s="13" t="s">
        <v>56</v>
      </c>
      <c r="E59" s="15" t="s">
        <v>57</v>
      </c>
      <c r="F59" s="13" t="s">
        <v>58</v>
      </c>
      <c r="G59" s="15" t="s">
        <v>59</v>
      </c>
      <c r="H59" s="13" t="s">
        <v>191</v>
      </c>
      <c r="I59" s="15" t="s">
        <v>192</v>
      </c>
      <c r="J59" s="15"/>
      <c r="K59" s="15"/>
      <c r="L59" s="13" t="s">
        <v>193</v>
      </c>
      <c r="M59" s="15" t="s">
        <v>194</v>
      </c>
      <c r="N59" s="13" t="s">
        <v>66</v>
      </c>
      <c r="O59" s="15"/>
      <c r="P59" s="15"/>
      <c r="Q59" s="15" t="s">
        <v>154</v>
      </c>
      <c r="R59" s="13" t="s">
        <v>155</v>
      </c>
      <c r="S59" s="13" t="s">
        <v>151</v>
      </c>
      <c r="T59" s="13" t="s">
        <v>135</v>
      </c>
      <c r="U59" s="14">
        <v>45323</v>
      </c>
      <c r="V59" s="14"/>
      <c r="W59" s="15"/>
      <c r="X59" s="13"/>
      <c r="Y59" s="15"/>
      <c r="Z59" s="13"/>
      <c r="AA59" s="15"/>
      <c r="AB59" s="13"/>
      <c r="AC59" s="15"/>
      <c r="AD59" s="13"/>
      <c r="AE59" s="15"/>
      <c r="AF59" s="13"/>
      <c r="AG59" s="15"/>
      <c r="AH59" s="13"/>
      <c r="AI59" s="15"/>
      <c r="AJ59" s="13"/>
      <c r="AK59" s="15"/>
      <c r="AL59" s="13"/>
      <c r="AM59" s="15"/>
      <c r="AN59" s="13"/>
      <c r="AO59" s="15"/>
      <c r="AP59" s="13"/>
      <c r="AQ59" s="15"/>
      <c r="AR59" s="13"/>
      <c r="AS59" s="15"/>
      <c r="AT59" s="13"/>
      <c r="AU59" s="15"/>
      <c r="AV59" s="13"/>
      <c r="AW59" s="15"/>
      <c r="AX59" s="13"/>
      <c r="AY59" s="15"/>
      <c r="AZ59" s="13"/>
      <c r="BA59" s="13"/>
    </row>
    <row r="60" spans="1:53" s="22" customFormat="1" ht="130.5" x14ac:dyDescent="0.35">
      <c r="A60" s="19" t="s">
        <v>145</v>
      </c>
      <c r="B60" s="19" t="s">
        <v>55</v>
      </c>
      <c r="C60" s="20">
        <v>45994.445138888892</v>
      </c>
      <c r="D60" s="19" t="s">
        <v>56</v>
      </c>
      <c r="E60" s="21" t="s">
        <v>57</v>
      </c>
      <c r="F60" s="19" t="s">
        <v>58</v>
      </c>
      <c r="G60" s="21" t="s">
        <v>59</v>
      </c>
      <c r="H60" s="19" t="s">
        <v>191</v>
      </c>
      <c r="I60" s="21" t="s">
        <v>192</v>
      </c>
      <c r="J60" s="21"/>
      <c r="K60" s="21"/>
      <c r="L60" s="19" t="s">
        <v>193</v>
      </c>
      <c r="M60" s="21" t="s">
        <v>194</v>
      </c>
      <c r="N60" s="19" t="s">
        <v>66</v>
      </c>
      <c r="O60" s="21"/>
      <c r="P60" s="21"/>
      <c r="Q60" s="21" t="s">
        <v>156</v>
      </c>
      <c r="R60" s="19" t="s">
        <v>157</v>
      </c>
      <c r="S60" s="19" t="s">
        <v>151</v>
      </c>
      <c r="T60" s="19" t="s">
        <v>72</v>
      </c>
      <c r="U60" s="20">
        <v>45901</v>
      </c>
      <c r="V60" s="20"/>
      <c r="W60" s="21" t="s">
        <v>209</v>
      </c>
      <c r="X60" s="19" t="s">
        <v>159</v>
      </c>
      <c r="Y60" s="21" t="str">
        <f>VLOOKUP(X60,'Axe 2 Règles de gestion'!$D$2:$F$43,3, FALSE)</f>
        <v>L'agent bénéficie des dispositions applicables aux agents titulaires pour le compte épargne-temps, sauf dispositions contraires.</v>
      </c>
      <c r="Z60" s="19" t="s">
        <v>196</v>
      </c>
      <c r="AA60" s="21" t="str">
        <f>VLOOKUP(Z60,'Axe 2 Règles de gestion'!$D$2:$F$43,3, FALSE)</f>
        <v>En cas de mutation, d'intégration directe, de mise à disposition, de détachement dans la fonction publique d'Etat, l'agent peut utiliser son compte épargne-temps. Sa gestion est assurée par l'administration d'accueil.</v>
      </c>
      <c r="AB60" s="19" t="s">
        <v>198</v>
      </c>
      <c r="AC60" s="21" t="str">
        <f>VLOOKUP(AB60,'Axe 2 Règles de gestion'!$D$2:$F$43,3, FALSE)</f>
        <v>En cas de disponibilité ou en cas de congé parental, l'agent peut utiliser son compte épargne-temps à condition d'avoir obtenu l'autorisation de son administration d'origine.</v>
      </c>
      <c r="AD60" s="19" t="s">
        <v>200</v>
      </c>
      <c r="AE60" s="21" t="str">
        <f>VLOOKUP(AD60,'Axe 2 Règles de gestion'!$D$2:$F$43,3, FALSE)</f>
        <v>En cas de décès de l'agent, les ayants droit bénéficient d'une indemnisation des jours accumulés sur le compte épargne-temps.</v>
      </c>
      <c r="AF60" s="19" t="s">
        <v>202</v>
      </c>
      <c r="AG60" s="21" t="str">
        <f>VLOOKUP(AF60,'Axe 2 Règles de gestion'!$D$2:$F$43,3, FALSE)</f>
        <v>Si l'agent cesse définitivement ses fonctions, le solde éventuel de l'indemnisation dû à sa cessation de fonctions est versé à cette date.</v>
      </c>
      <c r="AH60" s="19"/>
      <c r="AI60" s="21"/>
      <c r="AJ60" s="19"/>
      <c r="AK60" s="21"/>
      <c r="AL60" s="19"/>
      <c r="AM60" s="21"/>
      <c r="AN60" s="19"/>
      <c r="AO60" s="21"/>
      <c r="AP60" s="19"/>
      <c r="AQ60" s="21"/>
      <c r="AR60" s="19"/>
      <c r="AS60" s="21"/>
      <c r="AT60" s="19"/>
      <c r="AU60" s="21"/>
      <c r="AV60" s="19"/>
      <c r="AW60" s="21"/>
      <c r="AX60" s="19"/>
      <c r="AY60" s="21"/>
      <c r="AZ60" s="19" t="s">
        <v>148</v>
      </c>
      <c r="BA60" s="19"/>
    </row>
    <row r="61" spans="1:53" ht="29" x14ac:dyDescent="0.35">
      <c r="A61" s="13" t="s">
        <v>54</v>
      </c>
      <c r="B61" s="13" t="s">
        <v>55</v>
      </c>
      <c r="C61" s="14">
        <v>45628.671527777777</v>
      </c>
      <c r="D61" s="13" t="s">
        <v>56</v>
      </c>
      <c r="E61" s="15" t="s">
        <v>57</v>
      </c>
      <c r="F61" s="13" t="s">
        <v>58</v>
      </c>
      <c r="G61" s="15" t="s">
        <v>59</v>
      </c>
      <c r="H61" s="13" t="s">
        <v>191</v>
      </c>
      <c r="I61" s="15" t="s">
        <v>192</v>
      </c>
      <c r="J61" s="15"/>
      <c r="K61" s="15"/>
      <c r="L61" s="13" t="s">
        <v>193</v>
      </c>
      <c r="M61" s="15" t="s">
        <v>194</v>
      </c>
      <c r="N61" s="13" t="s">
        <v>66</v>
      </c>
      <c r="O61" s="15"/>
      <c r="P61" s="15"/>
      <c r="Q61" s="15" t="s">
        <v>165</v>
      </c>
      <c r="R61" s="13" t="s">
        <v>166</v>
      </c>
      <c r="S61" s="13" t="s">
        <v>151</v>
      </c>
      <c r="T61" s="13" t="s">
        <v>135</v>
      </c>
      <c r="U61" s="14">
        <v>45323</v>
      </c>
      <c r="V61" s="14"/>
      <c r="W61" s="15"/>
      <c r="X61" s="13"/>
      <c r="Y61" s="15"/>
      <c r="Z61" s="13"/>
      <c r="AA61" s="15"/>
      <c r="AB61" s="13"/>
      <c r="AC61" s="15"/>
      <c r="AD61" s="13"/>
      <c r="AE61" s="15"/>
      <c r="AF61" s="13"/>
      <c r="AG61" s="15"/>
      <c r="AH61" s="13"/>
      <c r="AI61" s="15"/>
      <c r="AJ61" s="13"/>
      <c r="AK61" s="15"/>
      <c r="AL61" s="13"/>
      <c r="AM61" s="15"/>
      <c r="AN61" s="13"/>
      <c r="AO61" s="15"/>
      <c r="AP61" s="13"/>
      <c r="AQ61" s="15"/>
      <c r="AR61" s="13"/>
      <c r="AS61" s="15"/>
      <c r="AT61" s="13"/>
      <c r="AU61" s="15"/>
      <c r="AV61" s="13"/>
      <c r="AW61" s="15"/>
      <c r="AX61" s="13"/>
      <c r="AY61" s="15"/>
      <c r="AZ61" s="13"/>
      <c r="BA61" s="13"/>
    </row>
    <row r="62" spans="1:53" ht="43.5" x14ac:dyDescent="0.35">
      <c r="A62" s="13" t="s">
        <v>54</v>
      </c>
      <c r="B62" s="13" t="s">
        <v>55</v>
      </c>
      <c r="C62" s="14">
        <v>45628.672222222223</v>
      </c>
      <c r="D62" s="13" t="s">
        <v>56</v>
      </c>
      <c r="E62" s="15" t="s">
        <v>57</v>
      </c>
      <c r="F62" s="13" t="s">
        <v>58</v>
      </c>
      <c r="G62" s="15" t="s">
        <v>59</v>
      </c>
      <c r="H62" s="13" t="s">
        <v>191</v>
      </c>
      <c r="I62" s="15" t="s">
        <v>192</v>
      </c>
      <c r="J62" s="15"/>
      <c r="K62" s="15"/>
      <c r="L62" s="13" t="s">
        <v>193</v>
      </c>
      <c r="M62" s="15" t="s">
        <v>194</v>
      </c>
      <c r="N62" s="13" t="s">
        <v>66</v>
      </c>
      <c r="O62" s="15"/>
      <c r="P62" s="15"/>
      <c r="Q62" s="15" t="s">
        <v>167</v>
      </c>
      <c r="R62" s="13" t="s">
        <v>168</v>
      </c>
      <c r="S62" s="13" t="s">
        <v>151</v>
      </c>
      <c r="T62" s="13" t="s">
        <v>135</v>
      </c>
      <c r="U62" s="14">
        <v>45323</v>
      </c>
      <c r="V62" s="14"/>
      <c r="W62" s="15"/>
      <c r="X62" s="13"/>
      <c r="Y62" s="15"/>
      <c r="Z62" s="13"/>
      <c r="AA62" s="15"/>
      <c r="AB62" s="13"/>
      <c r="AC62" s="15"/>
      <c r="AD62" s="13"/>
      <c r="AE62" s="15"/>
      <c r="AF62" s="13"/>
      <c r="AG62" s="15"/>
      <c r="AH62" s="13"/>
      <c r="AI62" s="15"/>
      <c r="AJ62" s="13"/>
      <c r="AK62" s="15"/>
      <c r="AL62" s="13"/>
      <c r="AM62" s="15"/>
      <c r="AN62" s="13"/>
      <c r="AO62" s="15"/>
      <c r="AP62" s="13"/>
      <c r="AQ62" s="15"/>
      <c r="AR62" s="13"/>
      <c r="AS62" s="15"/>
      <c r="AT62" s="13"/>
      <c r="AU62" s="15"/>
      <c r="AV62" s="13"/>
      <c r="AW62" s="15"/>
      <c r="AX62" s="13"/>
      <c r="AY62" s="15"/>
      <c r="AZ62" s="13"/>
      <c r="BA62" s="13"/>
    </row>
    <row r="63" spans="1:53" s="22" customFormat="1" ht="29" x14ac:dyDescent="0.35">
      <c r="A63" s="19" t="s">
        <v>145</v>
      </c>
      <c r="B63" s="19" t="s">
        <v>55</v>
      </c>
      <c r="C63" s="20">
        <v>45994.65347222222</v>
      </c>
      <c r="D63" s="19" t="s">
        <v>56</v>
      </c>
      <c r="E63" s="21" t="s">
        <v>57</v>
      </c>
      <c r="F63" s="19" t="s">
        <v>58</v>
      </c>
      <c r="G63" s="21" t="s">
        <v>59</v>
      </c>
      <c r="H63" s="19" t="s">
        <v>191</v>
      </c>
      <c r="I63" s="21" t="s">
        <v>192</v>
      </c>
      <c r="J63" s="21"/>
      <c r="K63" s="21"/>
      <c r="L63" s="19" t="s">
        <v>193</v>
      </c>
      <c r="M63" s="21" t="s">
        <v>194</v>
      </c>
      <c r="N63" s="19" t="s">
        <v>66</v>
      </c>
      <c r="O63" s="21"/>
      <c r="P63" s="21"/>
      <c r="Q63" s="21" t="s">
        <v>169</v>
      </c>
      <c r="R63" s="19" t="s">
        <v>170</v>
      </c>
      <c r="S63" s="19" t="s">
        <v>151</v>
      </c>
      <c r="T63" s="19" t="s">
        <v>135</v>
      </c>
      <c r="U63" s="20">
        <v>45901</v>
      </c>
      <c r="V63" s="20"/>
      <c r="W63" s="21"/>
      <c r="X63" s="19"/>
      <c r="Y63" s="21"/>
      <c r="Z63" s="19"/>
      <c r="AA63" s="21"/>
      <c r="AB63" s="19"/>
      <c r="AC63" s="21"/>
      <c r="AD63" s="19"/>
      <c r="AE63" s="21"/>
      <c r="AF63" s="19"/>
      <c r="AG63" s="21"/>
      <c r="AH63" s="19"/>
      <c r="AI63" s="21"/>
      <c r="AJ63" s="19"/>
      <c r="AK63" s="21"/>
      <c r="AL63" s="19"/>
      <c r="AM63" s="21"/>
      <c r="AN63" s="19"/>
      <c r="AO63" s="21"/>
      <c r="AP63" s="19"/>
      <c r="AQ63" s="21"/>
      <c r="AR63" s="19"/>
      <c r="AS63" s="21"/>
      <c r="AT63" s="19"/>
      <c r="AU63" s="21"/>
      <c r="AV63" s="19"/>
      <c r="AW63" s="21"/>
      <c r="AX63" s="19"/>
      <c r="AY63" s="21"/>
      <c r="AZ63" s="19" t="s">
        <v>148</v>
      </c>
      <c r="BA63" s="19"/>
    </row>
    <row r="64" spans="1:53" x14ac:dyDescent="0.35">
      <c r="C64" s="16"/>
      <c r="U64" s="16"/>
      <c r="V64" s="16"/>
    </row>
    <row r="65" spans="3:22" x14ac:dyDescent="0.35">
      <c r="C65" s="16"/>
      <c r="U65" s="16"/>
      <c r="V65" s="16"/>
    </row>
    <row r="66" spans="3:22" x14ac:dyDescent="0.35">
      <c r="C66" s="16"/>
      <c r="U66" s="16"/>
      <c r="V66" s="16"/>
    </row>
    <row r="67" spans="3:22" x14ac:dyDescent="0.35">
      <c r="C67" s="16"/>
      <c r="U67" s="16"/>
      <c r="V67" s="16"/>
    </row>
    <row r="68" spans="3:22" x14ac:dyDescent="0.35">
      <c r="C68" s="16"/>
      <c r="U68" s="16"/>
      <c r="V68" s="16"/>
    </row>
    <row r="69" spans="3:22" x14ac:dyDescent="0.35">
      <c r="C69" s="16"/>
      <c r="U69" s="16"/>
      <c r="V69" s="16"/>
    </row>
    <row r="70" spans="3:22" x14ac:dyDescent="0.35">
      <c r="C70" s="16"/>
      <c r="U70" s="16"/>
      <c r="V70" s="16"/>
    </row>
    <row r="71" spans="3:22" x14ac:dyDescent="0.35">
      <c r="C71" s="16"/>
      <c r="U71" s="16"/>
      <c r="V71" s="16"/>
    </row>
    <row r="72" spans="3:22" x14ac:dyDescent="0.35">
      <c r="C72" s="16"/>
      <c r="U72" s="16"/>
      <c r="V72" s="16"/>
    </row>
    <row r="73" spans="3:22" x14ac:dyDescent="0.35">
      <c r="C73" s="16"/>
      <c r="U73" s="16"/>
      <c r="V73" s="16"/>
    </row>
    <row r="74" spans="3:22" x14ac:dyDescent="0.35">
      <c r="C74" s="16"/>
      <c r="U74" s="16"/>
      <c r="V74" s="16"/>
    </row>
    <row r="75" spans="3:22" x14ac:dyDescent="0.35">
      <c r="C75" s="16"/>
      <c r="U75" s="16"/>
      <c r="V75" s="16"/>
    </row>
    <row r="76" spans="3:22" x14ac:dyDescent="0.35">
      <c r="C76" s="16"/>
      <c r="U76" s="16"/>
      <c r="V76" s="16"/>
    </row>
    <row r="77" spans="3:22" x14ac:dyDescent="0.35">
      <c r="C77" s="16"/>
      <c r="U77" s="16"/>
      <c r="V77" s="16"/>
    </row>
    <row r="78" spans="3:22" x14ac:dyDescent="0.35">
      <c r="C78" s="16"/>
      <c r="U78" s="16"/>
      <c r="V78" s="16"/>
    </row>
    <row r="79" spans="3:22" x14ac:dyDescent="0.35">
      <c r="C79" s="16"/>
      <c r="U79" s="16"/>
      <c r="V79" s="16"/>
    </row>
    <row r="80" spans="3:22" x14ac:dyDescent="0.35">
      <c r="C80" s="16"/>
      <c r="U80" s="16"/>
      <c r="V80" s="16"/>
    </row>
    <row r="81" spans="3:22" x14ac:dyDescent="0.35">
      <c r="C81" s="16"/>
      <c r="U81" s="16"/>
      <c r="V81" s="16"/>
    </row>
    <row r="82" spans="3:22" x14ac:dyDescent="0.35">
      <c r="C82" s="16"/>
      <c r="U82" s="16"/>
      <c r="V82" s="16"/>
    </row>
    <row r="83" spans="3:22" x14ac:dyDescent="0.35">
      <c r="C83" s="16"/>
      <c r="U83" s="16"/>
      <c r="V83" s="16"/>
    </row>
    <row r="84" spans="3:22" x14ac:dyDescent="0.35">
      <c r="C84" s="16"/>
      <c r="U84" s="16"/>
      <c r="V84" s="16"/>
    </row>
    <row r="85" spans="3:22" x14ac:dyDescent="0.35">
      <c r="C85" s="16"/>
      <c r="U85" s="16"/>
      <c r="V85" s="16"/>
    </row>
    <row r="86" spans="3:22" x14ac:dyDescent="0.35">
      <c r="C86" s="16"/>
      <c r="U86" s="16"/>
      <c r="V86" s="16"/>
    </row>
    <row r="87" spans="3:22" x14ac:dyDescent="0.35">
      <c r="C87" s="16"/>
      <c r="U87" s="16"/>
      <c r="V87" s="16"/>
    </row>
    <row r="88" spans="3:22" x14ac:dyDescent="0.35">
      <c r="C88" s="16"/>
      <c r="U88" s="16"/>
      <c r="V88" s="16"/>
    </row>
    <row r="89" spans="3:22" x14ac:dyDescent="0.35">
      <c r="C89" s="16"/>
      <c r="U89" s="16"/>
      <c r="V89" s="16"/>
    </row>
    <row r="90" spans="3:22" x14ac:dyDescent="0.35">
      <c r="C90" s="16"/>
      <c r="U90" s="16"/>
      <c r="V90" s="16"/>
    </row>
    <row r="91" spans="3:22" x14ac:dyDescent="0.35">
      <c r="C91" s="16"/>
      <c r="U91" s="16"/>
      <c r="V91" s="16"/>
    </row>
    <row r="92" spans="3:22" x14ac:dyDescent="0.35">
      <c r="C92" s="16"/>
      <c r="U92" s="16"/>
      <c r="V92" s="16"/>
    </row>
    <row r="93" spans="3:22" x14ac:dyDescent="0.35">
      <c r="C93" s="16"/>
      <c r="U93" s="16"/>
      <c r="V93" s="16"/>
    </row>
    <row r="94" spans="3:22" x14ac:dyDescent="0.35">
      <c r="C94" s="16"/>
      <c r="U94" s="16"/>
      <c r="V94" s="16"/>
    </row>
    <row r="95" spans="3:22" x14ac:dyDescent="0.35">
      <c r="C95" s="16"/>
      <c r="U95" s="16"/>
      <c r="V95" s="16"/>
    </row>
    <row r="96" spans="3:22" x14ac:dyDescent="0.35">
      <c r="C96" s="16"/>
      <c r="U96" s="16"/>
      <c r="V96" s="16"/>
    </row>
    <row r="97" spans="3:22" x14ac:dyDescent="0.35">
      <c r="C97" s="16"/>
      <c r="U97" s="16"/>
      <c r="V97" s="16"/>
    </row>
    <row r="98" spans="3:22" x14ac:dyDescent="0.35">
      <c r="C98" s="16"/>
      <c r="U98" s="16"/>
      <c r="V98" s="16"/>
    </row>
    <row r="99" spans="3:22" x14ac:dyDescent="0.35">
      <c r="C99" s="16"/>
      <c r="U99" s="16"/>
      <c r="V99" s="16"/>
    </row>
    <row r="100" spans="3:22" x14ac:dyDescent="0.35">
      <c r="C100" s="16"/>
      <c r="U100" s="16"/>
      <c r="V100" s="16"/>
    </row>
    <row r="101" spans="3:22" x14ac:dyDescent="0.35">
      <c r="C101" s="16"/>
      <c r="U101" s="16"/>
      <c r="V101" s="16"/>
    </row>
    <row r="102" spans="3:22" x14ac:dyDescent="0.35">
      <c r="C102" s="16"/>
      <c r="U102" s="16"/>
      <c r="V102" s="16"/>
    </row>
    <row r="103" spans="3:22" x14ac:dyDescent="0.35">
      <c r="C103" s="16"/>
      <c r="U103" s="16"/>
      <c r="V103" s="16"/>
    </row>
    <row r="104" spans="3:22" x14ac:dyDescent="0.35">
      <c r="C104" s="16"/>
      <c r="U104" s="16"/>
      <c r="V104" s="16"/>
    </row>
    <row r="105" spans="3:22" x14ac:dyDescent="0.35">
      <c r="C105" s="16"/>
      <c r="U105" s="16"/>
      <c r="V105" s="16"/>
    </row>
    <row r="106" spans="3:22" x14ac:dyDescent="0.35">
      <c r="C106" s="16"/>
      <c r="U106" s="16"/>
      <c r="V106" s="16"/>
    </row>
    <row r="107" spans="3:22" x14ac:dyDescent="0.35">
      <c r="C107" s="16"/>
      <c r="U107" s="16"/>
      <c r="V107" s="16"/>
    </row>
    <row r="108" spans="3:22" x14ac:dyDescent="0.35">
      <c r="C108" s="16"/>
      <c r="U108" s="16"/>
      <c r="V108" s="16"/>
    </row>
    <row r="109" spans="3:22" x14ac:dyDescent="0.35">
      <c r="C109" s="16"/>
      <c r="U109" s="16"/>
      <c r="V109" s="16"/>
    </row>
    <row r="110" spans="3:22" x14ac:dyDescent="0.35">
      <c r="C110" s="16"/>
      <c r="U110" s="16"/>
      <c r="V110" s="16"/>
    </row>
    <row r="111" spans="3:22" x14ac:dyDescent="0.35">
      <c r="C111" s="16"/>
      <c r="U111" s="16"/>
      <c r="V111" s="16"/>
    </row>
    <row r="112" spans="3:22" x14ac:dyDescent="0.35">
      <c r="C112" s="16"/>
      <c r="U112" s="16"/>
      <c r="V112" s="16"/>
    </row>
    <row r="113" spans="3:22" x14ac:dyDescent="0.35">
      <c r="C113" s="16"/>
      <c r="U113" s="16"/>
      <c r="V113" s="16"/>
    </row>
    <row r="114" spans="3:22" x14ac:dyDescent="0.35">
      <c r="C114" s="16"/>
      <c r="U114" s="16"/>
      <c r="V114" s="16"/>
    </row>
    <row r="115" spans="3:22" x14ac:dyDescent="0.35">
      <c r="C115" s="16"/>
      <c r="U115" s="16"/>
      <c r="V115" s="16"/>
    </row>
    <row r="116" spans="3:22" x14ac:dyDescent="0.35">
      <c r="C116" s="16"/>
      <c r="U116" s="16"/>
      <c r="V116" s="16"/>
    </row>
    <row r="117" spans="3:22" x14ac:dyDescent="0.35">
      <c r="C117" s="16"/>
      <c r="U117" s="16"/>
      <c r="V117" s="16"/>
    </row>
    <row r="118" spans="3:22" x14ac:dyDescent="0.35">
      <c r="C118" s="16"/>
      <c r="U118" s="16"/>
      <c r="V118" s="16"/>
    </row>
    <row r="119" spans="3:22" x14ac:dyDescent="0.35">
      <c r="C119" s="16"/>
      <c r="U119" s="16"/>
      <c r="V119" s="16"/>
    </row>
    <row r="120" spans="3:22" x14ac:dyDescent="0.35">
      <c r="C120" s="16"/>
      <c r="U120" s="16"/>
      <c r="V120" s="16"/>
    </row>
    <row r="121" spans="3:22" x14ac:dyDescent="0.35">
      <c r="C121" s="16"/>
      <c r="U121" s="16"/>
      <c r="V121" s="16"/>
    </row>
    <row r="122" spans="3:22" x14ac:dyDescent="0.35">
      <c r="C122" s="16"/>
      <c r="U122" s="16"/>
      <c r="V122" s="16"/>
    </row>
    <row r="123" spans="3:22" x14ac:dyDescent="0.35">
      <c r="C123" s="16"/>
      <c r="U123" s="16"/>
      <c r="V123" s="16"/>
    </row>
    <row r="124" spans="3:22" x14ac:dyDescent="0.35">
      <c r="C124" s="16"/>
      <c r="U124" s="16"/>
      <c r="V124" s="16"/>
    </row>
    <row r="125" spans="3:22" x14ac:dyDescent="0.35">
      <c r="C125" s="16"/>
      <c r="U125" s="16"/>
      <c r="V125" s="16"/>
    </row>
    <row r="126" spans="3:22" x14ac:dyDescent="0.35">
      <c r="C126" s="16"/>
      <c r="U126" s="16"/>
      <c r="V126" s="16"/>
    </row>
    <row r="127" spans="3:22" x14ac:dyDescent="0.35">
      <c r="C127" s="16"/>
      <c r="U127" s="16"/>
      <c r="V127" s="16"/>
    </row>
    <row r="128" spans="3:22" x14ac:dyDescent="0.35">
      <c r="C128" s="16"/>
      <c r="U128" s="16"/>
      <c r="V128" s="16"/>
    </row>
    <row r="129" spans="3:22" x14ac:dyDescent="0.35">
      <c r="C129" s="16"/>
      <c r="U129" s="16"/>
      <c r="V129" s="16"/>
    </row>
    <row r="130" spans="3:22" x14ac:dyDescent="0.35">
      <c r="C130" s="16"/>
      <c r="U130" s="16"/>
      <c r="V130" s="16"/>
    </row>
    <row r="131" spans="3:22" x14ac:dyDescent="0.35">
      <c r="C131" s="16"/>
      <c r="U131" s="16"/>
      <c r="V131" s="16"/>
    </row>
    <row r="132" spans="3:22" x14ac:dyDescent="0.35">
      <c r="C132" s="16"/>
      <c r="U132" s="16"/>
      <c r="V132" s="16"/>
    </row>
    <row r="133" spans="3:22" x14ac:dyDescent="0.35">
      <c r="C133" s="16"/>
      <c r="U133" s="16"/>
      <c r="V133" s="16"/>
    </row>
    <row r="134" spans="3:22" x14ac:dyDescent="0.35">
      <c r="C134" s="16"/>
      <c r="U134" s="16"/>
      <c r="V134" s="16"/>
    </row>
    <row r="135" spans="3:22" x14ac:dyDescent="0.35">
      <c r="C135" s="16"/>
      <c r="U135" s="16"/>
      <c r="V135" s="16"/>
    </row>
    <row r="136" spans="3:22" x14ac:dyDescent="0.35">
      <c r="C136" s="16"/>
      <c r="U136" s="16"/>
      <c r="V136" s="16"/>
    </row>
    <row r="137" spans="3:22" x14ac:dyDescent="0.35">
      <c r="C137" s="16"/>
      <c r="U137" s="16"/>
      <c r="V137" s="16"/>
    </row>
    <row r="138" spans="3:22" x14ac:dyDescent="0.35">
      <c r="C138" s="16"/>
      <c r="U138" s="16"/>
      <c r="V138" s="16"/>
    </row>
    <row r="139" spans="3:22" x14ac:dyDescent="0.35">
      <c r="C139" s="16"/>
      <c r="U139" s="16"/>
      <c r="V139" s="16"/>
    </row>
    <row r="140" spans="3:22" x14ac:dyDescent="0.35">
      <c r="C140" s="16"/>
      <c r="U140" s="16"/>
      <c r="V140" s="16"/>
    </row>
    <row r="141" spans="3:22" x14ac:dyDescent="0.35">
      <c r="C141" s="16"/>
      <c r="U141" s="16"/>
      <c r="V141" s="16"/>
    </row>
    <row r="142" spans="3:22" x14ac:dyDescent="0.35">
      <c r="C142" s="16"/>
      <c r="U142" s="16"/>
      <c r="V142" s="16"/>
    </row>
    <row r="143" spans="3:22" x14ac:dyDescent="0.35">
      <c r="C143" s="16"/>
      <c r="U143" s="16"/>
      <c r="V143" s="16"/>
    </row>
    <row r="144" spans="3:22" x14ac:dyDescent="0.35">
      <c r="C144" s="16"/>
      <c r="U144" s="16"/>
      <c r="V144" s="16"/>
    </row>
    <row r="145" spans="3:22" x14ac:dyDescent="0.35">
      <c r="C145" s="16"/>
      <c r="U145" s="16"/>
      <c r="V145" s="16"/>
    </row>
    <row r="146" spans="3:22" x14ac:dyDescent="0.35">
      <c r="C146" s="16"/>
      <c r="U146" s="16"/>
      <c r="V146" s="16"/>
    </row>
    <row r="147" spans="3:22" x14ac:dyDescent="0.35">
      <c r="C147" s="16"/>
      <c r="U147" s="16"/>
      <c r="V147" s="16"/>
    </row>
    <row r="148" spans="3:22" x14ac:dyDescent="0.35">
      <c r="C148" s="16"/>
      <c r="U148" s="16"/>
      <c r="V148" s="16"/>
    </row>
    <row r="149" spans="3:22" x14ac:dyDescent="0.35">
      <c r="C149" s="16"/>
      <c r="U149" s="16"/>
      <c r="V149" s="16"/>
    </row>
    <row r="150" spans="3:22" x14ac:dyDescent="0.35">
      <c r="C150" s="16"/>
      <c r="U150" s="16"/>
      <c r="V150" s="16"/>
    </row>
    <row r="151" spans="3:22" x14ac:dyDescent="0.35">
      <c r="C151" s="16"/>
      <c r="U151" s="16"/>
      <c r="V151" s="16"/>
    </row>
    <row r="152" spans="3:22" x14ac:dyDescent="0.35">
      <c r="C152" s="16"/>
      <c r="U152" s="16"/>
      <c r="V152" s="16"/>
    </row>
    <row r="153" spans="3:22" x14ac:dyDescent="0.35">
      <c r="C153" s="16"/>
      <c r="U153" s="16"/>
      <c r="V153" s="16"/>
    </row>
    <row r="154" spans="3:22" x14ac:dyDescent="0.35">
      <c r="C154" s="16"/>
      <c r="U154" s="16"/>
      <c r="V154" s="16"/>
    </row>
    <row r="155" spans="3:22" x14ac:dyDescent="0.35">
      <c r="C155" s="16"/>
      <c r="U155" s="16"/>
      <c r="V155" s="16"/>
    </row>
    <row r="156" spans="3:22" x14ac:dyDescent="0.35">
      <c r="C156" s="16"/>
      <c r="U156" s="16"/>
      <c r="V156" s="16"/>
    </row>
    <row r="157" spans="3:22" x14ac:dyDescent="0.35">
      <c r="C157" s="16"/>
      <c r="U157" s="16"/>
      <c r="V157" s="16"/>
    </row>
    <row r="158" spans="3:22" x14ac:dyDescent="0.35">
      <c r="C158" s="16"/>
      <c r="U158" s="16"/>
      <c r="V158" s="16"/>
    </row>
    <row r="159" spans="3:22" x14ac:dyDescent="0.35">
      <c r="C159" s="16"/>
      <c r="U159" s="16"/>
      <c r="V159" s="16"/>
    </row>
    <row r="160" spans="3:22" x14ac:dyDescent="0.35">
      <c r="C160" s="16"/>
      <c r="U160" s="16"/>
      <c r="V160" s="16"/>
    </row>
    <row r="161" spans="3:22" x14ac:dyDescent="0.35">
      <c r="C161" s="16"/>
      <c r="U161" s="16"/>
      <c r="V161" s="16"/>
    </row>
    <row r="162" spans="3:22" x14ac:dyDescent="0.35">
      <c r="C162" s="16"/>
      <c r="U162" s="16"/>
      <c r="V162" s="16"/>
    </row>
    <row r="163" spans="3:22" x14ac:dyDescent="0.35">
      <c r="C163" s="16"/>
      <c r="U163" s="16"/>
      <c r="V163" s="16"/>
    </row>
    <row r="164" spans="3:22" x14ac:dyDescent="0.35">
      <c r="C164" s="16"/>
      <c r="U164" s="16"/>
      <c r="V164" s="16"/>
    </row>
    <row r="165" spans="3:22" x14ac:dyDescent="0.35">
      <c r="C165" s="16"/>
      <c r="U165" s="16"/>
      <c r="V165" s="16"/>
    </row>
    <row r="166" spans="3:22" x14ac:dyDescent="0.35">
      <c r="C166" s="16"/>
      <c r="U166" s="16"/>
      <c r="V166" s="16"/>
    </row>
    <row r="167" spans="3:22" x14ac:dyDescent="0.35">
      <c r="C167" s="16"/>
      <c r="U167" s="16"/>
      <c r="V167" s="16"/>
    </row>
    <row r="168" spans="3:22" x14ac:dyDescent="0.35">
      <c r="C168" s="16"/>
      <c r="U168" s="16"/>
      <c r="V168" s="16"/>
    </row>
    <row r="169" spans="3:22" x14ac:dyDescent="0.35">
      <c r="C169" s="16"/>
      <c r="U169" s="16"/>
      <c r="V169" s="16"/>
    </row>
    <row r="170" spans="3:22" x14ac:dyDescent="0.35">
      <c r="C170" s="16"/>
      <c r="U170" s="16"/>
      <c r="V170" s="16"/>
    </row>
    <row r="171" spans="3:22" x14ac:dyDescent="0.35">
      <c r="C171" s="16"/>
      <c r="U171" s="16"/>
      <c r="V171" s="16"/>
    </row>
    <row r="172" spans="3:22" x14ac:dyDescent="0.35">
      <c r="C172" s="16"/>
      <c r="U172" s="16"/>
      <c r="V172" s="16"/>
    </row>
    <row r="173" spans="3:22" x14ac:dyDescent="0.35">
      <c r="C173" s="16"/>
      <c r="U173" s="16"/>
      <c r="V173" s="16"/>
    </row>
    <row r="174" spans="3:22" x14ac:dyDescent="0.35">
      <c r="C174" s="16"/>
      <c r="U174" s="16"/>
      <c r="V174" s="16"/>
    </row>
    <row r="175" spans="3:22" x14ac:dyDescent="0.35">
      <c r="C175" s="16"/>
      <c r="U175" s="16"/>
      <c r="V175" s="16"/>
    </row>
    <row r="176" spans="3:22" x14ac:dyDescent="0.35">
      <c r="C176" s="16"/>
      <c r="U176" s="16"/>
      <c r="V176" s="16"/>
    </row>
    <row r="177" spans="3:22" x14ac:dyDescent="0.35">
      <c r="C177" s="16"/>
      <c r="U177" s="16"/>
      <c r="V177" s="16"/>
    </row>
    <row r="178" spans="3:22" x14ac:dyDescent="0.35">
      <c r="C178" s="16"/>
      <c r="U178" s="16"/>
      <c r="V178" s="16"/>
    </row>
    <row r="179" spans="3:22" x14ac:dyDescent="0.35">
      <c r="C179" s="16"/>
      <c r="U179" s="16"/>
      <c r="V179" s="16"/>
    </row>
    <row r="180" spans="3:22" x14ac:dyDescent="0.35">
      <c r="C180" s="16"/>
      <c r="U180" s="16"/>
      <c r="V180" s="16"/>
    </row>
    <row r="181" spans="3:22" x14ac:dyDescent="0.35">
      <c r="C181" s="16"/>
      <c r="U181" s="16"/>
      <c r="V181" s="16"/>
    </row>
    <row r="182" spans="3:22" x14ac:dyDescent="0.35">
      <c r="C182" s="16"/>
      <c r="U182" s="16"/>
      <c r="V182" s="16"/>
    </row>
    <row r="183" spans="3:22" x14ac:dyDescent="0.35">
      <c r="C183" s="16"/>
      <c r="U183" s="16"/>
      <c r="V183" s="16"/>
    </row>
    <row r="184" spans="3:22" x14ac:dyDescent="0.35">
      <c r="C184" s="16"/>
      <c r="U184" s="16"/>
      <c r="V184" s="16"/>
    </row>
    <row r="185" spans="3:22" x14ac:dyDescent="0.35">
      <c r="C185" s="16"/>
      <c r="U185" s="16"/>
      <c r="V185" s="16"/>
    </row>
    <row r="186" spans="3:22" x14ac:dyDescent="0.35">
      <c r="C186" s="16"/>
      <c r="U186" s="16"/>
      <c r="V186" s="16"/>
    </row>
    <row r="187" spans="3:22" x14ac:dyDescent="0.35">
      <c r="C187" s="16"/>
      <c r="U187" s="16"/>
      <c r="V187" s="16"/>
    </row>
    <row r="188" spans="3:22" x14ac:dyDescent="0.35">
      <c r="C188" s="16"/>
      <c r="U188" s="16"/>
      <c r="V188" s="16"/>
    </row>
    <row r="189" spans="3:22" x14ac:dyDescent="0.35">
      <c r="C189" s="16"/>
      <c r="U189" s="16"/>
      <c r="V189" s="16"/>
    </row>
    <row r="190" spans="3:22" x14ac:dyDescent="0.35">
      <c r="C190" s="16"/>
      <c r="U190" s="16"/>
      <c r="V190" s="16"/>
    </row>
    <row r="191" spans="3:22" x14ac:dyDescent="0.35">
      <c r="C191" s="16"/>
      <c r="U191" s="16"/>
      <c r="V191" s="16"/>
    </row>
    <row r="192" spans="3:22" x14ac:dyDescent="0.35">
      <c r="C192" s="16"/>
      <c r="U192" s="16"/>
      <c r="V192" s="16"/>
    </row>
    <row r="193" spans="3:22" x14ac:dyDescent="0.35">
      <c r="C193" s="16"/>
      <c r="U193" s="16"/>
      <c r="V193" s="16"/>
    </row>
    <row r="194" spans="3:22" x14ac:dyDescent="0.35">
      <c r="C194" s="16"/>
      <c r="U194" s="16"/>
      <c r="V194" s="16"/>
    </row>
    <row r="195" spans="3:22" x14ac:dyDescent="0.35">
      <c r="C195" s="16"/>
      <c r="U195" s="16"/>
      <c r="V195" s="16"/>
    </row>
    <row r="196" spans="3:22" x14ac:dyDescent="0.35">
      <c r="C196" s="16"/>
      <c r="U196" s="16"/>
      <c r="V196" s="16"/>
    </row>
    <row r="197" spans="3:22" x14ac:dyDescent="0.35">
      <c r="C197" s="16"/>
      <c r="U197" s="16"/>
      <c r="V197" s="16"/>
    </row>
    <row r="198" spans="3:22" x14ac:dyDescent="0.35">
      <c r="C198" s="16"/>
      <c r="U198" s="16"/>
      <c r="V198" s="16"/>
    </row>
    <row r="199" spans="3:22" x14ac:dyDescent="0.35">
      <c r="C199" s="16"/>
      <c r="U199" s="16"/>
      <c r="V199" s="16"/>
    </row>
    <row r="200" spans="3:22" x14ac:dyDescent="0.35">
      <c r="C200" s="16"/>
      <c r="U200" s="16"/>
      <c r="V200" s="16"/>
    </row>
    <row r="201" spans="3:22" x14ac:dyDescent="0.35">
      <c r="C201" s="16"/>
      <c r="U201" s="16"/>
      <c r="V201" s="16"/>
    </row>
    <row r="202" spans="3:22" x14ac:dyDescent="0.35">
      <c r="C202" s="16"/>
      <c r="U202" s="16"/>
      <c r="V202" s="16"/>
    </row>
    <row r="203" spans="3:22" x14ac:dyDescent="0.35">
      <c r="C203" s="16"/>
      <c r="U203" s="16"/>
      <c r="V203" s="16"/>
    </row>
    <row r="204" spans="3:22" x14ac:dyDescent="0.35">
      <c r="C204" s="16"/>
      <c r="U204" s="16"/>
      <c r="V204" s="16"/>
    </row>
    <row r="205" spans="3:22" x14ac:dyDescent="0.35">
      <c r="C205" s="16"/>
      <c r="U205" s="16"/>
      <c r="V205" s="16"/>
    </row>
    <row r="206" spans="3:22" x14ac:dyDescent="0.35">
      <c r="C206" s="16"/>
      <c r="U206" s="16"/>
      <c r="V206" s="16"/>
    </row>
    <row r="207" spans="3:22" x14ac:dyDescent="0.35">
      <c r="C207" s="16"/>
      <c r="U207" s="16"/>
      <c r="V207" s="16"/>
    </row>
    <row r="208" spans="3:22" x14ac:dyDescent="0.35">
      <c r="C208" s="16"/>
      <c r="U208" s="16"/>
      <c r="V208" s="16"/>
    </row>
    <row r="209" spans="3:22" x14ac:dyDescent="0.35">
      <c r="C209" s="16"/>
      <c r="U209" s="16"/>
      <c r="V209" s="16"/>
    </row>
    <row r="210" spans="3:22" x14ac:dyDescent="0.35">
      <c r="C210" s="16"/>
      <c r="U210" s="16"/>
      <c r="V210" s="16"/>
    </row>
    <row r="211" spans="3:22" x14ac:dyDescent="0.35">
      <c r="C211" s="16"/>
      <c r="U211" s="16"/>
      <c r="V211" s="16"/>
    </row>
    <row r="212" spans="3:22" x14ac:dyDescent="0.35">
      <c r="C212" s="16"/>
      <c r="U212" s="16"/>
      <c r="V212" s="16"/>
    </row>
    <row r="213" spans="3:22" x14ac:dyDescent="0.35">
      <c r="C213" s="16"/>
      <c r="U213" s="16"/>
      <c r="V213" s="16"/>
    </row>
    <row r="214" spans="3:22" x14ac:dyDescent="0.35">
      <c r="C214" s="16"/>
      <c r="U214" s="16"/>
      <c r="V214" s="16"/>
    </row>
    <row r="215" spans="3:22" x14ac:dyDescent="0.35">
      <c r="C215" s="16"/>
      <c r="U215" s="16"/>
      <c r="V215" s="16"/>
    </row>
    <row r="216" spans="3:22" x14ac:dyDescent="0.35">
      <c r="C216" s="16"/>
      <c r="U216" s="16"/>
      <c r="V216" s="16"/>
    </row>
    <row r="217" spans="3:22" x14ac:dyDescent="0.35">
      <c r="C217" s="16"/>
      <c r="U217" s="16"/>
      <c r="V217" s="16"/>
    </row>
    <row r="218" spans="3:22" x14ac:dyDescent="0.35">
      <c r="C218" s="16"/>
      <c r="U218" s="16"/>
      <c r="V218" s="16"/>
    </row>
    <row r="219" spans="3:22" x14ac:dyDescent="0.35">
      <c r="C219" s="16"/>
      <c r="U219" s="16"/>
      <c r="V219" s="16"/>
    </row>
    <row r="220" spans="3:22" x14ac:dyDescent="0.35">
      <c r="C220" s="16"/>
      <c r="U220" s="16"/>
      <c r="V220" s="16"/>
    </row>
    <row r="221" spans="3:22" x14ac:dyDescent="0.35">
      <c r="C221" s="16"/>
      <c r="U221" s="16"/>
      <c r="V221" s="16"/>
    </row>
    <row r="222" spans="3:22" x14ac:dyDescent="0.35">
      <c r="C222" s="16"/>
      <c r="U222" s="16"/>
      <c r="V222" s="16"/>
    </row>
    <row r="223" spans="3:22" x14ac:dyDescent="0.35">
      <c r="C223" s="16"/>
      <c r="U223" s="16"/>
      <c r="V223" s="16"/>
    </row>
    <row r="224" spans="3:22" x14ac:dyDescent="0.35">
      <c r="C224" s="16"/>
      <c r="U224" s="16"/>
      <c r="V224" s="16"/>
    </row>
    <row r="225" spans="3:22" x14ac:dyDescent="0.35">
      <c r="C225" s="16"/>
      <c r="U225" s="16"/>
      <c r="V225" s="16"/>
    </row>
    <row r="226" spans="3:22" x14ac:dyDescent="0.35">
      <c r="C226" s="16"/>
      <c r="U226" s="16"/>
      <c r="V226" s="16"/>
    </row>
    <row r="227" spans="3:22" x14ac:dyDescent="0.35">
      <c r="C227" s="16"/>
      <c r="U227" s="16"/>
      <c r="V227" s="16"/>
    </row>
    <row r="228" spans="3:22" x14ac:dyDescent="0.35">
      <c r="C228" s="16"/>
      <c r="U228" s="16"/>
      <c r="V228" s="16"/>
    </row>
    <row r="229" spans="3:22" x14ac:dyDescent="0.35">
      <c r="C229" s="16"/>
      <c r="U229" s="16"/>
      <c r="V229" s="16"/>
    </row>
    <row r="230" spans="3:22" x14ac:dyDescent="0.35">
      <c r="C230" s="16"/>
      <c r="U230" s="16"/>
      <c r="V230" s="16"/>
    </row>
    <row r="231" spans="3:22" x14ac:dyDescent="0.35">
      <c r="C231" s="16"/>
      <c r="U231" s="16"/>
      <c r="V231" s="16"/>
    </row>
    <row r="232" spans="3:22" x14ac:dyDescent="0.35">
      <c r="C232" s="16"/>
      <c r="U232" s="16"/>
      <c r="V232" s="16"/>
    </row>
    <row r="233" spans="3:22" x14ac:dyDescent="0.35">
      <c r="C233" s="16"/>
      <c r="U233" s="16"/>
      <c r="V233" s="16"/>
    </row>
    <row r="234" spans="3:22" x14ac:dyDescent="0.35">
      <c r="C234" s="16"/>
      <c r="U234" s="16"/>
      <c r="V234" s="16"/>
    </row>
    <row r="235" spans="3:22" x14ac:dyDescent="0.35">
      <c r="C235" s="16"/>
      <c r="U235" s="16"/>
      <c r="V235" s="16"/>
    </row>
    <row r="236" spans="3:22" x14ac:dyDescent="0.35">
      <c r="C236" s="16"/>
      <c r="U236" s="16"/>
      <c r="V236" s="16"/>
    </row>
    <row r="237" spans="3:22" x14ac:dyDescent="0.35">
      <c r="C237" s="16"/>
      <c r="U237" s="16"/>
      <c r="V237" s="16"/>
    </row>
    <row r="238" spans="3:22" x14ac:dyDescent="0.35">
      <c r="C238" s="16"/>
      <c r="U238" s="16"/>
      <c r="V238" s="16"/>
    </row>
    <row r="239" spans="3:22" x14ac:dyDescent="0.35">
      <c r="C239" s="16"/>
      <c r="U239" s="16"/>
      <c r="V239" s="16"/>
    </row>
    <row r="240" spans="3:22" x14ac:dyDescent="0.35">
      <c r="C240" s="16"/>
      <c r="U240" s="16"/>
      <c r="V240" s="16"/>
    </row>
    <row r="241" spans="3:22" x14ac:dyDescent="0.35">
      <c r="C241" s="16"/>
      <c r="U241" s="16"/>
      <c r="V241" s="16"/>
    </row>
    <row r="242" spans="3:22" x14ac:dyDescent="0.35">
      <c r="C242" s="16"/>
      <c r="U242" s="16"/>
      <c r="V242" s="16"/>
    </row>
    <row r="243" spans="3:22" x14ac:dyDescent="0.35">
      <c r="C243" s="16"/>
      <c r="U243" s="16"/>
      <c r="V243" s="16"/>
    </row>
    <row r="244" spans="3:22" x14ac:dyDescent="0.35">
      <c r="C244" s="16"/>
      <c r="U244" s="16"/>
      <c r="V244" s="16"/>
    </row>
    <row r="245" spans="3:22" x14ac:dyDescent="0.35">
      <c r="C245" s="16"/>
      <c r="U245" s="16"/>
      <c r="V245" s="16"/>
    </row>
    <row r="246" spans="3:22" x14ac:dyDescent="0.35">
      <c r="C246" s="16"/>
      <c r="U246" s="16"/>
      <c r="V246" s="16"/>
    </row>
    <row r="247" spans="3:22" x14ac:dyDescent="0.35">
      <c r="C247" s="16"/>
      <c r="U247" s="16"/>
      <c r="V247" s="16"/>
    </row>
    <row r="248" spans="3:22" x14ac:dyDescent="0.35">
      <c r="C248" s="16"/>
      <c r="U248" s="16"/>
      <c r="V248" s="16"/>
    </row>
    <row r="249" spans="3:22" x14ac:dyDescent="0.35">
      <c r="C249" s="16"/>
      <c r="U249" s="16"/>
      <c r="V249" s="16"/>
    </row>
    <row r="250" spans="3:22" x14ac:dyDescent="0.35">
      <c r="C250" s="16"/>
      <c r="U250" s="16"/>
      <c r="V250" s="16"/>
    </row>
    <row r="251" spans="3:22" x14ac:dyDescent="0.35">
      <c r="C251" s="16"/>
      <c r="U251" s="16"/>
      <c r="V251" s="16"/>
    </row>
    <row r="252" spans="3:22" x14ac:dyDescent="0.35">
      <c r="C252" s="16"/>
      <c r="U252" s="16"/>
      <c r="V252" s="16"/>
    </row>
    <row r="253" spans="3:22" x14ac:dyDescent="0.35">
      <c r="C253" s="16"/>
      <c r="U253" s="16"/>
      <c r="V253" s="16"/>
    </row>
    <row r="254" spans="3:22" x14ac:dyDescent="0.35">
      <c r="C254" s="16"/>
      <c r="U254" s="16"/>
      <c r="V254" s="16"/>
    </row>
    <row r="255" spans="3:22" x14ac:dyDescent="0.35">
      <c r="C255" s="16"/>
      <c r="U255" s="16"/>
      <c r="V255" s="16"/>
    </row>
    <row r="256" spans="3:22" x14ac:dyDescent="0.35">
      <c r="C256" s="16"/>
      <c r="U256" s="16"/>
      <c r="V256" s="16"/>
    </row>
    <row r="257" spans="3:22" x14ac:dyDescent="0.35">
      <c r="C257" s="16"/>
      <c r="U257" s="16"/>
      <c r="V257" s="16"/>
    </row>
    <row r="258" spans="3:22" x14ac:dyDescent="0.35">
      <c r="C258" s="16"/>
      <c r="U258" s="16"/>
      <c r="V258" s="16"/>
    </row>
    <row r="259" spans="3:22" x14ac:dyDescent="0.35">
      <c r="C259" s="16"/>
      <c r="U259" s="16"/>
      <c r="V259" s="16"/>
    </row>
    <row r="260" spans="3:22" x14ac:dyDescent="0.35">
      <c r="C260" s="16"/>
      <c r="U260" s="16"/>
      <c r="V260" s="16"/>
    </row>
    <row r="261" spans="3:22" x14ac:dyDescent="0.35">
      <c r="C261" s="16"/>
      <c r="U261" s="16"/>
      <c r="V261" s="16"/>
    </row>
    <row r="262" spans="3:22" x14ac:dyDescent="0.35">
      <c r="C262" s="16"/>
      <c r="U262" s="16"/>
      <c r="V262" s="16"/>
    </row>
    <row r="263" spans="3:22" x14ac:dyDescent="0.35">
      <c r="C263" s="16"/>
      <c r="U263" s="16"/>
      <c r="V263" s="16"/>
    </row>
    <row r="264" spans="3:22" x14ac:dyDescent="0.35">
      <c r="C264" s="16"/>
      <c r="U264" s="16"/>
      <c r="V264" s="16"/>
    </row>
    <row r="265" spans="3:22" x14ac:dyDescent="0.35">
      <c r="C265" s="16"/>
      <c r="U265" s="16"/>
      <c r="V265" s="16"/>
    </row>
    <row r="266" spans="3:22" x14ac:dyDescent="0.35">
      <c r="C266" s="16"/>
      <c r="U266" s="16"/>
      <c r="V266" s="16"/>
    </row>
    <row r="267" spans="3:22" x14ac:dyDescent="0.35">
      <c r="C267" s="16"/>
      <c r="U267" s="16"/>
      <c r="V267" s="16"/>
    </row>
    <row r="268" spans="3:22" x14ac:dyDescent="0.35">
      <c r="C268" s="16"/>
      <c r="U268" s="16"/>
      <c r="V268" s="16"/>
    </row>
    <row r="269" spans="3:22" x14ac:dyDescent="0.35">
      <c r="C269" s="16"/>
      <c r="U269" s="16"/>
      <c r="V269" s="16"/>
    </row>
    <row r="270" spans="3:22" x14ac:dyDescent="0.35">
      <c r="C270" s="16"/>
      <c r="U270" s="16"/>
      <c r="V270" s="16"/>
    </row>
    <row r="271" spans="3:22" x14ac:dyDescent="0.35">
      <c r="C271" s="16"/>
      <c r="U271" s="16"/>
      <c r="V271" s="16"/>
    </row>
    <row r="272" spans="3:22" x14ac:dyDescent="0.35">
      <c r="C272" s="16"/>
      <c r="U272" s="16"/>
      <c r="V272" s="16"/>
    </row>
    <row r="273" spans="3:22" x14ac:dyDescent="0.35">
      <c r="C273" s="16"/>
      <c r="U273" s="16"/>
      <c r="V273" s="16"/>
    </row>
    <row r="274" spans="3:22" x14ac:dyDescent="0.35">
      <c r="C274" s="16"/>
      <c r="U274" s="16"/>
      <c r="V274" s="16"/>
    </row>
    <row r="275" spans="3:22" x14ac:dyDescent="0.35">
      <c r="C275" s="16"/>
      <c r="U275" s="16"/>
      <c r="V275" s="16"/>
    </row>
  </sheetData>
  <autoFilter ref="A1:OJ63" xr:uid="{26142E5B-A3FD-4173-BF1E-C019DE7CC59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484BA-ED00-43E9-ACAD-16E69ED4465C}">
  <dimension ref="A1:AE275"/>
  <sheetViews>
    <sheetView workbookViewId="0">
      <pane ySplit="1" topLeftCell="A2" activePane="bottomLeft" state="frozenSplit"/>
      <selection pane="bottomLeft" activeCell="H47" sqref="H47"/>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13.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3" width="40.6328125" style="17" customWidth="1"/>
    <col min="24" max="24" width="15.6328125" style="18" customWidth="1"/>
    <col min="25" max="25" width="25.6328125" style="17" customWidth="1"/>
    <col min="26" max="26" width="15.6328125" style="18" customWidth="1"/>
    <col min="27" max="27" width="25.6328125" style="17" customWidth="1"/>
    <col min="28" max="28" width="15.6328125" style="18" customWidth="1"/>
    <col min="29" max="29" width="25.6328125" style="17" customWidth="1"/>
    <col min="30" max="30" width="9.6328125" style="18" customWidth="1"/>
    <col min="31" max="31" width="15.6328125" style="17" customWidth="1"/>
    <col min="32" max="16384" width="10.90625" style="12"/>
  </cols>
  <sheetData>
    <row r="1" spans="1:31"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210</v>
      </c>
      <c r="X1" s="10" t="s">
        <v>211</v>
      </c>
      <c r="Y1" s="10" t="s">
        <v>212</v>
      </c>
      <c r="Z1" s="10" t="s">
        <v>213</v>
      </c>
      <c r="AA1" s="10" t="s">
        <v>214</v>
      </c>
      <c r="AB1" s="10" t="s">
        <v>215</v>
      </c>
      <c r="AC1" s="10" t="s">
        <v>216</v>
      </c>
      <c r="AD1" s="10" t="s">
        <v>52</v>
      </c>
      <c r="AE1" s="10" t="s">
        <v>53</v>
      </c>
    </row>
    <row r="2" spans="1:31" ht="87" x14ac:dyDescent="0.35">
      <c r="A2" s="13" t="s">
        <v>54</v>
      </c>
      <c r="B2" s="13" t="s">
        <v>55</v>
      </c>
      <c r="C2" s="14">
        <v>45628.63958333333</v>
      </c>
      <c r="D2" s="13" t="s">
        <v>56</v>
      </c>
      <c r="E2" s="15" t="s">
        <v>57</v>
      </c>
      <c r="F2" s="13" t="s">
        <v>58</v>
      </c>
      <c r="G2" s="15" t="s">
        <v>59</v>
      </c>
      <c r="H2" s="13" t="s">
        <v>60</v>
      </c>
      <c r="I2" s="15" t="s">
        <v>61</v>
      </c>
      <c r="J2" s="15" t="s">
        <v>62</v>
      </c>
      <c r="K2" s="15" t="s">
        <v>63</v>
      </c>
      <c r="L2" s="13" t="s">
        <v>64</v>
      </c>
      <c r="M2" s="15" t="s">
        <v>65</v>
      </c>
      <c r="N2" s="13" t="s">
        <v>66</v>
      </c>
      <c r="O2" s="15" t="s">
        <v>67</v>
      </c>
      <c r="P2" s="15" t="s">
        <v>68</v>
      </c>
      <c r="Q2" s="15" t="s">
        <v>69</v>
      </c>
      <c r="R2" s="13" t="s">
        <v>70</v>
      </c>
      <c r="S2" s="13" t="s">
        <v>71</v>
      </c>
      <c r="T2" s="13" t="s">
        <v>72</v>
      </c>
      <c r="U2" s="14">
        <v>45323</v>
      </c>
      <c r="V2" s="14"/>
      <c r="W2" s="15" t="s">
        <v>217</v>
      </c>
      <c r="X2" s="13" t="s">
        <v>218</v>
      </c>
      <c r="Y2" s="15" t="str">
        <f>VLOOKUP(X2,'Axe 2 Règles de gestion'!$D$2:$F$43,3, FALSE)</f>
        <v>Rémunération : En cas d'indemnisation, le montant versé est un montant forfaitaire qui dépend de la catégorie statutaire d'appartenance de l'agent.</v>
      </c>
      <c r="Z2" s="13" t="s">
        <v>220</v>
      </c>
      <c r="AA2" s="15" t="str">
        <f>VLOOKUP(Z2,'Axe 2 Règles de gestion'!$D$2:$F$43,3, FALSE)</f>
        <v>Stage : L'agent ne peut pas demander l'ouverture ou l'utilisation d'un compte épargne-temps durant la durée de son stage.</v>
      </c>
      <c r="AB2" s="13" t="s">
        <v>222</v>
      </c>
      <c r="AC2" s="15" t="str">
        <f>VLOOKUP(AB2,'Axe 2 Règles de gestion'!$D$2:$F$43,3, FALSE)</f>
        <v>Congés annuels : L'agent conserve son droit à congé annuel.</v>
      </c>
      <c r="AD2" s="13"/>
      <c r="AE2" s="15"/>
    </row>
    <row r="3" spans="1:31" ht="87" x14ac:dyDescent="0.35">
      <c r="A3" s="13" t="s">
        <v>54</v>
      </c>
      <c r="B3" s="13" t="s">
        <v>55</v>
      </c>
      <c r="C3" s="14">
        <v>45628.644444444442</v>
      </c>
      <c r="D3" s="13" t="s">
        <v>56</v>
      </c>
      <c r="E3" s="15" t="s">
        <v>57</v>
      </c>
      <c r="F3" s="13" t="s">
        <v>58</v>
      </c>
      <c r="G3" s="15" t="s">
        <v>59</v>
      </c>
      <c r="H3" s="13" t="s">
        <v>60</v>
      </c>
      <c r="I3" s="15" t="s">
        <v>61</v>
      </c>
      <c r="J3" s="15" t="s">
        <v>62</v>
      </c>
      <c r="K3" s="15" t="s">
        <v>63</v>
      </c>
      <c r="L3" s="13" t="s">
        <v>84</v>
      </c>
      <c r="M3" s="15" t="s">
        <v>85</v>
      </c>
      <c r="N3" s="13" t="s">
        <v>66</v>
      </c>
      <c r="O3" s="15" t="s">
        <v>86</v>
      </c>
      <c r="P3" s="15" t="s">
        <v>87</v>
      </c>
      <c r="Q3" s="15" t="s">
        <v>69</v>
      </c>
      <c r="R3" s="13" t="s">
        <v>70</v>
      </c>
      <c r="S3" s="13" t="s">
        <v>71</v>
      </c>
      <c r="T3" s="13" t="s">
        <v>72</v>
      </c>
      <c r="U3" s="14">
        <v>45323</v>
      </c>
      <c r="V3" s="14">
        <v>45688</v>
      </c>
      <c r="W3" s="15" t="s">
        <v>217</v>
      </c>
      <c r="X3" s="13" t="s">
        <v>218</v>
      </c>
      <c r="Y3" s="15" t="str">
        <f>VLOOKUP(X3,'Axe 2 Règles de gestion'!$D$2:$F$43,3, FALSE)</f>
        <v>Rémunération : En cas d'indemnisation, le montant versé est un montant forfaitaire qui dépend de la catégorie statutaire d'appartenance de l'agent.</v>
      </c>
      <c r="Z3" s="13" t="s">
        <v>220</v>
      </c>
      <c r="AA3" s="15" t="str">
        <f>VLOOKUP(Z3,'Axe 2 Règles de gestion'!$D$2:$F$43,3, FALSE)</f>
        <v>Stage : L'agent ne peut pas demander l'ouverture ou l'utilisation d'un compte épargne-temps durant la durée de son stage.</v>
      </c>
      <c r="AB3" s="13" t="s">
        <v>222</v>
      </c>
      <c r="AC3" s="15" t="str">
        <f>VLOOKUP(AB3,'Axe 2 Règles de gestion'!$D$2:$F$43,3, FALSE)</f>
        <v>Congés annuels : L'agent conserve son droit à congé annuel.</v>
      </c>
      <c r="AD3" s="13"/>
      <c r="AE3" s="15"/>
    </row>
    <row r="4" spans="1:31" ht="87" x14ac:dyDescent="0.35">
      <c r="A4" s="13" t="s">
        <v>54</v>
      </c>
      <c r="B4" s="13" t="s">
        <v>55</v>
      </c>
      <c r="C4" s="14">
        <v>45628.645138888889</v>
      </c>
      <c r="D4" s="13" t="s">
        <v>56</v>
      </c>
      <c r="E4" s="15" t="s">
        <v>57</v>
      </c>
      <c r="F4" s="13" t="s">
        <v>58</v>
      </c>
      <c r="G4" s="15" t="s">
        <v>59</v>
      </c>
      <c r="H4" s="13" t="s">
        <v>60</v>
      </c>
      <c r="I4" s="15" t="s">
        <v>61</v>
      </c>
      <c r="J4" s="15" t="s">
        <v>62</v>
      </c>
      <c r="K4" s="15" t="s">
        <v>63</v>
      </c>
      <c r="L4" s="13" t="s">
        <v>84</v>
      </c>
      <c r="M4" s="15" t="s">
        <v>85</v>
      </c>
      <c r="N4" s="13" t="s">
        <v>66</v>
      </c>
      <c r="O4" s="15" t="s">
        <v>86</v>
      </c>
      <c r="P4" s="15" t="s">
        <v>87</v>
      </c>
      <c r="Q4" s="15" t="s">
        <v>69</v>
      </c>
      <c r="R4" s="13" t="s">
        <v>70</v>
      </c>
      <c r="S4" s="13" t="s">
        <v>71</v>
      </c>
      <c r="T4" s="13" t="s">
        <v>72</v>
      </c>
      <c r="U4" s="14">
        <v>45689</v>
      </c>
      <c r="V4" s="14"/>
      <c r="W4" s="15" t="s">
        <v>217</v>
      </c>
      <c r="X4" s="13" t="s">
        <v>218</v>
      </c>
      <c r="Y4" s="15" t="str">
        <f>VLOOKUP(X4,'Axe 2 Règles de gestion'!$D$2:$F$43,3, FALSE)</f>
        <v>Rémunération : En cas d'indemnisation, le montant versé est un montant forfaitaire qui dépend de la catégorie statutaire d'appartenance de l'agent.</v>
      </c>
      <c r="Z4" s="13" t="s">
        <v>220</v>
      </c>
      <c r="AA4" s="15" t="str">
        <f>VLOOKUP(Z4,'Axe 2 Règles de gestion'!$D$2:$F$43,3, FALSE)</f>
        <v>Stage : L'agent ne peut pas demander l'ouverture ou l'utilisation d'un compte épargne-temps durant la durée de son stage.</v>
      </c>
      <c r="AB4" s="13" t="s">
        <v>222</v>
      </c>
      <c r="AC4" s="15" t="str">
        <f>VLOOKUP(AB4,'Axe 2 Règles de gestion'!$D$2:$F$43,3, FALSE)</f>
        <v>Congés annuels : L'agent conserve son droit à congé annuel.</v>
      </c>
      <c r="AD4" s="13"/>
      <c r="AE4" s="15"/>
    </row>
    <row r="5" spans="1:31" ht="87" x14ac:dyDescent="0.35">
      <c r="A5" s="13" t="s">
        <v>54</v>
      </c>
      <c r="B5" s="13" t="s">
        <v>55</v>
      </c>
      <c r="C5" s="14">
        <v>45628.65902777778</v>
      </c>
      <c r="D5" s="13" t="s">
        <v>56</v>
      </c>
      <c r="E5" s="15" t="s">
        <v>57</v>
      </c>
      <c r="F5" s="13" t="s">
        <v>58</v>
      </c>
      <c r="G5" s="15" t="s">
        <v>59</v>
      </c>
      <c r="H5" s="13" t="s">
        <v>60</v>
      </c>
      <c r="I5" s="15" t="s">
        <v>61</v>
      </c>
      <c r="J5" s="15" t="s">
        <v>62</v>
      </c>
      <c r="K5" s="15" t="s">
        <v>63</v>
      </c>
      <c r="L5" s="13" t="s">
        <v>106</v>
      </c>
      <c r="M5" s="15" t="s">
        <v>107</v>
      </c>
      <c r="N5" s="13" t="s">
        <v>66</v>
      </c>
      <c r="O5" s="15" t="s">
        <v>108</v>
      </c>
      <c r="P5" s="15" t="s">
        <v>109</v>
      </c>
      <c r="Q5" s="15" t="s">
        <v>69</v>
      </c>
      <c r="R5" s="13" t="s">
        <v>70</v>
      </c>
      <c r="S5" s="13" t="s">
        <v>71</v>
      </c>
      <c r="T5" s="13" t="s">
        <v>72</v>
      </c>
      <c r="U5" s="14">
        <v>45323</v>
      </c>
      <c r="V5" s="14"/>
      <c r="W5" s="15" t="s">
        <v>217</v>
      </c>
      <c r="X5" s="13" t="s">
        <v>218</v>
      </c>
      <c r="Y5" s="15" t="str">
        <f>VLOOKUP(X5,'Axe 2 Règles de gestion'!$D$2:$F$43,3, FALSE)</f>
        <v>Rémunération : En cas d'indemnisation, le montant versé est un montant forfaitaire qui dépend de la catégorie statutaire d'appartenance de l'agent.</v>
      </c>
      <c r="Z5" s="13" t="s">
        <v>220</v>
      </c>
      <c r="AA5" s="15" t="str">
        <f>VLOOKUP(Z5,'Axe 2 Règles de gestion'!$D$2:$F$43,3, FALSE)</f>
        <v>Stage : L'agent ne peut pas demander l'ouverture ou l'utilisation d'un compte épargne-temps durant la durée de son stage.</v>
      </c>
      <c r="AB5" s="13" t="s">
        <v>222</v>
      </c>
      <c r="AC5" s="15" t="str">
        <f>VLOOKUP(AB5,'Axe 2 Règles de gestion'!$D$2:$F$43,3, FALSE)</f>
        <v>Congés annuels : L'agent conserve son droit à congé annuel.</v>
      </c>
      <c r="AD5" s="13"/>
      <c r="AE5" s="15"/>
    </row>
    <row r="6" spans="1:31" ht="43.5" x14ac:dyDescent="0.35">
      <c r="A6" s="13" t="s">
        <v>54</v>
      </c>
      <c r="B6" s="13" t="s">
        <v>55</v>
      </c>
      <c r="C6" s="14">
        <v>45628.640277777777</v>
      </c>
      <c r="D6" s="13" t="s">
        <v>56</v>
      </c>
      <c r="E6" s="15" t="s">
        <v>57</v>
      </c>
      <c r="F6" s="13" t="s">
        <v>58</v>
      </c>
      <c r="G6" s="15" t="s">
        <v>59</v>
      </c>
      <c r="H6" s="13" t="s">
        <v>60</v>
      </c>
      <c r="I6" s="15" t="s">
        <v>61</v>
      </c>
      <c r="J6" s="15" t="s">
        <v>62</v>
      </c>
      <c r="K6" s="15" t="s">
        <v>63</v>
      </c>
      <c r="L6" s="13" t="s">
        <v>64</v>
      </c>
      <c r="M6" s="15" t="s">
        <v>65</v>
      </c>
      <c r="N6" s="13" t="s">
        <v>66</v>
      </c>
      <c r="O6" s="15" t="s">
        <v>67</v>
      </c>
      <c r="P6" s="15" t="s">
        <v>68</v>
      </c>
      <c r="Q6" s="15" t="s">
        <v>133</v>
      </c>
      <c r="R6" s="13" t="s">
        <v>134</v>
      </c>
      <c r="S6" s="13" t="s">
        <v>71</v>
      </c>
      <c r="T6" s="13" t="s">
        <v>135</v>
      </c>
      <c r="U6" s="14">
        <v>45323</v>
      </c>
      <c r="V6" s="14"/>
      <c r="W6" s="15"/>
      <c r="X6" s="13"/>
      <c r="Y6" s="15"/>
      <c r="Z6" s="13"/>
      <c r="AA6" s="15"/>
      <c r="AB6" s="13"/>
      <c r="AC6" s="15"/>
      <c r="AD6" s="13"/>
      <c r="AE6" s="15"/>
    </row>
    <row r="7" spans="1:31" ht="43.5" x14ac:dyDescent="0.35">
      <c r="A7" s="13" t="s">
        <v>54</v>
      </c>
      <c r="B7" s="13" t="s">
        <v>55</v>
      </c>
      <c r="C7" s="14">
        <v>45628.645138888889</v>
      </c>
      <c r="D7" s="13" t="s">
        <v>56</v>
      </c>
      <c r="E7" s="15" t="s">
        <v>57</v>
      </c>
      <c r="F7" s="13" t="s">
        <v>58</v>
      </c>
      <c r="G7" s="15" t="s">
        <v>59</v>
      </c>
      <c r="H7" s="13" t="s">
        <v>60</v>
      </c>
      <c r="I7" s="15" t="s">
        <v>61</v>
      </c>
      <c r="J7" s="15" t="s">
        <v>62</v>
      </c>
      <c r="K7" s="15" t="s">
        <v>63</v>
      </c>
      <c r="L7" s="13" t="s">
        <v>84</v>
      </c>
      <c r="M7" s="15" t="s">
        <v>85</v>
      </c>
      <c r="N7" s="13" t="s">
        <v>66</v>
      </c>
      <c r="O7" s="15" t="s">
        <v>86</v>
      </c>
      <c r="P7" s="15" t="s">
        <v>87</v>
      </c>
      <c r="Q7" s="15" t="s">
        <v>133</v>
      </c>
      <c r="R7" s="13" t="s">
        <v>134</v>
      </c>
      <c r="S7" s="13" t="s">
        <v>71</v>
      </c>
      <c r="T7" s="13" t="s">
        <v>135</v>
      </c>
      <c r="U7" s="14">
        <v>45323</v>
      </c>
      <c r="V7" s="14"/>
      <c r="W7" s="15"/>
      <c r="X7" s="13"/>
      <c r="Y7" s="15"/>
      <c r="Z7" s="13"/>
      <c r="AA7" s="15"/>
      <c r="AB7" s="13"/>
      <c r="AC7" s="15"/>
      <c r="AD7" s="13"/>
      <c r="AE7" s="15"/>
    </row>
    <row r="8" spans="1:31" ht="43.5" x14ac:dyDescent="0.35">
      <c r="A8" s="13" t="s">
        <v>54</v>
      </c>
      <c r="B8" s="13" t="s">
        <v>55</v>
      </c>
      <c r="C8" s="14">
        <v>45628.659722222219</v>
      </c>
      <c r="D8" s="13" t="s">
        <v>56</v>
      </c>
      <c r="E8" s="15" t="s">
        <v>57</v>
      </c>
      <c r="F8" s="13" t="s">
        <v>58</v>
      </c>
      <c r="G8" s="15" t="s">
        <v>59</v>
      </c>
      <c r="H8" s="13" t="s">
        <v>60</v>
      </c>
      <c r="I8" s="15" t="s">
        <v>61</v>
      </c>
      <c r="J8" s="15" t="s">
        <v>62</v>
      </c>
      <c r="K8" s="15" t="s">
        <v>63</v>
      </c>
      <c r="L8" s="13" t="s">
        <v>106</v>
      </c>
      <c r="M8" s="15" t="s">
        <v>107</v>
      </c>
      <c r="N8" s="13" t="s">
        <v>66</v>
      </c>
      <c r="O8" s="15" t="s">
        <v>108</v>
      </c>
      <c r="P8" s="15" t="s">
        <v>109</v>
      </c>
      <c r="Q8" s="15" t="s">
        <v>133</v>
      </c>
      <c r="R8" s="13" t="s">
        <v>134</v>
      </c>
      <c r="S8" s="13" t="s">
        <v>71</v>
      </c>
      <c r="T8" s="13" t="s">
        <v>135</v>
      </c>
      <c r="U8" s="14">
        <v>45323</v>
      </c>
      <c r="V8" s="14"/>
      <c r="W8" s="15"/>
      <c r="X8" s="13"/>
      <c r="Y8" s="15"/>
      <c r="Z8" s="13"/>
      <c r="AA8" s="15"/>
      <c r="AB8" s="13"/>
      <c r="AC8" s="15"/>
      <c r="AD8" s="13"/>
      <c r="AE8" s="15"/>
    </row>
    <row r="9" spans="1:31" ht="87" x14ac:dyDescent="0.35">
      <c r="A9" s="13" t="s">
        <v>54</v>
      </c>
      <c r="B9" s="13" t="s">
        <v>55</v>
      </c>
      <c r="C9" s="14">
        <v>45628.640277777777</v>
      </c>
      <c r="D9" s="13" t="s">
        <v>56</v>
      </c>
      <c r="E9" s="15" t="s">
        <v>57</v>
      </c>
      <c r="F9" s="13" t="s">
        <v>58</v>
      </c>
      <c r="G9" s="15" t="s">
        <v>59</v>
      </c>
      <c r="H9" s="13" t="s">
        <v>60</v>
      </c>
      <c r="I9" s="15" t="s">
        <v>61</v>
      </c>
      <c r="J9" s="15" t="s">
        <v>62</v>
      </c>
      <c r="K9" s="15" t="s">
        <v>63</v>
      </c>
      <c r="L9" s="13" t="s">
        <v>64</v>
      </c>
      <c r="M9" s="15" t="s">
        <v>65</v>
      </c>
      <c r="N9" s="13" t="s">
        <v>66</v>
      </c>
      <c r="O9" s="15" t="s">
        <v>67</v>
      </c>
      <c r="P9" s="15" t="s">
        <v>68</v>
      </c>
      <c r="Q9" s="15" t="s">
        <v>136</v>
      </c>
      <c r="R9" s="13" t="s">
        <v>137</v>
      </c>
      <c r="S9" s="13" t="s">
        <v>71</v>
      </c>
      <c r="T9" s="13" t="s">
        <v>72</v>
      </c>
      <c r="U9" s="14">
        <v>45323</v>
      </c>
      <c r="V9" s="14"/>
      <c r="W9" s="15" t="s">
        <v>224</v>
      </c>
      <c r="X9" s="13" t="s">
        <v>218</v>
      </c>
      <c r="Y9" s="15" t="str">
        <f>VLOOKUP(X9,'Axe 2 Règles de gestion'!$D$2:$F$43,3, FALSE)</f>
        <v>Rémunération : En cas d'indemnisation, le montant versé est un montant forfaitaire qui dépend de la catégorie statutaire d'appartenance de l'agent.</v>
      </c>
      <c r="Z9" s="13" t="s">
        <v>222</v>
      </c>
      <c r="AA9" s="15" t="str">
        <f>VLOOKUP(Z9,'Axe 2 Règles de gestion'!$D$2:$F$43,3, FALSE)</f>
        <v>Congés annuels : L'agent conserve son droit à congé annuel.</v>
      </c>
      <c r="AB9" s="13"/>
      <c r="AC9" s="15"/>
      <c r="AD9" s="13"/>
      <c r="AE9" s="15"/>
    </row>
    <row r="10" spans="1:31" ht="87" x14ac:dyDescent="0.35">
      <c r="A10" s="13" t="s">
        <v>54</v>
      </c>
      <c r="B10" s="13" t="s">
        <v>55</v>
      </c>
      <c r="C10" s="14">
        <v>45635.72152777778</v>
      </c>
      <c r="D10" s="13" t="s">
        <v>56</v>
      </c>
      <c r="E10" s="15" t="s">
        <v>57</v>
      </c>
      <c r="F10" s="13" t="s">
        <v>58</v>
      </c>
      <c r="G10" s="15" t="s">
        <v>59</v>
      </c>
      <c r="H10" s="13" t="s">
        <v>60</v>
      </c>
      <c r="I10" s="15" t="s">
        <v>61</v>
      </c>
      <c r="J10" s="15" t="s">
        <v>62</v>
      </c>
      <c r="K10" s="15" t="s">
        <v>63</v>
      </c>
      <c r="L10" s="13" t="s">
        <v>84</v>
      </c>
      <c r="M10" s="15" t="s">
        <v>85</v>
      </c>
      <c r="N10" s="13" t="s">
        <v>66</v>
      </c>
      <c r="O10" s="15" t="s">
        <v>86</v>
      </c>
      <c r="P10" s="15" t="s">
        <v>87</v>
      </c>
      <c r="Q10" s="15" t="s">
        <v>136</v>
      </c>
      <c r="R10" s="13" t="s">
        <v>137</v>
      </c>
      <c r="S10" s="13" t="s">
        <v>71</v>
      </c>
      <c r="T10" s="13" t="s">
        <v>72</v>
      </c>
      <c r="U10" s="14">
        <v>45323</v>
      </c>
      <c r="V10" s="14">
        <v>45688</v>
      </c>
      <c r="W10" s="15" t="s">
        <v>224</v>
      </c>
      <c r="X10" s="13" t="s">
        <v>218</v>
      </c>
      <c r="Y10" s="15" t="str">
        <f>VLOOKUP(X10,'Axe 2 Règles de gestion'!$D$2:$F$43,3, FALSE)</f>
        <v>Rémunération : En cas d'indemnisation, le montant versé est un montant forfaitaire qui dépend de la catégorie statutaire d'appartenance de l'agent.</v>
      </c>
      <c r="Z10" s="13" t="s">
        <v>222</v>
      </c>
      <c r="AA10" s="15" t="str">
        <f>VLOOKUP(Z10,'Axe 2 Règles de gestion'!$D$2:$F$43,3, FALSE)</f>
        <v>Congés annuels : L'agent conserve son droit à congé annuel.</v>
      </c>
      <c r="AB10" s="13"/>
      <c r="AC10" s="15"/>
      <c r="AD10" s="13"/>
      <c r="AE10" s="15"/>
    </row>
    <row r="11" spans="1:31" ht="87" x14ac:dyDescent="0.35">
      <c r="A11" s="13" t="s">
        <v>54</v>
      </c>
      <c r="B11" s="13" t="s">
        <v>55</v>
      </c>
      <c r="C11" s="14">
        <v>45635.72152777778</v>
      </c>
      <c r="D11" s="13" t="s">
        <v>56</v>
      </c>
      <c r="E11" s="15" t="s">
        <v>57</v>
      </c>
      <c r="F11" s="13" t="s">
        <v>58</v>
      </c>
      <c r="G11" s="15" t="s">
        <v>59</v>
      </c>
      <c r="H11" s="13" t="s">
        <v>60</v>
      </c>
      <c r="I11" s="15" t="s">
        <v>61</v>
      </c>
      <c r="J11" s="15" t="s">
        <v>62</v>
      </c>
      <c r="K11" s="15" t="s">
        <v>63</v>
      </c>
      <c r="L11" s="13" t="s">
        <v>84</v>
      </c>
      <c r="M11" s="15" t="s">
        <v>85</v>
      </c>
      <c r="N11" s="13" t="s">
        <v>66</v>
      </c>
      <c r="O11" s="15" t="s">
        <v>86</v>
      </c>
      <c r="P11" s="15" t="s">
        <v>87</v>
      </c>
      <c r="Q11" s="15" t="s">
        <v>136</v>
      </c>
      <c r="R11" s="13" t="s">
        <v>137</v>
      </c>
      <c r="S11" s="13" t="s">
        <v>71</v>
      </c>
      <c r="T11" s="13" t="s">
        <v>72</v>
      </c>
      <c r="U11" s="14">
        <v>45689</v>
      </c>
      <c r="V11" s="14"/>
      <c r="W11" s="15" t="s">
        <v>224</v>
      </c>
      <c r="X11" s="13" t="s">
        <v>218</v>
      </c>
      <c r="Y11" s="15" t="str">
        <f>VLOOKUP(X11,'Axe 2 Règles de gestion'!$D$2:$F$43,3, FALSE)</f>
        <v>Rémunération : En cas d'indemnisation, le montant versé est un montant forfaitaire qui dépend de la catégorie statutaire d'appartenance de l'agent.</v>
      </c>
      <c r="Z11" s="13" t="s">
        <v>222</v>
      </c>
      <c r="AA11" s="15" t="str">
        <f>VLOOKUP(Z11,'Axe 2 Règles de gestion'!$D$2:$F$43,3, FALSE)</f>
        <v>Congés annuels : L'agent conserve son droit à congé annuel.</v>
      </c>
      <c r="AB11" s="13"/>
      <c r="AC11" s="15"/>
      <c r="AD11" s="13"/>
      <c r="AE11" s="15"/>
    </row>
    <row r="12" spans="1:31" ht="87" x14ac:dyDescent="0.35">
      <c r="A12" s="13" t="s">
        <v>54</v>
      </c>
      <c r="B12" s="13" t="s">
        <v>55</v>
      </c>
      <c r="C12" s="14">
        <v>45628.660416666666</v>
      </c>
      <c r="D12" s="13" t="s">
        <v>56</v>
      </c>
      <c r="E12" s="15" t="s">
        <v>57</v>
      </c>
      <c r="F12" s="13" t="s">
        <v>58</v>
      </c>
      <c r="G12" s="15" t="s">
        <v>59</v>
      </c>
      <c r="H12" s="13" t="s">
        <v>60</v>
      </c>
      <c r="I12" s="15" t="s">
        <v>61</v>
      </c>
      <c r="J12" s="15" t="s">
        <v>62</v>
      </c>
      <c r="K12" s="15" t="s">
        <v>63</v>
      </c>
      <c r="L12" s="13" t="s">
        <v>106</v>
      </c>
      <c r="M12" s="15" t="s">
        <v>107</v>
      </c>
      <c r="N12" s="13" t="s">
        <v>66</v>
      </c>
      <c r="O12" s="15" t="s">
        <v>108</v>
      </c>
      <c r="P12" s="15" t="s">
        <v>109</v>
      </c>
      <c r="Q12" s="15" t="s">
        <v>136</v>
      </c>
      <c r="R12" s="13" t="s">
        <v>137</v>
      </c>
      <c r="S12" s="13" t="s">
        <v>71</v>
      </c>
      <c r="T12" s="13" t="s">
        <v>72</v>
      </c>
      <c r="U12" s="14">
        <v>45323</v>
      </c>
      <c r="V12" s="14"/>
      <c r="W12" s="15" t="s">
        <v>224</v>
      </c>
      <c r="X12" s="13" t="s">
        <v>218</v>
      </c>
      <c r="Y12" s="15" t="str">
        <f>VLOOKUP(X12,'Axe 2 Règles de gestion'!$D$2:$F$43,3, FALSE)</f>
        <v>Rémunération : En cas d'indemnisation, le montant versé est un montant forfaitaire qui dépend de la catégorie statutaire d'appartenance de l'agent.</v>
      </c>
      <c r="Z12" s="13" t="s">
        <v>222</v>
      </c>
      <c r="AA12" s="15" t="str">
        <f>VLOOKUP(Z12,'Axe 2 Règles de gestion'!$D$2:$F$43,3, FALSE)</f>
        <v>Congés annuels : L'agent conserve son droit à congé annuel.</v>
      </c>
      <c r="AB12" s="13"/>
      <c r="AC12" s="15"/>
      <c r="AD12" s="13"/>
      <c r="AE12" s="15"/>
    </row>
    <row r="13" spans="1:31" ht="43.5" x14ac:dyDescent="0.35">
      <c r="A13" s="13" t="s">
        <v>54</v>
      </c>
      <c r="B13" s="13" t="s">
        <v>55</v>
      </c>
      <c r="C13" s="14">
        <v>45628.640972222223</v>
      </c>
      <c r="D13" s="13" t="s">
        <v>56</v>
      </c>
      <c r="E13" s="15" t="s">
        <v>57</v>
      </c>
      <c r="F13" s="13" t="s">
        <v>58</v>
      </c>
      <c r="G13" s="15" t="s">
        <v>59</v>
      </c>
      <c r="H13" s="13" t="s">
        <v>60</v>
      </c>
      <c r="I13" s="15" t="s">
        <v>61</v>
      </c>
      <c r="J13" s="15" t="s">
        <v>62</v>
      </c>
      <c r="K13" s="15" t="s">
        <v>63</v>
      </c>
      <c r="L13" s="13" t="s">
        <v>64</v>
      </c>
      <c r="M13" s="15" t="s">
        <v>65</v>
      </c>
      <c r="N13" s="13" t="s">
        <v>66</v>
      </c>
      <c r="O13" s="15" t="s">
        <v>67</v>
      </c>
      <c r="P13" s="15" t="s">
        <v>68</v>
      </c>
      <c r="Q13" s="15" t="s">
        <v>143</v>
      </c>
      <c r="R13" s="13" t="s">
        <v>144</v>
      </c>
      <c r="S13" s="13" t="s">
        <v>71</v>
      </c>
      <c r="T13" s="13" t="s">
        <v>135</v>
      </c>
      <c r="U13" s="14">
        <v>45323</v>
      </c>
      <c r="V13" s="14"/>
      <c r="W13" s="15"/>
      <c r="X13" s="13"/>
      <c r="Y13" s="15"/>
      <c r="Z13" s="13"/>
      <c r="AA13" s="15"/>
      <c r="AB13" s="13"/>
      <c r="AC13" s="15"/>
      <c r="AD13" s="13"/>
      <c r="AE13" s="15"/>
    </row>
    <row r="14" spans="1:31" ht="43.5" x14ac:dyDescent="0.35">
      <c r="A14" s="13" t="s">
        <v>54</v>
      </c>
      <c r="B14" s="13" t="s">
        <v>55</v>
      </c>
      <c r="C14" s="14">
        <v>45628.647222222222</v>
      </c>
      <c r="D14" s="13" t="s">
        <v>56</v>
      </c>
      <c r="E14" s="15" t="s">
        <v>57</v>
      </c>
      <c r="F14" s="13" t="s">
        <v>58</v>
      </c>
      <c r="G14" s="15" t="s">
        <v>59</v>
      </c>
      <c r="H14" s="13" t="s">
        <v>60</v>
      </c>
      <c r="I14" s="15" t="s">
        <v>61</v>
      </c>
      <c r="J14" s="15" t="s">
        <v>62</v>
      </c>
      <c r="K14" s="15" t="s">
        <v>63</v>
      </c>
      <c r="L14" s="13" t="s">
        <v>84</v>
      </c>
      <c r="M14" s="15" t="s">
        <v>85</v>
      </c>
      <c r="N14" s="13" t="s">
        <v>66</v>
      </c>
      <c r="O14" s="15" t="s">
        <v>86</v>
      </c>
      <c r="P14" s="15" t="s">
        <v>87</v>
      </c>
      <c r="Q14" s="15" t="s">
        <v>143</v>
      </c>
      <c r="R14" s="13" t="s">
        <v>144</v>
      </c>
      <c r="S14" s="13" t="s">
        <v>71</v>
      </c>
      <c r="T14" s="13" t="s">
        <v>135</v>
      </c>
      <c r="U14" s="14">
        <v>45323</v>
      </c>
      <c r="V14" s="14"/>
      <c r="W14" s="15"/>
      <c r="X14" s="13"/>
      <c r="Y14" s="15"/>
      <c r="Z14" s="13"/>
      <c r="AA14" s="15"/>
      <c r="AB14" s="13"/>
      <c r="AC14" s="15"/>
      <c r="AD14" s="13"/>
      <c r="AE14" s="15"/>
    </row>
    <row r="15" spans="1:31" ht="43.5" x14ac:dyDescent="0.35">
      <c r="A15" s="13" t="s">
        <v>54</v>
      </c>
      <c r="B15" s="13" t="s">
        <v>55</v>
      </c>
      <c r="C15" s="14">
        <v>45628.661111111112</v>
      </c>
      <c r="D15" s="13" t="s">
        <v>56</v>
      </c>
      <c r="E15" s="15" t="s">
        <v>57</v>
      </c>
      <c r="F15" s="13" t="s">
        <v>58</v>
      </c>
      <c r="G15" s="15" t="s">
        <v>59</v>
      </c>
      <c r="H15" s="13" t="s">
        <v>60</v>
      </c>
      <c r="I15" s="15" t="s">
        <v>61</v>
      </c>
      <c r="J15" s="15" t="s">
        <v>62</v>
      </c>
      <c r="K15" s="15" t="s">
        <v>63</v>
      </c>
      <c r="L15" s="13" t="s">
        <v>106</v>
      </c>
      <c r="M15" s="15" t="s">
        <v>107</v>
      </c>
      <c r="N15" s="13" t="s">
        <v>66</v>
      </c>
      <c r="O15" s="15" t="s">
        <v>108</v>
      </c>
      <c r="P15" s="15" t="s">
        <v>109</v>
      </c>
      <c r="Q15" s="15" t="s">
        <v>143</v>
      </c>
      <c r="R15" s="13" t="s">
        <v>144</v>
      </c>
      <c r="S15" s="13" t="s">
        <v>71</v>
      </c>
      <c r="T15" s="13" t="s">
        <v>135</v>
      </c>
      <c r="U15" s="14">
        <v>45323</v>
      </c>
      <c r="V15" s="14"/>
      <c r="W15" s="15"/>
      <c r="X15" s="13"/>
      <c r="Y15" s="15"/>
      <c r="Z15" s="13"/>
      <c r="AA15" s="15"/>
      <c r="AB15" s="13"/>
      <c r="AC15" s="15"/>
      <c r="AD15" s="13"/>
      <c r="AE15" s="15"/>
    </row>
    <row r="16" spans="1:31" s="22" customFormat="1" ht="43.5" x14ac:dyDescent="0.35">
      <c r="A16" s="19" t="s">
        <v>145</v>
      </c>
      <c r="B16" s="19" t="s">
        <v>55</v>
      </c>
      <c r="C16" s="20">
        <v>45994.647222222222</v>
      </c>
      <c r="D16" s="19" t="s">
        <v>56</v>
      </c>
      <c r="E16" s="21" t="s">
        <v>57</v>
      </c>
      <c r="F16" s="19" t="s">
        <v>58</v>
      </c>
      <c r="G16" s="21" t="s">
        <v>59</v>
      </c>
      <c r="H16" s="19" t="s">
        <v>60</v>
      </c>
      <c r="I16" s="21" t="s">
        <v>61</v>
      </c>
      <c r="J16" s="21" t="s">
        <v>62</v>
      </c>
      <c r="K16" s="21" t="s">
        <v>63</v>
      </c>
      <c r="L16" s="19" t="s">
        <v>64</v>
      </c>
      <c r="M16" s="21" t="s">
        <v>65</v>
      </c>
      <c r="N16" s="19" t="s">
        <v>66</v>
      </c>
      <c r="O16" s="21" t="s">
        <v>67</v>
      </c>
      <c r="P16" s="21" t="s">
        <v>68</v>
      </c>
      <c r="Q16" s="21" t="s">
        <v>146</v>
      </c>
      <c r="R16" s="19" t="s">
        <v>147</v>
      </c>
      <c r="S16" s="19" t="s">
        <v>71</v>
      </c>
      <c r="T16" s="19" t="s">
        <v>72</v>
      </c>
      <c r="U16" s="20">
        <v>45901</v>
      </c>
      <c r="V16" s="20"/>
      <c r="W16" s="21"/>
      <c r="X16" s="19"/>
      <c r="Y16" s="21"/>
      <c r="Z16" s="19"/>
      <c r="AA16" s="21"/>
      <c r="AB16" s="19"/>
      <c r="AC16" s="21"/>
      <c r="AD16" s="19" t="s">
        <v>148</v>
      </c>
      <c r="AE16" s="21"/>
    </row>
    <row r="17" spans="1:31" s="22" customFormat="1" ht="43.5" x14ac:dyDescent="0.35">
      <c r="A17" s="19" t="s">
        <v>145</v>
      </c>
      <c r="B17" s="19" t="s">
        <v>55</v>
      </c>
      <c r="C17" s="20">
        <v>45994.65</v>
      </c>
      <c r="D17" s="19" t="s">
        <v>56</v>
      </c>
      <c r="E17" s="21" t="s">
        <v>57</v>
      </c>
      <c r="F17" s="19" t="s">
        <v>58</v>
      </c>
      <c r="G17" s="21" t="s">
        <v>59</v>
      </c>
      <c r="H17" s="19" t="s">
        <v>60</v>
      </c>
      <c r="I17" s="21" t="s">
        <v>61</v>
      </c>
      <c r="J17" s="21" t="s">
        <v>62</v>
      </c>
      <c r="K17" s="21" t="s">
        <v>63</v>
      </c>
      <c r="L17" s="19" t="s">
        <v>84</v>
      </c>
      <c r="M17" s="21" t="s">
        <v>85</v>
      </c>
      <c r="N17" s="19" t="s">
        <v>66</v>
      </c>
      <c r="O17" s="21" t="s">
        <v>86</v>
      </c>
      <c r="P17" s="21" t="s">
        <v>87</v>
      </c>
      <c r="Q17" s="21" t="s">
        <v>146</v>
      </c>
      <c r="R17" s="19" t="s">
        <v>147</v>
      </c>
      <c r="S17" s="19" t="s">
        <v>71</v>
      </c>
      <c r="T17" s="19" t="s">
        <v>72</v>
      </c>
      <c r="U17" s="20">
        <v>45901</v>
      </c>
      <c r="V17" s="20"/>
      <c r="W17" s="21"/>
      <c r="X17" s="19"/>
      <c r="Y17" s="21"/>
      <c r="Z17" s="19"/>
      <c r="AA17" s="21"/>
      <c r="AB17" s="19"/>
      <c r="AC17" s="21"/>
      <c r="AD17" s="19" t="s">
        <v>148</v>
      </c>
      <c r="AE17" s="21"/>
    </row>
    <row r="18" spans="1:31" s="22" customFormat="1" ht="43.5" x14ac:dyDescent="0.35">
      <c r="A18" s="19" t="s">
        <v>145</v>
      </c>
      <c r="B18" s="19" t="s">
        <v>55</v>
      </c>
      <c r="C18" s="20">
        <v>45994.651388888888</v>
      </c>
      <c r="D18" s="19" t="s">
        <v>56</v>
      </c>
      <c r="E18" s="21" t="s">
        <v>57</v>
      </c>
      <c r="F18" s="19" t="s">
        <v>58</v>
      </c>
      <c r="G18" s="21" t="s">
        <v>59</v>
      </c>
      <c r="H18" s="19" t="s">
        <v>60</v>
      </c>
      <c r="I18" s="21" t="s">
        <v>61</v>
      </c>
      <c r="J18" s="21" t="s">
        <v>62</v>
      </c>
      <c r="K18" s="21" t="s">
        <v>63</v>
      </c>
      <c r="L18" s="19" t="s">
        <v>106</v>
      </c>
      <c r="M18" s="21" t="s">
        <v>107</v>
      </c>
      <c r="N18" s="19" t="s">
        <v>66</v>
      </c>
      <c r="O18" s="21" t="s">
        <v>108</v>
      </c>
      <c r="P18" s="21" t="s">
        <v>109</v>
      </c>
      <c r="Q18" s="21" t="s">
        <v>146</v>
      </c>
      <c r="R18" s="19" t="s">
        <v>147</v>
      </c>
      <c r="S18" s="19" t="s">
        <v>71</v>
      </c>
      <c r="T18" s="19" t="s">
        <v>72</v>
      </c>
      <c r="U18" s="20">
        <v>45901</v>
      </c>
      <c r="V18" s="20"/>
      <c r="W18" s="21"/>
      <c r="X18" s="19"/>
      <c r="Y18" s="21"/>
      <c r="Z18" s="19"/>
      <c r="AA18" s="21"/>
      <c r="AB18" s="19"/>
      <c r="AC18" s="21"/>
      <c r="AD18" s="19" t="s">
        <v>148</v>
      </c>
      <c r="AE18" s="21"/>
    </row>
    <row r="19" spans="1:31" ht="43.5" x14ac:dyDescent="0.35">
      <c r="A19" s="13" t="s">
        <v>54</v>
      </c>
      <c r="B19" s="13" t="s">
        <v>55</v>
      </c>
      <c r="C19" s="14">
        <v>45628.642361111109</v>
      </c>
      <c r="D19" s="13" t="s">
        <v>56</v>
      </c>
      <c r="E19" s="15" t="s">
        <v>57</v>
      </c>
      <c r="F19" s="13" t="s">
        <v>58</v>
      </c>
      <c r="G19" s="15" t="s">
        <v>59</v>
      </c>
      <c r="H19" s="13" t="s">
        <v>60</v>
      </c>
      <c r="I19" s="15" t="s">
        <v>61</v>
      </c>
      <c r="J19" s="15" t="s">
        <v>62</v>
      </c>
      <c r="K19" s="15" t="s">
        <v>63</v>
      </c>
      <c r="L19" s="13" t="s">
        <v>64</v>
      </c>
      <c r="M19" s="15" t="s">
        <v>65</v>
      </c>
      <c r="N19" s="13" t="s">
        <v>66</v>
      </c>
      <c r="O19" s="15" t="s">
        <v>67</v>
      </c>
      <c r="P19" s="15" t="s">
        <v>68</v>
      </c>
      <c r="Q19" s="15" t="s">
        <v>149</v>
      </c>
      <c r="R19" s="13" t="s">
        <v>150</v>
      </c>
      <c r="S19" s="13" t="s">
        <v>151</v>
      </c>
      <c r="T19" s="13" t="s">
        <v>135</v>
      </c>
      <c r="U19" s="14">
        <v>45323</v>
      </c>
      <c r="V19" s="14"/>
      <c r="W19" s="15"/>
      <c r="X19" s="13"/>
      <c r="Y19" s="15"/>
      <c r="Z19" s="13"/>
      <c r="AA19" s="15"/>
      <c r="AB19" s="13"/>
      <c r="AC19" s="15"/>
      <c r="AD19" s="13"/>
      <c r="AE19" s="15"/>
    </row>
    <row r="20" spans="1:31" ht="43.5" x14ac:dyDescent="0.35">
      <c r="A20" s="13" t="s">
        <v>54</v>
      </c>
      <c r="B20" s="13" t="s">
        <v>55</v>
      </c>
      <c r="C20" s="14">
        <v>45628.647222222222</v>
      </c>
      <c r="D20" s="13" t="s">
        <v>56</v>
      </c>
      <c r="E20" s="15" t="s">
        <v>57</v>
      </c>
      <c r="F20" s="13" t="s">
        <v>58</v>
      </c>
      <c r="G20" s="15" t="s">
        <v>59</v>
      </c>
      <c r="H20" s="13" t="s">
        <v>60</v>
      </c>
      <c r="I20" s="15" t="s">
        <v>61</v>
      </c>
      <c r="J20" s="15" t="s">
        <v>62</v>
      </c>
      <c r="K20" s="15" t="s">
        <v>63</v>
      </c>
      <c r="L20" s="13" t="s">
        <v>84</v>
      </c>
      <c r="M20" s="15" t="s">
        <v>85</v>
      </c>
      <c r="N20" s="13" t="s">
        <v>66</v>
      </c>
      <c r="O20" s="15" t="s">
        <v>86</v>
      </c>
      <c r="P20" s="15" t="s">
        <v>87</v>
      </c>
      <c r="Q20" s="15" t="s">
        <v>149</v>
      </c>
      <c r="R20" s="13" t="s">
        <v>150</v>
      </c>
      <c r="S20" s="13" t="s">
        <v>151</v>
      </c>
      <c r="T20" s="13" t="s">
        <v>135</v>
      </c>
      <c r="U20" s="14">
        <v>45323</v>
      </c>
      <c r="V20" s="14"/>
      <c r="W20" s="15"/>
      <c r="X20" s="13"/>
      <c r="Y20" s="15"/>
      <c r="Z20" s="13"/>
      <c r="AA20" s="15"/>
      <c r="AB20" s="13"/>
      <c r="AC20" s="15"/>
      <c r="AD20" s="13"/>
      <c r="AE20" s="15"/>
    </row>
    <row r="21" spans="1:31" ht="43.5" x14ac:dyDescent="0.35">
      <c r="A21" s="13" t="s">
        <v>54</v>
      </c>
      <c r="B21" s="13" t="s">
        <v>55</v>
      </c>
      <c r="C21" s="14">
        <v>45628.661805555559</v>
      </c>
      <c r="D21" s="13" t="s">
        <v>56</v>
      </c>
      <c r="E21" s="15" t="s">
        <v>57</v>
      </c>
      <c r="F21" s="13" t="s">
        <v>58</v>
      </c>
      <c r="G21" s="15" t="s">
        <v>59</v>
      </c>
      <c r="H21" s="13" t="s">
        <v>60</v>
      </c>
      <c r="I21" s="15" t="s">
        <v>61</v>
      </c>
      <c r="J21" s="15" t="s">
        <v>62</v>
      </c>
      <c r="K21" s="15" t="s">
        <v>63</v>
      </c>
      <c r="L21" s="13" t="s">
        <v>106</v>
      </c>
      <c r="M21" s="15" t="s">
        <v>107</v>
      </c>
      <c r="N21" s="13" t="s">
        <v>66</v>
      </c>
      <c r="O21" s="15" t="s">
        <v>108</v>
      </c>
      <c r="P21" s="15" t="s">
        <v>109</v>
      </c>
      <c r="Q21" s="15" t="s">
        <v>149</v>
      </c>
      <c r="R21" s="13" t="s">
        <v>150</v>
      </c>
      <c r="S21" s="13" t="s">
        <v>151</v>
      </c>
      <c r="T21" s="13" t="s">
        <v>135</v>
      </c>
      <c r="U21" s="14">
        <v>45323</v>
      </c>
      <c r="V21" s="14"/>
      <c r="W21" s="15"/>
      <c r="X21" s="13"/>
      <c r="Y21" s="15"/>
      <c r="Z21" s="13"/>
      <c r="AA21" s="15"/>
      <c r="AB21" s="13"/>
      <c r="AC21" s="15"/>
      <c r="AD21" s="13"/>
      <c r="AE21" s="15"/>
    </row>
    <row r="22" spans="1:31" ht="43.5" x14ac:dyDescent="0.35">
      <c r="A22" s="13" t="s">
        <v>54</v>
      </c>
      <c r="B22" s="13" t="s">
        <v>55</v>
      </c>
      <c r="C22" s="14">
        <v>45628.642361111109</v>
      </c>
      <c r="D22" s="13" t="s">
        <v>56</v>
      </c>
      <c r="E22" s="15" t="s">
        <v>57</v>
      </c>
      <c r="F22" s="13" t="s">
        <v>58</v>
      </c>
      <c r="G22" s="15" t="s">
        <v>59</v>
      </c>
      <c r="H22" s="13" t="s">
        <v>60</v>
      </c>
      <c r="I22" s="15" t="s">
        <v>61</v>
      </c>
      <c r="J22" s="15" t="s">
        <v>62</v>
      </c>
      <c r="K22" s="15" t="s">
        <v>63</v>
      </c>
      <c r="L22" s="13" t="s">
        <v>64</v>
      </c>
      <c r="M22" s="15" t="s">
        <v>65</v>
      </c>
      <c r="N22" s="13" t="s">
        <v>66</v>
      </c>
      <c r="O22" s="15" t="s">
        <v>67</v>
      </c>
      <c r="P22" s="15" t="s">
        <v>68</v>
      </c>
      <c r="Q22" s="15" t="s">
        <v>152</v>
      </c>
      <c r="R22" s="13" t="s">
        <v>153</v>
      </c>
      <c r="S22" s="13" t="s">
        <v>151</v>
      </c>
      <c r="T22" s="13" t="s">
        <v>135</v>
      </c>
      <c r="U22" s="14">
        <v>45323</v>
      </c>
      <c r="V22" s="14"/>
      <c r="W22" s="15"/>
      <c r="X22" s="13"/>
      <c r="Y22" s="15"/>
      <c r="Z22" s="13"/>
      <c r="AA22" s="15"/>
      <c r="AB22" s="13"/>
      <c r="AC22" s="15"/>
      <c r="AD22" s="13"/>
      <c r="AE22" s="15"/>
    </row>
    <row r="23" spans="1:31" ht="43.5" x14ac:dyDescent="0.35">
      <c r="A23" s="13" t="s">
        <v>54</v>
      </c>
      <c r="B23" s="13" t="s">
        <v>55</v>
      </c>
      <c r="C23" s="14">
        <v>45628.647916666669</v>
      </c>
      <c r="D23" s="13" t="s">
        <v>56</v>
      </c>
      <c r="E23" s="15" t="s">
        <v>57</v>
      </c>
      <c r="F23" s="13" t="s">
        <v>58</v>
      </c>
      <c r="G23" s="15" t="s">
        <v>59</v>
      </c>
      <c r="H23" s="13" t="s">
        <v>60</v>
      </c>
      <c r="I23" s="15" t="s">
        <v>61</v>
      </c>
      <c r="J23" s="15" t="s">
        <v>62</v>
      </c>
      <c r="K23" s="15" t="s">
        <v>63</v>
      </c>
      <c r="L23" s="13" t="s">
        <v>84</v>
      </c>
      <c r="M23" s="15" t="s">
        <v>85</v>
      </c>
      <c r="N23" s="13" t="s">
        <v>66</v>
      </c>
      <c r="O23" s="15" t="s">
        <v>86</v>
      </c>
      <c r="P23" s="15" t="s">
        <v>87</v>
      </c>
      <c r="Q23" s="15" t="s">
        <v>152</v>
      </c>
      <c r="R23" s="13" t="s">
        <v>153</v>
      </c>
      <c r="S23" s="13" t="s">
        <v>151</v>
      </c>
      <c r="T23" s="13" t="s">
        <v>135</v>
      </c>
      <c r="U23" s="14">
        <v>45323</v>
      </c>
      <c r="V23" s="14"/>
      <c r="W23" s="15"/>
      <c r="X23" s="13"/>
      <c r="Y23" s="15"/>
      <c r="Z23" s="13"/>
      <c r="AA23" s="15"/>
      <c r="AB23" s="13"/>
      <c r="AC23" s="15"/>
      <c r="AD23" s="13"/>
      <c r="AE23" s="15"/>
    </row>
    <row r="24" spans="1:31" ht="43.5" x14ac:dyDescent="0.35">
      <c r="A24" s="13" t="s">
        <v>54</v>
      </c>
      <c r="B24" s="13" t="s">
        <v>55</v>
      </c>
      <c r="C24" s="14">
        <v>45628.661805555559</v>
      </c>
      <c r="D24" s="13" t="s">
        <v>56</v>
      </c>
      <c r="E24" s="15" t="s">
        <v>57</v>
      </c>
      <c r="F24" s="13" t="s">
        <v>58</v>
      </c>
      <c r="G24" s="15" t="s">
        <v>59</v>
      </c>
      <c r="H24" s="13" t="s">
        <v>60</v>
      </c>
      <c r="I24" s="15" t="s">
        <v>61</v>
      </c>
      <c r="J24" s="15" t="s">
        <v>62</v>
      </c>
      <c r="K24" s="15" t="s">
        <v>63</v>
      </c>
      <c r="L24" s="13" t="s">
        <v>106</v>
      </c>
      <c r="M24" s="15" t="s">
        <v>107</v>
      </c>
      <c r="N24" s="13" t="s">
        <v>66</v>
      </c>
      <c r="O24" s="15" t="s">
        <v>108</v>
      </c>
      <c r="P24" s="15" t="s">
        <v>109</v>
      </c>
      <c r="Q24" s="15" t="s">
        <v>152</v>
      </c>
      <c r="R24" s="13" t="s">
        <v>153</v>
      </c>
      <c r="S24" s="13" t="s">
        <v>151</v>
      </c>
      <c r="T24" s="13" t="s">
        <v>135</v>
      </c>
      <c r="U24" s="14">
        <v>45323</v>
      </c>
      <c r="V24" s="14"/>
      <c r="W24" s="15"/>
      <c r="X24" s="13"/>
      <c r="Y24" s="15"/>
      <c r="Z24" s="13"/>
      <c r="AA24" s="15"/>
      <c r="AB24" s="13"/>
      <c r="AC24" s="15"/>
      <c r="AD24" s="13"/>
      <c r="AE24" s="15"/>
    </row>
    <row r="25" spans="1:31" ht="43.5" x14ac:dyDescent="0.35">
      <c r="A25" s="13" t="s">
        <v>54</v>
      </c>
      <c r="B25" s="13" t="s">
        <v>55</v>
      </c>
      <c r="C25" s="14">
        <v>45628.642361111109</v>
      </c>
      <c r="D25" s="13" t="s">
        <v>56</v>
      </c>
      <c r="E25" s="15" t="s">
        <v>57</v>
      </c>
      <c r="F25" s="13" t="s">
        <v>58</v>
      </c>
      <c r="G25" s="15" t="s">
        <v>59</v>
      </c>
      <c r="H25" s="13" t="s">
        <v>60</v>
      </c>
      <c r="I25" s="15" t="s">
        <v>61</v>
      </c>
      <c r="J25" s="15" t="s">
        <v>62</v>
      </c>
      <c r="K25" s="15" t="s">
        <v>63</v>
      </c>
      <c r="L25" s="13" t="s">
        <v>64</v>
      </c>
      <c r="M25" s="15" t="s">
        <v>65</v>
      </c>
      <c r="N25" s="13" t="s">
        <v>66</v>
      </c>
      <c r="O25" s="15" t="s">
        <v>67</v>
      </c>
      <c r="P25" s="15" t="s">
        <v>68</v>
      </c>
      <c r="Q25" s="15" t="s">
        <v>154</v>
      </c>
      <c r="R25" s="13" t="s">
        <v>155</v>
      </c>
      <c r="S25" s="13" t="s">
        <v>151</v>
      </c>
      <c r="T25" s="13" t="s">
        <v>135</v>
      </c>
      <c r="U25" s="14">
        <v>45323</v>
      </c>
      <c r="V25" s="14"/>
      <c r="W25" s="15"/>
      <c r="X25" s="13"/>
      <c r="Y25" s="15"/>
      <c r="Z25" s="13"/>
      <c r="AA25" s="15"/>
      <c r="AB25" s="13"/>
      <c r="AC25" s="15"/>
      <c r="AD25" s="13"/>
      <c r="AE25" s="15"/>
    </row>
    <row r="26" spans="1:31" ht="43.5" x14ac:dyDescent="0.35">
      <c r="A26" s="13" t="s">
        <v>54</v>
      </c>
      <c r="B26" s="13" t="s">
        <v>55</v>
      </c>
      <c r="C26" s="14">
        <v>45628.647916666669</v>
      </c>
      <c r="D26" s="13" t="s">
        <v>56</v>
      </c>
      <c r="E26" s="15" t="s">
        <v>57</v>
      </c>
      <c r="F26" s="13" t="s">
        <v>58</v>
      </c>
      <c r="G26" s="15" t="s">
        <v>59</v>
      </c>
      <c r="H26" s="13" t="s">
        <v>60</v>
      </c>
      <c r="I26" s="15" t="s">
        <v>61</v>
      </c>
      <c r="J26" s="15" t="s">
        <v>62</v>
      </c>
      <c r="K26" s="15" t="s">
        <v>63</v>
      </c>
      <c r="L26" s="13" t="s">
        <v>84</v>
      </c>
      <c r="M26" s="15" t="s">
        <v>85</v>
      </c>
      <c r="N26" s="13" t="s">
        <v>66</v>
      </c>
      <c r="O26" s="15" t="s">
        <v>86</v>
      </c>
      <c r="P26" s="15" t="s">
        <v>87</v>
      </c>
      <c r="Q26" s="15" t="s">
        <v>154</v>
      </c>
      <c r="R26" s="13" t="s">
        <v>155</v>
      </c>
      <c r="S26" s="13" t="s">
        <v>151</v>
      </c>
      <c r="T26" s="13" t="s">
        <v>135</v>
      </c>
      <c r="U26" s="14">
        <v>45323</v>
      </c>
      <c r="V26" s="14"/>
      <c r="W26" s="15"/>
      <c r="X26" s="13"/>
      <c r="Y26" s="15"/>
      <c r="Z26" s="13"/>
      <c r="AA26" s="15"/>
      <c r="AB26" s="13"/>
      <c r="AC26" s="15"/>
      <c r="AD26" s="13"/>
      <c r="AE26" s="15"/>
    </row>
    <row r="27" spans="1:31" ht="43.5" x14ac:dyDescent="0.35">
      <c r="A27" s="13" t="s">
        <v>54</v>
      </c>
      <c r="B27" s="13" t="s">
        <v>55</v>
      </c>
      <c r="C27" s="14">
        <v>45628.662499999999</v>
      </c>
      <c r="D27" s="13" t="s">
        <v>56</v>
      </c>
      <c r="E27" s="15" t="s">
        <v>57</v>
      </c>
      <c r="F27" s="13" t="s">
        <v>58</v>
      </c>
      <c r="G27" s="15" t="s">
        <v>59</v>
      </c>
      <c r="H27" s="13" t="s">
        <v>60</v>
      </c>
      <c r="I27" s="15" t="s">
        <v>61</v>
      </c>
      <c r="J27" s="15" t="s">
        <v>62</v>
      </c>
      <c r="K27" s="15" t="s">
        <v>63</v>
      </c>
      <c r="L27" s="13" t="s">
        <v>106</v>
      </c>
      <c r="M27" s="15" t="s">
        <v>107</v>
      </c>
      <c r="N27" s="13" t="s">
        <v>66</v>
      </c>
      <c r="O27" s="15" t="s">
        <v>108</v>
      </c>
      <c r="P27" s="15" t="s">
        <v>109</v>
      </c>
      <c r="Q27" s="15" t="s">
        <v>154</v>
      </c>
      <c r="R27" s="13" t="s">
        <v>155</v>
      </c>
      <c r="S27" s="13" t="s">
        <v>151</v>
      </c>
      <c r="T27" s="13" t="s">
        <v>135</v>
      </c>
      <c r="U27" s="14">
        <v>45323</v>
      </c>
      <c r="V27" s="14"/>
      <c r="W27" s="15"/>
      <c r="X27" s="13"/>
      <c r="Y27" s="15"/>
      <c r="Z27" s="13"/>
      <c r="AA27" s="15"/>
      <c r="AB27" s="13"/>
      <c r="AC27" s="15"/>
      <c r="AD27" s="13"/>
      <c r="AE27" s="15"/>
    </row>
    <row r="28" spans="1:31" s="22" customFormat="1" ht="43.5" x14ac:dyDescent="0.35">
      <c r="A28" s="19" t="s">
        <v>145</v>
      </c>
      <c r="B28" s="19" t="s">
        <v>55</v>
      </c>
      <c r="C28" s="20">
        <v>45994.438194444447</v>
      </c>
      <c r="D28" s="19" t="s">
        <v>56</v>
      </c>
      <c r="E28" s="21" t="s">
        <v>57</v>
      </c>
      <c r="F28" s="19" t="s">
        <v>58</v>
      </c>
      <c r="G28" s="21" t="s">
        <v>59</v>
      </c>
      <c r="H28" s="19" t="s">
        <v>60</v>
      </c>
      <c r="I28" s="21" t="s">
        <v>61</v>
      </c>
      <c r="J28" s="21" t="s">
        <v>62</v>
      </c>
      <c r="K28" s="21" t="s">
        <v>63</v>
      </c>
      <c r="L28" s="19" t="s">
        <v>64</v>
      </c>
      <c r="M28" s="21" t="s">
        <v>65</v>
      </c>
      <c r="N28" s="19" t="s">
        <v>66</v>
      </c>
      <c r="O28" s="21" t="s">
        <v>67</v>
      </c>
      <c r="P28" s="21" t="s">
        <v>68</v>
      </c>
      <c r="Q28" s="21" t="s">
        <v>156</v>
      </c>
      <c r="R28" s="19" t="s">
        <v>157</v>
      </c>
      <c r="S28" s="19" t="s">
        <v>151</v>
      </c>
      <c r="T28" s="19" t="s">
        <v>72</v>
      </c>
      <c r="U28" s="20">
        <v>45901</v>
      </c>
      <c r="V28" s="20"/>
      <c r="W28" s="21"/>
      <c r="X28" s="19"/>
      <c r="Y28" s="21"/>
      <c r="Z28" s="19"/>
      <c r="AA28" s="21"/>
      <c r="AB28" s="19"/>
      <c r="AC28" s="21"/>
      <c r="AD28" s="19" t="s">
        <v>148</v>
      </c>
      <c r="AE28" s="21"/>
    </row>
    <row r="29" spans="1:31" s="22" customFormat="1" ht="43.5" x14ac:dyDescent="0.35">
      <c r="A29" s="19" t="s">
        <v>145</v>
      </c>
      <c r="B29" s="19" t="s">
        <v>55</v>
      </c>
      <c r="C29" s="20">
        <v>45994.44027777778</v>
      </c>
      <c r="D29" s="19" t="s">
        <v>56</v>
      </c>
      <c r="E29" s="21" t="s">
        <v>57</v>
      </c>
      <c r="F29" s="19" t="s">
        <v>58</v>
      </c>
      <c r="G29" s="21" t="s">
        <v>59</v>
      </c>
      <c r="H29" s="19" t="s">
        <v>60</v>
      </c>
      <c r="I29" s="21" t="s">
        <v>61</v>
      </c>
      <c r="J29" s="21" t="s">
        <v>62</v>
      </c>
      <c r="K29" s="21" t="s">
        <v>63</v>
      </c>
      <c r="L29" s="19" t="s">
        <v>84</v>
      </c>
      <c r="M29" s="21" t="s">
        <v>85</v>
      </c>
      <c r="N29" s="19" t="s">
        <v>66</v>
      </c>
      <c r="O29" s="21" t="s">
        <v>86</v>
      </c>
      <c r="P29" s="21" t="s">
        <v>87</v>
      </c>
      <c r="Q29" s="21" t="s">
        <v>156</v>
      </c>
      <c r="R29" s="19" t="s">
        <v>157</v>
      </c>
      <c r="S29" s="19" t="s">
        <v>151</v>
      </c>
      <c r="T29" s="19" t="s">
        <v>72</v>
      </c>
      <c r="U29" s="20">
        <v>45901</v>
      </c>
      <c r="V29" s="20"/>
      <c r="W29" s="21"/>
      <c r="X29" s="19"/>
      <c r="Y29" s="21"/>
      <c r="Z29" s="19"/>
      <c r="AA29" s="21"/>
      <c r="AB29" s="19"/>
      <c r="AC29" s="21"/>
      <c r="AD29" s="19" t="s">
        <v>148</v>
      </c>
      <c r="AE29" s="21"/>
    </row>
    <row r="30" spans="1:31" s="22" customFormat="1" ht="43.5" x14ac:dyDescent="0.35">
      <c r="A30" s="19" t="s">
        <v>145</v>
      </c>
      <c r="B30" s="19" t="s">
        <v>55</v>
      </c>
      <c r="C30" s="20">
        <v>45994.442361111112</v>
      </c>
      <c r="D30" s="19" t="s">
        <v>56</v>
      </c>
      <c r="E30" s="21" t="s">
        <v>57</v>
      </c>
      <c r="F30" s="19" t="s">
        <v>58</v>
      </c>
      <c r="G30" s="21" t="s">
        <v>59</v>
      </c>
      <c r="H30" s="19" t="s">
        <v>60</v>
      </c>
      <c r="I30" s="21" t="s">
        <v>61</v>
      </c>
      <c r="J30" s="21" t="s">
        <v>62</v>
      </c>
      <c r="K30" s="21" t="s">
        <v>63</v>
      </c>
      <c r="L30" s="19" t="s">
        <v>106</v>
      </c>
      <c r="M30" s="21" t="s">
        <v>107</v>
      </c>
      <c r="N30" s="19" t="s">
        <v>66</v>
      </c>
      <c r="O30" s="21" t="s">
        <v>108</v>
      </c>
      <c r="P30" s="21" t="s">
        <v>109</v>
      </c>
      <c r="Q30" s="21" t="s">
        <v>156</v>
      </c>
      <c r="R30" s="19" t="s">
        <v>157</v>
      </c>
      <c r="S30" s="19" t="s">
        <v>151</v>
      </c>
      <c r="T30" s="19" t="s">
        <v>72</v>
      </c>
      <c r="U30" s="20">
        <v>45901</v>
      </c>
      <c r="V30" s="20"/>
      <c r="W30" s="21"/>
      <c r="X30" s="19"/>
      <c r="Y30" s="21"/>
      <c r="Z30" s="19"/>
      <c r="AA30" s="21"/>
      <c r="AB30" s="19"/>
      <c r="AC30" s="21"/>
      <c r="AD30" s="19" t="s">
        <v>148</v>
      </c>
      <c r="AE30" s="21"/>
    </row>
    <row r="31" spans="1:31" ht="43.5" x14ac:dyDescent="0.35">
      <c r="A31" s="13" t="s">
        <v>54</v>
      </c>
      <c r="B31" s="13" t="s">
        <v>55</v>
      </c>
      <c r="C31" s="14">
        <v>45628.643055555556</v>
      </c>
      <c r="D31" s="13" t="s">
        <v>56</v>
      </c>
      <c r="E31" s="15" t="s">
        <v>57</v>
      </c>
      <c r="F31" s="13" t="s">
        <v>58</v>
      </c>
      <c r="G31" s="15" t="s">
        <v>59</v>
      </c>
      <c r="H31" s="13" t="s">
        <v>60</v>
      </c>
      <c r="I31" s="15" t="s">
        <v>61</v>
      </c>
      <c r="J31" s="15" t="s">
        <v>62</v>
      </c>
      <c r="K31" s="15" t="s">
        <v>63</v>
      </c>
      <c r="L31" s="13" t="s">
        <v>64</v>
      </c>
      <c r="M31" s="15" t="s">
        <v>65</v>
      </c>
      <c r="N31" s="13" t="s">
        <v>66</v>
      </c>
      <c r="O31" s="15" t="s">
        <v>67</v>
      </c>
      <c r="P31" s="15" t="s">
        <v>68</v>
      </c>
      <c r="Q31" s="15" t="s">
        <v>165</v>
      </c>
      <c r="R31" s="13" t="s">
        <v>166</v>
      </c>
      <c r="S31" s="13" t="s">
        <v>151</v>
      </c>
      <c r="T31" s="13" t="s">
        <v>135</v>
      </c>
      <c r="U31" s="14">
        <v>45323</v>
      </c>
      <c r="V31" s="14"/>
      <c r="W31" s="15"/>
      <c r="X31" s="13"/>
      <c r="Y31" s="15"/>
      <c r="Z31" s="13"/>
      <c r="AA31" s="15"/>
      <c r="AB31" s="13"/>
      <c r="AC31" s="15"/>
      <c r="AD31" s="13"/>
      <c r="AE31" s="15"/>
    </row>
    <row r="32" spans="1:31" ht="43.5" x14ac:dyDescent="0.35">
      <c r="A32" s="13" t="s">
        <v>54</v>
      </c>
      <c r="B32" s="13" t="s">
        <v>55</v>
      </c>
      <c r="C32" s="14">
        <v>45628.647916666669</v>
      </c>
      <c r="D32" s="13" t="s">
        <v>56</v>
      </c>
      <c r="E32" s="15" t="s">
        <v>57</v>
      </c>
      <c r="F32" s="13" t="s">
        <v>58</v>
      </c>
      <c r="G32" s="15" t="s">
        <v>59</v>
      </c>
      <c r="H32" s="13" t="s">
        <v>60</v>
      </c>
      <c r="I32" s="15" t="s">
        <v>61</v>
      </c>
      <c r="J32" s="15" t="s">
        <v>62</v>
      </c>
      <c r="K32" s="15" t="s">
        <v>63</v>
      </c>
      <c r="L32" s="13" t="s">
        <v>84</v>
      </c>
      <c r="M32" s="15" t="s">
        <v>85</v>
      </c>
      <c r="N32" s="13" t="s">
        <v>66</v>
      </c>
      <c r="O32" s="15" t="s">
        <v>86</v>
      </c>
      <c r="P32" s="15" t="s">
        <v>87</v>
      </c>
      <c r="Q32" s="15" t="s">
        <v>165</v>
      </c>
      <c r="R32" s="13" t="s">
        <v>166</v>
      </c>
      <c r="S32" s="13" t="s">
        <v>151</v>
      </c>
      <c r="T32" s="13" t="s">
        <v>135</v>
      </c>
      <c r="U32" s="14">
        <v>45323</v>
      </c>
      <c r="V32" s="14"/>
      <c r="W32" s="15"/>
      <c r="X32" s="13"/>
      <c r="Y32" s="15"/>
      <c r="Z32" s="13"/>
      <c r="AA32" s="15"/>
      <c r="AB32" s="13"/>
      <c r="AC32" s="15"/>
      <c r="AD32" s="13"/>
      <c r="AE32" s="15"/>
    </row>
    <row r="33" spans="1:31" ht="43.5" x14ac:dyDescent="0.35">
      <c r="A33" s="13" t="s">
        <v>54</v>
      </c>
      <c r="B33" s="13" t="s">
        <v>55</v>
      </c>
      <c r="C33" s="14">
        <v>45628.662499999999</v>
      </c>
      <c r="D33" s="13" t="s">
        <v>56</v>
      </c>
      <c r="E33" s="15" t="s">
        <v>57</v>
      </c>
      <c r="F33" s="13" t="s">
        <v>58</v>
      </c>
      <c r="G33" s="15" t="s">
        <v>59</v>
      </c>
      <c r="H33" s="13" t="s">
        <v>60</v>
      </c>
      <c r="I33" s="15" t="s">
        <v>61</v>
      </c>
      <c r="J33" s="15" t="s">
        <v>62</v>
      </c>
      <c r="K33" s="15" t="s">
        <v>63</v>
      </c>
      <c r="L33" s="13" t="s">
        <v>106</v>
      </c>
      <c r="M33" s="15" t="s">
        <v>107</v>
      </c>
      <c r="N33" s="13" t="s">
        <v>66</v>
      </c>
      <c r="O33" s="15" t="s">
        <v>108</v>
      </c>
      <c r="P33" s="15" t="s">
        <v>109</v>
      </c>
      <c r="Q33" s="15" t="s">
        <v>165</v>
      </c>
      <c r="R33" s="13" t="s">
        <v>166</v>
      </c>
      <c r="S33" s="13" t="s">
        <v>151</v>
      </c>
      <c r="T33" s="13" t="s">
        <v>135</v>
      </c>
      <c r="U33" s="14">
        <v>45323</v>
      </c>
      <c r="V33" s="14"/>
      <c r="W33" s="15"/>
      <c r="X33" s="13"/>
      <c r="Y33" s="15"/>
      <c r="Z33" s="13"/>
      <c r="AA33" s="15"/>
      <c r="AB33" s="13"/>
      <c r="AC33" s="15"/>
      <c r="AD33" s="13"/>
      <c r="AE33" s="15"/>
    </row>
    <row r="34" spans="1:31" ht="43.5" x14ac:dyDescent="0.35">
      <c r="A34" s="13" t="s">
        <v>54</v>
      </c>
      <c r="B34" s="13" t="s">
        <v>55</v>
      </c>
      <c r="C34" s="14">
        <v>45628.643055555556</v>
      </c>
      <c r="D34" s="13" t="s">
        <v>56</v>
      </c>
      <c r="E34" s="15" t="s">
        <v>57</v>
      </c>
      <c r="F34" s="13" t="s">
        <v>58</v>
      </c>
      <c r="G34" s="15" t="s">
        <v>59</v>
      </c>
      <c r="H34" s="13" t="s">
        <v>60</v>
      </c>
      <c r="I34" s="15" t="s">
        <v>61</v>
      </c>
      <c r="J34" s="15" t="s">
        <v>62</v>
      </c>
      <c r="K34" s="15" t="s">
        <v>63</v>
      </c>
      <c r="L34" s="13" t="s">
        <v>64</v>
      </c>
      <c r="M34" s="15" t="s">
        <v>65</v>
      </c>
      <c r="N34" s="13" t="s">
        <v>66</v>
      </c>
      <c r="O34" s="15" t="s">
        <v>67</v>
      </c>
      <c r="P34" s="15" t="s">
        <v>68</v>
      </c>
      <c r="Q34" s="15" t="s">
        <v>167</v>
      </c>
      <c r="R34" s="13" t="s">
        <v>168</v>
      </c>
      <c r="S34" s="13" t="s">
        <v>151</v>
      </c>
      <c r="T34" s="13" t="s">
        <v>135</v>
      </c>
      <c r="U34" s="14">
        <v>45323</v>
      </c>
      <c r="V34" s="14"/>
      <c r="W34" s="15"/>
      <c r="X34" s="13"/>
      <c r="Y34" s="15"/>
      <c r="Z34" s="13"/>
      <c r="AA34" s="15"/>
      <c r="AB34" s="13"/>
      <c r="AC34" s="15"/>
      <c r="AD34" s="13"/>
      <c r="AE34" s="15"/>
    </row>
    <row r="35" spans="1:31" ht="43.5" x14ac:dyDescent="0.35">
      <c r="A35" s="13" t="s">
        <v>54</v>
      </c>
      <c r="B35" s="13" t="s">
        <v>55</v>
      </c>
      <c r="C35" s="14">
        <v>45628.648611111108</v>
      </c>
      <c r="D35" s="13" t="s">
        <v>56</v>
      </c>
      <c r="E35" s="15" t="s">
        <v>57</v>
      </c>
      <c r="F35" s="13" t="s">
        <v>58</v>
      </c>
      <c r="G35" s="15" t="s">
        <v>59</v>
      </c>
      <c r="H35" s="13" t="s">
        <v>60</v>
      </c>
      <c r="I35" s="15" t="s">
        <v>61</v>
      </c>
      <c r="J35" s="15" t="s">
        <v>62</v>
      </c>
      <c r="K35" s="15" t="s">
        <v>63</v>
      </c>
      <c r="L35" s="13" t="s">
        <v>84</v>
      </c>
      <c r="M35" s="15" t="s">
        <v>85</v>
      </c>
      <c r="N35" s="13" t="s">
        <v>66</v>
      </c>
      <c r="O35" s="15" t="s">
        <v>86</v>
      </c>
      <c r="P35" s="15" t="s">
        <v>87</v>
      </c>
      <c r="Q35" s="15" t="s">
        <v>167</v>
      </c>
      <c r="R35" s="13" t="s">
        <v>168</v>
      </c>
      <c r="S35" s="13" t="s">
        <v>151</v>
      </c>
      <c r="T35" s="13" t="s">
        <v>135</v>
      </c>
      <c r="U35" s="14">
        <v>45323</v>
      </c>
      <c r="V35" s="14"/>
      <c r="W35" s="15"/>
      <c r="X35" s="13"/>
      <c r="Y35" s="15"/>
      <c r="Z35" s="13"/>
      <c r="AA35" s="15"/>
      <c r="AB35" s="13"/>
      <c r="AC35" s="15"/>
      <c r="AD35" s="13"/>
      <c r="AE35" s="15"/>
    </row>
    <row r="36" spans="1:31" ht="43.5" x14ac:dyDescent="0.35">
      <c r="A36" s="13" t="s">
        <v>54</v>
      </c>
      <c r="B36" s="13" t="s">
        <v>55</v>
      </c>
      <c r="C36" s="14">
        <v>45628.663194444445</v>
      </c>
      <c r="D36" s="13" t="s">
        <v>56</v>
      </c>
      <c r="E36" s="15" t="s">
        <v>57</v>
      </c>
      <c r="F36" s="13" t="s">
        <v>58</v>
      </c>
      <c r="G36" s="15" t="s">
        <v>59</v>
      </c>
      <c r="H36" s="13" t="s">
        <v>60</v>
      </c>
      <c r="I36" s="15" t="s">
        <v>61</v>
      </c>
      <c r="J36" s="15" t="s">
        <v>62</v>
      </c>
      <c r="K36" s="15" t="s">
        <v>63</v>
      </c>
      <c r="L36" s="13" t="s">
        <v>106</v>
      </c>
      <c r="M36" s="15" t="s">
        <v>107</v>
      </c>
      <c r="N36" s="13" t="s">
        <v>66</v>
      </c>
      <c r="O36" s="15" t="s">
        <v>108</v>
      </c>
      <c r="P36" s="15" t="s">
        <v>109</v>
      </c>
      <c r="Q36" s="15" t="s">
        <v>167</v>
      </c>
      <c r="R36" s="13" t="s">
        <v>168</v>
      </c>
      <c r="S36" s="13" t="s">
        <v>151</v>
      </c>
      <c r="T36" s="13" t="s">
        <v>135</v>
      </c>
      <c r="U36" s="14">
        <v>45323</v>
      </c>
      <c r="V36" s="14"/>
      <c r="W36" s="15"/>
      <c r="X36" s="13"/>
      <c r="Y36" s="15"/>
      <c r="Z36" s="13"/>
      <c r="AA36" s="15"/>
      <c r="AB36" s="13"/>
      <c r="AC36" s="15"/>
      <c r="AD36" s="13"/>
      <c r="AE36" s="15"/>
    </row>
    <row r="37" spans="1:31" s="22" customFormat="1" ht="43.5" x14ac:dyDescent="0.35">
      <c r="A37" s="19" t="s">
        <v>145</v>
      </c>
      <c r="B37" s="19" t="s">
        <v>55</v>
      </c>
      <c r="C37" s="20">
        <v>45994.445833333331</v>
      </c>
      <c r="D37" s="19" t="s">
        <v>56</v>
      </c>
      <c r="E37" s="21" t="s">
        <v>57</v>
      </c>
      <c r="F37" s="19" t="s">
        <v>58</v>
      </c>
      <c r="G37" s="21" t="s">
        <v>59</v>
      </c>
      <c r="H37" s="19" t="s">
        <v>60</v>
      </c>
      <c r="I37" s="21" t="s">
        <v>61</v>
      </c>
      <c r="J37" s="21" t="s">
        <v>62</v>
      </c>
      <c r="K37" s="21" t="s">
        <v>63</v>
      </c>
      <c r="L37" s="19" t="s">
        <v>64</v>
      </c>
      <c r="M37" s="21" t="s">
        <v>65</v>
      </c>
      <c r="N37" s="19" t="s">
        <v>66</v>
      </c>
      <c r="O37" s="21" t="s">
        <v>67</v>
      </c>
      <c r="P37" s="21" t="s">
        <v>68</v>
      </c>
      <c r="Q37" s="21" t="s">
        <v>169</v>
      </c>
      <c r="R37" s="19" t="s">
        <v>170</v>
      </c>
      <c r="S37" s="19" t="s">
        <v>151</v>
      </c>
      <c r="T37" s="19" t="s">
        <v>135</v>
      </c>
      <c r="U37" s="20">
        <v>45901</v>
      </c>
      <c r="V37" s="20"/>
      <c r="W37" s="21"/>
      <c r="X37" s="19"/>
      <c r="Y37" s="21"/>
      <c r="Z37" s="19"/>
      <c r="AA37" s="21"/>
      <c r="AB37" s="19"/>
      <c r="AC37" s="21"/>
      <c r="AD37" s="19" t="s">
        <v>148</v>
      </c>
      <c r="AE37" s="21"/>
    </row>
    <row r="38" spans="1:31" s="22" customFormat="1" ht="43.5" x14ac:dyDescent="0.35">
      <c r="A38" s="19" t="s">
        <v>145</v>
      </c>
      <c r="B38" s="19" t="s">
        <v>55</v>
      </c>
      <c r="C38" s="20">
        <v>45994.649305555555</v>
      </c>
      <c r="D38" s="19" t="s">
        <v>56</v>
      </c>
      <c r="E38" s="21" t="s">
        <v>57</v>
      </c>
      <c r="F38" s="19" t="s">
        <v>58</v>
      </c>
      <c r="G38" s="21" t="s">
        <v>59</v>
      </c>
      <c r="H38" s="19" t="s">
        <v>60</v>
      </c>
      <c r="I38" s="21" t="s">
        <v>61</v>
      </c>
      <c r="J38" s="21" t="s">
        <v>62</v>
      </c>
      <c r="K38" s="21" t="s">
        <v>63</v>
      </c>
      <c r="L38" s="19" t="s">
        <v>84</v>
      </c>
      <c r="M38" s="21" t="s">
        <v>85</v>
      </c>
      <c r="N38" s="19" t="s">
        <v>66</v>
      </c>
      <c r="O38" s="21" t="s">
        <v>86</v>
      </c>
      <c r="P38" s="21" t="s">
        <v>87</v>
      </c>
      <c r="Q38" s="21" t="s">
        <v>169</v>
      </c>
      <c r="R38" s="19" t="s">
        <v>170</v>
      </c>
      <c r="S38" s="19" t="s">
        <v>151</v>
      </c>
      <c r="T38" s="19" t="s">
        <v>135</v>
      </c>
      <c r="U38" s="20">
        <v>45901</v>
      </c>
      <c r="V38" s="20"/>
      <c r="W38" s="21"/>
      <c r="X38" s="19"/>
      <c r="Y38" s="21"/>
      <c r="Z38" s="19"/>
      <c r="AA38" s="21"/>
      <c r="AB38" s="19"/>
      <c r="AC38" s="21"/>
      <c r="AD38" s="19" t="s">
        <v>148</v>
      </c>
      <c r="AE38" s="21"/>
    </row>
    <row r="39" spans="1:31" s="22" customFormat="1" ht="43.5" x14ac:dyDescent="0.35">
      <c r="A39" s="19" t="s">
        <v>145</v>
      </c>
      <c r="B39" s="19" t="s">
        <v>55</v>
      </c>
      <c r="C39" s="20">
        <v>45994.650694444441</v>
      </c>
      <c r="D39" s="19" t="s">
        <v>56</v>
      </c>
      <c r="E39" s="21" t="s">
        <v>57</v>
      </c>
      <c r="F39" s="19" t="s">
        <v>58</v>
      </c>
      <c r="G39" s="21" t="s">
        <v>59</v>
      </c>
      <c r="H39" s="19" t="s">
        <v>60</v>
      </c>
      <c r="I39" s="21" t="s">
        <v>61</v>
      </c>
      <c r="J39" s="21" t="s">
        <v>62</v>
      </c>
      <c r="K39" s="21" t="s">
        <v>63</v>
      </c>
      <c r="L39" s="19" t="s">
        <v>106</v>
      </c>
      <c r="M39" s="21" t="s">
        <v>107</v>
      </c>
      <c r="N39" s="19" t="s">
        <v>66</v>
      </c>
      <c r="O39" s="21" t="s">
        <v>108</v>
      </c>
      <c r="P39" s="21" t="s">
        <v>109</v>
      </c>
      <c r="Q39" s="21" t="s">
        <v>169</v>
      </c>
      <c r="R39" s="19" t="s">
        <v>170</v>
      </c>
      <c r="S39" s="19" t="s">
        <v>151</v>
      </c>
      <c r="T39" s="19" t="s">
        <v>135</v>
      </c>
      <c r="U39" s="20">
        <v>45901</v>
      </c>
      <c r="V39" s="20"/>
      <c r="W39" s="21"/>
      <c r="X39" s="19"/>
      <c r="Y39" s="21"/>
      <c r="Z39" s="19"/>
      <c r="AA39" s="21"/>
      <c r="AB39" s="19"/>
      <c r="AC39" s="21"/>
      <c r="AD39" s="19" t="s">
        <v>148</v>
      </c>
      <c r="AE39" s="21"/>
    </row>
    <row r="40" spans="1:31" ht="87" x14ac:dyDescent="0.35">
      <c r="A40" s="13" t="s">
        <v>54</v>
      </c>
      <c r="B40" s="13" t="s">
        <v>55</v>
      </c>
      <c r="C40" s="14">
        <v>45628.664583333331</v>
      </c>
      <c r="D40" s="13" t="s">
        <v>56</v>
      </c>
      <c r="E40" s="15" t="s">
        <v>57</v>
      </c>
      <c r="F40" s="13" t="s">
        <v>58</v>
      </c>
      <c r="G40" s="15" t="s">
        <v>59</v>
      </c>
      <c r="H40" s="13" t="s">
        <v>171</v>
      </c>
      <c r="I40" s="15" t="s">
        <v>172</v>
      </c>
      <c r="J40" s="15" t="s">
        <v>173</v>
      </c>
      <c r="K40" s="15" t="s">
        <v>174</v>
      </c>
      <c r="L40" s="13" t="s">
        <v>175</v>
      </c>
      <c r="M40" s="15" t="s">
        <v>176</v>
      </c>
      <c r="N40" s="13" t="s">
        <v>66</v>
      </c>
      <c r="O40" s="15" t="s">
        <v>177</v>
      </c>
      <c r="P40" s="15" t="s">
        <v>178</v>
      </c>
      <c r="Q40" s="15" t="s">
        <v>69</v>
      </c>
      <c r="R40" s="13" t="s">
        <v>70</v>
      </c>
      <c r="S40" s="13" t="s">
        <v>71</v>
      </c>
      <c r="T40" s="13" t="s">
        <v>72</v>
      </c>
      <c r="U40" s="14">
        <v>45323</v>
      </c>
      <c r="V40" s="14"/>
      <c r="W40" s="15" t="s">
        <v>224</v>
      </c>
      <c r="X40" s="13" t="s">
        <v>218</v>
      </c>
      <c r="Y40" s="15" t="str">
        <f>VLOOKUP(X40,'Axe 2 Règles de gestion'!$D$2:$F$43,3, FALSE)</f>
        <v>Rémunération : En cas d'indemnisation, le montant versé est un montant forfaitaire qui dépend de la catégorie statutaire d'appartenance de l'agent.</v>
      </c>
      <c r="Z40" s="13" t="s">
        <v>222</v>
      </c>
      <c r="AA40" s="15" t="str">
        <f>VLOOKUP(Z40,'Axe 2 Règles de gestion'!$D$2:$F$43,3, FALSE)</f>
        <v>Congés annuels : L'agent conserve son droit à congé annuel.</v>
      </c>
      <c r="AB40" s="13"/>
      <c r="AC40" s="15"/>
      <c r="AD40" s="13"/>
      <c r="AE40" s="15"/>
    </row>
    <row r="41" spans="1:31" ht="43.5" x14ac:dyDescent="0.35">
      <c r="A41" s="13" t="s">
        <v>54</v>
      </c>
      <c r="B41" s="13" t="s">
        <v>55</v>
      </c>
      <c r="C41" s="14">
        <v>45628.665277777778</v>
      </c>
      <c r="D41" s="13" t="s">
        <v>56</v>
      </c>
      <c r="E41" s="15" t="s">
        <v>57</v>
      </c>
      <c r="F41" s="13" t="s">
        <v>58</v>
      </c>
      <c r="G41" s="15" t="s">
        <v>59</v>
      </c>
      <c r="H41" s="13" t="s">
        <v>171</v>
      </c>
      <c r="I41" s="15" t="s">
        <v>172</v>
      </c>
      <c r="J41" s="15" t="s">
        <v>173</v>
      </c>
      <c r="K41" s="15" t="s">
        <v>174</v>
      </c>
      <c r="L41" s="13" t="s">
        <v>175</v>
      </c>
      <c r="M41" s="15" t="s">
        <v>176</v>
      </c>
      <c r="N41" s="13" t="s">
        <v>66</v>
      </c>
      <c r="O41" s="15" t="s">
        <v>177</v>
      </c>
      <c r="P41" s="15" t="s">
        <v>178</v>
      </c>
      <c r="Q41" s="15" t="s">
        <v>133</v>
      </c>
      <c r="R41" s="13" t="s">
        <v>134</v>
      </c>
      <c r="S41" s="13" t="s">
        <v>71</v>
      </c>
      <c r="T41" s="13" t="s">
        <v>135</v>
      </c>
      <c r="U41" s="14">
        <v>45323</v>
      </c>
      <c r="V41" s="14"/>
      <c r="W41" s="15"/>
      <c r="X41" s="13"/>
      <c r="Y41" s="15"/>
      <c r="Z41" s="13"/>
      <c r="AA41" s="15"/>
      <c r="AB41" s="13"/>
      <c r="AC41" s="15"/>
      <c r="AD41" s="13"/>
      <c r="AE41" s="15"/>
    </row>
    <row r="42" spans="1:31" s="22" customFormat="1" ht="87" x14ac:dyDescent="0.35">
      <c r="A42" s="19" t="s">
        <v>145</v>
      </c>
      <c r="B42" s="19" t="s">
        <v>186</v>
      </c>
      <c r="C42" s="20">
        <v>45994.658333333333</v>
      </c>
      <c r="D42" s="19" t="s">
        <v>56</v>
      </c>
      <c r="E42" s="21" t="s">
        <v>57</v>
      </c>
      <c r="F42" s="19" t="s">
        <v>58</v>
      </c>
      <c r="G42" s="21" t="s">
        <v>59</v>
      </c>
      <c r="H42" s="19" t="s">
        <v>171</v>
      </c>
      <c r="I42" s="21" t="s">
        <v>172</v>
      </c>
      <c r="J42" s="21" t="s">
        <v>173</v>
      </c>
      <c r="K42" s="21" t="s">
        <v>174</v>
      </c>
      <c r="L42" s="19" t="s">
        <v>175</v>
      </c>
      <c r="M42" s="21" t="s">
        <v>176</v>
      </c>
      <c r="N42" s="19" t="s">
        <v>66</v>
      </c>
      <c r="O42" s="21" t="s">
        <v>177</v>
      </c>
      <c r="P42" s="21" t="s">
        <v>178</v>
      </c>
      <c r="Q42" s="21" t="s">
        <v>136</v>
      </c>
      <c r="R42" s="19" t="s">
        <v>137</v>
      </c>
      <c r="S42" s="19" t="s">
        <v>71</v>
      </c>
      <c r="T42" s="19" t="s">
        <v>72</v>
      </c>
      <c r="U42" s="20">
        <v>45323</v>
      </c>
      <c r="V42" s="20"/>
      <c r="W42" s="21" t="s">
        <v>224</v>
      </c>
      <c r="X42" s="19" t="s">
        <v>218</v>
      </c>
      <c r="Y42" s="21" t="str">
        <f>VLOOKUP(X42,'Axe 2 Règles de gestion'!$D$2:$F$43,3, FALSE)</f>
        <v>Rémunération : En cas d'indemnisation, le montant versé est un montant forfaitaire qui dépend de la catégorie statutaire d'appartenance de l'agent.</v>
      </c>
      <c r="Z42" s="19" t="s">
        <v>222</v>
      </c>
      <c r="AA42" s="21" t="str">
        <f>VLOOKUP(Z42,'Axe 2 Règles de gestion'!$D$2:$F$43,3, FALSE)</f>
        <v>Congés annuels : L'agent conserve son droit à congé annuel.</v>
      </c>
      <c r="AB42" s="19"/>
      <c r="AC42" s="21"/>
      <c r="AD42" s="19" t="s">
        <v>148</v>
      </c>
      <c r="AE42" s="21"/>
    </row>
    <row r="43" spans="1:31" ht="43.5" x14ac:dyDescent="0.35">
      <c r="A43" s="13" t="s">
        <v>54</v>
      </c>
      <c r="B43" s="13" t="s">
        <v>55</v>
      </c>
      <c r="C43" s="14">
        <v>45628.665972222225</v>
      </c>
      <c r="D43" s="13" t="s">
        <v>56</v>
      </c>
      <c r="E43" s="15" t="s">
        <v>57</v>
      </c>
      <c r="F43" s="13" t="s">
        <v>58</v>
      </c>
      <c r="G43" s="15" t="s">
        <v>59</v>
      </c>
      <c r="H43" s="13" t="s">
        <v>171</v>
      </c>
      <c r="I43" s="15" t="s">
        <v>172</v>
      </c>
      <c r="J43" s="15" t="s">
        <v>173</v>
      </c>
      <c r="K43" s="15" t="s">
        <v>174</v>
      </c>
      <c r="L43" s="13" t="s">
        <v>175</v>
      </c>
      <c r="M43" s="15" t="s">
        <v>176</v>
      </c>
      <c r="N43" s="13" t="s">
        <v>66</v>
      </c>
      <c r="O43" s="15" t="s">
        <v>177</v>
      </c>
      <c r="P43" s="15" t="s">
        <v>178</v>
      </c>
      <c r="Q43" s="15" t="s">
        <v>143</v>
      </c>
      <c r="R43" s="13" t="s">
        <v>144</v>
      </c>
      <c r="S43" s="13" t="s">
        <v>71</v>
      </c>
      <c r="T43" s="13" t="s">
        <v>135</v>
      </c>
      <c r="U43" s="14">
        <v>45323</v>
      </c>
      <c r="V43" s="14"/>
      <c r="W43" s="15"/>
      <c r="X43" s="13"/>
      <c r="Y43" s="15"/>
      <c r="Z43" s="13"/>
      <c r="AA43" s="15"/>
      <c r="AB43" s="13"/>
      <c r="AC43" s="15"/>
      <c r="AD43" s="13"/>
      <c r="AE43" s="15"/>
    </row>
    <row r="44" spans="1:31" s="22" customFormat="1" ht="43.5" x14ac:dyDescent="0.35">
      <c r="A44" s="19" t="s">
        <v>145</v>
      </c>
      <c r="B44" s="19" t="s">
        <v>55</v>
      </c>
      <c r="C44" s="20">
        <v>45994.652777777781</v>
      </c>
      <c r="D44" s="19" t="s">
        <v>56</v>
      </c>
      <c r="E44" s="21" t="s">
        <v>57</v>
      </c>
      <c r="F44" s="19" t="s">
        <v>58</v>
      </c>
      <c r="G44" s="21" t="s">
        <v>59</v>
      </c>
      <c r="H44" s="19" t="s">
        <v>171</v>
      </c>
      <c r="I44" s="21" t="s">
        <v>172</v>
      </c>
      <c r="J44" s="21" t="s">
        <v>173</v>
      </c>
      <c r="K44" s="21" t="s">
        <v>174</v>
      </c>
      <c r="L44" s="19" t="s">
        <v>175</v>
      </c>
      <c r="M44" s="21" t="s">
        <v>176</v>
      </c>
      <c r="N44" s="19" t="s">
        <v>66</v>
      </c>
      <c r="O44" s="21" t="s">
        <v>177</v>
      </c>
      <c r="P44" s="21" t="s">
        <v>178</v>
      </c>
      <c r="Q44" s="21" t="s">
        <v>146</v>
      </c>
      <c r="R44" s="19" t="s">
        <v>147</v>
      </c>
      <c r="S44" s="19" t="s">
        <v>71</v>
      </c>
      <c r="T44" s="19" t="s">
        <v>72</v>
      </c>
      <c r="U44" s="20">
        <v>45901</v>
      </c>
      <c r="V44" s="20"/>
      <c r="W44" s="21"/>
      <c r="X44" s="19"/>
      <c r="Y44" s="21"/>
      <c r="Z44" s="19"/>
      <c r="AA44" s="21"/>
      <c r="AB44" s="19"/>
      <c r="AC44" s="21"/>
      <c r="AD44" s="19" t="s">
        <v>148</v>
      </c>
      <c r="AE44" s="21"/>
    </row>
    <row r="45" spans="1:31" ht="43.5" x14ac:dyDescent="0.35">
      <c r="A45" s="13" t="s">
        <v>54</v>
      </c>
      <c r="B45" s="13" t="s">
        <v>55</v>
      </c>
      <c r="C45" s="14">
        <v>45628.665972222225</v>
      </c>
      <c r="D45" s="13" t="s">
        <v>56</v>
      </c>
      <c r="E45" s="15" t="s">
        <v>57</v>
      </c>
      <c r="F45" s="13" t="s">
        <v>58</v>
      </c>
      <c r="G45" s="15" t="s">
        <v>59</v>
      </c>
      <c r="H45" s="13" t="s">
        <v>171</v>
      </c>
      <c r="I45" s="15" t="s">
        <v>172</v>
      </c>
      <c r="J45" s="15" t="s">
        <v>173</v>
      </c>
      <c r="K45" s="15" t="s">
        <v>174</v>
      </c>
      <c r="L45" s="13" t="s">
        <v>175</v>
      </c>
      <c r="M45" s="15" t="s">
        <v>176</v>
      </c>
      <c r="N45" s="13" t="s">
        <v>66</v>
      </c>
      <c r="O45" s="15" t="s">
        <v>177</v>
      </c>
      <c r="P45" s="15" t="s">
        <v>178</v>
      </c>
      <c r="Q45" s="15" t="s">
        <v>149</v>
      </c>
      <c r="R45" s="13" t="s">
        <v>150</v>
      </c>
      <c r="S45" s="13" t="s">
        <v>151</v>
      </c>
      <c r="T45" s="13" t="s">
        <v>135</v>
      </c>
      <c r="U45" s="14">
        <v>45323</v>
      </c>
      <c r="V45" s="14"/>
      <c r="W45" s="15"/>
      <c r="X45" s="13"/>
      <c r="Y45" s="15"/>
      <c r="Z45" s="13"/>
      <c r="AA45" s="15"/>
      <c r="AB45" s="13"/>
      <c r="AC45" s="15"/>
      <c r="AD45" s="13"/>
      <c r="AE45" s="15"/>
    </row>
    <row r="46" spans="1:31" ht="43.5" x14ac:dyDescent="0.35">
      <c r="A46" s="13" t="s">
        <v>54</v>
      </c>
      <c r="B46" s="13" t="s">
        <v>55</v>
      </c>
      <c r="C46" s="14">
        <v>45628.666666666664</v>
      </c>
      <c r="D46" s="13" t="s">
        <v>56</v>
      </c>
      <c r="E46" s="15" t="s">
        <v>57</v>
      </c>
      <c r="F46" s="13" t="s">
        <v>58</v>
      </c>
      <c r="G46" s="15" t="s">
        <v>59</v>
      </c>
      <c r="H46" s="13" t="s">
        <v>171</v>
      </c>
      <c r="I46" s="15" t="s">
        <v>172</v>
      </c>
      <c r="J46" s="15" t="s">
        <v>173</v>
      </c>
      <c r="K46" s="15" t="s">
        <v>174</v>
      </c>
      <c r="L46" s="13" t="s">
        <v>175</v>
      </c>
      <c r="M46" s="15" t="s">
        <v>176</v>
      </c>
      <c r="N46" s="13" t="s">
        <v>66</v>
      </c>
      <c r="O46" s="15" t="s">
        <v>177</v>
      </c>
      <c r="P46" s="15" t="s">
        <v>178</v>
      </c>
      <c r="Q46" s="15" t="s">
        <v>152</v>
      </c>
      <c r="R46" s="13" t="s">
        <v>153</v>
      </c>
      <c r="S46" s="13" t="s">
        <v>151</v>
      </c>
      <c r="T46" s="13" t="s">
        <v>135</v>
      </c>
      <c r="U46" s="14">
        <v>45323</v>
      </c>
      <c r="V46" s="14"/>
      <c r="W46" s="15"/>
      <c r="X46" s="13"/>
      <c r="Y46" s="15"/>
      <c r="Z46" s="13"/>
      <c r="AA46" s="15"/>
      <c r="AB46" s="13"/>
      <c r="AC46" s="15"/>
      <c r="AD46" s="13"/>
      <c r="AE46" s="15"/>
    </row>
    <row r="47" spans="1:31" ht="43.5" x14ac:dyDescent="0.35">
      <c r="A47" s="13" t="s">
        <v>54</v>
      </c>
      <c r="B47" s="13" t="s">
        <v>55</v>
      </c>
      <c r="C47" s="14">
        <v>45628.666666666664</v>
      </c>
      <c r="D47" s="13" t="s">
        <v>56</v>
      </c>
      <c r="E47" s="15" t="s">
        <v>57</v>
      </c>
      <c r="F47" s="13" t="s">
        <v>58</v>
      </c>
      <c r="G47" s="15" t="s">
        <v>59</v>
      </c>
      <c r="H47" s="13" t="s">
        <v>171</v>
      </c>
      <c r="I47" s="15" t="s">
        <v>172</v>
      </c>
      <c r="J47" s="15" t="s">
        <v>173</v>
      </c>
      <c r="K47" s="15" t="s">
        <v>174</v>
      </c>
      <c r="L47" s="13" t="s">
        <v>175</v>
      </c>
      <c r="M47" s="15" t="s">
        <v>176</v>
      </c>
      <c r="N47" s="13" t="s">
        <v>66</v>
      </c>
      <c r="O47" s="15" t="s">
        <v>177</v>
      </c>
      <c r="P47" s="15" t="s">
        <v>178</v>
      </c>
      <c r="Q47" s="15" t="s">
        <v>154</v>
      </c>
      <c r="R47" s="13" t="s">
        <v>155</v>
      </c>
      <c r="S47" s="13" t="s">
        <v>151</v>
      </c>
      <c r="T47" s="13" t="s">
        <v>135</v>
      </c>
      <c r="U47" s="14">
        <v>45323</v>
      </c>
      <c r="V47" s="14"/>
      <c r="W47" s="15"/>
      <c r="X47" s="13"/>
      <c r="Y47" s="15"/>
      <c r="Z47" s="13"/>
      <c r="AA47" s="15"/>
      <c r="AB47" s="13"/>
      <c r="AC47" s="15"/>
      <c r="AD47" s="13"/>
      <c r="AE47" s="15"/>
    </row>
    <row r="48" spans="1:31" s="22" customFormat="1" ht="43.5" x14ac:dyDescent="0.35">
      <c r="A48" s="19" t="s">
        <v>145</v>
      </c>
      <c r="B48" s="19" t="s">
        <v>55</v>
      </c>
      <c r="C48" s="20">
        <v>45994.443055555559</v>
      </c>
      <c r="D48" s="19" t="s">
        <v>56</v>
      </c>
      <c r="E48" s="21" t="s">
        <v>57</v>
      </c>
      <c r="F48" s="19" t="s">
        <v>58</v>
      </c>
      <c r="G48" s="21" t="s">
        <v>59</v>
      </c>
      <c r="H48" s="19" t="s">
        <v>171</v>
      </c>
      <c r="I48" s="21" t="s">
        <v>172</v>
      </c>
      <c r="J48" s="21" t="s">
        <v>173</v>
      </c>
      <c r="K48" s="21" t="s">
        <v>174</v>
      </c>
      <c r="L48" s="19" t="s">
        <v>175</v>
      </c>
      <c r="M48" s="21" t="s">
        <v>176</v>
      </c>
      <c r="N48" s="19" t="s">
        <v>66</v>
      </c>
      <c r="O48" s="21" t="s">
        <v>177</v>
      </c>
      <c r="P48" s="21" t="s">
        <v>178</v>
      </c>
      <c r="Q48" s="21" t="s">
        <v>156</v>
      </c>
      <c r="R48" s="19" t="s">
        <v>157</v>
      </c>
      <c r="S48" s="19" t="s">
        <v>151</v>
      </c>
      <c r="T48" s="19" t="s">
        <v>72</v>
      </c>
      <c r="U48" s="20">
        <v>45901</v>
      </c>
      <c r="V48" s="20"/>
      <c r="W48" s="21"/>
      <c r="X48" s="19"/>
      <c r="Y48" s="21"/>
      <c r="Z48" s="19"/>
      <c r="AA48" s="21"/>
      <c r="AB48" s="19"/>
      <c r="AC48" s="21"/>
      <c r="AD48" s="19" t="s">
        <v>148</v>
      </c>
      <c r="AE48" s="21"/>
    </row>
    <row r="49" spans="1:31" ht="43.5" x14ac:dyDescent="0.35">
      <c r="A49" s="13" t="s">
        <v>54</v>
      </c>
      <c r="B49" s="13" t="s">
        <v>55</v>
      </c>
      <c r="C49" s="14">
        <v>45628.667361111111</v>
      </c>
      <c r="D49" s="13" t="s">
        <v>56</v>
      </c>
      <c r="E49" s="15" t="s">
        <v>57</v>
      </c>
      <c r="F49" s="13" t="s">
        <v>58</v>
      </c>
      <c r="G49" s="15" t="s">
        <v>59</v>
      </c>
      <c r="H49" s="13" t="s">
        <v>171</v>
      </c>
      <c r="I49" s="15" t="s">
        <v>172</v>
      </c>
      <c r="J49" s="15" t="s">
        <v>173</v>
      </c>
      <c r="K49" s="15" t="s">
        <v>174</v>
      </c>
      <c r="L49" s="13" t="s">
        <v>175</v>
      </c>
      <c r="M49" s="15" t="s">
        <v>176</v>
      </c>
      <c r="N49" s="13" t="s">
        <v>66</v>
      </c>
      <c r="O49" s="15" t="s">
        <v>177</v>
      </c>
      <c r="P49" s="15" t="s">
        <v>178</v>
      </c>
      <c r="Q49" s="15" t="s">
        <v>165</v>
      </c>
      <c r="R49" s="13" t="s">
        <v>166</v>
      </c>
      <c r="S49" s="13" t="s">
        <v>151</v>
      </c>
      <c r="T49" s="13" t="s">
        <v>135</v>
      </c>
      <c r="U49" s="14">
        <v>45323</v>
      </c>
      <c r="V49" s="14"/>
      <c r="W49" s="15"/>
      <c r="X49" s="13"/>
      <c r="Y49" s="15"/>
      <c r="Z49" s="13"/>
      <c r="AA49" s="15"/>
      <c r="AB49" s="13"/>
      <c r="AC49" s="15"/>
      <c r="AD49" s="13"/>
      <c r="AE49" s="15"/>
    </row>
    <row r="50" spans="1:31" ht="43.5" x14ac:dyDescent="0.35">
      <c r="A50" s="13" t="s">
        <v>54</v>
      </c>
      <c r="B50" s="13" t="s">
        <v>55</v>
      </c>
      <c r="C50" s="14">
        <v>45628.667361111111</v>
      </c>
      <c r="D50" s="13" t="s">
        <v>56</v>
      </c>
      <c r="E50" s="15" t="s">
        <v>57</v>
      </c>
      <c r="F50" s="13" t="s">
        <v>58</v>
      </c>
      <c r="G50" s="15" t="s">
        <v>59</v>
      </c>
      <c r="H50" s="13" t="s">
        <v>171</v>
      </c>
      <c r="I50" s="15" t="s">
        <v>172</v>
      </c>
      <c r="J50" s="15" t="s">
        <v>173</v>
      </c>
      <c r="K50" s="15" t="s">
        <v>174</v>
      </c>
      <c r="L50" s="13" t="s">
        <v>175</v>
      </c>
      <c r="M50" s="15" t="s">
        <v>176</v>
      </c>
      <c r="N50" s="13" t="s">
        <v>66</v>
      </c>
      <c r="O50" s="15" t="s">
        <v>177</v>
      </c>
      <c r="P50" s="15" t="s">
        <v>178</v>
      </c>
      <c r="Q50" s="15" t="s">
        <v>167</v>
      </c>
      <c r="R50" s="13" t="s">
        <v>168</v>
      </c>
      <c r="S50" s="13" t="s">
        <v>151</v>
      </c>
      <c r="T50" s="13" t="s">
        <v>135</v>
      </c>
      <c r="U50" s="14">
        <v>45323</v>
      </c>
      <c r="V50" s="14"/>
      <c r="W50" s="15"/>
      <c r="X50" s="13"/>
      <c r="Y50" s="15"/>
      <c r="Z50" s="13"/>
      <c r="AA50" s="15"/>
      <c r="AB50" s="13"/>
      <c r="AC50" s="15"/>
      <c r="AD50" s="13"/>
      <c r="AE50" s="15"/>
    </row>
    <row r="51" spans="1:31" s="22" customFormat="1" ht="43.5" x14ac:dyDescent="0.35">
      <c r="A51" s="19" t="s">
        <v>145</v>
      </c>
      <c r="B51" s="19" t="s">
        <v>55</v>
      </c>
      <c r="C51" s="20">
        <v>45994.652083333334</v>
      </c>
      <c r="D51" s="19" t="s">
        <v>56</v>
      </c>
      <c r="E51" s="21" t="s">
        <v>57</v>
      </c>
      <c r="F51" s="19" t="s">
        <v>58</v>
      </c>
      <c r="G51" s="21" t="s">
        <v>59</v>
      </c>
      <c r="H51" s="19" t="s">
        <v>171</v>
      </c>
      <c r="I51" s="21" t="s">
        <v>172</v>
      </c>
      <c r="J51" s="21" t="s">
        <v>173</v>
      </c>
      <c r="K51" s="21" t="s">
        <v>174</v>
      </c>
      <c r="L51" s="19" t="s">
        <v>175</v>
      </c>
      <c r="M51" s="21" t="s">
        <v>176</v>
      </c>
      <c r="N51" s="19" t="s">
        <v>66</v>
      </c>
      <c r="O51" s="21" t="s">
        <v>177</v>
      </c>
      <c r="P51" s="21" t="s">
        <v>178</v>
      </c>
      <c r="Q51" s="21" t="s">
        <v>169</v>
      </c>
      <c r="R51" s="19" t="s">
        <v>170</v>
      </c>
      <c r="S51" s="19" t="s">
        <v>151</v>
      </c>
      <c r="T51" s="19" t="s">
        <v>135</v>
      </c>
      <c r="U51" s="20">
        <v>45901</v>
      </c>
      <c r="V51" s="20"/>
      <c r="W51" s="21"/>
      <c r="X51" s="19"/>
      <c r="Y51" s="21"/>
      <c r="Z51" s="19"/>
      <c r="AA51" s="21"/>
      <c r="AB51" s="19"/>
      <c r="AC51" s="21"/>
      <c r="AD51" s="19" t="s">
        <v>148</v>
      </c>
      <c r="AE51" s="21"/>
    </row>
    <row r="52" spans="1:31" ht="87" x14ac:dyDescent="0.35">
      <c r="A52" s="13" t="s">
        <v>54</v>
      </c>
      <c r="B52" s="13" t="s">
        <v>55</v>
      </c>
      <c r="C52" s="14">
        <v>45628.668749999997</v>
      </c>
      <c r="D52" s="13" t="s">
        <v>56</v>
      </c>
      <c r="E52" s="15" t="s">
        <v>57</v>
      </c>
      <c r="F52" s="13" t="s">
        <v>58</v>
      </c>
      <c r="G52" s="15" t="s">
        <v>59</v>
      </c>
      <c r="H52" s="13" t="s">
        <v>191</v>
      </c>
      <c r="I52" s="15" t="s">
        <v>192</v>
      </c>
      <c r="J52" s="15"/>
      <c r="K52" s="15"/>
      <c r="L52" s="13" t="s">
        <v>193</v>
      </c>
      <c r="M52" s="15" t="s">
        <v>194</v>
      </c>
      <c r="N52" s="13" t="s">
        <v>66</v>
      </c>
      <c r="O52" s="15"/>
      <c r="P52" s="15"/>
      <c r="Q52" s="15" t="s">
        <v>69</v>
      </c>
      <c r="R52" s="13" t="s">
        <v>70</v>
      </c>
      <c r="S52" s="13" t="s">
        <v>71</v>
      </c>
      <c r="T52" s="13" t="s">
        <v>72</v>
      </c>
      <c r="U52" s="14">
        <v>45323</v>
      </c>
      <c r="V52" s="14"/>
      <c r="W52" s="15" t="s">
        <v>217</v>
      </c>
      <c r="X52" s="13" t="s">
        <v>218</v>
      </c>
      <c r="Y52" s="15" t="str">
        <f>VLOOKUP(X52,'Axe 2 Règles de gestion'!$D$2:$F$43,3, FALSE)</f>
        <v>Rémunération : En cas d'indemnisation, le montant versé est un montant forfaitaire qui dépend de la catégorie statutaire d'appartenance de l'agent.</v>
      </c>
      <c r="Z52" s="13" t="s">
        <v>220</v>
      </c>
      <c r="AA52" s="15" t="str">
        <f>VLOOKUP(Z52,'Axe 2 Règles de gestion'!$D$2:$F$43,3, FALSE)</f>
        <v>Stage : L'agent ne peut pas demander l'ouverture ou l'utilisation d'un compte épargne-temps durant la durée de son stage.</v>
      </c>
      <c r="AB52" s="13" t="s">
        <v>222</v>
      </c>
      <c r="AC52" s="15" t="str">
        <f>VLOOKUP(AB52,'Axe 2 Règles de gestion'!$D$2:$F$43,3, FALSE)</f>
        <v>Congés annuels : L'agent conserve son droit à congé annuel.</v>
      </c>
      <c r="AD52" s="13"/>
      <c r="AE52" s="15"/>
    </row>
    <row r="53" spans="1:31" ht="29" x14ac:dyDescent="0.35">
      <c r="A53" s="13" t="s">
        <v>54</v>
      </c>
      <c r="B53" s="13" t="s">
        <v>55</v>
      </c>
      <c r="C53" s="14">
        <v>45628.669444444444</v>
      </c>
      <c r="D53" s="13" t="s">
        <v>56</v>
      </c>
      <c r="E53" s="15" t="s">
        <v>57</v>
      </c>
      <c r="F53" s="13" t="s">
        <v>58</v>
      </c>
      <c r="G53" s="15" t="s">
        <v>59</v>
      </c>
      <c r="H53" s="13" t="s">
        <v>191</v>
      </c>
      <c r="I53" s="15" t="s">
        <v>192</v>
      </c>
      <c r="J53" s="15"/>
      <c r="K53" s="15"/>
      <c r="L53" s="13" t="s">
        <v>193</v>
      </c>
      <c r="M53" s="15" t="s">
        <v>194</v>
      </c>
      <c r="N53" s="13" t="s">
        <v>66</v>
      </c>
      <c r="O53" s="15"/>
      <c r="P53" s="15"/>
      <c r="Q53" s="15" t="s">
        <v>133</v>
      </c>
      <c r="R53" s="13" t="s">
        <v>134</v>
      </c>
      <c r="S53" s="13" t="s">
        <v>71</v>
      </c>
      <c r="T53" s="13" t="s">
        <v>135</v>
      </c>
      <c r="U53" s="14">
        <v>45323</v>
      </c>
      <c r="V53" s="14"/>
      <c r="W53" s="15"/>
      <c r="X53" s="13"/>
      <c r="Y53" s="15"/>
      <c r="Z53" s="13"/>
      <c r="AA53" s="15"/>
      <c r="AB53" s="13"/>
      <c r="AC53" s="15"/>
      <c r="AD53" s="13"/>
      <c r="AE53" s="15"/>
    </row>
    <row r="54" spans="1:31" ht="87" x14ac:dyDescent="0.35">
      <c r="A54" s="13" t="s">
        <v>54</v>
      </c>
      <c r="B54" s="13" t="s">
        <v>55</v>
      </c>
      <c r="C54" s="14">
        <v>45628.670138888891</v>
      </c>
      <c r="D54" s="13" t="s">
        <v>56</v>
      </c>
      <c r="E54" s="15" t="s">
        <v>57</v>
      </c>
      <c r="F54" s="13" t="s">
        <v>58</v>
      </c>
      <c r="G54" s="15" t="s">
        <v>59</v>
      </c>
      <c r="H54" s="13" t="s">
        <v>191</v>
      </c>
      <c r="I54" s="15" t="s">
        <v>192</v>
      </c>
      <c r="J54" s="15"/>
      <c r="K54" s="15"/>
      <c r="L54" s="13" t="s">
        <v>193</v>
      </c>
      <c r="M54" s="15" t="s">
        <v>194</v>
      </c>
      <c r="N54" s="13" t="s">
        <v>66</v>
      </c>
      <c r="O54" s="15"/>
      <c r="P54" s="15"/>
      <c r="Q54" s="15" t="s">
        <v>136</v>
      </c>
      <c r="R54" s="13" t="s">
        <v>137</v>
      </c>
      <c r="S54" s="13" t="s">
        <v>71</v>
      </c>
      <c r="T54" s="13" t="s">
        <v>72</v>
      </c>
      <c r="U54" s="14">
        <v>45323</v>
      </c>
      <c r="V54" s="14"/>
      <c r="W54" s="15" t="s">
        <v>224</v>
      </c>
      <c r="X54" s="13" t="s">
        <v>218</v>
      </c>
      <c r="Y54" s="15" t="str">
        <f>VLOOKUP(X54,'Axe 2 Règles de gestion'!$D$2:$F$43,3, FALSE)</f>
        <v>Rémunération : En cas d'indemnisation, le montant versé est un montant forfaitaire qui dépend de la catégorie statutaire d'appartenance de l'agent.</v>
      </c>
      <c r="Z54" s="13" t="s">
        <v>222</v>
      </c>
      <c r="AA54" s="15" t="str">
        <f>VLOOKUP(Z54,'Axe 2 Règles de gestion'!$D$2:$F$43,3, FALSE)</f>
        <v>Congés annuels : L'agent conserve son droit à congé annuel.</v>
      </c>
      <c r="AB54" s="13"/>
      <c r="AC54" s="15"/>
      <c r="AD54" s="13"/>
      <c r="AE54" s="15"/>
    </row>
    <row r="55" spans="1:31" ht="29" x14ac:dyDescent="0.35">
      <c r="A55" s="13" t="s">
        <v>54</v>
      </c>
      <c r="B55" s="13" t="s">
        <v>55</v>
      </c>
      <c r="C55" s="14">
        <v>45628.670138888891</v>
      </c>
      <c r="D55" s="13" t="s">
        <v>56</v>
      </c>
      <c r="E55" s="15" t="s">
        <v>57</v>
      </c>
      <c r="F55" s="13" t="s">
        <v>58</v>
      </c>
      <c r="G55" s="15" t="s">
        <v>59</v>
      </c>
      <c r="H55" s="13" t="s">
        <v>191</v>
      </c>
      <c r="I55" s="15" t="s">
        <v>192</v>
      </c>
      <c r="J55" s="15"/>
      <c r="K55" s="15"/>
      <c r="L55" s="13" t="s">
        <v>193</v>
      </c>
      <c r="M55" s="15" t="s">
        <v>194</v>
      </c>
      <c r="N55" s="13" t="s">
        <v>66</v>
      </c>
      <c r="O55" s="15"/>
      <c r="P55" s="15"/>
      <c r="Q55" s="15" t="s">
        <v>143</v>
      </c>
      <c r="R55" s="13" t="s">
        <v>144</v>
      </c>
      <c r="S55" s="13" t="s">
        <v>71</v>
      </c>
      <c r="T55" s="13" t="s">
        <v>135</v>
      </c>
      <c r="U55" s="14">
        <v>45323</v>
      </c>
      <c r="V55" s="14"/>
      <c r="W55" s="15"/>
      <c r="X55" s="13"/>
      <c r="Y55" s="15"/>
      <c r="Z55" s="13"/>
      <c r="AA55" s="15"/>
      <c r="AB55" s="13"/>
      <c r="AC55" s="15"/>
      <c r="AD55" s="13"/>
      <c r="AE55" s="15"/>
    </row>
    <row r="56" spans="1:31" s="22" customFormat="1" ht="29" x14ac:dyDescent="0.35">
      <c r="A56" s="19" t="s">
        <v>145</v>
      </c>
      <c r="B56" s="19" t="s">
        <v>55</v>
      </c>
      <c r="C56" s="20">
        <v>45994.655555555553</v>
      </c>
      <c r="D56" s="19" t="s">
        <v>56</v>
      </c>
      <c r="E56" s="21" t="s">
        <v>57</v>
      </c>
      <c r="F56" s="19" t="s">
        <v>58</v>
      </c>
      <c r="G56" s="21" t="s">
        <v>59</v>
      </c>
      <c r="H56" s="19" t="s">
        <v>191</v>
      </c>
      <c r="I56" s="21" t="s">
        <v>192</v>
      </c>
      <c r="J56" s="21"/>
      <c r="K56" s="21"/>
      <c r="L56" s="19" t="s">
        <v>193</v>
      </c>
      <c r="M56" s="21" t="s">
        <v>194</v>
      </c>
      <c r="N56" s="19" t="s">
        <v>66</v>
      </c>
      <c r="O56" s="21"/>
      <c r="P56" s="21"/>
      <c r="Q56" s="21" t="s">
        <v>146</v>
      </c>
      <c r="R56" s="19" t="s">
        <v>147</v>
      </c>
      <c r="S56" s="19" t="s">
        <v>71</v>
      </c>
      <c r="T56" s="19" t="s">
        <v>72</v>
      </c>
      <c r="U56" s="20">
        <v>45901</v>
      </c>
      <c r="V56" s="20"/>
      <c r="W56" s="21"/>
      <c r="X56" s="19"/>
      <c r="Y56" s="21"/>
      <c r="Z56" s="19"/>
      <c r="AA56" s="21"/>
      <c r="AB56" s="19"/>
      <c r="AC56" s="21"/>
      <c r="AD56" s="19" t="s">
        <v>148</v>
      </c>
      <c r="AE56" s="21"/>
    </row>
    <row r="57" spans="1:31" ht="29" x14ac:dyDescent="0.35">
      <c r="A57" s="13" t="s">
        <v>54</v>
      </c>
      <c r="B57" s="13" t="s">
        <v>55</v>
      </c>
      <c r="C57" s="14">
        <v>45628.67083333333</v>
      </c>
      <c r="D57" s="13" t="s">
        <v>56</v>
      </c>
      <c r="E57" s="15" t="s">
        <v>57</v>
      </c>
      <c r="F57" s="13" t="s">
        <v>58</v>
      </c>
      <c r="G57" s="15" t="s">
        <v>59</v>
      </c>
      <c r="H57" s="13" t="s">
        <v>191</v>
      </c>
      <c r="I57" s="15" t="s">
        <v>192</v>
      </c>
      <c r="J57" s="15"/>
      <c r="K57" s="15"/>
      <c r="L57" s="13" t="s">
        <v>193</v>
      </c>
      <c r="M57" s="15" t="s">
        <v>194</v>
      </c>
      <c r="N57" s="13" t="s">
        <v>66</v>
      </c>
      <c r="O57" s="15"/>
      <c r="P57" s="15"/>
      <c r="Q57" s="15" t="s">
        <v>149</v>
      </c>
      <c r="R57" s="13" t="s">
        <v>150</v>
      </c>
      <c r="S57" s="13" t="s">
        <v>151</v>
      </c>
      <c r="T57" s="13" t="s">
        <v>135</v>
      </c>
      <c r="U57" s="14">
        <v>45323</v>
      </c>
      <c r="V57" s="14"/>
      <c r="W57" s="15"/>
      <c r="X57" s="13"/>
      <c r="Y57" s="15"/>
      <c r="Z57" s="13"/>
      <c r="AA57" s="15"/>
      <c r="AB57" s="13"/>
      <c r="AC57" s="15"/>
      <c r="AD57" s="13"/>
      <c r="AE57" s="15"/>
    </row>
    <row r="58" spans="1:31" ht="29" x14ac:dyDescent="0.35">
      <c r="A58" s="13" t="s">
        <v>54</v>
      </c>
      <c r="B58" s="13" t="s">
        <v>55</v>
      </c>
      <c r="C58" s="14">
        <v>45628.67083333333</v>
      </c>
      <c r="D58" s="13" t="s">
        <v>56</v>
      </c>
      <c r="E58" s="15" t="s">
        <v>57</v>
      </c>
      <c r="F58" s="13" t="s">
        <v>58</v>
      </c>
      <c r="G58" s="15" t="s">
        <v>59</v>
      </c>
      <c r="H58" s="13" t="s">
        <v>191</v>
      </c>
      <c r="I58" s="15" t="s">
        <v>192</v>
      </c>
      <c r="J58" s="15"/>
      <c r="K58" s="15"/>
      <c r="L58" s="13" t="s">
        <v>193</v>
      </c>
      <c r="M58" s="15" t="s">
        <v>194</v>
      </c>
      <c r="N58" s="13" t="s">
        <v>66</v>
      </c>
      <c r="O58" s="15"/>
      <c r="P58" s="15"/>
      <c r="Q58" s="15" t="s">
        <v>152</v>
      </c>
      <c r="R58" s="13" t="s">
        <v>153</v>
      </c>
      <c r="S58" s="13" t="s">
        <v>151</v>
      </c>
      <c r="T58" s="13" t="s">
        <v>135</v>
      </c>
      <c r="U58" s="14">
        <v>45323</v>
      </c>
      <c r="V58" s="14"/>
      <c r="W58" s="15"/>
      <c r="X58" s="13"/>
      <c r="Y58" s="15"/>
      <c r="Z58" s="13"/>
      <c r="AA58" s="15"/>
      <c r="AB58" s="13"/>
      <c r="AC58" s="15"/>
      <c r="AD58" s="13"/>
      <c r="AE58" s="15"/>
    </row>
    <row r="59" spans="1:31" ht="29" x14ac:dyDescent="0.35">
      <c r="A59" s="13" t="s">
        <v>54</v>
      </c>
      <c r="B59" s="13" t="s">
        <v>55</v>
      </c>
      <c r="C59" s="14">
        <v>45628.671527777777</v>
      </c>
      <c r="D59" s="13" t="s">
        <v>56</v>
      </c>
      <c r="E59" s="15" t="s">
        <v>57</v>
      </c>
      <c r="F59" s="13" t="s">
        <v>58</v>
      </c>
      <c r="G59" s="15" t="s">
        <v>59</v>
      </c>
      <c r="H59" s="13" t="s">
        <v>191</v>
      </c>
      <c r="I59" s="15" t="s">
        <v>192</v>
      </c>
      <c r="J59" s="15"/>
      <c r="K59" s="15"/>
      <c r="L59" s="13" t="s">
        <v>193</v>
      </c>
      <c r="M59" s="15" t="s">
        <v>194</v>
      </c>
      <c r="N59" s="13" t="s">
        <v>66</v>
      </c>
      <c r="O59" s="15"/>
      <c r="P59" s="15"/>
      <c r="Q59" s="15" t="s">
        <v>154</v>
      </c>
      <c r="R59" s="13" t="s">
        <v>155</v>
      </c>
      <c r="S59" s="13" t="s">
        <v>151</v>
      </c>
      <c r="T59" s="13" t="s">
        <v>135</v>
      </c>
      <c r="U59" s="14">
        <v>45323</v>
      </c>
      <c r="V59" s="14"/>
      <c r="W59" s="15"/>
      <c r="X59" s="13"/>
      <c r="Y59" s="15"/>
      <c r="Z59" s="13"/>
      <c r="AA59" s="15"/>
      <c r="AB59" s="13"/>
      <c r="AC59" s="15"/>
      <c r="AD59" s="13"/>
      <c r="AE59" s="15"/>
    </row>
    <row r="60" spans="1:31" s="22" customFormat="1" ht="29" x14ac:dyDescent="0.35">
      <c r="A60" s="19" t="s">
        <v>145</v>
      </c>
      <c r="B60" s="19" t="s">
        <v>55</v>
      </c>
      <c r="C60" s="20">
        <v>45994.445138888892</v>
      </c>
      <c r="D60" s="19" t="s">
        <v>56</v>
      </c>
      <c r="E60" s="21" t="s">
        <v>57</v>
      </c>
      <c r="F60" s="19" t="s">
        <v>58</v>
      </c>
      <c r="G60" s="21" t="s">
        <v>59</v>
      </c>
      <c r="H60" s="19" t="s">
        <v>191</v>
      </c>
      <c r="I60" s="21" t="s">
        <v>192</v>
      </c>
      <c r="J60" s="21"/>
      <c r="K60" s="21"/>
      <c r="L60" s="19" t="s">
        <v>193</v>
      </c>
      <c r="M60" s="21" t="s">
        <v>194</v>
      </c>
      <c r="N60" s="19" t="s">
        <v>66</v>
      </c>
      <c r="O60" s="21"/>
      <c r="P60" s="21"/>
      <c r="Q60" s="21" t="s">
        <v>156</v>
      </c>
      <c r="R60" s="19" t="s">
        <v>157</v>
      </c>
      <c r="S60" s="19" t="s">
        <v>151</v>
      </c>
      <c r="T60" s="19" t="s">
        <v>72</v>
      </c>
      <c r="U60" s="20">
        <v>45901</v>
      </c>
      <c r="V60" s="20"/>
      <c r="W60" s="21"/>
      <c r="X60" s="19"/>
      <c r="Y60" s="21"/>
      <c r="Z60" s="19"/>
      <c r="AA60" s="21"/>
      <c r="AB60" s="19"/>
      <c r="AC60" s="21"/>
      <c r="AD60" s="19" t="s">
        <v>148</v>
      </c>
      <c r="AE60" s="21"/>
    </row>
    <row r="61" spans="1:31" ht="29" x14ac:dyDescent="0.35">
      <c r="A61" s="13" t="s">
        <v>54</v>
      </c>
      <c r="B61" s="13" t="s">
        <v>55</v>
      </c>
      <c r="C61" s="14">
        <v>45628.671527777777</v>
      </c>
      <c r="D61" s="13" t="s">
        <v>56</v>
      </c>
      <c r="E61" s="15" t="s">
        <v>57</v>
      </c>
      <c r="F61" s="13" t="s">
        <v>58</v>
      </c>
      <c r="G61" s="15" t="s">
        <v>59</v>
      </c>
      <c r="H61" s="13" t="s">
        <v>191</v>
      </c>
      <c r="I61" s="15" t="s">
        <v>192</v>
      </c>
      <c r="J61" s="15"/>
      <c r="K61" s="15"/>
      <c r="L61" s="13" t="s">
        <v>193</v>
      </c>
      <c r="M61" s="15" t="s">
        <v>194</v>
      </c>
      <c r="N61" s="13" t="s">
        <v>66</v>
      </c>
      <c r="O61" s="15"/>
      <c r="P61" s="15"/>
      <c r="Q61" s="15" t="s">
        <v>165</v>
      </c>
      <c r="R61" s="13" t="s">
        <v>166</v>
      </c>
      <c r="S61" s="13" t="s">
        <v>151</v>
      </c>
      <c r="T61" s="13" t="s">
        <v>135</v>
      </c>
      <c r="U61" s="14">
        <v>45323</v>
      </c>
      <c r="V61" s="14"/>
      <c r="W61" s="15"/>
      <c r="X61" s="13"/>
      <c r="Y61" s="15"/>
      <c r="Z61" s="13"/>
      <c r="AA61" s="15"/>
      <c r="AB61" s="13"/>
      <c r="AC61" s="15"/>
      <c r="AD61" s="13"/>
      <c r="AE61" s="15"/>
    </row>
    <row r="62" spans="1:31" ht="43.5" x14ac:dyDescent="0.35">
      <c r="A62" s="13" t="s">
        <v>54</v>
      </c>
      <c r="B62" s="13" t="s">
        <v>55</v>
      </c>
      <c r="C62" s="14">
        <v>45628.672222222223</v>
      </c>
      <c r="D62" s="13" t="s">
        <v>56</v>
      </c>
      <c r="E62" s="15" t="s">
        <v>57</v>
      </c>
      <c r="F62" s="13" t="s">
        <v>58</v>
      </c>
      <c r="G62" s="15" t="s">
        <v>59</v>
      </c>
      <c r="H62" s="13" t="s">
        <v>191</v>
      </c>
      <c r="I62" s="15" t="s">
        <v>192</v>
      </c>
      <c r="J62" s="15"/>
      <c r="K62" s="15"/>
      <c r="L62" s="13" t="s">
        <v>193</v>
      </c>
      <c r="M62" s="15" t="s">
        <v>194</v>
      </c>
      <c r="N62" s="13" t="s">
        <v>66</v>
      </c>
      <c r="O62" s="15"/>
      <c r="P62" s="15"/>
      <c r="Q62" s="15" t="s">
        <v>167</v>
      </c>
      <c r="R62" s="13" t="s">
        <v>168</v>
      </c>
      <c r="S62" s="13" t="s">
        <v>151</v>
      </c>
      <c r="T62" s="13" t="s">
        <v>135</v>
      </c>
      <c r="U62" s="14">
        <v>45323</v>
      </c>
      <c r="V62" s="14"/>
      <c r="W62" s="15"/>
      <c r="X62" s="13"/>
      <c r="Y62" s="15"/>
      <c r="Z62" s="13"/>
      <c r="AA62" s="15"/>
      <c r="AB62" s="13"/>
      <c r="AC62" s="15"/>
      <c r="AD62" s="13"/>
      <c r="AE62" s="15"/>
    </row>
    <row r="63" spans="1:31" s="22" customFormat="1" ht="29" x14ac:dyDescent="0.35">
      <c r="A63" s="19" t="s">
        <v>145</v>
      </c>
      <c r="B63" s="19" t="s">
        <v>55</v>
      </c>
      <c r="C63" s="20">
        <v>45994.65347222222</v>
      </c>
      <c r="D63" s="19" t="s">
        <v>56</v>
      </c>
      <c r="E63" s="21" t="s">
        <v>57</v>
      </c>
      <c r="F63" s="19" t="s">
        <v>58</v>
      </c>
      <c r="G63" s="21" t="s">
        <v>59</v>
      </c>
      <c r="H63" s="19" t="s">
        <v>191</v>
      </c>
      <c r="I63" s="21" t="s">
        <v>192</v>
      </c>
      <c r="J63" s="21"/>
      <c r="K63" s="21"/>
      <c r="L63" s="19" t="s">
        <v>193</v>
      </c>
      <c r="M63" s="21" t="s">
        <v>194</v>
      </c>
      <c r="N63" s="19" t="s">
        <v>66</v>
      </c>
      <c r="O63" s="21"/>
      <c r="P63" s="21"/>
      <c r="Q63" s="21" t="s">
        <v>169</v>
      </c>
      <c r="R63" s="19" t="s">
        <v>170</v>
      </c>
      <c r="S63" s="19" t="s">
        <v>151</v>
      </c>
      <c r="T63" s="19" t="s">
        <v>135</v>
      </c>
      <c r="U63" s="20">
        <v>45901</v>
      </c>
      <c r="V63" s="20"/>
      <c r="W63" s="21"/>
      <c r="X63" s="19"/>
      <c r="Y63" s="21"/>
      <c r="Z63" s="19"/>
      <c r="AA63" s="21"/>
      <c r="AB63" s="19"/>
      <c r="AC63" s="21"/>
      <c r="AD63" s="19" t="s">
        <v>148</v>
      </c>
      <c r="AE63" s="21"/>
    </row>
    <row r="64" spans="1:31" x14ac:dyDescent="0.35">
      <c r="C64" s="16"/>
      <c r="U64" s="16"/>
      <c r="V64" s="16"/>
    </row>
    <row r="65" spans="3:22" x14ac:dyDescent="0.35">
      <c r="C65" s="16"/>
      <c r="U65" s="16"/>
      <c r="V65" s="16"/>
    </row>
    <row r="66" spans="3:22" x14ac:dyDescent="0.35">
      <c r="C66" s="16"/>
      <c r="U66" s="16"/>
      <c r="V66" s="16"/>
    </row>
    <row r="67" spans="3:22" x14ac:dyDescent="0.35">
      <c r="C67" s="16"/>
      <c r="U67" s="16"/>
      <c r="V67" s="16"/>
    </row>
    <row r="68" spans="3:22" x14ac:dyDescent="0.35">
      <c r="C68" s="16"/>
      <c r="U68" s="16"/>
      <c r="V68" s="16"/>
    </row>
    <row r="69" spans="3:22" x14ac:dyDescent="0.35">
      <c r="C69" s="16"/>
      <c r="U69" s="16"/>
      <c r="V69" s="16"/>
    </row>
    <row r="70" spans="3:22" x14ac:dyDescent="0.35">
      <c r="C70" s="16"/>
      <c r="U70" s="16"/>
      <c r="V70" s="16"/>
    </row>
    <row r="71" spans="3:22" x14ac:dyDescent="0.35">
      <c r="C71" s="16"/>
      <c r="U71" s="16"/>
      <c r="V71" s="16"/>
    </row>
    <row r="72" spans="3:22" x14ac:dyDescent="0.35">
      <c r="C72" s="16"/>
      <c r="U72" s="16"/>
      <c r="V72" s="16"/>
    </row>
    <row r="73" spans="3:22" x14ac:dyDescent="0.35">
      <c r="C73" s="16"/>
      <c r="U73" s="16"/>
      <c r="V73" s="16"/>
    </row>
    <row r="74" spans="3:22" x14ac:dyDescent="0.35">
      <c r="C74" s="16"/>
      <c r="U74" s="16"/>
      <c r="V74" s="16"/>
    </row>
    <row r="75" spans="3:22" x14ac:dyDescent="0.35">
      <c r="C75" s="16"/>
      <c r="U75" s="16"/>
      <c r="V75" s="16"/>
    </row>
    <row r="76" spans="3:22" x14ac:dyDescent="0.35">
      <c r="C76" s="16"/>
      <c r="U76" s="16"/>
      <c r="V76" s="16"/>
    </row>
    <row r="77" spans="3:22" x14ac:dyDescent="0.35">
      <c r="C77" s="16"/>
      <c r="U77" s="16"/>
      <c r="V77" s="16"/>
    </row>
    <row r="78" spans="3:22" x14ac:dyDescent="0.35">
      <c r="C78" s="16"/>
      <c r="U78" s="16"/>
      <c r="V78" s="16"/>
    </row>
    <row r="79" spans="3:22" x14ac:dyDescent="0.35">
      <c r="C79" s="16"/>
      <c r="U79" s="16"/>
      <c r="V79" s="16"/>
    </row>
    <row r="80" spans="3:22" x14ac:dyDescent="0.35">
      <c r="C80" s="16"/>
      <c r="U80" s="16"/>
      <c r="V80" s="16"/>
    </row>
    <row r="81" spans="3:22" x14ac:dyDescent="0.35">
      <c r="C81" s="16"/>
      <c r="U81" s="16"/>
      <c r="V81" s="16"/>
    </row>
    <row r="82" spans="3:22" x14ac:dyDescent="0.35">
      <c r="C82" s="16"/>
      <c r="U82" s="16"/>
      <c r="V82" s="16"/>
    </row>
    <row r="83" spans="3:22" x14ac:dyDescent="0.35">
      <c r="C83" s="16"/>
      <c r="U83" s="16"/>
      <c r="V83" s="16"/>
    </row>
    <row r="84" spans="3:22" x14ac:dyDescent="0.35">
      <c r="C84" s="16"/>
      <c r="U84" s="16"/>
      <c r="V84" s="16"/>
    </row>
    <row r="85" spans="3:22" x14ac:dyDescent="0.35">
      <c r="C85" s="16"/>
      <c r="U85" s="16"/>
      <c r="V85" s="16"/>
    </row>
    <row r="86" spans="3:22" x14ac:dyDescent="0.35">
      <c r="C86" s="16"/>
      <c r="U86" s="16"/>
      <c r="V86" s="16"/>
    </row>
    <row r="87" spans="3:22" x14ac:dyDescent="0.35">
      <c r="C87" s="16"/>
      <c r="U87" s="16"/>
      <c r="V87" s="16"/>
    </row>
    <row r="88" spans="3:22" x14ac:dyDescent="0.35">
      <c r="C88" s="16"/>
      <c r="U88" s="16"/>
      <c r="V88" s="16"/>
    </row>
    <row r="89" spans="3:22" x14ac:dyDescent="0.35">
      <c r="C89" s="16"/>
      <c r="U89" s="16"/>
      <c r="V89" s="16"/>
    </row>
    <row r="90" spans="3:22" x14ac:dyDescent="0.35">
      <c r="C90" s="16"/>
      <c r="U90" s="16"/>
      <c r="V90" s="16"/>
    </row>
    <row r="91" spans="3:22" x14ac:dyDescent="0.35">
      <c r="C91" s="16"/>
      <c r="U91" s="16"/>
      <c r="V91" s="16"/>
    </row>
    <row r="92" spans="3:22" x14ac:dyDescent="0.35">
      <c r="C92" s="16"/>
      <c r="U92" s="16"/>
      <c r="V92" s="16"/>
    </row>
    <row r="93" spans="3:22" x14ac:dyDescent="0.35">
      <c r="C93" s="16"/>
      <c r="U93" s="16"/>
      <c r="V93" s="16"/>
    </row>
    <row r="94" spans="3:22" x14ac:dyDescent="0.35">
      <c r="C94" s="16"/>
      <c r="U94" s="16"/>
      <c r="V94" s="16"/>
    </row>
    <row r="95" spans="3:22" x14ac:dyDescent="0.35">
      <c r="C95" s="16"/>
      <c r="U95" s="16"/>
      <c r="V95" s="16"/>
    </row>
    <row r="96" spans="3:22" x14ac:dyDescent="0.35">
      <c r="C96" s="16"/>
      <c r="U96" s="16"/>
      <c r="V96" s="16"/>
    </row>
    <row r="97" spans="3:22" x14ac:dyDescent="0.35">
      <c r="C97" s="16"/>
      <c r="U97" s="16"/>
      <c r="V97" s="16"/>
    </row>
    <row r="98" spans="3:22" x14ac:dyDescent="0.35">
      <c r="C98" s="16"/>
      <c r="U98" s="16"/>
      <c r="V98" s="16"/>
    </row>
    <row r="99" spans="3:22" x14ac:dyDescent="0.35">
      <c r="C99" s="16"/>
      <c r="U99" s="16"/>
      <c r="V99" s="16"/>
    </row>
    <row r="100" spans="3:22" x14ac:dyDescent="0.35">
      <c r="C100" s="16"/>
      <c r="U100" s="16"/>
      <c r="V100" s="16"/>
    </row>
    <row r="101" spans="3:22" x14ac:dyDescent="0.35">
      <c r="C101" s="16"/>
      <c r="U101" s="16"/>
      <c r="V101" s="16"/>
    </row>
    <row r="102" spans="3:22" x14ac:dyDescent="0.35">
      <c r="C102" s="16"/>
      <c r="U102" s="16"/>
      <c r="V102" s="16"/>
    </row>
    <row r="103" spans="3:22" x14ac:dyDescent="0.35">
      <c r="C103" s="16"/>
      <c r="U103" s="16"/>
      <c r="V103" s="16"/>
    </row>
    <row r="104" spans="3:22" x14ac:dyDescent="0.35">
      <c r="C104" s="16"/>
      <c r="U104" s="16"/>
      <c r="V104" s="16"/>
    </row>
    <row r="105" spans="3:22" x14ac:dyDescent="0.35">
      <c r="C105" s="16"/>
      <c r="U105" s="16"/>
      <c r="V105" s="16"/>
    </row>
    <row r="106" spans="3:22" x14ac:dyDescent="0.35">
      <c r="C106" s="16"/>
      <c r="U106" s="16"/>
      <c r="V106" s="16"/>
    </row>
    <row r="107" spans="3:22" x14ac:dyDescent="0.35">
      <c r="C107" s="16"/>
      <c r="U107" s="16"/>
      <c r="V107" s="16"/>
    </row>
    <row r="108" spans="3:22" x14ac:dyDescent="0.35">
      <c r="C108" s="16"/>
      <c r="U108" s="16"/>
      <c r="V108" s="16"/>
    </row>
    <row r="109" spans="3:22" x14ac:dyDescent="0.35">
      <c r="C109" s="16"/>
      <c r="U109" s="16"/>
      <c r="V109" s="16"/>
    </row>
    <row r="110" spans="3:22" x14ac:dyDescent="0.35">
      <c r="C110" s="16"/>
      <c r="U110" s="16"/>
      <c r="V110" s="16"/>
    </row>
    <row r="111" spans="3:22" x14ac:dyDescent="0.35">
      <c r="C111" s="16"/>
      <c r="U111" s="16"/>
      <c r="V111" s="16"/>
    </row>
    <row r="112" spans="3:22" x14ac:dyDescent="0.35">
      <c r="C112" s="16"/>
      <c r="U112" s="16"/>
      <c r="V112" s="16"/>
    </row>
    <row r="113" spans="3:22" x14ac:dyDescent="0.35">
      <c r="C113" s="16"/>
      <c r="U113" s="16"/>
      <c r="V113" s="16"/>
    </row>
    <row r="114" spans="3:22" x14ac:dyDescent="0.35">
      <c r="C114" s="16"/>
      <c r="U114" s="16"/>
      <c r="V114" s="16"/>
    </row>
    <row r="115" spans="3:22" x14ac:dyDescent="0.35">
      <c r="C115" s="16"/>
      <c r="U115" s="16"/>
      <c r="V115" s="16"/>
    </row>
    <row r="116" spans="3:22" x14ac:dyDescent="0.35">
      <c r="C116" s="16"/>
      <c r="U116" s="16"/>
      <c r="V116" s="16"/>
    </row>
    <row r="117" spans="3:22" x14ac:dyDescent="0.35">
      <c r="C117" s="16"/>
      <c r="U117" s="16"/>
      <c r="V117" s="16"/>
    </row>
    <row r="118" spans="3:22" x14ac:dyDescent="0.35">
      <c r="C118" s="16"/>
      <c r="U118" s="16"/>
      <c r="V118" s="16"/>
    </row>
    <row r="119" spans="3:22" x14ac:dyDescent="0.35">
      <c r="C119" s="16"/>
      <c r="U119" s="16"/>
      <c r="V119" s="16"/>
    </row>
    <row r="120" spans="3:22" x14ac:dyDescent="0.35">
      <c r="C120" s="16"/>
      <c r="U120" s="16"/>
      <c r="V120" s="16"/>
    </row>
    <row r="121" spans="3:22" x14ac:dyDescent="0.35">
      <c r="C121" s="16"/>
      <c r="U121" s="16"/>
      <c r="V121" s="16"/>
    </row>
    <row r="122" spans="3:22" x14ac:dyDescent="0.35">
      <c r="C122" s="16"/>
      <c r="U122" s="16"/>
      <c r="V122" s="16"/>
    </row>
    <row r="123" spans="3:22" x14ac:dyDescent="0.35">
      <c r="C123" s="16"/>
      <c r="U123" s="16"/>
      <c r="V123" s="16"/>
    </row>
    <row r="124" spans="3:22" x14ac:dyDescent="0.35">
      <c r="C124" s="16"/>
      <c r="U124" s="16"/>
      <c r="V124" s="16"/>
    </row>
    <row r="125" spans="3:22" x14ac:dyDescent="0.35">
      <c r="C125" s="16"/>
      <c r="U125" s="16"/>
      <c r="V125" s="16"/>
    </row>
    <row r="126" spans="3:22" x14ac:dyDescent="0.35">
      <c r="C126" s="16"/>
      <c r="U126" s="16"/>
      <c r="V126" s="16"/>
    </row>
    <row r="127" spans="3:22" x14ac:dyDescent="0.35">
      <c r="C127" s="16"/>
      <c r="U127" s="16"/>
      <c r="V127" s="16"/>
    </row>
    <row r="128" spans="3:22" x14ac:dyDescent="0.35">
      <c r="C128" s="16"/>
      <c r="U128" s="16"/>
      <c r="V128" s="16"/>
    </row>
    <row r="129" spans="3:22" x14ac:dyDescent="0.35">
      <c r="C129" s="16"/>
      <c r="U129" s="16"/>
      <c r="V129" s="16"/>
    </row>
    <row r="130" spans="3:22" x14ac:dyDescent="0.35">
      <c r="C130" s="16"/>
      <c r="U130" s="16"/>
      <c r="V130" s="16"/>
    </row>
    <row r="131" spans="3:22" x14ac:dyDescent="0.35">
      <c r="C131" s="16"/>
      <c r="U131" s="16"/>
      <c r="V131" s="16"/>
    </row>
    <row r="132" spans="3:22" x14ac:dyDescent="0.35">
      <c r="C132" s="16"/>
      <c r="U132" s="16"/>
      <c r="V132" s="16"/>
    </row>
    <row r="133" spans="3:22" x14ac:dyDescent="0.35">
      <c r="C133" s="16"/>
      <c r="U133" s="16"/>
      <c r="V133" s="16"/>
    </row>
    <row r="134" spans="3:22" x14ac:dyDescent="0.35">
      <c r="C134" s="16"/>
      <c r="U134" s="16"/>
      <c r="V134" s="16"/>
    </row>
    <row r="135" spans="3:22" x14ac:dyDescent="0.35">
      <c r="C135" s="16"/>
      <c r="U135" s="16"/>
      <c r="V135" s="16"/>
    </row>
    <row r="136" spans="3:22" x14ac:dyDescent="0.35">
      <c r="C136" s="16"/>
      <c r="U136" s="16"/>
      <c r="V136" s="16"/>
    </row>
    <row r="137" spans="3:22" x14ac:dyDescent="0.35">
      <c r="C137" s="16"/>
      <c r="U137" s="16"/>
      <c r="V137" s="16"/>
    </row>
    <row r="138" spans="3:22" x14ac:dyDescent="0.35">
      <c r="C138" s="16"/>
      <c r="U138" s="16"/>
      <c r="V138" s="16"/>
    </row>
    <row r="139" spans="3:22" x14ac:dyDescent="0.35">
      <c r="C139" s="16"/>
      <c r="U139" s="16"/>
      <c r="V139" s="16"/>
    </row>
    <row r="140" spans="3:22" x14ac:dyDescent="0.35">
      <c r="C140" s="16"/>
      <c r="U140" s="16"/>
      <c r="V140" s="16"/>
    </row>
    <row r="141" spans="3:22" x14ac:dyDescent="0.35">
      <c r="C141" s="16"/>
      <c r="U141" s="16"/>
      <c r="V141" s="16"/>
    </row>
    <row r="142" spans="3:22" x14ac:dyDescent="0.35">
      <c r="C142" s="16"/>
      <c r="U142" s="16"/>
      <c r="V142" s="16"/>
    </row>
    <row r="143" spans="3:22" x14ac:dyDescent="0.35">
      <c r="C143" s="16"/>
      <c r="U143" s="16"/>
      <c r="V143" s="16"/>
    </row>
    <row r="144" spans="3:22" x14ac:dyDescent="0.35">
      <c r="C144" s="16"/>
      <c r="U144" s="16"/>
      <c r="V144" s="16"/>
    </row>
    <row r="145" spans="3:22" x14ac:dyDescent="0.35">
      <c r="C145" s="16"/>
      <c r="U145" s="16"/>
      <c r="V145" s="16"/>
    </row>
    <row r="146" spans="3:22" x14ac:dyDescent="0.35">
      <c r="C146" s="16"/>
      <c r="U146" s="16"/>
      <c r="V146" s="16"/>
    </row>
    <row r="147" spans="3:22" x14ac:dyDescent="0.35">
      <c r="C147" s="16"/>
      <c r="U147" s="16"/>
      <c r="V147" s="16"/>
    </row>
    <row r="148" spans="3:22" x14ac:dyDescent="0.35">
      <c r="C148" s="16"/>
      <c r="U148" s="16"/>
      <c r="V148" s="16"/>
    </row>
    <row r="149" spans="3:22" x14ac:dyDescent="0.35">
      <c r="C149" s="16"/>
      <c r="U149" s="16"/>
      <c r="V149" s="16"/>
    </row>
    <row r="150" spans="3:22" x14ac:dyDescent="0.35">
      <c r="C150" s="16"/>
      <c r="U150" s="16"/>
      <c r="V150" s="16"/>
    </row>
    <row r="151" spans="3:22" x14ac:dyDescent="0.35">
      <c r="C151" s="16"/>
      <c r="U151" s="16"/>
      <c r="V151" s="16"/>
    </row>
    <row r="152" spans="3:22" x14ac:dyDescent="0.35">
      <c r="C152" s="16"/>
      <c r="U152" s="16"/>
      <c r="V152" s="16"/>
    </row>
    <row r="153" spans="3:22" x14ac:dyDescent="0.35">
      <c r="C153" s="16"/>
      <c r="U153" s="16"/>
      <c r="V153" s="16"/>
    </row>
    <row r="154" spans="3:22" x14ac:dyDescent="0.35">
      <c r="C154" s="16"/>
      <c r="U154" s="16"/>
      <c r="V154" s="16"/>
    </row>
    <row r="155" spans="3:22" x14ac:dyDescent="0.35">
      <c r="C155" s="16"/>
      <c r="U155" s="16"/>
      <c r="V155" s="16"/>
    </row>
    <row r="156" spans="3:22" x14ac:dyDescent="0.35">
      <c r="C156" s="16"/>
      <c r="U156" s="16"/>
      <c r="V156" s="16"/>
    </row>
    <row r="157" spans="3:22" x14ac:dyDescent="0.35">
      <c r="C157" s="16"/>
      <c r="U157" s="16"/>
      <c r="V157" s="16"/>
    </row>
    <row r="158" spans="3:22" x14ac:dyDescent="0.35">
      <c r="C158" s="16"/>
      <c r="U158" s="16"/>
      <c r="V158" s="16"/>
    </row>
    <row r="159" spans="3:22" x14ac:dyDescent="0.35">
      <c r="C159" s="16"/>
      <c r="U159" s="16"/>
      <c r="V159" s="16"/>
    </row>
    <row r="160" spans="3:22" x14ac:dyDescent="0.35">
      <c r="C160" s="16"/>
      <c r="U160" s="16"/>
      <c r="V160" s="16"/>
    </row>
    <row r="161" spans="3:22" x14ac:dyDescent="0.35">
      <c r="C161" s="16"/>
      <c r="U161" s="16"/>
      <c r="V161" s="16"/>
    </row>
    <row r="162" spans="3:22" x14ac:dyDescent="0.35">
      <c r="C162" s="16"/>
      <c r="U162" s="16"/>
      <c r="V162" s="16"/>
    </row>
    <row r="163" spans="3:22" x14ac:dyDescent="0.35">
      <c r="C163" s="16"/>
      <c r="U163" s="16"/>
      <c r="V163" s="16"/>
    </row>
    <row r="164" spans="3:22" x14ac:dyDescent="0.35">
      <c r="C164" s="16"/>
      <c r="U164" s="16"/>
      <c r="V164" s="16"/>
    </row>
    <row r="165" spans="3:22" x14ac:dyDescent="0.35">
      <c r="C165" s="16"/>
      <c r="U165" s="16"/>
      <c r="V165" s="16"/>
    </row>
    <row r="166" spans="3:22" x14ac:dyDescent="0.35">
      <c r="C166" s="16"/>
      <c r="U166" s="16"/>
      <c r="V166" s="16"/>
    </row>
    <row r="167" spans="3:22" x14ac:dyDescent="0.35">
      <c r="C167" s="16"/>
      <c r="U167" s="16"/>
      <c r="V167" s="16"/>
    </row>
    <row r="168" spans="3:22" x14ac:dyDescent="0.35">
      <c r="C168" s="16"/>
      <c r="U168" s="16"/>
      <c r="V168" s="16"/>
    </row>
    <row r="169" spans="3:22" x14ac:dyDescent="0.35">
      <c r="C169" s="16"/>
      <c r="U169" s="16"/>
      <c r="V169" s="16"/>
    </row>
    <row r="170" spans="3:22" x14ac:dyDescent="0.35">
      <c r="C170" s="16"/>
      <c r="U170" s="16"/>
      <c r="V170" s="16"/>
    </row>
    <row r="171" spans="3:22" x14ac:dyDescent="0.35">
      <c r="C171" s="16"/>
      <c r="U171" s="16"/>
      <c r="V171" s="16"/>
    </row>
    <row r="172" spans="3:22" x14ac:dyDescent="0.35">
      <c r="C172" s="16"/>
      <c r="U172" s="16"/>
      <c r="V172" s="16"/>
    </row>
    <row r="173" spans="3:22" x14ac:dyDescent="0.35">
      <c r="C173" s="16"/>
      <c r="U173" s="16"/>
      <c r="V173" s="16"/>
    </row>
    <row r="174" spans="3:22" x14ac:dyDescent="0.35">
      <c r="C174" s="16"/>
      <c r="U174" s="16"/>
      <c r="V174" s="16"/>
    </row>
    <row r="175" spans="3:22" x14ac:dyDescent="0.35">
      <c r="C175" s="16"/>
      <c r="U175" s="16"/>
      <c r="V175" s="16"/>
    </row>
    <row r="176" spans="3:22" x14ac:dyDescent="0.35">
      <c r="C176" s="16"/>
      <c r="U176" s="16"/>
      <c r="V176" s="16"/>
    </row>
    <row r="177" spans="3:22" x14ac:dyDescent="0.35">
      <c r="C177" s="16"/>
      <c r="U177" s="16"/>
      <c r="V177" s="16"/>
    </row>
    <row r="178" spans="3:22" x14ac:dyDescent="0.35">
      <c r="C178" s="16"/>
      <c r="U178" s="16"/>
      <c r="V178" s="16"/>
    </row>
    <row r="179" spans="3:22" x14ac:dyDescent="0.35">
      <c r="C179" s="16"/>
      <c r="U179" s="16"/>
      <c r="V179" s="16"/>
    </row>
    <row r="180" spans="3:22" x14ac:dyDescent="0.35">
      <c r="C180" s="16"/>
      <c r="U180" s="16"/>
      <c r="V180" s="16"/>
    </row>
    <row r="181" spans="3:22" x14ac:dyDescent="0.35">
      <c r="C181" s="16"/>
      <c r="U181" s="16"/>
      <c r="V181" s="16"/>
    </row>
    <row r="182" spans="3:22" x14ac:dyDescent="0.35">
      <c r="C182" s="16"/>
      <c r="U182" s="16"/>
      <c r="V182" s="16"/>
    </row>
    <row r="183" spans="3:22" x14ac:dyDescent="0.35">
      <c r="C183" s="16"/>
      <c r="U183" s="16"/>
      <c r="V183" s="16"/>
    </row>
    <row r="184" spans="3:22" x14ac:dyDescent="0.35">
      <c r="C184" s="16"/>
      <c r="U184" s="16"/>
      <c r="V184" s="16"/>
    </row>
    <row r="185" spans="3:22" x14ac:dyDescent="0.35">
      <c r="C185" s="16"/>
      <c r="U185" s="16"/>
      <c r="V185" s="16"/>
    </row>
    <row r="186" spans="3:22" x14ac:dyDescent="0.35">
      <c r="C186" s="16"/>
      <c r="U186" s="16"/>
      <c r="V186" s="16"/>
    </row>
    <row r="187" spans="3:22" x14ac:dyDescent="0.35">
      <c r="C187" s="16"/>
      <c r="U187" s="16"/>
      <c r="V187" s="16"/>
    </row>
    <row r="188" spans="3:22" x14ac:dyDescent="0.35">
      <c r="C188" s="16"/>
      <c r="U188" s="16"/>
      <c r="V188" s="16"/>
    </row>
    <row r="189" spans="3:22" x14ac:dyDescent="0.35">
      <c r="C189" s="16"/>
      <c r="U189" s="16"/>
      <c r="V189" s="16"/>
    </row>
    <row r="190" spans="3:22" x14ac:dyDescent="0.35">
      <c r="C190" s="16"/>
      <c r="U190" s="16"/>
      <c r="V190" s="16"/>
    </row>
    <row r="191" spans="3:22" x14ac:dyDescent="0.35">
      <c r="C191" s="16"/>
      <c r="U191" s="16"/>
      <c r="V191" s="16"/>
    </row>
    <row r="192" spans="3:22" x14ac:dyDescent="0.35">
      <c r="C192" s="16"/>
      <c r="U192" s="16"/>
      <c r="V192" s="16"/>
    </row>
    <row r="193" spans="3:22" x14ac:dyDescent="0.35">
      <c r="C193" s="16"/>
      <c r="U193" s="16"/>
      <c r="V193" s="16"/>
    </row>
    <row r="194" spans="3:22" x14ac:dyDescent="0.35">
      <c r="C194" s="16"/>
      <c r="U194" s="16"/>
      <c r="V194" s="16"/>
    </row>
    <row r="195" spans="3:22" x14ac:dyDescent="0.35">
      <c r="C195" s="16"/>
      <c r="U195" s="16"/>
      <c r="V195" s="16"/>
    </row>
    <row r="196" spans="3:22" x14ac:dyDescent="0.35">
      <c r="C196" s="16"/>
      <c r="U196" s="16"/>
      <c r="V196" s="16"/>
    </row>
    <row r="197" spans="3:22" x14ac:dyDescent="0.35">
      <c r="C197" s="16"/>
      <c r="U197" s="16"/>
      <c r="V197" s="16"/>
    </row>
    <row r="198" spans="3:22" x14ac:dyDescent="0.35">
      <c r="C198" s="16"/>
      <c r="U198" s="16"/>
      <c r="V198" s="16"/>
    </row>
    <row r="199" spans="3:22" x14ac:dyDescent="0.35">
      <c r="C199" s="16"/>
      <c r="U199" s="16"/>
      <c r="V199" s="16"/>
    </row>
    <row r="200" spans="3:22" x14ac:dyDescent="0.35">
      <c r="C200" s="16"/>
      <c r="U200" s="16"/>
      <c r="V200" s="16"/>
    </row>
    <row r="201" spans="3:22" x14ac:dyDescent="0.35">
      <c r="C201" s="16"/>
      <c r="U201" s="16"/>
      <c r="V201" s="16"/>
    </row>
    <row r="202" spans="3:22" x14ac:dyDescent="0.35">
      <c r="C202" s="16"/>
      <c r="U202" s="16"/>
      <c r="V202" s="16"/>
    </row>
    <row r="203" spans="3:22" x14ac:dyDescent="0.35">
      <c r="C203" s="16"/>
      <c r="U203" s="16"/>
      <c r="V203" s="16"/>
    </row>
    <row r="204" spans="3:22" x14ac:dyDescent="0.35">
      <c r="C204" s="16"/>
      <c r="U204" s="16"/>
      <c r="V204" s="16"/>
    </row>
    <row r="205" spans="3:22" x14ac:dyDescent="0.35">
      <c r="C205" s="16"/>
      <c r="U205" s="16"/>
      <c r="V205" s="16"/>
    </row>
    <row r="206" spans="3:22" x14ac:dyDescent="0.35">
      <c r="C206" s="16"/>
      <c r="U206" s="16"/>
      <c r="V206" s="16"/>
    </row>
    <row r="207" spans="3:22" x14ac:dyDescent="0.35">
      <c r="C207" s="16"/>
      <c r="U207" s="16"/>
      <c r="V207" s="16"/>
    </row>
    <row r="208" spans="3:22" x14ac:dyDescent="0.35">
      <c r="C208" s="16"/>
      <c r="U208" s="16"/>
      <c r="V208" s="16"/>
    </row>
    <row r="209" spans="3:22" x14ac:dyDescent="0.35">
      <c r="C209" s="16"/>
      <c r="U209" s="16"/>
      <c r="V209" s="16"/>
    </row>
    <row r="210" spans="3:22" x14ac:dyDescent="0.35">
      <c r="C210" s="16"/>
      <c r="U210" s="16"/>
      <c r="V210" s="16"/>
    </row>
    <row r="211" spans="3:22" x14ac:dyDescent="0.35">
      <c r="C211" s="16"/>
      <c r="U211" s="16"/>
      <c r="V211" s="16"/>
    </row>
    <row r="212" spans="3:22" x14ac:dyDescent="0.35">
      <c r="C212" s="16"/>
      <c r="U212" s="16"/>
      <c r="V212" s="16"/>
    </row>
    <row r="213" spans="3:22" x14ac:dyDescent="0.35">
      <c r="C213" s="16"/>
      <c r="U213" s="16"/>
      <c r="V213" s="16"/>
    </row>
    <row r="214" spans="3:22" x14ac:dyDescent="0.35">
      <c r="C214" s="16"/>
      <c r="U214" s="16"/>
      <c r="V214" s="16"/>
    </row>
    <row r="215" spans="3:22" x14ac:dyDescent="0.35">
      <c r="C215" s="16"/>
      <c r="U215" s="16"/>
      <c r="V215" s="16"/>
    </row>
    <row r="216" spans="3:22" x14ac:dyDescent="0.35">
      <c r="C216" s="16"/>
      <c r="U216" s="16"/>
      <c r="V216" s="16"/>
    </row>
    <row r="217" spans="3:22" x14ac:dyDescent="0.35">
      <c r="C217" s="16"/>
      <c r="U217" s="16"/>
      <c r="V217" s="16"/>
    </row>
    <row r="218" spans="3:22" x14ac:dyDescent="0.35">
      <c r="C218" s="16"/>
      <c r="U218" s="16"/>
      <c r="V218" s="16"/>
    </row>
    <row r="219" spans="3:22" x14ac:dyDescent="0.35">
      <c r="C219" s="16"/>
      <c r="U219" s="16"/>
      <c r="V219" s="16"/>
    </row>
    <row r="220" spans="3:22" x14ac:dyDescent="0.35">
      <c r="C220" s="16"/>
      <c r="U220" s="16"/>
      <c r="V220" s="16"/>
    </row>
    <row r="221" spans="3:22" x14ac:dyDescent="0.35">
      <c r="C221" s="16"/>
      <c r="U221" s="16"/>
      <c r="V221" s="16"/>
    </row>
    <row r="222" spans="3:22" x14ac:dyDescent="0.35">
      <c r="C222" s="16"/>
      <c r="U222" s="16"/>
      <c r="V222" s="16"/>
    </row>
    <row r="223" spans="3:22" x14ac:dyDescent="0.35">
      <c r="C223" s="16"/>
      <c r="U223" s="16"/>
      <c r="V223" s="16"/>
    </row>
    <row r="224" spans="3:22" x14ac:dyDescent="0.35">
      <c r="C224" s="16"/>
      <c r="U224" s="16"/>
      <c r="V224" s="16"/>
    </row>
    <row r="225" spans="3:22" x14ac:dyDescent="0.35">
      <c r="C225" s="16"/>
      <c r="U225" s="16"/>
      <c r="V225" s="16"/>
    </row>
    <row r="226" spans="3:22" x14ac:dyDescent="0.35">
      <c r="C226" s="16"/>
      <c r="U226" s="16"/>
      <c r="V226" s="16"/>
    </row>
    <row r="227" spans="3:22" x14ac:dyDescent="0.35">
      <c r="C227" s="16"/>
      <c r="U227" s="16"/>
      <c r="V227" s="16"/>
    </row>
    <row r="228" spans="3:22" x14ac:dyDescent="0.35">
      <c r="C228" s="16"/>
      <c r="U228" s="16"/>
      <c r="V228" s="16"/>
    </row>
    <row r="229" spans="3:22" x14ac:dyDescent="0.35">
      <c r="C229" s="16"/>
      <c r="U229" s="16"/>
      <c r="V229" s="16"/>
    </row>
    <row r="230" spans="3:22" x14ac:dyDescent="0.35">
      <c r="C230" s="16"/>
      <c r="U230" s="16"/>
      <c r="V230" s="16"/>
    </row>
    <row r="231" spans="3:22" x14ac:dyDescent="0.35">
      <c r="C231" s="16"/>
      <c r="U231" s="16"/>
      <c r="V231" s="16"/>
    </row>
    <row r="232" spans="3:22" x14ac:dyDescent="0.35">
      <c r="C232" s="16"/>
      <c r="U232" s="16"/>
      <c r="V232" s="16"/>
    </row>
    <row r="233" spans="3:22" x14ac:dyDescent="0.35">
      <c r="C233" s="16"/>
      <c r="U233" s="16"/>
      <c r="V233" s="16"/>
    </row>
    <row r="234" spans="3:22" x14ac:dyDescent="0.35">
      <c r="C234" s="16"/>
      <c r="U234" s="16"/>
      <c r="V234" s="16"/>
    </row>
    <row r="235" spans="3:22" x14ac:dyDescent="0.35">
      <c r="C235" s="16"/>
      <c r="U235" s="16"/>
      <c r="V235" s="16"/>
    </row>
    <row r="236" spans="3:22" x14ac:dyDescent="0.35">
      <c r="C236" s="16"/>
      <c r="U236" s="16"/>
      <c r="V236" s="16"/>
    </row>
    <row r="237" spans="3:22" x14ac:dyDescent="0.35">
      <c r="C237" s="16"/>
      <c r="U237" s="16"/>
      <c r="V237" s="16"/>
    </row>
    <row r="238" spans="3:22" x14ac:dyDescent="0.35">
      <c r="C238" s="16"/>
      <c r="U238" s="16"/>
      <c r="V238" s="16"/>
    </row>
    <row r="239" spans="3:22" x14ac:dyDescent="0.35">
      <c r="C239" s="16"/>
      <c r="U239" s="16"/>
      <c r="V239" s="16"/>
    </row>
    <row r="240" spans="3:22" x14ac:dyDescent="0.35">
      <c r="C240" s="16"/>
      <c r="U240" s="16"/>
      <c r="V240" s="16"/>
    </row>
    <row r="241" spans="3:22" x14ac:dyDescent="0.35">
      <c r="C241" s="16"/>
      <c r="U241" s="16"/>
      <c r="V241" s="16"/>
    </row>
    <row r="242" spans="3:22" x14ac:dyDescent="0.35">
      <c r="C242" s="16"/>
      <c r="U242" s="16"/>
      <c r="V242" s="16"/>
    </row>
    <row r="243" spans="3:22" x14ac:dyDescent="0.35">
      <c r="C243" s="16"/>
      <c r="U243" s="16"/>
      <c r="V243" s="16"/>
    </row>
    <row r="244" spans="3:22" x14ac:dyDescent="0.35">
      <c r="C244" s="16"/>
      <c r="U244" s="16"/>
      <c r="V244" s="16"/>
    </row>
    <row r="245" spans="3:22" x14ac:dyDescent="0.35">
      <c r="C245" s="16"/>
      <c r="U245" s="16"/>
      <c r="V245" s="16"/>
    </row>
    <row r="246" spans="3:22" x14ac:dyDescent="0.35">
      <c r="C246" s="16"/>
      <c r="U246" s="16"/>
      <c r="V246" s="16"/>
    </row>
    <row r="247" spans="3:22" x14ac:dyDescent="0.35">
      <c r="C247" s="16"/>
      <c r="U247" s="16"/>
      <c r="V247" s="16"/>
    </row>
    <row r="248" spans="3:22" x14ac:dyDescent="0.35">
      <c r="C248" s="16"/>
      <c r="U248" s="16"/>
      <c r="V248" s="16"/>
    </row>
    <row r="249" spans="3:22" x14ac:dyDescent="0.35">
      <c r="C249" s="16"/>
      <c r="U249" s="16"/>
      <c r="V249" s="16"/>
    </row>
    <row r="250" spans="3:22" x14ac:dyDescent="0.35">
      <c r="C250" s="16"/>
      <c r="U250" s="16"/>
      <c r="V250" s="16"/>
    </row>
    <row r="251" spans="3:22" x14ac:dyDescent="0.35">
      <c r="C251" s="16"/>
      <c r="U251" s="16"/>
      <c r="V251" s="16"/>
    </row>
    <row r="252" spans="3:22" x14ac:dyDescent="0.35">
      <c r="C252" s="16"/>
      <c r="U252" s="16"/>
      <c r="V252" s="16"/>
    </row>
    <row r="253" spans="3:22" x14ac:dyDescent="0.35">
      <c r="C253" s="16"/>
      <c r="U253" s="16"/>
      <c r="V253" s="16"/>
    </row>
    <row r="254" spans="3:22" x14ac:dyDescent="0.35">
      <c r="C254" s="16"/>
      <c r="U254" s="16"/>
      <c r="V254" s="16"/>
    </row>
    <row r="255" spans="3:22" x14ac:dyDescent="0.35">
      <c r="C255" s="16"/>
      <c r="U255" s="16"/>
      <c r="V255" s="16"/>
    </row>
    <row r="256" spans="3:22" x14ac:dyDescent="0.35">
      <c r="C256" s="16"/>
      <c r="U256" s="16"/>
      <c r="V256" s="16"/>
    </row>
    <row r="257" spans="3:22" x14ac:dyDescent="0.35">
      <c r="C257" s="16"/>
      <c r="U257" s="16"/>
      <c r="V257" s="16"/>
    </row>
    <row r="258" spans="3:22" x14ac:dyDescent="0.35">
      <c r="C258" s="16"/>
      <c r="U258" s="16"/>
      <c r="V258" s="16"/>
    </row>
    <row r="259" spans="3:22" x14ac:dyDescent="0.35">
      <c r="C259" s="16"/>
      <c r="U259" s="16"/>
      <c r="V259" s="16"/>
    </row>
    <row r="260" spans="3:22" x14ac:dyDescent="0.35">
      <c r="C260" s="16"/>
      <c r="U260" s="16"/>
      <c r="V260" s="16"/>
    </row>
    <row r="261" spans="3:22" x14ac:dyDescent="0.35">
      <c r="C261" s="16"/>
      <c r="U261" s="16"/>
      <c r="V261" s="16"/>
    </row>
    <row r="262" spans="3:22" x14ac:dyDescent="0.35">
      <c r="C262" s="16"/>
      <c r="U262" s="16"/>
      <c r="V262" s="16"/>
    </row>
    <row r="263" spans="3:22" x14ac:dyDescent="0.35">
      <c r="C263" s="16"/>
      <c r="U263" s="16"/>
      <c r="V263" s="16"/>
    </row>
    <row r="264" spans="3:22" x14ac:dyDescent="0.35">
      <c r="C264" s="16"/>
      <c r="U264" s="16"/>
      <c r="V264" s="16"/>
    </row>
    <row r="265" spans="3:22" x14ac:dyDescent="0.35">
      <c r="C265" s="16"/>
      <c r="U265" s="16"/>
      <c r="V265" s="16"/>
    </row>
    <row r="266" spans="3:22" x14ac:dyDescent="0.35">
      <c r="C266" s="16"/>
      <c r="U266" s="16"/>
      <c r="V266" s="16"/>
    </row>
    <row r="267" spans="3:22" x14ac:dyDescent="0.35">
      <c r="C267" s="16"/>
      <c r="U267" s="16"/>
      <c r="V267" s="16"/>
    </row>
    <row r="268" spans="3:22" x14ac:dyDescent="0.35">
      <c r="C268" s="16"/>
      <c r="U268" s="16"/>
      <c r="V268" s="16"/>
    </row>
    <row r="269" spans="3:22" x14ac:dyDescent="0.35">
      <c r="C269" s="16"/>
      <c r="U269" s="16"/>
      <c r="V269" s="16"/>
    </row>
    <row r="270" spans="3:22" x14ac:dyDescent="0.35">
      <c r="C270" s="16"/>
      <c r="U270" s="16"/>
      <c r="V270" s="16"/>
    </row>
    <row r="271" spans="3:22" x14ac:dyDescent="0.35">
      <c r="C271" s="16"/>
      <c r="U271" s="16"/>
      <c r="V271" s="16"/>
    </row>
    <row r="272" spans="3:22" x14ac:dyDescent="0.35">
      <c r="C272" s="16"/>
      <c r="U272" s="16"/>
      <c r="V272" s="16"/>
    </row>
    <row r="273" spans="3:22" x14ac:dyDescent="0.35">
      <c r="C273" s="16"/>
      <c r="U273" s="16"/>
      <c r="V273" s="16"/>
    </row>
    <row r="274" spans="3:22" x14ac:dyDescent="0.35">
      <c r="C274" s="16"/>
      <c r="U274" s="16"/>
      <c r="V274" s="16"/>
    </row>
    <row r="275" spans="3:22" x14ac:dyDescent="0.35">
      <c r="C275" s="16"/>
      <c r="U275" s="16"/>
      <c r="V275" s="16"/>
    </row>
  </sheetData>
  <autoFilter ref="A1:OJ63" xr:uid="{866484BA-ED00-43E9-ACAD-16E69ED4465C}"/>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573B9-C0A3-4035-BD7F-39023107B73C}">
  <dimension ref="A1:AO63"/>
  <sheetViews>
    <sheetView workbookViewId="0">
      <pane ySplit="1" topLeftCell="A2" activePane="bottomLeft" state="frozenSplit"/>
      <selection pane="bottomLeft"/>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8.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4" width="25.6328125" style="17" customWidth="1"/>
    <col min="25" max="25" width="15.6328125" style="12" customWidth="1"/>
    <col min="26" max="28" width="25.6328125" style="17" customWidth="1"/>
    <col min="29" max="29" width="15.6328125" style="12" customWidth="1"/>
    <col min="30" max="32" width="25.6328125" style="17" customWidth="1"/>
    <col min="33" max="33" width="15.6328125" style="12" customWidth="1"/>
    <col min="34" max="36" width="25.6328125" style="17" customWidth="1"/>
    <col min="37" max="37" width="15.6328125" style="12" customWidth="1"/>
    <col min="38" max="38" width="25.6328125" style="17" customWidth="1"/>
    <col min="39" max="39" width="40.6328125" style="17" customWidth="1"/>
    <col min="40" max="40" width="9.6328125" style="12" customWidth="1"/>
    <col min="41" max="41" width="15.6328125" style="12" customWidth="1"/>
    <col min="42" max="16384" width="10.90625" style="12"/>
  </cols>
  <sheetData>
    <row r="1" spans="1:41" ht="58"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225</v>
      </c>
      <c r="X1" s="10" t="s">
        <v>226</v>
      </c>
      <c r="Y1" s="10" t="s">
        <v>227</v>
      </c>
      <c r="Z1" s="10" t="s">
        <v>228</v>
      </c>
      <c r="AA1" s="10" t="s">
        <v>229</v>
      </c>
      <c r="AB1" s="10" t="s">
        <v>230</v>
      </c>
      <c r="AC1" s="10" t="s">
        <v>231</v>
      </c>
      <c r="AD1" s="10" t="s">
        <v>232</v>
      </c>
      <c r="AE1" s="10" t="s">
        <v>233</v>
      </c>
      <c r="AF1" s="10" t="s">
        <v>234</v>
      </c>
      <c r="AG1" s="10" t="s">
        <v>235</v>
      </c>
      <c r="AH1" s="10" t="s">
        <v>236</v>
      </c>
      <c r="AI1" s="10" t="s">
        <v>237</v>
      </c>
      <c r="AJ1" s="10" t="s">
        <v>238</v>
      </c>
      <c r="AK1" s="10" t="s">
        <v>239</v>
      </c>
      <c r="AL1" s="10" t="s">
        <v>240</v>
      </c>
      <c r="AM1" s="10" t="s">
        <v>241</v>
      </c>
      <c r="AN1" s="10" t="s">
        <v>52</v>
      </c>
      <c r="AO1" s="10" t="s">
        <v>53</v>
      </c>
    </row>
    <row r="2" spans="1:41" ht="43.5" x14ac:dyDescent="0.35">
      <c r="A2" s="13" t="s">
        <v>54</v>
      </c>
      <c r="B2" s="13" t="s">
        <v>55</v>
      </c>
      <c r="C2" s="14">
        <v>45628.63958333333</v>
      </c>
      <c r="D2" s="13" t="s">
        <v>56</v>
      </c>
      <c r="E2" s="15" t="s">
        <v>57</v>
      </c>
      <c r="F2" s="13" t="s">
        <v>58</v>
      </c>
      <c r="G2" s="15" t="s">
        <v>59</v>
      </c>
      <c r="H2" s="13" t="s">
        <v>60</v>
      </c>
      <c r="I2" s="15" t="s">
        <v>61</v>
      </c>
      <c r="J2" s="15" t="s">
        <v>62</v>
      </c>
      <c r="K2" s="15" t="s">
        <v>63</v>
      </c>
      <c r="L2" s="13" t="s">
        <v>64</v>
      </c>
      <c r="M2" s="15" t="s">
        <v>65</v>
      </c>
      <c r="N2" s="13" t="s">
        <v>66</v>
      </c>
      <c r="O2" s="15" t="s">
        <v>67</v>
      </c>
      <c r="P2" s="15" t="s">
        <v>68</v>
      </c>
      <c r="Q2" s="15" t="s">
        <v>69</v>
      </c>
      <c r="R2" s="13" t="s">
        <v>70</v>
      </c>
      <c r="S2" s="13" t="s">
        <v>71</v>
      </c>
      <c r="T2" s="13" t="s">
        <v>72</v>
      </c>
      <c r="U2" s="14">
        <v>45323</v>
      </c>
      <c r="V2" s="14"/>
      <c r="W2" s="15"/>
      <c r="X2" s="15"/>
      <c r="Y2" s="13"/>
      <c r="Z2" s="15"/>
      <c r="AA2" s="15"/>
      <c r="AB2" s="15"/>
      <c r="AC2" s="13"/>
      <c r="AD2" s="15"/>
      <c r="AE2" s="15"/>
      <c r="AF2" s="15"/>
      <c r="AG2" s="13"/>
      <c r="AH2" s="15"/>
      <c r="AI2" s="15"/>
      <c r="AJ2" s="15"/>
      <c r="AK2" s="13"/>
      <c r="AL2" s="15"/>
      <c r="AM2" s="15"/>
      <c r="AN2" s="13"/>
      <c r="AO2" s="13"/>
    </row>
    <row r="3" spans="1:41" ht="43.5" x14ac:dyDescent="0.35">
      <c r="A3" s="13" t="s">
        <v>54</v>
      </c>
      <c r="B3" s="13" t="s">
        <v>55</v>
      </c>
      <c r="C3" s="14">
        <v>45628.644444444442</v>
      </c>
      <c r="D3" s="13" t="s">
        <v>56</v>
      </c>
      <c r="E3" s="15" t="s">
        <v>57</v>
      </c>
      <c r="F3" s="13" t="s">
        <v>58</v>
      </c>
      <c r="G3" s="15" t="s">
        <v>59</v>
      </c>
      <c r="H3" s="13" t="s">
        <v>60</v>
      </c>
      <c r="I3" s="15" t="s">
        <v>61</v>
      </c>
      <c r="J3" s="15" t="s">
        <v>62</v>
      </c>
      <c r="K3" s="15" t="s">
        <v>63</v>
      </c>
      <c r="L3" s="13" t="s">
        <v>84</v>
      </c>
      <c r="M3" s="15" t="s">
        <v>85</v>
      </c>
      <c r="N3" s="13" t="s">
        <v>66</v>
      </c>
      <c r="O3" s="15" t="s">
        <v>86</v>
      </c>
      <c r="P3" s="15" t="s">
        <v>87</v>
      </c>
      <c r="Q3" s="15" t="s">
        <v>69</v>
      </c>
      <c r="R3" s="13" t="s">
        <v>70</v>
      </c>
      <c r="S3" s="13" t="s">
        <v>71</v>
      </c>
      <c r="T3" s="13" t="s">
        <v>72</v>
      </c>
      <c r="U3" s="14">
        <v>45323</v>
      </c>
      <c r="V3" s="14">
        <v>45688</v>
      </c>
      <c r="W3" s="15"/>
      <c r="X3" s="15"/>
      <c r="Y3" s="13"/>
      <c r="Z3" s="15"/>
      <c r="AA3" s="15"/>
      <c r="AB3" s="15"/>
      <c r="AC3" s="13"/>
      <c r="AD3" s="15"/>
      <c r="AE3" s="15"/>
      <c r="AF3" s="15"/>
      <c r="AG3" s="13"/>
      <c r="AH3" s="15"/>
      <c r="AI3" s="15"/>
      <c r="AJ3" s="15"/>
      <c r="AK3" s="13"/>
      <c r="AL3" s="15"/>
      <c r="AM3" s="15"/>
      <c r="AN3" s="13"/>
      <c r="AO3" s="13"/>
    </row>
    <row r="4" spans="1:41" ht="43.5" x14ac:dyDescent="0.35">
      <c r="A4" s="13" t="s">
        <v>54</v>
      </c>
      <c r="B4" s="13" t="s">
        <v>55</v>
      </c>
      <c r="C4" s="14">
        <v>45628.645138888889</v>
      </c>
      <c r="D4" s="13" t="s">
        <v>56</v>
      </c>
      <c r="E4" s="15" t="s">
        <v>57</v>
      </c>
      <c r="F4" s="13" t="s">
        <v>58</v>
      </c>
      <c r="G4" s="15" t="s">
        <v>59</v>
      </c>
      <c r="H4" s="13" t="s">
        <v>60</v>
      </c>
      <c r="I4" s="15" t="s">
        <v>61</v>
      </c>
      <c r="J4" s="15" t="s">
        <v>62</v>
      </c>
      <c r="K4" s="15" t="s">
        <v>63</v>
      </c>
      <c r="L4" s="13" t="s">
        <v>84</v>
      </c>
      <c r="M4" s="15" t="s">
        <v>85</v>
      </c>
      <c r="N4" s="13" t="s">
        <v>66</v>
      </c>
      <c r="O4" s="15" t="s">
        <v>86</v>
      </c>
      <c r="P4" s="15" t="s">
        <v>87</v>
      </c>
      <c r="Q4" s="15" t="s">
        <v>69</v>
      </c>
      <c r="R4" s="13" t="s">
        <v>70</v>
      </c>
      <c r="S4" s="13" t="s">
        <v>71</v>
      </c>
      <c r="T4" s="13" t="s">
        <v>72</v>
      </c>
      <c r="U4" s="14">
        <v>45689</v>
      </c>
      <c r="V4" s="14"/>
      <c r="W4" s="15"/>
      <c r="X4" s="15"/>
      <c r="Y4" s="13"/>
      <c r="Z4" s="15"/>
      <c r="AA4" s="15"/>
      <c r="AB4" s="15"/>
      <c r="AC4" s="13"/>
      <c r="AD4" s="15"/>
      <c r="AE4" s="15"/>
      <c r="AF4" s="15"/>
      <c r="AG4" s="13"/>
      <c r="AH4" s="15"/>
      <c r="AI4" s="15"/>
      <c r="AJ4" s="15"/>
      <c r="AK4" s="13"/>
      <c r="AL4" s="15"/>
      <c r="AM4" s="15"/>
      <c r="AN4" s="13"/>
      <c r="AO4" s="13"/>
    </row>
    <row r="5" spans="1:41" ht="43.5" x14ac:dyDescent="0.35">
      <c r="A5" s="13" t="s">
        <v>54</v>
      </c>
      <c r="B5" s="13" t="s">
        <v>55</v>
      </c>
      <c r="C5" s="14">
        <v>45628.65902777778</v>
      </c>
      <c r="D5" s="13" t="s">
        <v>56</v>
      </c>
      <c r="E5" s="15" t="s">
        <v>57</v>
      </c>
      <c r="F5" s="13" t="s">
        <v>58</v>
      </c>
      <c r="G5" s="15" t="s">
        <v>59</v>
      </c>
      <c r="H5" s="13" t="s">
        <v>60</v>
      </c>
      <c r="I5" s="15" t="s">
        <v>61</v>
      </c>
      <c r="J5" s="15" t="s">
        <v>62</v>
      </c>
      <c r="K5" s="15" t="s">
        <v>63</v>
      </c>
      <c r="L5" s="13" t="s">
        <v>106</v>
      </c>
      <c r="M5" s="15" t="s">
        <v>107</v>
      </c>
      <c r="N5" s="13" t="s">
        <v>66</v>
      </c>
      <c r="O5" s="15" t="s">
        <v>108</v>
      </c>
      <c r="P5" s="15" t="s">
        <v>109</v>
      </c>
      <c r="Q5" s="15" t="s">
        <v>69</v>
      </c>
      <c r="R5" s="13" t="s">
        <v>70</v>
      </c>
      <c r="S5" s="13" t="s">
        <v>71</v>
      </c>
      <c r="T5" s="13" t="s">
        <v>72</v>
      </c>
      <c r="U5" s="14">
        <v>45323</v>
      </c>
      <c r="V5" s="14"/>
      <c r="W5" s="15"/>
      <c r="X5" s="15"/>
      <c r="Y5" s="13"/>
      <c r="Z5" s="15"/>
      <c r="AA5" s="15"/>
      <c r="AB5" s="15"/>
      <c r="AC5" s="13"/>
      <c r="AD5" s="15"/>
      <c r="AE5" s="15"/>
      <c r="AF5" s="15"/>
      <c r="AG5" s="13"/>
      <c r="AH5" s="15"/>
      <c r="AI5" s="15"/>
      <c r="AJ5" s="15"/>
      <c r="AK5" s="13"/>
      <c r="AL5" s="15"/>
      <c r="AM5" s="15"/>
      <c r="AN5" s="13"/>
      <c r="AO5" s="13"/>
    </row>
    <row r="6" spans="1:41" ht="43.5" x14ac:dyDescent="0.35">
      <c r="A6" s="13" t="s">
        <v>54</v>
      </c>
      <c r="B6" s="13" t="s">
        <v>55</v>
      </c>
      <c r="C6" s="14">
        <v>45628.640277777777</v>
      </c>
      <c r="D6" s="13" t="s">
        <v>56</v>
      </c>
      <c r="E6" s="15" t="s">
        <v>57</v>
      </c>
      <c r="F6" s="13" t="s">
        <v>58</v>
      </c>
      <c r="G6" s="15" t="s">
        <v>59</v>
      </c>
      <c r="H6" s="13" t="s">
        <v>60</v>
      </c>
      <c r="I6" s="15" t="s">
        <v>61</v>
      </c>
      <c r="J6" s="15" t="s">
        <v>62</v>
      </c>
      <c r="K6" s="15" t="s">
        <v>63</v>
      </c>
      <c r="L6" s="13" t="s">
        <v>64</v>
      </c>
      <c r="M6" s="15" t="s">
        <v>65</v>
      </c>
      <c r="N6" s="13" t="s">
        <v>66</v>
      </c>
      <c r="O6" s="15" t="s">
        <v>67</v>
      </c>
      <c r="P6" s="15" t="s">
        <v>68</v>
      </c>
      <c r="Q6" s="15" t="s">
        <v>133</v>
      </c>
      <c r="R6" s="13" t="s">
        <v>134</v>
      </c>
      <c r="S6" s="13" t="s">
        <v>71</v>
      </c>
      <c r="T6" s="13" t="s">
        <v>135</v>
      </c>
      <c r="U6" s="14">
        <v>45323</v>
      </c>
      <c r="V6" s="14"/>
      <c r="W6" s="15"/>
      <c r="X6" s="15"/>
      <c r="Y6" s="13"/>
      <c r="Z6" s="15"/>
      <c r="AA6" s="15"/>
      <c r="AB6" s="15"/>
      <c r="AC6" s="13"/>
      <c r="AD6" s="15"/>
      <c r="AE6" s="15"/>
      <c r="AF6" s="15"/>
      <c r="AG6" s="13"/>
      <c r="AH6" s="15"/>
      <c r="AI6" s="15"/>
      <c r="AJ6" s="15"/>
      <c r="AK6" s="13"/>
      <c r="AL6" s="15"/>
      <c r="AM6" s="15"/>
      <c r="AN6" s="13"/>
      <c r="AO6" s="13"/>
    </row>
    <row r="7" spans="1:41" ht="43.5" x14ac:dyDescent="0.35">
      <c r="A7" s="13" t="s">
        <v>54</v>
      </c>
      <c r="B7" s="13" t="s">
        <v>55</v>
      </c>
      <c r="C7" s="14">
        <v>45628.645138888889</v>
      </c>
      <c r="D7" s="13" t="s">
        <v>56</v>
      </c>
      <c r="E7" s="15" t="s">
        <v>57</v>
      </c>
      <c r="F7" s="13" t="s">
        <v>58</v>
      </c>
      <c r="G7" s="15" t="s">
        <v>59</v>
      </c>
      <c r="H7" s="13" t="s">
        <v>60</v>
      </c>
      <c r="I7" s="15" t="s">
        <v>61</v>
      </c>
      <c r="J7" s="15" t="s">
        <v>62</v>
      </c>
      <c r="K7" s="15" t="s">
        <v>63</v>
      </c>
      <c r="L7" s="13" t="s">
        <v>84</v>
      </c>
      <c r="M7" s="15" t="s">
        <v>85</v>
      </c>
      <c r="N7" s="13" t="s">
        <v>66</v>
      </c>
      <c r="O7" s="15" t="s">
        <v>86</v>
      </c>
      <c r="P7" s="15" t="s">
        <v>87</v>
      </c>
      <c r="Q7" s="15" t="s">
        <v>133</v>
      </c>
      <c r="R7" s="13" t="s">
        <v>134</v>
      </c>
      <c r="S7" s="13" t="s">
        <v>71</v>
      </c>
      <c r="T7" s="13" t="s">
        <v>135</v>
      </c>
      <c r="U7" s="14">
        <v>45323</v>
      </c>
      <c r="V7" s="14"/>
      <c r="W7" s="15"/>
      <c r="X7" s="15"/>
      <c r="Y7" s="13"/>
      <c r="Z7" s="15"/>
      <c r="AA7" s="15"/>
      <c r="AB7" s="15"/>
      <c r="AC7" s="13"/>
      <c r="AD7" s="15"/>
      <c r="AE7" s="15"/>
      <c r="AF7" s="15"/>
      <c r="AG7" s="13"/>
      <c r="AH7" s="15"/>
      <c r="AI7" s="15"/>
      <c r="AJ7" s="15"/>
      <c r="AK7" s="13"/>
      <c r="AL7" s="15"/>
      <c r="AM7" s="15"/>
      <c r="AN7" s="13"/>
      <c r="AO7" s="13"/>
    </row>
    <row r="8" spans="1:41" ht="43.5" x14ac:dyDescent="0.35">
      <c r="A8" s="13" t="s">
        <v>54</v>
      </c>
      <c r="B8" s="13" t="s">
        <v>55</v>
      </c>
      <c r="C8" s="14">
        <v>45628.659722222219</v>
      </c>
      <c r="D8" s="13" t="s">
        <v>56</v>
      </c>
      <c r="E8" s="15" t="s">
        <v>57</v>
      </c>
      <c r="F8" s="13" t="s">
        <v>58</v>
      </c>
      <c r="G8" s="15" t="s">
        <v>59</v>
      </c>
      <c r="H8" s="13" t="s">
        <v>60</v>
      </c>
      <c r="I8" s="15" t="s">
        <v>61</v>
      </c>
      <c r="J8" s="15" t="s">
        <v>62</v>
      </c>
      <c r="K8" s="15" t="s">
        <v>63</v>
      </c>
      <c r="L8" s="13" t="s">
        <v>106</v>
      </c>
      <c r="M8" s="15" t="s">
        <v>107</v>
      </c>
      <c r="N8" s="13" t="s">
        <v>66</v>
      </c>
      <c r="O8" s="15" t="s">
        <v>108</v>
      </c>
      <c r="P8" s="15" t="s">
        <v>109</v>
      </c>
      <c r="Q8" s="15" t="s">
        <v>133</v>
      </c>
      <c r="R8" s="13" t="s">
        <v>134</v>
      </c>
      <c r="S8" s="13" t="s">
        <v>71</v>
      </c>
      <c r="T8" s="13" t="s">
        <v>135</v>
      </c>
      <c r="U8" s="14">
        <v>45323</v>
      </c>
      <c r="V8" s="14"/>
      <c r="W8" s="15"/>
      <c r="X8" s="15"/>
      <c r="Y8" s="13"/>
      <c r="Z8" s="15"/>
      <c r="AA8" s="15"/>
      <c r="AB8" s="15"/>
      <c r="AC8" s="13"/>
      <c r="AD8" s="15"/>
      <c r="AE8" s="15"/>
      <c r="AF8" s="15"/>
      <c r="AG8" s="13"/>
      <c r="AH8" s="15"/>
      <c r="AI8" s="15"/>
      <c r="AJ8" s="15"/>
      <c r="AK8" s="13"/>
      <c r="AL8" s="15"/>
      <c r="AM8" s="15"/>
      <c r="AN8" s="13"/>
      <c r="AO8" s="13"/>
    </row>
    <row r="9" spans="1:41" ht="43.5" x14ac:dyDescent="0.35">
      <c r="A9" s="13" t="s">
        <v>54</v>
      </c>
      <c r="B9" s="13" t="s">
        <v>55</v>
      </c>
      <c r="C9" s="14">
        <v>45628.640277777777</v>
      </c>
      <c r="D9" s="13" t="s">
        <v>56</v>
      </c>
      <c r="E9" s="15" t="s">
        <v>57</v>
      </c>
      <c r="F9" s="13" t="s">
        <v>58</v>
      </c>
      <c r="G9" s="15" t="s">
        <v>59</v>
      </c>
      <c r="H9" s="13" t="s">
        <v>60</v>
      </c>
      <c r="I9" s="15" t="s">
        <v>61</v>
      </c>
      <c r="J9" s="15" t="s">
        <v>62</v>
      </c>
      <c r="K9" s="15" t="s">
        <v>63</v>
      </c>
      <c r="L9" s="13" t="s">
        <v>64</v>
      </c>
      <c r="M9" s="15" t="s">
        <v>65</v>
      </c>
      <c r="N9" s="13" t="s">
        <v>66</v>
      </c>
      <c r="O9" s="15" t="s">
        <v>67</v>
      </c>
      <c r="P9" s="15" t="s">
        <v>68</v>
      </c>
      <c r="Q9" s="15" t="s">
        <v>136</v>
      </c>
      <c r="R9" s="13" t="s">
        <v>137</v>
      </c>
      <c r="S9" s="13" t="s">
        <v>71</v>
      </c>
      <c r="T9" s="13" t="s">
        <v>72</v>
      </c>
      <c r="U9" s="14">
        <v>45323</v>
      </c>
      <c r="V9" s="14"/>
      <c r="W9" s="15"/>
      <c r="X9" s="15"/>
      <c r="Y9" s="13"/>
      <c r="Z9" s="15"/>
      <c r="AA9" s="15"/>
      <c r="AB9" s="15"/>
      <c r="AC9" s="13"/>
      <c r="AD9" s="15"/>
      <c r="AE9" s="15"/>
      <c r="AF9" s="15"/>
      <c r="AG9" s="13"/>
      <c r="AH9" s="15"/>
      <c r="AI9" s="15"/>
      <c r="AJ9" s="15"/>
      <c r="AK9" s="13"/>
      <c r="AL9" s="15"/>
      <c r="AM9" s="15"/>
      <c r="AN9" s="13"/>
      <c r="AO9" s="13"/>
    </row>
    <row r="10" spans="1:41" ht="43.5" x14ac:dyDescent="0.35">
      <c r="A10" s="13" t="s">
        <v>54</v>
      </c>
      <c r="B10" s="13" t="s">
        <v>55</v>
      </c>
      <c r="C10" s="14">
        <v>45635.72152777778</v>
      </c>
      <c r="D10" s="13" t="s">
        <v>56</v>
      </c>
      <c r="E10" s="15" t="s">
        <v>57</v>
      </c>
      <c r="F10" s="13" t="s">
        <v>58</v>
      </c>
      <c r="G10" s="15" t="s">
        <v>59</v>
      </c>
      <c r="H10" s="13" t="s">
        <v>60</v>
      </c>
      <c r="I10" s="15" t="s">
        <v>61</v>
      </c>
      <c r="J10" s="15" t="s">
        <v>62</v>
      </c>
      <c r="K10" s="15" t="s">
        <v>63</v>
      </c>
      <c r="L10" s="13" t="s">
        <v>84</v>
      </c>
      <c r="M10" s="15" t="s">
        <v>85</v>
      </c>
      <c r="N10" s="13" t="s">
        <v>66</v>
      </c>
      <c r="O10" s="15" t="s">
        <v>86</v>
      </c>
      <c r="P10" s="15" t="s">
        <v>87</v>
      </c>
      <c r="Q10" s="15" t="s">
        <v>136</v>
      </c>
      <c r="R10" s="13" t="s">
        <v>137</v>
      </c>
      <c r="S10" s="13" t="s">
        <v>71</v>
      </c>
      <c r="T10" s="13" t="s">
        <v>72</v>
      </c>
      <c r="U10" s="14">
        <v>45323</v>
      </c>
      <c r="V10" s="14">
        <v>45688</v>
      </c>
      <c r="W10" s="15"/>
      <c r="X10" s="15"/>
      <c r="Y10" s="13"/>
      <c r="Z10" s="15"/>
      <c r="AA10" s="15"/>
      <c r="AB10" s="15"/>
      <c r="AC10" s="13"/>
      <c r="AD10" s="15"/>
      <c r="AE10" s="15"/>
      <c r="AF10" s="15"/>
      <c r="AG10" s="13"/>
      <c r="AH10" s="15"/>
      <c r="AI10" s="15"/>
      <c r="AJ10" s="15"/>
      <c r="AK10" s="13"/>
      <c r="AL10" s="15"/>
      <c r="AM10" s="15"/>
      <c r="AN10" s="13"/>
      <c r="AO10" s="13"/>
    </row>
    <row r="11" spans="1:41" ht="43.5" x14ac:dyDescent="0.35">
      <c r="A11" s="13" t="s">
        <v>54</v>
      </c>
      <c r="B11" s="13" t="s">
        <v>55</v>
      </c>
      <c r="C11" s="14">
        <v>45635.72152777778</v>
      </c>
      <c r="D11" s="13" t="s">
        <v>56</v>
      </c>
      <c r="E11" s="15" t="s">
        <v>57</v>
      </c>
      <c r="F11" s="13" t="s">
        <v>58</v>
      </c>
      <c r="G11" s="15" t="s">
        <v>59</v>
      </c>
      <c r="H11" s="13" t="s">
        <v>60</v>
      </c>
      <c r="I11" s="15" t="s">
        <v>61</v>
      </c>
      <c r="J11" s="15" t="s">
        <v>62</v>
      </c>
      <c r="K11" s="15" t="s">
        <v>63</v>
      </c>
      <c r="L11" s="13" t="s">
        <v>84</v>
      </c>
      <c r="M11" s="15" t="s">
        <v>85</v>
      </c>
      <c r="N11" s="13" t="s">
        <v>66</v>
      </c>
      <c r="O11" s="15" t="s">
        <v>86</v>
      </c>
      <c r="P11" s="15" t="s">
        <v>87</v>
      </c>
      <c r="Q11" s="15" t="s">
        <v>136</v>
      </c>
      <c r="R11" s="13" t="s">
        <v>137</v>
      </c>
      <c r="S11" s="13" t="s">
        <v>71</v>
      </c>
      <c r="T11" s="13" t="s">
        <v>72</v>
      </c>
      <c r="U11" s="14">
        <v>45689</v>
      </c>
      <c r="V11" s="14"/>
      <c r="W11" s="15"/>
      <c r="X11" s="15"/>
      <c r="Y11" s="13"/>
      <c r="Z11" s="15"/>
      <c r="AA11" s="15"/>
      <c r="AB11" s="15"/>
      <c r="AC11" s="13"/>
      <c r="AD11" s="15"/>
      <c r="AE11" s="15"/>
      <c r="AF11" s="15"/>
      <c r="AG11" s="13"/>
      <c r="AH11" s="15"/>
      <c r="AI11" s="15"/>
      <c r="AJ11" s="15"/>
      <c r="AK11" s="13"/>
      <c r="AL11" s="15"/>
      <c r="AM11" s="15"/>
      <c r="AN11" s="13"/>
      <c r="AO11" s="13"/>
    </row>
    <row r="12" spans="1:41" ht="43.5" x14ac:dyDescent="0.35">
      <c r="A12" s="13" t="s">
        <v>54</v>
      </c>
      <c r="B12" s="13" t="s">
        <v>55</v>
      </c>
      <c r="C12" s="14">
        <v>45628.660416666666</v>
      </c>
      <c r="D12" s="13" t="s">
        <v>56</v>
      </c>
      <c r="E12" s="15" t="s">
        <v>57</v>
      </c>
      <c r="F12" s="13" t="s">
        <v>58</v>
      </c>
      <c r="G12" s="15" t="s">
        <v>59</v>
      </c>
      <c r="H12" s="13" t="s">
        <v>60</v>
      </c>
      <c r="I12" s="15" t="s">
        <v>61</v>
      </c>
      <c r="J12" s="15" t="s">
        <v>62</v>
      </c>
      <c r="K12" s="15" t="s">
        <v>63</v>
      </c>
      <c r="L12" s="13" t="s">
        <v>106</v>
      </c>
      <c r="M12" s="15" t="s">
        <v>107</v>
      </c>
      <c r="N12" s="13" t="s">
        <v>66</v>
      </c>
      <c r="O12" s="15" t="s">
        <v>108</v>
      </c>
      <c r="P12" s="15" t="s">
        <v>109</v>
      </c>
      <c r="Q12" s="15" t="s">
        <v>136</v>
      </c>
      <c r="R12" s="13" t="s">
        <v>137</v>
      </c>
      <c r="S12" s="13" t="s">
        <v>71</v>
      </c>
      <c r="T12" s="13" t="s">
        <v>72</v>
      </c>
      <c r="U12" s="14">
        <v>45323</v>
      </c>
      <c r="V12" s="14"/>
      <c r="W12" s="15"/>
      <c r="X12" s="15"/>
      <c r="Y12" s="13"/>
      <c r="Z12" s="15"/>
      <c r="AA12" s="15"/>
      <c r="AB12" s="15"/>
      <c r="AC12" s="13"/>
      <c r="AD12" s="15"/>
      <c r="AE12" s="15"/>
      <c r="AF12" s="15"/>
      <c r="AG12" s="13"/>
      <c r="AH12" s="15"/>
      <c r="AI12" s="15"/>
      <c r="AJ12" s="15"/>
      <c r="AK12" s="13"/>
      <c r="AL12" s="15"/>
      <c r="AM12" s="15"/>
      <c r="AN12" s="13"/>
      <c r="AO12" s="13"/>
    </row>
    <row r="13" spans="1:41" ht="43.5" x14ac:dyDescent="0.35">
      <c r="A13" s="13" t="s">
        <v>54</v>
      </c>
      <c r="B13" s="13" t="s">
        <v>55</v>
      </c>
      <c r="C13" s="14">
        <v>45628.640972222223</v>
      </c>
      <c r="D13" s="13" t="s">
        <v>56</v>
      </c>
      <c r="E13" s="15" t="s">
        <v>57</v>
      </c>
      <c r="F13" s="13" t="s">
        <v>58</v>
      </c>
      <c r="G13" s="15" t="s">
        <v>59</v>
      </c>
      <c r="H13" s="13" t="s">
        <v>60</v>
      </c>
      <c r="I13" s="15" t="s">
        <v>61</v>
      </c>
      <c r="J13" s="15" t="s">
        <v>62</v>
      </c>
      <c r="K13" s="15" t="s">
        <v>63</v>
      </c>
      <c r="L13" s="13" t="s">
        <v>64</v>
      </c>
      <c r="M13" s="15" t="s">
        <v>65</v>
      </c>
      <c r="N13" s="13" t="s">
        <v>66</v>
      </c>
      <c r="O13" s="15" t="s">
        <v>67</v>
      </c>
      <c r="P13" s="15" t="s">
        <v>68</v>
      </c>
      <c r="Q13" s="15" t="s">
        <v>143</v>
      </c>
      <c r="R13" s="13" t="s">
        <v>144</v>
      </c>
      <c r="S13" s="13" t="s">
        <v>71</v>
      </c>
      <c r="T13" s="13" t="s">
        <v>135</v>
      </c>
      <c r="U13" s="14">
        <v>45323</v>
      </c>
      <c r="V13" s="14"/>
      <c r="W13" s="15"/>
      <c r="X13" s="15"/>
      <c r="Y13" s="13"/>
      <c r="Z13" s="15"/>
      <c r="AA13" s="15"/>
      <c r="AB13" s="15"/>
      <c r="AC13" s="13"/>
      <c r="AD13" s="15"/>
      <c r="AE13" s="15"/>
      <c r="AF13" s="15"/>
      <c r="AG13" s="13"/>
      <c r="AH13" s="15"/>
      <c r="AI13" s="15"/>
      <c r="AJ13" s="15"/>
      <c r="AK13" s="13"/>
      <c r="AL13" s="15"/>
      <c r="AM13" s="15"/>
      <c r="AN13" s="13"/>
      <c r="AO13" s="13"/>
    </row>
    <row r="14" spans="1:41" ht="43.5" x14ac:dyDescent="0.35">
      <c r="A14" s="13" t="s">
        <v>54</v>
      </c>
      <c r="B14" s="13" t="s">
        <v>55</v>
      </c>
      <c r="C14" s="14">
        <v>45628.647222222222</v>
      </c>
      <c r="D14" s="13" t="s">
        <v>56</v>
      </c>
      <c r="E14" s="15" t="s">
        <v>57</v>
      </c>
      <c r="F14" s="13" t="s">
        <v>58</v>
      </c>
      <c r="G14" s="15" t="s">
        <v>59</v>
      </c>
      <c r="H14" s="13" t="s">
        <v>60</v>
      </c>
      <c r="I14" s="15" t="s">
        <v>61</v>
      </c>
      <c r="J14" s="15" t="s">
        <v>62</v>
      </c>
      <c r="K14" s="15" t="s">
        <v>63</v>
      </c>
      <c r="L14" s="13" t="s">
        <v>84</v>
      </c>
      <c r="M14" s="15" t="s">
        <v>85</v>
      </c>
      <c r="N14" s="13" t="s">
        <v>66</v>
      </c>
      <c r="O14" s="15" t="s">
        <v>86</v>
      </c>
      <c r="P14" s="15" t="s">
        <v>87</v>
      </c>
      <c r="Q14" s="15" t="s">
        <v>143</v>
      </c>
      <c r="R14" s="13" t="s">
        <v>144</v>
      </c>
      <c r="S14" s="13" t="s">
        <v>71</v>
      </c>
      <c r="T14" s="13" t="s">
        <v>135</v>
      </c>
      <c r="U14" s="14">
        <v>45323</v>
      </c>
      <c r="V14" s="14"/>
      <c r="W14" s="15"/>
      <c r="X14" s="15"/>
      <c r="Y14" s="13"/>
      <c r="Z14" s="15"/>
      <c r="AA14" s="15"/>
      <c r="AB14" s="15"/>
      <c r="AC14" s="13"/>
      <c r="AD14" s="15"/>
      <c r="AE14" s="15"/>
      <c r="AF14" s="15"/>
      <c r="AG14" s="13"/>
      <c r="AH14" s="15"/>
      <c r="AI14" s="15"/>
      <c r="AJ14" s="15"/>
      <c r="AK14" s="13"/>
      <c r="AL14" s="15"/>
      <c r="AM14" s="15"/>
      <c r="AN14" s="13"/>
      <c r="AO14" s="13"/>
    </row>
    <row r="15" spans="1:41" ht="43.5" x14ac:dyDescent="0.35">
      <c r="A15" s="13" t="s">
        <v>54</v>
      </c>
      <c r="B15" s="13" t="s">
        <v>55</v>
      </c>
      <c r="C15" s="14">
        <v>45628.661111111112</v>
      </c>
      <c r="D15" s="13" t="s">
        <v>56</v>
      </c>
      <c r="E15" s="15" t="s">
        <v>57</v>
      </c>
      <c r="F15" s="13" t="s">
        <v>58</v>
      </c>
      <c r="G15" s="15" t="s">
        <v>59</v>
      </c>
      <c r="H15" s="13" t="s">
        <v>60</v>
      </c>
      <c r="I15" s="15" t="s">
        <v>61</v>
      </c>
      <c r="J15" s="15" t="s">
        <v>62</v>
      </c>
      <c r="K15" s="15" t="s">
        <v>63</v>
      </c>
      <c r="L15" s="13" t="s">
        <v>106</v>
      </c>
      <c r="M15" s="15" t="s">
        <v>107</v>
      </c>
      <c r="N15" s="13" t="s">
        <v>66</v>
      </c>
      <c r="O15" s="15" t="s">
        <v>108</v>
      </c>
      <c r="P15" s="15" t="s">
        <v>109</v>
      </c>
      <c r="Q15" s="15" t="s">
        <v>143</v>
      </c>
      <c r="R15" s="13" t="s">
        <v>144</v>
      </c>
      <c r="S15" s="13" t="s">
        <v>71</v>
      </c>
      <c r="T15" s="13" t="s">
        <v>135</v>
      </c>
      <c r="U15" s="14">
        <v>45323</v>
      </c>
      <c r="V15" s="14"/>
      <c r="W15" s="15"/>
      <c r="X15" s="15"/>
      <c r="Y15" s="13"/>
      <c r="Z15" s="15"/>
      <c r="AA15" s="15"/>
      <c r="AB15" s="15"/>
      <c r="AC15" s="13"/>
      <c r="AD15" s="15"/>
      <c r="AE15" s="15"/>
      <c r="AF15" s="15"/>
      <c r="AG15" s="13"/>
      <c r="AH15" s="15"/>
      <c r="AI15" s="15"/>
      <c r="AJ15" s="15"/>
      <c r="AK15" s="13"/>
      <c r="AL15" s="15"/>
      <c r="AM15" s="15"/>
      <c r="AN15" s="13"/>
      <c r="AO15" s="13"/>
    </row>
    <row r="16" spans="1:41" ht="43.5" x14ac:dyDescent="0.35">
      <c r="A16" s="13" t="s">
        <v>145</v>
      </c>
      <c r="B16" s="13" t="s">
        <v>55</v>
      </c>
      <c r="C16" s="14">
        <v>45994.647222222222</v>
      </c>
      <c r="D16" s="13" t="s">
        <v>56</v>
      </c>
      <c r="E16" s="15" t="s">
        <v>57</v>
      </c>
      <c r="F16" s="13" t="s">
        <v>58</v>
      </c>
      <c r="G16" s="15" t="s">
        <v>59</v>
      </c>
      <c r="H16" s="13" t="s">
        <v>60</v>
      </c>
      <c r="I16" s="15" t="s">
        <v>61</v>
      </c>
      <c r="J16" s="15" t="s">
        <v>62</v>
      </c>
      <c r="K16" s="15" t="s">
        <v>63</v>
      </c>
      <c r="L16" s="13" t="s">
        <v>64</v>
      </c>
      <c r="M16" s="15" t="s">
        <v>65</v>
      </c>
      <c r="N16" s="13" t="s">
        <v>66</v>
      </c>
      <c r="O16" s="15" t="s">
        <v>67</v>
      </c>
      <c r="P16" s="15" t="s">
        <v>68</v>
      </c>
      <c r="Q16" s="15" t="s">
        <v>146</v>
      </c>
      <c r="R16" s="13" t="s">
        <v>147</v>
      </c>
      <c r="S16" s="13" t="s">
        <v>71</v>
      </c>
      <c r="T16" s="13" t="s">
        <v>72</v>
      </c>
      <c r="U16" s="14">
        <v>45901</v>
      </c>
      <c r="V16" s="14"/>
      <c r="W16" s="15"/>
      <c r="X16" s="15"/>
      <c r="Y16" s="13"/>
      <c r="Z16" s="15"/>
      <c r="AA16" s="15"/>
      <c r="AB16" s="15"/>
      <c r="AC16" s="13"/>
      <c r="AD16" s="15"/>
      <c r="AE16" s="15"/>
      <c r="AF16" s="15"/>
      <c r="AG16" s="13"/>
      <c r="AH16" s="15"/>
      <c r="AI16" s="15"/>
      <c r="AJ16" s="15"/>
      <c r="AK16" s="13"/>
      <c r="AL16" s="15"/>
      <c r="AM16" s="15"/>
      <c r="AN16" s="13"/>
      <c r="AO16" s="13"/>
    </row>
    <row r="17" spans="1:41" ht="43.5" x14ac:dyDescent="0.35">
      <c r="A17" s="13" t="s">
        <v>145</v>
      </c>
      <c r="B17" s="13" t="s">
        <v>55</v>
      </c>
      <c r="C17" s="14">
        <v>45994.65</v>
      </c>
      <c r="D17" s="13" t="s">
        <v>56</v>
      </c>
      <c r="E17" s="15" t="s">
        <v>57</v>
      </c>
      <c r="F17" s="13" t="s">
        <v>58</v>
      </c>
      <c r="G17" s="15" t="s">
        <v>59</v>
      </c>
      <c r="H17" s="13" t="s">
        <v>60</v>
      </c>
      <c r="I17" s="15" t="s">
        <v>61</v>
      </c>
      <c r="J17" s="15" t="s">
        <v>62</v>
      </c>
      <c r="K17" s="15" t="s">
        <v>63</v>
      </c>
      <c r="L17" s="13" t="s">
        <v>84</v>
      </c>
      <c r="M17" s="15" t="s">
        <v>85</v>
      </c>
      <c r="N17" s="13" t="s">
        <v>66</v>
      </c>
      <c r="O17" s="15" t="s">
        <v>86</v>
      </c>
      <c r="P17" s="15" t="s">
        <v>87</v>
      </c>
      <c r="Q17" s="15" t="s">
        <v>146</v>
      </c>
      <c r="R17" s="13" t="s">
        <v>147</v>
      </c>
      <c r="S17" s="13" t="s">
        <v>71</v>
      </c>
      <c r="T17" s="13" t="s">
        <v>72</v>
      </c>
      <c r="U17" s="14">
        <v>45901</v>
      </c>
      <c r="V17" s="14"/>
      <c r="W17" s="15"/>
      <c r="X17" s="15"/>
      <c r="Y17" s="13"/>
      <c r="Z17" s="15"/>
      <c r="AA17" s="15"/>
      <c r="AB17" s="15"/>
      <c r="AC17" s="13"/>
      <c r="AD17" s="15"/>
      <c r="AE17" s="15"/>
      <c r="AF17" s="15"/>
      <c r="AG17" s="13"/>
      <c r="AH17" s="15"/>
      <c r="AI17" s="15"/>
      <c r="AJ17" s="15"/>
      <c r="AK17" s="13"/>
      <c r="AL17" s="15"/>
      <c r="AM17" s="15"/>
      <c r="AN17" s="13"/>
      <c r="AO17" s="13"/>
    </row>
    <row r="18" spans="1:41" ht="43.5" x14ac:dyDescent="0.35">
      <c r="A18" s="13" t="s">
        <v>145</v>
      </c>
      <c r="B18" s="13" t="s">
        <v>55</v>
      </c>
      <c r="C18" s="14">
        <v>45994.651388888888</v>
      </c>
      <c r="D18" s="13" t="s">
        <v>56</v>
      </c>
      <c r="E18" s="15" t="s">
        <v>57</v>
      </c>
      <c r="F18" s="13" t="s">
        <v>58</v>
      </c>
      <c r="G18" s="15" t="s">
        <v>59</v>
      </c>
      <c r="H18" s="13" t="s">
        <v>60</v>
      </c>
      <c r="I18" s="15" t="s">
        <v>61</v>
      </c>
      <c r="J18" s="15" t="s">
        <v>62</v>
      </c>
      <c r="K18" s="15" t="s">
        <v>63</v>
      </c>
      <c r="L18" s="13" t="s">
        <v>106</v>
      </c>
      <c r="M18" s="15" t="s">
        <v>107</v>
      </c>
      <c r="N18" s="13" t="s">
        <v>66</v>
      </c>
      <c r="O18" s="15" t="s">
        <v>108</v>
      </c>
      <c r="P18" s="15" t="s">
        <v>109</v>
      </c>
      <c r="Q18" s="15" t="s">
        <v>146</v>
      </c>
      <c r="R18" s="13" t="s">
        <v>147</v>
      </c>
      <c r="S18" s="13" t="s">
        <v>71</v>
      </c>
      <c r="T18" s="13" t="s">
        <v>72</v>
      </c>
      <c r="U18" s="14">
        <v>45901</v>
      </c>
      <c r="V18" s="14"/>
      <c r="W18" s="15"/>
      <c r="X18" s="15"/>
      <c r="Y18" s="13"/>
      <c r="Z18" s="15"/>
      <c r="AA18" s="15"/>
      <c r="AB18" s="15"/>
      <c r="AC18" s="13"/>
      <c r="AD18" s="15"/>
      <c r="AE18" s="15"/>
      <c r="AF18" s="15"/>
      <c r="AG18" s="13"/>
      <c r="AH18" s="15"/>
      <c r="AI18" s="15"/>
      <c r="AJ18" s="15"/>
      <c r="AK18" s="13"/>
      <c r="AL18" s="15"/>
      <c r="AM18" s="15"/>
      <c r="AN18" s="13"/>
      <c r="AO18" s="13"/>
    </row>
    <row r="19" spans="1:41" ht="43.5" x14ac:dyDescent="0.35">
      <c r="A19" s="13" t="s">
        <v>54</v>
      </c>
      <c r="B19" s="13" t="s">
        <v>55</v>
      </c>
      <c r="C19" s="14">
        <v>45628.642361111109</v>
      </c>
      <c r="D19" s="13" t="s">
        <v>56</v>
      </c>
      <c r="E19" s="15" t="s">
        <v>57</v>
      </c>
      <c r="F19" s="13" t="s">
        <v>58</v>
      </c>
      <c r="G19" s="15" t="s">
        <v>59</v>
      </c>
      <c r="H19" s="13" t="s">
        <v>60</v>
      </c>
      <c r="I19" s="15" t="s">
        <v>61</v>
      </c>
      <c r="J19" s="15" t="s">
        <v>62</v>
      </c>
      <c r="K19" s="15" t="s">
        <v>63</v>
      </c>
      <c r="L19" s="13" t="s">
        <v>64</v>
      </c>
      <c r="M19" s="15" t="s">
        <v>65</v>
      </c>
      <c r="N19" s="13" t="s">
        <v>66</v>
      </c>
      <c r="O19" s="15" t="s">
        <v>67</v>
      </c>
      <c r="P19" s="15" t="s">
        <v>68</v>
      </c>
      <c r="Q19" s="15" t="s">
        <v>149</v>
      </c>
      <c r="R19" s="13" t="s">
        <v>150</v>
      </c>
      <c r="S19" s="13" t="s">
        <v>151</v>
      </c>
      <c r="T19" s="13" t="s">
        <v>135</v>
      </c>
      <c r="U19" s="14">
        <v>45323</v>
      </c>
      <c r="V19" s="14"/>
      <c r="W19" s="15"/>
      <c r="X19" s="15"/>
      <c r="Y19" s="13"/>
      <c r="Z19" s="15"/>
      <c r="AA19" s="15"/>
      <c r="AB19" s="15"/>
      <c r="AC19" s="13"/>
      <c r="AD19" s="15"/>
      <c r="AE19" s="15"/>
      <c r="AF19" s="15"/>
      <c r="AG19" s="13"/>
      <c r="AH19" s="15"/>
      <c r="AI19" s="15"/>
      <c r="AJ19" s="15"/>
      <c r="AK19" s="13"/>
      <c r="AL19" s="15"/>
      <c r="AM19" s="15"/>
      <c r="AN19" s="13"/>
      <c r="AO19" s="13"/>
    </row>
    <row r="20" spans="1:41" ht="43.5" x14ac:dyDescent="0.35">
      <c r="A20" s="13" t="s">
        <v>54</v>
      </c>
      <c r="B20" s="13" t="s">
        <v>55</v>
      </c>
      <c r="C20" s="14">
        <v>45628.647222222222</v>
      </c>
      <c r="D20" s="13" t="s">
        <v>56</v>
      </c>
      <c r="E20" s="15" t="s">
        <v>57</v>
      </c>
      <c r="F20" s="13" t="s">
        <v>58</v>
      </c>
      <c r="G20" s="15" t="s">
        <v>59</v>
      </c>
      <c r="H20" s="13" t="s">
        <v>60</v>
      </c>
      <c r="I20" s="15" t="s">
        <v>61</v>
      </c>
      <c r="J20" s="15" t="s">
        <v>62</v>
      </c>
      <c r="K20" s="15" t="s">
        <v>63</v>
      </c>
      <c r="L20" s="13" t="s">
        <v>84</v>
      </c>
      <c r="M20" s="15" t="s">
        <v>85</v>
      </c>
      <c r="N20" s="13" t="s">
        <v>66</v>
      </c>
      <c r="O20" s="15" t="s">
        <v>86</v>
      </c>
      <c r="P20" s="15" t="s">
        <v>87</v>
      </c>
      <c r="Q20" s="15" t="s">
        <v>149</v>
      </c>
      <c r="R20" s="13" t="s">
        <v>150</v>
      </c>
      <c r="S20" s="13" t="s">
        <v>151</v>
      </c>
      <c r="T20" s="13" t="s">
        <v>135</v>
      </c>
      <c r="U20" s="14">
        <v>45323</v>
      </c>
      <c r="V20" s="14"/>
      <c r="W20" s="15"/>
      <c r="X20" s="15"/>
      <c r="Y20" s="13"/>
      <c r="Z20" s="15"/>
      <c r="AA20" s="15"/>
      <c r="AB20" s="15"/>
      <c r="AC20" s="13"/>
      <c r="AD20" s="15"/>
      <c r="AE20" s="15"/>
      <c r="AF20" s="15"/>
      <c r="AG20" s="13"/>
      <c r="AH20" s="15"/>
      <c r="AI20" s="15"/>
      <c r="AJ20" s="15"/>
      <c r="AK20" s="13"/>
      <c r="AL20" s="15"/>
      <c r="AM20" s="15"/>
      <c r="AN20" s="13"/>
      <c r="AO20" s="13"/>
    </row>
    <row r="21" spans="1:41" ht="43.5" x14ac:dyDescent="0.35">
      <c r="A21" s="13" t="s">
        <v>54</v>
      </c>
      <c r="B21" s="13" t="s">
        <v>55</v>
      </c>
      <c r="C21" s="14">
        <v>45628.661805555559</v>
      </c>
      <c r="D21" s="13" t="s">
        <v>56</v>
      </c>
      <c r="E21" s="15" t="s">
        <v>57</v>
      </c>
      <c r="F21" s="13" t="s">
        <v>58</v>
      </c>
      <c r="G21" s="15" t="s">
        <v>59</v>
      </c>
      <c r="H21" s="13" t="s">
        <v>60</v>
      </c>
      <c r="I21" s="15" t="s">
        <v>61</v>
      </c>
      <c r="J21" s="15" t="s">
        <v>62</v>
      </c>
      <c r="K21" s="15" t="s">
        <v>63</v>
      </c>
      <c r="L21" s="13" t="s">
        <v>106</v>
      </c>
      <c r="M21" s="15" t="s">
        <v>107</v>
      </c>
      <c r="N21" s="13" t="s">
        <v>66</v>
      </c>
      <c r="O21" s="15" t="s">
        <v>108</v>
      </c>
      <c r="P21" s="15" t="s">
        <v>109</v>
      </c>
      <c r="Q21" s="15" t="s">
        <v>149</v>
      </c>
      <c r="R21" s="13" t="s">
        <v>150</v>
      </c>
      <c r="S21" s="13" t="s">
        <v>151</v>
      </c>
      <c r="T21" s="13" t="s">
        <v>135</v>
      </c>
      <c r="U21" s="14">
        <v>45323</v>
      </c>
      <c r="V21" s="14"/>
      <c r="W21" s="15"/>
      <c r="X21" s="15"/>
      <c r="Y21" s="13"/>
      <c r="Z21" s="15"/>
      <c r="AA21" s="15"/>
      <c r="AB21" s="15"/>
      <c r="AC21" s="13"/>
      <c r="AD21" s="15"/>
      <c r="AE21" s="15"/>
      <c r="AF21" s="15"/>
      <c r="AG21" s="13"/>
      <c r="AH21" s="15"/>
      <c r="AI21" s="15"/>
      <c r="AJ21" s="15"/>
      <c r="AK21" s="13"/>
      <c r="AL21" s="15"/>
      <c r="AM21" s="15"/>
      <c r="AN21" s="13"/>
      <c r="AO21" s="13"/>
    </row>
    <row r="22" spans="1:41" ht="43.5" x14ac:dyDescent="0.35">
      <c r="A22" s="13" t="s">
        <v>54</v>
      </c>
      <c r="B22" s="13" t="s">
        <v>55</v>
      </c>
      <c r="C22" s="14">
        <v>45628.642361111109</v>
      </c>
      <c r="D22" s="13" t="s">
        <v>56</v>
      </c>
      <c r="E22" s="15" t="s">
        <v>57</v>
      </c>
      <c r="F22" s="13" t="s">
        <v>58</v>
      </c>
      <c r="G22" s="15" t="s">
        <v>59</v>
      </c>
      <c r="H22" s="13" t="s">
        <v>60</v>
      </c>
      <c r="I22" s="15" t="s">
        <v>61</v>
      </c>
      <c r="J22" s="15" t="s">
        <v>62</v>
      </c>
      <c r="K22" s="15" t="s">
        <v>63</v>
      </c>
      <c r="L22" s="13" t="s">
        <v>64</v>
      </c>
      <c r="M22" s="15" t="s">
        <v>65</v>
      </c>
      <c r="N22" s="13" t="s">
        <v>66</v>
      </c>
      <c r="O22" s="15" t="s">
        <v>67</v>
      </c>
      <c r="P22" s="15" t="s">
        <v>68</v>
      </c>
      <c r="Q22" s="15" t="s">
        <v>152</v>
      </c>
      <c r="R22" s="13" t="s">
        <v>153</v>
      </c>
      <c r="S22" s="13" t="s">
        <v>151</v>
      </c>
      <c r="T22" s="13" t="s">
        <v>135</v>
      </c>
      <c r="U22" s="14">
        <v>45323</v>
      </c>
      <c r="V22" s="14"/>
      <c r="W22" s="15"/>
      <c r="X22" s="15"/>
      <c r="Y22" s="13"/>
      <c r="Z22" s="15"/>
      <c r="AA22" s="15"/>
      <c r="AB22" s="15"/>
      <c r="AC22" s="13"/>
      <c r="AD22" s="15"/>
      <c r="AE22" s="15"/>
      <c r="AF22" s="15"/>
      <c r="AG22" s="13"/>
      <c r="AH22" s="15"/>
      <c r="AI22" s="15"/>
      <c r="AJ22" s="15"/>
      <c r="AK22" s="13"/>
      <c r="AL22" s="15"/>
      <c r="AM22" s="15"/>
      <c r="AN22" s="13"/>
      <c r="AO22" s="13"/>
    </row>
    <row r="23" spans="1:41" ht="43.5" x14ac:dyDescent="0.35">
      <c r="A23" s="13" t="s">
        <v>54</v>
      </c>
      <c r="B23" s="13" t="s">
        <v>55</v>
      </c>
      <c r="C23" s="14">
        <v>45628.647916666669</v>
      </c>
      <c r="D23" s="13" t="s">
        <v>56</v>
      </c>
      <c r="E23" s="15" t="s">
        <v>57</v>
      </c>
      <c r="F23" s="13" t="s">
        <v>58</v>
      </c>
      <c r="G23" s="15" t="s">
        <v>59</v>
      </c>
      <c r="H23" s="13" t="s">
        <v>60</v>
      </c>
      <c r="I23" s="15" t="s">
        <v>61</v>
      </c>
      <c r="J23" s="15" t="s">
        <v>62</v>
      </c>
      <c r="K23" s="15" t="s">
        <v>63</v>
      </c>
      <c r="L23" s="13" t="s">
        <v>84</v>
      </c>
      <c r="M23" s="15" t="s">
        <v>85</v>
      </c>
      <c r="N23" s="13" t="s">
        <v>66</v>
      </c>
      <c r="O23" s="15" t="s">
        <v>86</v>
      </c>
      <c r="P23" s="15" t="s">
        <v>87</v>
      </c>
      <c r="Q23" s="15" t="s">
        <v>152</v>
      </c>
      <c r="R23" s="13" t="s">
        <v>153</v>
      </c>
      <c r="S23" s="13" t="s">
        <v>151</v>
      </c>
      <c r="T23" s="13" t="s">
        <v>135</v>
      </c>
      <c r="U23" s="14">
        <v>45323</v>
      </c>
      <c r="V23" s="14"/>
      <c r="W23" s="15"/>
      <c r="X23" s="15"/>
      <c r="Y23" s="13"/>
      <c r="Z23" s="15"/>
      <c r="AA23" s="15"/>
      <c r="AB23" s="15"/>
      <c r="AC23" s="13"/>
      <c r="AD23" s="15"/>
      <c r="AE23" s="15"/>
      <c r="AF23" s="15"/>
      <c r="AG23" s="13"/>
      <c r="AH23" s="15"/>
      <c r="AI23" s="15"/>
      <c r="AJ23" s="15"/>
      <c r="AK23" s="13"/>
      <c r="AL23" s="15"/>
      <c r="AM23" s="15"/>
      <c r="AN23" s="13"/>
      <c r="AO23" s="13"/>
    </row>
    <row r="24" spans="1:41" ht="43.5" x14ac:dyDescent="0.35">
      <c r="A24" s="13" t="s">
        <v>54</v>
      </c>
      <c r="B24" s="13" t="s">
        <v>55</v>
      </c>
      <c r="C24" s="14">
        <v>45628.661805555559</v>
      </c>
      <c r="D24" s="13" t="s">
        <v>56</v>
      </c>
      <c r="E24" s="15" t="s">
        <v>57</v>
      </c>
      <c r="F24" s="13" t="s">
        <v>58</v>
      </c>
      <c r="G24" s="15" t="s">
        <v>59</v>
      </c>
      <c r="H24" s="13" t="s">
        <v>60</v>
      </c>
      <c r="I24" s="15" t="s">
        <v>61</v>
      </c>
      <c r="J24" s="15" t="s">
        <v>62</v>
      </c>
      <c r="K24" s="15" t="s">
        <v>63</v>
      </c>
      <c r="L24" s="13" t="s">
        <v>106</v>
      </c>
      <c r="M24" s="15" t="s">
        <v>107</v>
      </c>
      <c r="N24" s="13" t="s">
        <v>66</v>
      </c>
      <c r="O24" s="15" t="s">
        <v>108</v>
      </c>
      <c r="P24" s="15" t="s">
        <v>109</v>
      </c>
      <c r="Q24" s="15" t="s">
        <v>152</v>
      </c>
      <c r="R24" s="13" t="s">
        <v>153</v>
      </c>
      <c r="S24" s="13" t="s">
        <v>151</v>
      </c>
      <c r="T24" s="13" t="s">
        <v>135</v>
      </c>
      <c r="U24" s="14">
        <v>45323</v>
      </c>
      <c r="V24" s="14"/>
      <c r="W24" s="15"/>
      <c r="X24" s="15"/>
      <c r="Y24" s="13"/>
      <c r="Z24" s="15"/>
      <c r="AA24" s="15"/>
      <c r="AB24" s="15"/>
      <c r="AC24" s="13"/>
      <c r="AD24" s="15"/>
      <c r="AE24" s="15"/>
      <c r="AF24" s="15"/>
      <c r="AG24" s="13"/>
      <c r="AH24" s="15"/>
      <c r="AI24" s="15"/>
      <c r="AJ24" s="15"/>
      <c r="AK24" s="13"/>
      <c r="AL24" s="15"/>
      <c r="AM24" s="15"/>
      <c r="AN24" s="13"/>
      <c r="AO24" s="13"/>
    </row>
    <row r="25" spans="1:41" ht="43.5" x14ac:dyDescent="0.35">
      <c r="A25" s="13" t="s">
        <v>54</v>
      </c>
      <c r="B25" s="13" t="s">
        <v>55</v>
      </c>
      <c r="C25" s="14">
        <v>45628.642361111109</v>
      </c>
      <c r="D25" s="13" t="s">
        <v>56</v>
      </c>
      <c r="E25" s="15" t="s">
        <v>57</v>
      </c>
      <c r="F25" s="13" t="s">
        <v>58</v>
      </c>
      <c r="G25" s="15" t="s">
        <v>59</v>
      </c>
      <c r="H25" s="13" t="s">
        <v>60</v>
      </c>
      <c r="I25" s="15" t="s">
        <v>61</v>
      </c>
      <c r="J25" s="15" t="s">
        <v>62</v>
      </c>
      <c r="K25" s="15" t="s">
        <v>63</v>
      </c>
      <c r="L25" s="13" t="s">
        <v>64</v>
      </c>
      <c r="M25" s="15" t="s">
        <v>65</v>
      </c>
      <c r="N25" s="13" t="s">
        <v>66</v>
      </c>
      <c r="O25" s="15" t="s">
        <v>67</v>
      </c>
      <c r="P25" s="15" t="s">
        <v>68</v>
      </c>
      <c r="Q25" s="15" t="s">
        <v>154</v>
      </c>
      <c r="R25" s="13" t="s">
        <v>155</v>
      </c>
      <c r="S25" s="13" t="s">
        <v>151</v>
      </c>
      <c r="T25" s="13" t="s">
        <v>135</v>
      </c>
      <c r="U25" s="14">
        <v>45323</v>
      </c>
      <c r="V25" s="14"/>
      <c r="W25" s="15"/>
      <c r="X25" s="15"/>
      <c r="Y25" s="13"/>
      <c r="Z25" s="15"/>
      <c r="AA25" s="15"/>
      <c r="AB25" s="15"/>
      <c r="AC25" s="13"/>
      <c r="AD25" s="15"/>
      <c r="AE25" s="15"/>
      <c r="AF25" s="15"/>
      <c r="AG25" s="13"/>
      <c r="AH25" s="15"/>
      <c r="AI25" s="15"/>
      <c r="AJ25" s="15"/>
      <c r="AK25" s="13"/>
      <c r="AL25" s="15"/>
      <c r="AM25" s="15"/>
      <c r="AN25" s="13"/>
      <c r="AO25" s="13"/>
    </row>
    <row r="26" spans="1:41" ht="43.5" x14ac:dyDescent="0.35">
      <c r="A26" s="13" t="s">
        <v>54</v>
      </c>
      <c r="B26" s="13" t="s">
        <v>55</v>
      </c>
      <c r="C26" s="14">
        <v>45628.647916666669</v>
      </c>
      <c r="D26" s="13" t="s">
        <v>56</v>
      </c>
      <c r="E26" s="15" t="s">
        <v>57</v>
      </c>
      <c r="F26" s="13" t="s">
        <v>58</v>
      </c>
      <c r="G26" s="15" t="s">
        <v>59</v>
      </c>
      <c r="H26" s="13" t="s">
        <v>60</v>
      </c>
      <c r="I26" s="15" t="s">
        <v>61</v>
      </c>
      <c r="J26" s="15" t="s">
        <v>62</v>
      </c>
      <c r="K26" s="15" t="s">
        <v>63</v>
      </c>
      <c r="L26" s="13" t="s">
        <v>84</v>
      </c>
      <c r="M26" s="15" t="s">
        <v>85</v>
      </c>
      <c r="N26" s="13" t="s">
        <v>66</v>
      </c>
      <c r="O26" s="15" t="s">
        <v>86</v>
      </c>
      <c r="P26" s="15" t="s">
        <v>87</v>
      </c>
      <c r="Q26" s="15" t="s">
        <v>154</v>
      </c>
      <c r="R26" s="13" t="s">
        <v>155</v>
      </c>
      <c r="S26" s="13" t="s">
        <v>151</v>
      </c>
      <c r="T26" s="13" t="s">
        <v>135</v>
      </c>
      <c r="U26" s="14">
        <v>45323</v>
      </c>
      <c r="V26" s="14"/>
      <c r="W26" s="15"/>
      <c r="X26" s="15"/>
      <c r="Y26" s="13"/>
      <c r="Z26" s="15"/>
      <c r="AA26" s="15"/>
      <c r="AB26" s="15"/>
      <c r="AC26" s="13"/>
      <c r="AD26" s="15"/>
      <c r="AE26" s="15"/>
      <c r="AF26" s="15"/>
      <c r="AG26" s="13"/>
      <c r="AH26" s="15"/>
      <c r="AI26" s="15"/>
      <c r="AJ26" s="15"/>
      <c r="AK26" s="13"/>
      <c r="AL26" s="15"/>
      <c r="AM26" s="15"/>
      <c r="AN26" s="13"/>
      <c r="AO26" s="13"/>
    </row>
    <row r="27" spans="1:41" ht="43.5" x14ac:dyDescent="0.35">
      <c r="A27" s="13" t="s">
        <v>54</v>
      </c>
      <c r="B27" s="13" t="s">
        <v>55</v>
      </c>
      <c r="C27" s="14">
        <v>45628.662499999999</v>
      </c>
      <c r="D27" s="13" t="s">
        <v>56</v>
      </c>
      <c r="E27" s="15" t="s">
        <v>57</v>
      </c>
      <c r="F27" s="13" t="s">
        <v>58</v>
      </c>
      <c r="G27" s="15" t="s">
        <v>59</v>
      </c>
      <c r="H27" s="13" t="s">
        <v>60</v>
      </c>
      <c r="I27" s="15" t="s">
        <v>61</v>
      </c>
      <c r="J27" s="15" t="s">
        <v>62</v>
      </c>
      <c r="K27" s="15" t="s">
        <v>63</v>
      </c>
      <c r="L27" s="13" t="s">
        <v>106</v>
      </c>
      <c r="M27" s="15" t="s">
        <v>107</v>
      </c>
      <c r="N27" s="13" t="s">
        <v>66</v>
      </c>
      <c r="O27" s="15" t="s">
        <v>108</v>
      </c>
      <c r="P27" s="15" t="s">
        <v>109</v>
      </c>
      <c r="Q27" s="15" t="s">
        <v>154</v>
      </c>
      <c r="R27" s="13" t="s">
        <v>155</v>
      </c>
      <c r="S27" s="13" t="s">
        <v>151</v>
      </c>
      <c r="T27" s="13" t="s">
        <v>135</v>
      </c>
      <c r="U27" s="14">
        <v>45323</v>
      </c>
      <c r="V27" s="14"/>
      <c r="W27" s="15"/>
      <c r="X27" s="15"/>
      <c r="Y27" s="13"/>
      <c r="Z27" s="15"/>
      <c r="AA27" s="15"/>
      <c r="AB27" s="15"/>
      <c r="AC27" s="13"/>
      <c r="AD27" s="15"/>
      <c r="AE27" s="15"/>
      <c r="AF27" s="15"/>
      <c r="AG27" s="13"/>
      <c r="AH27" s="15"/>
      <c r="AI27" s="15"/>
      <c r="AJ27" s="15"/>
      <c r="AK27" s="13"/>
      <c r="AL27" s="15"/>
      <c r="AM27" s="15"/>
      <c r="AN27" s="13"/>
      <c r="AO27" s="13"/>
    </row>
    <row r="28" spans="1:41" ht="43.5" x14ac:dyDescent="0.35">
      <c r="A28" s="13" t="s">
        <v>145</v>
      </c>
      <c r="B28" s="13" t="s">
        <v>55</v>
      </c>
      <c r="C28" s="14">
        <v>45994.438194444447</v>
      </c>
      <c r="D28" s="13" t="s">
        <v>56</v>
      </c>
      <c r="E28" s="15" t="s">
        <v>57</v>
      </c>
      <c r="F28" s="13" t="s">
        <v>58</v>
      </c>
      <c r="G28" s="15" t="s">
        <v>59</v>
      </c>
      <c r="H28" s="13" t="s">
        <v>60</v>
      </c>
      <c r="I28" s="15" t="s">
        <v>61</v>
      </c>
      <c r="J28" s="15" t="s">
        <v>62</v>
      </c>
      <c r="K28" s="15" t="s">
        <v>63</v>
      </c>
      <c r="L28" s="13" t="s">
        <v>64</v>
      </c>
      <c r="M28" s="15" t="s">
        <v>65</v>
      </c>
      <c r="N28" s="13" t="s">
        <v>66</v>
      </c>
      <c r="O28" s="15" t="s">
        <v>67</v>
      </c>
      <c r="P28" s="15" t="s">
        <v>68</v>
      </c>
      <c r="Q28" s="15" t="s">
        <v>156</v>
      </c>
      <c r="R28" s="13" t="s">
        <v>157</v>
      </c>
      <c r="S28" s="13" t="s">
        <v>151</v>
      </c>
      <c r="T28" s="13" t="s">
        <v>72</v>
      </c>
      <c r="U28" s="14">
        <v>45901</v>
      </c>
      <c r="V28" s="14"/>
      <c r="W28" s="15"/>
      <c r="X28" s="15"/>
      <c r="Y28" s="13"/>
      <c r="Z28" s="15"/>
      <c r="AA28" s="15"/>
      <c r="AB28" s="15"/>
      <c r="AC28" s="13"/>
      <c r="AD28" s="15"/>
      <c r="AE28" s="15"/>
      <c r="AF28" s="15"/>
      <c r="AG28" s="13"/>
      <c r="AH28" s="15"/>
      <c r="AI28" s="15"/>
      <c r="AJ28" s="15"/>
      <c r="AK28" s="13"/>
      <c r="AL28" s="15"/>
      <c r="AM28" s="15"/>
      <c r="AN28" s="13"/>
      <c r="AO28" s="13"/>
    </row>
    <row r="29" spans="1:41" ht="43.5" x14ac:dyDescent="0.35">
      <c r="A29" s="13" t="s">
        <v>145</v>
      </c>
      <c r="B29" s="13" t="s">
        <v>55</v>
      </c>
      <c r="C29" s="14">
        <v>45994.44027777778</v>
      </c>
      <c r="D29" s="13" t="s">
        <v>56</v>
      </c>
      <c r="E29" s="15" t="s">
        <v>57</v>
      </c>
      <c r="F29" s="13" t="s">
        <v>58</v>
      </c>
      <c r="G29" s="15" t="s">
        <v>59</v>
      </c>
      <c r="H29" s="13" t="s">
        <v>60</v>
      </c>
      <c r="I29" s="15" t="s">
        <v>61</v>
      </c>
      <c r="J29" s="15" t="s">
        <v>62</v>
      </c>
      <c r="K29" s="15" t="s">
        <v>63</v>
      </c>
      <c r="L29" s="13" t="s">
        <v>84</v>
      </c>
      <c r="M29" s="15" t="s">
        <v>85</v>
      </c>
      <c r="N29" s="13" t="s">
        <v>66</v>
      </c>
      <c r="O29" s="15" t="s">
        <v>86</v>
      </c>
      <c r="P29" s="15" t="s">
        <v>87</v>
      </c>
      <c r="Q29" s="15" t="s">
        <v>156</v>
      </c>
      <c r="R29" s="13" t="s">
        <v>157</v>
      </c>
      <c r="S29" s="13" t="s">
        <v>151</v>
      </c>
      <c r="T29" s="13" t="s">
        <v>72</v>
      </c>
      <c r="U29" s="14">
        <v>45901</v>
      </c>
      <c r="V29" s="14"/>
      <c r="W29" s="15"/>
      <c r="X29" s="15"/>
      <c r="Y29" s="13"/>
      <c r="Z29" s="15"/>
      <c r="AA29" s="15"/>
      <c r="AB29" s="15"/>
      <c r="AC29" s="13"/>
      <c r="AD29" s="15"/>
      <c r="AE29" s="15"/>
      <c r="AF29" s="15"/>
      <c r="AG29" s="13"/>
      <c r="AH29" s="15"/>
      <c r="AI29" s="15"/>
      <c r="AJ29" s="15"/>
      <c r="AK29" s="13"/>
      <c r="AL29" s="15"/>
      <c r="AM29" s="15"/>
      <c r="AN29" s="13"/>
      <c r="AO29" s="13"/>
    </row>
    <row r="30" spans="1:41" ht="43.5" x14ac:dyDescent="0.35">
      <c r="A30" s="13" t="s">
        <v>145</v>
      </c>
      <c r="B30" s="13" t="s">
        <v>55</v>
      </c>
      <c r="C30" s="14">
        <v>45994.442361111112</v>
      </c>
      <c r="D30" s="13" t="s">
        <v>56</v>
      </c>
      <c r="E30" s="15" t="s">
        <v>57</v>
      </c>
      <c r="F30" s="13" t="s">
        <v>58</v>
      </c>
      <c r="G30" s="15" t="s">
        <v>59</v>
      </c>
      <c r="H30" s="13" t="s">
        <v>60</v>
      </c>
      <c r="I30" s="15" t="s">
        <v>61</v>
      </c>
      <c r="J30" s="15" t="s">
        <v>62</v>
      </c>
      <c r="K30" s="15" t="s">
        <v>63</v>
      </c>
      <c r="L30" s="13" t="s">
        <v>106</v>
      </c>
      <c r="M30" s="15" t="s">
        <v>107</v>
      </c>
      <c r="N30" s="13" t="s">
        <v>66</v>
      </c>
      <c r="O30" s="15" t="s">
        <v>108</v>
      </c>
      <c r="P30" s="15" t="s">
        <v>109</v>
      </c>
      <c r="Q30" s="15" t="s">
        <v>156</v>
      </c>
      <c r="R30" s="13" t="s">
        <v>157</v>
      </c>
      <c r="S30" s="13" t="s">
        <v>151</v>
      </c>
      <c r="T30" s="13" t="s">
        <v>72</v>
      </c>
      <c r="U30" s="14">
        <v>45901</v>
      </c>
      <c r="V30" s="14"/>
      <c r="W30" s="15"/>
      <c r="X30" s="15"/>
      <c r="Y30" s="13"/>
      <c r="Z30" s="15"/>
      <c r="AA30" s="15"/>
      <c r="AB30" s="15"/>
      <c r="AC30" s="13"/>
      <c r="AD30" s="15"/>
      <c r="AE30" s="15"/>
      <c r="AF30" s="15"/>
      <c r="AG30" s="13"/>
      <c r="AH30" s="15"/>
      <c r="AI30" s="15"/>
      <c r="AJ30" s="15"/>
      <c r="AK30" s="13"/>
      <c r="AL30" s="15"/>
      <c r="AM30" s="15"/>
      <c r="AN30" s="13"/>
      <c r="AO30" s="13"/>
    </row>
    <row r="31" spans="1:41" ht="43.5" x14ac:dyDescent="0.35">
      <c r="A31" s="13" t="s">
        <v>54</v>
      </c>
      <c r="B31" s="13" t="s">
        <v>55</v>
      </c>
      <c r="C31" s="14">
        <v>45628.643055555556</v>
      </c>
      <c r="D31" s="13" t="s">
        <v>56</v>
      </c>
      <c r="E31" s="15" t="s">
        <v>57</v>
      </c>
      <c r="F31" s="13" t="s">
        <v>58</v>
      </c>
      <c r="G31" s="15" t="s">
        <v>59</v>
      </c>
      <c r="H31" s="13" t="s">
        <v>60</v>
      </c>
      <c r="I31" s="15" t="s">
        <v>61</v>
      </c>
      <c r="J31" s="15" t="s">
        <v>62</v>
      </c>
      <c r="K31" s="15" t="s">
        <v>63</v>
      </c>
      <c r="L31" s="13" t="s">
        <v>64</v>
      </c>
      <c r="M31" s="15" t="s">
        <v>65</v>
      </c>
      <c r="N31" s="13" t="s">
        <v>66</v>
      </c>
      <c r="O31" s="15" t="s">
        <v>67</v>
      </c>
      <c r="P31" s="15" t="s">
        <v>68</v>
      </c>
      <c r="Q31" s="15" t="s">
        <v>165</v>
      </c>
      <c r="R31" s="13" t="s">
        <v>166</v>
      </c>
      <c r="S31" s="13" t="s">
        <v>151</v>
      </c>
      <c r="T31" s="13" t="s">
        <v>135</v>
      </c>
      <c r="U31" s="14">
        <v>45323</v>
      </c>
      <c r="V31" s="14"/>
      <c r="W31" s="15"/>
      <c r="X31" s="15"/>
      <c r="Y31" s="13"/>
      <c r="Z31" s="15"/>
      <c r="AA31" s="15"/>
      <c r="AB31" s="15"/>
      <c r="AC31" s="13"/>
      <c r="AD31" s="15"/>
      <c r="AE31" s="15"/>
      <c r="AF31" s="15"/>
      <c r="AG31" s="13"/>
      <c r="AH31" s="15"/>
      <c r="AI31" s="15"/>
      <c r="AJ31" s="15"/>
      <c r="AK31" s="13"/>
      <c r="AL31" s="15"/>
      <c r="AM31" s="15"/>
      <c r="AN31" s="13"/>
      <c r="AO31" s="13"/>
    </row>
    <row r="32" spans="1:41" ht="43.5" x14ac:dyDescent="0.35">
      <c r="A32" s="13" t="s">
        <v>54</v>
      </c>
      <c r="B32" s="13" t="s">
        <v>55</v>
      </c>
      <c r="C32" s="14">
        <v>45628.647916666669</v>
      </c>
      <c r="D32" s="13" t="s">
        <v>56</v>
      </c>
      <c r="E32" s="15" t="s">
        <v>57</v>
      </c>
      <c r="F32" s="13" t="s">
        <v>58</v>
      </c>
      <c r="G32" s="15" t="s">
        <v>59</v>
      </c>
      <c r="H32" s="13" t="s">
        <v>60</v>
      </c>
      <c r="I32" s="15" t="s">
        <v>61</v>
      </c>
      <c r="J32" s="15" t="s">
        <v>62</v>
      </c>
      <c r="K32" s="15" t="s">
        <v>63</v>
      </c>
      <c r="L32" s="13" t="s">
        <v>84</v>
      </c>
      <c r="M32" s="15" t="s">
        <v>85</v>
      </c>
      <c r="N32" s="13" t="s">
        <v>66</v>
      </c>
      <c r="O32" s="15" t="s">
        <v>86</v>
      </c>
      <c r="P32" s="15" t="s">
        <v>87</v>
      </c>
      <c r="Q32" s="15" t="s">
        <v>165</v>
      </c>
      <c r="R32" s="13" t="s">
        <v>166</v>
      </c>
      <c r="S32" s="13" t="s">
        <v>151</v>
      </c>
      <c r="T32" s="13" t="s">
        <v>135</v>
      </c>
      <c r="U32" s="14">
        <v>45323</v>
      </c>
      <c r="V32" s="14"/>
      <c r="W32" s="15"/>
      <c r="X32" s="15"/>
      <c r="Y32" s="13"/>
      <c r="Z32" s="15"/>
      <c r="AA32" s="15"/>
      <c r="AB32" s="15"/>
      <c r="AC32" s="13"/>
      <c r="AD32" s="15"/>
      <c r="AE32" s="15"/>
      <c r="AF32" s="15"/>
      <c r="AG32" s="13"/>
      <c r="AH32" s="15"/>
      <c r="AI32" s="15"/>
      <c r="AJ32" s="15"/>
      <c r="AK32" s="13"/>
      <c r="AL32" s="15"/>
      <c r="AM32" s="15"/>
      <c r="AN32" s="13"/>
      <c r="AO32" s="13"/>
    </row>
    <row r="33" spans="1:41" ht="43.5" x14ac:dyDescent="0.35">
      <c r="A33" s="13" t="s">
        <v>54</v>
      </c>
      <c r="B33" s="13" t="s">
        <v>55</v>
      </c>
      <c r="C33" s="14">
        <v>45628.662499999999</v>
      </c>
      <c r="D33" s="13" t="s">
        <v>56</v>
      </c>
      <c r="E33" s="15" t="s">
        <v>57</v>
      </c>
      <c r="F33" s="13" t="s">
        <v>58</v>
      </c>
      <c r="G33" s="15" t="s">
        <v>59</v>
      </c>
      <c r="H33" s="13" t="s">
        <v>60</v>
      </c>
      <c r="I33" s="15" t="s">
        <v>61</v>
      </c>
      <c r="J33" s="15" t="s">
        <v>62</v>
      </c>
      <c r="K33" s="15" t="s">
        <v>63</v>
      </c>
      <c r="L33" s="13" t="s">
        <v>106</v>
      </c>
      <c r="M33" s="15" t="s">
        <v>107</v>
      </c>
      <c r="N33" s="13" t="s">
        <v>66</v>
      </c>
      <c r="O33" s="15" t="s">
        <v>108</v>
      </c>
      <c r="P33" s="15" t="s">
        <v>109</v>
      </c>
      <c r="Q33" s="15" t="s">
        <v>165</v>
      </c>
      <c r="R33" s="13" t="s">
        <v>166</v>
      </c>
      <c r="S33" s="13" t="s">
        <v>151</v>
      </c>
      <c r="T33" s="13" t="s">
        <v>135</v>
      </c>
      <c r="U33" s="14">
        <v>45323</v>
      </c>
      <c r="V33" s="14"/>
      <c r="W33" s="15"/>
      <c r="X33" s="15"/>
      <c r="Y33" s="13"/>
      <c r="Z33" s="15"/>
      <c r="AA33" s="15"/>
      <c r="AB33" s="15"/>
      <c r="AC33" s="13"/>
      <c r="AD33" s="15"/>
      <c r="AE33" s="15"/>
      <c r="AF33" s="15"/>
      <c r="AG33" s="13"/>
      <c r="AH33" s="15"/>
      <c r="AI33" s="15"/>
      <c r="AJ33" s="15"/>
      <c r="AK33" s="13"/>
      <c r="AL33" s="15"/>
      <c r="AM33" s="15"/>
      <c r="AN33" s="13"/>
      <c r="AO33" s="13"/>
    </row>
    <row r="34" spans="1:41" ht="43.5" x14ac:dyDescent="0.35">
      <c r="A34" s="13" t="s">
        <v>54</v>
      </c>
      <c r="B34" s="13" t="s">
        <v>55</v>
      </c>
      <c r="C34" s="14">
        <v>45628.643055555556</v>
      </c>
      <c r="D34" s="13" t="s">
        <v>56</v>
      </c>
      <c r="E34" s="15" t="s">
        <v>57</v>
      </c>
      <c r="F34" s="13" t="s">
        <v>58</v>
      </c>
      <c r="G34" s="15" t="s">
        <v>59</v>
      </c>
      <c r="H34" s="13" t="s">
        <v>60</v>
      </c>
      <c r="I34" s="15" t="s">
        <v>61</v>
      </c>
      <c r="J34" s="15" t="s">
        <v>62</v>
      </c>
      <c r="K34" s="15" t="s">
        <v>63</v>
      </c>
      <c r="L34" s="13" t="s">
        <v>64</v>
      </c>
      <c r="M34" s="15" t="s">
        <v>65</v>
      </c>
      <c r="N34" s="13" t="s">
        <v>66</v>
      </c>
      <c r="O34" s="15" t="s">
        <v>67</v>
      </c>
      <c r="P34" s="15" t="s">
        <v>68</v>
      </c>
      <c r="Q34" s="15" t="s">
        <v>167</v>
      </c>
      <c r="R34" s="13" t="s">
        <v>168</v>
      </c>
      <c r="S34" s="13" t="s">
        <v>151</v>
      </c>
      <c r="T34" s="13" t="s">
        <v>135</v>
      </c>
      <c r="U34" s="14">
        <v>45323</v>
      </c>
      <c r="V34" s="14"/>
      <c r="W34" s="15"/>
      <c r="X34" s="15"/>
      <c r="Y34" s="13"/>
      <c r="Z34" s="15"/>
      <c r="AA34" s="15"/>
      <c r="AB34" s="15"/>
      <c r="AC34" s="13"/>
      <c r="AD34" s="15"/>
      <c r="AE34" s="15"/>
      <c r="AF34" s="15"/>
      <c r="AG34" s="13"/>
      <c r="AH34" s="15"/>
      <c r="AI34" s="15"/>
      <c r="AJ34" s="15"/>
      <c r="AK34" s="13"/>
      <c r="AL34" s="15"/>
      <c r="AM34" s="15"/>
      <c r="AN34" s="13"/>
      <c r="AO34" s="13"/>
    </row>
    <row r="35" spans="1:41" ht="43.5" x14ac:dyDescent="0.35">
      <c r="A35" s="13" t="s">
        <v>54</v>
      </c>
      <c r="B35" s="13" t="s">
        <v>55</v>
      </c>
      <c r="C35" s="14">
        <v>45628.648611111108</v>
      </c>
      <c r="D35" s="13" t="s">
        <v>56</v>
      </c>
      <c r="E35" s="15" t="s">
        <v>57</v>
      </c>
      <c r="F35" s="13" t="s">
        <v>58</v>
      </c>
      <c r="G35" s="15" t="s">
        <v>59</v>
      </c>
      <c r="H35" s="13" t="s">
        <v>60</v>
      </c>
      <c r="I35" s="15" t="s">
        <v>61</v>
      </c>
      <c r="J35" s="15" t="s">
        <v>62</v>
      </c>
      <c r="K35" s="15" t="s">
        <v>63</v>
      </c>
      <c r="L35" s="13" t="s">
        <v>84</v>
      </c>
      <c r="M35" s="15" t="s">
        <v>85</v>
      </c>
      <c r="N35" s="13" t="s">
        <v>66</v>
      </c>
      <c r="O35" s="15" t="s">
        <v>86</v>
      </c>
      <c r="P35" s="15" t="s">
        <v>87</v>
      </c>
      <c r="Q35" s="15" t="s">
        <v>167</v>
      </c>
      <c r="R35" s="13" t="s">
        <v>168</v>
      </c>
      <c r="S35" s="13" t="s">
        <v>151</v>
      </c>
      <c r="T35" s="13" t="s">
        <v>135</v>
      </c>
      <c r="U35" s="14">
        <v>45323</v>
      </c>
      <c r="V35" s="14"/>
      <c r="W35" s="15"/>
      <c r="X35" s="15"/>
      <c r="Y35" s="13"/>
      <c r="Z35" s="15"/>
      <c r="AA35" s="15"/>
      <c r="AB35" s="15"/>
      <c r="AC35" s="13"/>
      <c r="AD35" s="15"/>
      <c r="AE35" s="15"/>
      <c r="AF35" s="15"/>
      <c r="AG35" s="13"/>
      <c r="AH35" s="15"/>
      <c r="AI35" s="15"/>
      <c r="AJ35" s="15"/>
      <c r="AK35" s="13"/>
      <c r="AL35" s="15"/>
      <c r="AM35" s="15"/>
      <c r="AN35" s="13"/>
      <c r="AO35" s="13"/>
    </row>
    <row r="36" spans="1:41" ht="43.5" x14ac:dyDescent="0.35">
      <c r="A36" s="13" t="s">
        <v>54</v>
      </c>
      <c r="B36" s="13" t="s">
        <v>55</v>
      </c>
      <c r="C36" s="14">
        <v>45628.663194444445</v>
      </c>
      <c r="D36" s="13" t="s">
        <v>56</v>
      </c>
      <c r="E36" s="15" t="s">
        <v>57</v>
      </c>
      <c r="F36" s="13" t="s">
        <v>58</v>
      </c>
      <c r="G36" s="15" t="s">
        <v>59</v>
      </c>
      <c r="H36" s="13" t="s">
        <v>60</v>
      </c>
      <c r="I36" s="15" t="s">
        <v>61</v>
      </c>
      <c r="J36" s="15" t="s">
        <v>62</v>
      </c>
      <c r="K36" s="15" t="s">
        <v>63</v>
      </c>
      <c r="L36" s="13" t="s">
        <v>106</v>
      </c>
      <c r="M36" s="15" t="s">
        <v>107</v>
      </c>
      <c r="N36" s="13" t="s">
        <v>66</v>
      </c>
      <c r="O36" s="15" t="s">
        <v>108</v>
      </c>
      <c r="P36" s="15" t="s">
        <v>109</v>
      </c>
      <c r="Q36" s="15" t="s">
        <v>167</v>
      </c>
      <c r="R36" s="13" t="s">
        <v>168</v>
      </c>
      <c r="S36" s="13" t="s">
        <v>151</v>
      </c>
      <c r="T36" s="13" t="s">
        <v>135</v>
      </c>
      <c r="U36" s="14">
        <v>45323</v>
      </c>
      <c r="V36" s="14"/>
      <c r="W36" s="15"/>
      <c r="X36" s="15"/>
      <c r="Y36" s="13"/>
      <c r="Z36" s="15"/>
      <c r="AA36" s="15"/>
      <c r="AB36" s="15"/>
      <c r="AC36" s="13"/>
      <c r="AD36" s="15"/>
      <c r="AE36" s="15"/>
      <c r="AF36" s="15"/>
      <c r="AG36" s="13"/>
      <c r="AH36" s="15"/>
      <c r="AI36" s="15"/>
      <c r="AJ36" s="15"/>
      <c r="AK36" s="13"/>
      <c r="AL36" s="15"/>
      <c r="AM36" s="15"/>
      <c r="AN36" s="13"/>
      <c r="AO36" s="13"/>
    </row>
    <row r="37" spans="1:41" ht="43.5" x14ac:dyDescent="0.35">
      <c r="A37" s="13" t="s">
        <v>145</v>
      </c>
      <c r="B37" s="13" t="s">
        <v>55</v>
      </c>
      <c r="C37" s="14">
        <v>45994.445833333331</v>
      </c>
      <c r="D37" s="13" t="s">
        <v>56</v>
      </c>
      <c r="E37" s="15" t="s">
        <v>57</v>
      </c>
      <c r="F37" s="13" t="s">
        <v>58</v>
      </c>
      <c r="G37" s="15" t="s">
        <v>59</v>
      </c>
      <c r="H37" s="13" t="s">
        <v>60</v>
      </c>
      <c r="I37" s="15" t="s">
        <v>61</v>
      </c>
      <c r="J37" s="15" t="s">
        <v>62</v>
      </c>
      <c r="K37" s="15" t="s">
        <v>63</v>
      </c>
      <c r="L37" s="13" t="s">
        <v>64</v>
      </c>
      <c r="M37" s="15" t="s">
        <v>65</v>
      </c>
      <c r="N37" s="13" t="s">
        <v>66</v>
      </c>
      <c r="O37" s="15" t="s">
        <v>67</v>
      </c>
      <c r="P37" s="15" t="s">
        <v>68</v>
      </c>
      <c r="Q37" s="15" t="s">
        <v>169</v>
      </c>
      <c r="R37" s="13" t="s">
        <v>170</v>
      </c>
      <c r="S37" s="13" t="s">
        <v>151</v>
      </c>
      <c r="T37" s="13" t="s">
        <v>135</v>
      </c>
      <c r="U37" s="14">
        <v>45901</v>
      </c>
      <c r="V37" s="14"/>
      <c r="W37" s="15"/>
      <c r="X37" s="15"/>
      <c r="Y37" s="13"/>
      <c r="Z37" s="15"/>
      <c r="AA37" s="15"/>
      <c r="AB37" s="15"/>
      <c r="AC37" s="13"/>
      <c r="AD37" s="15"/>
      <c r="AE37" s="15"/>
      <c r="AF37" s="15"/>
      <c r="AG37" s="13"/>
      <c r="AH37" s="15"/>
      <c r="AI37" s="15"/>
      <c r="AJ37" s="15"/>
      <c r="AK37" s="13"/>
      <c r="AL37" s="15"/>
      <c r="AM37" s="15"/>
      <c r="AN37" s="13"/>
      <c r="AO37" s="13"/>
    </row>
    <row r="38" spans="1:41" ht="43.5" x14ac:dyDescent="0.35">
      <c r="A38" s="13" t="s">
        <v>145</v>
      </c>
      <c r="B38" s="13" t="s">
        <v>55</v>
      </c>
      <c r="C38" s="14">
        <v>45994.649305555555</v>
      </c>
      <c r="D38" s="13" t="s">
        <v>56</v>
      </c>
      <c r="E38" s="15" t="s">
        <v>57</v>
      </c>
      <c r="F38" s="13" t="s">
        <v>58</v>
      </c>
      <c r="G38" s="15" t="s">
        <v>59</v>
      </c>
      <c r="H38" s="13" t="s">
        <v>60</v>
      </c>
      <c r="I38" s="15" t="s">
        <v>61</v>
      </c>
      <c r="J38" s="15" t="s">
        <v>62</v>
      </c>
      <c r="K38" s="15" t="s">
        <v>63</v>
      </c>
      <c r="L38" s="13" t="s">
        <v>84</v>
      </c>
      <c r="M38" s="15" t="s">
        <v>85</v>
      </c>
      <c r="N38" s="13" t="s">
        <v>66</v>
      </c>
      <c r="O38" s="15" t="s">
        <v>86</v>
      </c>
      <c r="P38" s="15" t="s">
        <v>87</v>
      </c>
      <c r="Q38" s="15" t="s">
        <v>169</v>
      </c>
      <c r="R38" s="13" t="s">
        <v>170</v>
      </c>
      <c r="S38" s="13" t="s">
        <v>151</v>
      </c>
      <c r="T38" s="13" t="s">
        <v>135</v>
      </c>
      <c r="U38" s="14">
        <v>45901</v>
      </c>
      <c r="V38" s="14"/>
      <c r="W38" s="15"/>
      <c r="X38" s="15"/>
      <c r="Y38" s="13"/>
      <c r="Z38" s="15"/>
      <c r="AA38" s="15"/>
      <c r="AB38" s="15"/>
      <c r="AC38" s="13"/>
      <c r="AD38" s="15"/>
      <c r="AE38" s="15"/>
      <c r="AF38" s="15"/>
      <c r="AG38" s="13"/>
      <c r="AH38" s="15"/>
      <c r="AI38" s="15"/>
      <c r="AJ38" s="15"/>
      <c r="AK38" s="13"/>
      <c r="AL38" s="15"/>
      <c r="AM38" s="15"/>
      <c r="AN38" s="13"/>
      <c r="AO38" s="13"/>
    </row>
    <row r="39" spans="1:41" ht="43.5" x14ac:dyDescent="0.35">
      <c r="A39" s="13" t="s">
        <v>145</v>
      </c>
      <c r="B39" s="13" t="s">
        <v>55</v>
      </c>
      <c r="C39" s="14">
        <v>45994.650694444441</v>
      </c>
      <c r="D39" s="13" t="s">
        <v>56</v>
      </c>
      <c r="E39" s="15" t="s">
        <v>57</v>
      </c>
      <c r="F39" s="13" t="s">
        <v>58</v>
      </c>
      <c r="G39" s="15" t="s">
        <v>59</v>
      </c>
      <c r="H39" s="13" t="s">
        <v>60</v>
      </c>
      <c r="I39" s="15" t="s">
        <v>61</v>
      </c>
      <c r="J39" s="15" t="s">
        <v>62</v>
      </c>
      <c r="K39" s="15" t="s">
        <v>63</v>
      </c>
      <c r="L39" s="13" t="s">
        <v>106</v>
      </c>
      <c r="M39" s="15" t="s">
        <v>107</v>
      </c>
      <c r="N39" s="13" t="s">
        <v>66</v>
      </c>
      <c r="O39" s="15" t="s">
        <v>108</v>
      </c>
      <c r="P39" s="15" t="s">
        <v>109</v>
      </c>
      <c r="Q39" s="15" t="s">
        <v>169</v>
      </c>
      <c r="R39" s="13" t="s">
        <v>170</v>
      </c>
      <c r="S39" s="13" t="s">
        <v>151</v>
      </c>
      <c r="T39" s="13" t="s">
        <v>135</v>
      </c>
      <c r="U39" s="14">
        <v>45901</v>
      </c>
      <c r="V39" s="14"/>
      <c r="W39" s="15"/>
      <c r="X39" s="15"/>
      <c r="Y39" s="13"/>
      <c r="Z39" s="15"/>
      <c r="AA39" s="15"/>
      <c r="AB39" s="15"/>
      <c r="AC39" s="13"/>
      <c r="AD39" s="15"/>
      <c r="AE39" s="15"/>
      <c r="AF39" s="15"/>
      <c r="AG39" s="13"/>
      <c r="AH39" s="15"/>
      <c r="AI39" s="15"/>
      <c r="AJ39" s="15"/>
      <c r="AK39" s="13"/>
      <c r="AL39" s="15"/>
      <c r="AM39" s="15"/>
      <c r="AN39" s="13"/>
      <c r="AO39" s="13"/>
    </row>
    <row r="40" spans="1:41" ht="43.5" x14ac:dyDescent="0.35">
      <c r="A40" s="13" t="s">
        <v>54</v>
      </c>
      <c r="B40" s="13" t="s">
        <v>55</v>
      </c>
      <c r="C40" s="14">
        <v>45628.664583333331</v>
      </c>
      <c r="D40" s="13" t="s">
        <v>56</v>
      </c>
      <c r="E40" s="15" t="s">
        <v>57</v>
      </c>
      <c r="F40" s="13" t="s">
        <v>58</v>
      </c>
      <c r="G40" s="15" t="s">
        <v>59</v>
      </c>
      <c r="H40" s="13" t="s">
        <v>171</v>
      </c>
      <c r="I40" s="15" t="s">
        <v>172</v>
      </c>
      <c r="J40" s="15" t="s">
        <v>173</v>
      </c>
      <c r="K40" s="15" t="s">
        <v>174</v>
      </c>
      <c r="L40" s="13" t="s">
        <v>175</v>
      </c>
      <c r="M40" s="15" t="s">
        <v>176</v>
      </c>
      <c r="N40" s="13" t="s">
        <v>66</v>
      </c>
      <c r="O40" s="15" t="s">
        <v>177</v>
      </c>
      <c r="P40" s="15" t="s">
        <v>178</v>
      </c>
      <c r="Q40" s="15" t="s">
        <v>69</v>
      </c>
      <c r="R40" s="13" t="s">
        <v>70</v>
      </c>
      <c r="S40" s="13" t="s">
        <v>71</v>
      </c>
      <c r="T40" s="13" t="s">
        <v>72</v>
      </c>
      <c r="U40" s="14">
        <v>45323</v>
      </c>
      <c r="V40" s="14"/>
      <c r="W40" s="15"/>
      <c r="X40" s="15"/>
      <c r="Y40" s="13"/>
      <c r="Z40" s="15"/>
      <c r="AA40" s="15"/>
      <c r="AB40" s="15"/>
      <c r="AC40" s="13"/>
      <c r="AD40" s="15"/>
      <c r="AE40" s="15"/>
      <c r="AF40" s="15"/>
      <c r="AG40" s="13"/>
      <c r="AH40" s="15"/>
      <c r="AI40" s="15"/>
      <c r="AJ40" s="15"/>
      <c r="AK40" s="13"/>
      <c r="AL40" s="15"/>
      <c r="AM40" s="15"/>
      <c r="AN40" s="13"/>
      <c r="AO40" s="13"/>
    </row>
    <row r="41" spans="1:41" ht="43.5" x14ac:dyDescent="0.35">
      <c r="A41" s="13" t="s">
        <v>54</v>
      </c>
      <c r="B41" s="13" t="s">
        <v>55</v>
      </c>
      <c r="C41" s="14">
        <v>45628.665277777778</v>
      </c>
      <c r="D41" s="13" t="s">
        <v>56</v>
      </c>
      <c r="E41" s="15" t="s">
        <v>57</v>
      </c>
      <c r="F41" s="13" t="s">
        <v>58</v>
      </c>
      <c r="G41" s="15" t="s">
        <v>59</v>
      </c>
      <c r="H41" s="13" t="s">
        <v>171</v>
      </c>
      <c r="I41" s="15" t="s">
        <v>172</v>
      </c>
      <c r="J41" s="15" t="s">
        <v>173</v>
      </c>
      <c r="K41" s="15" t="s">
        <v>174</v>
      </c>
      <c r="L41" s="13" t="s">
        <v>175</v>
      </c>
      <c r="M41" s="15" t="s">
        <v>176</v>
      </c>
      <c r="N41" s="13" t="s">
        <v>66</v>
      </c>
      <c r="O41" s="15" t="s">
        <v>177</v>
      </c>
      <c r="P41" s="15" t="s">
        <v>178</v>
      </c>
      <c r="Q41" s="15" t="s">
        <v>133</v>
      </c>
      <c r="R41" s="13" t="s">
        <v>134</v>
      </c>
      <c r="S41" s="13" t="s">
        <v>71</v>
      </c>
      <c r="T41" s="13" t="s">
        <v>135</v>
      </c>
      <c r="U41" s="14">
        <v>45323</v>
      </c>
      <c r="V41" s="14"/>
      <c r="W41" s="15"/>
      <c r="X41" s="15"/>
      <c r="Y41" s="13"/>
      <c r="Z41" s="15"/>
      <c r="AA41" s="15"/>
      <c r="AB41" s="15"/>
      <c r="AC41" s="13"/>
      <c r="AD41" s="15"/>
      <c r="AE41" s="15"/>
      <c r="AF41" s="15"/>
      <c r="AG41" s="13"/>
      <c r="AH41" s="15"/>
      <c r="AI41" s="15"/>
      <c r="AJ41" s="15"/>
      <c r="AK41" s="13"/>
      <c r="AL41" s="15"/>
      <c r="AM41" s="15"/>
      <c r="AN41" s="13"/>
      <c r="AO41" s="13"/>
    </row>
    <row r="42" spans="1:41" ht="43.5" x14ac:dyDescent="0.35">
      <c r="A42" s="13" t="s">
        <v>145</v>
      </c>
      <c r="B42" s="13" t="s">
        <v>186</v>
      </c>
      <c r="C42" s="14">
        <v>45994.658333333333</v>
      </c>
      <c r="D42" s="13" t="s">
        <v>56</v>
      </c>
      <c r="E42" s="15" t="s">
        <v>57</v>
      </c>
      <c r="F42" s="13" t="s">
        <v>58</v>
      </c>
      <c r="G42" s="15" t="s">
        <v>59</v>
      </c>
      <c r="H42" s="13" t="s">
        <v>171</v>
      </c>
      <c r="I42" s="15" t="s">
        <v>172</v>
      </c>
      <c r="J42" s="15" t="s">
        <v>173</v>
      </c>
      <c r="K42" s="15" t="s">
        <v>174</v>
      </c>
      <c r="L42" s="13" t="s">
        <v>175</v>
      </c>
      <c r="M42" s="15" t="s">
        <v>176</v>
      </c>
      <c r="N42" s="13" t="s">
        <v>66</v>
      </c>
      <c r="O42" s="15" t="s">
        <v>177</v>
      </c>
      <c r="P42" s="15" t="s">
        <v>178</v>
      </c>
      <c r="Q42" s="15" t="s">
        <v>136</v>
      </c>
      <c r="R42" s="13" t="s">
        <v>137</v>
      </c>
      <c r="S42" s="13" t="s">
        <v>71</v>
      </c>
      <c r="T42" s="13" t="s">
        <v>72</v>
      </c>
      <c r="U42" s="14">
        <v>45323</v>
      </c>
      <c r="V42" s="14"/>
      <c r="W42" s="15"/>
      <c r="X42" s="15"/>
      <c r="Y42" s="13"/>
      <c r="Z42" s="15"/>
      <c r="AA42" s="15"/>
      <c r="AB42" s="15"/>
      <c r="AC42" s="13"/>
      <c r="AD42" s="15"/>
      <c r="AE42" s="15"/>
      <c r="AF42" s="15"/>
      <c r="AG42" s="13"/>
      <c r="AH42" s="15"/>
      <c r="AI42" s="15"/>
      <c r="AJ42" s="15"/>
      <c r="AK42" s="13"/>
      <c r="AL42" s="15"/>
      <c r="AM42" s="15"/>
      <c r="AN42" s="13"/>
      <c r="AO42" s="13"/>
    </row>
    <row r="43" spans="1:41" ht="43.5" x14ac:dyDescent="0.35">
      <c r="A43" s="13" t="s">
        <v>54</v>
      </c>
      <c r="B43" s="13" t="s">
        <v>55</v>
      </c>
      <c r="C43" s="14">
        <v>45628.665972222225</v>
      </c>
      <c r="D43" s="13" t="s">
        <v>56</v>
      </c>
      <c r="E43" s="15" t="s">
        <v>57</v>
      </c>
      <c r="F43" s="13" t="s">
        <v>58</v>
      </c>
      <c r="G43" s="15" t="s">
        <v>59</v>
      </c>
      <c r="H43" s="13" t="s">
        <v>171</v>
      </c>
      <c r="I43" s="15" t="s">
        <v>172</v>
      </c>
      <c r="J43" s="15" t="s">
        <v>173</v>
      </c>
      <c r="K43" s="15" t="s">
        <v>174</v>
      </c>
      <c r="L43" s="13" t="s">
        <v>175</v>
      </c>
      <c r="M43" s="15" t="s">
        <v>176</v>
      </c>
      <c r="N43" s="13" t="s">
        <v>66</v>
      </c>
      <c r="O43" s="15" t="s">
        <v>177</v>
      </c>
      <c r="P43" s="15" t="s">
        <v>178</v>
      </c>
      <c r="Q43" s="15" t="s">
        <v>143</v>
      </c>
      <c r="R43" s="13" t="s">
        <v>144</v>
      </c>
      <c r="S43" s="13" t="s">
        <v>71</v>
      </c>
      <c r="T43" s="13" t="s">
        <v>135</v>
      </c>
      <c r="U43" s="14">
        <v>45323</v>
      </c>
      <c r="V43" s="14"/>
      <c r="W43" s="15"/>
      <c r="X43" s="15"/>
      <c r="Y43" s="13"/>
      <c r="Z43" s="15"/>
      <c r="AA43" s="15"/>
      <c r="AB43" s="15"/>
      <c r="AC43" s="13"/>
      <c r="AD43" s="15"/>
      <c r="AE43" s="15"/>
      <c r="AF43" s="15"/>
      <c r="AG43" s="13"/>
      <c r="AH43" s="15"/>
      <c r="AI43" s="15"/>
      <c r="AJ43" s="15"/>
      <c r="AK43" s="13"/>
      <c r="AL43" s="15"/>
      <c r="AM43" s="15"/>
      <c r="AN43" s="13"/>
      <c r="AO43" s="13"/>
    </row>
    <row r="44" spans="1:41" ht="43.5" x14ac:dyDescent="0.35">
      <c r="A44" s="13" t="s">
        <v>145</v>
      </c>
      <c r="B44" s="13" t="s">
        <v>55</v>
      </c>
      <c r="C44" s="14">
        <v>45994.652777777781</v>
      </c>
      <c r="D44" s="13" t="s">
        <v>56</v>
      </c>
      <c r="E44" s="15" t="s">
        <v>57</v>
      </c>
      <c r="F44" s="13" t="s">
        <v>58</v>
      </c>
      <c r="G44" s="15" t="s">
        <v>59</v>
      </c>
      <c r="H44" s="13" t="s">
        <v>171</v>
      </c>
      <c r="I44" s="15" t="s">
        <v>172</v>
      </c>
      <c r="J44" s="15" t="s">
        <v>173</v>
      </c>
      <c r="K44" s="15" t="s">
        <v>174</v>
      </c>
      <c r="L44" s="13" t="s">
        <v>175</v>
      </c>
      <c r="M44" s="15" t="s">
        <v>176</v>
      </c>
      <c r="N44" s="13" t="s">
        <v>66</v>
      </c>
      <c r="O44" s="15" t="s">
        <v>177</v>
      </c>
      <c r="P44" s="15" t="s">
        <v>178</v>
      </c>
      <c r="Q44" s="15" t="s">
        <v>146</v>
      </c>
      <c r="R44" s="13" t="s">
        <v>147</v>
      </c>
      <c r="S44" s="13" t="s">
        <v>71</v>
      </c>
      <c r="T44" s="13" t="s">
        <v>72</v>
      </c>
      <c r="U44" s="14">
        <v>45901</v>
      </c>
      <c r="V44" s="14"/>
      <c r="W44" s="15"/>
      <c r="X44" s="15"/>
      <c r="Y44" s="13"/>
      <c r="Z44" s="15"/>
      <c r="AA44" s="15"/>
      <c r="AB44" s="15"/>
      <c r="AC44" s="13"/>
      <c r="AD44" s="15"/>
      <c r="AE44" s="15"/>
      <c r="AF44" s="15"/>
      <c r="AG44" s="13"/>
      <c r="AH44" s="15"/>
      <c r="AI44" s="15"/>
      <c r="AJ44" s="15"/>
      <c r="AK44" s="13"/>
      <c r="AL44" s="15"/>
      <c r="AM44" s="15"/>
      <c r="AN44" s="13"/>
      <c r="AO44" s="13"/>
    </row>
    <row r="45" spans="1:41" ht="43.5" x14ac:dyDescent="0.35">
      <c r="A45" s="13" t="s">
        <v>54</v>
      </c>
      <c r="B45" s="13" t="s">
        <v>55</v>
      </c>
      <c r="C45" s="14">
        <v>45628.665972222225</v>
      </c>
      <c r="D45" s="13" t="s">
        <v>56</v>
      </c>
      <c r="E45" s="15" t="s">
        <v>57</v>
      </c>
      <c r="F45" s="13" t="s">
        <v>58</v>
      </c>
      <c r="G45" s="15" t="s">
        <v>59</v>
      </c>
      <c r="H45" s="13" t="s">
        <v>171</v>
      </c>
      <c r="I45" s="15" t="s">
        <v>172</v>
      </c>
      <c r="J45" s="15" t="s">
        <v>173</v>
      </c>
      <c r="K45" s="15" t="s">
        <v>174</v>
      </c>
      <c r="L45" s="13" t="s">
        <v>175</v>
      </c>
      <c r="M45" s="15" t="s">
        <v>176</v>
      </c>
      <c r="N45" s="13" t="s">
        <v>66</v>
      </c>
      <c r="O45" s="15" t="s">
        <v>177</v>
      </c>
      <c r="P45" s="15" t="s">
        <v>178</v>
      </c>
      <c r="Q45" s="15" t="s">
        <v>149</v>
      </c>
      <c r="R45" s="13" t="s">
        <v>150</v>
      </c>
      <c r="S45" s="13" t="s">
        <v>151</v>
      </c>
      <c r="T45" s="13" t="s">
        <v>135</v>
      </c>
      <c r="U45" s="14">
        <v>45323</v>
      </c>
      <c r="V45" s="14"/>
      <c r="W45" s="15"/>
      <c r="X45" s="15"/>
      <c r="Y45" s="13"/>
      <c r="Z45" s="15"/>
      <c r="AA45" s="15"/>
      <c r="AB45" s="15"/>
      <c r="AC45" s="13"/>
      <c r="AD45" s="15"/>
      <c r="AE45" s="15"/>
      <c r="AF45" s="15"/>
      <c r="AG45" s="13"/>
      <c r="AH45" s="15"/>
      <c r="AI45" s="15"/>
      <c r="AJ45" s="15"/>
      <c r="AK45" s="13"/>
      <c r="AL45" s="15"/>
      <c r="AM45" s="15"/>
      <c r="AN45" s="13"/>
      <c r="AO45" s="13"/>
    </row>
    <row r="46" spans="1:41" ht="43.5" x14ac:dyDescent="0.35">
      <c r="A46" s="13" t="s">
        <v>54</v>
      </c>
      <c r="B46" s="13" t="s">
        <v>55</v>
      </c>
      <c r="C46" s="14">
        <v>45628.666666666664</v>
      </c>
      <c r="D46" s="13" t="s">
        <v>56</v>
      </c>
      <c r="E46" s="15" t="s">
        <v>57</v>
      </c>
      <c r="F46" s="13" t="s">
        <v>58</v>
      </c>
      <c r="G46" s="15" t="s">
        <v>59</v>
      </c>
      <c r="H46" s="13" t="s">
        <v>171</v>
      </c>
      <c r="I46" s="15" t="s">
        <v>172</v>
      </c>
      <c r="J46" s="15" t="s">
        <v>173</v>
      </c>
      <c r="K46" s="15" t="s">
        <v>174</v>
      </c>
      <c r="L46" s="13" t="s">
        <v>175</v>
      </c>
      <c r="M46" s="15" t="s">
        <v>176</v>
      </c>
      <c r="N46" s="13" t="s">
        <v>66</v>
      </c>
      <c r="O46" s="15" t="s">
        <v>177</v>
      </c>
      <c r="P46" s="15" t="s">
        <v>178</v>
      </c>
      <c r="Q46" s="15" t="s">
        <v>152</v>
      </c>
      <c r="R46" s="13" t="s">
        <v>153</v>
      </c>
      <c r="S46" s="13" t="s">
        <v>151</v>
      </c>
      <c r="T46" s="13" t="s">
        <v>135</v>
      </c>
      <c r="U46" s="14">
        <v>45323</v>
      </c>
      <c r="V46" s="14"/>
      <c r="W46" s="15"/>
      <c r="X46" s="15"/>
      <c r="Y46" s="13"/>
      <c r="Z46" s="15"/>
      <c r="AA46" s="15"/>
      <c r="AB46" s="15"/>
      <c r="AC46" s="13"/>
      <c r="AD46" s="15"/>
      <c r="AE46" s="15"/>
      <c r="AF46" s="15"/>
      <c r="AG46" s="13"/>
      <c r="AH46" s="15"/>
      <c r="AI46" s="15"/>
      <c r="AJ46" s="15"/>
      <c r="AK46" s="13"/>
      <c r="AL46" s="15"/>
      <c r="AM46" s="15"/>
      <c r="AN46" s="13"/>
      <c r="AO46" s="13"/>
    </row>
    <row r="47" spans="1:41" ht="43.5" x14ac:dyDescent="0.35">
      <c r="A47" s="13" t="s">
        <v>54</v>
      </c>
      <c r="B47" s="13" t="s">
        <v>55</v>
      </c>
      <c r="C47" s="14">
        <v>45628.666666666664</v>
      </c>
      <c r="D47" s="13" t="s">
        <v>56</v>
      </c>
      <c r="E47" s="15" t="s">
        <v>57</v>
      </c>
      <c r="F47" s="13" t="s">
        <v>58</v>
      </c>
      <c r="G47" s="15" t="s">
        <v>59</v>
      </c>
      <c r="H47" s="13" t="s">
        <v>171</v>
      </c>
      <c r="I47" s="15" t="s">
        <v>172</v>
      </c>
      <c r="J47" s="15" t="s">
        <v>173</v>
      </c>
      <c r="K47" s="15" t="s">
        <v>174</v>
      </c>
      <c r="L47" s="13" t="s">
        <v>175</v>
      </c>
      <c r="M47" s="15" t="s">
        <v>176</v>
      </c>
      <c r="N47" s="13" t="s">
        <v>66</v>
      </c>
      <c r="O47" s="15" t="s">
        <v>177</v>
      </c>
      <c r="P47" s="15" t="s">
        <v>178</v>
      </c>
      <c r="Q47" s="15" t="s">
        <v>154</v>
      </c>
      <c r="R47" s="13" t="s">
        <v>155</v>
      </c>
      <c r="S47" s="13" t="s">
        <v>151</v>
      </c>
      <c r="T47" s="13" t="s">
        <v>135</v>
      </c>
      <c r="U47" s="14">
        <v>45323</v>
      </c>
      <c r="V47" s="14"/>
      <c r="W47" s="15"/>
      <c r="X47" s="15"/>
      <c r="Y47" s="13"/>
      <c r="Z47" s="15"/>
      <c r="AA47" s="15"/>
      <c r="AB47" s="15"/>
      <c r="AC47" s="13"/>
      <c r="AD47" s="15"/>
      <c r="AE47" s="15"/>
      <c r="AF47" s="15"/>
      <c r="AG47" s="13"/>
      <c r="AH47" s="15"/>
      <c r="AI47" s="15"/>
      <c r="AJ47" s="15"/>
      <c r="AK47" s="13"/>
      <c r="AL47" s="15"/>
      <c r="AM47" s="15"/>
      <c r="AN47" s="13"/>
      <c r="AO47" s="13"/>
    </row>
    <row r="48" spans="1:41" ht="43.5" x14ac:dyDescent="0.35">
      <c r="A48" s="13" t="s">
        <v>145</v>
      </c>
      <c r="B48" s="13" t="s">
        <v>55</v>
      </c>
      <c r="C48" s="14">
        <v>45994.443055555559</v>
      </c>
      <c r="D48" s="13" t="s">
        <v>56</v>
      </c>
      <c r="E48" s="15" t="s">
        <v>57</v>
      </c>
      <c r="F48" s="13" t="s">
        <v>58</v>
      </c>
      <c r="G48" s="15" t="s">
        <v>59</v>
      </c>
      <c r="H48" s="13" t="s">
        <v>171</v>
      </c>
      <c r="I48" s="15" t="s">
        <v>172</v>
      </c>
      <c r="J48" s="15" t="s">
        <v>173</v>
      </c>
      <c r="K48" s="15" t="s">
        <v>174</v>
      </c>
      <c r="L48" s="13" t="s">
        <v>175</v>
      </c>
      <c r="M48" s="15" t="s">
        <v>176</v>
      </c>
      <c r="N48" s="13" t="s">
        <v>66</v>
      </c>
      <c r="O48" s="15" t="s">
        <v>177</v>
      </c>
      <c r="P48" s="15" t="s">
        <v>178</v>
      </c>
      <c r="Q48" s="15" t="s">
        <v>156</v>
      </c>
      <c r="R48" s="13" t="s">
        <v>157</v>
      </c>
      <c r="S48" s="13" t="s">
        <v>151</v>
      </c>
      <c r="T48" s="13" t="s">
        <v>72</v>
      </c>
      <c r="U48" s="14">
        <v>45901</v>
      </c>
      <c r="V48" s="14"/>
      <c r="W48" s="15"/>
      <c r="X48" s="15"/>
      <c r="Y48" s="13"/>
      <c r="Z48" s="15"/>
      <c r="AA48" s="15"/>
      <c r="AB48" s="15"/>
      <c r="AC48" s="13"/>
      <c r="AD48" s="15"/>
      <c r="AE48" s="15"/>
      <c r="AF48" s="15"/>
      <c r="AG48" s="13"/>
      <c r="AH48" s="15"/>
      <c r="AI48" s="15"/>
      <c r="AJ48" s="15"/>
      <c r="AK48" s="13"/>
      <c r="AL48" s="15"/>
      <c r="AM48" s="15"/>
      <c r="AN48" s="13"/>
      <c r="AO48" s="13"/>
    </row>
    <row r="49" spans="1:41" ht="43.5" x14ac:dyDescent="0.35">
      <c r="A49" s="13" t="s">
        <v>54</v>
      </c>
      <c r="B49" s="13" t="s">
        <v>55</v>
      </c>
      <c r="C49" s="14">
        <v>45628.667361111111</v>
      </c>
      <c r="D49" s="13" t="s">
        <v>56</v>
      </c>
      <c r="E49" s="15" t="s">
        <v>57</v>
      </c>
      <c r="F49" s="13" t="s">
        <v>58</v>
      </c>
      <c r="G49" s="15" t="s">
        <v>59</v>
      </c>
      <c r="H49" s="13" t="s">
        <v>171</v>
      </c>
      <c r="I49" s="15" t="s">
        <v>172</v>
      </c>
      <c r="J49" s="15" t="s">
        <v>173</v>
      </c>
      <c r="K49" s="15" t="s">
        <v>174</v>
      </c>
      <c r="L49" s="13" t="s">
        <v>175</v>
      </c>
      <c r="M49" s="15" t="s">
        <v>176</v>
      </c>
      <c r="N49" s="13" t="s">
        <v>66</v>
      </c>
      <c r="O49" s="15" t="s">
        <v>177</v>
      </c>
      <c r="P49" s="15" t="s">
        <v>178</v>
      </c>
      <c r="Q49" s="15" t="s">
        <v>165</v>
      </c>
      <c r="R49" s="13" t="s">
        <v>166</v>
      </c>
      <c r="S49" s="13" t="s">
        <v>151</v>
      </c>
      <c r="T49" s="13" t="s">
        <v>135</v>
      </c>
      <c r="U49" s="14">
        <v>45323</v>
      </c>
      <c r="V49" s="14"/>
      <c r="W49" s="15"/>
      <c r="X49" s="15"/>
      <c r="Y49" s="13"/>
      <c r="Z49" s="15"/>
      <c r="AA49" s="15"/>
      <c r="AB49" s="15"/>
      <c r="AC49" s="13"/>
      <c r="AD49" s="15"/>
      <c r="AE49" s="15"/>
      <c r="AF49" s="15"/>
      <c r="AG49" s="13"/>
      <c r="AH49" s="15"/>
      <c r="AI49" s="15"/>
      <c r="AJ49" s="15"/>
      <c r="AK49" s="13"/>
      <c r="AL49" s="15"/>
      <c r="AM49" s="15"/>
      <c r="AN49" s="13"/>
      <c r="AO49" s="13"/>
    </row>
    <row r="50" spans="1:41" ht="43.5" x14ac:dyDescent="0.35">
      <c r="A50" s="13" t="s">
        <v>54</v>
      </c>
      <c r="B50" s="13" t="s">
        <v>55</v>
      </c>
      <c r="C50" s="14">
        <v>45628.667361111111</v>
      </c>
      <c r="D50" s="13" t="s">
        <v>56</v>
      </c>
      <c r="E50" s="15" t="s">
        <v>57</v>
      </c>
      <c r="F50" s="13" t="s">
        <v>58</v>
      </c>
      <c r="G50" s="15" t="s">
        <v>59</v>
      </c>
      <c r="H50" s="13" t="s">
        <v>171</v>
      </c>
      <c r="I50" s="15" t="s">
        <v>172</v>
      </c>
      <c r="J50" s="15" t="s">
        <v>173</v>
      </c>
      <c r="K50" s="15" t="s">
        <v>174</v>
      </c>
      <c r="L50" s="13" t="s">
        <v>175</v>
      </c>
      <c r="M50" s="15" t="s">
        <v>176</v>
      </c>
      <c r="N50" s="13" t="s">
        <v>66</v>
      </c>
      <c r="O50" s="15" t="s">
        <v>177</v>
      </c>
      <c r="P50" s="15" t="s">
        <v>178</v>
      </c>
      <c r="Q50" s="15" t="s">
        <v>167</v>
      </c>
      <c r="R50" s="13" t="s">
        <v>168</v>
      </c>
      <c r="S50" s="13" t="s">
        <v>151</v>
      </c>
      <c r="T50" s="13" t="s">
        <v>135</v>
      </c>
      <c r="U50" s="14">
        <v>45323</v>
      </c>
      <c r="V50" s="14"/>
      <c r="W50" s="15"/>
      <c r="X50" s="15"/>
      <c r="Y50" s="13"/>
      <c r="Z50" s="15"/>
      <c r="AA50" s="15"/>
      <c r="AB50" s="15"/>
      <c r="AC50" s="13"/>
      <c r="AD50" s="15"/>
      <c r="AE50" s="15"/>
      <c r="AF50" s="15"/>
      <c r="AG50" s="13"/>
      <c r="AH50" s="15"/>
      <c r="AI50" s="15"/>
      <c r="AJ50" s="15"/>
      <c r="AK50" s="13"/>
      <c r="AL50" s="15"/>
      <c r="AM50" s="15"/>
      <c r="AN50" s="13"/>
      <c r="AO50" s="13"/>
    </row>
    <row r="51" spans="1:41" ht="43.5" x14ac:dyDescent="0.35">
      <c r="A51" s="13" t="s">
        <v>145</v>
      </c>
      <c r="B51" s="13" t="s">
        <v>55</v>
      </c>
      <c r="C51" s="14">
        <v>45994.652083333334</v>
      </c>
      <c r="D51" s="13" t="s">
        <v>56</v>
      </c>
      <c r="E51" s="15" t="s">
        <v>57</v>
      </c>
      <c r="F51" s="13" t="s">
        <v>58</v>
      </c>
      <c r="G51" s="15" t="s">
        <v>59</v>
      </c>
      <c r="H51" s="13" t="s">
        <v>171</v>
      </c>
      <c r="I51" s="15" t="s">
        <v>172</v>
      </c>
      <c r="J51" s="15" t="s">
        <v>173</v>
      </c>
      <c r="K51" s="15" t="s">
        <v>174</v>
      </c>
      <c r="L51" s="13" t="s">
        <v>175</v>
      </c>
      <c r="M51" s="15" t="s">
        <v>176</v>
      </c>
      <c r="N51" s="13" t="s">
        <v>66</v>
      </c>
      <c r="O51" s="15" t="s">
        <v>177</v>
      </c>
      <c r="P51" s="15" t="s">
        <v>178</v>
      </c>
      <c r="Q51" s="15" t="s">
        <v>169</v>
      </c>
      <c r="R51" s="13" t="s">
        <v>170</v>
      </c>
      <c r="S51" s="13" t="s">
        <v>151</v>
      </c>
      <c r="T51" s="13" t="s">
        <v>135</v>
      </c>
      <c r="U51" s="14">
        <v>45901</v>
      </c>
      <c r="V51" s="14"/>
      <c r="W51" s="15"/>
      <c r="X51" s="15"/>
      <c r="Y51" s="13"/>
      <c r="Z51" s="15"/>
      <c r="AA51" s="15"/>
      <c r="AB51" s="15"/>
      <c r="AC51" s="13"/>
      <c r="AD51" s="15"/>
      <c r="AE51" s="15"/>
      <c r="AF51" s="15"/>
      <c r="AG51" s="13"/>
      <c r="AH51" s="15"/>
      <c r="AI51" s="15"/>
      <c r="AJ51" s="15"/>
      <c r="AK51" s="13"/>
      <c r="AL51" s="15"/>
      <c r="AM51" s="15"/>
      <c r="AN51" s="13"/>
      <c r="AO51" s="13"/>
    </row>
    <row r="52" spans="1:41" ht="29" x14ac:dyDescent="0.35">
      <c r="A52" s="13" t="s">
        <v>54</v>
      </c>
      <c r="B52" s="13" t="s">
        <v>55</v>
      </c>
      <c r="C52" s="14">
        <v>45628.668749999997</v>
      </c>
      <c r="D52" s="13" t="s">
        <v>56</v>
      </c>
      <c r="E52" s="15" t="s">
        <v>57</v>
      </c>
      <c r="F52" s="13" t="s">
        <v>58</v>
      </c>
      <c r="G52" s="15" t="s">
        <v>59</v>
      </c>
      <c r="H52" s="13" t="s">
        <v>191</v>
      </c>
      <c r="I52" s="15" t="s">
        <v>192</v>
      </c>
      <c r="J52" s="15"/>
      <c r="K52" s="15"/>
      <c r="L52" s="13" t="s">
        <v>193</v>
      </c>
      <c r="M52" s="15" t="s">
        <v>194</v>
      </c>
      <c r="N52" s="13" t="s">
        <v>66</v>
      </c>
      <c r="O52" s="15"/>
      <c r="P52" s="15"/>
      <c r="Q52" s="15" t="s">
        <v>69</v>
      </c>
      <c r="R52" s="13" t="s">
        <v>70</v>
      </c>
      <c r="S52" s="13" t="s">
        <v>71</v>
      </c>
      <c r="T52" s="13" t="s">
        <v>72</v>
      </c>
      <c r="U52" s="14">
        <v>45323</v>
      </c>
      <c r="V52" s="14"/>
      <c r="W52" s="15"/>
      <c r="X52" s="15"/>
      <c r="Y52" s="13"/>
      <c r="Z52" s="15"/>
      <c r="AA52" s="15"/>
      <c r="AB52" s="15"/>
      <c r="AC52" s="13"/>
      <c r="AD52" s="15"/>
      <c r="AE52" s="15"/>
      <c r="AF52" s="15"/>
      <c r="AG52" s="13"/>
      <c r="AH52" s="15"/>
      <c r="AI52" s="15"/>
      <c r="AJ52" s="15"/>
      <c r="AK52" s="13"/>
      <c r="AL52" s="15"/>
      <c r="AM52" s="15"/>
      <c r="AN52" s="13"/>
      <c r="AO52" s="13"/>
    </row>
    <row r="53" spans="1:41" ht="29" x14ac:dyDescent="0.35">
      <c r="A53" s="13" t="s">
        <v>54</v>
      </c>
      <c r="B53" s="13" t="s">
        <v>55</v>
      </c>
      <c r="C53" s="14">
        <v>45628.669444444444</v>
      </c>
      <c r="D53" s="13" t="s">
        <v>56</v>
      </c>
      <c r="E53" s="15" t="s">
        <v>57</v>
      </c>
      <c r="F53" s="13" t="s">
        <v>58</v>
      </c>
      <c r="G53" s="15" t="s">
        <v>59</v>
      </c>
      <c r="H53" s="13" t="s">
        <v>191</v>
      </c>
      <c r="I53" s="15" t="s">
        <v>192</v>
      </c>
      <c r="J53" s="15"/>
      <c r="K53" s="15"/>
      <c r="L53" s="13" t="s">
        <v>193</v>
      </c>
      <c r="M53" s="15" t="s">
        <v>194</v>
      </c>
      <c r="N53" s="13" t="s">
        <v>66</v>
      </c>
      <c r="O53" s="15"/>
      <c r="P53" s="15"/>
      <c r="Q53" s="15" t="s">
        <v>133</v>
      </c>
      <c r="R53" s="13" t="s">
        <v>134</v>
      </c>
      <c r="S53" s="13" t="s">
        <v>71</v>
      </c>
      <c r="T53" s="13" t="s">
        <v>135</v>
      </c>
      <c r="U53" s="14">
        <v>45323</v>
      </c>
      <c r="V53" s="14"/>
      <c r="W53" s="15"/>
      <c r="X53" s="15"/>
      <c r="Y53" s="13"/>
      <c r="Z53" s="15"/>
      <c r="AA53" s="15"/>
      <c r="AB53" s="15"/>
      <c r="AC53" s="13"/>
      <c r="AD53" s="15"/>
      <c r="AE53" s="15"/>
      <c r="AF53" s="15"/>
      <c r="AG53" s="13"/>
      <c r="AH53" s="15"/>
      <c r="AI53" s="15"/>
      <c r="AJ53" s="15"/>
      <c r="AK53" s="13"/>
      <c r="AL53" s="15"/>
      <c r="AM53" s="15"/>
      <c r="AN53" s="13"/>
      <c r="AO53" s="13"/>
    </row>
    <row r="54" spans="1:41" ht="29" x14ac:dyDescent="0.35">
      <c r="A54" s="13" t="s">
        <v>54</v>
      </c>
      <c r="B54" s="13" t="s">
        <v>55</v>
      </c>
      <c r="C54" s="14">
        <v>45628.670138888891</v>
      </c>
      <c r="D54" s="13" t="s">
        <v>56</v>
      </c>
      <c r="E54" s="15" t="s">
        <v>57</v>
      </c>
      <c r="F54" s="13" t="s">
        <v>58</v>
      </c>
      <c r="G54" s="15" t="s">
        <v>59</v>
      </c>
      <c r="H54" s="13" t="s">
        <v>191</v>
      </c>
      <c r="I54" s="15" t="s">
        <v>192</v>
      </c>
      <c r="J54" s="15"/>
      <c r="K54" s="15"/>
      <c r="L54" s="13" t="s">
        <v>193</v>
      </c>
      <c r="M54" s="15" t="s">
        <v>194</v>
      </c>
      <c r="N54" s="13" t="s">
        <v>66</v>
      </c>
      <c r="O54" s="15"/>
      <c r="P54" s="15"/>
      <c r="Q54" s="15" t="s">
        <v>136</v>
      </c>
      <c r="R54" s="13" t="s">
        <v>137</v>
      </c>
      <c r="S54" s="13" t="s">
        <v>71</v>
      </c>
      <c r="T54" s="13" t="s">
        <v>72</v>
      </c>
      <c r="U54" s="14">
        <v>45323</v>
      </c>
      <c r="V54" s="14"/>
      <c r="W54" s="15"/>
      <c r="X54" s="15"/>
      <c r="Y54" s="13"/>
      <c r="Z54" s="15"/>
      <c r="AA54" s="15"/>
      <c r="AB54" s="15"/>
      <c r="AC54" s="13"/>
      <c r="AD54" s="15"/>
      <c r="AE54" s="15"/>
      <c r="AF54" s="15"/>
      <c r="AG54" s="13"/>
      <c r="AH54" s="15"/>
      <c r="AI54" s="15"/>
      <c r="AJ54" s="15"/>
      <c r="AK54" s="13"/>
      <c r="AL54" s="15"/>
      <c r="AM54" s="15"/>
      <c r="AN54" s="13"/>
      <c r="AO54" s="13"/>
    </row>
    <row r="55" spans="1:41" ht="29" x14ac:dyDescent="0.35">
      <c r="A55" s="13" t="s">
        <v>54</v>
      </c>
      <c r="B55" s="13" t="s">
        <v>55</v>
      </c>
      <c r="C55" s="14">
        <v>45628.670138888891</v>
      </c>
      <c r="D55" s="13" t="s">
        <v>56</v>
      </c>
      <c r="E55" s="15" t="s">
        <v>57</v>
      </c>
      <c r="F55" s="13" t="s">
        <v>58</v>
      </c>
      <c r="G55" s="15" t="s">
        <v>59</v>
      </c>
      <c r="H55" s="13" t="s">
        <v>191</v>
      </c>
      <c r="I55" s="15" t="s">
        <v>192</v>
      </c>
      <c r="J55" s="15"/>
      <c r="K55" s="15"/>
      <c r="L55" s="13" t="s">
        <v>193</v>
      </c>
      <c r="M55" s="15" t="s">
        <v>194</v>
      </c>
      <c r="N55" s="13" t="s">
        <v>66</v>
      </c>
      <c r="O55" s="15"/>
      <c r="P55" s="15"/>
      <c r="Q55" s="15" t="s">
        <v>143</v>
      </c>
      <c r="R55" s="13" t="s">
        <v>144</v>
      </c>
      <c r="S55" s="13" t="s">
        <v>71</v>
      </c>
      <c r="T55" s="13" t="s">
        <v>135</v>
      </c>
      <c r="U55" s="14">
        <v>45323</v>
      </c>
      <c r="V55" s="14"/>
      <c r="W55" s="15"/>
      <c r="X55" s="15"/>
      <c r="Y55" s="13"/>
      <c r="Z55" s="15"/>
      <c r="AA55" s="15"/>
      <c r="AB55" s="15"/>
      <c r="AC55" s="13"/>
      <c r="AD55" s="15"/>
      <c r="AE55" s="15"/>
      <c r="AF55" s="15"/>
      <c r="AG55" s="13"/>
      <c r="AH55" s="15"/>
      <c r="AI55" s="15"/>
      <c r="AJ55" s="15"/>
      <c r="AK55" s="13"/>
      <c r="AL55" s="15"/>
      <c r="AM55" s="15"/>
      <c r="AN55" s="13"/>
      <c r="AO55" s="13"/>
    </row>
    <row r="56" spans="1:41" ht="29" x14ac:dyDescent="0.35">
      <c r="A56" s="13" t="s">
        <v>145</v>
      </c>
      <c r="B56" s="13" t="s">
        <v>55</v>
      </c>
      <c r="C56" s="14">
        <v>45994.655555555553</v>
      </c>
      <c r="D56" s="13" t="s">
        <v>56</v>
      </c>
      <c r="E56" s="15" t="s">
        <v>57</v>
      </c>
      <c r="F56" s="13" t="s">
        <v>58</v>
      </c>
      <c r="G56" s="15" t="s">
        <v>59</v>
      </c>
      <c r="H56" s="13" t="s">
        <v>191</v>
      </c>
      <c r="I56" s="15" t="s">
        <v>192</v>
      </c>
      <c r="J56" s="15"/>
      <c r="K56" s="15"/>
      <c r="L56" s="13" t="s">
        <v>193</v>
      </c>
      <c r="M56" s="15" t="s">
        <v>194</v>
      </c>
      <c r="N56" s="13" t="s">
        <v>66</v>
      </c>
      <c r="O56" s="15"/>
      <c r="P56" s="15"/>
      <c r="Q56" s="15" t="s">
        <v>146</v>
      </c>
      <c r="R56" s="13" t="s">
        <v>147</v>
      </c>
      <c r="S56" s="13" t="s">
        <v>71</v>
      </c>
      <c r="T56" s="13" t="s">
        <v>72</v>
      </c>
      <c r="U56" s="14">
        <v>45901</v>
      </c>
      <c r="V56" s="14"/>
      <c r="W56" s="15"/>
      <c r="X56" s="15"/>
      <c r="Y56" s="13"/>
      <c r="Z56" s="15"/>
      <c r="AA56" s="15"/>
      <c r="AB56" s="15"/>
      <c r="AC56" s="13"/>
      <c r="AD56" s="15"/>
      <c r="AE56" s="15"/>
      <c r="AF56" s="15"/>
      <c r="AG56" s="13"/>
      <c r="AH56" s="15"/>
      <c r="AI56" s="15"/>
      <c r="AJ56" s="15"/>
      <c r="AK56" s="13"/>
      <c r="AL56" s="15"/>
      <c r="AM56" s="15"/>
      <c r="AN56" s="13"/>
      <c r="AO56" s="13"/>
    </row>
    <row r="57" spans="1:41" ht="29" x14ac:dyDescent="0.35">
      <c r="A57" s="13" t="s">
        <v>54</v>
      </c>
      <c r="B57" s="13" t="s">
        <v>55</v>
      </c>
      <c r="C57" s="14">
        <v>45628.67083333333</v>
      </c>
      <c r="D57" s="13" t="s">
        <v>56</v>
      </c>
      <c r="E57" s="15" t="s">
        <v>57</v>
      </c>
      <c r="F57" s="13" t="s">
        <v>58</v>
      </c>
      <c r="G57" s="15" t="s">
        <v>59</v>
      </c>
      <c r="H57" s="13" t="s">
        <v>191</v>
      </c>
      <c r="I57" s="15" t="s">
        <v>192</v>
      </c>
      <c r="J57" s="15"/>
      <c r="K57" s="15"/>
      <c r="L57" s="13" t="s">
        <v>193</v>
      </c>
      <c r="M57" s="15" t="s">
        <v>194</v>
      </c>
      <c r="N57" s="13" t="s">
        <v>66</v>
      </c>
      <c r="O57" s="15"/>
      <c r="P57" s="15"/>
      <c r="Q57" s="15" t="s">
        <v>149</v>
      </c>
      <c r="R57" s="13" t="s">
        <v>150</v>
      </c>
      <c r="S57" s="13" t="s">
        <v>151</v>
      </c>
      <c r="T57" s="13" t="s">
        <v>135</v>
      </c>
      <c r="U57" s="14">
        <v>45323</v>
      </c>
      <c r="V57" s="14"/>
      <c r="W57" s="15"/>
      <c r="X57" s="15"/>
      <c r="Y57" s="13"/>
      <c r="Z57" s="15"/>
      <c r="AA57" s="15"/>
      <c r="AB57" s="15"/>
      <c r="AC57" s="13"/>
      <c r="AD57" s="15"/>
      <c r="AE57" s="15"/>
      <c r="AF57" s="15"/>
      <c r="AG57" s="13"/>
      <c r="AH57" s="15"/>
      <c r="AI57" s="15"/>
      <c r="AJ57" s="15"/>
      <c r="AK57" s="13"/>
      <c r="AL57" s="15"/>
      <c r="AM57" s="15"/>
      <c r="AN57" s="13"/>
      <c r="AO57" s="13"/>
    </row>
    <row r="58" spans="1:41" ht="29" x14ac:dyDescent="0.35">
      <c r="A58" s="13" t="s">
        <v>54</v>
      </c>
      <c r="B58" s="13" t="s">
        <v>55</v>
      </c>
      <c r="C58" s="14">
        <v>45628.67083333333</v>
      </c>
      <c r="D58" s="13" t="s">
        <v>56</v>
      </c>
      <c r="E58" s="15" t="s">
        <v>57</v>
      </c>
      <c r="F58" s="13" t="s">
        <v>58</v>
      </c>
      <c r="G58" s="15" t="s">
        <v>59</v>
      </c>
      <c r="H58" s="13" t="s">
        <v>191</v>
      </c>
      <c r="I58" s="15" t="s">
        <v>192</v>
      </c>
      <c r="J58" s="15"/>
      <c r="K58" s="15"/>
      <c r="L58" s="13" t="s">
        <v>193</v>
      </c>
      <c r="M58" s="15" t="s">
        <v>194</v>
      </c>
      <c r="N58" s="13" t="s">
        <v>66</v>
      </c>
      <c r="O58" s="15"/>
      <c r="P58" s="15"/>
      <c r="Q58" s="15" t="s">
        <v>152</v>
      </c>
      <c r="R58" s="13" t="s">
        <v>153</v>
      </c>
      <c r="S58" s="13" t="s">
        <v>151</v>
      </c>
      <c r="T58" s="13" t="s">
        <v>135</v>
      </c>
      <c r="U58" s="14">
        <v>45323</v>
      </c>
      <c r="V58" s="14"/>
      <c r="W58" s="15"/>
      <c r="X58" s="15"/>
      <c r="Y58" s="13"/>
      <c r="Z58" s="15"/>
      <c r="AA58" s="15"/>
      <c r="AB58" s="15"/>
      <c r="AC58" s="13"/>
      <c r="AD58" s="15"/>
      <c r="AE58" s="15"/>
      <c r="AF58" s="15"/>
      <c r="AG58" s="13"/>
      <c r="AH58" s="15"/>
      <c r="AI58" s="15"/>
      <c r="AJ58" s="15"/>
      <c r="AK58" s="13"/>
      <c r="AL58" s="15"/>
      <c r="AM58" s="15"/>
      <c r="AN58" s="13"/>
      <c r="AO58" s="13"/>
    </row>
    <row r="59" spans="1:41" ht="29" x14ac:dyDescent="0.35">
      <c r="A59" s="13" t="s">
        <v>54</v>
      </c>
      <c r="B59" s="13" t="s">
        <v>55</v>
      </c>
      <c r="C59" s="14">
        <v>45628.671527777777</v>
      </c>
      <c r="D59" s="13" t="s">
        <v>56</v>
      </c>
      <c r="E59" s="15" t="s">
        <v>57</v>
      </c>
      <c r="F59" s="13" t="s">
        <v>58</v>
      </c>
      <c r="G59" s="15" t="s">
        <v>59</v>
      </c>
      <c r="H59" s="13" t="s">
        <v>191</v>
      </c>
      <c r="I59" s="15" t="s">
        <v>192</v>
      </c>
      <c r="J59" s="15"/>
      <c r="K59" s="15"/>
      <c r="L59" s="13" t="s">
        <v>193</v>
      </c>
      <c r="M59" s="15" t="s">
        <v>194</v>
      </c>
      <c r="N59" s="13" t="s">
        <v>66</v>
      </c>
      <c r="O59" s="15"/>
      <c r="P59" s="15"/>
      <c r="Q59" s="15" t="s">
        <v>154</v>
      </c>
      <c r="R59" s="13" t="s">
        <v>155</v>
      </c>
      <c r="S59" s="13" t="s">
        <v>151</v>
      </c>
      <c r="T59" s="13" t="s">
        <v>135</v>
      </c>
      <c r="U59" s="14">
        <v>45323</v>
      </c>
      <c r="V59" s="14"/>
      <c r="W59" s="15"/>
      <c r="X59" s="15"/>
      <c r="Y59" s="13"/>
      <c r="Z59" s="15"/>
      <c r="AA59" s="15"/>
      <c r="AB59" s="15"/>
      <c r="AC59" s="13"/>
      <c r="AD59" s="15"/>
      <c r="AE59" s="15"/>
      <c r="AF59" s="15"/>
      <c r="AG59" s="13"/>
      <c r="AH59" s="15"/>
      <c r="AI59" s="15"/>
      <c r="AJ59" s="15"/>
      <c r="AK59" s="13"/>
      <c r="AL59" s="15"/>
      <c r="AM59" s="15"/>
      <c r="AN59" s="13"/>
      <c r="AO59" s="13"/>
    </row>
    <row r="60" spans="1:41" ht="29" x14ac:dyDescent="0.35">
      <c r="A60" s="13" t="s">
        <v>145</v>
      </c>
      <c r="B60" s="13" t="s">
        <v>55</v>
      </c>
      <c r="C60" s="14">
        <v>45994.445138888892</v>
      </c>
      <c r="D60" s="13" t="s">
        <v>56</v>
      </c>
      <c r="E60" s="15" t="s">
        <v>57</v>
      </c>
      <c r="F60" s="13" t="s">
        <v>58</v>
      </c>
      <c r="G60" s="15" t="s">
        <v>59</v>
      </c>
      <c r="H60" s="13" t="s">
        <v>191</v>
      </c>
      <c r="I60" s="15" t="s">
        <v>192</v>
      </c>
      <c r="J60" s="15"/>
      <c r="K60" s="15"/>
      <c r="L60" s="13" t="s">
        <v>193</v>
      </c>
      <c r="M60" s="15" t="s">
        <v>194</v>
      </c>
      <c r="N60" s="13" t="s">
        <v>66</v>
      </c>
      <c r="O60" s="15"/>
      <c r="P60" s="15"/>
      <c r="Q60" s="15" t="s">
        <v>156</v>
      </c>
      <c r="R60" s="13" t="s">
        <v>157</v>
      </c>
      <c r="S60" s="13" t="s">
        <v>151</v>
      </c>
      <c r="T60" s="13" t="s">
        <v>72</v>
      </c>
      <c r="U60" s="14">
        <v>45901</v>
      </c>
      <c r="V60" s="14"/>
      <c r="W60" s="15"/>
      <c r="X60" s="15"/>
      <c r="Y60" s="13"/>
      <c r="Z60" s="15"/>
      <c r="AA60" s="15"/>
      <c r="AB60" s="15"/>
      <c r="AC60" s="13"/>
      <c r="AD60" s="15"/>
      <c r="AE60" s="15"/>
      <c r="AF60" s="15"/>
      <c r="AG60" s="13"/>
      <c r="AH60" s="15"/>
      <c r="AI60" s="15"/>
      <c r="AJ60" s="15"/>
      <c r="AK60" s="13"/>
      <c r="AL60" s="15"/>
      <c r="AM60" s="15"/>
      <c r="AN60" s="13"/>
      <c r="AO60" s="13"/>
    </row>
    <row r="61" spans="1:41" ht="29" x14ac:dyDescent="0.35">
      <c r="A61" s="13" t="s">
        <v>54</v>
      </c>
      <c r="B61" s="13" t="s">
        <v>55</v>
      </c>
      <c r="C61" s="14">
        <v>45628.671527777777</v>
      </c>
      <c r="D61" s="13" t="s">
        <v>56</v>
      </c>
      <c r="E61" s="15" t="s">
        <v>57</v>
      </c>
      <c r="F61" s="13" t="s">
        <v>58</v>
      </c>
      <c r="G61" s="15" t="s">
        <v>59</v>
      </c>
      <c r="H61" s="13" t="s">
        <v>191</v>
      </c>
      <c r="I61" s="15" t="s">
        <v>192</v>
      </c>
      <c r="J61" s="15"/>
      <c r="K61" s="15"/>
      <c r="L61" s="13" t="s">
        <v>193</v>
      </c>
      <c r="M61" s="15" t="s">
        <v>194</v>
      </c>
      <c r="N61" s="13" t="s">
        <v>66</v>
      </c>
      <c r="O61" s="15"/>
      <c r="P61" s="15"/>
      <c r="Q61" s="15" t="s">
        <v>165</v>
      </c>
      <c r="R61" s="13" t="s">
        <v>166</v>
      </c>
      <c r="S61" s="13" t="s">
        <v>151</v>
      </c>
      <c r="T61" s="13" t="s">
        <v>135</v>
      </c>
      <c r="U61" s="14">
        <v>45323</v>
      </c>
      <c r="V61" s="14"/>
      <c r="W61" s="15"/>
      <c r="X61" s="15"/>
      <c r="Y61" s="13"/>
      <c r="Z61" s="15"/>
      <c r="AA61" s="15"/>
      <c r="AB61" s="15"/>
      <c r="AC61" s="13"/>
      <c r="AD61" s="15"/>
      <c r="AE61" s="15"/>
      <c r="AF61" s="15"/>
      <c r="AG61" s="13"/>
      <c r="AH61" s="15"/>
      <c r="AI61" s="15"/>
      <c r="AJ61" s="15"/>
      <c r="AK61" s="13"/>
      <c r="AL61" s="15"/>
      <c r="AM61" s="15"/>
      <c r="AN61" s="13"/>
      <c r="AO61" s="13"/>
    </row>
    <row r="62" spans="1:41" ht="43.5" x14ac:dyDescent="0.35">
      <c r="A62" s="13" t="s">
        <v>54</v>
      </c>
      <c r="B62" s="13" t="s">
        <v>55</v>
      </c>
      <c r="C62" s="14">
        <v>45628.672222222223</v>
      </c>
      <c r="D62" s="13" t="s">
        <v>56</v>
      </c>
      <c r="E62" s="15" t="s">
        <v>57</v>
      </c>
      <c r="F62" s="13" t="s">
        <v>58</v>
      </c>
      <c r="G62" s="15" t="s">
        <v>59</v>
      </c>
      <c r="H62" s="13" t="s">
        <v>191</v>
      </c>
      <c r="I62" s="15" t="s">
        <v>192</v>
      </c>
      <c r="J62" s="15"/>
      <c r="K62" s="15"/>
      <c r="L62" s="13" t="s">
        <v>193</v>
      </c>
      <c r="M62" s="15" t="s">
        <v>194</v>
      </c>
      <c r="N62" s="13" t="s">
        <v>66</v>
      </c>
      <c r="O62" s="15"/>
      <c r="P62" s="15"/>
      <c r="Q62" s="15" t="s">
        <v>167</v>
      </c>
      <c r="R62" s="13" t="s">
        <v>168</v>
      </c>
      <c r="S62" s="13" t="s">
        <v>151</v>
      </c>
      <c r="T62" s="13" t="s">
        <v>135</v>
      </c>
      <c r="U62" s="14">
        <v>45323</v>
      </c>
      <c r="V62" s="14"/>
      <c r="W62" s="15"/>
      <c r="X62" s="15"/>
      <c r="Y62" s="13"/>
      <c r="Z62" s="15"/>
      <c r="AA62" s="15"/>
      <c r="AB62" s="15"/>
      <c r="AC62" s="13"/>
      <c r="AD62" s="15"/>
      <c r="AE62" s="15"/>
      <c r="AF62" s="15"/>
      <c r="AG62" s="13"/>
      <c r="AH62" s="15"/>
      <c r="AI62" s="15"/>
      <c r="AJ62" s="15"/>
      <c r="AK62" s="13"/>
      <c r="AL62" s="15"/>
      <c r="AM62" s="15"/>
      <c r="AN62" s="13"/>
      <c r="AO62" s="13"/>
    </row>
    <row r="63" spans="1:41" ht="29" x14ac:dyDescent="0.35">
      <c r="A63" s="13" t="s">
        <v>145</v>
      </c>
      <c r="B63" s="13" t="s">
        <v>55</v>
      </c>
      <c r="C63" s="14">
        <v>45994.65347222222</v>
      </c>
      <c r="D63" s="13" t="s">
        <v>56</v>
      </c>
      <c r="E63" s="15" t="s">
        <v>57</v>
      </c>
      <c r="F63" s="13" t="s">
        <v>58</v>
      </c>
      <c r="G63" s="15" t="s">
        <v>59</v>
      </c>
      <c r="H63" s="13" t="s">
        <v>191</v>
      </c>
      <c r="I63" s="15" t="s">
        <v>192</v>
      </c>
      <c r="J63" s="15"/>
      <c r="K63" s="15"/>
      <c r="L63" s="13" t="s">
        <v>193</v>
      </c>
      <c r="M63" s="15" t="s">
        <v>194</v>
      </c>
      <c r="N63" s="13" t="s">
        <v>66</v>
      </c>
      <c r="O63" s="15"/>
      <c r="P63" s="15"/>
      <c r="Q63" s="15" t="s">
        <v>169</v>
      </c>
      <c r="R63" s="13" t="s">
        <v>170</v>
      </c>
      <c r="S63" s="13" t="s">
        <v>151</v>
      </c>
      <c r="T63" s="13" t="s">
        <v>135</v>
      </c>
      <c r="U63" s="14">
        <v>45901</v>
      </c>
      <c r="V63" s="14"/>
      <c r="W63" s="15"/>
      <c r="X63" s="15"/>
      <c r="Y63" s="13"/>
      <c r="Z63" s="15"/>
      <c r="AA63" s="15"/>
      <c r="AB63" s="15"/>
      <c r="AC63" s="13"/>
      <c r="AD63" s="15"/>
      <c r="AE63" s="15"/>
      <c r="AF63" s="15"/>
      <c r="AG63" s="13"/>
      <c r="AH63" s="15"/>
      <c r="AI63" s="15"/>
      <c r="AJ63" s="15"/>
      <c r="AK63" s="13"/>
      <c r="AL63" s="15"/>
      <c r="AM63" s="15"/>
      <c r="AN63" s="13"/>
      <c r="AO63" s="13"/>
    </row>
  </sheetData>
  <autoFilter ref="A1:AS1" xr:uid="{9E2573B9-C0A3-4035-BD7F-39023107B73C}"/>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D6360-16E0-4445-84B0-5C204B2B724F}">
  <dimension ref="A1:U43"/>
  <sheetViews>
    <sheetView workbookViewId="0">
      <pane ySplit="1" topLeftCell="A2" activePane="bottomLeft" state="frozenSplit"/>
      <selection pane="bottomLeft" activeCell="M21" sqref="M21"/>
    </sheetView>
  </sheetViews>
  <sheetFormatPr baseColWidth="10" defaultRowHeight="14.5" x14ac:dyDescent="0.35"/>
  <cols>
    <col min="1" max="1" width="8.6328125" style="12" customWidth="1"/>
    <col min="2" max="2" width="7.6328125" style="12" customWidth="1"/>
    <col min="3" max="4" width="12.6328125" style="12" customWidth="1"/>
    <col min="5" max="5" width="14.6328125" style="12" customWidth="1"/>
    <col min="6" max="6" width="40.6328125" style="17" customWidth="1"/>
    <col min="7" max="7" width="25.6328125" style="12" customWidth="1"/>
    <col min="8" max="9" width="12.6328125" style="12" customWidth="1"/>
    <col min="10" max="11" width="40.6328125" style="17" customWidth="1"/>
    <col min="12" max="12" width="14.6328125" style="12" customWidth="1"/>
    <col min="13" max="13" width="25.6328125" style="17" customWidth="1"/>
    <col min="14" max="17" width="25.6328125" style="12" customWidth="1"/>
    <col min="18" max="18" width="9.6328125" style="12" customWidth="1"/>
    <col min="19" max="20" width="15.6328125" style="12" customWidth="1"/>
    <col min="21" max="21" width="40.6328125" style="17" customWidth="1"/>
    <col min="22" max="16384" width="10.90625" style="12"/>
  </cols>
  <sheetData>
    <row r="1" spans="1:21" ht="43.5" x14ac:dyDescent="0.35">
      <c r="A1" s="10" t="s">
        <v>2</v>
      </c>
      <c r="B1" s="10" t="s">
        <v>3</v>
      </c>
      <c r="C1" s="11" t="s">
        <v>4</v>
      </c>
      <c r="D1" s="10" t="s">
        <v>242</v>
      </c>
      <c r="E1" s="10" t="s">
        <v>243</v>
      </c>
      <c r="F1" s="10" t="s">
        <v>244</v>
      </c>
      <c r="G1" s="10" t="s">
        <v>245</v>
      </c>
      <c r="H1" s="11" t="s">
        <v>21</v>
      </c>
      <c r="I1" s="11" t="s">
        <v>22</v>
      </c>
      <c r="J1" s="10" t="s">
        <v>246</v>
      </c>
      <c r="K1" s="10" t="s">
        <v>247</v>
      </c>
      <c r="L1" s="10" t="s">
        <v>248</v>
      </c>
      <c r="M1" s="10" t="s">
        <v>241</v>
      </c>
      <c r="N1" s="10" t="s">
        <v>249</v>
      </c>
      <c r="O1" s="10" t="s">
        <v>250</v>
      </c>
      <c r="P1" s="10" t="s">
        <v>251</v>
      </c>
      <c r="Q1" s="10" t="s">
        <v>252</v>
      </c>
      <c r="R1" s="10" t="s">
        <v>52</v>
      </c>
      <c r="S1" s="10" t="s">
        <v>53</v>
      </c>
      <c r="T1" s="10" t="s">
        <v>253</v>
      </c>
      <c r="U1" s="10" t="s">
        <v>254</v>
      </c>
    </row>
    <row r="2" spans="1:21" ht="29" x14ac:dyDescent="0.35">
      <c r="A2" s="13" t="s">
        <v>54</v>
      </c>
      <c r="B2" s="13" t="s">
        <v>55</v>
      </c>
      <c r="C2" s="14">
        <v>45628.43472222222</v>
      </c>
      <c r="D2" s="13" t="s">
        <v>76</v>
      </c>
      <c r="E2" s="13" t="s">
        <v>246</v>
      </c>
      <c r="F2" s="15" t="s">
        <v>77</v>
      </c>
      <c r="G2" s="13" t="s">
        <v>255</v>
      </c>
      <c r="H2" s="14">
        <v>45323</v>
      </c>
      <c r="I2" s="14"/>
      <c r="J2" s="15"/>
      <c r="K2" s="15" t="s">
        <v>256</v>
      </c>
      <c r="L2" s="13" t="s">
        <v>257</v>
      </c>
      <c r="M2" s="15"/>
      <c r="N2" s="13" t="s">
        <v>258</v>
      </c>
      <c r="O2" s="13"/>
      <c r="P2" s="13"/>
      <c r="Q2" s="13"/>
      <c r="R2" s="13"/>
      <c r="S2" s="13"/>
      <c r="T2" s="13" t="s">
        <v>259</v>
      </c>
      <c r="U2" s="15" t="s">
        <v>77</v>
      </c>
    </row>
    <row r="3" spans="1:21" ht="87" x14ac:dyDescent="0.35">
      <c r="A3" s="13" t="s">
        <v>54</v>
      </c>
      <c r="B3" s="13" t="s">
        <v>55</v>
      </c>
      <c r="C3" s="14">
        <v>45628.436805555553</v>
      </c>
      <c r="D3" s="13" t="s">
        <v>93</v>
      </c>
      <c r="E3" s="13" t="s">
        <v>246</v>
      </c>
      <c r="F3" s="15" t="s">
        <v>94</v>
      </c>
      <c r="G3" s="13" t="s">
        <v>260</v>
      </c>
      <c r="H3" s="14">
        <v>45323</v>
      </c>
      <c r="I3" s="14"/>
      <c r="J3" s="15"/>
      <c r="K3" s="15" t="s">
        <v>261</v>
      </c>
      <c r="L3" s="13" t="s">
        <v>257</v>
      </c>
      <c r="M3" s="15"/>
      <c r="N3" s="13" t="s">
        <v>258</v>
      </c>
      <c r="O3" s="13"/>
      <c r="P3" s="13"/>
      <c r="Q3" s="13"/>
      <c r="R3" s="13"/>
      <c r="S3" s="13"/>
      <c r="T3" s="13" t="s">
        <v>259</v>
      </c>
      <c r="U3" s="15" t="s">
        <v>94</v>
      </c>
    </row>
    <row r="4" spans="1:21" ht="72.5" x14ac:dyDescent="0.35">
      <c r="A4" s="13" t="s">
        <v>54</v>
      </c>
      <c r="B4" s="13" t="s">
        <v>55</v>
      </c>
      <c r="C4" s="14">
        <v>45628.438194444447</v>
      </c>
      <c r="D4" s="13" t="s">
        <v>95</v>
      </c>
      <c r="E4" s="13" t="s">
        <v>246</v>
      </c>
      <c r="F4" s="15" t="s">
        <v>96</v>
      </c>
      <c r="G4" s="13" t="s">
        <v>260</v>
      </c>
      <c r="H4" s="14">
        <v>45323</v>
      </c>
      <c r="I4" s="14"/>
      <c r="J4" s="15"/>
      <c r="K4" s="15" t="s">
        <v>262</v>
      </c>
      <c r="L4" s="13" t="s">
        <v>257</v>
      </c>
      <c r="M4" s="15"/>
      <c r="N4" s="13" t="s">
        <v>258</v>
      </c>
      <c r="O4" s="13"/>
      <c r="P4" s="13"/>
      <c r="Q4" s="13"/>
      <c r="R4" s="13"/>
      <c r="S4" s="13"/>
      <c r="T4" s="13" t="s">
        <v>259</v>
      </c>
      <c r="U4" s="15" t="s">
        <v>96</v>
      </c>
    </row>
    <row r="5" spans="1:21" ht="145" x14ac:dyDescent="0.35">
      <c r="A5" s="13" t="s">
        <v>54</v>
      </c>
      <c r="B5" s="13" t="s">
        <v>55</v>
      </c>
      <c r="C5" s="14">
        <v>45628.441666666666</v>
      </c>
      <c r="D5" s="13" t="s">
        <v>97</v>
      </c>
      <c r="E5" s="13" t="s">
        <v>246</v>
      </c>
      <c r="F5" s="15" t="s">
        <v>98</v>
      </c>
      <c r="G5" s="13" t="s">
        <v>263</v>
      </c>
      <c r="H5" s="14">
        <v>45323</v>
      </c>
      <c r="I5" s="14"/>
      <c r="J5" s="15" t="s">
        <v>264</v>
      </c>
      <c r="K5" s="15" t="s">
        <v>265</v>
      </c>
      <c r="L5" s="13" t="s">
        <v>257</v>
      </c>
      <c r="M5" s="15" t="s">
        <v>266</v>
      </c>
      <c r="N5" s="13" t="s">
        <v>258</v>
      </c>
      <c r="O5" s="13"/>
      <c r="P5" s="13"/>
      <c r="Q5" s="13"/>
      <c r="R5" s="13"/>
      <c r="S5" s="13"/>
      <c r="T5" s="13" t="s">
        <v>259</v>
      </c>
      <c r="U5" s="15" t="s">
        <v>98</v>
      </c>
    </row>
    <row r="6" spans="1:21" ht="72.5" x14ac:dyDescent="0.35">
      <c r="A6" s="13" t="s">
        <v>54</v>
      </c>
      <c r="B6" s="13" t="s">
        <v>55</v>
      </c>
      <c r="C6" s="14">
        <v>45628.45</v>
      </c>
      <c r="D6" s="13" t="s">
        <v>99</v>
      </c>
      <c r="E6" s="13" t="s">
        <v>246</v>
      </c>
      <c r="F6" s="15" t="s">
        <v>100</v>
      </c>
      <c r="G6" s="13" t="s">
        <v>267</v>
      </c>
      <c r="H6" s="14">
        <v>45323</v>
      </c>
      <c r="I6" s="14">
        <v>45688</v>
      </c>
      <c r="J6" s="15" t="s">
        <v>264</v>
      </c>
      <c r="K6" s="15" t="s">
        <v>268</v>
      </c>
      <c r="L6" s="13" t="s">
        <v>257</v>
      </c>
      <c r="M6" s="15"/>
      <c r="N6" s="13" t="s">
        <v>269</v>
      </c>
      <c r="O6" s="13"/>
      <c r="P6" s="13"/>
      <c r="Q6" s="13"/>
      <c r="R6" s="13"/>
      <c r="S6" s="13"/>
      <c r="T6" s="13" t="s">
        <v>259</v>
      </c>
      <c r="U6" s="15" t="s">
        <v>100</v>
      </c>
    </row>
    <row r="7" spans="1:21" ht="58" x14ac:dyDescent="0.35">
      <c r="A7" s="13" t="s">
        <v>54</v>
      </c>
      <c r="B7" s="13" t="s">
        <v>55</v>
      </c>
      <c r="C7" s="14">
        <v>45628.453472222223</v>
      </c>
      <c r="D7" s="13" t="s">
        <v>121</v>
      </c>
      <c r="E7" s="13" t="s">
        <v>246</v>
      </c>
      <c r="F7" s="15" t="s">
        <v>122</v>
      </c>
      <c r="G7" s="13" t="s">
        <v>270</v>
      </c>
      <c r="H7" s="14">
        <v>45323</v>
      </c>
      <c r="I7" s="14"/>
      <c r="J7" s="15"/>
      <c r="K7" s="15" t="s">
        <v>271</v>
      </c>
      <c r="L7" s="13" t="s">
        <v>272</v>
      </c>
      <c r="M7" s="15" t="s">
        <v>273</v>
      </c>
      <c r="N7" s="13" t="s">
        <v>258</v>
      </c>
      <c r="O7" s="13"/>
      <c r="P7" s="13"/>
      <c r="Q7" s="13"/>
      <c r="R7" s="13"/>
      <c r="S7" s="13"/>
      <c r="T7" s="13" t="s">
        <v>259</v>
      </c>
      <c r="U7" s="15" t="s">
        <v>122</v>
      </c>
    </row>
    <row r="8" spans="1:21" ht="101.5" x14ac:dyDescent="0.35">
      <c r="A8" s="13" t="s">
        <v>54</v>
      </c>
      <c r="B8" s="13" t="s">
        <v>55</v>
      </c>
      <c r="C8" s="14">
        <v>45628.455555555556</v>
      </c>
      <c r="D8" s="13" t="s">
        <v>123</v>
      </c>
      <c r="E8" s="13" t="s">
        <v>246</v>
      </c>
      <c r="F8" s="15" t="s">
        <v>124</v>
      </c>
      <c r="G8" s="13" t="s">
        <v>274</v>
      </c>
      <c r="H8" s="14">
        <v>45323</v>
      </c>
      <c r="I8" s="14"/>
      <c r="J8" s="15"/>
      <c r="K8" s="15" t="s">
        <v>275</v>
      </c>
      <c r="L8" s="13" t="s">
        <v>272</v>
      </c>
      <c r="M8" s="15" t="s">
        <v>276</v>
      </c>
      <c r="N8" s="13" t="s">
        <v>258</v>
      </c>
      <c r="O8" s="13"/>
      <c r="P8" s="13"/>
      <c r="Q8" s="13"/>
      <c r="R8" s="13"/>
      <c r="S8" s="13"/>
      <c r="T8" s="13" t="s">
        <v>259</v>
      </c>
      <c r="U8" s="15" t="s">
        <v>124</v>
      </c>
    </row>
    <row r="9" spans="1:21" ht="101.5" x14ac:dyDescent="0.35">
      <c r="A9" s="13" t="s">
        <v>54</v>
      </c>
      <c r="B9" s="13" t="s">
        <v>55</v>
      </c>
      <c r="C9" s="14">
        <v>45628.456944444442</v>
      </c>
      <c r="D9" s="13" t="s">
        <v>78</v>
      </c>
      <c r="E9" s="13" t="s">
        <v>246</v>
      </c>
      <c r="F9" s="15" t="s">
        <v>79</v>
      </c>
      <c r="G9" s="13" t="s">
        <v>277</v>
      </c>
      <c r="H9" s="14">
        <v>45323</v>
      </c>
      <c r="I9" s="14"/>
      <c r="J9" s="15"/>
      <c r="K9" s="15" t="s">
        <v>278</v>
      </c>
      <c r="L9" s="13" t="s">
        <v>272</v>
      </c>
      <c r="M9" s="15" t="s">
        <v>279</v>
      </c>
      <c r="N9" s="13" t="s">
        <v>258</v>
      </c>
      <c r="O9" s="13"/>
      <c r="P9" s="13"/>
      <c r="Q9" s="13"/>
      <c r="R9" s="13"/>
      <c r="S9" s="13"/>
      <c r="T9" s="13" t="s">
        <v>259</v>
      </c>
      <c r="U9" s="15" t="s">
        <v>79</v>
      </c>
    </row>
    <row r="10" spans="1:21" ht="72.5" x14ac:dyDescent="0.35">
      <c r="A10" s="13" t="s">
        <v>54</v>
      </c>
      <c r="B10" s="13" t="s">
        <v>55</v>
      </c>
      <c r="C10" s="14">
        <v>45628.458333333336</v>
      </c>
      <c r="D10" s="13" t="s">
        <v>125</v>
      </c>
      <c r="E10" s="13" t="s">
        <v>246</v>
      </c>
      <c r="F10" s="15" t="s">
        <v>126</v>
      </c>
      <c r="G10" s="13" t="s">
        <v>280</v>
      </c>
      <c r="H10" s="14">
        <v>45323</v>
      </c>
      <c r="I10" s="14"/>
      <c r="J10" s="15" t="s">
        <v>281</v>
      </c>
      <c r="K10" s="15" t="s">
        <v>282</v>
      </c>
      <c r="L10" s="13" t="s">
        <v>257</v>
      </c>
      <c r="M10" s="15"/>
      <c r="N10" s="13" t="s">
        <v>258</v>
      </c>
      <c r="O10" s="13"/>
      <c r="P10" s="13"/>
      <c r="Q10" s="13"/>
      <c r="R10" s="13"/>
      <c r="S10" s="13"/>
      <c r="T10" s="13" t="s">
        <v>259</v>
      </c>
      <c r="U10" s="15" t="s">
        <v>126</v>
      </c>
    </row>
    <row r="11" spans="1:21" ht="43.5" x14ac:dyDescent="0.35">
      <c r="A11" s="13" t="s">
        <v>283</v>
      </c>
      <c r="B11" s="13" t="s">
        <v>55</v>
      </c>
      <c r="C11" s="14">
        <v>43152.5</v>
      </c>
      <c r="D11" s="13" t="s">
        <v>127</v>
      </c>
      <c r="E11" s="13" t="s">
        <v>284</v>
      </c>
      <c r="F11" s="15" t="s">
        <v>128</v>
      </c>
      <c r="G11" s="13"/>
      <c r="H11" s="14">
        <v>40725</v>
      </c>
      <c r="I11" s="14"/>
      <c r="J11" s="15"/>
      <c r="K11" s="15" t="s">
        <v>285</v>
      </c>
      <c r="L11" s="13" t="s">
        <v>257</v>
      </c>
      <c r="M11" s="15"/>
      <c r="N11" s="13"/>
      <c r="O11" s="13"/>
      <c r="P11" s="13"/>
      <c r="Q11" s="13"/>
      <c r="R11" s="13"/>
      <c r="S11" s="13"/>
      <c r="T11" s="13"/>
      <c r="U11" s="15"/>
    </row>
    <row r="12" spans="1:21" ht="58" x14ac:dyDescent="0.35">
      <c r="A12" s="13" t="s">
        <v>283</v>
      </c>
      <c r="B12" s="13" t="s">
        <v>55</v>
      </c>
      <c r="C12" s="14">
        <v>43691.751388888886</v>
      </c>
      <c r="D12" s="13" t="s">
        <v>80</v>
      </c>
      <c r="E12" s="13" t="s">
        <v>284</v>
      </c>
      <c r="F12" s="15" t="s">
        <v>81</v>
      </c>
      <c r="G12" s="13"/>
      <c r="H12" s="14">
        <v>40725</v>
      </c>
      <c r="I12" s="14"/>
      <c r="J12" s="15"/>
      <c r="K12" s="15" t="s">
        <v>286</v>
      </c>
      <c r="L12" s="13" t="s">
        <v>272</v>
      </c>
      <c r="M12" s="15" t="s">
        <v>287</v>
      </c>
      <c r="N12" s="13"/>
      <c r="O12" s="13"/>
      <c r="P12" s="13"/>
      <c r="Q12" s="13"/>
      <c r="R12" s="13"/>
      <c r="S12" s="13"/>
      <c r="T12" s="13"/>
      <c r="U12" s="15"/>
    </row>
    <row r="13" spans="1:21" ht="58" x14ac:dyDescent="0.35">
      <c r="A13" s="13" t="s">
        <v>283</v>
      </c>
      <c r="B13" s="13" t="s">
        <v>55</v>
      </c>
      <c r="C13" s="14">
        <v>43152.5</v>
      </c>
      <c r="D13" s="13" t="s">
        <v>101</v>
      </c>
      <c r="E13" s="13" t="s">
        <v>284</v>
      </c>
      <c r="F13" s="15" t="s">
        <v>102</v>
      </c>
      <c r="G13" s="13"/>
      <c r="H13" s="14">
        <v>40725</v>
      </c>
      <c r="I13" s="14"/>
      <c r="J13" s="15"/>
      <c r="K13" s="15" t="s">
        <v>288</v>
      </c>
      <c r="L13" s="13" t="s">
        <v>257</v>
      </c>
      <c r="M13" s="15"/>
      <c r="N13" s="13"/>
      <c r="O13" s="13"/>
      <c r="P13" s="13"/>
      <c r="Q13" s="13"/>
      <c r="R13" s="13"/>
      <c r="S13" s="13"/>
      <c r="T13" s="13"/>
      <c r="U13" s="15"/>
    </row>
    <row r="14" spans="1:21" ht="87" x14ac:dyDescent="0.35">
      <c r="A14" s="13" t="s">
        <v>283</v>
      </c>
      <c r="B14" s="13" t="s">
        <v>55</v>
      </c>
      <c r="C14" s="14">
        <v>43152.5</v>
      </c>
      <c r="D14" s="13" t="s">
        <v>129</v>
      </c>
      <c r="E14" s="13" t="s">
        <v>284</v>
      </c>
      <c r="F14" s="15" t="s">
        <v>130</v>
      </c>
      <c r="G14" s="13"/>
      <c r="H14" s="14">
        <v>40725</v>
      </c>
      <c r="I14" s="14"/>
      <c r="J14" s="15"/>
      <c r="K14" s="15" t="s">
        <v>289</v>
      </c>
      <c r="L14" s="13" t="s">
        <v>257</v>
      </c>
      <c r="M14" s="15"/>
      <c r="N14" s="13"/>
      <c r="O14" s="13"/>
      <c r="P14" s="13"/>
      <c r="Q14" s="13"/>
      <c r="R14" s="13"/>
      <c r="S14" s="13"/>
      <c r="T14" s="13"/>
      <c r="U14" s="15"/>
    </row>
    <row r="15" spans="1:21" ht="58" x14ac:dyDescent="0.35">
      <c r="A15" s="13" t="s">
        <v>283</v>
      </c>
      <c r="B15" s="13" t="s">
        <v>55</v>
      </c>
      <c r="C15" s="14">
        <v>43152.5</v>
      </c>
      <c r="D15" s="13" t="s">
        <v>103</v>
      </c>
      <c r="E15" s="13" t="s">
        <v>284</v>
      </c>
      <c r="F15" s="15" t="s">
        <v>104</v>
      </c>
      <c r="G15" s="13"/>
      <c r="H15" s="14">
        <v>40725</v>
      </c>
      <c r="I15" s="14"/>
      <c r="J15" s="15"/>
      <c r="K15" s="15" t="s">
        <v>290</v>
      </c>
      <c r="L15" s="13" t="s">
        <v>257</v>
      </c>
      <c r="M15" s="15"/>
      <c r="N15" s="13"/>
      <c r="O15" s="13"/>
      <c r="P15" s="13"/>
      <c r="Q15" s="13"/>
      <c r="R15" s="13"/>
      <c r="S15" s="13"/>
      <c r="T15" s="13"/>
      <c r="U15" s="15"/>
    </row>
    <row r="16" spans="1:21" ht="43.5" x14ac:dyDescent="0.35">
      <c r="A16" s="13" t="s">
        <v>283</v>
      </c>
      <c r="B16" s="13" t="s">
        <v>55</v>
      </c>
      <c r="C16" s="14">
        <v>43152.5</v>
      </c>
      <c r="D16" s="13" t="s">
        <v>131</v>
      </c>
      <c r="E16" s="13" t="s">
        <v>284</v>
      </c>
      <c r="F16" s="15" t="s">
        <v>132</v>
      </c>
      <c r="G16" s="13"/>
      <c r="H16" s="14">
        <v>40725</v>
      </c>
      <c r="I16" s="14"/>
      <c r="J16" s="15"/>
      <c r="K16" s="15" t="s">
        <v>291</v>
      </c>
      <c r="L16" s="13" t="s">
        <v>257</v>
      </c>
      <c r="M16" s="15"/>
      <c r="N16" s="13"/>
      <c r="O16" s="13"/>
      <c r="P16" s="13"/>
      <c r="Q16" s="13"/>
      <c r="R16" s="13"/>
      <c r="S16" s="13"/>
      <c r="T16" s="13"/>
      <c r="U16" s="15"/>
    </row>
    <row r="17" spans="1:21" x14ac:dyDescent="0.35">
      <c r="A17" s="13" t="s">
        <v>283</v>
      </c>
      <c r="B17" s="13" t="s">
        <v>55</v>
      </c>
      <c r="C17" s="14">
        <v>43152.5</v>
      </c>
      <c r="D17" s="13" t="s">
        <v>184</v>
      </c>
      <c r="E17" s="13" t="s">
        <v>284</v>
      </c>
      <c r="F17" s="15" t="s">
        <v>185</v>
      </c>
      <c r="G17" s="13"/>
      <c r="H17" s="14">
        <v>40725</v>
      </c>
      <c r="I17" s="14"/>
      <c r="J17" s="15"/>
      <c r="K17" s="15" t="s">
        <v>292</v>
      </c>
      <c r="L17" s="13" t="s">
        <v>257</v>
      </c>
      <c r="M17" s="15"/>
      <c r="N17" s="13"/>
      <c r="O17" s="13"/>
      <c r="P17" s="13"/>
      <c r="Q17" s="13"/>
      <c r="R17" s="13"/>
      <c r="S17" s="13"/>
      <c r="T17" s="13"/>
      <c r="U17" s="15"/>
    </row>
    <row r="18" spans="1:21" ht="72.5" x14ac:dyDescent="0.35">
      <c r="A18" s="13" t="s">
        <v>283</v>
      </c>
      <c r="B18" s="13" t="s">
        <v>55</v>
      </c>
      <c r="C18" s="14">
        <v>43152.5</v>
      </c>
      <c r="D18" s="13" t="s">
        <v>82</v>
      </c>
      <c r="E18" s="13" t="s">
        <v>284</v>
      </c>
      <c r="F18" s="15" t="s">
        <v>83</v>
      </c>
      <c r="G18" s="13"/>
      <c r="H18" s="14">
        <v>40725</v>
      </c>
      <c r="I18" s="14"/>
      <c r="J18" s="15"/>
      <c r="K18" s="15" t="s">
        <v>293</v>
      </c>
      <c r="L18" s="13" t="s">
        <v>257</v>
      </c>
      <c r="M18" s="15"/>
      <c r="N18" s="13"/>
      <c r="O18" s="13"/>
      <c r="P18" s="13"/>
      <c r="Q18" s="13"/>
      <c r="R18" s="13"/>
      <c r="S18" s="13"/>
      <c r="T18" s="13"/>
      <c r="U18" s="15"/>
    </row>
    <row r="19" spans="1:21" s="22" customFormat="1" ht="43.5" x14ac:dyDescent="0.35">
      <c r="A19" s="19" t="s">
        <v>145</v>
      </c>
      <c r="B19" s="19" t="s">
        <v>55</v>
      </c>
      <c r="C19" s="20">
        <v>45994.424305555556</v>
      </c>
      <c r="D19" s="19" t="s">
        <v>159</v>
      </c>
      <c r="E19" s="19" t="s">
        <v>294</v>
      </c>
      <c r="F19" s="21" t="s">
        <v>160</v>
      </c>
      <c r="G19" s="19" t="s">
        <v>295</v>
      </c>
      <c r="H19" s="20">
        <v>45901</v>
      </c>
      <c r="I19" s="20"/>
      <c r="J19" s="21"/>
      <c r="K19" s="21"/>
      <c r="L19" s="19" t="s">
        <v>272</v>
      </c>
      <c r="M19" s="21"/>
      <c r="N19" s="19"/>
      <c r="O19" s="19"/>
      <c r="P19" s="19" t="s">
        <v>296</v>
      </c>
      <c r="Q19" s="19"/>
      <c r="R19" s="19" t="s">
        <v>148</v>
      </c>
      <c r="S19" s="19"/>
      <c r="T19" s="19" t="s">
        <v>259</v>
      </c>
      <c r="U19" s="21" t="s">
        <v>160</v>
      </c>
    </row>
    <row r="20" spans="1:21" s="22" customFormat="1" ht="43.5" x14ac:dyDescent="0.35">
      <c r="A20" s="19" t="s">
        <v>145</v>
      </c>
      <c r="B20" s="19" t="s">
        <v>55</v>
      </c>
      <c r="C20" s="20">
        <v>45994.426388888889</v>
      </c>
      <c r="D20" s="19" t="s">
        <v>163</v>
      </c>
      <c r="E20" s="19" t="s">
        <v>294</v>
      </c>
      <c r="F20" s="21" t="s">
        <v>140</v>
      </c>
      <c r="G20" s="19" t="s">
        <v>297</v>
      </c>
      <c r="H20" s="20">
        <v>45901</v>
      </c>
      <c r="I20" s="20"/>
      <c r="J20" s="21"/>
      <c r="K20" s="21"/>
      <c r="L20" s="19" t="s">
        <v>272</v>
      </c>
      <c r="M20" s="21"/>
      <c r="N20" s="19"/>
      <c r="O20" s="19"/>
      <c r="P20" s="19" t="s">
        <v>298</v>
      </c>
      <c r="Q20" s="19"/>
      <c r="R20" s="19" t="s">
        <v>148</v>
      </c>
      <c r="S20" s="19"/>
      <c r="T20" s="19" t="s">
        <v>259</v>
      </c>
      <c r="U20" s="21" t="s">
        <v>140</v>
      </c>
    </row>
    <row r="21" spans="1:21" s="22" customFormat="1" ht="29" x14ac:dyDescent="0.35">
      <c r="A21" s="19" t="s">
        <v>145</v>
      </c>
      <c r="B21" s="19" t="s">
        <v>55</v>
      </c>
      <c r="C21" s="20">
        <v>45994.428472222222</v>
      </c>
      <c r="D21" s="19" t="s">
        <v>164</v>
      </c>
      <c r="E21" s="19" t="s">
        <v>294</v>
      </c>
      <c r="F21" s="21" t="s">
        <v>142</v>
      </c>
      <c r="G21" s="19" t="s">
        <v>297</v>
      </c>
      <c r="H21" s="20">
        <v>45901</v>
      </c>
      <c r="I21" s="20"/>
      <c r="J21" s="21"/>
      <c r="K21" s="21"/>
      <c r="L21" s="19" t="s">
        <v>272</v>
      </c>
      <c r="M21" s="21"/>
      <c r="N21" s="19"/>
      <c r="O21" s="19"/>
      <c r="P21" s="19" t="s">
        <v>298</v>
      </c>
      <c r="Q21" s="19"/>
      <c r="R21" s="19" t="s">
        <v>148</v>
      </c>
      <c r="S21" s="19"/>
      <c r="T21" s="19" t="s">
        <v>259</v>
      </c>
      <c r="U21" s="21" t="s">
        <v>142</v>
      </c>
    </row>
    <row r="22" spans="1:21" s="22" customFormat="1" ht="43.5" x14ac:dyDescent="0.35">
      <c r="A22" s="19" t="s">
        <v>145</v>
      </c>
      <c r="B22" s="19" t="s">
        <v>55</v>
      </c>
      <c r="C22" s="20">
        <v>45994.658333333333</v>
      </c>
      <c r="D22" s="19" t="s">
        <v>188</v>
      </c>
      <c r="E22" s="19" t="s">
        <v>294</v>
      </c>
      <c r="F22" s="21" t="s">
        <v>189</v>
      </c>
      <c r="G22" s="19" t="s">
        <v>299</v>
      </c>
      <c r="H22" s="20">
        <v>45323</v>
      </c>
      <c r="I22" s="20"/>
      <c r="J22" s="21"/>
      <c r="K22" s="21"/>
      <c r="L22" s="19" t="s">
        <v>272</v>
      </c>
      <c r="M22" s="21"/>
      <c r="N22" s="19"/>
      <c r="O22" s="19"/>
      <c r="P22" s="19" t="s">
        <v>300</v>
      </c>
      <c r="Q22" s="19"/>
      <c r="R22" s="19" t="s">
        <v>148</v>
      </c>
      <c r="S22" s="19"/>
      <c r="T22" s="19" t="s">
        <v>259</v>
      </c>
      <c r="U22" s="21" t="s">
        <v>189</v>
      </c>
    </row>
    <row r="23" spans="1:21" ht="29" x14ac:dyDescent="0.35">
      <c r="A23" s="13" t="s">
        <v>54</v>
      </c>
      <c r="B23" s="13" t="s">
        <v>55</v>
      </c>
      <c r="C23" s="14">
        <v>45628.606944444444</v>
      </c>
      <c r="D23" s="13" t="s">
        <v>74</v>
      </c>
      <c r="E23" s="13" t="s">
        <v>294</v>
      </c>
      <c r="F23" s="15" t="s">
        <v>75</v>
      </c>
      <c r="G23" s="13" t="s">
        <v>301</v>
      </c>
      <c r="H23" s="14">
        <v>45323</v>
      </c>
      <c r="I23" s="14"/>
      <c r="J23" s="15"/>
      <c r="K23" s="15"/>
      <c r="L23" s="13" t="s">
        <v>272</v>
      </c>
      <c r="M23" s="15"/>
      <c r="N23" s="13"/>
      <c r="O23" s="13"/>
      <c r="P23" s="13" t="s">
        <v>258</v>
      </c>
      <c r="Q23" s="13"/>
      <c r="R23" s="13"/>
      <c r="S23" s="13"/>
      <c r="T23" s="13" t="s">
        <v>259</v>
      </c>
      <c r="U23" s="15" t="s">
        <v>75</v>
      </c>
    </row>
    <row r="24" spans="1:21" ht="43.5" x14ac:dyDescent="0.35">
      <c r="A24" s="13" t="s">
        <v>54</v>
      </c>
      <c r="B24" s="13" t="s">
        <v>55</v>
      </c>
      <c r="C24" s="14">
        <v>45628.607638888891</v>
      </c>
      <c r="D24" s="13" t="s">
        <v>111</v>
      </c>
      <c r="E24" s="13" t="s">
        <v>294</v>
      </c>
      <c r="F24" s="15" t="s">
        <v>112</v>
      </c>
      <c r="G24" s="13" t="s">
        <v>301</v>
      </c>
      <c r="H24" s="14">
        <v>45323</v>
      </c>
      <c r="I24" s="14"/>
      <c r="J24" s="15"/>
      <c r="K24" s="15"/>
      <c r="L24" s="13" t="s">
        <v>272</v>
      </c>
      <c r="M24" s="15"/>
      <c r="N24" s="13"/>
      <c r="O24" s="13"/>
      <c r="P24" s="13" t="s">
        <v>258</v>
      </c>
      <c r="Q24" s="13"/>
      <c r="R24" s="13"/>
      <c r="S24" s="13"/>
      <c r="T24" s="13" t="s">
        <v>259</v>
      </c>
      <c r="U24" s="15" t="s">
        <v>112</v>
      </c>
    </row>
    <row r="25" spans="1:21" ht="72.5" x14ac:dyDescent="0.35">
      <c r="A25" s="13" t="s">
        <v>54</v>
      </c>
      <c r="B25" s="13" t="s">
        <v>55</v>
      </c>
      <c r="C25" s="14">
        <v>45628.609027777777</v>
      </c>
      <c r="D25" s="13" t="s">
        <v>113</v>
      </c>
      <c r="E25" s="13" t="s">
        <v>294</v>
      </c>
      <c r="F25" s="15" t="s">
        <v>114</v>
      </c>
      <c r="G25" s="13" t="s">
        <v>302</v>
      </c>
      <c r="H25" s="14">
        <v>45323</v>
      </c>
      <c r="I25" s="14"/>
      <c r="J25" s="15"/>
      <c r="K25" s="15"/>
      <c r="L25" s="13" t="s">
        <v>272</v>
      </c>
      <c r="M25" s="15"/>
      <c r="N25" s="13"/>
      <c r="O25" s="13"/>
      <c r="P25" s="13" t="s">
        <v>258</v>
      </c>
      <c r="Q25" s="13"/>
      <c r="R25" s="13"/>
      <c r="S25" s="13"/>
      <c r="T25" s="13" t="s">
        <v>259</v>
      </c>
      <c r="U25" s="15" t="s">
        <v>114</v>
      </c>
    </row>
    <row r="26" spans="1:21" ht="72.5" x14ac:dyDescent="0.35">
      <c r="A26" s="13" t="s">
        <v>54</v>
      </c>
      <c r="B26" s="13" t="s">
        <v>55</v>
      </c>
      <c r="C26" s="14">
        <v>45628.609722222223</v>
      </c>
      <c r="D26" s="13" t="s">
        <v>115</v>
      </c>
      <c r="E26" s="13" t="s">
        <v>294</v>
      </c>
      <c r="F26" s="15" t="s">
        <v>116</v>
      </c>
      <c r="G26" s="13" t="s">
        <v>303</v>
      </c>
      <c r="H26" s="14">
        <v>45323</v>
      </c>
      <c r="I26" s="14"/>
      <c r="J26" s="15"/>
      <c r="K26" s="15"/>
      <c r="L26" s="13" t="s">
        <v>272</v>
      </c>
      <c r="M26" s="15"/>
      <c r="N26" s="13"/>
      <c r="O26" s="13"/>
      <c r="P26" s="13" t="s">
        <v>304</v>
      </c>
      <c r="Q26" s="13"/>
      <c r="R26" s="13"/>
      <c r="S26" s="13"/>
      <c r="T26" s="13" t="s">
        <v>259</v>
      </c>
      <c r="U26" s="15" t="s">
        <v>116</v>
      </c>
    </row>
    <row r="27" spans="1:21" ht="43.5" x14ac:dyDescent="0.35">
      <c r="A27" s="13" t="s">
        <v>54</v>
      </c>
      <c r="B27" s="13" t="s">
        <v>55</v>
      </c>
      <c r="C27" s="14">
        <v>45628.611111111109</v>
      </c>
      <c r="D27" s="13" t="s">
        <v>139</v>
      </c>
      <c r="E27" s="13" t="s">
        <v>294</v>
      </c>
      <c r="F27" s="15" t="s">
        <v>140</v>
      </c>
      <c r="G27" s="13" t="s">
        <v>303</v>
      </c>
      <c r="H27" s="14">
        <v>45323</v>
      </c>
      <c r="I27" s="14"/>
      <c r="J27" s="15"/>
      <c r="K27" s="15"/>
      <c r="L27" s="13" t="s">
        <v>272</v>
      </c>
      <c r="M27" s="15"/>
      <c r="N27" s="13"/>
      <c r="O27" s="13"/>
      <c r="P27" s="13" t="s">
        <v>305</v>
      </c>
      <c r="Q27" s="13"/>
      <c r="R27" s="13"/>
      <c r="S27" s="13"/>
      <c r="T27" s="13" t="s">
        <v>259</v>
      </c>
      <c r="U27" s="15" t="s">
        <v>140</v>
      </c>
    </row>
    <row r="28" spans="1:21" ht="58" x14ac:dyDescent="0.35">
      <c r="A28" s="13" t="s">
        <v>54</v>
      </c>
      <c r="B28" s="13" t="s">
        <v>55</v>
      </c>
      <c r="C28" s="14">
        <v>45628.611805555556</v>
      </c>
      <c r="D28" s="13" t="s">
        <v>117</v>
      </c>
      <c r="E28" s="13" t="s">
        <v>294</v>
      </c>
      <c r="F28" s="15" t="s">
        <v>118</v>
      </c>
      <c r="G28" s="13" t="s">
        <v>303</v>
      </c>
      <c r="H28" s="14">
        <v>45323</v>
      </c>
      <c r="I28" s="14"/>
      <c r="J28" s="15"/>
      <c r="K28" s="15"/>
      <c r="L28" s="13" t="s">
        <v>272</v>
      </c>
      <c r="M28" s="15"/>
      <c r="N28" s="13"/>
      <c r="O28" s="13"/>
      <c r="P28" s="13" t="s">
        <v>304</v>
      </c>
      <c r="Q28" s="13"/>
      <c r="R28" s="13"/>
      <c r="S28" s="13"/>
      <c r="T28" s="13" t="s">
        <v>259</v>
      </c>
      <c r="U28" s="15" t="s">
        <v>118</v>
      </c>
    </row>
    <row r="29" spans="1:21" ht="29" x14ac:dyDescent="0.35">
      <c r="A29" s="13" t="s">
        <v>54</v>
      </c>
      <c r="B29" s="13" t="s">
        <v>55</v>
      </c>
      <c r="C29" s="14">
        <v>45628.612500000003</v>
      </c>
      <c r="D29" s="13" t="s">
        <v>141</v>
      </c>
      <c r="E29" s="13" t="s">
        <v>294</v>
      </c>
      <c r="F29" s="15" t="s">
        <v>142</v>
      </c>
      <c r="G29" s="13" t="s">
        <v>303</v>
      </c>
      <c r="H29" s="14">
        <v>45323</v>
      </c>
      <c r="I29" s="14"/>
      <c r="J29" s="15"/>
      <c r="K29" s="15"/>
      <c r="L29" s="13" t="s">
        <v>272</v>
      </c>
      <c r="M29" s="15"/>
      <c r="N29" s="13"/>
      <c r="O29" s="13"/>
      <c r="P29" s="13" t="s">
        <v>305</v>
      </c>
      <c r="Q29" s="13"/>
      <c r="R29" s="13"/>
      <c r="S29" s="13"/>
      <c r="T29" s="13" t="s">
        <v>259</v>
      </c>
      <c r="U29" s="15" t="s">
        <v>142</v>
      </c>
    </row>
    <row r="30" spans="1:21" ht="58" x14ac:dyDescent="0.35">
      <c r="A30" s="13" t="s">
        <v>54</v>
      </c>
      <c r="B30" s="13" t="s">
        <v>55</v>
      </c>
      <c r="C30" s="14">
        <v>45628.616666666669</v>
      </c>
      <c r="D30" s="13" t="s">
        <v>119</v>
      </c>
      <c r="E30" s="13" t="s">
        <v>294</v>
      </c>
      <c r="F30" s="15" t="s">
        <v>120</v>
      </c>
      <c r="G30" s="13" t="s">
        <v>274</v>
      </c>
      <c r="H30" s="14">
        <v>45323</v>
      </c>
      <c r="I30" s="14"/>
      <c r="J30" s="15"/>
      <c r="K30" s="15"/>
      <c r="L30" s="13" t="s">
        <v>272</v>
      </c>
      <c r="M30" s="15"/>
      <c r="N30" s="13"/>
      <c r="O30" s="13"/>
      <c r="P30" s="13" t="s">
        <v>258</v>
      </c>
      <c r="Q30" s="13"/>
      <c r="R30" s="13"/>
      <c r="S30" s="13"/>
      <c r="T30" s="13" t="s">
        <v>259</v>
      </c>
      <c r="U30" s="15" t="s">
        <v>120</v>
      </c>
    </row>
    <row r="31" spans="1:21" ht="43.5" x14ac:dyDescent="0.35">
      <c r="A31" s="13" t="s">
        <v>54</v>
      </c>
      <c r="B31" s="13" t="s">
        <v>55</v>
      </c>
      <c r="C31" s="14">
        <v>45628.617361111108</v>
      </c>
      <c r="D31" s="13" t="s">
        <v>91</v>
      </c>
      <c r="E31" s="13" t="s">
        <v>294</v>
      </c>
      <c r="F31" s="15" t="s">
        <v>92</v>
      </c>
      <c r="G31" s="13" t="s">
        <v>260</v>
      </c>
      <c r="H31" s="14">
        <v>45323</v>
      </c>
      <c r="I31" s="14"/>
      <c r="J31" s="15"/>
      <c r="K31" s="15"/>
      <c r="L31" s="13" t="s">
        <v>272</v>
      </c>
      <c r="M31" s="15"/>
      <c r="N31" s="13"/>
      <c r="O31" s="13"/>
      <c r="P31" s="13" t="s">
        <v>258</v>
      </c>
      <c r="Q31" s="13"/>
      <c r="R31" s="13"/>
      <c r="S31" s="13"/>
      <c r="T31" s="13" t="s">
        <v>259</v>
      </c>
      <c r="U31" s="15" t="s">
        <v>92</v>
      </c>
    </row>
    <row r="32" spans="1:21" ht="72.5" x14ac:dyDescent="0.35">
      <c r="A32" s="13" t="s">
        <v>54</v>
      </c>
      <c r="B32" s="13" t="s">
        <v>55</v>
      </c>
      <c r="C32" s="14">
        <v>45628.618055555555</v>
      </c>
      <c r="D32" s="13" t="s">
        <v>89</v>
      </c>
      <c r="E32" s="13" t="s">
        <v>294</v>
      </c>
      <c r="F32" s="15" t="s">
        <v>90</v>
      </c>
      <c r="G32" s="13" t="s">
        <v>260</v>
      </c>
      <c r="H32" s="14">
        <v>45323</v>
      </c>
      <c r="I32" s="14"/>
      <c r="J32" s="15"/>
      <c r="K32" s="15"/>
      <c r="L32" s="13" t="s">
        <v>272</v>
      </c>
      <c r="M32" s="15"/>
      <c r="N32" s="13"/>
      <c r="O32" s="13"/>
      <c r="P32" s="13" t="s">
        <v>258</v>
      </c>
      <c r="Q32" s="13"/>
      <c r="R32" s="13"/>
      <c r="S32" s="13"/>
      <c r="T32" s="13" t="s">
        <v>259</v>
      </c>
      <c r="U32" s="15" t="s">
        <v>90</v>
      </c>
    </row>
    <row r="33" spans="1:21" ht="72.5" x14ac:dyDescent="0.35">
      <c r="A33" s="13" t="s">
        <v>54</v>
      </c>
      <c r="B33" s="13" t="s">
        <v>55</v>
      </c>
      <c r="C33" s="14">
        <v>45628.619444444441</v>
      </c>
      <c r="D33" s="13" t="s">
        <v>180</v>
      </c>
      <c r="E33" s="13" t="s">
        <v>294</v>
      </c>
      <c r="F33" s="15" t="s">
        <v>181</v>
      </c>
      <c r="G33" s="13" t="s">
        <v>299</v>
      </c>
      <c r="H33" s="14">
        <v>45323</v>
      </c>
      <c r="I33" s="14"/>
      <c r="J33" s="15"/>
      <c r="K33" s="15"/>
      <c r="L33" s="13" t="s">
        <v>272</v>
      </c>
      <c r="M33" s="15"/>
      <c r="N33" s="13"/>
      <c r="O33" s="13"/>
      <c r="P33" s="13" t="s">
        <v>306</v>
      </c>
      <c r="Q33" s="13"/>
      <c r="R33" s="13"/>
      <c r="S33" s="13"/>
      <c r="T33" s="13" t="s">
        <v>259</v>
      </c>
      <c r="U33" s="15" t="s">
        <v>181</v>
      </c>
    </row>
    <row r="34" spans="1:21" ht="72.5" x14ac:dyDescent="0.35">
      <c r="A34" s="13" t="s">
        <v>54</v>
      </c>
      <c r="B34" s="13" t="s">
        <v>55</v>
      </c>
      <c r="C34" s="14">
        <v>45628.620138888888</v>
      </c>
      <c r="D34" s="13" t="s">
        <v>196</v>
      </c>
      <c r="E34" s="13" t="s">
        <v>294</v>
      </c>
      <c r="F34" s="15" t="s">
        <v>197</v>
      </c>
      <c r="G34" s="13" t="s">
        <v>307</v>
      </c>
      <c r="H34" s="14">
        <v>45323</v>
      </c>
      <c r="I34" s="14"/>
      <c r="J34" s="15"/>
      <c r="K34" s="15"/>
      <c r="L34" s="13" t="s">
        <v>272</v>
      </c>
      <c r="M34" s="15"/>
      <c r="N34" s="13"/>
      <c r="O34" s="13"/>
      <c r="P34" s="13" t="s">
        <v>308</v>
      </c>
      <c r="Q34" s="13"/>
      <c r="R34" s="13"/>
      <c r="S34" s="13"/>
      <c r="T34" s="13" t="s">
        <v>259</v>
      </c>
      <c r="U34" s="15" t="s">
        <v>197</v>
      </c>
    </row>
    <row r="35" spans="1:21" ht="58" x14ac:dyDescent="0.35">
      <c r="A35" s="13" t="s">
        <v>54</v>
      </c>
      <c r="B35" s="13" t="s">
        <v>55</v>
      </c>
      <c r="C35" s="14">
        <v>45628.621527777781</v>
      </c>
      <c r="D35" s="13" t="s">
        <v>198</v>
      </c>
      <c r="E35" s="13" t="s">
        <v>294</v>
      </c>
      <c r="F35" s="15" t="s">
        <v>199</v>
      </c>
      <c r="G35" s="13" t="s">
        <v>307</v>
      </c>
      <c r="H35" s="14">
        <v>45323</v>
      </c>
      <c r="I35" s="14"/>
      <c r="J35" s="15"/>
      <c r="K35" s="15"/>
      <c r="L35" s="13" t="s">
        <v>272</v>
      </c>
      <c r="M35" s="15"/>
      <c r="N35" s="13"/>
      <c r="O35" s="13"/>
      <c r="P35" s="13" t="s">
        <v>309</v>
      </c>
      <c r="Q35" s="13"/>
      <c r="R35" s="13"/>
      <c r="S35" s="13"/>
      <c r="T35" s="13" t="s">
        <v>259</v>
      </c>
      <c r="U35" s="15" t="s">
        <v>199</v>
      </c>
    </row>
    <row r="36" spans="1:21" ht="58" x14ac:dyDescent="0.35">
      <c r="A36" s="13" t="s">
        <v>54</v>
      </c>
      <c r="B36" s="13" t="s">
        <v>55</v>
      </c>
      <c r="C36" s="14">
        <v>45628.62222222222</v>
      </c>
      <c r="D36" s="13" t="s">
        <v>205</v>
      </c>
      <c r="E36" s="13" t="s">
        <v>294</v>
      </c>
      <c r="F36" s="15" t="s">
        <v>206</v>
      </c>
      <c r="G36" s="13" t="s">
        <v>307</v>
      </c>
      <c r="H36" s="14">
        <v>45323</v>
      </c>
      <c r="I36" s="14"/>
      <c r="J36" s="15"/>
      <c r="K36" s="15"/>
      <c r="L36" s="13" t="s">
        <v>272</v>
      </c>
      <c r="M36" s="15"/>
      <c r="N36" s="13"/>
      <c r="O36" s="13"/>
      <c r="P36" s="13" t="s">
        <v>310</v>
      </c>
      <c r="Q36" s="13"/>
      <c r="R36" s="13"/>
      <c r="S36" s="13"/>
      <c r="T36" s="13" t="s">
        <v>259</v>
      </c>
      <c r="U36" s="15" t="s">
        <v>206</v>
      </c>
    </row>
    <row r="37" spans="1:21" ht="43.5" x14ac:dyDescent="0.35">
      <c r="A37" s="13" t="s">
        <v>54</v>
      </c>
      <c r="B37" s="13" t="s">
        <v>55</v>
      </c>
      <c r="C37" s="14">
        <v>45628.623611111114</v>
      </c>
      <c r="D37" s="13" t="s">
        <v>207</v>
      </c>
      <c r="E37" s="13" t="s">
        <v>294</v>
      </c>
      <c r="F37" s="15" t="s">
        <v>208</v>
      </c>
      <c r="G37" s="13" t="s">
        <v>307</v>
      </c>
      <c r="H37" s="14">
        <v>45323</v>
      </c>
      <c r="I37" s="14"/>
      <c r="J37" s="15"/>
      <c r="K37" s="15"/>
      <c r="L37" s="13" t="s">
        <v>272</v>
      </c>
      <c r="M37" s="15"/>
      <c r="N37" s="13"/>
      <c r="O37" s="13"/>
      <c r="P37" s="13" t="s">
        <v>310</v>
      </c>
      <c r="Q37" s="13"/>
      <c r="R37" s="13"/>
      <c r="S37" s="13"/>
      <c r="T37" s="13" t="s">
        <v>259</v>
      </c>
      <c r="U37" s="15" t="s">
        <v>208</v>
      </c>
    </row>
    <row r="38" spans="1:21" ht="43.5" x14ac:dyDescent="0.35">
      <c r="A38" s="13" t="s">
        <v>54</v>
      </c>
      <c r="B38" s="13" t="s">
        <v>55</v>
      </c>
      <c r="C38" s="14">
        <v>45628.625</v>
      </c>
      <c r="D38" s="13" t="s">
        <v>200</v>
      </c>
      <c r="E38" s="13" t="s">
        <v>294</v>
      </c>
      <c r="F38" s="15" t="s">
        <v>201</v>
      </c>
      <c r="G38" s="13" t="s">
        <v>311</v>
      </c>
      <c r="H38" s="14">
        <v>45323</v>
      </c>
      <c r="I38" s="14"/>
      <c r="J38" s="15"/>
      <c r="K38" s="15"/>
      <c r="L38" s="13" t="s">
        <v>272</v>
      </c>
      <c r="M38" s="15"/>
      <c r="N38" s="13"/>
      <c r="O38" s="13"/>
      <c r="P38" s="13" t="s">
        <v>308</v>
      </c>
      <c r="Q38" s="13"/>
      <c r="R38" s="13"/>
      <c r="S38" s="13"/>
      <c r="T38" s="13" t="s">
        <v>259</v>
      </c>
      <c r="U38" s="15" t="s">
        <v>201</v>
      </c>
    </row>
    <row r="39" spans="1:21" ht="43.5" x14ac:dyDescent="0.35">
      <c r="A39" s="13" t="s">
        <v>54</v>
      </c>
      <c r="B39" s="13" t="s">
        <v>55</v>
      </c>
      <c r="C39" s="14">
        <v>45628.626388888886</v>
      </c>
      <c r="D39" s="13" t="s">
        <v>202</v>
      </c>
      <c r="E39" s="13" t="s">
        <v>294</v>
      </c>
      <c r="F39" s="15" t="s">
        <v>203</v>
      </c>
      <c r="G39" s="13" t="s">
        <v>312</v>
      </c>
      <c r="H39" s="14">
        <v>45323</v>
      </c>
      <c r="I39" s="14"/>
      <c r="J39" s="15"/>
      <c r="K39" s="15"/>
      <c r="L39" s="13" t="s">
        <v>272</v>
      </c>
      <c r="M39" s="15"/>
      <c r="N39" s="13"/>
      <c r="O39" s="13"/>
      <c r="P39" s="13" t="s">
        <v>308</v>
      </c>
      <c r="Q39" s="13"/>
      <c r="R39" s="13"/>
      <c r="S39" s="13"/>
      <c r="T39" s="13" t="s">
        <v>259</v>
      </c>
      <c r="U39" s="15" t="s">
        <v>203</v>
      </c>
    </row>
    <row r="40" spans="1:21" ht="43.5" x14ac:dyDescent="0.35">
      <c r="A40" s="13" t="s">
        <v>54</v>
      </c>
      <c r="B40" s="13" t="s">
        <v>55</v>
      </c>
      <c r="C40" s="14">
        <v>45629.405555555553</v>
      </c>
      <c r="D40" s="13" t="s">
        <v>182</v>
      </c>
      <c r="E40" s="13" t="s">
        <v>294</v>
      </c>
      <c r="F40" s="15" t="s">
        <v>183</v>
      </c>
      <c r="G40" s="13" t="s">
        <v>313</v>
      </c>
      <c r="H40" s="14">
        <v>45323</v>
      </c>
      <c r="I40" s="14"/>
      <c r="J40" s="15"/>
      <c r="K40" s="15"/>
      <c r="L40" s="13" t="s">
        <v>272</v>
      </c>
      <c r="M40" s="15"/>
      <c r="N40" s="13"/>
      <c r="O40" s="13"/>
      <c r="P40" s="13" t="s">
        <v>314</v>
      </c>
      <c r="Q40" s="13"/>
      <c r="R40" s="13"/>
      <c r="S40" s="13"/>
      <c r="T40" s="13" t="s">
        <v>259</v>
      </c>
      <c r="U40" s="15" t="s">
        <v>183</v>
      </c>
    </row>
    <row r="41" spans="1:21" ht="58" x14ac:dyDescent="0.35">
      <c r="A41" s="13" t="s">
        <v>54</v>
      </c>
      <c r="B41" s="13" t="s">
        <v>186</v>
      </c>
      <c r="C41" s="14">
        <v>45635.722222222219</v>
      </c>
      <c r="D41" s="13" t="s">
        <v>218</v>
      </c>
      <c r="E41" s="13" t="s">
        <v>315</v>
      </c>
      <c r="F41" s="15" t="s">
        <v>219</v>
      </c>
      <c r="G41" s="13" t="s">
        <v>260</v>
      </c>
      <c r="H41" s="14">
        <v>40725</v>
      </c>
      <c r="I41" s="14"/>
      <c r="J41" s="15"/>
      <c r="K41" s="15"/>
      <c r="L41" s="13" t="s">
        <v>272</v>
      </c>
      <c r="M41" s="15"/>
      <c r="N41" s="13"/>
      <c r="O41" s="13"/>
      <c r="P41" s="13"/>
      <c r="Q41" s="13" t="s">
        <v>316</v>
      </c>
      <c r="R41" s="13"/>
      <c r="S41" s="13"/>
      <c r="T41" s="13" t="s">
        <v>259</v>
      </c>
      <c r="U41" s="15" t="s">
        <v>219</v>
      </c>
    </row>
    <row r="42" spans="1:21" ht="43.5" x14ac:dyDescent="0.35">
      <c r="A42" s="13" t="s">
        <v>54</v>
      </c>
      <c r="B42" s="13" t="s">
        <v>186</v>
      </c>
      <c r="C42" s="14">
        <v>45628.629861111112</v>
      </c>
      <c r="D42" s="13" t="s">
        <v>220</v>
      </c>
      <c r="E42" s="13" t="s">
        <v>315</v>
      </c>
      <c r="F42" s="15" t="s">
        <v>221</v>
      </c>
      <c r="G42" s="13" t="s">
        <v>277</v>
      </c>
      <c r="H42" s="14">
        <v>40725</v>
      </c>
      <c r="I42" s="14"/>
      <c r="J42" s="15"/>
      <c r="K42" s="15"/>
      <c r="L42" s="13" t="s">
        <v>272</v>
      </c>
      <c r="M42" s="15"/>
      <c r="N42" s="13"/>
      <c r="O42" s="13"/>
      <c r="P42" s="13"/>
      <c r="Q42" s="13" t="s">
        <v>317</v>
      </c>
      <c r="R42" s="13"/>
      <c r="S42" s="13"/>
      <c r="T42" s="13" t="s">
        <v>259</v>
      </c>
      <c r="U42" s="15" t="s">
        <v>221</v>
      </c>
    </row>
    <row r="43" spans="1:21" ht="43.5" x14ac:dyDescent="0.35">
      <c r="A43" s="13" t="s">
        <v>54</v>
      </c>
      <c r="B43" s="13" t="s">
        <v>186</v>
      </c>
      <c r="C43" s="14">
        <v>45628.629861111112</v>
      </c>
      <c r="D43" s="13" t="s">
        <v>222</v>
      </c>
      <c r="E43" s="13" t="s">
        <v>315</v>
      </c>
      <c r="F43" s="15" t="s">
        <v>223</v>
      </c>
      <c r="G43" s="13" t="s">
        <v>260</v>
      </c>
      <c r="H43" s="14">
        <v>40725</v>
      </c>
      <c r="I43" s="14"/>
      <c r="J43" s="15"/>
      <c r="K43" s="15"/>
      <c r="L43" s="13" t="s">
        <v>272</v>
      </c>
      <c r="M43" s="15"/>
      <c r="N43" s="13"/>
      <c r="O43" s="13"/>
      <c r="P43" s="13"/>
      <c r="Q43" s="13" t="s">
        <v>318</v>
      </c>
      <c r="R43" s="13"/>
      <c r="S43" s="13"/>
      <c r="T43" s="13" t="s">
        <v>259</v>
      </c>
      <c r="U43" s="15" t="s">
        <v>223</v>
      </c>
    </row>
  </sheetData>
  <autoFilter ref="A1:Z43" xr:uid="{37AD6360-16E0-4445-84B0-5C204B2B724F}"/>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Mode opératoire</vt:lpstr>
      <vt:lpstr>Axe 1 Enchainement des RG</vt:lpstr>
      <vt:lpstr>Axe 1 Enchaînement RG Impact</vt:lpstr>
      <vt:lpstr>Axe 1 Rattachement des actes</vt:lpstr>
      <vt:lpstr>Axe 2 Règles de gestion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2026-01-21T08:34:15Z</dcterms:created>
  <dcterms:modified xsi:type="dcterms:W3CDTF">2026-01-21T08:38:08Z</dcterms:modified>
</cp:coreProperties>
</file>