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Congé_absence\"/>
    </mc:Choice>
  </mc:AlternateContent>
  <xr:revisionPtr revIDLastSave="0" documentId="13_ncr:1_{ADB30D2A-8177-480A-B430-C27B6B16993C}" xr6:coauthVersionLast="47" xr6:coauthVersionMax="47" xr10:uidLastSave="{00000000-0000-0000-0000-000000000000}"/>
  <bookViews>
    <workbookView xWindow="-110" yWindow="-110" windowWidth="19420" windowHeight="11500" xr2:uid="{57525258-350E-4523-A0A2-1AAFEF60C465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gestion'!$A$1:$Z$125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90" i="4" l="1"/>
  <c r="AF86" i="4"/>
  <c r="AD106" i="4"/>
  <c r="AD100" i="4"/>
  <c r="AD90" i="4"/>
  <c r="AD86" i="4"/>
  <c r="AD70" i="4"/>
  <c r="AD60" i="4"/>
  <c r="AD54" i="4"/>
  <c r="AD50" i="4"/>
  <c r="AD40" i="4"/>
  <c r="AD30" i="4"/>
  <c r="AD2" i="4"/>
  <c r="AB106" i="4"/>
  <c r="AB100" i="4"/>
  <c r="AB90" i="4"/>
  <c r="AB86" i="4"/>
  <c r="AB80" i="4"/>
  <c r="AB74" i="4"/>
  <c r="AB70" i="4"/>
  <c r="AB66" i="4"/>
  <c r="AB60" i="4"/>
  <c r="AB54" i="4"/>
  <c r="AB50" i="4"/>
  <c r="AB46" i="4"/>
  <c r="AB40" i="4"/>
  <c r="AB32" i="4"/>
  <c r="AB30" i="4"/>
  <c r="AB7" i="4"/>
  <c r="AB2" i="4"/>
  <c r="Z106" i="4"/>
  <c r="Z100" i="4"/>
  <c r="Z90" i="4"/>
  <c r="Z86" i="4"/>
  <c r="Z80" i="4"/>
  <c r="Z74" i="4"/>
  <c r="Z70" i="4"/>
  <c r="Z66" i="4"/>
  <c r="Z60" i="4"/>
  <c r="Z54" i="4"/>
  <c r="Z50" i="4"/>
  <c r="Z46" i="4"/>
  <c r="Z40" i="4"/>
  <c r="Z32" i="4"/>
  <c r="Z30" i="4"/>
  <c r="Z7" i="4"/>
  <c r="Z2" i="4"/>
  <c r="BF101" i="5"/>
  <c r="BF100" i="5"/>
  <c r="BF91" i="5"/>
  <c r="BF90" i="5"/>
  <c r="BF81" i="5"/>
  <c r="BF80" i="5"/>
  <c r="BF75" i="5"/>
  <c r="BF74" i="5"/>
  <c r="BF71" i="5"/>
  <c r="BF70" i="5"/>
  <c r="BF61" i="5"/>
  <c r="BF60" i="5"/>
  <c r="BF55" i="5"/>
  <c r="BF54" i="5"/>
  <c r="BF51" i="5"/>
  <c r="BF50" i="5"/>
  <c r="BF41" i="5"/>
  <c r="BF40" i="5"/>
  <c r="BF37" i="5"/>
  <c r="BF36" i="5"/>
  <c r="BF35" i="5"/>
  <c r="BF34" i="5"/>
  <c r="BF31" i="5"/>
  <c r="BF30" i="5"/>
  <c r="BF24" i="5"/>
  <c r="BF16" i="5"/>
  <c r="BF7" i="5"/>
  <c r="BD101" i="5"/>
  <c r="BD100" i="5"/>
  <c r="BD91" i="5"/>
  <c r="BD90" i="5"/>
  <c r="BD81" i="5"/>
  <c r="BD80" i="5"/>
  <c r="BD75" i="5"/>
  <c r="BD74" i="5"/>
  <c r="BD71" i="5"/>
  <c r="BD70" i="5"/>
  <c r="BD61" i="5"/>
  <c r="BD60" i="5"/>
  <c r="BD55" i="5"/>
  <c r="BD54" i="5"/>
  <c r="BD51" i="5"/>
  <c r="BD50" i="5"/>
  <c r="BD41" i="5"/>
  <c r="BD40" i="5"/>
  <c r="BD37" i="5"/>
  <c r="BD36" i="5"/>
  <c r="BD35" i="5"/>
  <c r="BD34" i="5"/>
  <c r="BD31" i="5"/>
  <c r="BD30" i="5"/>
  <c r="BD24" i="5"/>
  <c r="BD16" i="5"/>
  <c r="BD7" i="5"/>
  <c r="BB124" i="5"/>
  <c r="BB118" i="5"/>
  <c r="BB116" i="5"/>
  <c r="BB106" i="5"/>
  <c r="BB104" i="5"/>
  <c r="BB101" i="5"/>
  <c r="BB100" i="5"/>
  <c r="BB98" i="5"/>
  <c r="BB96" i="5"/>
  <c r="BB91" i="5"/>
  <c r="BB90" i="5"/>
  <c r="BB86" i="5"/>
  <c r="BB84" i="5"/>
  <c r="BB81" i="5"/>
  <c r="BB80" i="5"/>
  <c r="BB78" i="5"/>
  <c r="BB76" i="5"/>
  <c r="BB75" i="5"/>
  <c r="BB74" i="5"/>
  <c r="BB71" i="5"/>
  <c r="BB70" i="5"/>
  <c r="BB66" i="5"/>
  <c r="BB64" i="5"/>
  <c r="BB61" i="5"/>
  <c r="BB60" i="5"/>
  <c r="BB58" i="5"/>
  <c r="BB56" i="5"/>
  <c r="BB55" i="5"/>
  <c r="BB54" i="5"/>
  <c r="BB51" i="5"/>
  <c r="BB50" i="5"/>
  <c r="BB46" i="5"/>
  <c r="BB44" i="5"/>
  <c r="BB42" i="5"/>
  <c r="BB41" i="5"/>
  <c r="BB40" i="5"/>
  <c r="BB38" i="5"/>
  <c r="BB37" i="5"/>
  <c r="BB36" i="5"/>
  <c r="BB35" i="5"/>
  <c r="BB34" i="5"/>
  <c r="BB32" i="5"/>
  <c r="BB31" i="5"/>
  <c r="BB30" i="5"/>
  <c r="BB26" i="5"/>
  <c r="BB24" i="5"/>
  <c r="BB16" i="5"/>
  <c r="BB14" i="5"/>
  <c r="BB7" i="5"/>
  <c r="BB2" i="5"/>
  <c r="AZ124" i="5"/>
  <c r="AZ118" i="5"/>
  <c r="AZ116" i="5"/>
  <c r="AZ106" i="5"/>
  <c r="AZ104" i="5"/>
  <c r="AZ101" i="5"/>
  <c r="AZ100" i="5"/>
  <c r="AZ98" i="5"/>
  <c r="AZ96" i="5"/>
  <c r="AZ91" i="5"/>
  <c r="AZ90" i="5"/>
  <c r="AZ86" i="5"/>
  <c r="AZ84" i="5"/>
  <c r="AZ81" i="5"/>
  <c r="AZ80" i="5"/>
  <c r="AZ78" i="5"/>
  <c r="AZ76" i="5"/>
  <c r="AZ75" i="5"/>
  <c r="AZ74" i="5"/>
  <c r="AZ71" i="5"/>
  <c r="AZ70" i="5"/>
  <c r="AZ66" i="5"/>
  <c r="AZ64" i="5"/>
  <c r="AZ61" i="5"/>
  <c r="AZ60" i="5"/>
  <c r="AZ58" i="5"/>
  <c r="AZ56" i="5"/>
  <c r="AZ55" i="5"/>
  <c r="AZ54" i="5"/>
  <c r="AZ51" i="5"/>
  <c r="AZ50" i="5"/>
  <c r="AZ46" i="5"/>
  <c r="AZ44" i="5"/>
  <c r="AZ43" i="5"/>
  <c r="AZ42" i="5"/>
  <c r="AZ41" i="5"/>
  <c r="AZ40" i="5"/>
  <c r="AZ38" i="5"/>
  <c r="AZ37" i="5"/>
  <c r="AZ36" i="5"/>
  <c r="AZ35" i="5"/>
  <c r="AZ34" i="5"/>
  <c r="AZ33" i="5"/>
  <c r="AZ32" i="5"/>
  <c r="AZ31" i="5"/>
  <c r="AZ30" i="5"/>
  <c r="AZ26" i="5"/>
  <c r="AZ25" i="5"/>
  <c r="AZ24" i="5"/>
  <c r="AZ17" i="5"/>
  <c r="AZ16" i="5"/>
  <c r="AZ14" i="5"/>
  <c r="AZ9" i="5"/>
  <c r="AZ7" i="5"/>
  <c r="AZ2" i="5"/>
  <c r="AX124" i="5"/>
  <c r="AX118" i="5"/>
  <c r="AX116" i="5"/>
  <c r="AX106" i="5"/>
  <c r="AX104" i="5"/>
  <c r="AX101" i="5"/>
  <c r="AX100" i="5"/>
  <c r="AX98" i="5"/>
  <c r="AX96" i="5"/>
  <c r="AX91" i="5"/>
  <c r="AX90" i="5"/>
  <c r="AX86" i="5"/>
  <c r="AX84" i="5"/>
  <c r="AX81" i="5"/>
  <c r="AX80" i="5"/>
  <c r="AX78" i="5"/>
  <c r="AX76" i="5"/>
  <c r="AX75" i="5"/>
  <c r="AX74" i="5"/>
  <c r="AX71" i="5"/>
  <c r="AX70" i="5"/>
  <c r="AX66" i="5"/>
  <c r="AX64" i="5"/>
  <c r="AX61" i="5"/>
  <c r="AX60" i="5"/>
  <c r="AX58" i="5"/>
  <c r="AX56" i="5"/>
  <c r="AX55" i="5"/>
  <c r="AX54" i="5"/>
  <c r="AX51" i="5"/>
  <c r="AX50" i="5"/>
  <c r="AX46" i="5"/>
  <c r="AX44" i="5"/>
  <c r="AX43" i="5"/>
  <c r="AX42" i="5"/>
  <c r="AX41" i="5"/>
  <c r="AX40" i="5"/>
  <c r="AX38" i="5"/>
  <c r="AX37" i="5"/>
  <c r="AX36" i="5"/>
  <c r="AX35" i="5"/>
  <c r="AX34" i="5"/>
  <c r="AX33" i="5"/>
  <c r="AX32" i="5"/>
  <c r="AX31" i="5"/>
  <c r="AX30" i="5"/>
  <c r="AX26" i="5"/>
  <c r="AX25" i="5"/>
  <c r="AX24" i="5"/>
  <c r="AX17" i="5"/>
  <c r="AX16" i="5"/>
  <c r="AX14" i="5"/>
  <c r="AX9" i="5"/>
  <c r="AX7" i="5"/>
  <c r="AX2" i="5"/>
  <c r="AV125" i="5"/>
  <c r="AV124" i="5"/>
  <c r="AV119" i="5"/>
  <c r="AV118" i="5"/>
  <c r="AV117" i="5"/>
  <c r="AV116" i="5"/>
  <c r="AV107" i="5"/>
  <c r="AV106" i="5"/>
  <c r="AV105" i="5"/>
  <c r="AV104" i="5"/>
  <c r="AV101" i="5"/>
  <c r="AV100" i="5"/>
  <c r="AV99" i="5"/>
  <c r="AV98" i="5"/>
  <c r="AV97" i="5"/>
  <c r="AV96" i="5"/>
  <c r="AV91" i="5"/>
  <c r="AV90" i="5"/>
  <c r="AV87" i="5"/>
  <c r="AV86" i="5"/>
  <c r="AV85" i="5"/>
  <c r="AV84" i="5"/>
  <c r="AV81" i="5"/>
  <c r="AV80" i="5"/>
  <c r="AV79" i="5"/>
  <c r="AV78" i="5"/>
  <c r="AV77" i="5"/>
  <c r="AV76" i="5"/>
  <c r="AV75" i="5"/>
  <c r="AV74" i="5"/>
  <c r="AV71" i="5"/>
  <c r="AV70" i="5"/>
  <c r="AV67" i="5"/>
  <c r="AV66" i="5"/>
  <c r="AV65" i="5"/>
  <c r="AV64" i="5"/>
  <c r="AV61" i="5"/>
  <c r="AV60" i="5"/>
  <c r="AV59" i="5"/>
  <c r="AV58" i="5"/>
  <c r="AV57" i="5"/>
  <c r="AV56" i="5"/>
  <c r="AV55" i="5"/>
  <c r="AV54" i="5"/>
  <c r="AV51" i="5"/>
  <c r="AV50" i="5"/>
  <c r="AV47" i="5"/>
  <c r="AV46" i="5"/>
  <c r="AV45" i="5"/>
  <c r="AV44" i="5"/>
  <c r="AV43" i="5"/>
  <c r="AV42" i="5"/>
  <c r="AV41" i="5"/>
  <c r="AV40" i="5"/>
  <c r="AV39" i="5"/>
  <c r="AV38" i="5"/>
  <c r="AV37" i="5"/>
  <c r="AV36" i="5"/>
  <c r="AV35" i="5"/>
  <c r="AV34" i="5"/>
  <c r="AV33" i="5"/>
  <c r="AV32" i="5"/>
  <c r="AV31" i="5"/>
  <c r="AV30" i="5"/>
  <c r="AV27" i="5"/>
  <c r="AV26" i="5"/>
  <c r="AV25" i="5"/>
  <c r="AV24" i="5"/>
  <c r="AV17" i="5"/>
  <c r="AV16" i="5"/>
  <c r="AV15" i="5"/>
  <c r="AV14" i="5"/>
  <c r="AV9" i="5"/>
  <c r="AV7" i="5"/>
  <c r="AV3" i="5"/>
  <c r="AV2" i="5"/>
  <c r="AT125" i="5"/>
  <c r="AT124" i="5"/>
  <c r="AT119" i="5"/>
  <c r="AT118" i="5"/>
  <c r="AT117" i="5"/>
  <c r="AT116" i="5"/>
  <c r="AT107" i="5"/>
  <c r="AT106" i="5"/>
  <c r="AT105" i="5"/>
  <c r="AT104" i="5"/>
  <c r="AT101" i="5"/>
  <c r="AT100" i="5"/>
  <c r="AT99" i="5"/>
  <c r="AT98" i="5"/>
  <c r="AT97" i="5"/>
  <c r="AT96" i="5"/>
  <c r="AT91" i="5"/>
  <c r="AT90" i="5"/>
  <c r="AT87" i="5"/>
  <c r="AT86" i="5"/>
  <c r="AT85" i="5"/>
  <c r="AT84" i="5"/>
  <c r="AT81" i="5"/>
  <c r="AT80" i="5"/>
  <c r="AT79" i="5"/>
  <c r="AT78" i="5"/>
  <c r="AT77" i="5"/>
  <c r="AT76" i="5"/>
  <c r="AT75" i="5"/>
  <c r="AT74" i="5"/>
  <c r="AT71" i="5"/>
  <c r="AT70" i="5"/>
  <c r="AT67" i="5"/>
  <c r="AT66" i="5"/>
  <c r="AT65" i="5"/>
  <c r="AT64" i="5"/>
  <c r="AT61" i="5"/>
  <c r="AT60" i="5"/>
  <c r="AT59" i="5"/>
  <c r="AT58" i="5"/>
  <c r="AT57" i="5"/>
  <c r="AT56" i="5"/>
  <c r="AT55" i="5"/>
  <c r="AT54" i="5"/>
  <c r="AT51" i="5"/>
  <c r="AT50" i="5"/>
  <c r="AT47" i="5"/>
  <c r="AT46" i="5"/>
  <c r="AT45" i="5"/>
  <c r="AT44" i="5"/>
  <c r="AT43" i="5"/>
  <c r="AT42" i="5"/>
  <c r="AT41" i="5"/>
  <c r="AT40" i="5"/>
  <c r="AT39" i="5"/>
  <c r="AT38" i="5"/>
  <c r="AT37" i="5"/>
  <c r="AT36" i="5"/>
  <c r="AT35" i="5"/>
  <c r="AT34" i="5"/>
  <c r="AT33" i="5"/>
  <c r="AT32" i="5"/>
  <c r="AT31" i="5"/>
  <c r="AT30" i="5"/>
  <c r="AT27" i="5"/>
  <c r="AT26" i="5"/>
  <c r="AT25" i="5"/>
  <c r="AT24" i="5"/>
  <c r="AT17" i="5"/>
  <c r="AT16" i="5"/>
  <c r="AT15" i="5"/>
  <c r="AT14" i="5"/>
  <c r="AT9" i="5"/>
  <c r="AT7" i="5"/>
  <c r="AT3" i="5"/>
  <c r="AT2" i="5"/>
  <c r="AR125" i="5"/>
  <c r="AR124" i="5"/>
  <c r="AR119" i="5"/>
  <c r="AR118" i="5"/>
  <c r="AR117" i="5"/>
  <c r="AR116" i="5"/>
  <c r="AR107" i="5"/>
  <c r="AR106" i="5"/>
  <c r="AR105" i="5"/>
  <c r="AR104" i="5"/>
  <c r="AR101" i="5"/>
  <c r="AR100" i="5"/>
  <c r="AR99" i="5"/>
  <c r="AR98" i="5"/>
  <c r="AR97" i="5"/>
  <c r="AR96" i="5"/>
  <c r="AR91" i="5"/>
  <c r="AR90" i="5"/>
  <c r="AR87" i="5"/>
  <c r="AR86" i="5"/>
  <c r="AR85" i="5"/>
  <c r="AR84" i="5"/>
  <c r="AR81" i="5"/>
  <c r="AR80" i="5"/>
  <c r="AR79" i="5"/>
  <c r="AR78" i="5"/>
  <c r="AR77" i="5"/>
  <c r="AR76" i="5"/>
  <c r="AR75" i="5"/>
  <c r="AR74" i="5"/>
  <c r="AR71" i="5"/>
  <c r="AR70" i="5"/>
  <c r="AR67" i="5"/>
  <c r="AR66" i="5"/>
  <c r="AR65" i="5"/>
  <c r="AR64" i="5"/>
  <c r="AR61" i="5"/>
  <c r="AR60" i="5"/>
  <c r="AR59" i="5"/>
  <c r="AR58" i="5"/>
  <c r="AR57" i="5"/>
  <c r="AR56" i="5"/>
  <c r="AR55" i="5"/>
  <c r="AR54" i="5"/>
  <c r="AR51" i="5"/>
  <c r="AR50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7" i="5"/>
  <c r="AR26" i="5"/>
  <c r="AR25" i="5"/>
  <c r="AR24" i="5"/>
  <c r="AR17" i="5"/>
  <c r="AR16" i="5"/>
  <c r="AR15" i="5"/>
  <c r="AR14" i="5"/>
  <c r="AR9" i="5"/>
  <c r="AR7" i="5"/>
  <c r="AR3" i="5"/>
  <c r="AR2" i="5"/>
  <c r="AP125" i="5"/>
  <c r="AP124" i="5"/>
  <c r="AP119" i="5"/>
  <c r="AP118" i="5"/>
  <c r="AP117" i="5"/>
  <c r="AP116" i="5"/>
  <c r="AP107" i="5"/>
  <c r="AP106" i="5"/>
  <c r="AP105" i="5"/>
  <c r="AP104" i="5"/>
  <c r="AP101" i="5"/>
  <c r="AP100" i="5"/>
  <c r="AP99" i="5"/>
  <c r="AP98" i="5"/>
  <c r="AP97" i="5"/>
  <c r="AP96" i="5"/>
  <c r="AP91" i="5"/>
  <c r="AP90" i="5"/>
  <c r="AP87" i="5"/>
  <c r="AP86" i="5"/>
  <c r="AP85" i="5"/>
  <c r="AP84" i="5"/>
  <c r="AP81" i="5"/>
  <c r="AP80" i="5"/>
  <c r="AP79" i="5"/>
  <c r="AP78" i="5"/>
  <c r="AP77" i="5"/>
  <c r="AP76" i="5"/>
  <c r="AP75" i="5"/>
  <c r="AP74" i="5"/>
  <c r="AP71" i="5"/>
  <c r="AP70" i="5"/>
  <c r="AP67" i="5"/>
  <c r="AP66" i="5"/>
  <c r="AP65" i="5"/>
  <c r="AP64" i="5"/>
  <c r="AP61" i="5"/>
  <c r="AP60" i="5"/>
  <c r="AP59" i="5"/>
  <c r="AP58" i="5"/>
  <c r="AP57" i="5"/>
  <c r="AP56" i="5"/>
  <c r="AP55" i="5"/>
  <c r="AP54" i="5"/>
  <c r="AP51" i="5"/>
  <c r="AP50" i="5"/>
  <c r="AP47" i="5"/>
  <c r="AP46" i="5"/>
  <c r="AP45" i="5"/>
  <c r="AP44" i="5"/>
  <c r="AP43" i="5"/>
  <c r="AP42" i="5"/>
  <c r="AP41" i="5"/>
  <c r="AP40" i="5"/>
  <c r="AP39" i="5"/>
  <c r="AP38" i="5"/>
  <c r="AP37" i="5"/>
  <c r="AP36" i="5"/>
  <c r="AP35" i="5"/>
  <c r="AP34" i="5"/>
  <c r="AP33" i="5"/>
  <c r="AP32" i="5"/>
  <c r="AP31" i="5"/>
  <c r="AP30" i="5"/>
  <c r="AP27" i="5"/>
  <c r="AP26" i="5"/>
  <c r="AP25" i="5"/>
  <c r="AP24" i="5"/>
  <c r="AP17" i="5"/>
  <c r="AP16" i="5"/>
  <c r="AP15" i="5"/>
  <c r="AP14" i="5"/>
  <c r="AP9" i="5"/>
  <c r="AP7" i="5"/>
  <c r="AP3" i="5"/>
  <c r="AP2" i="5"/>
  <c r="AN125" i="5"/>
  <c r="AN124" i="5"/>
  <c r="AN119" i="5"/>
  <c r="AN118" i="5"/>
  <c r="AN117" i="5"/>
  <c r="AN116" i="5"/>
  <c r="AN107" i="5"/>
  <c r="AN106" i="5"/>
  <c r="AN105" i="5"/>
  <c r="AN104" i="5"/>
  <c r="AN101" i="5"/>
  <c r="AN100" i="5"/>
  <c r="AN99" i="5"/>
  <c r="AN98" i="5"/>
  <c r="AN97" i="5"/>
  <c r="AN96" i="5"/>
  <c r="AN91" i="5"/>
  <c r="AN90" i="5"/>
  <c r="AN87" i="5"/>
  <c r="AN86" i="5"/>
  <c r="AN85" i="5"/>
  <c r="AN84" i="5"/>
  <c r="AN81" i="5"/>
  <c r="AN80" i="5"/>
  <c r="AN79" i="5"/>
  <c r="AN78" i="5"/>
  <c r="AN77" i="5"/>
  <c r="AN76" i="5"/>
  <c r="AN75" i="5"/>
  <c r="AN74" i="5"/>
  <c r="AN71" i="5"/>
  <c r="AN70" i="5"/>
  <c r="AN67" i="5"/>
  <c r="AN66" i="5"/>
  <c r="AN65" i="5"/>
  <c r="AN64" i="5"/>
  <c r="AN61" i="5"/>
  <c r="AN60" i="5"/>
  <c r="AN59" i="5"/>
  <c r="AN58" i="5"/>
  <c r="AN57" i="5"/>
  <c r="AN56" i="5"/>
  <c r="AN55" i="5"/>
  <c r="AN54" i="5"/>
  <c r="AN51" i="5"/>
  <c r="AN50" i="5"/>
  <c r="AN47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7" i="5"/>
  <c r="AN26" i="5"/>
  <c r="AN25" i="5"/>
  <c r="AN24" i="5"/>
  <c r="AN17" i="5"/>
  <c r="AN16" i="5"/>
  <c r="AN15" i="5"/>
  <c r="AN14" i="5"/>
  <c r="AN9" i="5"/>
  <c r="AN7" i="5"/>
  <c r="AN3" i="5"/>
  <c r="AN2" i="5"/>
  <c r="AL125" i="5"/>
  <c r="AL124" i="5"/>
  <c r="AL119" i="5"/>
  <c r="AL118" i="5"/>
  <c r="AL117" i="5"/>
  <c r="AL116" i="5"/>
  <c r="AL107" i="5"/>
  <c r="AL106" i="5"/>
  <c r="AL105" i="5"/>
  <c r="AL104" i="5"/>
  <c r="AL101" i="5"/>
  <c r="AL100" i="5"/>
  <c r="AL99" i="5"/>
  <c r="AL98" i="5"/>
  <c r="AL97" i="5"/>
  <c r="AL96" i="5"/>
  <c r="AL91" i="5"/>
  <c r="AL90" i="5"/>
  <c r="AL87" i="5"/>
  <c r="AL86" i="5"/>
  <c r="AL85" i="5"/>
  <c r="AL84" i="5"/>
  <c r="AL81" i="5"/>
  <c r="AL80" i="5"/>
  <c r="AL79" i="5"/>
  <c r="AL78" i="5"/>
  <c r="AL77" i="5"/>
  <c r="AL76" i="5"/>
  <c r="AL75" i="5"/>
  <c r="AL74" i="5"/>
  <c r="AL71" i="5"/>
  <c r="AL70" i="5"/>
  <c r="AL67" i="5"/>
  <c r="AL66" i="5"/>
  <c r="AL65" i="5"/>
  <c r="AL64" i="5"/>
  <c r="AL61" i="5"/>
  <c r="AL60" i="5"/>
  <c r="AL59" i="5"/>
  <c r="AL58" i="5"/>
  <c r="AL57" i="5"/>
  <c r="AL56" i="5"/>
  <c r="AL55" i="5"/>
  <c r="AL54" i="5"/>
  <c r="AL51" i="5"/>
  <c r="AL50" i="5"/>
  <c r="AL47" i="5"/>
  <c r="AL46" i="5"/>
  <c r="AL45" i="5"/>
  <c r="AL44" i="5"/>
  <c r="AL43" i="5"/>
  <c r="AL42" i="5"/>
  <c r="AL41" i="5"/>
  <c r="AL40" i="5"/>
  <c r="AL39" i="5"/>
  <c r="AL38" i="5"/>
  <c r="AL37" i="5"/>
  <c r="AL36" i="5"/>
  <c r="AL35" i="5"/>
  <c r="AL34" i="5"/>
  <c r="AL33" i="5"/>
  <c r="AL32" i="5"/>
  <c r="AL31" i="5"/>
  <c r="AL30" i="5"/>
  <c r="AL27" i="5"/>
  <c r="AL26" i="5"/>
  <c r="AL25" i="5"/>
  <c r="AL24" i="5"/>
  <c r="AL17" i="5"/>
  <c r="AL16" i="5"/>
  <c r="AL15" i="5"/>
  <c r="AL14" i="5"/>
  <c r="AL9" i="5"/>
  <c r="AL7" i="5"/>
  <c r="AL3" i="5"/>
  <c r="AL2" i="5"/>
  <c r="AJ125" i="5"/>
  <c r="AJ124" i="5"/>
  <c r="AJ85" i="5"/>
  <c r="AJ84" i="5"/>
  <c r="AJ79" i="5"/>
  <c r="AJ78" i="5"/>
  <c r="AJ77" i="5"/>
  <c r="AJ76" i="5"/>
  <c r="AJ75" i="5"/>
  <c r="AJ74" i="5"/>
  <c r="AJ71" i="5"/>
  <c r="AJ70" i="5"/>
  <c r="AJ67" i="5"/>
  <c r="AJ66" i="5"/>
  <c r="AJ65" i="5"/>
  <c r="AJ64" i="5"/>
  <c r="AJ59" i="5"/>
  <c r="AJ58" i="5"/>
  <c r="AJ57" i="5"/>
  <c r="AJ56" i="5"/>
  <c r="AJ55" i="5"/>
  <c r="AJ54" i="5"/>
  <c r="AJ51" i="5"/>
  <c r="AJ50" i="5"/>
  <c r="AJ47" i="5"/>
  <c r="AJ46" i="5"/>
  <c r="AJ45" i="5"/>
  <c r="AJ44" i="5"/>
  <c r="AJ43" i="5"/>
  <c r="AJ42" i="5"/>
  <c r="AJ39" i="5"/>
  <c r="AJ38" i="5"/>
  <c r="AJ36" i="5"/>
  <c r="AJ35" i="5"/>
  <c r="AJ34" i="5"/>
  <c r="AJ33" i="5"/>
  <c r="AJ32" i="5"/>
  <c r="AJ27" i="5"/>
  <c r="AJ26" i="5"/>
  <c r="AJ24" i="5"/>
  <c r="AJ16" i="5"/>
  <c r="AJ14" i="5"/>
  <c r="AJ7" i="5"/>
  <c r="AJ2" i="5"/>
  <c r="AH125" i="5"/>
  <c r="AH124" i="5"/>
  <c r="AH105" i="5"/>
  <c r="AH104" i="5"/>
  <c r="AH99" i="5"/>
  <c r="AH98" i="5"/>
  <c r="AH97" i="5"/>
  <c r="AH96" i="5"/>
  <c r="AH91" i="5"/>
  <c r="AH90" i="5"/>
  <c r="AH87" i="5"/>
  <c r="AH86" i="5"/>
  <c r="AH85" i="5"/>
  <c r="AH84" i="5"/>
  <c r="AH79" i="5"/>
  <c r="AH78" i="5"/>
  <c r="AH77" i="5"/>
  <c r="AH76" i="5"/>
  <c r="AH75" i="5"/>
  <c r="AH74" i="5"/>
  <c r="AH71" i="5"/>
  <c r="AH70" i="5"/>
  <c r="AH67" i="5"/>
  <c r="AH66" i="5"/>
  <c r="AH65" i="5"/>
  <c r="AH64" i="5"/>
  <c r="AH59" i="5"/>
  <c r="AH58" i="5"/>
  <c r="AH57" i="5"/>
  <c r="AH56" i="5"/>
  <c r="AH55" i="5"/>
  <c r="AH54" i="5"/>
  <c r="AH51" i="5"/>
  <c r="AH50" i="5"/>
  <c r="AH47" i="5"/>
  <c r="AH46" i="5"/>
  <c r="AH45" i="5"/>
  <c r="AH44" i="5"/>
  <c r="AH43" i="5"/>
  <c r="AH42" i="5"/>
  <c r="AH39" i="5"/>
  <c r="AH38" i="5"/>
  <c r="AH36" i="5"/>
  <c r="AH35" i="5"/>
  <c r="AH34" i="5"/>
  <c r="AH33" i="5"/>
  <c r="AH32" i="5"/>
  <c r="AH31" i="5"/>
  <c r="AH30" i="5"/>
  <c r="AH27" i="5"/>
  <c r="AH26" i="5"/>
  <c r="AH25" i="5"/>
  <c r="AH24" i="5"/>
  <c r="AH17" i="5"/>
  <c r="AH16" i="5"/>
  <c r="AH15" i="5"/>
  <c r="AH14" i="5"/>
  <c r="AH9" i="5"/>
  <c r="AH7" i="5"/>
  <c r="AH3" i="5"/>
  <c r="AH2" i="5"/>
  <c r="AF60" i="5"/>
  <c r="AF54" i="5"/>
  <c r="AF40" i="5"/>
  <c r="AD124" i="5"/>
  <c r="AD118" i="5"/>
  <c r="AD116" i="5"/>
  <c r="AD104" i="5"/>
  <c r="AD98" i="5"/>
  <c r="AD96" i="5"/>
  <c r="AD64" i="5"/>
  <c r="AD60" i="5"/>
  <c r="AD58" i="5"/>
  <c r="AD56" i="5"/>
  <c r="AD54" i="5"/>
  <c r="AD44" i="5"/>
  <c r="AD40" i="5"/>
  <c r="AD38" i="5"/>
  <c r="AD36" i="5"/>
  <c r="AD24" i="5"/>
  <c r="AD16" i="5"/>
  <c r="AD14" i="5"/>
  <c r="AD7" i="5"/>
  <c r="AD2" i="5"/>
  <c r="AB124" i="5"/>
  <c r="AB118" i="5"/>
  <c r="AB116" i="5"/>
  <c r="AB106" i="5"/>
  <c r="AB104" i="5"/>
  <c r="AB98" i="5"/>
  <c r="AB96" i="5"/>
  <c r="AB90" i="5"/>
  <c r="AB86" i="5"/>
  <c r="AB84" i="5"/>
  <c r="AB78" i="5"/>
  <c r="AB76" i="5"/>
  <c r="AB64" i="5"/>
  <c r="AB60" i="5"/>
  <c r="AB58" i="5"/>
  <c r="AB56" i="5"/>
  <c r="AB54" i="5"/>
  <c r="AB46" i="5"/>
  <c r="AB44" i="5"/>
  <c r="AB40" i="5"/>
  <c r="AB38" i="5"/>
  <c r="AB36" i="5"/>
  <c r="AB26" i="5"/>
  <c r="AB24" i="5"/>
  <c r="AB16" i="5"/>
  <c r="AB14" i="5"/>
  <c r="AB7" i="5"/>
  <c r="AB2" i="5"/>
  <c r="Z124" i="5"/>
  <c r="Z118" i="5"/>
  <c r="Z116" i="5"/>
  <c r="Z106" i="5"/>
  <c r="Z104" i="5"/>
  <c r="Z100" i="5"/>
  <c r="Z98" i="5"/>
  <c r="Z96" i="5"/>
  <c r="Z90" i="5"/>
  <c r="Z86" i="5"/>
  <c r="Z84" i="5"/>
  <c r="Z80" i="5"/>
  <c r="Z78" i="5"/>
  <c r="Z76" i="5"/>
  <c r="Z74" i="5"/>
  <c r="Z70" i="5"/>
  <c r="Z66" i="5"/>
  <c r="Z64" i="5"/>
  <c r="Z60" i="5"/>
  <c r="Z58" i="5"/>
  <c r="Z56" i="5"/>
  <c r="Z54" i="5"/>
  <c r="Z46" i="5"/>
  <c r="Z44" i="5"/>
  <c r="Z43" i="5"/>
  <c r="Z42" i="5"/>
  <c r="Z40" i="5"/>
  <c r="Z38" i="5"/>
  <c r="Z36" i="5"/>
  <c r="Z34" i="5"/>
  <c r="Z26" i="5"/>
  <c r="Z24" i="5"/>
  <c r="Z16" i="5"/>
  <c r="Z14" i="5"/>
  <c r="Z9" i="5"/>
  <c r="Z7" i="5"/>
  <c r="Z2" i="5"/>
</calcChain>
</file>

<file path=xl/sharedStrings.xml><?xml version="1.0" encoding="utf-8"?>
<sst xmlns="http://schemas.openxmlformats.org/spreadsheetml/2006/main" count="16761" uniqueCount="616">
  <si>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</si>
  <si>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</si>
  <si>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</si>
  <si>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</si>
  <si>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</si>
  <si>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</si>
  <si>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</si>
  <si>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</si>
  <si>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</si>
  <si>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</si>
  <si>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</si>
  <si>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</si>
  <si>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</si>
  <si>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</si>
  <si>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</si>
  <si>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</si>
  <si>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</si>
  <si>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</si>
  <si>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</si>
  <si>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</si>
  <si>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</si>
  <si>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</si>
  <si>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</si>
  <si>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</si>
  <si>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</si>
  <si>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</si>
  <si>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</si>
  <si>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</si>
  <si>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</si>
  <si>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</si>
  <si>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</si>
  <si>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</si>
  <si>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</si>
  <si>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</si>
  <si>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</si>
  <si>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</si>
  <si>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</si>
  <si>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</si>
  <si>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</si>
  <si>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</si>
  <si>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</si>
  <si>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</si>
  <si>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</si>
  <si>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</si>
  <si>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</si>
  <si>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</si>
  <si>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</si>
  <si>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</si>
  <si>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</si>
  <si>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</si>
  <si>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</si>
  <si>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</si>
  <si>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</si>
  <si>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</si>
  <si>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</si>
  <si>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</si>
  <si>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</si>
  <si>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</si>
  <si>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</si>
  <si>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FIME</t>
  </si>
  <si>
    <t>Statut de travail</t>
  </si>
  <si>
    <t>21.10.00</t>
  </si>
  <si>
    <t>A</t>
  </si>
  <si>
    <t>D0007</t>
  </si>
  <si>
    <t>Congés/Absence</t>
  </si>
  <si>
    <t>S0152</t>
  </si>
  <si>
    <t>Congés pour accomplir une période d'activité dans la réserve - SNU</t>
  </si>
  <si>
    <t>E0862</t>
  </si>
  <si>
    <t>Congé pour l'exercice des fonctions de préparation et d'encadrement du SNU</t>
  </si>
  <si>
    <t>Type de congé/absence saisi = Congé encadrement - service national universel</t>
  </si>
  <si>
    <t>A_COA_TYCOAB [Saisi] = 'CD012'</t>
  </si>
  <si>
    <t>T2134</t>
  </si>
  <si>
    <t>Congé pour l'exercice des fonctions de préparation et d'encadrement du SNU - Demande</t>
  </si>
  <si>
    <t>Création</t>
  </si>
  <si>
    <t/>
  </si>
  <si>
    <t>Titulaire ou magistrat</t>
  </si>
  <si>
    <t>P0001</t>
  </si>
  <si>
    <t>T</t>
  </si>
  <si>
    <t>Général</t>
  </si>
  <si>
    <t>Passant</t>
  </si>
  <si>
    <t>SNA_I_001 ET SNA_I_002 ET SNA_I_003 ET SNA_D_001 ET SNA_D_002 ET ABS_C_001 ET ABS_C_003 ET ABS_C_004 ET ABS_C_007 ET ABS_C_008 ET ABS_C_009 ET ABS_C_019 ET ABS_C_020 ET ABS_C_026</t>
  </si>
  <si>
    <t>SNA_I_001</t>
  </si>
  <si>
    <t>L'agent doit effectuer une demande auprès de son chef de service.</t>
  </si>
  <si>
    <t>SNA_I_002</t>
  </si>
  <si>
    <t>L'agent ne doit pas avoir fait l'objet d'une condamnation définitive pour crime ou délit dans les cas et conditions légalement prévus.</t>
  </si>
  <si>
    <t>SNA_I_003</t>
  </si>
  <si>
    <t>Le congé est accordé sous réserve des nécessités de service.</t>
  </si>
  <si>
    <t>SNA_D_001</t>
  </si>
  <si>
    <t>Le congé est accordé pour une durée maximale de 60 jours sur une période de 12 mois consécutifs.</t>
  </si>
  <si>
    <t>SNA_D_002</t>
  </si>
  <si>
    <t>L'agent doit être en activité.</t>
  </si>
  <si>
    <t>ABS_C_001</t>
  </si>
  <si>
    <t>La date de début du congé/absence doit être postérieure ou égale à la date de recrutement dans la FPE ou dans la carrière militaire.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</si>
  <si>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</si>
  <si>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</si>
  <si>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</si>
  <si>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</si>
  <si>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</si>
  <si>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</si>
  <si>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</si>
  <si>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</si>
  <si>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</si>
  <si>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</si>
  <si>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</si>
  <si>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</si>
  <si>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</si>
  <si>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</si>
  <si>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</si>
  <si>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</si>
  <si>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T2135</t>
  </si>
  <si>
    <t>Congé pour l'exercice des fonctions de préparation et d'encadrement du SNU - Fin</t>
  </si>
  <si>
    <t>Modification</t>
  </si>
  <si>
    <t>SNA_D_001 ET ABS_C_003 ET ABS_C_004 ET ABS_C_007 ET ABS_C_008 ET ABS_C_009 ET ABS_C_026</t>
  </si>
  <si>
    <t>22.10.00</t>
  </si>
  <si>
    <t>Militaire</t>
  </si>
  <si>
    <t>P0002</t>
  </si>
  <si>
    <t>M</t>
  </si>
  <si>
    <t>Exclu</t>
  </si>
  <si>
    <t>Contractuel</t>
  </si>
  <si>
    <t>P0003</t>
  </si>
  <si>
    <t>N</t>
  </si>
  <si>
    <t>SNA_I_061 ET SNA_I_060 ET SNA_I_062 ET SNA_D_030 ET SNA_D_031 ET ABS_C_002 ET ABS_C_003 ET ABS_C_004 ET ABS_C_005 ET ABS_C_006 ET ABS_C_007 ET ABS_C_008 ET ABS_C_009 ET ABS_C_019 ET ABS_C_020 ET ABS_C_026</t>
  </si>
  <si>
    <t>SNA_I_061</t>
  </si>
  <si>
    <t>Le contrat de l'agent, le cas échéant renouvelé, est d'une durée au moins égale à 18 mois.</t>
  </si>
  <si>
    <t>SNA_I_060</t>
  </si>
  <si>
    <t>SNA_I_062</t>
  </si>
  <si>
    <t>SNA_D_030</t>
  </si>
  <si>
    <t>SNA_D_031</t>
  </si>
  <si>
    <t>ABS_C_002</t>
  </si>
  <si>
    <t>La date de début du congé/absence doit être postérieure ou égale à la date de début du lien juridique.</t>
  </si>
  <si>
    <t>ABS_C_005</t>
  </si>
  <si>
    <t>La date de fin réelle du congé/absence doit être antérieure ou égale à la date limite de fin réelle ou prévisionnelle du lien juridique.</t>
  </si>
  <si>
    <t>ABS_C_006</t>
  </si>
  <si>
    <t>La date de fin prévisionnelle du congé/absence doit être antérieure ou égale à la date limite de fin réelle ou prévisionnelle du lien juridique.</t>
  </si>
  <si>
    <t>SNA_I_063 ET SNA_D_030 ET ABS_C_003 ET ABS_C_004 ET ABS_C_005 ET ABS_C_006 ET ABS_C_007 ET ABS_C_008 ET ABS_C_009 ET ABS_C_026</t>
  </si>
  <si>
    <t>SNA_I_063</t>
  </si>
  <si>
    <t>A l'issue du congé, l'agent est réemployé sur son précédent emploi dans la mesure permise par le service ou un emploi similaire assorti d'une rémunération équivalente.</t>
  </si>
  <si>
    <t>Stagiaire ou auditeur ou élève</t>
  </si>
  <si>
    <t>P0004</t>
  </si>
  <si>
    <t>S</t>
  </si>
  <si>
    <t>Ouvrier d'état</t>
  </si>
  <si>
    <t>P0005</t>
  </si>
  <si>
    <t>O</t>
  </si>
  <si>
    <t>Magistrat de l'ordre judiciaire</t>
  </si>
  <si>
    <t>P0007</t>
  </si>
  <si>
    <t>Particulier</t>
  </si>
  <si>
    <t>SNA_I_004 ET SNA_I_005 ET SNA_I_006 ET SNA_D_003 ET SNA_D_004 ET ABS_C_001 ET ABS_C_003 ET ABS_C_004 ET ABS_C_007 ET ABS_C_008 ET ABS_C_009 ET ABS_C_019 ET ABS_C_020 ET ABS_C_026</t>
  </si>
  <si>
    <t>SNA_I_004</t>
  </si>
  <si>
    <t>SNA_I_005</t>
  </si>
  <si>
    <t>SNA_I_006</t>
  </si>
  <si>
    <t>SNA_D_003</t>
  </si>
  <si>
    <t>SNA_D_004</t>
  </si>
  <si>
    <t>SNA_D_003 ET ABS_C_003 ET ABS_C_004 ET ABS_C_007 ET ABS_C_008 ET ABS_C_009 ET ABS_C_026</t>
  </si>
  <si>
    <t>Conseiller ou avocat général à la Cour de cassation en service extraordinaire</t>
  </si>
  <si>
    <t>P0046</t>
  </si>
  <si>
    <t>SNA_I_007 ET SNA_I_008 ET SNA_I_009 ET SNA_D_005 ET SNA_D_006 ET ABS_C_002 ET ABS_C_003 ET ABS_C_004 ET ABS_C_005 ET ABS_C_006 ET ABS_C_007 ET ABS_C_008 ET ABS_C_009 ET ABS_C_019 ET ABS_C_020 ET ABS_C_026</t>
  </si>
  <si>
    <t>SNA_I_007</t>
  </si>
  <si>
    <t>SNA_I_008</t>
  </si>
  <si>
    <t>SNA_I_009</t>
  </si>
  <si>
    <t>SNA_D_005</t>
  </si>
  <si>
    <t>SNA_D_006</t>
  </si>
  <si>
    <t>SNA_D_005 ET ABS_C_003 ET ABS_C_004 ET ABS_C_005 ET ABS_C_006 ET ABS_C_007 ET ABS_C_008 ET ABS_C_009 ET ABS_C_026</t>
  </si>
  <si>
    <t>Personnel civil payé à l'acte ou à la tâche</t>
  </si>
  <si>
    <t>P0054</t>
  </si>
  <si>
    <t>Contractuel de droit privé</t>
  </si>
  <si>
    <t>P0072</t>
  </si>
  <si>
    <t>Enseignant contractuel de l'enseignement agricole privé sous contrat non définitif - Agriculture</t>
  </si>
  <si>
    <t>P0078</t>
  </si>
  <si>
    <t>Enseignant contractuel de l'enseignement agricole privé sous contrat définitif - Agriculture</t>
  </si>
  <si>
    <t>P0079</t>
  </si>
  <si>
    <t>SNA_I_010 ET SNA_I_011 ET SNA_I_012 ET SNA_D_007 ET SNA_D_008 ET ABS_C_002 ET ABS_C_003 ET ABS_C_004 ET ABS_C_005 ET ABS_C_006 ET ABS_C_007 ET ABS_C_008 ET ABS_C_009 ET ABS_C_019 ET ABS_C_020 ET ABS_C_026</t>
  </si>
  <si>
    <t>SNA_I_010</t>
  </si>
  <si>
    <t>SNA_I_011</t>
  </si>
  <si>
    <t>SNA_I_012</t>
  </si>
  <si>
    <t>SNA_D_007</t>
  </si>
  <si>
    <t>SNA_D_008</t>
  </si>
  <si>
    <t>SNA_D_007 ET ABS_C_003 ET ABS_C_004 ET ABS_C_005 ET ABS_C_006 ET ABS_C_007 ET ABS_C_008 ET ABS_C_009 ET ABS_C_026</t>
  </si>
  <si>
    <t>E0875</t>
  </si>
  <si>
    <t>Congé avec traitement période d'instruction militaire</t>
  </si>
  <si>
    <t>Type de congé/absence saisi = Congé avec traitement période d'instruction militaire</t>
  </si>
  <si>
    <t>A_COA_TYCOAB [Saisi] = 'CD001'</t>
  </si>
  <si>
    <t>T2167</t>
  </si>
  <si>
    <t>Congé avec traitement période d'instruction militaire - Demande</t>
  </si>
  <si>
    <t>SNA_I_021 ET SNA_I_022 ET SNA_D_010 ET SNA_D_009 ET ABS_C_001 ET ABS_C_003 ET ABS_C_004 ET ABS_C_007 ET ABS_C_008 ET ABS_C_009 ET ABS_C_019 ET ABS_C_020 ET ABS_C_026</t>
  </si>
  <si>
    <t>SNA_I_021</t>
  </si>
  <si>
    <t>La demande de l'agent doit être faite 1 mois au moins avant le début de l'absence.</t>
  </si>
  <si>
    <t>SNA_I_022</t>
  </si>
  <si>
    <t>L'accord de l'administration est nécessaire dès que l'agent dépasse 5 jours d'absence par année civile sauf s'il suit une formation professionnelle pendant son absence.</t>
  </si>
  <si>
    <t>SNA_D_010</t>
  </si>
  <si>
    <t>La durée du congé doit être inférieure ou égale à 30 jours cumulés par année civile.</t>
  </si>
  <si>
    <t>SNA_D_009</t>
  </si>
  <si>
    <t>T2168</t>
  </si>
  <si>
    <t>Congé avec traitement période d'instruction militaire - Fin</t>
  </si>
  <si>
    <t>SNA_D_010 ET SNA_D_009 ET ABS_C_003 ET ABS_C_004 ET ABS_C_007 ET ABS_C_008 ET ABS_C_009 ET ABS_C_026</t>
  </si>
  <si>
    <t>SNA_D_017 ET ABS_C_002 ET ABS_C_004 ET ABS_C_003 ET ABS_C_007 ET ABS_C_008 ET ABS_C_005 ET ABS_C_006 ET ABS_C_019 ET ABS_C_020 ET ABS_C_009 ET ABS_C_026</t>
  </si>
  <si>
    <t>SNA_D_017</t>
  </si>
  <si>
    <t>SNA_D_017 ET ABS_C_002 ET ABS_C_003 ET ABS_C_004 ET ABS_C_007 ET ABS_C_008 ET ABS_C_005 ET ABS_C_006 ET ABS_C_019 ET ABS_C_020 ET ABS_C_009 ET ABS_C_026</t>
  </si>
  <si>
    <t>25.10.00</t>
  </si>
  <si>
    <t>SNA_D_013 ET SNA_D_020 ET ABS_C_001 ET ABS_C_003 ET ABS_C_004 ET ABS_C_007 ET ABS_C_008 ET ABS_C_009 ET ABS_C_019 ET ABS_C_020 ET ABS_C_026</t>
  </si>
  <si>
    <t>SNA_D_013</t>
  </si>
  <si>
    <t>SNA_D_020</t>
  </si>
  <si>
    <t>SNA_D_013 ET SNA_D_020 ET ABS_C_003 ET ABS_C_004 ET ABS_C_007 ET ABS_C_008 ET ABS_C_009 ET ABS_C_019 ET ABS_C_020 ET ABS_C_026</t>
  </si>
  <si>
    <t>SNA_I_017 ET SNA_D_015 ET SNA_D_014 ET ABS_C_002 ET ABS_C_004 ET ABS_C_003 ET ABS_C_007 ET ABS_C_008 ET ABS_C_005 ET ABS_C_006 ET ABS_C_019 ET ABS_C_020 ET ABS_C_009 ET ABS_C_026</t>
  </si>
  <si>
    <t>SNA_I_017</t>
  </si>
  <si>
    <t>L'agent bénéficie d'un congé rémunéré uniquement s'il s'agit de séances groupées sur plusieurs journées.</t>
  </si>
  <si>
    <t>SNA_D_015</t>
  </si>
  <si>
    <t>SNA_D_014</t>
  </si>
  <si>
    <t>SNA_D_015 ET SNA_D_014 ET ABS_C_002 ET ABS_C_003 ET ABS_C_004 ET ABS_C_007 ET ABS_C_008 ET ABS_C_005 ET ABS_C_006 ET ABS_C_019 ET ABS_C_020 ET ABS_C_009 ET ABS_C_026</t>
  </si>
  <si>
    <t>SNA_I_029 ET SNA_I_021 ET SNA_I_022 ET SNA_D_010 ET SNA_D_009 ET ABS_C_002 ET ABS_C_004 ET ABS_C_003 ET ABS_C_007 ET ABS_C_008 ET ABS_C_005 ET ABS_C_006 ET ABS_C_019 ET ABS_C_020 ET ABS_C_009 ET ABS_C_026</t>
  </si>
  <si>
    <t>SNA_I_029</t>
  </si>
  <si>
    <t>L'agent bénéficie des dispositions applicables aux agents titulaires pour la période d'instruction militaire.</t>
  </si>
  <si>
    <t>ABS_C_002 ET ABS_C_003 ET ABS_C_004 ET ABS_C_007 ET ABS_C_008 ET ABS_C_005 ET ABS_C_006 ET ABS_C_019 ET ABS_C_020 ET ABS_C_009 ET ABS_C_026</t>
  </si>
  <si>
    <t>SNA_I_030 ET SNA_I_021 ET SNA_I_022 ET SNA_D_010 ET SNA_D_009 ET ABS_C_001 ET ABS_C_003 ET ABS_C_004 ET ABS_C_007 ET ABS_C_008 ET ABS_C_009 ET ABS_C_019 ET ABS_C_020 ET ABS_C_026</t>
  </si>
  <si>
    <t>SNA_I_030</t>
  </si>
  <si>
    <t>SNA_I_045 ET SNA_I_046 ET SNA_I_047 ET SNA_I_048 ET ABS_C_002 ET ABS_C_004 ET ABS_C_003 ET ABS_C_007 ET ABS_C_008 ET ABS_C_005 ET ABS_C_006 ET ABS_C_019 ET ABS_C_020 ET ABS_C_009 ET ABS_C_026</t>
  </si>
  <si>
    <t>SNA_I_045</t>
  </si>
  <si>
    <t>L'agent peut s'absenter sans obtenir l'accord de son employeur dans la limite de 8 jours par année civile.</t>
  </si>
  <si>
    <t>SNA_I_046</t>
  </si>
  <si>
    <t>SNA_I_047</t>
  </si>
  <si>
    <t>La demande de l'agent doit indiquer la date et la durée de l'absence envisagée.</t>
  </si>
  <si>
    <t>SNA_I_048</t>
  </si>
  <si>
    <t>L'accord de l'administration est nécessaire dès que l'agent dépasse 8 jours d'absence par année civile.</t>
  </si>
  <si>
    <t>SNA_I_044 ET SNA_D_013 ET SNA_D_020 ET ABS_C_001 ET ABS_C_003 ET ABS_C_004 ET ABS_C_007 ET ABS_C_008 ET ABS_C_009 ET ABS_C_019 ET ABS_C_020 ET ABS_C_026</t>
  </si>
  <si>
    <t>SNA_I_044</t>
  </si>
  <si>
    <t>L'agent bénéficie des dispositions applicables aux agents stagiaires pour la période d'instruction militaire.</t>
  </si>
  <si>
    <t>SNA_I_044 ET SNA_D_013 ET SNA_D_020 ET ABS_C_003 ET ABS_C_004 ET ABS_C_007 ET ABS_C_008 ET ABS_C_009 ET ABS_C_019 ET ABS_C_020 ET ABS_C_026</t>
  </si>
  <si>
    <t>SNA_I_031 ET SNA_I_021 ET SNA_I_022 ET SNA_D_010 ET SNA_D_009 ET ABS_C_001 ET ABS_C_003 ET ABS_C_004 ET ABS_C_007 ET ABS_C_008 ET ABS_C_009 ET ABS_C_019 ET ABS_C_020 ET ABS_C_026</t>
  </si>
  <si>
    <t>SNA_I_031</t>
  </si>
  <si>
    <t>E0876</t>
  </si>
  <si>
    <t>Congé avec traitement période d'activité dans la réserve opérationnelle</t>
  </si>
  <si>
    <t>Type de congé/absence saisi = Congé période d'activité dans la réserve opérationnelle</t>
  </si>
  <si>
    <t>A_COA_TYCOAB [Saisi] = 'CD009'</t>
  </si>
  <si>
    <t>T2169</t>
  </si>
  <si>
    <t>Congé avec traitement période d'activité dans la réserve opérationnelle - Demande</t>
  </si>
  <si>
    <t>T2170</t>
  </si>
  <si>
    <t>Congé avec traitement période d'activité dans la réserve opérationnelle - Fin</t>
  </si>
  <si>
    <t>SNA_D_018 ET SNA_D_017 ET ABS_C_002 ET ABS_C_004 ET ABS_C_003 ET ABS_C_007 ET ABS_C_008 ET ABS_C_005 ET ABS_C_006 ET ABS_C_019 ET ABS_C_020 ET ABS_C_009 ET ABS_C_026</t>
  </si>
  <si>
    <t>SNA_D_018</t>
  </si>
  <si>
    <t>SNA_D_018 ET SNA_D_017 ET ABS_C_002 ET ABS_C_003 ET ABS_C_004 ET ABS_C_007 ET ABS_C_008 ET ABS_C_005 ET ABS_C_006 ET ABS_C_019 ET ABS_C_020 ET ABS_C_009 ET ABS_C_026</t>
  </si>
  <si>
    <t>SNA_I_025 ET SNA_I_026 ET SNA_I_027 ET SNA_I_028 ET SNA_D_015 ET SNA_D_014 ET ABS_C_002 ET ABS_C_004 ET ABS_C_003 ET ABS_C_007 ET ABS_C_008 ET ABS_C_005 ET ABS_C_006 ET ABS_C_019 ET ABS_C_020 ET ABS_C_009 ET ABS_C_026</t>
  </si>
  <si>
    <t>SNA_I_025</t>
  </si>
  <si>
    <t>L'agent peut s'absenter sans obtenir l'accord de son employeur dans la limite de 5 jours par année civile.</t>
  </si>
  <si>
    <t>SNA_I_026</t>
  </si>
  <si>
    <t>SNA_I_027</t>
  </si>
  <si>
    <t>SNA_I_028</t>
  </si>
  <si>
    <t>L'accord de l'administration est nécessaire dès que l'agent dépasse 5 jours d'absence par année civile.</t>
  </si>
  <si>
    <t>SNA_I_032 ET SNA_I_021 ET SNA_I_022 ET SNA_D_010 ET SNA_D_009 ET ABS_C_001 ET ABS_C_003 ET ABS_C_004 ET ABS_C_007 ET ABS_C_008 ET ABS_C_009 ET ABS_C_019 ET ABS_C_020 ET ABS_C_026</t>
  </si>
  <si>
    <t>SNA_I_032</t>
  </si>
  <si>
    <t>L'agent bénéficie des dispositions applicables aux agents titulaires pour la période d'activité au sein de la réserve opérationnelle.</t>
  </si>
  <si>
    <t>SNA_I_033 ET SNA_I_021 ET SNA_I_022 ET SNA_D_010 ET SNA_D_009 ET ABS_C_001 ET ABS_C_003 ET ABS_C_004 ET ABS_C_007 ET ABS_C_008 ET ABS_C_009 ET ABS_C_019 ET ABS_C_020 ET ABS_C_026</t>
  </si>
  <si>
    <t>SNA_I_033</t>
  </si>
  <si>
    <t>L'agent bénéficie des dispositions applicables aux agents titulaires pour la période d'activité effectuée au sein de la réserve opérationnelle.</t>
  </si>
  <si>
    <t>SNA_I_034 ET SNA_I_021 ET SNA_I_022 ET SNA_D_010 ET SNA_D_009 ET ABS_C_001 ET ABS_C_003 ET ABS_C_004 ET ABS_C_007 ET ABS_C_008 ET ABS_C_009 ET ABS_C_019 ET ABS_C_020 ET ABS_C_026</t>
  </si>
  <si>
    <t>SNA_I_034</t>
  </si>
  <si>
    <t>L'agent bénéficie des dispositions applicables aux agents titulaires pour la période d'activité effectuée au sein de la réserve civile.</t>
  </si>
  <si>
    <t>E0877</t>
  </si>
  <si>
    <t>Congé avec traitement période d'activité dans la réserve de sécurité civile</t>
  </si>
  <si>
    <t>Type de congé/absence saisi = Congé avec traitement période d'activité dans la réserve de sécurité civile</t>
  </si>
  <si>
    <t>A_COA_TYCOAB [Saisi] = 'CD005'</t>
  </si>
  <si>
    <t>T2171</t>
  </si>
  <si>
    <t>Congé avec traitement période d'activité dans la réserve de sécurité civile - Demande</t>
  </si>
  <si>
    <t>SNA_I_020 ET SNA_D_011 ET SNA_D_009 ET ABS_C_001 ET ABS_C_003 ET ABS_C_004 ET ABS_C_007 ET ABS_C_008 ET ABS_C_009 ET ABS_C_019 ET ABS_C_020 ET ABS_C_026</t>
  </si>
  <si>
    <t>SNA_I_020</t>
  </si>
  <si>
    <t>L'accord de l'administration est nécessaire.</t>
  </si>
  <si>
    <t>SNA_D_011</t>
  </si>
  <si>
    <t>La durée du congé doit être inférieure ou égale à 15 jours cumulés par année civile.</t>
  </si>
  <si>
    <t>T2172</t>
  </si>
  <si>
    <t>Congé avec traitement période d'activité dans la réserve de sécurité civile - Fin</t>
  </si>
  <si>
    <t>SNA_D_011 ET SNA_D_009 ET ABS_C_003 ET ABS_C_004 ET ABS_C_007 ET ABS_C_008 ET ABS_C_009 ET ABS_C_026</t>
  </si>
  <si>
    <t>SNA_I_020 ET SNA_D_019 ET SNA_D_017 ET ABS_C_002 ET ABS_C_004 ET ABS_C_003 ET ABS_C_007 ET ABS_C_008 ET ABS_C_005 ET ABS_C_006 ET ABS_C_019 ET ABS_C_020 ET ABS_C_009 ET ABS_C_026</t>
  </si>
  <si>
    <t>SNA_D_019</t>
  </si>
  <si>
    <t>SNA_D_019 ET SNA_D_017 ET ABS_C_002 ET ABS_C_003 ET ABS_C_004 ET ABS_C_007 ET ABS_C_008 ET ABS_C_005 ET ABS_C_006 ET ABS_C_019 ET ABS_C_020 ET ABS_C_009 ET ABS_C_026</t>
  </si>
  <si>
    <t>SNA_I_020 ET SNA_D_016 ET SNA_D_014 ET ABS_C_002 ET ABS_C_004 ET ABS_C_003 ET ABS_C_007 ET ABS_C_008 ET ABS_C_005 ET ABS_C_006 ET ABS_C_019 ET ABS_C_020 ET ABS_C_009 ET ABS_C_026</t>
  </si>
  <si>
    <t>SNA_D_016</t>
  </si>
  <si>
    <t>SNA_D_016 ET SNA_D_014 ET ABS_C_002 ET ABS_C_003 ET ABS_C_004 ET ABS_C_007 ET ABS_C_008 ET ABS_C_005 ET ABS_C_006 ET ABS_C_019 ET ABS_C_020 ET ABS_C_009 ET ABS_C_026</t>
  </si>
  <si>
    <t>SNA_I_035 ET SNA_I_020 ET SNA_D_011 ET SNA_D_009 ET ABS_C_001 ET ABS_C_003 ET ABS_C_004 ET ABS_C_007 ET ABS_C_008 ET ABS_C_009 ET ABS_C_019 ET ABS_C_020 ET ABS_C_026</t>
  </si>
  <si>
    <t>SNA_I_035</t>
  </si>
  <si>
    <t>SNA_I_036 ET SNA_I_020 ET SNA_D_011 ET SNA_D_009 ET ABS_C_001 ET ABS_C_003 ET ABS_C_004 ET ABS_C_007 ET ABS_C_008 ET ABS_C_009 ET ABS_C_019 ET ABS_C_020 ET ABS_C_026</t>
  </si>
  <si>
    <t>SNA_I_036</t>
  </si>
  <si>
    <t>SNA_I_051 ET ABS_C_002 ET ABS_C_004 ET ABS_C_003 ET ABS_C_007 ET ABS_C_008 ET ABS_C_005 ET ABS_C_006 ET ABS_C_019 ET ABS_C_020 ET ABS_C_009 ET ABS_C_026</t>
  </si>
  <si>
    <t>SNA_I_051</t>
  </si>
  <si>
    <t>SNA_I_037 ET SNA_I_020 ET SNA_D_011 ET SNA_D_009 ET ABS_C_001 ET ABS_C_003 ET ABS_C_004 ET ABS_C_007 ET ABS_C_008 ET ABS_C_009 ET ABS_C_019 ET ABS_C_020 ET ABS_C_026</t>
  </si>
  <si>
    <t>SNA_I_037</t>
  </si>
  <si>
    <t>L'agent bénéficie des dispositions applicables aux agents titulaires pour la période d'activité effectuée au sein de la réserve civile, sauf disposition particulières.</t>
  </si>
  <si>
    <t>E0878</t>
  </si>
  <si>
    <t>Congé pour période d'activité dans la réserve sanitaire</t>
  </si>
  <si>
    <t>Type de congé/absence saisi = Congé pour période d'activité dans la réserve sanitaire</t>
  </si>
  <si>
    <t>A_COA_TYCOAB [Saisi] = 'CD006'</t>
  </si>
  <si>
    <t>T2173</t>
  </si>
  <si>
    <t>Congé pour période d'activité dans la réserve sanitaire - Demande</t>
  </si>
  <si>
    <t>SNA_I_018 ET SNA_I_019 ET SNA_D_009 ET ABS_C_001 ET ABS_C_003 ET ABS_C_004 ET ABS_C_007 ET ABS_C_008 ET ABS_C_009 ET ABS_C_019 ET ABS_C_020 ET ABS_C_026</t>
  </si>
  <si>
    <t>SNA_I_018</t>
  </si>
  <si>
    <t>SNA_I_019</t>
  </si>
  <si>
    <t>La demande de l'agent peut être refusée en cas de nécessité inhérente à la poursuite de la production de biens et de services ou à la continuité du service public.</t>
  </si>
  <si>
    <t>T2174</t>
  </si>
  <si>
    <t>Congé pour période d'activité dans la réserve sanitaire - Fin</t>
  </si>
  <si>
    <t>SNA_D_009 ET ABS_C_003 ET ABS_C_004 ET ABS_C_007 ET ABS_C_008 ET ABS_C_009 ET ABS_C_026</t>
  </si>
  <si>
    <t>SNA_I_018 ET SNA_I_019 ET SNA_D_009 ET ABS_C_002 ET ABS_C_004 ET ABS_C_003 ET ABS_C_007 ET ABS_C_008 ET ABS_C_005 ET ABS_C_006 ET ABS_C_019 ET ABS_C_020 ET ABS_C_009 ET ABS_C_026</t>
  </si>
  <si>
    <t>SNA_D_009 ET ABS_C_002 ET ABS_C_003 ET ABS_C_004 ET ABS_C_007 ET ABS_C_008 ET ABS_C_005 ET ABS_C_006 ET ABS_C_019 ET ABS_C_020 ET ABS_C_009 ET ABS_C_026</t>
  </si>
  <si>
    <t>SNA_I_038 ET SNA_I_018 ET SNA_I_019 ET SNA_D_009 ET ABS_C_001 ET ABS_C_003 ET ABS_C_004 ET ABS_C_007 ET ABS_C_008 ET ABS_C_009 ET ABS_C_019 ET ABS_C_020 ET ABS_C_026</t>
  </si>
  <si>
    <t>SNA_I_038</t>
  </si>
  <si>
    <t>L'agent bénéficie des dispositions applicables aux agents titulaires pour la période d'activité effectuée au sein de la réserve sanitaire.</t>
  </si>
  <si>
    <t>SNA_I_039 ET SNA_I_018 ET SNA_I_019 ET SNA_D_009 ET ABS_C_001 ET ABS_C_003 ET ABS_C_004 ET ABS_C_007 ET ABS_C_008 ET ABS_C_009 ET ABS_C_019 ET ABS_C_020 ET ABS_C_026</t>
  </si>
  <si>
    <t>SNA_I_039</t>
  </si>
  <si>
    <t>SNA_I_050 ET ABS_C_002 ET ABS_C_004 ET ABS_C_003 ET ABS_C_007 ET ABS_C_008 ET ABS_C_005 ET ABS_C_006 ET ABS_C_019 ET ABS_C_020 ET ABS_C_009 ET ABS_C_026</t>
  </si>
  <si>
    <t>SNA_I_050</t>
  </si>
  <si>
    <t>SNA_I_040 ET SNA_I_018 ET SNA_I_019 ET SNA_D_009 ET ABS_C_001 ET ABS_C_003 ET ABS_C_004 ET ABS_C_007 ET ABS_C_008 ET ABS_C_009 ET ABS_C_019 ET ABS_C_020 ET ABS_C_026</t>
  </si>
  <si>
    <t>SNA_I_040</t>
  </si>
  <si>
    <t>E0879</t>
  </si>
  <si>
    <t>Congé pour période d'activité dans la réserve civile de la police nationale</t>
  </si>
  <si>
    <t>Type de congé/absence saisi = Congé pour période d'activité dans la réserve civile de la police</t>
  </si>
  <si>
    <t>A_COA_TYCOAB [Saisi] = 'CD010'</t>
  </si>
  <si>
    <t>T2175</t>
  </si>
  <si>
    <t>Congé pour période d'activité dans la réserve civile de la police nationale - Demande</t>
  </si>
  <si>
    <t>SNA_I_024 ET SNA_I_023 ET ABS_C_001 ET ABS_C_003 ET ABS_C_004 ET ABS_C_007 ET ABS_C_008 ET ABS_C_009 ET ABS_C_019 ET ABS_C_020 ET ABS_C_026</t>
  </si>
  <si>
    <t>SNA_I_024</t>
  </si>
  <si>
    <t>L'agent qui suit une formation professionnelle durant ses activités n'est pas tenu de solliciter l'accord de son employeur.</t>
  </si>
  <si>
    <t>SNA_I_023</t>
  </si>
  <si>
    <t>L'accord de l'administration est nécessaire dès que l'agent dépasse 10 jours ouvrés d'absence par année civile.</t>
  </si>
  <si>
    <t>T2176</t>
  </si>
  <si>
    <t>Congé pour période d'activité dans la réserve civile de la police nationale - Fin</t>
  </si>
  <si>
    <t>ABS_C_003 ET ABS_C_004 ET ABS_C_007 ET ABS_C_008 ET ABS_C_009 ET ABS_C_026</t>
  </si>
  <si>
    <t>SNA_I_041 ET SNA_I_024 ET SNA_I_023 ET ABS_C_001 ET ABS_C_003 ET ABS_C_004 ET ABS_C_007 ET ABS_C_008 ET ABS_C_009 ET ABS_C_019 ET ABS_C_020 ET ABS_C_026</t>
  </si>
  <si>
    <t>SNA_I_041</t>
  </si>
  <si>
    <t>L'agent bénéficie des dispositions applicables aux agents titulaires pour la période d'activité effectuée au sein de la police nationale.</t>
  </si>
  <si>
    <t>SNA_I_042 ET SNA_I_024 ET SNA_I_023 ET ABS_C_001 ET ABS_C_003 ET ABS_C_004 ET ABS_C_007 ET ABS_C_008 ET ABS_C_009 ET ABS_C_019 ET ABS_C_020 ET ABS_C_026</t>
  </si>
  <si>
    <t>SNA_I_042</t>
  </si>
  <si>
    <t>SNA_I_043 ET SNA_I_024 ET SNA_I_023 ET SNA_D_012 ET SNA_D_009 ET ABS_C_001 ET ABS_C_003 ET ABS_C_004 ET ABS_C_007 ET ABS_C_008 ET ABS_C_009 ET ABS_C_019 ET ABS_C_020 ET ABS_C_026</t>
  </si>
  <si>
    <t>SNA_I_043</t>
  </si>
  <si>
    <t>SNA_D_012</t>
  </si>
  <si>
    <t>La durée du congé doit être inférieure ou égale à 45 jours cumulés par année civile.</t>
  </si>
  <si>
    <t>SNA_D_012 ET SNA_D_009 ET ABS_C_003 ET ABS_C_004 ET ABS_C_007 ET ABS_C_008 ET ABS_C_009 ET ABS_C_026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</si>
  <si>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</si>
  <si>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</si>
  <si>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</si>
  <si>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</si>
  <si>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</si>
  <si>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</si>
  <si>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</si>
  <si>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</si>
  <si>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</si>
  <si>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SNA_P_001 ET SNA_P_002 ET SNA_P_003</t>
  </si>
  <si>
    <t>SNA_P_001</t>
  </si>
  <si>
    <t>Rémunération : L'agent continue de percevoir son traitement.</t>
  </si>
  <si>
    <t>SNA_P_002</t>
  </si>
  <si>
    <t>Congés annuels : La durée du congé n'est pas imputée sur la durée du congé annuel.</t>
  </si>
  <si>
    <t>SNA_P_003</t>
  </si>
  <si>
    <t>Retraite : Ce congé est considéré comme une période d'activité pour la retraite.</t>
  </si>
  <si>
    <t>SNA_P_040 ET SNA_P_041</t>
  </si>
  <si>
    <t>SNA_P_040</t>
  </si>
  <si>
    <t>SNA_P_041</t>
  </si>
  <si>
    <t>Congés annuels : La durée du congé est prise en compte pour la détermination des droits à congé annuel de l'agent.</t>
  </si>
  <si>
    <t>SNA_P_025 ET SNA_P_026 ET SNA_P_038</t>
  </si>
  <si>
    <t>SNA_P_025</t>
  </si>
  <si>
    <t>Rémunération : L'agent continue de percevoir sa rémunération.</t>
  </si>
  <si>
    <t>SNA_P_026</t>
  </si>
  <si>
    <t>SNA_P_038</t>
  </si>
  <si>
    <t>Rémunération : L'agent bénéficie d'un congé avec traitement.</t>
  </si>
  <si>
    <t>SNA_P_010 ET SNA_P_027</t>
  </si>
  <si>
    <t>SNA_P_010</t>
  </si>
  <si>
    <t>Carrière : la durée du congé compte pour les droits à avancement.</t>
  </si>
  <si>
    <t>SNA_P_027</t>
  </si>
  <si>
    <t>SNA_P_028 ET SNA_P_029 ET SNA_P_030</t>
  </si>
  <si>
    <t>SNA_P_028</t>
  </si>
  <si>
    <t>SNA_P_029</t>
  </si>
  <si>
    <t>SNA_P_030</t>
  </si>
  <si>
    <t>SNA_P_008 ET SNA_P_009</t>
  </si>
  <si>
    <t>SNA_P_008</t>
  </si>
  <si>
    <t>SNA_P_009</t>
  </si>
  <si>
    <t>SNA_P_004 ET SNA_P_021 ET SNA_P_038</t>
  </si>
  <si>
    <t>SNA_P_004</t>
  </si>
  <si>
    <t>SNA_P_021</t>
  </si>
  <si>
    <t>SNA_P_015 ET SNA_P_016 ET SNA_P_017</t>
  </si>
  <si>
    <t>SNA_P_015</t>
  </si>
  <si>
    <t>Rémunération : L'agent continue de percevoir son salaire.</t>
  </si>
  <si>
    <t>SNA_P_016</t>
  </si>
  <si>
    <t>SNA_P_017</t>
  </si>
  <si>
    <t>SNA_P_014 ET SNA_P_034</t>
  </si>
  <si>
    <t>SNA_P_014</t>
  </si>
  <si>
    <t>SNA_P_034</t>
  </si>
  <si>
    <t>SNA_P_014 ET SNA_P_020 ET SNA_P_034</t>
  </si>
  <si>
    <t>SNA_P_020</t>
  </si>
  <si>
    <t>SNA_P_018 ET SNA_P_019</t>
  </si>
  <si>
    <t>SNA_P_018</t>
  </si>
  <si>
    <t>SNA_P_019</t>
  </si>
  <si>
    <t>SNA_P_034 ET SNA_P_035</t>
  </si>
  <si>
    <t>SNA_P_035</t>
  </si>
  <si>
    <t>SNA_P_005 ET SNA_P_006 ET SNA_P_007 ET SNA_P_042</t>
  </si>
  <si>
    <t>SNA_P_005</t>
  </si>
  <si>
    <t>SNA_P_006</t>
  </si>
  <si>
    <t>SNA_P_007</t>
  </si>
  <si>
    <t>SNA_P_042</t>
  </si>
  <si>
    <t>SNA_P_011 ET SNA_P_012 ET SNA_P_013 ET SNA_P_039</t>
  </si>
  <si>
    <t>SNA_P_011</t>
  </si>
  <si>
    <t>SNA_P_012</t>
  </si>
  <si>
    <t>SNA_P_013</t>
  </si>
  <si>
    <t>SNA_P_039</t>
  </si>
  <si>
    <t>Rémunération : L'agent bénéficie d'un congé rémunéré.</t>
  </si>
  <si>
    <t>SNA_P_031 ET SNA_P_032 ET SNA_P_033</t>
  </si>
  <si>
    <t>SNA_P_031</t>
  </si>
  <si>
    <t>SNA_P_032</t>
  </si>
  <si>
    <t>SNA_P_033</t>
  </si>
  <si>
    <t>SNA_P_022 ET SNA_P_023 ET SNA_P_024</t>
  </si>
  <si>
    <t>SNA_P_022</t>
  </si>
  <si>
    <t>SNA_P_023</t>
  </si>
  <si>
    <t>SNA_P_024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</si>
  <si>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</si>
  <si>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</si>
  <si>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</si>
  <si>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</si>
  <si>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</si>
  <si>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</si>
  <si>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</si>
  <si>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</si>
  <si>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</si>
  <si>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</si>
  <si>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</si>
  <si>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</si>
  <si>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</si>
  <si>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</si>
  <si>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</si>
  <si>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</si>
  <si>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</si>
  <si>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27/04/2022</t>
  </si>
  <si>
    <t>0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</si>
  <si>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</si>
  <si>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</si>
  <si>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</si>
  <si>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</si>
  <si>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</si>
  <si>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</si>
  <si>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</si>
  <si>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</si>
  <si>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</si>
  <si>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</si>
  <si>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</si>
  <si>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</si>
  <si>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</si>
  <si>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</si>
  <si>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22.00.00</t>
  </si>
  <si>
    <t>Code général de la fonction publique L643-1</t>
  </si>
  <si>
    <t>A_COA_TYPCOF [Saisi] = 'CD012' ET A_COA_DTOCOF [Saisi] &lt;= 00/00/60 JOUR</t>
  </si>
  <si>
    <t>Bloquant</t>
  </si>
  <si>
    <t>Le fonctionnement du compteur tient compte de la date réelle ou prévisionnelle qui a été saisie.</t>
  </si>
  <si>
    <t>P0001 - E0862 - Initial - Fin</t>
  </si>
  <si>
    <t>x</t>
  </si>
  <si>
    <t>26.00.00</t>
  </si>
  <si>
    <t>A_POS_POSIAD [Dossier] = POSITION_SITUATION.R_FOR_IDEN05 ET ((POSITION_SITUATION.R_REL_PSSAG2 DANS ('ACI', 'HCA', 'MAD', 'DEL', 'MDE', 'MLD')) OU (POSITION_SITUATION.R_REL_PSSAG1 DANS ('DEE00', 'DES00', 'DEG00')))</t>
  </si>
  <si>
    <t>2026-44</t>
  </si>
  <si>
    <t>Code général de la fonction publique L643-1 / Ordonnance 58-1270 A68</t>
  </si>
  <si>
    <t>P0007 - E0862 - Demande - Fin</t>
  </si>
  <si>
    <t>Code général de la fonction publique L643-1 / Ordonnance 58-1270 A40-4 | A68</t>
  </si>
  <si>
    <t>P0046 - E0862 - Demande - Fin</t>
  </si>
  <si>
    <t>Code général de la fonction publique L643-1 / Décret 2006-79 A1</t>
  </si>
  <si>
    <t>P0079 - E0862 - Demande - Fin</t>
  </si>
  <si>
    <t>Code général de la fonction publique L644-1</t>
  </si>
  <si>
    <t>P0007 / P0046 / P0078 / P0079 - P0001 / P0003 - E0875 / E0876 / E0877 / E0878 / E0879 - Demande - Fin</t>
  </si>
  <si>
    <t>Code général de la fonction publique L644-1 / Code de la défense L4251-6</t>
  </si>
  <si>
    <t>A_COA_TYPCOF [Saisi] DANS ('CD001','CD009') ET A_COA_DTOCOF [Saisi] &lt;= 00/00/30 JOUR</t>
  </si>
  <si>
    <t>P0007 / P0046 / P0078 / P0079 - P0001 - E0875 / E0876 - Demande - Fin</t>
  </si>
  <si>
    <t>Code général de la fonction publique L644-1 / Code de la sécurité intérieure L724-4</t>
  </si>
  <si>
    <t>A_COA_TYPCOF [Saisi] = 'CD005' ET A_COA_DTOCOF [Saisi] &lt;= 00/00/15 JOUR</t>
  </si>
  <si>
    <t>P0007 / P0046 / P0079 - P0001 - E0877 - Demande - Fin</t>
  </si>
  <si>
    <t>Code général de la fonction publique L644 / Code de la sécurité intérieure L411-13</t>
  </si>
  <si>
    <t>A_COA_TYPCOF [Saisi] = 'CD010' ET A_COA_DTOCOF [Saisi] &lt;= 00/00/45 JOUR</t>
  </si>
  <si>
    <t>P0079 - P0001 - E0879 - Demande - Fin</t>
  </si>
  <si>
    <t>Code général de la fonction publique R327-35</t>
  </si>
  <si>
    <t>P0078 - P0004 - E0875 - Demande - Fin</t>
  </si>
  <si>
    <t>Instruction 1215 A30 ter</t>
  </si>
  <si>
    <t>P0005 - E0875 / E0876 / E0877 - Demande - Fin</t>
  </si>
  <si>
    <t>Instruction 1215 A30ter | A29</t>
  </si>
  <si>
    <t>A_COA_TYPCOF [Saisi] = ' CD009' ET A_COA_DTOCOF [Saisi] &lt;= 00/00/30 JOUR</t>
  </si>
  <si>
    <t>P0005 - E0875 / E0876 - Demande - Fin</t>
  </si>
  <si>
    <t>Instruction 1215 A30</t>
  </si>
  <si>
    <t>A_COA_TYPCOF [Saisi] = 'CD005 ' ET A_COA_DTOCOF [Saisi] &lt;= 00/00/15 JOUR</t>
  </si>
  <si>
    <t>P0005 - E0877 - Demande - Fin</t>
  </si>
  <si>
    <t>Décret 86-83 A26</t>
  </si>
  <si>
    <t>P0003 - E0875 / E0878 / E0876 / E0877 - Demande - Fin</t>
  </si>
  <si>
    <t>A_COA_TYPCOF [Saisi] = 'CD009' ET A_COA_DTOCOF [Saisi] &lt;= 00/00/30 JOUR</t>
  </si>
  <si>
    <t>P0003 - E0876 - Demande - Fin</t>
  </si>
  <si>
    <t>A_COA_TYPCOF [Saisi] = 'CD005 ' ET A_COA_DTOCOF [Saisi] &lt;= 00/00/30 JOUR</t>
  </si>
  <si>
    <t>P0003 - E0877 - Demande - Fin</t>
  </si>
  <si>
    <t>A_COA_TYPCOF [Saisi] DANS 'CD001' ET A_COA_DTOCOF [Saisi] &lt;= 00/00/30 JOUR</t>
  </si>
  <si>
    <t>P0078 - P0004 - E0875 - Demande</t>
  </si>
  <si>
    <t>P0003 - E0862 - Durée max</t>
  </si>
  <si>
    <t>P0003 - E0862 - Activité</t>
  </si>
  <si>
    <t>17.10.00</t>
  </si>
  <si>
    <t>Contrôle</t>
  </si>
  <si>
    <t>A_COA_DADBCA [Saisi] &gt;= A_SAP_DENFPE [Dossier]</t>
  </si>
  <si>
    <t>A_COA_DADBCA [Saisi] &gt;= A_CAR_DDLIJU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</si>
  <si>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</si>
  <si>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</si>
  <si>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</si>
  <si>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</si>
  <si>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SI A_CAR_TYPCOT [Dossier] = 'TC01' ET A_COA_DFRECA [Saisi] &lt;&gt; Vide</t>
  </si>
  <si>
    <t>A_COA_DFRECA [Saisi] &lt;= [Date limite de fin réelle ou prévisionnelle du lien juridique]</t>
  </si>
  <si>
    <t>SI A_CAR_TYPCOT [Dossier] = 'TC01' ET A_COA_DFRECA [Saisi] = Vide ET A_COA_DAFIPR [Saisi] &lt;&gt; Vide</t>
  </si>
  <si>
    <t>A_COA_DAFIPR [Saisi] &lt;= [Date limite de fin réelle ou prévisionnelle du lien juridique]</t>
  </si>
  <si>
    <t>A_COA_DFRECA [Saisi] &lt; A_SAP_DLDPRE [Dossier]</t>
  </si>
  <si>
    <t>Non Bloquant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</si>
  <si>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</si>
  <si>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</si>
  <si>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</si>
  <si>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</si>
  <si>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</si>
  <si>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</si>
  <si>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</si>
  <si>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</si>
  <si>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</si>
  <si>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Intellectuel</t>
  </si>
  <si>
    <t>P0001 - E0862 - Demande</t>
  </si>
  <si>
    <t>Code général de la fonction publique L643-1 / Code du service national L. 111-2-1</t>
  </si>
  <si>
    <t>P0001 / P0003 - E0862 - Demande</t>
  </si>
  <si>
    <t>P0007 - E0862 - Demande</t>
  </si>
  <si>
    <t>Code général de la fonction publique L643-1 / Code du service national L. 111-2-1 / Ordonnance 58-1270 A68</t>
  </si>
  <si>
    <t>P0046 - E0862 - Demande</t>
  </si>
  <si>
    <t>Code général de la fonction publique L643-1 / Code du service national L. 111-2-1 / Ordonnance 58-1270 A40-4 | A68</t>
  </si>
  <si>
    <t>P0079 - E0862 - Demande</t>
  </si>
  <si>
    <t>Code général de la fonction publique L643-1 / Code du service national L. 111-2-1 / Décret 2006-79 A1</t>
  </si>
  <si>
    <t>Instruction 1215 A29</t>
  </si>
  <si>
    <t>P0005 - E0875 - Demande</t>
  </si>
  <si>
    <t>Code de la santé publique L3133-3</t>
  </si>
  <si>
    <t>P0007 / P0046 / P0079 - P0001 / P0003 - E0878 - Demande</t>
  </si>
  <si>
    <t>Code de la sécurité intérieure L724-7</t>
  </si>
  <si>
    <t>P0046 / P0007 / P0079 - P0001 / P0003 / P0005 - E0877 - Demande</t>
  </si>
  <si>
    <t>Code de la défense L4221-4</t>
  </si>
  <si>
    <t>P0007 / P0046 / P0078 / P0079 - P0001 - E0875 / E0876 - Demande</t>
  </si>
  <si>
    <t>Code du travail L 6313-1 / Code de la défense L4221-4</t>
  </si>
  <si>
    <t>P0007 / P0079 / P0046 / P0078 - P0001 - E0875 / E0876 - Demande</t>
  </si>
  <si>
    <t>Code général de la fonction publique L644-1 / Code de la sécurité intérieure L411-13</t>
  </si>
  <si>
    <t>P0007 / P0079 / P0046 - P0001 - E0879 - Demande</t>
  </si>
  <si>
    <t>P0046 / P0007 / P0079 - P0001 - E0879 - Demande</t>
  </si>
  <si>
    <t>P0005 - E0876 - Demande</t>
  </si>
  <si>
    <t>Code général de la fonction publique L644-1 / Ordonnance 58-1270 A68</t>
  </si>
  <si>
    <t>P0007 - E0875 - Demande</t>
  </si>
  <si>
    <t>Code général de la fonction publique L644-1 / Ordonnance 58-1270 A40-4 | A68</t>
  </si>
  <si>
    <t>P0046 - E0875 - Demande</t>
  </si>
  <si>
    <t>Code général de la fonction publique L644-1 / Décret 2006-79 A1</t>
  </si>
  <si>
    <t>P0079 - E0875 - Demande</t>
  </si>
  <si>
    <t>P0007 - E0876 - Demande</t>
  </si>
  <si>
    <t>P0046 - E0876 - Demande</t>
  </si>
  <si>
    <t>P0079 - E0876 - Demande</t>
  </si>
  <si>
    <t>P0007 - E0877 - Demande</t>
  </si>
  <si>
    <t>P0046 - E0877 - Demande</t>
  </si>
  <si>
    <t>P0079 - E0877 - Demande</t>
  </si>
  <si>
    <t>P0007 - E0878 - Demande</t>
  </si>
  <si>
    <t>P0046 - E0878 - Demande</t>
  </si>
  <si>
    <t>P0079 - E0878 - Demande</t>
  </si>
  <si>
    <t>P0007 - E0879 - Demande</t>
  </si>
  <si>
    <t>P0046 - E0879 - Demande</t>
  </si>
  <si>
    <t>P0079 - E0879 - Demande</t>
  </si>
  <si>
    <t>Code général de la fonction publique R327-35 / Décret 2006-79 A3</t>
  </si>
  <si>
    <t>P0078 - E0875 - Demande</t>
  </si>
  <si>
    <t>Code du travail L3142-89 | L3142-90</t>
  </si>
  <si>
    <t>P0072 - E0875 / E0876 - Demande</t>
  </si>
  <si>
    <t>P0072 - E0876 / E0875 - Demande</t>
  </si>
  <si>
    <t>P0072 - E0878 - Demande</t>
  </si>
  <si>
    <t>P0072 - E0877 - Demande</t>
  </si>
  <si>
    <t>P0003 - E0862 - Demande</t>
  </si>
  <si>
    <t>Décret 86-83 A26 | A32 | A33</t>
  </si>
  <si>
    <t>P0003 - E0862 - Fin</t>
  </si>
  <si>
    <t>Impact</t>
  </si>
  <si>
    <t>P0001 - E0862 - Rémunération</t>
  </si>
  <si>
    <t>Décret 84-972 A1</t>
  </si>
  <si>
    <t>P0001 - E0862 - Congés annuels</t>
  </si>
  <si>
    <t>P0001 - E0862 - Retraite</t>
  </si>
  <si>
    <t>Code de la défense L4251-5 / Décret 86-83 A26</t>
  </si>
  <si>
    <t>P0003 - E0876 - Congés annuels</t>
  </si>
  <si>
    <t>Code de la santé publique L3133-1</t>
  </si>
  <si>
    <t>P0001 - E0878 - Rémunération</t>
  </si>
  <si>
    <t>P0001 - E0878 - Carrière</t>
  </si>
  <si>
    <t>Code de la santé publique L3133-4</t>
  </si>
  <si>
    <t>P0001 - E0878 - Congés annuels</t>
  </si>
  <si>
    <t>Circulaire du 02/08/2005 A2.1</t>
  </si>
  <si>
    <t>P0001 - E0876 - Rémunération</t>
  </si>
  <si>
    <t>P0001 - E0876 - Congés annuels</t>
  </si>
  <si>
    <t>Code général de la fonction publique R327-71</t>
  </si>
  <si>
    <t>P0004 - E0875 - Carrière</t>
  </si>
  <si>
    <t>Code de la santé publique L3133-1 / Décret 86-83 A26</t>
  </si>
  <si>
    <t>P0003 - E0878 - Rémunération</t>
  </si>
  <si>
    <t>P0003 - E0878 - Carrière</t>
  </si>
  <si>
    <t>P0003 - E0878 - Congés annuels</t>
  </si>
  <si>
    <t>Code de la sécurité intérieure L724-9</t>
  </si>
  <si>
    <t>P0001 / P0003 - E0877 - Congés annuels</t>
  </si>
  <si>
    <t>Instruction 1215 A29 | A30ter</t>
  </si>
  <si>
    <t>P0005 - E0876 - Rémunération</t>
  </si>
  <si>
    <t>Instruction 1215 A29 |A30ter</t>
  </si>
  <si>
    <t>P0005 - E0876 - Congés annuels</t>
  </si>
  <si>
    <t>P0005 - E0876 - Carrière</t>
  </si>
  <si>
    <t>P0005 - E0877 - Rémunération</t>
  </si>
  <si>
    <t>P0005 - E0877 - Congés annuels</t>
  </si>
  <si>
    <t>P0003 - E0877 - Rémunération</t>
  </si>
  <si>
    <t>P0003 - E0876 - Rémunération</t>
  </si>
  <si>
    <t>P0001 - E0879 - Rémunération</t>
  </si>
  <si>
    <t>Code de la sécurité intérieure L411-13</t>
  </si>
  <si>
    <t>P0001 - E0879 - Congés annuels</t>
  </si>
  <si>
    <t>P0001 - E0879 - Carrière</t>
  </si>
  <si>
    <t>P0003 - E0875 - Rémunération</t>
  </si>
  <si>
    <t>P0003 - E0875 - Congés annuels</t>
  </si>
  <si>
    <t>P0004 - E0875 - Rémunération</t>
  </si>
  <si>
    <t>Convention du 8 février 1957 A47</t>
  </si>
  <si>
    <t>P0072 - E0875 / E0876 - Rémunération</t>
  </si>
  <si>
    <t>Code du travail L3142-91</t>
  </si>
  <si>
    <t>P0072 - E0875 / E0876 - Congés annuels</t>
  </si>
  <si>
    <t>P0072 - E0875 / E0876 - Carrière</t>
  </si>
  <si>
    <t>Code de la santé publique L 3133-1</t>
  </si>
  <si>
    <t>P0196 / P0072 - E0878 - Rémunération</t>
  </si>
  <si>
    <t>Code de la santé publique L 3133-3</t>
  </si>
  <si>
    <t>P0072 - E0878 - Carrière</t>
  </si>
  <si>
    <t>P0072 - E0878 - Congés annuels</t>
  </si>
  <si>
    <t>P0072 - P0001 / P0003 - E0877 - Carrière</t>
  </si>
  <si>
    <t>P0072 - E0877 - Congés annuels</t>
  </si>
  <si>
    <t>P0003 - E0875 / E0876 - Rémunération</t>
  </si>
  <si>
    <t>Code général de la fonction publique L644-1 / Code de la santé publique L3133-1</t>
  </si>
  <si>
    <t>P0003 - E0862 - Rémunération - Demande</t>
  </si>
  <si>
    <t>P0003 - E0862 - Congés annuels -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</si>
</sst>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9360-187B-45E4-BA32-B42962959E8C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90AB-2E57-455A-A13D-C7A9DFDEF661}">
  <dimension ref="A1:BH46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15.6328125" style="23" customWidth="1"/>
    <col min="58" max="58" width="25.6328125" style="24" customWidth="1"/>
    <col min="59" max="59" width="9.6328125" style="23" customWidth="1"/>
    <col min="60" max="60" width="15.6328125" style="24" customWidth="1"/>
    <col min="61" max="16384" width="10.90625" style="13"/>
  </cols>
  <sheetData>
    <row r="1" spans="1:60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0" t="s">
        <v>59</v>
      </c>
      <c r="BH1" s="10" t="s">
        <v>60</v>
      </c>
    </row>
    <row r="2" spans="1:60" ht="130.5" x14ac:dyDescent="0.35">
      <c r="A2" s="14" t="s">
        <v>61</v>
      </c>
      <c r="B2" s="14" t="s">
        <v>62</v>
      </c>
      <c r="C2" s="15">
        <v>44510.504861111112</v>
      </c>
      <c r="D2" s="14" t="s">
        <v>63</v>
      </c>
      <c r="E2" s="16" t="s">
        <v>64</v>
      </c>
      <c r="F2" s="14" t="s">
        <v>65</v>
      </c>
      <c r="G2" s="16" t="s">
        <v>66</v>
      </c>
      <c r="H2" s="14" t="s">
        <v>67</v>
      </c>
      <c r="I2" s="16" t="s">
        <v>68</v>
      </c>
      <c r="J2" s="16" t="s">
        <v>69</v>
      </c>
      <c r="K2" s="16" t="s">
        <v>70</v>
      </c>
      <c r="L2" s="14" t="s">
        <v>71</v>
      </c>
      <c r="M2" s="16" t="s">
        <v>72</v>
      </c>
      <c r="N2" s="14" t="s">
        <v>73</v>
      </c>
      <c r="O2" s="16" t="s">
        <v>74</v>
      </c>
      <c r="P2" s="16" t="s">
        <v>74</v>
      </c>
      <c r="Q2" s="16" t="s">
        <v>75</v>
      </c>
      <c r="R2" s="14" t="s">
        <v>76</v>
      </c>
      <c r="S2" s="14" t="s">
        <v>77</v>
      </c>
      <c r="T2" s="14" t="s">
        <v>78</v>
      </c>
      <c r="U2" s="14" t="s">
        <v>79</v>
      </c>
      <c r="V2" s="15">
        <v>44449</v>
      </c>
      <c r="W2" s="15"/>
      <c r="X2" s="16" t="s">
        <v>80</v>
      </c>
      <c r="Y2" s="17" t="s">
        <v>81</v>
      </c>
      <c r="Z2" s="18" t="str">
        <f>VLOOKUP(Y2,'Axe 2 Règles de gestion'!$D$2:$F$125,3, FALSE)</f>
        <v>L'agent doit effectuer une demande auprès de son chef de service.</v>
      </c>
      <c r="AA2" s="17" t="s">
        <v>83</v>
      </c>
      <c r="AB2" s="18" t="str">
        <f>VLOOKUP(AA2,'Axe 2 Règles de gestion'!$D$2:$F$125,3, FALSE)</f>
        <v>L'agent ne doit pas avoir fait l'objet d'une condamnation définitive pour crime ou délit dans les cas et conditions légalement prévus.</v>
      </c>
      <c r="AC2" s="17" t="s">
        <v>85</v>
      </c>
      <c r="AD2" s="18" t="str">
        <f>VLOOKUP(AC2,'Axe 2 Règles de gestion'!$D$2:$F$125,3, FALSE)</f>
        <v>Le congé est accordé sous réserve des nécessités de service.</v>
      </c>
      <c r="AE2" s="17"/>
      <c r="AF2" s="18"/>
      <c r="AG2" s="17" t="s">
        <v>87</v>
      </c>
      <c r="AH2" s="18" t="str">
        <f>VLOOKUP(AG2,'Axe 2 Règles de gestion'!$D$2:$F$125,3, FALSE)</f>
        <v>Le congé est accordé pour une durée maximale de 60 jours sur une période de 12 mois consécutifs.</v>
      </c>
      <c r="AI2" s="17" t="s">
        <v>89</v>
      </c>
      <c r="AJ2" s="18" t="str">
        <f>VLOOKUP(AI2,'Axe 2 Règles de gestion'!$D$2:$F$125,3, FALSE)</f>
        <v>L'agent doit être en activité.</v>
      </c>
      <c r="AK2" s="17" t="s">
        <v>91</v>
      </c>
      <c r="AL2" s="18" t="str">
        <f>VLOOKUP(AK2,'Axe 2 Règles de gestion'!$D$2:$F$125,3, FALSE)</f>
        <v>La date de début du congé/absence doit être postérieure ou égale à la date de recrutement dans la FPE ou dans la carrière militaire.</v>
      </c>
      <c r="AM2" s="17" t="s">
        <v>93</v>
      </c>
      <c r="AN2" s="18" t="str">
        <f>VLOOKUP(AM2,'Axe 2 Règles de gestion'!$D$2:$F$125,3, FALSE)</f>
        <v>La date de début du congé/absence doit être antérieure ou égale à la date de fin réelle du congé/absence.</v>
      </c>
      <c r="AO2" s="17" t="s">
        <v>95</v>
      </c>
      <c r="AP2" s="18" t="str">
        <f>VLOOKUP(AO2,'Axe 2 Règles de gestion'!$D$2:$F$125,3, FALSE)</f>
        <v>La date de début du congé/absence doit être antérieure ou égale à la date de fin prévisionnelle du congé/absence.</v>
      </c>
      <c r="AQ2" s="17" t="s">
        <v>97</v>
      </c>
      <c r="AR2" s="18" t="str">
        <f>VLOOKUP(AQ2,'Axe 2 Règles de gestion'!$D$2:$F$125,3, FALSE)</f>
        <v>La date de fin réelle du congé/absence doit être antérieure à la date limite de départ à la retraite.</v>
      </c>
      <c r="AS2" s="17" t="s">
        <v>99</v>
      </c>
      <c r="AT2" s="18" t="str">
        <f>VLOOKUP(AS2,'Axe 2 Règles de gestion'!$D$2:$F$125,3, FALSE)</f>
        <v>La date de fin prévisionnelle du congé/absence doit être antérieure à la date limite de départ à la retraite.</v>
      </c>
      <c r="AU2" s="17" t="s">
        <v>101</v>
      </c>
      <c r="AV2" s="18" t="str">
        <f>VLOOKUP(AU2,'Axe 2 Règles de gestion'!$D$2:$F$125,3, FALSE)</f>
        <v>La date de fin réelle ou la date de fin prévisionnelle du congé/absence doit être saisie.</v>
      </c>
      <c r="AW2" s="17" t="s">
        <v>103</v>
      </c>
      <c r="AX2" s="18" t="str">
        <f>VLOOKUP(AW2,'Axe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2" s="17" t="s">
        <v>105</v>
      </c>
      <c r="AZ2" s="18" t="str">
        <f>VLOOKUP(AY2,'Axe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2" s="17" t="s">
        <v>107</v>
      </c>
      <c r="BB2" s="18" t="str">
        <f>VLOOKUP(BA2,'Axe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2" s="17"/>
      <c r="BD2" s="18"/>
      <c r="BE2" s="17"/>
      <c r="BF2" s="18"/>
      <c r="BG2" s="14" t="s">
        <v>74</v>
      </c>
      <c r="BH2" s="16" t="s">
        <v>74</v>
      </c>
    </row>
    <row r="3" spans="1:60" ht="116" x14ac:dyDescent="0.35">
      <c r="A3" s="14" t="s">
        <v>61</v>
      </c>
      <c r="B3" s="14" t="s">
        <v>62</v>
      </c>
      <c r="C3" s="15">
        <v>44510.482638888891</v>
      </c>
      <c r="D3" s="14" t="s">
        <v>63</v>
      </c>
      <c r="E3" s="16" t="s">
        <v>64</v>
      </c>
      <c r="F3" s="14" t="s">
        <v>65</v>
      </c>
      <c r="G3" s="16" t="s">
        <v>66</v>
      </c>
      <c r="H3" s="14" t="s">
        <v>67</v>
      </c>
      <c r="I3" s="16" t="s">
        <v>68</v>
      </c>
      <c r="J3" s="16" t="s">
        <v>69</v>
      </c>
      <c r="K3" s="16" t="s">
        <v>70</v>
      </c>
      <c r="L3" s="14" t="s">
        <v>109</v>
      </c>
      <c r="M3" s="16" t="s">
        <v>110</v>
      </c>
      <c r="N3" s="14" t="s">
        <v>111</v>
      </c>
      <c r="O3" s="16" t="s">
        <v>74</v>
      </c>
      <c r="P3" s="16" t="s">
        <v>74</v>
      </c>
      <c r="Q3" s="16" t="s">
        <v>75</v>
      </c>
      <c r="R3" s="14" t="s">
        <v>76</v>
      </c>
      <c r="S3" s="14" t="s">
        <v>77</v>
      </c>
      <c r="T3" s="14" t="s">
        <v>78</v>
      </c>
      <c r="U3" s="14" t="s">
        <v>79</v>
      </c>
      <c r="V3" s="15">
        <v>44449</v>
      </c>
      <c r="W3" s="15"/>
      <c r="X3" s="16" t="s">
        <v>112</v>
      </c>
      <c r="Y3" s="17"/>
      <c r="Z3" s="18"/>
      <c r="AA3" s="17"/>
      <c r="AB3" s="18"/>
      <c r="AC3" s="17"/>
      <c r="AD3" s="18"/>
      <c r="AE3" s="17"/>
      <c r="AF3" s="18"/>
      <c r="AG3" s="17" t="s">
        <v>87</v>
      </c>
      <c r="AH3" s="18" t="str">
        <f>VLOOKUP(AG3,'Axe 2 Règles de gestion'!$D$2:$F$125,3, FALSE)</f>
        <v>Le congé est accordé pour une durée maximale de 60 jours sur une période de 12 mois consécutifs.</v>
      </c>
      <c r="AI3" s="17"/>
      <c r="AJ3" s="18"/>
      <c r="AK3" s="17" t="s">
        <v>93</v>
      </c>
      <c r="AL3" s="18" t="str">
        <f>VLOOKUP(AK3,'Axe 2 Règles de gestion'!$D$2:$F$125,3, FALSE)</f>
        <v>La date de début du congé/absence doit être antérieure ou égale à la date de fin réelle du congé/absence.</v>
      </c>
      <c r="AM3" s="17" t="s">
        <v>95</v>
      </c>
      <c r="AN3" s="18" t="str">
        <f>VLOOKUP(AM3,'Axe 2 Règles de gestion'!$D$2:$F$125,3, FALSE)</f>
        <v>La date de début du congé/absence doit être antérieure ou égale à la date de fin prévisionnelle du congé/absence.</v>
      </c>
      <c r="AO3" s="17" t="s">
        <v>97</v>
      </c>
      <c r="AP3" s="18" t="str">
        <f>VLOOKUP(AO3,'Axe 2 Règles de gestion'!$D$2:$F$125,3, FALSE)</f>
        <v>La date de fin réelle du congé/absence doit être antérieure à la date limite de départ à la retraite.</v>
      </c>
      <c r="AQ3" s="17" t="s">
        <v>99</v>
      </c>
      <c r="AR3" s="18" t="str">
        <f>VLOOKUP(AQ3,'Axe 2 Règles de gestion'!$D$2:$F$125,3, FALSE)</f>
        <v>La date de fin prévisionnelle du congé/absence doit être antérieure à la date limite de départ à la retraite.</v>
      </c>
      <c r="AS3" s="17" t="s">
        <v>101</v>
      </c>
      <c r="AT3" s="18" t="str">
        <f>VLOOKUP(AS3,'Axe 2 Règles de gestion'!$D$2:$F$125,3, FALSE)</f>
        <v>La date de fin réelle ou la date de fin prévisionnelle du congé/absence doit être saisie.</v>
      </c>
      <c r="AU3" s="17" t="s">
        <v>107</v>
      </c>
      <c r="AV3" s="18" t="str">
        <f>VLOOKUP(AU3,'Axe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3" s="17"/>
      <c r="AX3" s="18"/>
      <c r="AY3" s="17"/>
      <c r="AZ3" s="18"/>
      <c r="BA3" s="17"/>
      <c r="BB3" s="18"/>
      <c r="BC3" s="17"/>
      <c r="BD3" s="18"/>
      <c r="BE3" s="17"/>
      <c r="BF3" s="18"/>
      <c r="BG3" s="14" t="s">
        <v>74</v>
      </c>
      <c r="BH3" s="16" t="s">
        <v>74</v>
      </c>
    </row>
    <row r="4" spans="1:60" ht="58" x14ac:dyDescent="0.35">
      <c r="A4" s="14" t="s">
        <v>113</v>
      </c>
      <c r="B4" s="14" t="s">
        <v>62</v>
      </c>
      <c r="C4" s="15">
        <v>44886.494444444441</v>
      </c>
      <c r="D4" s="14" t="s">
        <v>63</v>
      </c>
      <c r="E4" s="16" t="s">
        <v>64</v>
      </c>
      <c r="F4" s="14" t="s">
        <v>65</v>
      </c>
      <c r="G4" s="16" t="s">
        <v>66</v>
      </c>
      <c r="H4" s="14" t="s">
        <v>67</v>
      </c>
      <c r="I4" s="16" t="s">
        <v>68</v>
      </c>
      <c r="J4" s="16" t="s">
        <v>69</v>
      </c>
      <c r="K4" s="16" t="s">
        <v>70</v>
      </c>
      <c r="L4" s="14" t="s">
        <v>71</v>
      </c>
      <c r="M4" s="16" t="s">
        <v>72</v>
      </c>
      <c r="N4" s="14" t="s">
        <v>73</v>
      </c>
      <c r="O4" s="16" t="s">
        <v>74</v>
      </c>
      <c r="P4" s="16" t="s">
        <v>74</v>
      </c>
      <c r="Q4" s="16" t="s">
        <v>114</v>
      </c>
      <c r="R4" s="14" t="s">
        <v>115</v>
      </c>
      <c r="S4" s="14" t="s">
        <v>116</v>
      </c>
      <c r="T4" s="14" t="s">
        <v>78</v>
      </c>
      <c r="U4" s="14" t="s">
        <v>117</v>
      </c>
      <c r="V4" s="15">
        <v>44449</v>
      </c>
      <c r="W4" s="15"/>
      <c r="X4" s="16" t="s">
        <v>74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4" t="s">
        <v>74</v>
      </c>
      <c r="BH4" s="16" t="s">
        <v>74</v>
      </c>
    </row>
    <row r="5" spans="1:60" ht="43.5" x14ac:dyDescent="0.35">
      <c r="A5" s="14" t="s">
        <v>113</v>
      </c>
      <c r="B5" s="14" t="s">
        <v>62</v>
      </c>
      <c r="C5" s="15">
        <v>44886.494444444441</v>
      </c>
      <c r="D5" s="14" t="s">
        <v>63</v>
      </c>
      <c r="E5" s="16" t="s">
        <v>64</v>
      </c>
      <c r="F5" s="14" t="s">
        <v>65</v>
      </c>
      <c r="G5" s="16" t="s">
        <v>66</v>
      </c>
      <c r="H5" s="14" t="s">
        <v>67</v>
      </c>
      <c r="I5" s="16" t="s">
        <v>68</v>
      </c>
      <c r="J5" s="16" t="s">
        <v>69</v>
      </c>
      <c r="K5" s="16" t="s">
        <v>70</v>
      </c>
      <c r="L5" s="14" t="s">
        <v>109</v>
      </c>
      <c r="M5" s="16" t="s">
        <v>110</v>
      </c>
      <c r="N5" s="14" t="s">
        <v>111</v>
      </c>
      <c r="O5" s="16" t="s">
        <v>74</v>
      </c>
      <c r="P5" s="16" t="s">
        <v>74</v>
      </c>
      <c r="Q5" s="16" t="s">
        <v>114</v>
      </c>
      <c r="R5" s="14" t="s">
        <v>115</v>
      </c>
      <c r="S5" s="14" t="s">
        <v>116</v>
      </c>
      <c r="T5" s="14" t="s">
        <v>78</v>
      </c>
      <c r="U5" s="14" t="s">
        <v>117</v>
      </c>
      <c r="V5" s="15">
        <v>44449</v>
      </c>
      <c r="W5" s="15"/>
      <c r="X5" s="16" t="s">
        <v>74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4" t="s">
        <v>74</v>
      </c>
      <c r="BH5" s="16" t="s">
        <v>74</v>
      </c>
    </row>
    <row r="6" spans="1:60" ht="58" x14ac:dyDescent="0.35">
      <c r="A6" s="14" t="s">
        <v>113</v>
      </c>
      <c r="B6" s="14" t="s">
        <v>116</v>
      </c>
      <c r="C6" s="15">
        <v>44834.609722222223</v>
      </c>
      <c r="D6" s="14" t="s">
        <v>63</v>
      </c>
      <c r="E6" s="16" t="s">
        <v>64</v>
      </c>
      <c r="F6" s="14" t="s">
        <v>65</v>
      </c>
      <c r="G6" s="16" t="s">
        <v>66</v>
      </c>
      <c r="H6" s="14" t="s">
        <v>67</v>
      </c>
      <c r="I6" s="16" t="s">
        <v>68</v>
      </c>
      <c r="J6" s="16" t="s">
        <v>69</v>
      </c>
      <c r="K6" s="16" t="s">
        <v>70</v>
      </c>
      <c r="L6" s="14" t="s">
        <v>71</v>
      </c>
      <c r="M6" s="16" t="s">
        <v>72</v>
      </c>
      <c r="N6" s="14" t="s">
        <v>73</v>
      </c>
      <c r="O6" s="16" t="s">
        <v>74</v>
      </c>
      <c r="P6" s="16" t="s">
        <v>74</v>
      </c>
      <c r="Q6" s="16" t="s">
        <v>118</v>
      </c>
      <c r="R6" s="14" t="s">
        <v>119</v>
      </c>
      <c r="S6" s="14" t="s">
        <v>120</v>
      </c>
      <c r="T6" s="14" t="s">
        <v>78</v>
      </c>
      <c r="U6" s="14" t="s">
        <v>117</v>
      </c>
      <c r="V6" s="15">
        <v>44449</v>
      </c>
      <c r="W6" s="15">
        <v>44677</v>
      </c>
      <c r="X6" s="16" t="s">
        <v>74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4" t="s">
        <v>74</v>
      </c>
      <c r="BH6" s="16" t="s">
        <v>74</v>
      </c>
    </row>
    <row r="7" spans="1:60" ht="130.5" x14ac:dyDescent="0.35">
      <c r="A7" s="14" t="s">
        <v>113</v>
      </c>
      <c r="B7" s="14" t="s">
        <v>62</v>
      </c>
      <c r="C7" s="15">
        <v>44834.61041666667</v>
      </c>
      <c r="D7" s="14" t="s">
        <v>63</v>
      </c>
      <c r="E7" s="16" t="s">
        <v>64</v>
      </c>
      <c r="F7" s="14" t="s">
        <v>65</v>
      </c>
      <c r="G7" s="16" t="s">
        <v>66</v>
      </c>
      <c r="H7" s="14" t="s">
        <v>67</v>
      </c>
      <c r="I7" s="16" t="s">
        <v>68</v>
      </c>
      <c r="J7" s="16" t="s">
        <v>69</v>
      </c>
      <c r="K7" s="16" t="s">
        <v>70</v>
      </c>
      <c r="L7" s="14" t="s">
        <v>71</v>
      </c>
      <c r="M7" s="16" t="s">
        <v>72</v>
      </c>
      <c r="N7" s="14" t="s">
        <v>73</v>
      </c>
      <c r="O7" s="16" t="s">
        <v>74</v>
      </c>
      <c r="P7" s="16" t="s">
        <v>74</v>
      </c>
      <c r="Q7" s="16" t="s">
        <v>118</v>
      </c>
      <c r="R7" s="14" t="s">
        <v>119</v>
      </c>
      <c r="S7" s="14" t="s">
        <v>120</v>
      </c>
      <c r="T7" s="14" t="s">
        <v>78</v>
      </c>
      <c r="U7" s="14" t="s">
        <v>79</v>
      </c>
      <c r="V7" s="15">
        <v>44678</v>
      </c>
      <c r="W7" s="15"/>
      <c r="X7" s="16" t="s">
        <v>121</v>
      </c>
      <c r="Y7" s="17" t="s">
        <v>122</v>
      </c>
      <c r="Z7" s="18" t="str">
        <f>VLOOKUP(Y7,'Axe 2 Règles de gestion'!$D$2:$F$125,3, FALSE)</f>
        <v>Le contrat de l'agent, le cas échéant renouvelé, est d'une durée au moins égale à 18 mois.</v>
      </c>
      <c r="AA7" s="17" t="s">
        <v>124</v>
      </c>
      <c r="AB7" s="18" t="str">
        <f>VLOOKUP(AA7,'Axe 2 Règles de gestion'!$D$2:$F$125,3, FALSE)</f>
        <v>L'agent doit effectuer une demande auprès de son chef de service.</v>
      </c>
      <c r="AC7" s="17" t="s">
        <v>125</v>
      </c>
      <c r="AD7" s="18" t="str">
        <f>VLOOKUP(AC7,'Axe 2 Règles de gestion'!$D$2:$F$125,3, FALSE)</f>
        <v>Le congé est accordé sous réserve des nécessités de service.</v>
      </c>
      <c r="AE7" s="17"/>
      <c r="AF7" s="18"/>
      <c r="AG7" s="17" t="s">
        <v>126</v>
      </c>
      <c r="AH7" s="18" t="str">
        <f>VLOOKUP(AG7,'Axe 2 Règles de gestion'!$D$2:$F$125,3, FALSE)</f>
        <v>Le congé est accordé pour une durée maximale de 60 jours sur une période de 12 mois consécutifs.</v>
      </c>
      <c r="AI7" s="17" t="s">
        <v>127</v>
      </c>
      <c r="AJ7" s="18" t="str">
        <f>VLOOKUP(AI7,'Axe 2 Règles de gestion'!$D$2:$F$125,3, FALSE)</f>
        <v>L'agent doit être en activité.</v>
      </c>
      <c r="AK7" s="17" t="s">
        <v>128</v>
      </c>
      <c r="AL7" s="18" t="str">
        <f>VLOOKUP(AK7,'Axe 2 Règles de gestion'!$D$2:$F$125,3, FALSE)</f>
        <v>La date de début du congé/absence doit être postérieure ou égale à la date de début du lien juridique.</v>
      </c>
      <c r="AM7" s="17" t="s">
        <v>93</v>
      </c>
      <c r="AN7" s="18" t="str">
        <f>VLOOKUP(AM7,'Axe 2 Règles de gestion'!$D$2:$F$125,3, FALSE)</f>
        <v>La date de début du congé/absence doit être antérieure ou égale à la date de fin réelle du congé/absence.</v>
      </c>
      <c r="AO7" s="17" t="s">
        <v>95</v>
      </c>
      <c r="AP7" s="18" t="str">
        <f>VLOOKUP(AO7,'Axe 2 Règles de gestion'!$D$2:$F$125,3, FALSE)</f>
        <v>La date de début du congé/absence doit être antérieure ou égale à la date de fin prévisionnelle du congé/absence.</v>
      </c>
      <c r="AQ7" s="17" t="s">
        <v>130</v>
      </c>
      <c r="AR7" s="18" t="str">
        <f>VLOOKUP(AQ7,'Axe 2 Règles de gestion'!$D$2:$F$125,3, FALSE)</f>
        <v>La date de fin réelle du congé/absence doit être antérieure ou égale à la date limite de fin réelle ou prévisionnelle du lien juridique.</v>
      </c>
      <c r="AS7" s="17" t="s">
        <v>132</v>
      </c>
      <c r="AT7" s="18" t="str">
        <f>VLOOKUP(AS7,'Axe 2 Règles de gestion'!$D$2:$F$125,3, FALSE)</f>
        <v>La date de fin prévisionnelle du congé/absence doit être antérieure ou égale à la date limite de fin réelle ou prévisionnelle du lien juridique.</v>
      </c>
      <c r="AU7" s="17" t="s">
        <v>97</v>
      </c>
      <c r="AV7" s="18" t="str">
        <f>VLOOKUP(AU7,'Axe 2 Règles de gestion'!$D$2:$F$125,3, FALSE)</f>
        <v>La date de fin réelle du congé/absence doit être antérieure à la date limite de départ à la retraite.</v>
      </c>
      <c r="AW7" s="17" t="s">
        <v>99</v>
      </c>
      <c r="AX7" s="18" t="str">
        <f>VLOOKUP(AW7,'Axe 2 Règles de gestion'!$D$2:$F$125,3, FALSE)</f>
        <v>La date de fin prévisionnelle du congé/absence doit être antérieure à la date limite de départ à la retraite.</v>
      </c>
      <c r="AY7" s="17" t="s">
        <v>101</v>
      </c>
      <c r="AZ7" s="18" t="str">
        <f>VLOOKUP(AY7,'Axe 2 Règles de gestion'!$D$2:$F$125,3, FALSE)</f>
        <v>La date de fin réelle ou la date de fin prévisionnelle du congé/absence doit être saisie.</v>
      </c>
      <c r="BA7" s="17" t="s">
        <v>103</v>
      </c>
      <c r="BB7" s="18" t="str">
        <f>VLOOKUP(BA7,'Axe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C7" s="17" t="s">
        <v>105</v>
      </c>
      <c r="BD7" s="18" t="str">
        <f>VLOOKUP(BC7,'Axe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E7" s="17" t="s">
        <v>107</v>
      </c>
      <c r="BF7" s="18" t="str">
        <f>VLOOKUP(BE7,'Axe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7" s="14" t="s">
        <v>74</v>
      </c>
      <c r="BH7" s="16" t="s">
        <v>74</v>
      </c>
    </row>
    <row r="8" spans="1:60" ht="43.5" x14ac:dyDescent="0.35">
      <c r="A8" s="14" t="s">
        <v>113</v>
      </c>
      <c r="B8" s="14" t="s">
        <v>116</v>
      </c>
      <c r="C8" s="15">
        <v>44839.352777777778</v>
      </c>
      <c r="D8" s="14" t="s">
        <v>63</v>
      </c>
      <c r="E8" s="16" t="s">
        <v>64</v>
      </c>
      <c r="F8" s="14" t="s">
        <v>65</v>
      </c>
      <c r="G8" s="16" t="s">
        <v>66</v>
      </c>
      <c r="H8" s="14" t="s">
        <v>67</v>
      </c>
      <c r="I8" s="16" t="s">
        <v>68</v>
      </c>
      <c r="J8" s="16" t="s">
        <v>69</v>
      </c>
      <c r="K8" s="16" t="s">
        <v>70</v>
      </c>
      <c r="L8" s="14" t="s">
        <v>109</v>
      </c>
      <c r="M8" s="16" t="s">
        <v>110</v>
      </c>
      <c r="N8" s="14" t="s">
        <v>111</v>
      </c>
      <c r="O8" s="16" t="s">
        <v>74</v>
      </c>
      <c r="P8" s="16" t="s">
        <v>74</v>
      </c>
      <c r="Q8" s="16" t="s">
        <v>118</v>
      </c>
      <c r="R8" s="14" t="s">
        <v>119</v>
      </c>
      <c r="S8" s="14" t="s">
        <v>120</v>
      </c>
      <c r="T8" s="14" t="s">
        <v>78</v>
      </c>
      <c r="U8" s="14" t="s">
        <v>117</v>
      </c>
      <c r="V8" s="15">
        <v>44449</v>
      </c>
      <c r="W8" s="15">
        <v>44677</v>
      </c>
      <c r="X8" s="16" t="s">
        <v>74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4" t="s">
        <v>74</v>
      </c>
      <c r="BH8" s="16" t="s">
        <v>74</v>
      </c>
    </row>
    <row r="9" spans="1:60" ht="116" x14ac:dyDescent="0.35">
      <c r="A9" s="14" t="s">
        <v>113</v>
      </c>
      <c r="B9" s="14" t="s">
        <v>62</v>
      </c>
      <c r="C9" s="15">
        <v>44839.353472222225</v>
      </c>
      <c r="D9" s="14" t="s">
        <v>63</v>
      </c>
      <c r="E9" s="16" t="s">
        <v>64</v>
      </c>
      <c r="F9" s="14" t="s">
        <v>65</v>
      </c>
      <c r="G9" s="16" t="s">
        <v>66</v>
      </c>
      <c r="H9" s="14" t="s">
        <v>67</v>
      </c>
      <c r="I9" s="16" t="s">
        <v>68</v>
      </c>
      <c r="J9" s="16" t="s">
        <v>69</v>
      </c>
      <c r="K9" s="16" t="s">
        <v>70</v>
      </c>
      <c r="L9" s="14" t="s">
        <v>109</v>
      </c>
      <c r="M9" s="16" t="s">
        <v>110</v>
      </c>
      <c r="N9" s="14" t="s">
        <v>111</v>
      </c>
      <c r="O9" s="16" t="s">
        <v>74</v>
      </c>
      <c r="P9" s="16" t="s">
        <v>74</v>
      </c>
      <c r="Q9" s="16" t="s">
        <v>118</v>
      </c>
      <c r="R9" s="14" t="s">
        <v>119</v>
      </c>
      <c r="S9" s="14" t="s">
        <v>120</v>
      </c>
      <c r="T9" s="14" t="s">
        <v>78</v>
      </c>
      <c r="U9" s="14" t="s">
        <v>79</v>
      </c>
      <c r="V9" s="15">
        <v>44678</v>
      </c>
      <c r="W9" s="15"/>
      <c r="X9" s="16" t="s">
        <v>134</v>
      </c>
      <c r="Y9" s="17" t="s">
        <v>135</v>
      </c>
      <c r="Z9" s="18" t="str">
        <f>VLOOKUP(Y9,'Axe 2 Règles de gestion'!$D$2:$F$125,3, FALSE)</f>
        <v>A l'issue du congé, l'agent est réemployé sur son précédent emploi dans la mesure permise par le service ou un emploi similaire assorti d'une rémunération équivalente.</v>
      </c>
      <c r="AA9" s="17"/>
      <c r="AB9" s="18"/>
      <c r="AC9" s="17"/>
      <c r="AD9" s="18"/>
      <c r="AE9" s="17"/>
      <c r="AF9" s="18"/>
      <c r="AG9" s="17" t="s">
        <v>126</v>
      </c>
      <c r="AH9" s="18" t="str">
        <f>VLOOKUP(AG9,'Axe 2 Règles de gestion'!$D$2:$F$125,3, FALSE)</f>
        <v>Le congé est accordé pour une durée maximale de 60 jours sur une période de 12 mois consécutifs.</v>
      </c>
      <c r="AI9" s="17"/>
      <c r="AJ9" s="18"/>
      <c r="AK9" s="17" t="s">
        <v>93</v>
      </c>
      <c r="AL9" s="18" t="str">
        <f>VLOOKUP(AK9,'Axe 2 Règles de gestion'!$D$2:$F$125,3, FALSE)</f>
        <v>La date de début du congé/absence doit être antérieure ou égale à la date de fin réelle du congé/absence.</v>
      </c>
      <c r="AM9" s="17" t="s">
        <v>95</v>
      </c>
      <c r="AN9" s="18" t="str">
        <f>VLOOKUP(AM9,'Axe 2 Règles de gestion'!$D$2:$F$125,3, FALSE)</f>
        <v>La date de début du congé/absence doit être antérieure ou égale à la date de fin prévisionnelle du congé/absence.</v>
      </c>
      <c r="AO9" s="17" t="s">
        <v>130</v>
      </c>
      <c r="AP9" s="18" t="str">
        <f>VLOOKUP(AO9,'Axe 2 Règles de gestion'!$D$2:$F$125,3, FALSE)</f>
        <v>La date de fin réelle du congé/absence doit être antérieure ou égale à la date limite de fin réelle ou prévisionnelle du lien juridique.</v>
      </c>
      <c r="AQ9" s="17" t="s">
        <v>132</v>
      </c>
      <c r="AR9" s="18" t="str">
        <f>VLOOKUP(AQ9,'Axe 2 Règles de gestion'!$D$2:$F$125,3, FALSE)</f>
        <v>La date de fin prévisionnelle du congé/absence doit être antérieure ou égale à la date limite de fin réelle ou prévisionnelle du lien juridique.</v>
      </c>
      <c r="AS9" s="17" t="s">
        <v>97</v>
      </c>
      <c r="AT9" s="18" t="str">
        <f>VLOOKUP(AS9,'Axe 2 Règles de gestion'!$D$2:$F$125,3, FALSE)</f>
        <v>La date de fin réelle du congé/absence doit être antérieure à la date limite de départ à la retraite.</v>
      </c>
      <c r="AU9" s="17" t="s">
        <v>99</v>
      </c>
      <c r="AV9" s="18" t="str">
        <f>VLOOKUP(AU9,'Axe 2 Règles de gestion'!$D$2:$F$125,3, FALSE)</f>
        <v>La date de fin prévisionnelle du congé/absence doit être antérieure à la date limite de départ à la retraite.</v>
      </c>
      <c r="AW9" s="17" t="s">
        <v>101</v>
      </c>
      <c r="AX9" s="18" t="str">
        <f>VLOOKUP(AW9,'Axe 2 Règles de gestion'!$D$2:$F$125,3, FALSE)</f>
        <v>La date de fin réelle ou la date de fin prévisionnelle du congé/absence doit être saisie.</v>
      </c>
      <c r="AY9" s="17" t="s">
        <v>107</v>
      </c>
      <c r="AZ9" s="18" t="str">
        <f>VLOOKUP(AY9,'Axe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A9" s="17"/>
      <c r="BB9" s="18"/>
      <c r="BC9" s="17"/>
      <c r="BD9" s="18"/>
      <c r="BE9" s="17"/>
      <c r="BF9" s="18"/>
      <c r="BG9" s="14" t="s">
        <v>74</v>
      </c>
      <c r="BH9" s="16" t="s">
        <v>74</v>
      </c>
    </row>
    <row r="10" spans="1:60" ht="58" x14ac:dyDescent="0.35">
      <c r="A10" s="14" t="s">
        <v>61</v>
      </c>
      <c r="B10" s="14" t="s">
        <v>62</v>
      </c>
      <c r="C10" s="15">
        <v>44510.48333333333</v>
      </c>
      <c r="D10" s="14" t="s">
        <v>63</v>
      </c>
      <c r="E10" s="16" t="s">
        <v>64</v>
      </c>
      <c r="F10" s="14" t="s">
        <v>65</v>
      </c>
      <c r="G10" s="16" t="s">
        <v>66</v>
      </c>
      <c r="H10" s="14" t="s">
        <v>67</v>
      </c>
      <c r="I10" s="16" t="s">
        <v>68</v>
      </c>
      <c r="J10" s="16" t="s">
        <v>69</v>
      </c>
      <c r="K10" s="16" t="s">
        <v>70</v>
      </c>
      <c r="L10" s="14" t="s">
        <v>71</v>
      </c>
      <c r="M10" s="16" t="s">
        <v>72</v>
      </c>
      <c r="N10" s="14" t="s">
        <v>73</v>
      </c>
      <c r="O10" s="16" t="s">
        <v>74</v>
      </c>
      <c r="P10" s="16" t="s">
        <v>74</v>
      </c>
      <c r="Q10" s="16" t="s">
        <v>137</v>
      </c>
      <c r="R10" s="14" t="s">
        <v>138</v>
      </c>
      <c r="S10" s="14" t="s">
        <v>139</v>
      </c>
      <c r="T10" s="14" t="s">
        <v>78</v>
      </c>
      <c r="U10" s="14" t="s">
        <v>117</v>
      </c>
      <c r="V10" s="15">
        <v>44449</v>
      </c>
      <c r="W10" s="15"/>
      <c r="X10" s="16" t="s">
        <v>74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/>
      <c r="BF10" s="18"/>
      <c r="BG10" s="14" t="s">
        <v>74</v>
      </c>
      <c r="BH10" s="16" t="s">
        <v>74</v>
      </c>
    </row>
    <row r="11" spans="1:60" ht="43.5" x14ac:dyDescent="0.35">
      <c r="A11" s="14" t="s">
        <v>61</v>
      </c>
      <c r="B11" s="14" t="s">
        <v>62</v>
      </c>
      <c r="C11" s="15">
        <v>44510.482638888891</v>
      </c>
      <c r="D11" s="14" t="s">
        <v>63</v>
      </c>
      <c r="E11" s="16" t="s">
        <v>64</v>
      </c>
      <c r="F11" s="14" t="s">
        <v>65</v>
      </c>
      <c r="G11" s="16" t="s">
        <v>66</v>
      </c>
      <c r="H11" s="14" t="s">
        <v>67</v>
      </c>
      <c r="I11" s="16" t="s">
        <v>68</v>
      </c>
      <c r="J11" s="16" t="s">
        <v>69</v>
      </c>
      <c r="K11" s="16" t="s">
        <v>70</v>
      </c>
      <c r="L11" s="14" t="s">
        <v>109</v>
      </c>
      <c r="M11" s="16" t="s">
        <v>110</v>
      </c>
      <c r="N11" s="14" t="s">
        <v>111</v>
      </c>
      <c r="O11" s="16" t="s">
        <v>74</v>
      </c>
      <c r="P11" s="16" t="s">
        <v>74</v>
      </c>
      <c r="Q11" s="16" t="s">
        <v>137</v>
      </c>
      <c r="R11" s="14" t="s">
        <v>138</v>
      </c>
      <c r="S11" s="14" t="s">
        <v>139</v>
      </c>
      <c r="T11" s="14" t="s">
        <v>78</v>
      </c>
      <c r="U11" s="14" t="s">
        <v>117</v>
      </c>
      <c r="V11" s="15">
        <v>44449</v>
      </c>
      <c r="W11" s="15"/>
      <c r="X11" s="16" t="s">
        <v>74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/>
      <c r="BF11" s="18"/>
      <c r="BG11" s="14" t="s">
        <v>74</v>
      </c>
      <c r="BH11" s="16" t="s">
        <v>74</v>
      </c>
    </row>
    <row r="12" spans="1:60" ht="58" x14ac:dyDescent="0.35">
      <c r="A12" s="14" t="s">
        <v>61</v>
      </c>
      <c r="B12" s="14" t="s">
        <v>62</v>
      </c>
      <c r="C12" s="15">
        <v>44510.48333333333</v>
      </c>
      <c r="D12" s="14" t="s">
        <v>63</v>
      </c>
      <c r="E12" s="16" t="s">
        <v>64</v>
      </c>
      <c r="F12" s="14" t="s">
        <v>65</v>
      </c>
      <c r="G12" s="16" t="s">
        <v>66</v>
      </c>
      <c r="H12" s="14" t="s">
        <v>67</v>
      </c>
      <c r="I12" s="16" t="s">
        <v>68</v>
      </c>
      <c r="J12" s="16" t="s">
        <v>69</v>
      </c>
      <c r="K12" s="16" t="s">
        <v>70</v>
      </c>
      <c r="L12" s="14" t="s">
        <v>71</v>
      </c>
      <c r="M12" s="16" t="s">
        <v>72</v>
      </c>
      <c r="N12" s="14" t="s">
        <v>73</v>
      </c>
      <c r="O12" s="16" t="s">
        <v>74</v>
      </c>
      <c r="P12" s="16" t="s">
        <v>74</v>
      </c>
      <c r="Q12" s="16" t="s">
        <v>140</v>
      </c>
      <c r="R12" s="14" t="s">
        <v>141</v>
      </c>
      <c r="S12" s="14" t="s">
        <v>142</v>
      </c>
      <c r="T12" s="14" t="s">
        <v>78</v>
      </c>
      <c r="U12" s="14" t="s">
        <v>117</v>
      </c>
      <c r="V12" s="15">
        <v>44449</v>
      </c>
      <c r="W12" s="15"/>
      <c r="X12" s="16" t="s">
        <v>74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7"/>
      <c r="AX12" s="18"/>
      <c r="AY12" s="17"/>
      <c r="AZ12" s="18"/>
      <c r="BA12" s="17"/>
      <c r="BB12" s="18"/>
      <c r="BC12" s="17"/>
      <c r="BD12" s="18"/>
      <c r="BE12" s="17"/>
      <c r="BF12" s="18"/>
      <c r="BG12" s="14" t="s">
        <v>74</v>
      </c>
      <c r="BH12" s="16" t="s">
        <v>74</v>
      </c>
    </row>
    <row r="13" spans="1:60" ht="43.5" x14ac:dyDescent="0.35">
      <c r="A13" s="14" t="s">
        <v>61</v>
      </c>
      <c r="B13" s="14" t="s">
        <v>62</v>
      </c>
      <c r="C13" s="15">
        <v>44510.482638888891</v>
      </c>
      <c r="D13" s="14" t="s">
        <v>63</v>
      </c>
      <c r="E13" s="16" t="s">
        <v>64</v>
      </c>
      <c r="F13" s="14" t="s">
        <v>65</v>
      </c>
      <c r="G13" s="16" t="s">
        <v>66</v>
      </c>
      <c r="H13" s="14" t="s">
        <v>67</v>
      </c>
      <c r="I13" s="16" t="s">
        <v>68</v>
      </c>
      <c r="J13" s="16" t="s">
        <v>69</v>
      </c>
      <c r="K13" s="16" t="s">
        <v>70</v>
      </c>
      <c r="L13" s="14" t="s">
        <v>109</v>
      </c>
      <c r="M13" s="16" t="s">
        <v>110</v>
      </c>
      <c r="N13" s="14" t="s">
        <v>111</v>
      </c>
      <c r="O13" s="16" t="s">
        <v>74</v>
      </c>
      <c r="P13" s="16" t="s">
        <v>74</v>
      </c>
      <c r="Q13" s="16" t="s">
        <v>140</v>
      </c>
      <c r="R13" s="14" t="s">
        <v>141</v>
      </c>
      <c r="S13" s="14" t="s">
        <v>142</v>
      </c>
      <c r="T13" s="14" t="s">
        <v>78</v>
      </c>
      <c r="U13" s="14" t="s">
        <v>117</v>
      </c>
      <c r="V13" s="15">
        <v>44449</v>
      </c>
      <c r="W13" s="15"/>
      <c r="X13" s="16" t="s">
        <v>74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/>
      <c r="AX13" s="18"/>
      <c r="AY13" s="17"/>
      <c r="AZ13" s="18"/>
      <c r="BA13" s="17"/>
      <c r="BB13" s="18"/>
      <c r="BC13" s="17"/>
      <c r="BD13" s="18"/>
      <c r="BE13" s="17"/>
      <c r="BF13" s="18"/>
      <c r="BG13" s="14" t="s">
        <v>74</v>
      </c>
      <c r="BH13" s="16" t="s">
        <v>74</v>
      </c>
    </row>
    <row r="14" spans="1:60" ht="130.5" x14ac:dyDescent="0.35">
      <c r="A14" s="14" t="s">
        <v>61</v>
      </c>
      <c r="B14" s="14" t="s">
        <v>62</v>
      </c>
      <c r="C14" s="15">
        <v>44510.484027777777</v>
      </c>
      <c r="D14" s="14" t="s">
        <v>63</v>
      </c>
      <c r="E14" s="16" t="s">
        <v>64</v>
      </c>
      <c r="F14" s="14" t="s">
        <v>65</v>
      </c>
      <c r="G14" s="16" t="s">
        <v>66</v>
      </c>
      <c r="H14" s="14" t="s">
        <v>67</v>
      </c>
      <c r="I14" s="16" t="s">
        <v>68</v>
      </c>
      <c r="J14" s="16" t="s">
        <v>69</v>
      </c>
      <c r="K14" s="16" t="s">
        <v>70</v>
      </c>
      <c r="L14" s="14" t="s">
        <v>71</v>
      </c>
      <c r="M14" s="16" t="s">
        <v>72</v>
      </c>
      <c r="N14" s="14" t="s">
        <v>73</v>
      </c>
      <c r="O14" s="16" t="s">
        <v>74</v>
      </c>
      <c r="P14" s="16" t="s">
        <v>74</v>
      </c>
      <c r="Q14" s="16" t="s">
        <v>143</v>
      </c>
      <c r="R14" s="14" t="s">
        <v>144</v>
      </c>
      <c r="S14" s="14" t="s">
        <v>77</v>
      </c>
      <c r="T14" s="14" t="s">
        <v>145</v>
      </c>
      <c r="U14" s="14" t="s">
        <v>79</v>
      </c>
      <c r="V14" s="15">
        <v>44449</v>
      </c>
      <c r="W14" s="15"/>
      <c r="X14" s="16" t="s">
        <v>146</v>
      </c>
      <c r="Y14" s="17" t="s">
        <v>147</v>
      </c>
      <c r="Z14" s="18" t="str">
        <f>VLOOKUP(Y14,'Axe 2 Règles de gestion'!$D$2:$F$125,3, FALSE)</f>
        <v>L'agent doit effectuer une demande auprès de son chef de service.</v>
      </c>
      <c r="AA14" s="17" t="s">
        <v>148</v>
      </c>
      <c r="AB14" s="18" t="str">
        <f>VLOOKUP(AA14,'Axe 2 Règles de gestion'!$D$2:$F$125,3, FALSE)</f>
        <v>L'agent ne doit pas avoir fait l'objet d'une condamnation définitive pour crime ou délit dans les cas et conditions légalement prévus.</v>
      </c>
      <c r="AC14" s="17" t="s">
        <v>149</v>
      </c>
      <c r="AD14" s="18" t="str">
        <f>VLOOKUP(AC14,'Axe 2 Règles de gestion'!$D$2:$F$125,3, FALSE)</f>
        <v>Le congé est accordé sous réserve des nécessités de service.</v>
      </c>
      <c r="AE14" s="17"/>
      <c r="AF14" s="18"/>
      <c r="AG14" s="17" t="s">
        <v>150</v>
      </c>
      <c r="AH14" s="18" t="str">
        <f>VLOOKUP(AG14,'Axe 2 Règles de gestion'!$D$2:$F$125,3, FALSE)</f>
        <v>Le congé est accordé pour une durée maximale de 60 jours sur une période de 12 mois consécutifs.</v>
      </c>
      <c r="AI14" s="17" t="s">
        <v>151</v>
      </c>
      <c r="AJ14" s="18" t="str">
        <f>VLOOKUP(AI14,'Axe 2 Règles de gestion'!$D$2:$F$125,3, FALSE)</f>
        <v>L'agent doit être en activité.</v>
      </c>
      <c r="AK14" s="17" t="s">
        <v>91</v>
      </c>
      <c r="AL14" s="18" t="str">
        <f>VLOOKUP(AK14,'Axe 2 Règles de gestion'!$D$2:$F$125,3, FALSE)</f>
        <v>La date de début du congé/absence doit être postérieure ou égale à la date de recrutement dans la FPE ou dans la carrière militaire.</v>
      </c>
      <c r="AM14" s="17" t="s">
        <v>93</v>
      </c>
      <c r="AN14" s="18" t="str">
        <f>VLOOKUP(AM14,'Axe 2 Règles de gestion'!$D$2:$F$125,3, FALSE)</f>
        <v>La date de début du congé/absence doit être antérieure ou égale à la date de fin réelle du congé/absence.</v>
      </c>
      <c r="AO14" s="17" t="s">
        <v>95</v>
      </c>
      <c r="AP14" s="18" t="str">
        <f>VLOOKUP(AO14,'Axe 2 Règles de gestion'!$D$2:$F$125,3, FALSE)</f>
        <v>La date de début du congé/absence doit être antérieure ou égale à la date de fin prévisionnelle du congé/absence.</v>
      </c>
      <c r="AQ14" s="17" t="s">
        <v>97</v>
      </c>
      <c r="AR14" s="18" t="str">
        <f>VLOOKUP(AQ14,'Axe 2 Règles de gestion'!$D$2:$F$125,3, FALSE)</f>
        <v>La date de fin réelle du congé/absence doit être antérieure à la date limite de départ à la retraite.</v>
      </c>
      <c r="AS14" s="17" t="s">
        <v>99</v>
      </c>
      <c r="AT14" s="18" t="str">
        <f>VLOOKUP(AS14,'Axe 2 Règles de gestion'!$D$2:$F$125,3, FALSE)</f>
        <v>La date de fin prévisionnelle du congé/absence doit être antérieure à la date limite de départ à la retraite.</v>
      </c>
      <c r="AU14" s="17" t="s">
        <v>101</v>
      </c>
      <c r="AV14" s="18" t="str">
        <f>VLOOKUP(AU14,'Axe 2 Règles de gestion'!$D$2:$F$125,3, FALSE)</f>
        <v>La date de fin réelle ou la date de fin prévisionnelle du congé/absence doit être saisie.</v>
      </c>
      <c r="AW14" s="17" t="s">
        <v>103</v>
      </c>
      <c r="AX14" s="18" t="str">
        <f>VLOOKUP(AW14,'Axe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14" s="17" t="s">
        <v>105</v>
      </c>
      <c r="AZ14" s="18" t="str">
        <f>VLOOKUP(AY14,'Axe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14" s="17" t="s">
        <v>107</v>
      </c>
      <c r="BB14" s="18" t="str">
        <f>VLOOKUP(BA14,'Axe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4" s="17"/>
      <c r="BD14" s="18"/>
      <c r="BE14" s="17"/>
      <c r="BF14" s="18"/>
      <c r="BG14" s="14" t="s">
        <v>74</v>
      </c>
      <c r="BH14" s="16" t="s">
        <v>74</v>
      </c>
    </row>
    <row r="15" spans="1:60" ht="116" x14ac:dyDescent="0.35">
      <c r="A15" s="14" t="s">
        <v>61</v>
      </c>
      <c r="B15" s="14" t="s">
        <v>62</v>
      </c>
      <c r="C15" s="15">
        <v>44510.484027777777</v>
      </c>
      <c r="D15" s="14" t="s">
        <v>63</v>
      </c>
      <c r="E15" s="16" t="s">
        <v>64</v>
      </c>
      <c r="F15" s="14" t="s">
        <v>65</v>
      </c>
      <c r="G15" s="16" t="s">
        <v>66</v>
      </c>
      <c r="H15" s="14" t="s">
        <v>67</v>
      </c>
      <c r="I15" s="16" t="s">
        <v>68</v>
      </c>
      <c r="J15" s="16" t="s">
        <v>69</v>
      </c>
      <c r="K15" s="16" t="s">
        <v>70</v>
      </c>
      <c r="L15" s="14" t="s">
        <v>109</v>
      </c>
      <c r="M15" s="16" t="s">
        <v>110</v>
      </c>
      <c r="N15" s="14" t="s">
        <v>111</v>
      </c>
      <c r="O15" s="16" t="s">
        <v>74</v>
      </c>
      <c r="P15" s="16" t="s">
        <v>74</v>
      </c>
      <c r="Q15" s="16" t="s">
        <v>143</v>
      </c>
      <c r="R15" s="14" t="s">
        <v>144</v>
      </c>
      <c r="S15" s="14" t="s">
        <v>77</v>
      </c>
      <c r="T15" s="14" t="s">
        <v>145</v>
      </c>
      <c r="U15" s="14" t="s">
        <v>79</v>
      </c>
      <c r="V15" s="15">
        <v>44449</v>
      </c>
      <c r="W15" s="15"/>
      <c r="X15" s="16" t="s">
        <v>152</v>
      </c>
      <c r="Y15" s="17"/>
      <c r="Z15" s="18"/>
      <c r="AA15" s="17"/>
      <c r="AB15" s="18"/>
      <c r="AC15" s="17"/>
      <c r="AD15" s="18"/>
      <c r="AE15" s="17"/>
      <c r="AF15" s="18"/>
      <c r="AG15" s="17" t="s">
        <v>150</v>
      </c>
      <c r="AH15" s="18" t="str">
        <f>VLOOKUP(AG15,'Axe 2 Règles de gestion'!$D$2:$F$125,3, FALSE)</f>
        <v>Le congé est accordé pour une durée maximale de 60 jours sur une période de 12 mois consécutifs.</v>
      </c>
      <c r="AI15" s="17"/>
      <c r="AJ15" s="18"/>
      <c r="AK15" s="17" t="s">
        <v>93</v>
      </c>
      <c r="AL15" s="18" t="str">
        <f>VLOOKUP(AK15,'Axe 2 Règles de gestion'!$D$2:$F$125,3, FALSE)</f>
        <v>La date de début du congé/absence doit être antérieure ou égale à la date de fin réelle du congé/absence.</v>
      </c>
      <c r="AM15" s="17" t="s">
        <v>95</v>
      </c>
      <c r="AN15" s="18" t="str">
        <f>VLOOKUP(AM15,'Axe 2 Règles de gestion'!$D$2:$F$125,3, FALSE)</f>
        <v>La date de début du congé/absence doit être antérieure ou égale à la date de fin prévisionnelle du congé/absence.</v>
      </c>
      <c r="AO15" s="17" t="s">
        <v>97</v>
      </c>
      <c r="AP15" s="18" t="str">
        <f>VLOOKUP(AO15,'Axe 2 Règles de gestion'!$D$2:$F$125,3, FALSE)</f>
        <v>La date de fin réelle du congé/absence doit être antérieure à la date limite de départ à la retraite.</v>
      </c>
      <c r="AQ15" s="17" t="s">
        <v>99</v>
      </c>
      <c r="AR15" s="18" t="str">
        <f>VLOOKUP(AQ15,'Axe 2 Règles de gestion'!$D$2:$F$125,3, FALSE)</f>
        <v>La date de fin prévisionnelle du congé/absence doit être antérieure à la date limite de départ à la retraite.</v>
      </c>
      <c r="AS15" s="17" t="s">
        <v>101</v>
      </c>
      <c r="AT15" s="18" t="str">
        <f>VLOOKUP(AS15,'Axe 2 Règles de gestion'!$D$2:$F$125,3, FALSE)</f>
        <v>La date de fin réelle ou la date de fin prévisionnelle du congé/absence doit être saisie.</v>
      </c>
      <c r="AU15" s="17" t="s">
        <v>107</v>
      </c>
      <c r="AV15" s="18" t="str">
        <f>VLOOKUP(AU15,'Axe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15" s="17"/>
      <c r="AX15" s="18"/>
      <c r="AY15" s="17"/>
      <c r="AZ15" s="18"/>
      <c r="BA15" s="17"/>
      <c r="BB15" s="18"/>
      <c r="BC15" s="17"/>
      <c r="BD15" s="18"/>
      <c r="BE15" s="17"/>
      <c r="BF15" s="18"/>
      <c r="BG15" s="14" t="s">
        <v>74</v>
      </c>
      <c r="BH15" s="16" t="s">
        <v>74</v>
      </c>
    </row>
    <row r="16" spans="1:60" ht="130.5" x14ac:dyDescent="0.35">
      <c r="A16" s="14" t="s">
        <v>61</v>
      </c>
      <c r="B16" s="14" t="s">
        <v>62</v>
      </c>
      <c r="C16" s="15">
        <v>44510.484027777777</v>
      </c>
      <c r="D16" s="14" t="s">
        <v>63</v>
      </c>
      <c r="E16" s="16" t="s">
        <v>64</v>
      </c>
      <c r="F16" s="14" t="s">
        <v>65</v>
      </c>
      <c r="G16" s="16" t="s">
        <v>66</v>
      </c>
      <c r="H16" s="14" t="s">
        <v>67</v>
      </c>
      <c r="I16" s="16" t="s">
        <v>68</v>
      </c>
      <c r="J16" s="16" t="s">
        <v>69</v>
      </c>
      <c r="K16" s="16" t="s">
        <v>70</v>
      </c>
      <c r="L16" s="14" t="s">
        <v>71</v>
      </c>
      <c r="M16" s="16" t="s">
        <v>72</v>
      </c>
      <c r="N16" s="14" t="s">
        <v>73</v>
      </c>
      <c r="O16" s="16" t="s">
        <v>74</v>
      </c>
      <c r="P16" s="16" t="s">
        <v>74</v>
      </c>
      <c r="Q16" s="16" t="s">
        <v>153</v>
      </c>
      <c r="R16" s="14" t="s">
        <v>154</v>
      </c>
      <c r="S16" s="14" t="s">
        <v>120</v>
      </c>
      <c r="T16" s="14" t="s">
        <v>145</v>
      </c>
      <c r="U16" s="14" t="s">
        <v>79</v>
      </c>
      <c r="V16" s="15">
        <v>44449</v>
      </c>
      <c r="W16" s="15"/>
      <c r="X16" s="16" t="s">
        <v>155</v>
      </c>
      <c r="Y16" s="17" t="s">
        <v>156</v>
      </c>
      <c r="Z16" s="18" t="str">
        <f>VLOOKUP(Y16,'Axe 2 Règles de gestion'!$D$2:$F$125,3, FALSE)</f>
        <v>L'agent doit effectuer une demande auprès de son chef de service.</v>
      </c>
      <c r="AA16" s="17" t="s">
        <v>157</v>
      </c>
      <c r="AB16" s="18" t="str">
        <f>VLOOKUP(AA16,'Axe 2 Règles de gestion'!$D$2:$F$125,3, FALSE)</f>
        <v>L'agent ne doit pas avoir fait l'objet d'une condamnation définitive pour crime ou délit dans les cas et conditions légalement prévus.</v>
      </c>
      <c r="AC16" s="17" t="s">
        <v>158</v>
      </c>
      <c r="AD16" s="18" t="str">
        <f>VLOOKUP(AC16,'Axe 2 Règles de gestion'!$D$2:$F$125,3, FALSE)</f>
        <v>Le congé est accordé sous réserve des nécessités de service.</v>
      </c>
      <c r="AE16" s="17"/>
      <c r="AF16" s="18"/>
      <c r="AG16" s="17" t="s">
        <v>159</v>
      </c>
      <c r="AH16" s="18" t="str">
        <f>VLOOKUP(AG16,'Axe 2 Règles de gestion'!$D$2:$F$125,3, FALSE)</f>
        <v>Le congé est accordé pour une durée maximale de 60 jours sur une période de 12 mois consécutifs.</v>
      </c>
      <c r="AI16" s="17" t="s">
        <v>160</v>
      </c>
      <c r="AJ16" s="18" t="str">
        <f>VLOOKUP(AI16,'Axe 2 Règles de gestion'!$D$2:$F$125,3, FALSE)</f>
        <v>L'agent doit être en activité.</v>
      </c>
      <c r="AK16" s="17" t="s">
        <v>128</v>
      </c>
      <c r="AL16" s="18" t="str">
        <f>VLOOKUP(AK16,'Axe 2 Règles de gestion'!$D$2:$F$125,3, FALSE)</f>
        <v>La date de début du congé/absence doit être postérieure ou égale à la date de début du lien juridique.</v>
      </c>
      <c r="AM16" s="17" t="s">
        <v>93</v>
      </c>
      <c r="AN16" s="18" t="str">
        <f>VLOOKUP(AM16,'Axe 2 Règles de gestion'!$D$2:$F$125,3, FALSE)</f>
        <v>La date de début du congé/absence doit être antérieure ou égale à la date de fin réelle du congé/absence.</v>
      </c>
      <c r="AO16" s="17" t="s">
        <v>95</v>
      </c>
      <c r="AP16" s="18" t="str">
        <f>VLOOKUP(AO16,'Axe 2 Règles de gestion'!$D$2:$F$125,3, FALSE)</f>
        <v>La date de début du congé/absence doit être antérieure ou égale à la date de fin prévisionnelle du congé/absence.</v>
      </c>
      <c r="AQ16" s="17" t="s">
        <v>130</v>
      </c>
      <c r="AR16" s="18" t="str">
        <f>VLOOKUP(AQ16,'Axe 2 Règles de gestion'!$D$2:$F$125,3, FALSE)</f>
        <v>La date de fin réelle du congé/absence doit être antérieure ou égale à la date limite de fin réelle ou prévisionnelle du lien juridique.</v>
      </c>
      <c r="AS16" s="17" t="s">
        <v>132</v>
      </c>
      <c r="AT16" s="18" t="str">
        <f>VLOOKUP(AS16,'Axe 2 Règles de gestion'!$D$2:$F$125,3, FALSE)</f>
        <v>La date de fin prévisionnelle du congé/absence doit être antérieure ou égale à la date limite de fin réelle ou prévisionnelle du lien juridique.</v>
      </c>
      <c r="AU16" s="17" t="s">
        <v>97</v>
      </c>
      <c r="AV16" s="18" t="str">
        <f>VLOOKUP(AU16,'Axe 2 Règles de gestion'!$D$2:$F$125,3, FALSE)</f>
        <v>La date de fin réelle du congé/absence doit être antérieure à la date limite de départ à la retraite.</v>
      </c>
      <c r="AW16" s="17" t="s">
        <v>99</v>
      </c>
      <c r="AX16" s="18" t="str">
        <f>VLOOKUP(AW16,'Axe 2 Règles de gestion'!$D$2:$F$125,3, FALSE)</f>
        <v>La date de fin prévisionnelle du congé/absence doit être antérieure à la date limite de départ à la retraite.</v>
      </c>
      <c r="AY16" s="17" t="s">
        <v>101</v>
      </c>
      <c r="AZ16" s="18" t="str">
        <f>VLOOKUP(AY16,'Axe 2 Règles de gestion'!$D$2:$F$125,3, FALSE)</f>
        <v>La date de fin réelle ou la date de fin prévisionnelle du congé/absence doit être saisie.</v>
      </c>
      <c r="BA16" s="17" t="s">
        <v>103</v>
      </c>
      <c r="BB16" s="18" t="str">
        <f>VLOOKUP(BA16,'Axe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C16" s="17" t="s">
        <v>105</v>
      </c>
      <c r="BD16" s="18" t="str">
        <f>VLOOKUP(BC16,'Axe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E16" s="17" t="s">
        <v>107</v>
      </c>
      <c r="BF16" s="18" t="str">
        <f>VLOOKUP(BE16,'Axe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16" s="14" t="s">
        <v>74</v>
      </c>
      <c r="BH16" s="16" t="s">
        <v>74</v>
      </c>
    </row>
    <row r="17" spans="1:60" ht="116" x14ac:dyDescent="0.35">
      <c r="A17" s="14" t="s">
        <v>61</v>
      </c>
      <c r="B17" s="14" t="s">
        <v>62</v>
      </c>
      <c r="C17" s="15">
        <v>44510.484722222223</v>
      </c>
      <c r="D17" s="14" t="s">
        <v>63</v>
      </c>
      <c r="E17" s="16" t="s">
        <v>64</v>
      </c>
      <c r="F17" s="14" t="s">
        <v>65</v>
      </c>
      <c r="G17" s="16" t="s">
        <v>66</v>
      </c>
      <c r="H17" s="14" t="s">
        <v>67</v>
      </c>
      <c r="I17" s="16" t="s">
        <v>68</v>
      </c>
      <c r="J17" s="16" t="s">
        <v>69</v>
      </c>
      <c r="K17" s="16" t="s">
        <v>70</v>
      </c>
      <c r="L17" s="14" t="s">
        <v>109</v>
      </c>
      <c r="M17" s="16" t="s">
        <v>110</v>
      </c>
      <c r="N17" s="14" t="s">
        <v>111</v>
      </c>
      <c r="O17" s="16" t="s">
        <v>74</v>
      </c>
      <c r="P17" s="16" t="s">
        <v>74</v>
      </c>
      <c r="Q17" s="16" t="s">
        <v>153</v>
      </c>
      <c r="R17" s="14" t="s">
        <v>154</v>
      </c>
      <c r="S17" s="14" t="s">
        <v>120</v>
      </c>
      <c r="T17" s="14" t="s">
        <v>145</v>
      </c>
      <c r="U17" s="14" t="s">
        <v>79</v>
      </c>
      <c r="V17" s="15">
        <v>44449</v>
      </c>
      <c r="W17" s="15"/>
      <c r="X17" s="16" t="s">
        <v>161</v>
      </c>
      <c r="Y17" s="17"/>
      <c r="Z17" s="18"/>
      <c r="AA17" s="17"/>
      <c r="AB17" s="18"/>
      <c r="AC17" s="17"/>
      <c r="AD17" s="18"/>
      <c r="AE17" s="17"/>
      <c r="AF17" s="18"/>
      <c r="AG17" s="17" t="s">
        <v>159</v>
      </c>
      <c r="AH17" s="18" t="str">
        <f>VLOOKUP(AG17,'Axe 2 Règles de gestion'!$D$2:$F$125,3, FALSE)</f>
        <v>Le congé est accordé pour une durée maximale de 60 jours sur une période de 12 mois consécutifs.</v>
      </c>
      <c r="AI17" s="17"/>
      <c r="AJ17" s="18"/>
      <c r="AK17" s="17" t="s">
        <v>93</v>
      </c>
      <c r="AL17" s="18" t="str">
        <f>VLOOKUP(AK17,'Axe 2 Règles de gestion'!$D$2:$F$125,3, FALSE)</f>
        <v>La date de début du congé/absence doit être antérieure ou égale à la date de fin réelle du congé/absence.</v>
      </c>
      <c r="AM17" s="17" t="s">
        <v>95</v>
      </c>
      <c r="AN17" s="18" t="str">
        <f>VLOOKUP(AM17,'Axe 2 Règles de gestion'!$D$2:$F$125,3, FALSE)</f>
        <v>La date de début du congé/absence doit être antérieure ou égale à la date de fin prévisionnelle du congé/absence.</v>
      </c>
      <c r="AO17" s="17" t="s">
        <v>130</v>
      </c>
      <c r="AP17" s="18" t="str">
        <f>VLOOKUP(AO17,'Axe 2 Règles de gestion'!$D$2:$F$125,3, FALSE)</f>
        <v>La date de fin réelle du congé/absence doit être antérieure ou égale à la date limite de fin réelle ou prévisionnelle du lien juridique.</v>
      </c>
      <c r="AQ17" s="17" t="s">
        <v>132</v>
      </c>
      <c r="AR17" s="18" t="str">
        <f>VLOOKUP(AQ17,'Axe 2 Règles de gestion'!$D$2:$F$125,3, FALSE)</f>
        <v>La date de fin prévisionnelle du congé/absence doit être antérieure ou égale à la date limite de fin réelle ou prévisionnelle du lien juridique.</v>
      </c>
      <c r="AS17" s="17" t="s">
        <v>97</v>
      </c>
      <c r="AT17" s="18" t="str">
        <f>VLOOKUP(AS17,'Axe 2 Règles de gestion'!$D$2:$F$125,3, FALSE)</f>
        <v>La date de fin réelle du congé/absence doit être antérieure à la date limite de départ à la retraite.</v>
      </c>
      <c r="AU17" s="17" t="s">
        <v>99</v>
      </c>
      <c r="AV17" s="18" t="str">
        <f>VLOOKUP(AU17,'Axe 2 Règles de gestion'!$D$2:$F$125,3, FALSE)</f>
        <v>La date de fin prévisionnelle du congé/absence doit être antérieure à la date limite de départ à la retraite.</v>
      </c>
      <c r="AW17" s="17" t="s">
        <v>101</v>
      </c>
      <c r="AX17" s="18" t="str">
        <f>VLOOKUP(AW17,'Axe 2 Règles de gestion'!$D$2:$F$125,3, FALSE)</f>
        <v>La date de fin réelle ou la date de fin prévisionnelle du congé/absence doit être saisie.</v>
      </c>
      <c r="AY17" s="17" t="s">
        <v>107</v>
      </c>
      <c r="AZ17" s="18" t="str">
        <f>VLOOKUP(AY17,'Axe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A17" s="17"/>
      <c r="BB17" s="18"/>
      <c r="BC17" s="17"/>
      <c r="BD17" s="18"/>
      <c r="BE17" s="17"/>
      <c r="BF17" s="18"/>
      <c r="BG17" s="14" t="s">
        <v>74</v>
      </c>
      <c r="BH17" s="16" t="s">
        <v>74</v>
      </c>
    </row>
    <row r="18" spans="1:60" ht="58" x14ac:dyDescent="0.35">
      <c r="A18" s="14" t="s">
        <v>113</v>
      </c>
      <c r="B18" s="14" t="s">
        <v>62</v>
      </c>
      <c r="C18" s="15">
        <v>44834.61041666667</v>
      </c>
      <c r="D18" s="14" t="s">
        <v>63</v>
      </c>
      <c r="E18" s="16" t="s">
        <v>64</v>
      </c>
      <c r="F18" s="14" t="s">
        <v>65</v>
      </c>
      <c r="G18" s="16" t="s">
        <v>66</v>
      </c>
      <c r="H18" s="14" t="s">
        <v>67</v>
      </c>
      <c r="I18" s="16" t="s">
        <v>68</v>
      </c>
      <c r="J18" s="16" t="s">
        <v>69</v>
      </c>
      <c r="K18" s="16" t="s">
        <v>70</v>
      </c>
      <c r="L18" s="14" t="s">
        <v>71</v>
      </c>
      <c r="M18" s="16" t="s">
        <v>72</v>
      </c>
      <c r="N18" s="14" t="s">
        <v>73</v>
      </c>
      <c r="O18" s="16" t="s">
        <v>74</v>
      </c>
      <c r="P18" s="16" t="s">
        <v>74</v>
      </c>
      <c r="Q18" s="16" t="s">
        <v>162</v>
      </c>
      <c r="R18" s="14" t="s">
        <v>163</v>
      </c>
      <c r="S18" s="14" t="s">
        <v>120</v>
      </c>
      <c r="T18" s="14" t="s">
        <v>145</v>
      </c>
      <c r="U18" s="14" t="s">
        <v>117</v>
      </c>
      <c r="V18" s="15">
        <v>44678</v>
      </c>
      <c r="W18" s="15"/>
      <c r="X18" s="16" t="s">
        <v>74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7"/>
      <c r="AP18" s="18"/>
      <c r="AQ18" s="17"/>
      <c r="AR18" s="18"/>
      <c r="AS18" s="17"/>
      <c r="AT18" s="18"/>
      <c r="AU18" s="17"/>
      <c r="AV18" s="18"/>
      <c r="AW18" s="17"/>
      <c r="AX18" s="18"/>
      <c r="AY18" s="17"/>
      <c r="AZ18" s="18"/>
      <c r="BA18" s="17"/>
      <c r="BB18" s="18"/>
      <c r="BC18" s="17"/>
      <c r="BD18" s="18"/>
      <c r="BE18" s="17"/>
      <c r="BF18" s="18"/>
      <c r="BG18" s="14" t="s">
        <v>74</v>
      </c>
      <c r="BH18" s="16" t="s">
        <v>74</v>
      </c>
    </row>
    <row r="19" spans="1:60" ht="43.5" x14ac:dyDescent="0.35">
      <c r="A19" s="14" t="s">
        <v>113</v>
      </c>
      <c r="B19" s="14" t="s">
        <v>62</v>
      </c>
      <c r="C19" s="15">
        <v>44839.354861111111</v>
      </c>
      <c r="D19" s="14" t="s">
        <v>63</v>
      </c>
      <c r="E19" s="16" t="s">
        <v>64</v>
      </c>
      <c r="F19" s="14" t="s">
        <v>65</v>
      </c>
      <c r="G19" s="16" t="s">
        <v>66</v>
      </c>
      <c r="H19" s="14" t="s">
        <v>67</v>
      </c>
      <c r="I19" s="16" t="s">
        <v>68</v>
      </c>
      <c r="J19" s="16" t="s">
        <v>69</v>
      </c>
      <c r="K19" s="16" t="s">
        <v>70</v>
      </c>
      <c r="L19" s="14" t="s">
        <v>109</v>
      </c>
      <c r="M19" s="16" t="s">
        <v>110</v>
      </c>
      <c r="N19" s="14" t="s">
        <v>111</v>
      </c>
      <c r="O19" s="16" t="s">
        <v>74</v>
      </c>
      <c r="P19" s="16" t="s">
        <v>74</v>
      </c>
      <c r="Q19" s="16" t="s">
        <v>162</v>
      </c>
      <c r="R19" s="14" t="s">
        <v>163</v>
      </c>
      <c r="S19" s="14" t="s">
        <v>120</v>
      </c>
      <c r="T19" s="14" t="s">
        <v>145</v>
      </c>
      <c r="U19" s="14" t="s">
        <v>117</v>
      </c>
      <c r="V19" s="15">
        <v>44678</v>
      </c>
      <c r="W19" s="15"/>
      <c r="X19" s="16" t="s">
        <v>74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7"/>
      <c r="AP19" s="18"/>
      <c r="AQ19" s="17"/>
      <c r="AR19" s="18"/>
      <c r="AS19" s="17"/>
      <c r="AT19" s="18"/>
      <c r="AU19" s="17"/>
      <c r="AV19" s="18"/>
      <c r="AW19" s="17"/>
      <c r="AX19" s="18"/>
      <c r="AY19" s="17"/>
      <c r="AZ19" s="18"/>
      <c r="BA19" s="17"/>
      <c r="BB19" s="18"/>
      <c r="BC19" s="17"/>
      <c r="BD19" s="18"/>
      <c r="BE19" s="17"/>
      <c r="BF19" s="18"/>
      <c r="BG19" s="14" t="s">
        <v>74</v>
      </c>
      <c r="BH19" s="16" t="s">
        <v>74</v>
      </c>
    </row>
    <row r="20" spans="1:60" ht="58" x14ac:dyDescent="0.35">
      <c r="A20" s="14" t="s">
        <v>113</v>
      </c>
      <c r="B20" s="14" t="s">
        <v>62</v>
      </c>
      <c r="C20" s="15">
        <v>44834.611111111109</v>
      </c>
      <c r="D20" s="14" t="s">
        <v>63</v>
      </c>
      <c r="E20" s="16" t="s">
        <v>64</v>
      </c>
      <c r="F20" s="14" t="s">
        <v>65</v>
      </c>
      <c r="G20" s="16" t="s">
        <v>66</v>
      </c>
      <c r="H20" s="14" t="s">
        <v>67</v>
      </c>
      <c r="I20" s="16" t="s">
        <v>68</v>
      </c>
      <c r="J20" s="16" t="s">
        <v>69</v>
      </c>
      <c r="K20" s="16" t="s">
        <v>70</v>
      </c>
      <c r="L20" s="14" t="s">
        <v>71</v>
      </c>
      <c r="M20" s="16" t="s">
        <v>72</v>
      </c>
      <c r="N20" s="14" t="s">
        <v>73</v>
      </c>
      <c r="O20" s="16" t="s">
        <v>74</v>
      </c>
      <c r="P20" s="16" t="s">
        <v>74</v>
      </c>
      <c r="Q20" s="16" t="s">
        <v>164</v>
      </c>
      <c r="R20" s="14" t="s">
        <v>165</v>
      </c>
      <c r="S20" s="14" t="s">
        <v>120</v>
      </c>
      <c r="T20" s="14" t="s">
        <v>145</v>
      </c>
      <c r="U20" s="14" t="s">
        <v>117</v>
      </c>
      <c r="V20" s="15">
        <v>44678</v>
      </c>
      <c r="W20" s="15"/>
      <c r="X20" s="16" t="s">
        <v>74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/>
      <c r="AP20" s="18"/>
      <c r="AQ20" s="17"/>
      <c r="AR20" s="18"/>
      <c r="AS20" s="17"/>
      <c r="AT20" s="18"/>
      <c r="AU20" s="17"/>
      <c r="AV20" s="18"/>
      <c r="AW20" s="17"/>
      <c r="AX20" s="18"/>
      <c r="AY20" s="17"/>
      <c r="AZ20" s="18"/>
      <c r="BA20" s="17"/>
      <c r="BB20" s="18"/>
      <c r="BC20" s="17"/>
      <c r="BD20" s="18"/>
      <c r="BE20" s="17"/>
      <c r="BF20" s="18"/>
      <c r="BG20" s="14" t="s">
        <v>74</v>
      </c>
      <c r="BH20" s="16" t="s">
        <v>74</v>
      </c>
    </row>
    <row r="21" spans="1:60" ht="43.5" x14ac:dyDescent="0.35">
      <c r="A21" s="14" t="s">
        <v>113</v>
      </c>
      <c r="B21" s="14" t="s">
        <v>62</v>
      </c>
      <c r="C21" s="15">
        <v>44839.354861111111</v>
      </c>
      <c r="D21" s="14" t="s">
        <v>63</v>
      </c>
      <c r="E21" s="16" t="s">
        <v>64</v>
      </c>
      <c r="F21" s="14" t="s">
        <v>65</v>
      </c>
      <c r="G21" s="16" t="s">
        <v>66</v>
      </c>
      <c r="H21" s="14" t="s">
        <v>67</v>
      </c>
      <c r="I21" s="16" t="s">
        <v>68</v>
      </c>
      <c r="J21" s="16" t="s">
        <v>69</v>
      </c>
      <c r="K21" s="16" t="s">
        <v>70</v>
      </c>
      <c r="L21" s="14" t="s">
        <v>109</v>
      </c>
      <c r="M21" s="16" t="s">
        <v>110</v>
      </c>
      <c r="N21" s="14" t="s">
        <v>111</v>
      </c>
      <c r="O21" s="16" t="s">
        <v>74</v>
      </c>
      <c r="P21" s="16" t="s">
        <v>74</v>
      </c>
      <c r="Q21" s="16" t="s">
        <v>164</v>
      </c>
      <c r="R21" s="14" t="s">
        <v>165</v>
      </c>
      <c r="S21" s="14" t="s">
        <v>120</v>
      </c>
      <c r="T21" s="14" t="s">
        <v>145</v>
      </c>
      <c r="U21" s="14" t="s">
        <v>117</v>
      </c>
      <c r="V21" s="15">
        <v>44678</v>
      </c>
      <c r="W21" s="15"/>
      <c r="X21" s="16" t="s">
        <v>74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7"/>
      <c r="AP21" s="18"/>
      <c r="AQ21" s="17"/>
      <c r="AR21" s="18"/>
      <c r="AS21" s="17"/>
      <c r="AT21" s="18"/>
      <c r="AU21" s="17"/>
      <c r="AV21" s="18"/>
      <c r="AW21" s="17"/>
      <c r="AX21" s="18"/>
      <c r="AY21" s="17"/>
      <c r="AZ21" s="18"/>
      <c r="BA21" s="17"/>
      <c r="BB21" s="18"/>
      <c r="BC21" s="17"/>
      <c r="BD21" s="18"/>
      <c r="BE21" s="17"/>
      <c r="BF21" s="18"/>
      <c r="BG21" s="14" t="s">
        <v>74</v>
      </c>
      <c r="BH21" s="16" t="s">
        <v>74</v>
      </c>
    </row>
    <row r="22" spans="1:60" ht="58" x14ac:dyDescent="0.35">
      <c r="A22" s="14" t="s">
        <v>113</v>
      </c>
      <c r="B22" s="14" t="s">
        <v>62</v>
      </c>
      <c r="C22" s="15">
        <v>44834.611111111109</v>
      </c>
      <c r="D22" s="14" t="s">
        <v>63</v>
      </c>
      <c r="E22" s="16" t="s">
        <v>64</v>
      </c>
      <c r="F22" s="14" t="s">
        <v>65</v>
      </c>
      <c r="G22" s="16" t="s">
        <v>66</v>
      </c>
      <c r="H22" s="14" t="s">
        <v>67</v>
      </c>
      <c r="I22" s="16" t="s">
        <v>68</v>
      </c>
      <c r="J22" s="16" t="s">
        <v>69</v>
      </c>
      <c r="K22" s="16" t="s">
        <v>70</v>
      </c>
      <c r="L22" s="14" t="s">
        <v>71</v>
      </c>
      <c r="M22" s="16" t="s">
        <v>72</v>
      </c>
      <c r="N22" s="14" t="s">
        <v>73</v>
      </c>
      <c r="O22" s="16" t="s">
        <v>74</v>
      </c>
      <c r="P22" s="16" t="s">
        <v>74</v>
      </c>
      <c r="Q22" s="16" t="s">
        <v>166</v>
      </c>
      <c r="R22" s="14" t="s">
        <v>167</v>
      </c>
      <c r="S22" s="14" t="s">
        <v>120</v>
      </c>
      <c r="T22" s="14" t="s">
        <v>145</v>
      </c>
      <c r="U22" s="14" t="s">
        <v>117</v>
      </c>
      <c r="V22" s="15">
        <v>44678</v>
      </c>
      <c r="W22" s="15"/>
      <c r="X22" s="16" t="s">
        <v>74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7"/>
      <c r="AP22" s="18"/>
      <c r="AQ22" s="17"/>
      <c r="AR22" s="18"/>
      <c r="AS22" s="17"/>
      <c r="AT22" s="18"/>
      <c r="AU22" s="17"/>
      <c r="AV22" s="18"/>
      <c r="AW22" s="17"/>
      <c r="AX22" s="18"/>
      <c r="AY22" s="17"/>
      <c r="AZ22" s="18"/>
      <c r="BA22" s="17"/>
      <c r="BB22" s="18"/>
      <c r="BC22" s="17"/>
      <c r="BD22" s="18"/>
      <c r="BE22" s="17"/>
      <c r="BF22" s="18"/>
      <c r="BG22" s="14" t="s">
        <v>74</v>
      </c>
      <c r="BH22" s="16" t="s">
        <v>74</v>
      </c>
    </row>
    <row r="23" spans="1:60" ht="58" x14ac:dyDescent="0.35">
      <c r="A23" s="14" t="s">
        <v>113</v>
      </c>
      <c r="B23" s="14" t="s">
        <v>62</v>
      </c>
      <c r="C23" s="15">
        <v>44839.356249999997</v>
      </c>
      <c r="D23" s="14" t="s">
        <v>63</v>
      </c>
      <c r="E23" s="16" t="s">
        <v>64</v>
      </c>
      <c r="F23" s="14" t="s">
        <v>65</v>
      </c>
      <c r="G23" s="16" t="s">
        <v>66</v>
      </c>
      <c r="H23" s="14" t="s">
        <v>67</v>
      </c>
      <c r="I23" s="16" t="s">
        <v>68</v>
      </c>
      <c r="J23" s="16" t="s">
        <v>69</v>
      </c>
      <c r="K23" s="16" t="s">
        <v>70</v>
      </c>
      <c r="L23" s="14" t="s">
        <v>109</v>
      </c>
      <c r="M23" s="16" t="s">
        <v>110</v>
      </c>
      <c r="N23" s="14" t="s">
        <v>111</v>
      </c>
      <c r="O23" s="16" t="s">
        <v>74</v>
      </c>
      <c r="P23" s="16" t="s">
        <v>74</v>
      </c>
      <c r="Q23" s="16" t="s">
        <v>166</v>
      </c>
      <c r="R23" s="14" t="s">
        <v>167</v>
      </c>
      <c r="S23" s="14" t="s">
        <v>120</v>
      </c>
      <c r="T23" s="14" t="s">
        <v>145</v>
      </c>
      <c r="U23" s="14" t="s">
        <v>117</v>
      </c>
      <c r="V23" s="15">
        <v>44678</v>
      </c>
      <c r="W23" s="15"/>
      <c r="X23" s="16" t="s">
        <v>74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7"/>
      <c r="AP23" s="18"/>
      <c r="AQ23" s="17"/>
      <c r="AR23" s="18"/>
      <c r="AS23" s="17"/>
      <c r="AT23" s="18"/>
      <c r="AU23" s="17"/>
      <c r="AV23" s="18"/>
      <c r="AW23" s="17"/>
      <c r="AX23" s="18"/>
      <c r="AY23" s="17"/>
      <c r="AZ23" s="18"/>
      <c r="BA23" s="17"/>
      <c r="BB23" s="18"/>
      <c r="BC23" s="17"/>
      <c r="BD23" s="18"/>
      <c r="BE23" s="17"/>
      <c r="BF23" s="18"/>
      <c r="BG23" s="14" t="s">
        <v>74</v>
      </c>
      <c r="BH23" s="16" t="s">
        <v>74</v>
      </c>
    </row>
    <row r="24" spans="1:60" ht="130.5" x14ac:dyDescent="0.35">
      <c r="A24" s="14" t="s">
        <v>61</v>
      </c>
      <c r="B24" s="14" t="s">
        <v>62</v>
      </c>
      <c r="C24" s="15">
        <v>44510.484027777777</v>
      </c>
      <c r="D24" s="14" t="s">
        <v>63</v>
      </c>
      <c r="E24" s="16" t="s">
        <v>64</v>
      </c>
      <c r="F24" s="14" t="s">
        <v>65</v>
      </c>
      <c r="G24" s="16" t="s">
        <v>66</v>
      </c>
      <c r="H24" s="14" t="s">
        <v>67</v>
      </c>
      <c r="I24" s="16" t="s">
        <v>68</v>
      </c>
      <c r="J24" s="16" t="s">
        <v>69</v>
      </c>
      <c r="K24" s="16" t="s">
        <v>70</v>
      </c>
      <c r="L24" s="14" t="s">
        <v>71</v>
      </c>
      <c r="M24" s="16" t="s">
        <v>72</v>
      </c>
      <c r="N24" s="14" t="s">
        <v>73</v>
      </c>
      <c r="O24" s="16" t="s">
        <v>74</v>
      </c>
      <c r="P24" s="16" t="s">
        <v>74</v>
      </c>
      <c r="Q24" s="16" t="s">
        <v>168</v>
      </c>
      <c r="R24" s="14" t="s">
        <v>169</v>
      </c>
      <c r="S24" s="14" t="s">
        <v>120</v>
      </c>
      <c r="T24" s="14" t="s">
        <v>145</v>
      </c>
      <c r="U24" s="14" t="s">
        <v>79</v>
      </c>
      <c r="V24" s="15">
        <v>44449</v>
      </c>
      <c r="W24" s="15"/>
      <c r="X24" s="16" t="s">
        <v>170</v>
      </c>
      <c r="Y24" s="17" t="s">
        <v>171</v>
      </c>
      <c r="Z24" s="18" t="str">
        <f>VLOOKUP(Y24,'Axe 2 Règles de gestion'!$D$2:$F$125,3, FALSE)</f>
        <v>L'agent doit effectuer une demande auprès de son chef de service.</v>
      </c>
      <c r="AA24" s="17" t="s">
        <v>172</v>
      </c>
      <c r="AB24" s="18" t="str">
        <f>VLOOKUP(AA24,'Axe 2 Règles de gestion'!$D$2:$F$125,3, FALSE)</f>
        <v>L'agent ne doit pas avoir fait l'objet d'une condamnation définitive pour crime ou délit dans les cas et conditions légalement prévus.</v>
      </c>
      <c r="AC24" s="17" t="s">
        <v>173</v>
      </c>
      <c r="AD24" s="18" t="str">
        <f>VLOOKUP(AC24,'Axe 2 Règles de gestion'!$D$2:$F$125,3, FALSE)</f>
        <v>Le congé est accordé sous réserve des nécessités de service.</v>
      </c>
      <c r="AE24" s="17"/>
      <c r="AF24" s="18"/>
      <c r="AG24" s="17" t="s">
        <v>174</v>
      </c>
      <c r="AH24" s="18" t="str">
        <f>VLOOKUP(AG24,'Axe 2 Règles de gestion'!$D$2:$F$125,3, FALSE)</f>
        <v>Le congé est accordé pour une durée maximale de 60 jours sur une période de 12 mois consécutifs.</v>
      </c>
      <c r="AI24" s="17" t="s">
        <v>175</v>
      </c>
      <c r="AJ24" s="18" t="str">
        <f>VLOOKUP(AI24,'Axe 2 Règles de gestion'!$D$2:$F$125,3, FALSE)</f>
        <v>L'agent doit être en activité.</v>
      </c>
      <c r="AK24" s="17" t="s">
        <v>128</v>
      </c>
      <c r="AL24" s="18" t="str">
        <f>VLOOKUP(AK24,'Axe 2 Règles de gestion'!$D$2:$F$125,3, FALSE)</f>
        <v>La date de début du congé/absence doit être postérieure ou égale à la date de début du lien juridique.</v>
      </c>
      <c r="AM24" s="17" t="s">
        <v>93</v>
      </c>
      <c r="AN24" s="18" t="str">
        <f>VLOOKUP(AM24,'Axe 2 Règles de gestion'!$D$2:$F$125,3, FALSE)</f>
        <v>La date de début du congé/absence doit être antérieure ou égale à la date de fin réelle du congé/absence.</v>
      </c>
      <c r="AO24" s="17" t="s">
        <v>95</v>
      </c>
      <c r="AP24" s="18" t="str">
        <f>VLOOKUP(AO24,'Axe 2 Règles de gestion'!$D$2:$F$125,3, FALSE)</f>
        <v>La date de début du congé/absence doit être antérieure ou égale à la date de fin prévisionnelle du congé/absence.</v>
      </c>
      <c r="AQ24" s="17" t="s">
        <v>130</v>
      </c>
      <c r="AR24" s="18" t="str">
        <f>VLOOKUP(AQ24,'Axe 2 Règles de gestion'!$D$2:$F$125,3, FALSE)</f>
        <v>La date de fin réelle du congé/absence doit être antérieure ou égale à la date limite de fin réelle ou prévisionnelle du lien juridique.</v>
      </c>
      <c r="AS24" s="17" t="s">
        <v>132</v>
      </c>
      <c r="AT24" s="18" t="str">
        <f>VLOOKUP(AS24,'Axe 2 Règles de gestion'!$D$2:$F$125,3, FALSE)</f>
        <v>La date de fin prévisionnelle du congé/absence doit être antérieure ou égale à la date limite de fin réelle ou prévisionnelle du lien juridique.</v>
      </c>
      <c r="AU24" s="17" t="s">
        <v>97</v>
      </c>
      <c r="AV24" s="18" t="str">
        <f>VLOOKUP(AU24,'Axe 2 Règles de gestion'!$D$2:$F$125,3, FALSE)</f>
        <v>La date de fin réelle du congé/absence doit être antérieure à la date limite de départ à la retraite.</v>
      </c>
      <c r="AW24" s="17" t="s">
        <v>99</v>
      </c>
      <c r="AX24" s="18" t="str">
        <f>VLOOKUP(AW24,'Axe 2 Règles de gestion'!$D$2:$F$125,3, FALSE)</f>
        <v>La date de fin prévisionnelle du congé/absence doit être antérieure à la date limite de départ à la retraite.</v>
      </c>
      <c r="AY24" s="17" t="s">
        <v>101</v>
      </c>
      <c r="AZ24" s="18" t="str">
        <f>VLOOKUP(AY24,'Axe 2 Règles de gestion'!$D$2:$F$125,3, FALSE)</f>
        <v>La date de fin réelle ou la date de fin prévisionnelle du congé/absence doit être saisie.</v>
      </c>
      <c r="BA24" s="17" t="s">
        <v>103</v>
      </c>
      <c r="BB24" s="18" t="str">
        <f>VLOOKUP(BA24,'Axe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C24" s="17" t="s">
        <v>105</v>
      </c>
      <c r="BD24" s="18" t="str">
        <f>VLOOKUP(BC24,'Axe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E24" s="17" t="s">
        <v>107</v>
      </c>
      <c r="BF24" s="18" t="str">
        <f>VLOOKUP(BE24,'Axe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24" s="14" t="s">
        <v>74</v>
      </c>
      <c r="BH24" s="16" t="s">
        <v>74</v>
      </c>
    </row>
    <row r="25" spans="1:60" ht="116" x14ac:dyDescent="0.35">
      <c r="A25" s="14" t="s">
        <v>61</v>
      </c>
      <c r="B25" s="14" t="s">
        <v>62</v>
      </c>
      <c r="C25" s="15">
        <v>44839.387499999997</v>
      </c>
      <c r="D25" s="14" t="s">
        <v>63</v>
      </c>
      <c r="E25" s="16" t="s">
        <v>64</v>
      </c>
      <c r="F25" s="14" t="s">
        <v>65</v>
      </c>
      <c r="G25" s="16" t="s">
        <v>66</v>
      </c>
      <c r="H25" s="14" t="s">
        <v>67</v>
      </c>
      <c r="I25" s="16" t="s">
        <v>68</v>
      </c>
      <c r="J25" s="16" t="s">
        <v>69</v>
      </c>
      <c r="K25" s="16" t="s">
        <v>70</v>
      </c>
      <c r="L25" s="14" t="s">
        <v>109</v>
      </c>
      <c r="M25" s="16" t="s">
        <v>110</v>
      </c>
      <c r="N25" s="14" t="s">
        <v>111</v>
      </c>
      <c r="O25" s="16" t="s">
        <v>74</v>
      </c>
      <c r="P25" s="16" t="s">
        <v>74</v>
      </c>
      <c r="Q25" s="16" t="s">
        <v>168</v>
      </c>
      <c r="R25" s="14" t="s">
        <v>169</v>
      </c>
      <c r="S25" s="14" t="s">
        <v>120</v>
      </c>
      <c r="T25" s="14" t="s">
        <v>145</v>
      </c>
      <c r="U25" s="14" t="s">
        <v>79</v>
      </c>
      <c r="V25" s="15">
        <v>44449</v>
      </c>
      <c r="W25" s="15"/>
      <c r="X25" s="16" t="s">
        <v>176</v>
      </c>
      <c r="Y25" s="17"/>
      <c r="Z25" s="18"/>
      <c r="AA25" s="17"/>
      <c r="AB25" s="18"/>
      <c r="AC25" s="17"/>
      <c r="AD25" s="18"/>
      <c r="AE25" s="17"/>
      <c r="AF25" s="18"/>
      <c r="AG25" s="17" t="s">
        <v>174</v>
      </c>
      <c r="AH25" s="18" t="str">
        <f>VLOOKUP(AG25,'Axe 2 Règles de gestion'!$D$2:$F$125,3, FALSE)</f>
        <v>Le congé est accordé pour une durée maximale de 60 jours sur une période de 12 mois consécutifs.</v>
      </c>
      <c r="AI25" s="17"/>
      <c r="AJ25" s="18"/>
      <c r="AK25" s="17" t="s">
        <v>93</v>
      </c>
      <c r="AL25" s="18" t="str">
        <f>VLOOKUP(AK25,'Axe 2 Règles de gestion'!$D$2:$F$125,3, FALSE)</f>
        <v>La date de début du congé/absence doit être antérieure ou égale à la date de fin réelle du congé/absence.</v>
      </c>
      <c r="AM25" s="17" t="s">
        <v>95</v>
      </c>
      <c r="AN25" s="18" t="str">
        <f>VLOOKUP(AM25,'Axe 2 Règles de gestion'!$D$2:$F$125,3, FALSE)</f>
        <v>La date de début du congé/absence doit être antérieure ou égale à la date de fin prévisionnelle du congé/absence.</v>
      </c>
      <c r="AO25" s="17" t="s">
        <v>130</v>
      </c>
      <c r="AP25" s="18" t="str">
        <f>VLOOKUP(AO25,'Axe 2 Règles de gestion'!$D$2:$F$125,3, FALSE)</f>
        <v>La date de fin réelle du congé/absence doit être antérieure ou égale à la date limite de fin réelle ou prévisionnelle du lien juridique.</v>
      </c>
      <c r="AQ25" s="17" t="s">
        <v>132</v>
      </c>
      <c r="AR25" s="18" t="str">
        <f>VLOOKUP(AQ25,'Axe 2 Règles de gestion'!$D$2:$F$125,3, FALSE)</f>
        <v>La date de fin prévisionnelle du congé/absence doit être antérieure ou égale à la date limite de fin réelle ou prévisionnelle du lien juridique.</v>
      </c>
      <c r="AS25" s="17" t="s">
        <v>97</v>
      </c>
      <c r="AT25" s="18" t="str">
        <f>VLOOKUP(AS25,'Axe 2 Règles de gestion'!$D$2:$F$125,3, FALSE)</f>
        <v>La date de fin réelle du congé/absence doit être antérieure à la date limite de départ à la retraite.</v>
      </c>
      <c r="AU25" s="17" t="s">
        <v>99</v>
      </c>
      <c r="AV25" s="18" t="str">
        <f>VLOOKUP(AU25,'Axe 2 Règles de gestion'!$D$2:$F$125,3, FALSE)</f>
        <v>La date de fin prévisionnelle du congé/absence doit être antérieure à la date limite de départ à la retraite.</v>
      </c>
      <c r="AW25" s="17" t="s">
        <v>101</v>
      </c>
      <c r="AX25" s="18" t="str">
        <f>VLOOKUP(AW25,'Axe 2 Règles de gestion'!$D$2:$F$125,3, FALSE)</f>
        <v>La date de fin réelle ou la date de fin prévisionnelle du congé/absence doit être saisie.</v>
      </c>
      <c r="AY25" s="17" t="s">
        <v>107</v>
      </c>
      <c r="AZ25" s="18" t="str">
        <f>VLOOKUP(AY25,'Axe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A25" s="17"/>
      <c r="BB25" s="18"/>
      <c r="BC25" s="17"/>
      <c r="BD25" s="18"/>
      <c r="BE25" s="17"/>
      <c r="BF25" s="18"/>
      <c r="BG25" s="14" t="s">
        <v>74</v>
      </c>
      <c r="BH25" s="16" t="s">
        <v>74</v>
      </c>
    </row>
    <row r="26" spans="1:60" ht="130.5" x14ac:dyDescent="0.35">
      <c r="A26" s="14" t="s">
        <v>113</v>
      </c>
      <c r="B26" s="14" t="s">
        <v>62</v>
      </c>
      <c r="C26" s="15">
        <v>44852.402777777781</v>
      </c>
      <c r="D26" s="14" t="s">
        <v>63</v>
      </c>
      <c r="E26" s="16" t="s">
        <v>64</v>
      </c>
      <c r="F26" s="14" t="s">
        <v>65</v>
      </c>
      <c r="G26" s="16" t="s">
        <v>66</v>
      </c>
      <c r="H26" s="14" t="s">
        <v>177</v>
      </c>
      <c r="I26" s="16" t="s">
        <v>178</v>
      </c>
      <c r="J26" s="16" t="s">
        <v>179</v>
      </c>
      <c r="K26" s="16" t="s">
        <v>180</v>
      </c>
      <c r="L26" s="14" t="s">
        <v>181</v>
      </c>
      <c r="M26" s="16" t="s">
        <v>182</v>
      </c>
      <c r="N26" s="14" t="s">
        <v>73</v>
      </c>
      <c r="O26" s="16" t="s">
        <v>74</v>
      </c>
      <c r="P26" s="16" t="s">
        <v>74</v>
      </c>
      <c r="Q26" s="16" t="s">
        <v>75</v>
      </c>
      <c r="R26" s="14" t="s">
        <v>76</v>
      </c>
      <c r="S26" s="14" t="s">
        <v>77</v>
      </c>
      <c r="T26" s="14" t="s">
        <v>78</v>
      </c>
      <c r="U26" s="14" t="s">
        <v>79</v>
      </c>
      <c r="V26" s="15">
        <v>40725</v>
      </c>
      <c r="W26" s="15"/>
      <c r="X26" s="16" t="s">
        <v>183</v>
      </c>
      <c r="Y26" s="17" t="s">
        <v>184</v>
      </c>
      <c r="Z26" s="18" t="str">
        <f>VLOOKUP(Y26,'Axe 2 Règles de gestion'!$D$2:$F$125,3, FALSE)</f>
        <v>La demande de l'agent doit être faite 1 mois au moins avant le début de l'absence.</v>
      </c>
      <c r="AA26" s="17" t="s">
        <v>186</v>
      </c>
      <c r="AB26" s="18" t="str">
        <f>VLOOKUP(AA26,'Axe 2 Règles de gestion'!$D$2:$F$125,3, FALSE)</f>
        <v>L'accord de l'administration est nécessaire dès que l'agent dépasse 5 jours d'absence par année civile sauf s'il suit une formation professionnelle pendant son absence.</v>
      </c>
      <c r="AC26" s="17"/>
      <c r="AD26" s="18"/>
      <c r="AE26" s="17"/>
      <c r="AF26" s="18"/>
      <c r="AG26" s="17" t="s">
        <v>188</v>
      </c>
      <c r="AH26" s="18" t="str">
        <f>VLOOKUP(AG26,'Axe 2 Règles de gestion'!$D$2:$F$125,3, FALSE)</f>
        <v>La durée du congé doit être inférieure ou égale à 30 jours cumulés par année civile.</v>
      </c>
      <c r="AI26" s="17" t="s">
        <v>190</v>
      </c>
      <c r="AJ26" s="18" t="str">
        <f>VLOOKUP(AI26,'Axe 2 Règles de gestion'!$D$2:$F$125,3, FALSE)</f>
        <v>L'agent doit être en activité.</v>
      </c>
      <c r="AK26" s="17" t="s">
        <v>91</v>
      </c>
      <c r="AL26" s="18" t="str">
        <f>VLOOKUP(AK26,'Axe 2 Règles de gestion'!$D$2:$F$125,3, FALSE)</f>
        <v>La date de début du congé/absence doit être postérieure ou égale à la date de recrutement dans la FPE ou dans la carrière militaire.</v>
      </c>
      <c r="AM26" s="17" t="s">
        <v>93</v>
      </c>
      <c r="AN26" s="18" t="str">
        <f>VLOOKUP(AM26,'Axe 2 Règles de gestion'!$D$2:$F$125,3, FALSE)</f>
        <v>La date de début du congé/absence doit être antérieure ou égale à la date de fin réelle du congé/absence.</v>
      </c>
      <c r="AO26" s="17" t="s">
        <v>95</v>
      </c>
      <c r="AP26" s="18" t="str">
        <f>VLOOKUP(AO26,'Axe 2 Règles de gestion'!$D$2:$F$125,3, FALSE)</f>
        <v>La date de début du congé/absence doit être antérieure ou égale à la date de fin prévisionnelle du congé/absence.</v>
      </c>
      <c r="AQ26" s="17" t="s">
        <v>97</v>
      </c>
      <c r="AR26" s="18" t="str">
        <f>VLOOKUP(AQ26,'Axe 2 Règles de gestion'!$D$2:$F$125,3, FALSE)</f>
        <v>La date de fin réelle du congé/absence doit être antérieure à la date limite de départ à la retraite.</v>
      </c>
      <c r="AS26" s="17" t="s">
        <v>99</v>
      </c>
      <c r="AT26" s="18" t="str">
        <f>VLOOKUP(AS26,'Axe 2 Règles de gestion'!$D$2:$F$125,3, FALSE)</f>
        <v>La date de fin prévisionnelle du congé/absence doit être antérieure à la date limite de départ à la retraite.</v>
      </c>
      <c r="AU26" s="17" t="s">
        <v>101</v>
      </c>
      <c r="AV26" s="18" t="str">
        <f>VLOOKUP(AU26,'Axe 2 Règles de gestion'!$D$2:$F$125,3, FALSE)</f>
        <v>La date de fin réelle ou la date de fin prévisionnelle du congé/absence doit être saisie.</v>
      </c>
      <c r="AW26" s="17" t="s">
        <v>103</v>
      </c>
      <c r="AX26" s="18" t="str">
        <f>VLOOKUP(AW26,'Axe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26" s="17" t="s">
        <v>105</v>
      </c>
      <c r="AZ26" s="18" t="str">
        <f>VLOOKUP(AY26,'Axe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26" s="17" t="s">
        <v>107</v>
      </c>
      <c r="BB26" s="18" t="str">
        <f>VLOOKUP(BA26,'Axe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26" s="17"/>
      <c r="BD26" s="18"/>
      <c r="BE26" s="17"/>
      <c r="BF26" s="18"/>
      <c r="BG26" s="14" t="s">
        <v>74</v>
      </c>
      <c r="BH26" s="16" t="s">
        <v>74</v>
      </c>
    </row>
    <row r="27" spans="1:60" ht="116" x14ac:dyDescent="0.35">
      <c r="A27" s="14" t="s">
        <v>113</v>
      </c>
      <c r="B27" s="14" t="s">
        <v>62</v>
      </c>
      <c r="C27" s="15">
        <v>44852.463888888888</v>
      </c>
      <c r="D27" s="14" t="s">
        <v>63</v>
      </c>
      <c r="E27" s="16" t="s">
        <v>64</v>
      </c>
      <c r="F27" s="14" t="s">
        <v>65</v>
      </c>
      <c r="G27" s="16" t="s">
        <v>66</v>
      </c>
      <c r="H27" s="14" t="s">
        <v>177</v>
      </c>
      <c r="I27" s="16" t="s">
        <v>178</v>
      </c>
      <c r="J27" s="16" t="s">
        <v>179</v>
      </c>
      <c r="K27" s="16" t="s">
        <v>180</v>
      </c>
      <c r="L27" s="14" t="s">
        <v>191</v>
      </c>
      <c r="M27" s="16" t="s">
        <v>192</v>
      </c>
      <c r="N27" s="14" t="s">
        <v>111</v>
      </c>
      <c r="O27" s="16" t="s">
        <v>74</v>
      </c>
      <c r="P27" s="16" t="s">
        <v>74</v>
      </c>
      <c r="Q27" s="16" t="s">
        <v>75</v>
      </c>
      <c r="R27" s="14" t="s">
        <v>76</v>
      </c>
      <c r="S27" s="14" t="s">
        <v>77</v>
      </c>
      <c r="T27" s="14" t="s">
        <v>78</v>
      </c>
      <c r="U27" s="14" t="s">
        <v>79</v>
      </c>
      <c r="V27" s="15">
        <v>40725</v>
      </c>
      <c r="W27" s="15"/>
      <c r="X27" s="16" t="s">
        <v>193</v>
      </c>
      <c r="Y27" s="17"/>
      <c r="Z27" s="18"/>
      <c r="AA27" s="17"/>
      <c r="AB27" s="18"/>
      <c r="AC27" s="17"/>
      <c r="AD27" s="18"/>
      <c r="AE27" s="17"/>
      <c r="AF27" s="18"/>
      <c r="AG27" s="17" t="s">
        <v>188</v>
      </c>
      <c r="AH27" s="18" t="str">
        <f>VLOOKUP(AG27,'Axe 2 Règles de gestion'!$D$2:$F$125,3, FALSE)</f>
        <v>La durée du congé doit être inférieure ou égale à 30 jours cumulés par année civile.</v>
      </c>
      <c r="AI27" s="17" t="s">
        <v>190</v>
      </c>
      <c r="AJ27" s="18" t="str">
        <f>VLOOKUP(AI27,'Axe 2 Règles de gestion'!$D$2:$F$125,3, FALSE)</f>
        <v>L'agent doit être en activité.</v>
      </c>
      <c r="AK27" s="17" t="s">
        <v>93</v>
      </c>
      <c r="AL27" s="18" t="str">
        <f>VLOOKUP(AK27,'Axe 2 Règles de gestion'!$D$2:$F$125,3, FALSE)</f>
        <v>La date de début du congé/absence doit être antérieure ou égale à la date de fin réelle du congé/absence.</v>
      </c>
      <c r="AM27" s="17" t="s">
        <v>95</v>
      </c>
      <c r="AN27" s="18" t="str">
        <f>VLOOKUP(AM27,'Axe 2 Règles de gestion'!$D$2:$F$125,3, FALSE)</f>
        <v>La date de début du congé/absence doit être antérieure ou égale à la date de fin prévisionnelle du congé/absence.</v>
      </c>
      <c r="AO27" s="17" t="s">
        <v>97</v>
      </c>
      <c r="AP27" s="18" t="str">
        <f>VLOOKUP(AO27,'Axe 2 Règles de gestion'!$D$2:$F$125,3, FALSE)</f>
        <v>La date de fin réelle du congé/absence doit être antérieure à la date limite de départ à la retraite.</v>
      </c>
      <c r="AQ27" s="17" t="s">
        <v>99</v>
      </c>
      <c r="AR27" s="18" t="str">
        <f>VLOOKUP(AQ27,'Axe 2 Règles de gestion'!$D$2:$F$125,3, FALSE)</f>
        <v>La date de fin prévisionnelle du congé/absence doit être antérieure à la date limite de départ à la retraite.</v>
      </c>
      <c r="AS27" s="17" t="s">
        <v>101</v>
      </c>
      <c r="AT27" s="18" t="str">
        <f>VLOOKUP(AS27,'Axe 2 Règles de gestion'!$D$2:$F$125,3, FALSE)</f>
        <v>La date de fin réelle ou la date de fin prévisionnelle du congé/absence doit être saisie.</v>
      </c>
      <c r="AU27" s="17" t="s">
        <v>107</v>
      </c>
      <c r="AV27" s="18" t="str">
        <f>VLOOKUP(AU27,'Axe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27" s="17"/>
      <c r="AX27" s="18"/>
      <c r="AY27" s="17"/>
      <c r="AZ27" s="18"/>
      <c r="BA27" s="17"/>
      <c r="BB27" s="18"/>
      <c r="BC27" s="17"/>
      <c r="BD27" s="18"/>
      <c r="BE27" s="17"/>
      <c r="BF27" s="18"/>
      <c r="BG27" s="14" t="s">
        <v>74</v>
      </c>
      <c r="BH27" s="16" t="s">
        <v>74</v>
      </c>
    </row>
    <row r="28" spans="1:60" ht="43.5" x14ac:dyDescent="0.35">
      <c r="A28" s="14" t="s">
        <v>113</v>
      </c>
      <c r="B28" s="14" t="s">
        <v>62</v>
      </c>
      <c r="C28" s="15">
        <v>44886.494444444441</v>
      </c>
      <c r="D28" s="14" t="s">
        <v>63</v>
      </c>
      <c r="E28" s="16" t="s">
        <v>64</v>
      </c>
      <c r="F28" s="14" t="s">
        <v>65</v>
      </c>
      <c r="G28" s="16" t="s">
        <v>66</v>
      </c>
      <c r="H28" s="14" t="s">
        <v>177</v>
      </c>
      <c r="I28" s="16" t="s">
        <v>178</v>
      </c>
      <c r="J28" s="16" t="s">
        <v>179</v>
      </c>
      <c r="K28" s="16" t="s">
        <v>180</v>
      </c>
      <c r="L28" s="14" t="s">
        <v>181</v>
      </c>
      <c r="M28" s="16" t="s">
        <v>182</v>
      </c>
      <c r="N28" s="14" t="s">
        <v>73</v>
      </c>
      <c r="O28" s="16" t="s">
        <v>74</v>
      </c>
      <c r="P28" s="16" t="s">
        <v>74</v>
      </c>
      <c r="Q28" s="16" t="s">
        <v>114</v>
      </c>
      <c r="R28" s="14" t="s">
        <v>115</v>
      </c>
      <c r="S28" s="14" t="s">
        <v>116</v>
      </c>
      <c r="T28" s="14" t="s">
        <v>78</v>
      </c>
      <c r="U28" s="14" t="s">
        <v>117</v>
      </c>
      <c r="V28" s="15">
        <v>43831</v>
      </c>
      <c r="W28" s="15"/>
      <c r="X28" s="16" t="s">
        <v>74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7"/>
      <c r="AP28" s="18"/>
      <c r="AQ28" s="17"/>
      <c r="AR28" s="18"/>
      <c r="AS28" s="17"/>
      <c r="AT28" s="18"/>
      <c r="AU28" s="17"/>
      <c r="AV28" s="18"/>
      <c r="AW28" s="17"/>
      <c r="AX28" s="18"/>
      <c r="AY28" s="17"/>
      <c r="AZ28" s="18"/>
      <c r="BA28" s="17"/>
      <c r="BB28" s="18"/>
      <c r="BC28" s="17"/>
      <c r="BD28" s="18"/>
      <c r="BE28" s="17"/>
      <c r="BF28" s="18"/>
      <c r="BG28" s="14" t="s">
        <v>74</v>
      </c>
      <c r="BH28" s="16" t="s">
        <v>74</v>
      </c>
    </row>
    <row r="29" spans="1:60" ht="43.5" x14ac:dyDescent="0.35">
      <c r="A29" s="14" t="s">
        <v>113</v>
      </c>
      <c r="B29" s="14" t="s">
        <v>62</v>
      </c>
      <c r="C29" s="15">
        <v>44886.494444444441</v>
      </c>
      <c r="D29" s="14" t="s">
        <v>63</v>
      </c>
      <c r="E29" s="16" t="s">
        <v>64</v>
      </c>
      <c r="F29" s="14" t="s">
        <v>65</v>
      </c>
      <c r="G29" s="16" t="s">
        <v>66</v>
      </c>
      <c r="H29" s="14" t="s">
        <v>177</v>
      </c>
      <c r="I29" s="16" t="s">
        <v>178</v>
      </c>
      <c r="J29" s="16" t="s">
        <v>179</v>
      </c>
      <c r="K29" s="16" t="s">
        <v>180</v>
      </c>
      <c r="L29" s="14" t="s">
        <v>191</v>
      </c>
      <c r="M29" s="16" t="s">
        <v>192</v>
      </c>
      <c r="N29" s="14" t="s">
        <v>111</v>
      </c>
      <c r="O29" s="16" t="s">
        <v>74</v>
      </c>
      <c r="P29" s="16" t="s">
        <v>74</v>
      </c>
      <c r="Q29" s="16" t="s">
        <v>114</v>
      </c>
      <c r="R29" s="14" t="s">
        <v>115</v>
      </c>
      <c r="S29" s="14" t="s">
        <v>116</v>
      </c>
      <c r="T29" s="14" t="s">
        <v>78</v>
      </c>
      <c r="U29" s="14" t="s">
        <v>117</v>
      </c>
      <c r="V29" s="15">
        <v>43831</v>
      </c>
      <c r="W29" s="15"/>
      <c r="X29" s="16" t="s">
        <v>74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7"/>
      <c r="AP29" s="18"/>
      <c r="AQ29" s="17"/>
      <c r="AR29" s="18"/>
      <c r="AS29" s="17"/>
      <c r="AT29" s="18"/>
      <c r="AU29" s="17"/>
      <c r="AV29" s="18"/>
      <c r="AW29" s="17"/>
      <c r="AX29" s="18"/>
      <c r="AY29" s="17"/>
      <c r="AZ29" s="18"/>
      <c r="BA29" s="17"/>
      <c r="BB29" s="18"/>
      <c r="BC29" s="17"/>
      <c r="BD29" s="18"/>
      <c r="BE29" s="17"/>
      <c r="BF29" s="18"/>
      <c r="BG29" s="14" t="s">
        <v>74</v>
      </c>
      <c r="BH29" s="16" t="s">
        <v>74</v>
      </c>
    </row>
    <row r="30" spans="1:60" ht="130.5" x14ac:dyDescent="0.35">
      <c r="A30" s="14" t="s">
        <v>113</v>
      </c>
      <c r="B30" s="14" t="s">
        <v>116</v>
      </c>
      <c r="C30" s="15">
        <v>44855.435416666667</v>
      </c>
      <c r="D30" s="14" t="s">
        <v>63</v>
      </c>
      <c r="E30" s="16" t="s">
        <v>64</v>
      </c>
      <c r="F30" s="14" t="s">
        <v>65</v>
      </c>
      <c r="G30" s="16" t="s">
        <v>66</v>
      </c>
      <c r="H30" s="14" t="s">
        <v>177</v>
      </c>
      <c r="I30" s="16" t="s">
        <v>178</v>
      </c>
      <c r="J30" s="16" t="s">
        <v>179</v>
      </c>
      <c r="K30" s="16" t="s">
        <v>180</v>
      </c>
      <c r="L30" s="14" t="s">
        <v>181</v>
      </c>
      <c r="M30" s="16" t="s">
        <v>182</v>
      </c>
      <c r="N30" s="14" t="s">
        <v>73</v>
      </c>
      <c r="O30" s="16" t="s">
        <v>74</v>
      </c>
      <c r="P30" s="16" t="s">
        <v>74</v>
      </c>
      <c r="Q30" s="16" t="s">
        <v>118</v>
      </c>
      <c r="R30" s="14" t="s">
        <v>119</v>
      </c>
      <c r="S30" s="14" t="s">
        <v>120</v>
      </c>
      <c r="T30" s="14" t="s">
        <v>78</v>
      </c>
      <c r="U30" s="14" t="s">
        <v>79</v>
      </c>
      <c r="V30" s="15">
        <v>40725</v>
      </c>
      <c r="W30" s="15"/>
      <c r="X30" s="16" t="s">
        <v>194</v>
      </c>
      <c r="Y30" s="17"/>
      <c r="Z30" s="18"/>
      <c r="AA30" s="17"/>
      <c r="AB30" s="18"/>
      <c r="AC30" s="17"/>
      <c r="AD30" s="18"/>
      <c r="AE30" s="17"/>
      <c r="AF30" s="18"/>
      <c r="AG30" s="17" t="s">
        <v>195</v>
      </c>
      <c r="AH30" s="18" t="str">
        <f>VLOOKUP(AG30,'Axe 2 Règles de gestion'!$D$2:$F$125,3, FALSE)</f>
        <v>L'agent doit être en activité.</v>
      </c>
      <c r="AI30" s="17"/>
      <c r="AJ30" s="18"/>
      <c r="AK30" s="17" t="s">
        <v>128</v>
      </c>
      <c r="AL30" s="18" t="str">
        <f>VLOOKUP(AK30,'Axe 2 Règles de gestion'!$D$2:$F$125,3, FALSE)</f>
        <v>La date de début du congé/absence doit être postérieure ou égale à la date de début du lien juridique.</v>
      </c>
      <c r="AM30" s="17" t="s">
        <v>95</v>
      </c>
      <c r="AN30" s="18" t="str">
        <f>VLOOKUP(AM30,'Axe 2 Règles de gestion'!$D$2:$F$125,3, FALSE)</f>
        <v>La date de début du congé/absence doit être antérieure ou égale à la date de fin prévisionnelle du congé/absence.</v>
      </c>
      <c r="AO30" s="17" t="s">
        <v>93</v>
      </c>
      <c r="AP30" s="18" t="str">
        <f>VLOOKUP(AO30,'Axe 2 Règles de gestion'!$D$2:$F$125,3, FALSE)</f>
        <v>La date de début du congé/absence doit être antérieure ou égale à la date de fin réelle du congé/absence.</v>
      </c>
      <c r="AQ30" s="17" t="s">
        <v>97</v>
      </c>
      <c r="AR30" s="18" t="str">
        <f>VLOOKUP(AQ30,'Axe 2 Règles de gestion'!$D$2:$F$125,3, FALSE)</f>
        <v>La date de fin réelle du congé/absence doit être antérieure à la date limite de départ à la retraite.</v>
      </c>
      <c r="AS30" s="17" t="s">
        <v>99</v>
      </c>
      <c r="AT30" s="18" t="str">
        <f>VLOOKUP(AS30,'Axe 2 Règles de gestion'!$D$2:$F$125,3, FALSE)</f>
        <v>La date de fin prévisionnelle du congé/absence doit être antérieure à la date limite de départ à la retraite.</v>
      </c>
      <c r="AU30" s="17" t="s">
        <v>130</v>
      </c>
      <c r="AV30" s="18" t="str">
        <f>VLOOKUP(AU30,'Axe 2 Règles de gestion'!$D$2:$F$125,3, FALSE)</f>
        <v>La date de fin réelle du congé/absence doit être antérieure ou égale à la date limite de fin réelle ou prévisionnelle du lien juridique.</v>
      </c>
      <c r="AW30" s="17" t="s">
        <v>132</v>
      </c>
      <c r="AX30" s="18" t="str">
        <f>VLOOKUP(AW30,'Axe 2 Règles de gestion'!$D$2:$F$125,3, FALSE)</f>
        <v>La date de fin prévisionnelle du congé/absence doit être antérieure ou égale à la date limite de fin réelle ou prévisionnelle du lien juridique.</v>
      </c>
      <c r="AY30" s="17" t="s">
        <v>103</v>
      </c>
      <c r="AZ30" s="18" t="str">
        <f>VLOOKUP(AY30,'Axe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30" s="17" t="s">
        <v>105</v>
      </c>
      <c r="BB30" s="18" t="str">
        <f>VLOOKUP(BA30,'Axe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30" s="17" t="s">
        <v>101</v>
      </c>
      <c r="BD30" s="18" t="str">
        <f>VLOOKUP(BC30,'Axe 2 Règles de gestion'!$D$2:$F$125,3, FALSE)</f>
        <v>La date de fin réelle ou la date de fin prévisionnelle du congé/absence doit être saisie.</v>
      </c>
      <c r="BE30" s="17" t="s">
        <v>107</v>
      </c>
      <c r="BF30" s="18" t="str">
        <f>VLOOKUP(BE30,'Axe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30" s="14" t="s">
        <v>74</v>
      </c>
      <c r="BH30" s="16" t="s">
        <v>74</v>
      </c>
    </row>
    <row r="31" spans="1:60" ht="130.5" x14ac:dyDescent="0.35">
      <c r="A31" s="14" t="s">
        <v>113</v>
      </c>
      <c r="B31" s="14" t="s">
        <v>62</v>
      </c>
      <c r="C31" s="15">
        <v>44852.463888888888</v>
      </c>
      <c r="D31" s="14" t="s">
        <v>63</v>
      </c>
      <c r="E31" s="16" t="s">
        <v>64</v>
      </c>
      <c r="F31" s="14" t="s">
        <v>65</v>
      </c>
      <c r="G31" s="16" t="s">
        <v>66</v>
      </c>
      <c r="H31" s="14" t="s">
        <v>177</v>
      </c>
      <c r="I31" s="16" t="s">
        <v>178</v>
      </c>
      <c r="J31" s="16" t="s">
        <v>179</v>
      </c>
      <c r="K31" s="16" t="s">
        <v>180</v>
      </c>
      <c r="L31" s="14" t="s">
        <v>191</v>
      </c>
      <c r="M31" s="16" t="s">
        <v>192</v>
      </c>
      <c r="N31" s="14" t="s">
        <v>111</v>
      </c>
      <c r="O31" s="16" t="s">
        <v>74</v>
      </c>
      <c r="P31" s="16" t="s">
        <v>74</v>
      </c>
      <c r="Q31" s="16" t="s">
        <v>118</v>
      </c>
      <c r="R31" s="14" t="s">
        <v>119</v>
      </c>
      <c r="S31" s="14" t="s">
        <v>120</v>
      </c>
      <c r="T31" s="14" t="s">
        <v>78</v>
      </c>
      <c r="U31" s="14" t="s">
        <v>79</v>
      </c>
      <c r="V31" s="15">
        <v>40725</v>
      </c>
      <c r="W31" s="15"/>
      <c r="X31" s="16" t="s">
        <v>196</v>
      </c>
      <c r="Y31" s="17"/>
      <c r="Z31" s="18"/>
      <c r="AA31" s="17"/>
      <c r="AB31" s="18"/>
      <c r="AC31" s="17"/>
      <c r="AD31" s="18"/>
      <c r="AE31" s="17"/>
      <c r="AF31" s="18"/>
      <c r="AG31" s="17" t="s">
        <v>195</v>
      </c>
      <c r="AH31" s="18" t="str">
        <f>VLOOKUP(AG31,'Axe 2 Règles de gestion'!$D$2:$F$125,3, FALSE)</f>
        <v>L'agent doit être en activité.</v>
      </c>
      <c r="AI31" s="17"/>
      <c r="AJ31" s="18"/>
      <c r="AK31" s="17" t="s">
        <v>128</v>
      </c>
      <c r="AL31" s="18" t="str">
        <f>VLOOKUP(AK31,'Axe 2 Règles de gestion'!$D$2:$F$125,3, FALSE)</f>
        <v>La date de début du congé/absence doit être postérieure ou égale à la date de début du lien juridique.</v>
      </c>
      <c r="AM31" s="17" t="s">
        <v>93</v>
      </c>
      <c r="AN31" s="18" t="str">
        <f>VLOOKUP(AM31,'Axe 2 Règles de gestion'!$D$2:$F$125,3, FALSE)</f>
        <v>La date de début du congé/absence doit être antérieure ou égale à la date de fin réelle du congé/absence.</v>
      </c>
      <c r="AO31" s="17" t="s">
        <v>95</v>
      </c>
      <c r="AP31" s="18" t="str">
        <f>VLOOKUP(AO31,'Axe 2 Règles de gestion'!$D$2:$F$125,3, FALSE)</f>
        <v>La date de début du congé/absence doit être antérieure ou égale à la date de fin prévisionnelle du congé/absence.</v>
      </c>
      <c r="AQ31" s="17" t="s">
        <v>97</v>
      </c>
      <c r="AR31" s="18" t="str">
        <f>VLOOKUP(AQ31,'Axe 2 Règles de gestion'!$D$2:$F$125,3, FALSE)</f>
        <v>La date de fin réelle du congé/absence doit être antérieure à la date limite de départ à la retraite.</v>
      </c>
      <c r="AS31" s="17" t="s">
        <v>99</v>
      </c>
      <c r="AT31" s="18" t="str">
        <f>VLOOKUP(AS31,'Axe 2 Règles de gestion'!$D$2:$F$125,3, FALSE)</f>
        <v>La date de fin prévisionnelle du congé/absence doit être antérieure à la date limite de départ à la retraite.</v>
      </c>
      <c r="AU31" s="17" t="s">
        <v>130</v>
      </c>
      <c r="AV31" s="18" t="str">
        <f>VLOOKUP(AU31,'Axe 2 Règles de gestion'!$D$2:$F$125,3, FALSE)</f>
        <v>La date de fin réelle du congé/absence doit être antérieure ou égale à la date limite de fin réelle ou prévisionnelle du lien juridique.</v>
      </c>
      <c r="AW31" s="17" t="s">
        <v>132</v>
      </c>
      <c r="AX31" s="18" t="str">
        <f>VLOOKUP(AW31,'Axe 2 Règles de gestion'!$D$2:$F$125,3, FALSE)</f>
        <v>La date de fin prévisionnelle du congé/absence doit être antérieure ou égale à la date limite de fin réelle ou prévisionnelle du lien juridique.</v>
      </c>
      <c r="AY31" s="17" t="s">
        <v>103</v>
      </c>
      <c r="AZ31" s="18" t="str">
        <f>VLOOKUP(AY31,'Axe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31" s="17" t="s">
        <v>105</v>
      </c>
      <c r="BB31" s="18" t="str">
        <f>VLOOKUP(BA31,'Axe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31" s="17" t="s">
        <v>101</v>
      </c>
      <c r="BD31" s="18" t="str">
        <f>VLOOKUP(BC31,'Axe 2 Règles de gestion'!$D$2:$F$125,3, FALSE)</f>
        <v>La date de fin réelle ou la date de fin prévisionnelle du congé/absence doit être saisie.</v>
      </c>
      <c r="BE31" s="17" t="s">
        <v>107</v>
      </c>
      <c r="BF31" s="18" t="str">
        <f>VLOOKUP(BE31,'Axe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31" s="14" t="s">
        <v>74</v>
      </c>
      <c r="BH31" s="16" t="s">
        <v>74</v>
      </c>
    </row>
    <row r="32" spans="1:60" ht="130.5" x14ac:dyDescent="0.35">
      <c r="A32" s="14" t="s">
        <v>197</v>
      </c>
      <c r="B32" s="14" t="s">
        <v>116</v>
      </c>
      <c r="C32" s="15">
        <v>45993.65902777778</v>
      </c>
      <c r="D32" s="14" t="s">
        <v>63</v>
      </c>
      <c r="E32" s="16" t="s">
        <v>64</v>
      </c>
      <c r="F32" s="14" t="s">
        <v>65</v>
      </c>
      <c r="G32" s="16" t="s">
        <v>66</v>
      </c>
      <c r="H32" s="14" t="s">
        <v>177</v>
      </c>
      <c r="I32" s="16" t="s">
        <v>178</v>
      </c>
      <c r="J32" s="16" t="s">
        <v>179</v>
      </c>
      <c r="K32" s="16" t="s">
        <v>180</v>
      </c>
      <c r="L32" s="14" t="s">
        <v>181</v>
      </c>
      <c r="M32" s="16" t="s">
        <v>182</v>
      </c>
      <c r="N32" s="14" t="s">
        <v>73</v>
      </c>
      <c r="O32" s="16" t="s">
        <v>74</v>
      </c>
      <c r="P32" s="16" t="s">
        <v>74</v>
      </c>
      <c r="Q32" s="16" t="s">
        <v>137</v>
      </c>
      <c r="R32" s="14" t="s">
        <v>138</v>
      </c>
      <c r="S32" s="14" t="s">
        <v>139</v>
      </c>
      <c r="T32" s="14" t="s">
        <v>78</v>
      </c>
      <c r="U32" s="14" t="s">
        <v>79</v>
      </c>
      <c r="V32" s="15">
        <v>40725</v>
      </c>
      <c r="W32" s="15"/>
      <c r="X32" s="16" t="s">
        <v>198</v>
      </c>
      <c r="Y32" s="17"/>
      <c r="Z32" s="18"/>
      <c r="AA32" s="17"/>
      <c r="AB32" s="18"/>
      <c r="AC32" s="17"/>
      <c r="AD32" s="18"/>
      <c r="AE32" s="17"/>
      <c r="AF32" s="18"/>
      <c r="AG32" s="17" t="s">
        <v>199</v>
      </c>
      <c r="AH32" s="18" t="str">
        <f>VLOOKUP(AG32,'Axe 2 Règles de gestion'!$D$2:$F$125,3, FALSE)</f>
        <v>L'agent doit être en activité.</v>
      </c>
      <c r="AI32" s="17" t="s">
        <v>200</v>
      </c>
      <c r="AJ32" s="18" t="str">
        <f>VLOOKUP(AI32,'Axe 2 Règles de gestion'!$D$2:$F$125,3, FALSE)</f>
        <v>La durée du congé doit être inférieure ou égale à 30 jours cumulés par année civile.</v>
      </c>
      <c r="AK32" s="17" t="s">
        <v>91</v>
      </c>
      <c r="AL32" s="18" t="str">
        <f>VLOOKUP(AK32,'Axe 2 Règles de gestion'!$D$2:$F$125,3, FALSE)</f>
        <v>La date de début du congé/absence doit être postérieure ou égale à la date de recrutement dans la FPE ou dans la carrière militaire.</v>
      </c>
      <c r="AM32" s="17" t="s">
        <v>93</v>
      </c>
      <c r="AN32" s="18" t="str">
        <f>VLOOKUP(AM32,'Axe 2 Règles de gestion'!$D$2:$F$125,3, FALSE)</f>
        <v>La date de début du congé/absence doit être antérieure ou égale à la date de fin réelle du congé/absence.</v>
      </c>
      <c r="AO32" s="17" t="s">
        <v>95</v>
      </c>
      <c r="AP32" s="18" t="str">
        <f>VLOOKUP(AO32,'Axe 2 Règles de gestion'!$D$2:$F$125,3, FALSE)</f>
        <v>La date de début du congé/absence doit être antérieure ou égale à la date de fin prévisionnelle du congé/absence.</v>
      </c>
      <c r="AQ32" s="17" t="s">
        <v>97</v>
      </c>
      <c r="AR32" s="18" t="str">
        <f>VLOOKUP(AQ32,'Axe 2 Règles de gestion'!$D$2:$F$125,3, FALSE)</f>
        <v>La date de fin réelle du congé/absence doit être antérieure à la date limite de départ à la retraite.</v>
      </c>
      <c r="AS32" s="17" t="s">
        <v>99</v>
      </c>
      <c r="AT32" s="18" t="str">
        <f>VLOOKUP(AS32,'Axe 2 Règles de gestion'!$D$2:$F$125,3, FALSE)</f>
        <v>La date de fin prévisionnelle du congé/absence doit être antérieure à la date limite de départ à la retraite.</v>
      </c>
      <c r="AU32" s="17" t="s">
        <v>101</v>
      </c>
      <c r="AV32" s="18" t="str">
        <f>VLOOKUP(AU32,'Axe 2 Règles de gestion'!$D$2:$F$125,3, FALSE)</f>
        <v>La date de fin réelle ou la date de fin prévisionnelle du congé/absence doit être saisie.</v>
      </c>
      <c r="AW32" s="17" t="s">
        <v>103</v>
      </c>
      <c r="AX32" s="18" t="str">
        <f>VLOOKUP(AW32,'Axe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32" s="17" t="s">
        <v>105</v>
      </c>
      <c r="AZ32" s="18" t="str">
        <f>VLOOKUP(AY32,'Axe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32" s="17" t="s">
        <v>107</v>
      </c>
      <c r="BB32" s="18" t="str">
        <f>VLOOKUP(BA32,'Axe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32" s="17"/>
      <c r="BD32" s="18"/>
      <c r="BE32" s="17"/>
      <c r="BF32" s="18"/>
      <c r="BG32" s="14" t="s">
        <v>74</v>
      </c>
      <c r="BH32" s="16" t="s">
        <v>74</v>
      </c>
    </row>
    <row r="33" spans="1:60" ht="130.5" x14ac:dyDescent="0.35">
      <c r="A33" s="14" t="s">
        <v>197</v>
      </c>
      <c r="B33" s="14" t="s">
        <v>116</v>
      </c>
      <c r="C33" s="15">
        <v>45994.498611111114</v>
      </c>
      <c r="D33" s="14" t="s">
        <v>63</v>
      </c>
      <c r="E33" s="16" t="s">
        <v>64</v>
      </c>
      <c r="F33" s="14" t="s">
        <v>65</v>
      </c>
      <c r="G33" s="16" t="s">
        <v>66</v>
      </c>
      <c r="H33" s="14" t="s">
        <v>177</v>
      </c>
      <c r="I33" s="16" t="s">
        <v>178</v>
      </c>
      <c r="J33" s="16" t="s">
        <v>179</v>
      </c>
      <c r="K33" s="16" t="s">
        <v>180</v>
      </c>
      <c r="L33" s="14" t="s">
        <v>191</v>
      </c>
      <c r="M33" s="16" t="s">
        <v>192</v>
      </c>
      <c r="N33" s="14" t="s">
        <v>111</v>
      </c>
      <c r="O33" s="16" t="s">
        <v>74</v>
      </c>
      <c r="P33" s="16" t="s">
        <v>74</v>
      </c>
      <c r="Q33" s="16" t="s">
        <v>137</v>
      </c>
      <c r="R33" s="14" t="s">
        <v>138</v>
      </c>
      <c r="S33" s="14" t="s">
        <v>139</v>
      </c>
      <c r="T33" s="14" t="s">
        <v>78</v>
      </c>
      <c r="U33" s="14" t="s">
        <v>79</v>
      </c>
      <c r="V33" s="15">
        <v>40725</v>
      </c>
      <c r="W33" s="15"/>
      <c r="X33" s="16" t="s">
        <v>201</v>
      </c>
      <c r="Y33" s="17"/>
      <c r="Z33" s="18"/>
      <c r="AA33" s="17"/>
      <c r="AB33" s="18"/>
      <c r="AC33" s="17"/>
      <c r="AD33" s="18"/>
      <c r="AE33" s="17"/>
      <c r="AF33" s="18"/>
      <c r="AG33" s="17" t="s">
        <v>199</v>
      </c>
      <c r="AH33" s="18" t="str">
        <f>VLOOKUP(AG33,'Axe 2 Règles de gestion'!$D$2:$F$125,3, FALSE)</f>
        <v>L'agent doit être en activité.</v>
      </c>
      <c r="AI33" s="17" t="s">
        <v>200</v>
      </c>
      <c r="AJ33" s="18" t="str">
        <f>VLOOKUP(AI33,'Axe 2 Règles de gestion'!$D$2:$F$125,3, FALSE)</f>
        <v>La durée du congé doit être inférieure ou égale à 30 jours cumulés par année civile.</v>
      </c>
      <c r="AK33" s="17" t="s">
        <v>93</v>
      </c>
      <c r="AL33" s="18" t="str">
        <f>VLOOKUP(AK33,'Axe 2 Règles de gestion'!$D$2:$F$125,3, FALSE)</f>
        <v>La date de début du congé/absence doit être antérieure ou égale à la date de fin réelle du congé/absence.</v>
      </c>
      <c r="AM33" s="17" t="s">
        <v>95</v>
      </c>
      <c r="AN33" s="18" t="str">
        <f>VLOOKUP(AM33,'Axe 2 Règles de gestion'!$D$2:$F$125,3, FALSE)</f>
        <v>La date de début du congé/absence doit être antérieure ou égale à la date de fin prévisionnelle du congé/absence.</v>
      </c>
      <c r="AO33" s="17" t="s">
        <v>97</v>
      </c>
      <c r="AP33" s="18" t="str">
        <f>VLOOKUP(AO33,'Axe 2 Règles de gestion'!$D$2:$F$125,3, FALSE)</f>
        <v>La date de fin réelle du congé/absence doit être antérieure à la date limite de départ à la retraite.</v>
      </c>
      <c r="AQ33" s="17" t="s">
        <v>99</v>
      </c>
      <c r="AR33" s="18" t="str">
        <f>VLOOKUP(AQ33,'Axe 2 Règles de gestion'!$D$2:$F$125,3, FALSE)</f>
        <v>La date de fin prévisionnelle du congé/absence doit être antérieure à la date limite de départ à la retraite.</v>
      </c>
      <c r="AS33" s="17" t="s">
        <v>101</v>
      </c>
      <c r="AT33" s="18" t="str">
        <f>VLOOKUP(AS33,'Axe 2 Règles de gestion'!$D$2:$F$125,3, FALSE)</f>
        <v>La date de fin réelle ou la date de fin prévisionnelle du congé/absence doit être saisie.</v>
      </c>
      <c r="AU33" s="17" t="s">
        <v>103</v>
      </c>
      <c r="AV33" s="18" t="str">
        <f>VLOOKUP(AU33,'Axe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W33" s="17" t="s">
        <v>105</v>
      </c>
      <c r="AX33" s="18" t="str">
        <f>VLOOKUP(AW33,'Axe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Y33" s="17" t="s">
        <v>107</v>
      </c>
      <c r="AZ33" s="18" t="str">
        <f>VLOOKUP(AY33,'Axe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A33" s="17"/>
      <c r="BB33" s="18"/>
      <c r="BC33" s="17"/>
      <c r="BD33" s="18"/>
      <c r="BE33" s="17"/>
      <c r="BF33" s="18"/>
      <c r="BG33" s="14" t="s">
        <v>74</v>
      </c>
      <c r="BH33" s="16" t="s">
        <v>74</v>
      </c>
    </row>
    <row r="34" spans="1:60" ht="130.5" x14ac:dyDescent="0.35">
      <c r="A34" s="14" t="s">
        <v>113</v>
      </c>
      <c r="B34" s="14" t="s">
        <v>116</v>
      </c>
      <c r="C34" s="15">
        <v>44855.598611111112</v>
      </c>
      <c r="D34" s="14" t="s">
        <v>63</v>
      </c>
      <c r="E34" s="16" t="s">
        <v>64</v>
      </c>
      <c r="F34" s="14" t="s">
        <v>65</v>
      </c>
      <c r="G34" s="16" t="s">
        <v>66</v>
      </c>
      <c r="H34" s="14" t="s">
        <v>177</v>
      </c>
      <c r="I34" s="16" t="s">
        <v>178</v>
      </c>
      <c r="J34" s="16" t="s">
        <v>179</v>
      </c>
      <c r="K34" s="16" t="s">
        <v>180</v>
      </c>
      <c r="L34" s="14" t="s">
        <v>181</v>
      </c>
      <c r="M34" s="16" t="s">
        <v>182</v>
      </c>
      <c r="N34" s="14" t="s">
        <v>73</v>
      </c>
      <c r="O34" s="16" t="s">
        <v>74</v>
      </c>
      <c r="P34" s="16" t="s">
        <v>74</v>
      </c>
      <c r="Q34" s="16" t="s">
        <v>140</v>
      </c>
      <c r="R34" s="14" t="s">
        <v>141</v>
      </c>
      <c r="S34" s="14" t="s">
        <v>142</v>
      </c>
      <c r="T34" s="14" t="s">
        <v>78</v>
      </c>
      <c r="U34" s="14" t="s">
        <v>79</v>
      </c>
      <c r="V34" s="15">
        <v>40725</v>
      </c>
      <c r="W34" s="15"/>
      <c r="X34" s="16" t="s">
        <v>202</v>
      </c>
      <c r="Y34" s="17" t="s">
        <v>203</v>
      </c>
      <c r="Z34" s="18" t="str">
        <f>VLOOKUP(Y34,'Axe 2 Règles de gestion'!$D$2:$F$125,3, FALSE)</f>
        <v>L'agent bénéficie d'un congé rémunéré uniquement s'il s'agit de séances groupées sur plusieurs journées.</v>
      </c>
      <c r="AA34" s="17"/>
      <c r="AB34" s="18"/>
      <c r="AC34" s="17"/>
      <c r="AD34" s="18"/>
      <c r="AE34" s="17"/>
      <c r="AF34" s="18"/>
      <c r="AG34" s="17" t="s">
        <v>205</v>
      </c>
      <c r="AH34" s="18" t="str">
        <f>VLOOKUP(AG34,'Axe 2 Règles de gestion'!$D$2:$F$125,3, FALSE)</f>
        <v>La durée du congé doit être inférieure ou égale à 30 jours cumulés par année civile.</v>
      </c>
      <c r="AI34" s="17" t="s">
        <v>206</v>
      </c>
      <c r="AJ34" s="18" t="str">
        <f>VLOOKUP(AI34,'Axe 2 Règles de gestion'!$D$2:$F$125,3, FALSE)</f>
        <v>L'agent doit être en activité.</v>
      </c>
      <c r="AK34" s="17" t="s">
        <v>128</v>
      </c>
      <c r="AL34" s="18" t="str">
        <f>VLOOKUP(AK34,'Axe 2 Règles de gestion'!$D$2:$F$125,3, FALSE)</f>
        <v>La date de début du congé/absence doit être postérieure ou égale à la date de début du lien juridique.</v>
      </c>
      <c r="AM34" s="17" t="s">
        <v>95</v>
      </c>
      <c r="AN34" s="18" t="str">
        <f>VLOOKUP(AM34,'Axe 2 Règles de gestion'!$D$2:$F$125,3, FALSE)</f>
        <v>La date de début du congé/absence doit être antérieure ou égale à la date de fin prévisionnelle du congé/absence.</v>
      </c>
      <c r="AO34" s="17" t="s">
        <v>93</v>
      </c>
      <c r="AP34" s="18" t="str">
        <f>VLOOKUP(AO34,'Axe 2 Règles de gestion'!$D$2:$F$125,3, FALSE)</f>
        <v>La date de début du congé/absence doit être antérieure ou égale à la date de fin réelle du congé/absence.</v>
      </c>
      <c r="AQ34" s="17" t="s">
        <v>97</v>
      </c>
      <c r="AR34" s="18" t="str">
        <f>VLOOKUP(AQ34,'Axe 2 Règles de gestion'!$D$2:$F$125,3, FALSE)</f>
        <v>La date de fin réelle du congé/absence doit être antérieure à la date limite de départ à la retraite.</v>
      </c>
      <c r="AS34" s="17" t="s">
        <v>99</v>
      </c>
      <c r="AT34" s="18" t="str">
        <f>VLOOKUP(AS34,'Axe 2 Règles de gestion'!$D$2:$F$125,3, FALSE)</f>
        <v>La date de fin prévisionnelle du congé/absence doit être antérieure à la date limite de départ à la retraite.</v>
      </c>
      <c r="AU34" s="17" t="s">
        <v>130</v>
      </c>
      <c r="AV34" s="18" t="str">
        <f>VLOOKUP(AU34,'Axe 2 Règles de gestion'!$D$2:$F$125,3, FALSE)</f>
        <v>La date de fin réelle du congé/absence doit être antérieure ou égale à la date limite de fin réelle ou prévisionnelle du lien juridique.</v>
      </c>
      <c r="AW34" s="17" t="s">
        <v>132</v>
      </c>
      <c r="AX34" s="18" t="str">
        <f>VLOOKUP(AW34,'Axe 2 Règles de gestion'!$D$2:$F$125,3, FALSE)</f>
        <v>La date de fin prévisionnelle du congé/absence doit être antérieure ou égale à la date limite de fin réelle ou prévisionnelle du lien juridique.</v>
      </c>
      <c r="AY34" s="17" t="s">
        <v>103</v>
      </c>
      <c r="AZ34" s="18" t="str">
        <f>VLOOKUP(AY34,'Axe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34" s="17" t="s">
        <v>105</v>
      </c>
      <c r="BB34" s="18" t="str">
        <f>VLOOKUP(BA34,'Axe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34" s="17" t="s">
        <v>101</v>
      </c>
      <c r="BD34" s="18" t="str">
        <f>VLOOKUP(BC34,'Axe 2 Règles de gestion'!$D$2:$F$125,3, FALSE)</f>
        <v>La date de fin réelle ou la date de fin prévisionnelle du congé/absence doit être saisie.</v>
      </c>
      <c r="BE34" s="17" t="s">
        <v>107</v>
      </c>
      <c r="BF34" s="18" t="str">
        <f>VLOOKUP(BE34,'Axe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34" s="14" t="s">
        <v>74</v>
      </c>
      <c r="BH34" s="16" t="s">
        <v>74</v>
      </c>
    </row>
    <row r="35" spans="1:60" ht="130.5" x14ac:dyDescent="0.35">
      <c r="A35" s="14" t="s">
        <v>113</v>
      </c>
      <c r="B35" s="14" t="s">
        <v>62</v>
      </c>
      <c r="C35" s="15">
        <v>44852.464583333334</v>
      </c>
      <c r="D35" s="14" t="s">
        <v>63</v>
      </c>
      <c r="E35" s="16" t="s">
        <v>64</v>
      </c>
      <c r="F35" s="14" t="s">
        <v>65</v>
      </c>
      <c r="G35" s="16" t="s">
        <v>66</v>
      </c>
      <c r="H35" s="14" t="s">
        <v>177</v>
      </c>
      <c r="I35" s="16" t="s">
        <v>178</v>
      </c>
      <c r="J35" s="16" t="s">
        <v>179</v>
      </c>
      <c r="K35" s="16" t="s">
        <v>180</v>
      </c>
      <c r="L35" s="14" t="s">
        <v>191</v>
      </c>
      <c r="M35" s="16" t="s">
        <v>192</v>
      </c>
      <c r="N35" s="14" t="s">
        <v>111</v>
      </c>
      <c r="O35" s="16" t="s">
        <v>74</v>
      </c>
      <c r="P35" s="16" t="s">
        <v>74</v>
      </c>
      <c r="Q35" s="16" t="s">
        <v>140</v>
      </c>
      <c r="R35" s="14" t="s">
        <v>141</v>
      </c>
      <c r="S35" s="14" t="s">
        <v>142</v>
      </c>
      <c r="T35" s="14" t="s">
        <v>78</v>
      </c>
      <c r="U35" s="14" t="s">
        <v>79</v>
      </c>
      <c r="V35" s="15">
        <v>40725</v>
      </c>
      <c r="W35" s="15"/>
      <c r="X35" s="16" t="s">
        <v>207</v>
      </c>
      <c r="Y35" s="17"/>
      <c r="Z35" s="18"/>
      <c r="AA35" s="17"/>
      <c r="AB35" s="18"/>
      <c r="AC35" s="17"/>
      <c r="AD35" s="18"/>
      <c r="AE35" s="17"/>
      <c r="AF35" s="18"/>
      <c r="AG35" s="17" t="s">
        <v>205</v>
      </c>
      <c r="AH35" s="18" t="str">
        <f>VLOOKUP(AG35,'Axe 2 Règles de gestion'!$D$2:$F$125,3, FALSE)</f>
        <v>La durée du congé doit être inférieure ou égale à 30 jours cumulés par année civile.</v>
      </c>
      <c r="AI35" s="17" t="s">
        <v>206</v>
      </c>
      <c r="AJ35" s="18" t="str">
        <f>VLOOKUP(AI35,'Axe 2 Règles de gestion'!$D$2:$F$125,3, FALSE)</f>
        <v>L'agent doit être en activité.</v>
      </c>
      <c r="AK35" s="17" t="s">
        <v>128</v>
      </c>
      <c r="AL35" s="18" t="str">
        <f>VLOOKUP(AK35,'Axe 2 Règles de gestion'!$D$2:$F$125,3, FALSE)</f>
        <v>La date de début du congé/absence doit être postérieure ou égale à la date de début du lien juridique.</v>
      </c>
      <c r="AM35" s="17" t="s">
        <v>93</v>
      </c>
      <c r="AN35" s="18" t="str">
        <f>VLOOKUP(AM35,'Axe 2 Règles de gestion'!$D$2:$F$125,3, FALSE)</f>
        <v>La date de début du congé/absence doit être antérieure ou égale à la date de fin réelle du congé/absence.</v>
      </c>
      <c r="AO35" s="17" t="s">
        <v>95</v>
      </c>
      <c r="AP35" s="18" t="str">
        <f>VLOOKUP(AO35,'Axe 2 Règles de gestion'!$D$2:$F$125,3, FALSE)</f>
        <v>La date de début du congé/absence doit être antérieure ou égale à la date de fin prévisionnelle du congé/absence.</v>
      </c>
      <c r="AQ35" s="17" t="s">
        <v>97</v>
      </c>
      <c r="AR35" s="18" t="str">
        <f>VLOOKUP(AQ35,'Axe 2 Règles de gestion'!$D$2:$F$125,3, FALSE)</f>
        <v>La date de fin réelle du congé/absence doit être antérieure à la date limite de départ à la retraite.</v>
      </c>
      <c r="AS35" s="17" t="s">
        <v>99</v>
      </c>
      <c r="AT35" s="18" t="str">
        <f>VLOOKUP(AS35,'Axe 2 Règles de gestion'!$D$2:$F$125,3, FALSE)</f>
        <v>La date de fin prévisionnelle du congé/absence doit être antérieure à la date limite de départ à la retraite.</v>
      </c>
      <c r="AU35" s="17" t="s">
        <v>130</v>
      </c>
      <c r="AV35" s="18" t="str">
        <f>VLOOKUP(AU35,'Axe 2 Règles de gestion'!$D$2:$F$125,3, FALSE)</f>
        <v>La date de fin réelle du congé/absence doit être antérieure ou égale à la date limite de fin réelle ou prévisionnelle du lien juridique.</v>
      </c>
      <c r="AW35" s="17" t="s">
        <v>132</v>
      </c>
      <c r="AX35" s="18" t="str">
        <f>VLOOKUP(AW35,'Axe 2 Règles de gestion'!$D$2:$F$125,3, FALSE)</f>
        <v>La date de fin prévisionnelle du congé/absence doit être antérieure ou égale à la date limite de fin réelle ou prévisionnelle du lien juridique.</v>
      </c>
      <c r="AY35" s="17" t="s">
        <v>103</v>
      </c>
      <c r="AZ35" s="18" t="str">
        <f>VLOOKUP(AY35,'Axe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35" s="17" t="s">
        <v>105</v>
      </c>
      <c r="BB35" s="18" t="str">
        <f>VLOOKUP(BA35,'Axe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35" s="17" t="s">
        <v>101</v>
      </c>
      <c r="BD35" s="18" t="str">
        <f>VLOOKUP(BC35,'Axe 2 Règles de gestion'!$D$2:$F$125,3, FALSE)</f>
        <v>La date de fin réelle ou la date de fin prévisionnelle du congé/absence doit être saisie.</v>
      </c>
      <c r="BE35" s="17" t="s">
        <v>107</v>
      </c>
      <c r="BF35" s="18" t="str">
        <f>VLOOKUP(BE35,'Axe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35" s="14" t="s">
        <v>74</v>
      </c>
      <c r="BH35" s="16" t="s">
        <v>74</v>
      </c>
    </row>
    <row r="36" spans="1:60" ht="130.5" x14ac:dyDescent="0.35">
      <c r="A36" s="14" t="s">
        <v>113</v>
      </c>
      <c r="B36" s="14" t="s">
        <v>62</v>
      </c>
      <c r="C36" s="15">
        <v>44852.462500000001</v>
      </c>
      <c r="D36" s="14" t="s">
        <v>63</v>
      </c>
      <c r="E36" s="16" t="s">
        <v>64</v>
      </c>
      <c r="F36" s="14" t="s">
        <v>65</v>
      </c>
      <c r="G36" s="16" t="s">
        <v>66</v>
      </c>
      <c r="H36" s="14" t="s">
        <v>177</v>
      </c>
      <c r="I36" s="16" t="s">
        <v>178</v>
      </c>
      <c r="J36" s="16" t="s">
        <v>179</v>
      </c>
      <c r="K36" s="16" t="s">
        <v>180</v>
      </c>
      <c r="L36" s="14" t="s">
        <v>181</v>
      </c>
      <c r="M36" s="16" t="s">
        <v>182</v>
      </c>
      <c r="N36" s="14" t="s">
        <v>73</v>
      </c>
      <c r="O36" s="16" t="s">
        <v>74</v>
      </c>
      <c r="P36" s="16" t="s">
        <v>74</v>
      </c>
      <c r="Q36" s="16" t="s">
        <v>143</v>
      </c>
      <c r="R36" s="14" t="s">
        <v>144</v>
      </c>
      <c r="S36" s="14" t="s">
        <v>77</v>
      </c>
      <c r="T36" s="14" t="s">
        <v>145</v>
      </c>
      <c r="U36" s="14" t="s">
        <v>79</v>
      </c>
      <c r="V36" s="15">
        <v>40725</v>
      </c>
      <c r="W36" s="15"/>
      <c r="X36" s="16" t="s">
        <v>208</v>
      </c>
      <c r="Y36" s="17" t="s">
        <v>209</v>
      </c>
      <c r="Z36" s="18" t="str">
        <f>VLOOKUP(Y36,'Axe 2 Règles de gestion'!$D$2:$F$125,3, FALSE)</f>
        <v>L'agent bénéficie des dispositions applicables aux agents titulaires pour la période d'instruction militaire.</v>
      </c>
      <c r="AA36" s="17" t="s">
        <v>184</v>
      </c>
      <c r="AB36" s="18" t="str">
        <f>VLOOKUP(AA36,'Axe 2 Règles de gestion'!$D$2:$F$125,3, FALSE)</f>
        <v>La demande de l'agent doit être faite 1 mois au moins avant le début de l'absence.</v>
      </c>
      <c r="AC36" s="17" t="s">
        <v>186</v>
      </c>
      <c r="AD36" s="18" t="str">
        <f>VLOOKUP(AC36,'Axe 2 Règles de gestion'!$D$2:$F$125,3, FALSE)</f>
        <v>L'accord de l'administration est nécessaire dès que l'agent dépasse 5 jours d'absence par année civile sauf s'il suit une formation professionnelle pendant son absence.</v>
      </c>
      <c r="AE36" s="17"/>
      <c r="AF36" s="18"/>
      <c r="AG36" s="17" t="s">
        <v>188</v>
      </c>
      <c r="AH36" s="18" t="str">
        <f>VLOOKUP(AG36,'Axe 2 Règles de gestion'!$D$2:$F$125,3, FALSE)</f>
        <v>La durée du congé doit être inférieure ou égale à 30 jours cumulés par année civile.</v>
      </c>
      <c r="AI36" s="17" t="s">
        <v>190</v>
      </c>
      <c r="AJ36" s="18" t="str">
        <f>VLOOKUP(AI36,'Axe 2 Règles de gestion'!$D$2:$F$125,3, FALSE)</f>
        <v>L'agent doit être en activité.</v>
      </c>
      <c r="AK36" s="17" t="s">
        <v>128</v>
      </c>
      <c r="AL36" s="18" t="str">
        <f>VLOOKUP(AK36,'Axe 2 Règles de gestion'!$D$2:$F$125,3, FALSE)</f>
        <v>La date de début du congé/absence doit être postérieure ou égale à la date de début du lien juridique.</v>
      </c>
      <c r="AM36" s="17" t="s">
        <v>95</v>
      </c>
      <c r="AN36" s="18" t="str">
        <f>VLOOKUP(AM36,'Axe 2 Règles de gestion'!$D$2:$F$125,3, FALSE)</f>
        <v>La date de début du congé/absence doit être antérieure ou égale à la date de fin prévisionnelle du congé/absence.</v>
      </c>
      <c r="AO36" s="17" t="s">
        <v>93</v>
      </c>
      <c r="AP36" s="18" t="str">
        <f>VLOOKUP(AO36,'Axe 2 Règles de gestion'!$D$2:$F$125,3, FALSE)</f>
        <v>La date de début du congé/absence doit être antérieure ou égale à la date de fin réelle du congé/absence.</v>
      </c>
      <c r="AQ36" s="17" t="s">
        <v>97</v>
      </c>
      <c r="AR36" s="18" t="str">
        <f>VLOOKUP(AQ36,'Axe 2 Règles de gestion'!$D$2:$F$125,3, FALSE)</f>
        <v>La date de fin réelle du congé/absence doit être antérieure à la date limite de départ à la retraite.</v>
      </c>
      <c r="AS36" s="17" t="s">
        <v>99</v>
      </c>
      <c r="AT36" s="18" t="str">
        <f>VLOOKUP(AS36,'Axe 2 Règles de gestion'!$D$2:$F$125,3, FALSE)</f>
        <v>La date de fin prévisionnelle du congé/absence doit être antérieure à la date limite de départ à la retraite.</v>
      </c>
      <c r="AU36" s="17" t="s">
        <v>130</v>
      </c>
      <c r="AV36" s="18" t="str">
        <f>VLOOKUP(AU36,'Axe 2 Règles de gestion'!$D$2:$F$125,3, FALSE)</f>
        <v>La date de fin réelle du congé/absence doit être antérieure ou égale à la date limite de fin réelle ou prévisionnelle du lien juridique.</v>
      </c>
      <c r="AW36" s="17" t="s">
        <v>132</v>
      </c>
      <c r="AX36" s="18" t="str">
        <f>VLOOKUP(AW36,'Axe 2 Règles de gestion'!$D$2:$F$125,3, FALSE)</f>
        <v>La date de fin prévisionnelle du congé/absence doit être antérieure ou égale à la date limite de fin réelle ou prévisionnelle du lien juridique.</v>
      </c>
      <c r="AY36" s="17" t="s">
        <v>103</v>
      </c>
      <c r="AZ36" s="18" t="str">
        <f>VLOOKUP(AY36,'Axe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36" s="17" t="s">
        <v>105</v>
      </c>
      <c r="BB36" s="18" t="str">
        <f>VLOOKUP(BA36,'Axe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36" s="17" t="s">
        <v>101</v>
      </c>
      <c r="BD36" s="18" t="str">
        <f>VLOOKUP(BC36,'Axe 2 Règles de gestion'!$D$2:$F$125,3, FALSE)</f>
        <v>La date de fin réelle ou la date de fin prévisionnelle du congé/absence doit être saisie.</v>
      </c>
      <c r="BE36" s="17" t="s">
        <v>107</v>
      </c>
      <c r="BF36" s="18" t="str">
        <f>VLOOKUP(BE36,'Axe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36" s="14" t="s">
        <v>74</v>
      </c>
      <c r="BH36" s="16" t="s">
        <v>74</v>
      </c>
    </row>
    <row r="37" spans="1:60" ht="130.5" x14ac:dyDescent="0.35">
      <c r="A37" s="14" t="s">
        <v>113</v>
      </c>
      <c r="B37" s="14" t="s">
        <v>62</v>
      </c>
      <c r="C37" s="15">
        <v>44852.466666666667</v>
      </c>
      <c r="D37" s="14" t="s">
        <v>63</v>
      </c>
      <c r="E37" s="16" t="s">
        <v>64</v>
      </c>
      <c r="F37" s="14" t="s">
        <v>65</v>
      </c>
      <c r="G37" s="16" t="s">
        <v>66</v>
      </c>
      <c r="H37" s="14" t="s">
        <v>177</v>
      </c>
      <c r="I37" s="16" t="s">
        <v>178</v>
      </c>
      <c r="J37" s="16" t="s">
        <v>179</v>
      </c>
      <c r="K37" s="16" t="s">
        <v>180</v>
      </c>
      <c r="L37" s="14" t="s">
        <v>191</v>
      </c>
      <c r="M37" s="16" t="s">
        <v>192</v>
      </c>
      <c r="N37" s="14" t="s">
        <v>111</v>
      </c>
      <c r="O37" s="16" t="s">
        <v>74</v>
      </c>
      <c r="P37" s="16" t="s">
        <v>74</v>
      </c>
      <c r="Q37" s="16" t="s">
        <v>143</v>
      </c>
      <c r="R37" s="14" t="s">
        <v>144</v>
      </c>
      <c r="S37" s="14" t="s">
        <v>77</v>
      </c>
      <c r="T37" s="14" t="s">
        <v>145</v>
      </c>
      <c r="U37" s="14" t="s">
        <v>79</v>
      </c>
      <c r="V37" s="15">
        <v>40725</v>
      </c>
      <c r="W37" s="15"/>
      <c r="X37" s="16" t="s">
        <v>211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 t="s">
        <v>128</v>
      </c>
      <c r="AL37" s="18" t="str">
        <f>VLOOKUP(AK37,'Axe 2 Règles de gestion'!$D$2:$F$125,3, FALSE)</f>
        <v>La date de début du congé/absence doit être postérieure ou égale à la date de début du lien juridique.</v>
      </c>
      <c r="AM37" s="17" t="s">
        <v>93</v>
      </c>
      <c r="AN37" s="18" t="str">
        <f>VLOOKUP(AM37,'Axe 2 Règles de gestion'!$D$2:$F$125,3, FALSE)</f>
        <v>La date de début du congé/absence doit être antérieure ou égale à la date de fin réelle du congé/absence.</v>
      </c>
      <c r="AO37" s="17" t="s">
        <v>95</v>
      </c>
      <c r="AP37" s="18" t="str">
        <f>VLOOKUP(AO37,'Axe 2 Règles de gestion'!$D$2:$F$125,3, FALSE)</f>
        <v>La date de début du congé/absence doit être antérieure ou égale à la date de fin prévisionnelle du congé/absence.</v>
      </c>
      <c r="AQ37" s="17" t="s">
        <v>97</v>
      </c>
      <c r="AR37" s="18" t="str">
        <f>VLOOKUP(AQ37,'Axe 2 Règles de gestion'!$D$2:$F$125,3, FALSE)</f>
        <v>La date de fin réelle du congé/absence doit être antérieure à la date limite de départ à la retraite.</v>
      </c>
      <c r="AS37" s="17" t="s">
        <v>99</v>
      </c>
      <c r="AT37" s="18" t="str">
        <f>VLOOKUP(AS37,'Axe 2 Règles de gestion'!$D$2:$F$125,3, FALSE)</f>
        <v>La date de fin prévisionnelle du congé/absence doit être antérieure à la date limite de départ à la retraite.</v>
      </c>
      <c r="AU37" s="17" t="s">
        <v>130</v>
      </c>
      <c r="AV37" s="18" t="str">
        <f>VLOOKUP(AU37,'Axe 2 Règles de gestion'!$D$2:$F$125,3, FALSE)</f>
        <v>La date de fin réelle du congé/absence doit être antérieure ou égale à la date limite de fin réelle ou prévisionnelle du lien juridique.</v>
      </c>
      <c r="AW37" s="17" t="s">
        <v>132</v>
      </c>
      <c r="AX37" s="18" t="str">
        <f>VLOOKUP(AW37,'Axe 2 Règles de gestion'!$D$2:$F$125,3, FALSE)</f>
        <v>La date de fin prévisionnelle du congé/absence doit être antérieure ou égale à la date limite de fin réelle ou prévisionnelle du lien juridique.</v>
      </c>
      <c r="AY37" s="17" t="s">
        <v>103</v>
      </c>
      <c r="AZ37" s="18" t="str">
        <f>VLOOKUP(AY37,'Axe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37" s="17" t="s">
        <v>105</v>
      </c>
      <c r="BB37" s="18" t="str">
        <f>VLOOKUP(BA37,'Axe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37" s="17" t="s">
        <v>101</v>
      </c>
      <c r="BD37" s="18" t="str">
        <f>VLOOKUP(BC37,'Axe 2 Règles de gestion'!$D$2:$F$125,3, FALSE)</f>
        <v>La date de fin réelle ou la date de fin prévisionnelle du congé/absence doit être saisie.</v>
      </c>
      <c r="BE37" s="17" t="s">
        <v>107</v>
      </c>
      <c r="BF37" s="18" t="str">
        <f>VLOOKUP(BE37,'Axe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37" s="14" t="s">
        <v>74</v>
      </c>
      <c r="BH37" s="16" t="s">
        <v>74</v>
      </c>
    </row>
    <row r="38" spans="1:60" ht="130.5" x14ac:dyDescent="0.35">
      <c r="A38" s="14" t="s">
        <v>113</v>
      </c>
      <c r="B38" s="14" t="s">
        <v>62</v>
      </c>
      <c r="C38" s="15">
        <v>44852.462500000001</v>
      </c>
      <c r="D38" s="14" t="s">
        <v>63</v>
      </c>
      <c r="E38" s="16" t="s">
        <v>64</v>
      </c>
      <c r="F38" s="14" t="s">
        <v>65</v>
      </c>
      <c r="G38" s="16" t="s">
        <v>66</v>
      </c>
      <c r="H38" s="14" t="s">
        <v>177</v>
      </c>
      <c r="I38" s="16" t="s">
        <v>178</v>
      </c>
      <c r="J38" s="16" t="s">
        <v>179</v>
      </c>
      <c r="K38" s="16" t="s">
        <v>180</v>
      </c>
      <c r="L38" s="14" t="s">
        <v>181</v>
      </c>
      <c r="M38" s="16" t="s">
        <v>182</v>
      </c>
      <c r="N38" s="14" t="s">
        <v>73</v>
      </c>
      <c r="O38" s="16" t="s">
        <v>74</v>
      </c>
      <c r="P38" s="16" t="s">
        <v>74</v>
      </c>
      <c r="Q38" s="16" t="s">
        <v>153</v>
      </c>
      <c r="R38" s="14" t="s">
        <v>154</v>
      </c>
      <c r="S38" s="14" t="s">
        <v>120</v>
      </c>
      <c r="T38" s="14" t="s">
        <v>145</v>
      </c>
      <c r="U38" s="14" t="s">
        <v>79</v>
      </c>
      <c r="V38" s="15">
        <v>40725</v>
      </c>
      <c r="W38" s="15"/>
      <c r="X38" s="16" t="s">
        <v>212</v>
      </c>
      <c r="Y38" s="17" t="s">
        <v>213</v>
      </c>
      <c r="Z38" s="18" t="str">
        <f>VLOOKUP(Y38,'Axe 2 Règles de gestion'!$D$2:$F$125,3, FALSE)</f>
        <v>L'agent bénéficie des dispositions applicables aux agents titulaires pour la période d'instruction militaire.</v>
      </c>
      <c r="AA38" s="17" t="s">
        <v>184</v>
      </c>
      <c r="AB38" s="18" t="str">
        <f>VLOOKUP(AA38,'Axe 2 Règles de gestion'!$D$2:$F$125,3, FALSE)</f>
        <v>La demande de l'agent doit être faite 1 mois au moins avant le début de l'absence.</v>
      </c>
      <c r="AC38" s="17" t="s">
        <v>186</v>
      </c>
      <c r="AD38" s="18" t="str">
        <f>VLOOKUP(AC38,'Axe 2 Règles de gestion'!$D$2:$F$125,3, FALSE)</f>
        <v>L'accord de l'administration est nécessaire dès que l'agent dépasse 5 jours d'absence par année civile sauf s'il suit une formation professionnelle pendant son absence.</v>
      </c>
      <c r="AE38" s="17"/>
      <c r="AF38" s="18"/>
      <c r="AG38" s="17" t="s">
        <v>188</v>
      </c>
      <c r="AH38" s="18" t="str">
        <f>VLOOKUP(AG38,'Axe 2 Règles de gestion'!$D$2:$F$125,3, FALSE)</f>
        <v>La durée du congé doit être inférieure ou égale à 30 jours cumulés par année civile.</v>
      </c>
      <c r="AI38" s="17" t="s">
        <v>190</v>
      </c>
      <c r="AJ38" s="18" t="str">
        <f>VLOOKUP(AI38,'Axe 2 Règles de gestion'!$D$2:$F$125,3, FALSE)</f>
        <v>L'agent doit être en activité.</v>
      </c>
      <c r="AK38" s="17" t="s">
        <v>91</v>
      </c>
      <c r="AL38" s="18" t="str">
        <f>VLOOKUP(AK38,'Axe 2 Règles de gestion'!$D$2:$F$125,3, FALSE)</f>
        <v>La date de début du congé/absence doit être postérieure ou égale à la date de recrutement dans la FPE ou dans la carrière militaire.</v>
      </c>
      <c r="AM38" s="17" t="s">
        <v>93</v>
      </c>
      <c r="AN38" s="18" t="str">
        <f>VLOOKUP(AM38,'Axe 2 Règles de gestion'!$D$2:$F$125,3, FALSE)</f>
        <v>La date de début du congé/absence doit être antérieure ou égale à la date de fin réelle du congé/absence.</v>
      </c>
      <c r="AO38" s="17" t="s">
        <v>95</v>
      </c>
      <c r="AP38" s="18" t="str">
        <f>VLOOKUP(AO38,'Axe 2 Règles de gestion'!$D$2:$F$125,3, FALSE)</f>
        <v>La date de début du congé/absence doit être antérieure ou égale à la date de fin prévisionnelle du congé/absence.</v>
      </c>
      <c r="AQ38" s="17" t="s">
        <v>97</v>
      </c>
      <c r="AR38" s="18" t="str">
        <f>VLOOKUP(AQ38,'Axe 2 Règles de gestion'!$D$2:$F$125,3, FALSE)</f>
        <v>La date de fin réelle du congé/absence doit être antérieure à la date limite de départ à la retraite.</v>
      </c>
      <c r="AS38" s="17" t="s">
        <v>99</v>
      </c>
      <c r="AT38" s="18" t="str">
        <f>VLOOKUP(AS38,'Axe 2 Règles de gestion'!$D$2:$F$125,3, FALSE)</f>
        <v>La date de fin prévisionnelle du congé/absence doit être antérieure à la date limite de départ à la retraite.</v>
      </c>
      <c r="AU38" s="17" t="s">
        <v>101</v>
      </c>
      <c r="AV38" s="18" t="str">
        <f>VLOOKUP(AU38,'Axe 2 Règles de gestion'!$D$2:$F$125,3, FALSE)</f>
        <v>La date de fin réelle ou la date de fin prévisionnelle du congé/absence doit être saisie.</v>
      </c>
      <c r="AW38" s="17" t="s">
        <v>103</v>
      </c>
      <c r="AX38" s="18" t="str">
        <f>VLOOKUP(AW38,'Axe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38" s="17" t="s">
        <v>105</v>
      </c>
      <c r="AZ38" s="18" t="str">
        <f>VLOOKUP(AY38,'Axe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38" s="17" t="s">
        <v>107</v>
      </c>
      <c r="BB38" s="18" t="str">
        <f>VLOOKUP(BA38,'Axe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38" s="17"/>
      <c r="BD38" s="18"/>
      <c r="BE38" s="17"/>
      <c r="BF38" s="18"/>
      <c r="BG38" s="14" t="s">
        <v>74</v>
      </c>
      <c r="BH38" s="16" t="s">
        <v>74</v>
      </c>
    </row>
    <row r="39" spans="1:60" ht="116" x14ac:dyDescent="0.35">
      <c r="A39" s="14" t="s">
        <v>113</v>
      </c>
      <c r="B39" s="14" t="s">
        <v>62</v>
      </c>
      <c r="C39" s="15">
        <v>44852.466666666667</v>
      </c>
      <c r="D39" s="14" t="s">
        <v>63</v>
      </c>
      <c r="E39" s="16" t="s">
        <v>64</v>
      </c>
      <c r="F39" s="14" t="s">
        <v>65</v>
      </c>
      <c r="G39" s="16" t="s">
        <v>66</v>
      </c>
      <c r="H39" s="14" t="s">
        <v>177</v>
      </c>
      <c r="I39" s="16" t="s">
        <v>178</v>
      </c>
      <c r="J39" s="16" t="s">
        <v>179</v>
      </c>
      <c r="K39" s="16" t="s">
        <v>180</v>
      </c>
      <c r="L39" s="14" t="s">
        <v>191</v>
      </c>
      <c r="M39" s="16" t="s">
        <v>192</v>
      </c>
      <c r="N39" s="14" t="s">
        <v>111</v>
      </c>
      <c r="O39" s="16" t="s">
        <v>74</v>
      </c>
      <c r="P39" s="16" t="s">
        <v>74</v>
      </c>
      <c r="Q39" s="16" t="s">
        <v>153</v>
      </c>
      <c r="R39" s="14" t="s">
        <v>154</v>
      </c>
      <c r="S39" s="14" t="s">
        <v>120</v>
      </c>
      <c r="T39" s="14" t="s">
        <v>145</v>
      </c>
      <c r="U39" s="14" t="s">
        <v>79</v>
      </c>
      <c r="V39" s="15">
        <v>40725</v>
      </c>
      <c r="W39" s="15"/>
      <c r="X39" s="16" t="s">
        <v>193</v>
      </c>
      <c r="Y39" s="17"/>
      <c r="Z39" s="18"/>
      <c r="AA39" s="17"/>
      <c r="AB39" s="18"/>
      <c r="AC39" s="17"/>
      <c r="AD39" s="18"/>
      <c r="AE39" s="17"/>
      <c r="AF39" s="18"/>
      <c r="AG39" s="17" t="s">
        <v>188</v>
      </c>
      <c r="AH39" s="18" t="str">
        <f>VLOOKUP(AG39,'Axe 2 Règles de gestion'!$D$2:$F$125,3, FALSE)</f>
        <v>La durée du congé doit être inférieure ou égale à 30 jours cumulés par année civile.</v>
      </c>
      <c r="AI39" s="17" t="s">
        <v>190</v>
      </c>
      <c r="AJ39" s="18" t="str">
        <f>VLOOKUP(AI39,'Axe 2 Règles de gestion'!$D$2:$F$125,3, FALSE)</f>
        <v>L'agent doit être en activité.</v>
      </c>
      <c r="AK39" s="17" t="s">
        <v>93</v>
      </c>
      <c r="AL39" s="18" t="str">
        <f>VLOOKUP(AK39,'Axe 2 Règles de gestion'!$D$2:$F$125,3, FALSE)</f>
        <v>La date de début du congé/absence doit être antérieure ou égale à la date de fin réelle du congé/absence.</v>
      </c>
      <c r="AM39" s="17" t="s">
        <v>95</v>
      </c>
      <c r="AN39" s="18" t="str">
        <f>VLOOKUP(AM39,'Axe 2 Règles de gestion'!$D$2:$F$125,3, FALSE)</f>
        <v>La date de début du congé/absence doit être antérieure ou égale à la date de fin prévisionnelle du congé/absence.</v>
      </c>
      <c r="AO39" s="17" t="s">
        <v>97</v>
      </c>
      <c r="AP39" s="18" t="str">
        <f>VLOOKUP(AO39,'Axe 2 Règles de gestion'!$D$2:$F$125,3, FALSE)</f>
        <v>La date de fin réelle du congé/absence doit être antérieure à la date limite de départ à la retraite.</v>
      </c>
      <c r="AQ39" s="17" t="s">
        <v>99</v>
      </c>
      <c r="AR39" s="18" t="str">
        <f>VLOOKUP(AQ39,'Axe 2 Règles de gestion'!$D$2:$F$125,3, FALSE)</f>
        <v>La date de fin prévisionnelle du congé/absence doit être antérieure à la date limite de départ à la retraite.</v>
      </c>
      <c r="AS39" s="17" t="s">
        <v>101</v>
      </c>
      <c r="AT39" s="18" t="str">
        <f>VLOOKUP(AS39,'Axe 2 Règles de gestion'!$D$2:$F$125,3, FALSE)</f>
        <v>La date de fin réelle ou la date de fin prévisionnelle du congé/absence doit être saisie.</v>
      </c>
      <c r="AU39" s="17" t="s">
        <v>107</v>
      </c>
      <c r="AV39" s="18" t="str">
        <f>VLOOKUP(AU39,'Axe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39" s="17"/>
      <c r="AX39" s="18"/>
      <c r="AY39" s="17"/>
      <c r="AZ39" s="18"/>
      <c r="BA39" s="17"/>
      <c r="BB39" s="18"/>
      <c r="BC39" s="17"/>
      <c r="BD39" s="18"/>
      <c r="BE39" s="17"/>
      <c r="BF39" s="18"/>
      <c r="BG39" s="14" t="s">
        <v>74</v>
      </c>
      <c r="BH39" s="16" t="s">
        <v>74</v>
      </c>
    </row>
    <row r="40" spans="1:60" ht="130.5" x14ac:dyDescent="0.35">
      <c r="A40" s="14" t="s">
        <v>113</v>
      </c>
      <c r="B40" s="14" t="s">
        <v>116</v>
      </c>
      <c r="C40" s="15">
        <v>44854.574999999997</v>
      </c>
      <c r="D40" s="14" t="s">
        <v>63</v>
      </c>
      <c r="E40" s="16" t="s">
        <v>64</v>
      </c>
      <c r="F40" s="14" t="s">
        <v>65</v>
      </c>
      <c r="G40" s="16" t="s">
        <v>66</v>
      </c>
      <c r="H40" s="14" t="s">
        <v>177</v>
      </c>
      <c r="I40" s="16" t="s">
        <v>178</v>
      </c>
      <c r="J40" s="16" t="s">
        <v>179</v>
      </c>
      <c r="K40" s="16" t="s">
        <v>180</v>
      </c>
      <c r="L40" s="14" t="s">
        <v>181</v>
      </c>
      <c r="M40" s="16" t="s">
        <v>182</v>
      </c>
      <c r="N40" s="14" t="s">
        <v>73</v>
      </c>
      <c r="O40" s="16" t="s">
        <v>74</v>
      </c>
      <c r="P40" s="16" t="s">
        <v>74</v>
      </c>
      <c r="Q40" s="16" t="s">
        <v>164</v>
      </c>
      <c r="R40" s="14" t="s">
        <v>165</v>
      </c>
      <c r="S40" s="14" t="s">
        <v>120</v>
      </c>
      <c r="T40" s="14" t="s">
        <v>145</v>
      </c>
      <c r="U40" s="14" t="s">
        <v>79</v>
      </c>
      <c r="V40" s="15">
        <v>40725</v>
      </c>
      <c r="W40" s="15"/>
      <c r="X40" s="16" t="s">
        <v>214</v>
      </c>
      <c r="Y40" s="17" t="s">
        <v>215</v>
      </c>
      <c r="Z40" s="18" t="str">
        <f>VLOOKUP(Y40,'Axe 2 Règles de gestion'!$D$2:$F$125,3, FALSE)</f>
        <v>L'agent peut s'absenter sans obtenir l'accord de son employeur dans la limite de 8 jours par année civile.</v>
      </c>
      <c r="AA40" s="17" t="s">
        <v>217</v>
      </c>
      <c r="AB40" s="18" t="str">
        <f>VLOOKUP(AA40,'Axe 2 Règles de gestion'!$D$2:$F$125,3, FALSE)</f>
        <v>La demande de l'agent doit être faite 1 mois au moins avant le début de l'absence.</v>
      </c>
      <c r="AC40" s="17" t="s">
        <v>218</v>
      </c>
      <c r="AD40" s="18" t="str">
        <f>VLOOKUP(AC40,'Axe 2 Règles de gestion'!$D$2:$F$125,3, FALSE)</f>
        <v>La demande de l'agent doit indiquer la date et la durée de l'absence envisagée.</v>
      </c>
      <c r="AE40" s="17" t="s">
        <v>220</v>
      </c>
      <c r="AF40" s="18" t="str">
        <f>VLOOKUP(AE40,'Axe 2 Règles de gestion'!$D$2:$F$125,3, FALSE)</f>
        <v>L'accord de l'administration est nécessaire dès que l'agent dépasse 8 jours d'absence par année civile.</v>
      </c>
      <c r="AG40" s="17"/>
      <c r="AH40" s="18"/>
      <c r="AI40" s="17"/>
      <c r="AJ40" s="18"/>
      <c r="AK40" s="17" t="s">
        <v>128</v>
      </c>
      <c r="AL40" s="18" t="str">
        <f>VLOOKUP(AK40,'Axe 2 Règles de gestion'!$D$2:$F$125,3, FALSE)</f>
        <v>La date de début du congé/absence doit être postérieure ou égale à la date de début du lien juridique.</v>
      </c>
      <c r="AM40" s="17" t="s">
        <v>95</v>
      </c>
      <c r="AN40" s="18" t="str">
        <f>VLOOKUP(AM40,'Axe 2 Règles de gestion'!$D$2:$F$125,3, FALSE)</f>
        <v>La date de début du congé/absence doit être antérieure ou égale à la date de fin prévisionnelle du congé/absence.</v>
      </c>
      <c r="AO40" s="17" t="s">
        <v>93</v>
      </c>
      <c r="AP40" s="18" t="str">
        <f>VLOOKUP(AO40,'Axe 2 Règles de gestion'!$D$2:$F$125,3, FALSE)</f>
        <v>La date de début du congé/absence doit être antérieure ou égale à la date de fin réelle du congé/absence.</v>
      </c>
      <c r="AQ40" s="17" t="s">
        <v>97</v>
      </c>
      <c r="AR40" s="18" t="str">
        <f>VLOOKUP(AQ40,'Axe 2 Règles de gestion'!$D$2:$F$125,3, FALSE)</f>
        <v>La date de fin réelle du congé/absence doit être antérieure à la date limite de départ à la retraite.</v>
      </c>
      <c r="AS40" s="17" t="s">
        <v>99</v>
      </c>
      <c r="AT40" s="18" t="str">
        <f>VLOOKUP(AS40,'Axe 2 Règles de gestion'!$D$2:$F$125,3, FALSE)</f>
        <v>La date de fin prévisionnelle du congé/absence doit être antérieure à la date limite de départ à la retraite.</v>
      </c>
      <c r="AU40" s="17" t="s">
        <v>130</v>
      </c>
      <c r="AV40" s="18" t="str">
        <f>VLOOKUP(AU40,'Axe 2 Règles de gestion'!$D$2:$F$125,3, FALSE)</f>
        <v>La date de fin réelle du congé/absence doit être antérieure ou égale à la date limite de fin réelle ou prévisionnelle du lien juridique.</v>
      </c>
      <c r="AW40" s="17" t="s">
        <v>132</v>
      </c>
      <c r="AX40" s="18" t="str">
        <f>VLOOKUP(AW40,'Axe 2 Règles de gestion'!$D$2:$F$125,3, FALSE)</f>
        <v>La date de fin prévisionnelle du congé/absence doit être antérieure ou égale à la date limite de fin réelle ou prévisionnelle du lien juridique.</v>
      </c>
      <c r="AY40" s="17" t="s">
        <v>103</v>
      </c>
      <c r="AZ40" s="18" t="str">
        <f>VLOOKUP(AY40,'Axe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40" s="17" t="s">
        <v>105</v>
      </c>
      <c r="BB40" s="18" t="str">
        <f>VLOOKUP(BA40,'Axe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40" s="17" t="s">
        <v>101</v>
      </c>
      <c r="BD40" s="18" t="str">
        <f>VLOOKUP(BC40,'Axe 2 Règles de gestion'!$D$2:$F$125,3, FALSE)</f>
        <v>La date de fin réelle ou la date de fin prévisionnelle du congé/absence doit être saisie.</v>
      </c>
      <c r="BE40" s="17" t="s">
        <v>107</v>
      </c>
      <c r="BF40" s="18" t="str">
        <f>VLOOKUP(BE40,'Axe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40" s="14" t="s">
        <v>74</v>
      </c>
      <c r="BH40" s="16" t="s">
        <v>74</v>
      </c>
    </row>
    <row r="41" spans="1:60" ht="130.5" x14ac:dyDescent="0.35">
      <c r="A41" s="14" t="s">
        <v>113</v>
      </c>
      <c r="B41" s="14" t="s">
        <v>62</v>
      </c>
      <c r="C41" s="15">
        <v>44852.466666666667</v>
      </c>
      <c r="D41" s="14" t="s">
        <v>63</v>
      </c>
      <c r="E41" s="16" t="s">
        <v>64</v>
      </c>
      <c r="F41" s="14" t="s">
        <v>65</v>
      </c>
      <c r="G41" s="16" t="s">
        <v>66</v>
      </c>
      <c r="H41" s="14" t="s">
        <v>177</v>
      </c>
      <c r="I41" s="16" t="s">
        <v>178</v>
      </c>
      <c r="J41" s="16" t="s">
        <v>179</v>
      </c>
      <c r="K41" s="16" t="s">
        <v>180</v>
      </c>
      <c r="L41" s="14" t="s">
        <v>191</v>
      </c>
      <c r="M41" s="16" t="s">
        <v>192</v>
      </c>
      <c r="N41" s="14" t="s">
        <v>111</v>
      </c>
      <c r="O41" s="16" t="s">
        <v>74</v>
      </c>
      <c r="P41" s="16" t="s">
        <v>74</v>
      </c>
      <c r="Q41" s="16" t="s">
        <v>164</v>
      </c>
      <c r="R41" s="14" t="s">
        <v>165</v>
      </c>
      <c r="S41" s="14" t="s">
        <v>120</v>
      </c>
      <c r="T41" s="14" t="s">
        <v>145</v>
      </c>
      <c r="U41" s="14" t="s">
        <v>79</v>
      </c>
      <c r="V41" s="15">
        <v>40725</v>
      </c>
      <c r="W41" s="15"/>
      <c r="X41" s="16" t="s">
        <v>211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 t="s">
        <v>128</v>
      </c>
      <c r="AL41" s="18" t="str">
        <f>VLOOKUP(AK41,'Axe 2 Règles de gestion'!$D$2:$F$125,3, FALSE)</f>
        <v>La date de début du congé/absence doit être postérieure ou égale à la date de début du lien juridique.</v>
      </c>
      <c r="AM41" s="17" t="s">
        <v>93</v>
      </c>
      <c r="AN41" s="18" t="str">
        <f>VLOOKUP(AM41,'Axe 2 Règles de gestion'!$D$2:$F$125,3, FALSE)</f>
        <v>La date de début du congé/absence doit être antérieure ou égale à la date de fin réelle du congé/absence.</v>
      </c>
      <c r="AO41" s="17" t="s">
        <v>95</v>
      </c>
      <c r="AP41" s="18" t="str">
        <f>VLOOKUP(AO41,'Axe 2 Règles de gestion'!$D$2:$F$125,3, FALSE)</f>
        <v>La date de début du congé/absence doit être antérieure ou égale à la date de fin prévisionnelle du congé/absence.</v>
      </c>
      <c r="AQ41" s="17" t="s">
        <v>97</v>
      </c>
      <c r="AR41" s="18" t="str">
        <f>VLOOKUP(AQ41,'Axe 2 Règles de gestion'!$D$2:$F$125,3, FALSE)</f>
        <v>La date de fin réelle du congé/absence doit être antérieure à la date limite de départ à la retraite.</v>
      </c>
      <c r="AS41" s="17" t="s">
        <v>99</v>
      </c>
      <c r="AT41" s="18" t="str">
        <f>VLOOKUP(AS41,'Axe 2 Règles de gestion'!$D$2:$F$125,3, FALSE)</f>
        <v>La date de fin prévisionnelle du congé/absence doit être antérieure à la date limite de départ à la retraite.</v>
      </c>
      <c r="AU41" s="17" t="s">
        <v>130</v>
      </c>
      <c r="AV41" s="18" t="str">
        <f>VLOOKUP(AU41,'Axe 2 Règles de gestion'!$D$2:$F$125,3, FALSE)</f>
        <v>La date de fin réelle du congé/absence doit être antérieure ou égale à la date limite de fin réelle ou prévisionnelle du lien juridique.</v>
      </c>
      <c r="AW41" s="17" t="s">
        <v>132</v>
      </c>
      <c r="AX41" s="18" t="str">
        <f>VLOOKUP(AW41,'Axe 2 Règles de gestion'!$D$2:$F$125,3, FALSE)</f>
        <v>La date de fin prévisionnelle du congé/absence doit être antérieure ou égale à la date limite de fin réelle ou prévisionnelle du lien juridique.</v>
      </c>
      <c r="AY41" s="17" t="s">
        <v>103</v>
      </c>
      <c r="AZ41" s="18" t="str">
        <f>VLOOKUP(AY41,'Axe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41" s="17" t="s">
        <v>105</v>
      </c>
      <c r="BB41" s="18" t="str">
        <f>VLOOKUP(BA41,'Axe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41" s="17" t="s">
        <v>101</v>
      </c>
      <c r="BD41" s="18" t="str">
        <f>VLOOKUP(BC41,'Axe 2 Règles de gestion'!$D$2:$F$125,3, FALSE)</f>
        <v>La date de fin réelle ou la date de fin prévisionnelle du congé/absence doit être saisie.</v>
      </c>
      <c r="BE41" s="17" t="s">
        <v>107</v>
      </c>
      <c r="BF41" s="18" t="str">
        <f>VLOOKUP(BE41,'Axe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41" s="14" t="s">
        <v>74</v>
      </c>
      <c r="BH41" s="16" t="s">
        <v>74</v>
      </c>
    </row>
    <row r="42" spans="1:60" ht="130.5" x14ac:dyDescent="0.35">
      <c r="A42" s="14" t="s">
        <v>197</v>
      </c>
      <c r="B42" s="14" t="s">
        <v>116</v>
      </c>
      <c r="C42" s="15">
        <v>45993.658333333333</v>
      </c>
      <c r="D42" s="14" t="s">
        <v>63</v>
      </c>
      <c r="E42" s="16" t="s">
        <v>64</v>
      </c>
      <c r="F42" s="14" t="s">
        <v>65</v>
      </c>
      <c r="G42" s="16" t="s">
        <v>66</v>
      </c>
      <c r="H42" s="14" t="s">
        <v>177</v>
      </c>
      <c r="I42" s="16" t="s">
        <v>178</v>
      </c>
      <c r="J42" s="16" t="s">
        <v>179</v>
      </c>
      <c r="K42" s="16" t="s">
        <v>180</v>
      </c>
      <c r="L42" s="14" t="s">
        <v>181</v>
      </c>
      <c r="M42" s="16" t="s">
        <v>182</v>
      </c>
      <c r="N42" s="14" t="s">
        <v>73</v>
      </c>
      <c r="O42" s="16" t="s">
        <v>74</v>
      </c>
      <c r="P42" s="16" t="s">
        <v>74</v>
      </c>
      <c r="Q42" s="16" t="s">
        <v>166</v>
      </c>
      <c r="R42" s="14" t="s">
        <v>167</v>
      </c>
      <c r="S42" s="14" t="s">
        <v>120</v>
      </c>
      <c r="T42" s="14" t="s">
        <v>145</v>
      </c>
      <c r="U42" s="14" t="s">
        <v>79</v>
      </c>
      <c r="V42" s="15">
        <v>40725</v>
      </c>
      <c r="W42" s="15"/>
      <c r="X42" s="16" t="s">
        <v>222</v>
      </c>
      <c r="Y42" s="17" t="s">
        <v>223</v>
      </c>
      <c r="Z42" s="18" t="str">
        <f>VLOOKUP(Y42,'Axe 2 Règles de gestion'!$D$2:$F$125,3, FALSE)</f>
        <v>L'agent bénéficie des dispositions applicables aux agents stagiaires pour la période d'instruction militaire.</v>
      </c>
      <c r="AA42" s="17"/>
      <c r="AB42" s="18"/>
      <c r="AC42" s="17"/>
      <c r="AD42" s="18"/>
      <c r="AE42" s="17"/>
      <c r="AF42" s="18"/>
      <c r="AG42" s="17" t="s">
        <v>199</v>
      </c>
      <c r="AH42" s="18" t="str">
        <f>VLOOKUP(AG42,'Axe 2 Règles de gestion'!$D$2:$F$125,3, FALSE)</f>
        <v>L'agent doit être en activité.</v>
      </c>
      <c r="AI42" s="17" t="s">
        <v>200</v>
      </c>
      <c r="AJ42" s="18" t="str">
        <f>VLOOKUP(AI42,'Axe 2 Règles de gestion'!$D$2:$F$125,3, FALSE)</f>
        <v>La durée du congé doit être inférieure ou égale à 30 jours cumulés par année civile.</v>
      </c>
      <c r="AK42" s="17" t="s">
        <v>91</v>
      </c>
      <c r="AL42" s="18" t="str">
        <f>VLOOKUP(AK42,'Axe 2 Règles de gestion'!$D$2:$F$125,3, FALSE)</f>
        <v>La date de début du congé/absence doit être postérieure ou égale à la date de recrutement dans la FPE ou dans la carrière militaire.</v>
      </c>
      <c r="AM42" s="17" t="s">
        <v>93</v>
      </c>
      <c r="AN42" s="18" t="str">
        <f>VLOOKUP(AM42,'Axe 2 Règles de gestion'!$D$2:$F$125,3, FALSE)</f>
        <v>La date de début du congé/absence doit être antérieure ou égale à la date de fin réelle du congé/absence.</v>
      </c>
      <c r="AO42" s="17" t="s">
        <v>95</v>
      </c>
      <c r="AP42" s="18" t="str">
        <f>VLOOKUP(AO42,'Axe 2 Règles de gestion'!$D$2:$F$125,3, FALSE)</f>
        <v>La date de début du congé/absence doit être antérieure ou égale à la date de fin prévisionnelle du congé/absence.</v>
      </c>
      <c r="AQ42" s="17" t="s">
        <v>97</v>
      </c>
      <c r="AR42" s="18" t="str">
        <f>VLOOKUP(AQ42,'Axe 2 Règles de gestion'!$D$2:$F$125,3, FALSE)</f>
        <v>La date de fin réelle du congé/absence doit être antérieure à la date limite de départ à la retraite.</v>
      </c>
      <c r="AS42" s="17" t="s">
        <v>99</v>
      </c>
      <c r="AT42" s="18" t="str">
        <f>VLOOKUP(AS42,'Axe 2 Règles de gestion'!$D$2:$F$125,3, FALSE)</f>
        <v>La date de fin prévisionnelle du congé/absence doit être antérieure à la date limite de départ à la retraite.</v>
      </c>
      <c r="AU42" s="17" t="s">
        <v>101</v>
      </c>
      <c r="AV42" s="18" t="str">
        <f>VLOOKUP(AU42,'Axe 2 Règles de gestion'!$D$2:$F$125,3, FALSE)</f>
        <v>La date de fin réelle ou la date de fin prévisionnelle du congé/absence doit être saisie.</v>
      </c>
      <c r="AW42" s="17" t="s">
        <v>103</v>
      </c>
      <c r="AX42" s="18" t="str">
        <f>VLOOKUP(AW42,'Axe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42" s="17" t="s">
        <v>105</v>
      </c>
      <c r="AZ42" s="18" t="str">
        <f>VLOOKUP(AY42,'Axe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42" s="17" t="s">
        <v>107</v>
      </c>
      <c r="BB42" s="18" t="str">
        <f>VLOOKUP(BA42,'Axe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42" s="17"/>
      <c r="BD42" s="18"/>
      <c r="BE42" s="17"/>
      <c r="BF42" s="18"/>
      <c r="BG42" s="14" t="s">
        <v>74</v>
      </c>
      <c r="BH42" s="16" t="s">
        <v>74</v>
      </c>
    </row>
    <row r="43" spans="1:60" ht="130.5" x14ac:dyDescent="0.35">
      <c r="A43" s="14" t="s">
        <v>197</v>
      </c>
      <c r="B43" s="14" t="s">
        <v>116</v>
      </c>
      <c r="C43" s="15">
        <v>45994.498611111114</v>
      </c>
      <c r="D43" s="14" t="s">
        <v>63</v>
      </c>
      <c r="E43" s="16" t="s">
        <v>64</v>
      </c>
      <c r="F43" s="14" t="s">
        <v>65</v>
      </c>
      <c r="G43" s="16" t="s">
        <v>66</v>
      </c>
      <c r="H43" s="14" t="s">
        <v>177</v>
      </c>
      <c r="I43" s="16" t="s">
        <v>178</v>
      </c>
      <c r="J43" s="16" t="s">
        <v>179</v>
      </c>
      <c r="K43" s="16" t="s">
        <v>180</v>
      </c>
      <c r="L43" s="14" t="s">
        <v>191</v>
      </c>
      <c r="M43" s="16" t="s">
        <v>192</v>
      </c>
      <c r="N43" s="14" t="s">
        <v>111</v>
      </c>
      <c r="O43" s="16" t="s">
        <v>74</v>
      </c>
      <c r="P43" s="16" t="s">
        <v>74</v>
      </c>
      <c r="Q43" s="16" t="s">
        <v>166</v>
      </c>
      <c r="R43" s="14" t="s">
        <v>167</v>
      </c>
      <c r="S43" s="14" t="s">
        <v>120</v>
      </c>
      <c r="T43" s="14" t="s">
        <v>145</v>
      </c>
      <c r="U43" s="14" t="s">
        <v>79</v>
      </c>
      <c r="V43" s="15">
        <v>40725</v>
      </c>
      <c r="W43" s="15"/>
      <c r="X43" s="16" t="s">
        <v>225</v>
      </c>
      <c r="Y43" s="17" t="s">
        <v>223</v>
      </c>
      <c r="Z43" s="18" t="str">
        <f>VLOOKUP(Y43,'Axe 2 Règles de gestion'!$D$2:$F$125,3, FALSE)</f>
        <v>L'agent bénéficie des dispositions applicables aux agents stagiaires pour la période d'instruction militaire.</v>
      </c>
      <c r="AA43" s="17"/>
      <c r="AB43" s="18"/>
      <c r="AC43" s="17"/>
      <c r="AD43" s="18"/>
      <c r="AE43" s="17"/>
      <c r="AF43" s="18"/>
      <c r="AG43" s="17" t="s">
        <v>199</v>
      </c>
      <c r="AH43" s="18" t="str">
        <f>VLOOKUP(AG43,'Axe 2 Règles de gestion'!$D$2:$F$125,3, FALSE)</f>
        <v>L'agent doit être en activité.</v>
      </c>
      <c r="AI43" s="17" t="s">
        <v>200</v>
      </c>
      <c r="AJ43" s="18" t="str">
        <f>VLOOKUP(AI43,'Axe 2 Règles de gestion'!$D$2:$F$125,3, FALSE)</f>
        <v>La durée du congé doit être inférieure ou égale à 30 jours cumulés par année civile.</v>
      </c>
      <c r="AK43" s="17" t="s">
        <v>93</v>
      </c>
      <c r="AL43" s="18" t="str">
        <f>VLOOKUP(AK43,'Axe 2 Règles de gestion'!$D$2:$F$125,3, FALSE)</f>
        <v>La date de début du congé/absence doit être antérieure ou égale à la date de fin réelle du congé/absence.</v>
      </c>
      <c r="AM43" s="17" t="s">
        <v>95</v>
      </c>
      <c r="AN43" s="18" t="str">
        <f>VLOOKUP(AM43,'Axe 2 Règles de gestion'!$D$2:$F$125,3, FALSE)</f>
        <v>La date de début du congé/absence doit être antérieure ou égale à la date de fin prévisionnelle du congé/absence.</v>
      </c>
      <c r="AO43" s="17" t="s">
        <v>97</v>
      </c>
      <c r="AP43" s="18" t="str">
        <f>VLOOKUP(AO43,'Axe 2 Règles de gestion'!$D$2:$F$125,3, FALSE)</f>
        <v>La date de fin réelle du congé/absence doit être antérieure à la date limite de départ à la retraite.</v>
      </c>
      <c r="AQ43" s="17" t="s">
        <v>99</v>
      </c>
      <c r="AR43" s="18" t="str">
        <f>VLOOKUP(AQ43,'Axe 2 Règles de gestion'!$D$2:$F$125,3, FALSE)</f>
        <v>La date de fin prévisionnelle du congé/absence doit être antérieure à la date limite de départ à la retraite.</v>
      </c>
      <c r="AS43" s="17" t="s">
        <v>101</v>
      </c>
      <c r="AT43" s="18" t="str">
        <f>VLOOKUP(AS43,'Axe 2 Règles de gestion'!$D$2:$F$125,3, FALSE)</f>
        <v>La date de fin réelle ou la date de fin prévisionnelle du congé/absence doit être saisie.</v>
      </c>
      <c r="AU43" s="17" t="s">
        <v>103</v>
      </c>
      <c r="AV43" s="18" t="str">
        <f>VLOOKUP(AU43,'Axe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W43" s="17" t="s">
        <v>105</v>
      </c>
      <c r="AX43" s="18" t="str">
        <f>VLOOKUP(AW43,'Axe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AY43" s="17" t="s">
        <v>107</v>
      </c>
      <c r="AZ43" s="18" t="str">
        <f>VLOOKUP(AY43,'Axe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A43" s="17"/>
      <c r="BB43" s="18"/>
      <c r="BC43" s="17"/>
      <c r="BD43" s="18"/>
      <c r="BE43" s="17"/>
      <c r="BF43" s="18"/>
      <c r="BG43" s="14" t="s">
        <v>74</v>
      </c>
      <c r="BH43" s="16" t="s">
        <v>74</v>
      </c>
    </row>
    <row r="44" spans="1:60" ht="130.5" x14ac:dyDescent="0.35">
      <c r="A44" s="14" t="s">
        <v>113</v>
      </c>
      <c r="B44" s="14" t="s">
        <v>62</v>
      </c>
      <c r="C44" s="15">
        <v>44852.462500000001</v>
      </c>
      <c r="D44" s="14" t="s">
        <v>63</v>
      </c>
      <c r="E44" s="16" t="s">
        <v>64</v>
      </c>
      <c r="F44" s="14" t="s">
        <v>65</v>
      </c>
      <c r="G44" s="16" t="s">
        <v>66</v>
      </c>
      <c r="H44" s="14" t="s">
        <v>177</v>
      </c>
      <c r="I44" s="16" t="s">
        <v>178</v>
      </c>
      <c r="J44" s="16" t="s">
        <v>179</v>
      </c>
      <c r="K44" s="16" t="s">
        <v>180</v>
      </c>
      <c r="L44" s="14" t="s">
        <v>181</v>
      </c>
      <c r="M44" s="16" t="s">
        <v>182</v>
      </c>
      <c r="N44" s="14" t="s">
        <v>73</v>
      </c>
      <c r="O44" s="16" t="s">
        <v>74</v>
      </c>
      <c r="P44" s="16" t="s">
        <v>74</v>
      </c>
      <c r="Q44" s="16" t="s">
        <v>168</v>
      </c>
      <c r="R44" s="14" t="s">
        <v>169</v>
      </c>
      <c r="S44" s="14" t="s">
        <v>120</v>
      </c>
      <c r="T44" s="14" t="s">
        <v>145</v>
      </c>
      <c r="U44" s="14" t="s">
        <v>79</v>
      </c>
      <c r="V44" s="15">
        <v>40725</v>
      </c>
      <c r="W44" s="15"/>
      <c r="X44" s="16" t="s">
        <v>226</v>
      </c>
      <c r="Y44" s="17" t="s">
        <v>227</v>
      </c>
      <c r="Z44" s="18" t="str">
        <f>VLOOKUP(Y44,'Axe 2 Règles de gestion'!$D$2:$F$125,3, FALSE)</f>
        <v>L'agent bénéficie des dispositions applicables aux agents titulaires pour la période d'instruction militaire.</v>
      </c>
      <c r="AA44" s="17" t="s">
        <v>184</v>
      </c>
      <c r="AB44" s="18" t="str">
        <f>VLOOKUP(AA44,'Axe 2 Règles de gestion'!$D$2:$F$125,3, FALSE)</f>
        <v>La demande de l'agent doit être faite 1 mois au moins avant le début de l'absence.</v>
      </c>
      <c r="AC44" s="17" t="s">
        <v>186</v>
      </c>
      <c r="AD44" s="18" t="str">
        <f>VLOOKUP(AC44,'Axe 2 Règles de gestion'!$D$2:$F$125,3, FALSE)</f>
        <v>L'accord de l'administration est nécessaire dès que l'agent dépasse 5 jours d'absence par année civile sauf s'il suit une formation professionnelle pendant son absence.</v>
      </c>
      <c r="AE44" s="17"/>
      <c r="AF44" s="18"/>
      <c r="AG44" s="17" t="s">
        <v>188</v>
      </c>
      <c r="AH44" s="18" t="str">
        <f>VLOOKUP(AG44,'Axe 2 Règles de gestion'!$D$2:$F$125,3, FALSE)</f>
        <v>La durée du congé doit être inférieure ou égale à 30 jours cumulés par année civile.</v>
      </c>
      <c r="AI44" s="17" t="s">
        <v>190</v>
      </c>
      <c r="AJ44" s="18" t="str">
        <f>VLOOKUP(AI44,'Axe 2 Règles de gestion'!$D$2:$F$125,3, FALSE)</f>
        <v>L'agent doit être en activité.</v>
      </c>
      <c r="AK44" s="17" t="s">
        <v>91</v>
      </c>
      <c r="AL44" s="18" t="str">
        <f>VLOOKUP(AK44,'Axe 2 Règles de gestion'!$D$2:$F$125,3, FALSE)</f>
        <v>La date de début du congé/absence doit être postérieure ou égale à la date de recrutement dans la FPE ou dans la carrière militaire.</v>
      </c>
      <c r="AM44" s="17" t="s">
        <v>93</v>
      </c>
      <c r="AN44" s="18" t="str">
        <f>VLOOKUP(AM44,'Axe 2 Règles de gestion'!$D$2:$F$125,3, FALSE)</f>
        <v>La date de début du congé/absence doit être antérieure ou égale à la date de fin réelle du congé/absence.</v>
      </c>
      <c r="AO44" s="17" t="s">
        <v>95</v>
      </c>
      <c r="AP44" s="18" t="str">
        <f>VLOOKUP(AO44,'Axe 2 Règles de gestion'!$D$2:$F$125,3, FALSE)</f>
        <v>La date de début du congé/absence doit être antérieure ou égale à la date de fin prévisionnelle du congé/absence.</v>
      </c>
      <c r="AQ44" s="17" t="s">
        <v>97</v>
      </c>
      <c r="AR44" s="18" t="str">
        <f>VLOOKUP(AQ44,'Axe 2 Règles de gestion'!$D$2:$F$125,3, FALSE)</f>
        <v>La date de fin réelle du congé/absence doit être antérieure à la date limite de départ à la retraite.</v>
      </c>
      <c r="AS44" s="17" t="s">
        <v>99</v>
      </c>
      <c r="AT44" s="18" t="str">
        <f>VLOOKUP(AS44,'Axe 2 Règles de gestion'!$D$2:$F$125,3, FALSE)</f>
        <v>La date de fin prévisionnelle du congé/absence doit être antérieure à la date limite de départ à la retraite.</v>
      </c>
      <c r="AU44" s="17" t="s">
        <v>101</v>
      </c>
      <c r="AV44" s="18" t="str">
        <f>VLOOKUP(AU44,'Axe 2 Règles de gestion'!$D$2:$F$125,3, FALSE)</f>
        <v>La date de fin réelle ou la date de fin prévisionnelle du congé/absence doit être saisie.</v>
      </c>
      <c r="AW44" s="17" t="s">
        <v>103</v>
      </c>
      <c r="AX44" s="18" t="str">
        <f>VLOOKUP(AW44,'Axe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44" s="17" t="s">
        <v>105</v>
      </c>
      <c r="AZ44" s="18" t="str">
        <f>VLOOKUP(AY44,'Axe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44" s="17" t="s">
        <v>107</v>
      </c>
      <c r="BB44" s="18" t="str">
        <f>VLOOKUP(BA44,'Axe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44" s="17"/>
      <c r="BD44" s="18"/>
      <c r="BE44" s="17"/>
      <c r="BF44" s="18"/>
      <c r="BG44" s="14" t="s">
        <v>74</v>
      </c>
      <c r="BH44" s="16" t="s">
        <v>74</v>
      </c>
    </row>
    <row r="45" spans="1:60" ht="116" x14ac:dyDescent="0.35">
      <c r="A45" s="14" t="s">
        <v>113</v>
      </c>
      <c r="B45" s="14" t="s">
        <v>62</v>
      </c>
      <c r="C45" s="15">
        <v>44852.466666666667</v>
      </c>
      <c r="D45" s="14" t="s">
        <v>63</v>
      </c>
      <c r="E45" s="16" t="s">
        <v>64</v>
      </c>
      <c r="F45" s="14" t="s">
        <v>65</v>
      </c>
      <c r="G45" s="16" t="s">
        <v>66</v>
      </c>
      <c r="H45" s="14" t="s">
        <v>177</v>
      </c>
      <c r="I45" s="16" t="s">
        <v>178</v>
      </c>
      <c r="J45" s="16" t="s">
        <v>179</v>
      </c>
      <c r="K45" s="16" t="s">
        <v>180</v>
      </c>
      <c r="L45" s="14" t="s">
        <v>191</v>
      </c>
      <c r="M45" s="16" t="s">
        <v>192</v>
      </c>
      <c r="N45" s="14" t="s">
        <v>111</v>
      </c>
      <c r="O45" s="16" t="s">
        <v>74</v>
      </c>
      <c r="P45" s="16" t="s">
        <v>74</v>
      </c>
      <c r="Q45" s="16" t="s">
        <v>168</v>
      </c>
      <c r="R45" s="14" t="s">
        <v>169</v>
      </c>
      <c r="S45" s="14" t="s">
        <v>120</v>
      </c>
      <c r="T45" s="14" t="s">
        <v>145</v>
      </c>
      <c r="U45" s="14" t="s">
        <v>79</v>
      </c>
      <c r="V45" s="15">
        <v>40725</v>
      </c>
      <c r="W45" s="15"/>
      <c r="X45" s="16" t="s">
        <v>193</v>
      </c>
      <c r="Y45" s="17"/>
      <c r="Z45" s="18"/>
      <c r="AA45" s="17"/>
      <c r="AB45" s="18"/>
      <c r="AC45" s="17"/>
      <c r="AD45" s="18"/>
      <c r="AE45" s="17"/>
      <c r="AF45" s="18"/>
      <c r="AG45" s="17" t="s">
        <v>188</v>
      </c>
      <c r="AH45" s="18" t="str">
        <f>VLOOKUP(AG45,'Axe 2 Règles de gestion'!$D$2:$F$125,3, FALSE)</f>
        <v>La durée du congé doit être inférieure ou égale à 30 jours cumulés par année civile.</v>
      </c>
      <c r="AI45" s="17" t="s">
        <v>190</v>
      </c>
      <c r="AJ45" s="18" t="str">
        <f>VLOOKUP(AI45,'Axe 2 Règles de gestion'!$D$2:$F$125,3, FALSE)</f>
        <v>L'agent doit être en activité.</v>
      </c>
      <c r="AK45" s="17" t="s">
        <v>93</v>
      </c>
      <c r="AL45" s="18" t="str">
        <f>VLOOKUP(AK45,'Axe 2 Règles de gestion'!$D$2:$F$125,3, FALSE)</f>
        <v>La date de début du congé/absence doit être antérieure ou égale à la date de fin réelle du congé/absence.</v>
      </c>
      <c r="AM45" s="17" t="s">
        <v>95</v>
      </c>
      <c r="AN45" s="18" t="str">
        <f>VLOOKUP(AM45,'Axe 2 Règles de gestion'!$D$2:$F$125,3, FALSE)</f>
        <v>La date de début du congé/absence doit être antérieure ou égale à la date de fin prévisionnelle du congé/absence.</v>
      </c>
      <c r="AO45" s="17" t="s">
        <v>97</v>
      </c>
      <c r="AP45" s="18" t="str">
        <f>VLOOKUP(AO45,'Axe 2 Règles de gestion'!$D$2:$F$125,3, FALSE)</f>
        <v>La date de fin réelle du congé/absence doit être antérieure à la date limite de départ à la retraite.</v>
      </c>
      <c r="AQ45" s="17" t="s">
        <v>99</v>
      </c>
      <c r="AR45" s="18" t="str">
        <f>VLOOKUP(AQ45,'Axe 2 Règles de gestion'!$D$2:$F$125,3, FALSE)</f>
        <v>La date de fin prévisionnelle du congé/absence doit être antérieure à la date limite de départ à la retraite.</v>
      </c>
      <c r="AS45" s="17" t="s">
        <v>101</v>
      </c>
      <c r="AT45" s="18" t="str">
        <f>VLOOKUP(AS45,'Axe 2 Règles de gestion'!$D$2:$F$125,3, FALSE)</f>
        <v>La date de fin réelle ou la date de fin prévisionnelle du congé/absence doit être saisie.</v>
      </c>
      <c r="AU45" s="17" t="s">
        <v>107</v>
      </c>
      <c r="AV45" s="18" t="str">
        <f>VLOOKUP(AU45,'Axe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45" s="17"/>
      <c r="AX45" s="18"/>
      <c r="AY45" s="17"/>
      <c r="AZ45" s="18"/>
      <c r="BA45" s="17"/>
      <c r="BB45" s="18"/>
      <c r="BC45" s="17"/>
      <c r="BD45" s="18"/>
      <c r="BE45" s="17"/>
      <c r="BF45" s="18"/>
      <c r="BG45" s="14" t="s">
        <v>74</v>
      </c>
      <c r="BH45" s="16" t="s">
        <v>74</v>
      </c>
    </row>
    <row r="46" spans="1:60" ht="130.5" x14ac:dyDescent="0.35">
      <c r="A46" s="14" t="s">
        <v>113</v>
      </c>
      <c r="B46" s="14" t="s">
        <v>62</v>
      </c>
      <c r="C46" s="15">
        <v>44861.636805555558</v>
      </c>
      <c r="D46" s="14" t="s">
        <v>63</v>
      </c>
      <c r="E46" s="16" t="s">
        <v>64</v>
      </c>
      <c r="F46" s="14" t="s">
        <v>65</v>
      </c>
      <c r="G46" s="16" t="s">
        <v>66</v>
      </c>
      <c r="H46" s="14" t="s">
        <v>228</v>
      </c>
      <c r="I46" s="16" t="s">
        <v>229</v>
      </c>
      <c r="J46" s="16" t="s">
        <v>230</v>
      </c>
      <c r="K46" s="16" t="s">
        <v>231</v>
      </c>
      <c r="L46" s="14" t="s">
        <v>232</v>
      </c>
      <c r="M46" s="16" t="s">
        <v>233</v>
      </c>
      <c r="N46" s="14" t="s">
        <v>73</v>
      </c>
      <c r="O46" s="16" t="s">
        <v>74</v>
      </c>
      <c r="P46" s="16" t="s">
        <v>74</v>
      </c>
      <c r="Q46" s="16" t="s">
        <v>75</v>
      </c>
      <c r="R46" s="14" t="s">
        <v>76</v>
      </c>
      <c r="S46" s="14" t="s">
        <v>77</v>
      </c>
      <c r="T46" s="14" t="s">
        <v>78</v>
      </c>
      <c r="U46" s="14" t="s">
        <v>79</v>
      </c>
      <c r="V46" s="15">
        <v>40725</v>
      </c>
      <c r="W46" s="15"/>
      <c r="X46" s="16" t="s">
        <v>183</v>
      </c>
      <c r="Y46" s="17" t="s">
        <v>184</v>
      </c>
      <c r="Z46" s="18" t="str">
        <f>VLOOKUP(Y46,'Axe 2 Règles de gestion'!$D$2:$F$125,3, FALSE)</f>
        <v>La demande de l'agent doit être faite 1 mois au moins avant le début de l'absence.</v>
      </c>
      <c r="AA46" s="17" t="s">
        <v>186</v>
      </c>
      <c r="AB46" s="18" t="str">
        <f>VLOOKUP(AA46,'Axe 2 Règles de gestion'!$D$2:$F$125,3, FALSE)</f>
        <v>L'accord de l'administration est nécessaire dès que l'agent dépasse 5 jours d'absence par année civile sauf s'il suit une formation professionnelle pendant son absence.</v>
      </c>
      <c r="AC46" s="17"/>
      <c r="AD46" s="18"/>
      <c r="AE46" s="17"/>
      <c r="AF46" s="18"/>
      <c r="AG46" s="17" t="s">
        <v>188</v>
      </c>
      <c r="AH46" s="18" t="str">
        <f>VLOOKUP(AG46,'Axe 2 Règles de gestion'!$D$2:$F$125,3, FALSE)</f>
        <v>La durée du congé doit être inférieure ou égale à 30 jours cumulés par année civile.</v>
      </c>
      <c r="AI46" s="17" t="s">
        <v>190</v>
      </c>
      <c r="AJ46" s="18" t="str">
        <f>VLOOKUP(AI46,'Axe 2 Règles de gestion'!$D$2:$F$125,3, FALSE)</f>
        <v>L'agent doit être en activité.</v>
      </c>
      <c r="AK46" s="17" t="s">
        <v>91</v>
      </c>
      <c r="AL46" s="18" t="str">
        <f>VLOOKUP(AK46,'Axe 2 Règles de gestion'!$D$2:$F$125,3, FALSE)</f>
        <v>La date de début du congé/absence doit être postérieure ou égale à la date de recrutement dans la FPE ou dans la carrière militaire.</v>
      </c>
      <c r="AM46" s="17" t="s">
        <v>93</v>
      </c>
      <c r="AN46" s="18" t="str">
        <f>VLOOKUP(AM46,'Axe 2 Règles de gestion'!$D$2:$F$125,3, FALSE)</f>
        <v>La date de début du congé/absence doit être antérieure ou égale à la date de fin réelle du congé/absence.</v>
      </c>
      <c r="AO46" s="17" t="s">
        <v>95</v>
      </c>
      <c r="AP46" s="18" t="str">
        <f>VLOOKUP(AO46,'Axe 2 Règles de gestion'!$D$2:$F$125,3, FALSE)</f>
        <v>La date de début du congé/absence doit être antérieure ou égale à la date de fin prévisionnelle du congé/absence.</v>
      </c>
      <c r="AQ46" s="17" t="s">
        <v>97</v>
      </c>
      <c r="AR46" s="18" t="str">
        <f>VLOOKUP(AQ46,'Axe 2 Règles de gestion'!$D$2:$F$125,3, FALSE)</f>
        <v>La date de fin réelle du congé/absence doit être antérieure à la date limite de départ à la retraite.</v>
      </c>
      <c r="AS46" s="17" t="s">
        <v>99</v>
      </c>
      <c r="AT46" s="18" t="str">
        <f>VLOOKUP(AS46,'Axe 2 Règles de gestion'!$D$2:$F$125,3, FALSE)</f>
        <v>La date de fin prévisionnelle du congé/absence doit être antérieure à la date limite de départ à la retraite.</v>
      </c>
      <c r="AU46" s="17" t="s">
        <v>101</v>
      </c>
      <c r="AV46" s="18" t="str">
        <f>VLOOKUP(AU46,'Axe 2 Règles de gestion'!$D$2:$F$125,3, FALSE)</f>
        <v>La date de fin réelle ou la date de fin prévisionnelle du congé/absence doit être saisie.</v>
      </c>
      <c r="AW46" s="17" t="s">
        <v>103</v>
      </c>
      <c r="AX46" s="18" t="str">
        <f>VLOOKUP(AW46,'Axe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46" s="17" t="s">
        <v>105</v>
      </c>
      <c r="AZ46" s="18" t="str">
        <f>VLOOKUP(AY46,'Axe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46" s="17" t="s">
        <v>107</v>
      </c>
      <c r="BB46" s="18" t="str">
        <f>VLOOKUP(BA46,'Axe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46" s="17"/>
      <c r="BD46" s="18"/>
      <c r="BE46" s="17"/>
      <c r="BF46" s="18"/>
      <c r="BG46" s="14" t="s">
        <v>74</v>
      </c>
      <c r="BH46" s="16" t="s">
        <v>74</v>
      </c>
    </row>
    <row r="47" spans="1:60" ht="116" x14ac:dyDescent="0.35">
      <c r="A47" s="14" t="s">
        <v>113</v>
      </c>
      <c r="B47" s="14" t="s">
        <v>62</v>
      </c>
      <c r="C47" s="15">
        <v>44852.474999999999</v>
      </c>
      <c r="D47" s="14" t="s">
        <v>63</v>
      </c>
      <c r="E47" s="16" t="s">
        <v>64</v>
      </c>
      <c r="F47" s="14" t="s">
        <v>65</v>
      </c>
      <c r="G47" s="16" t="s">
        <v>66</v>
      </c>
      <c r="H47" s="14" t="s">
        <v>228</v>
      </c>
      <c r="I47" s="16" t="s">
        <v>229</v>
      </c>
      <c r="J47" s="16" t="s">
        <v>230</v>
      </c>
      <c r="K47" s="16" t="s">
        <v>231</v>
      </c>
      <c r="L47" s="14" t="s">
        <v>234</v>
      </c>
      <c r="M47" s="16" t="s">
        <v>235</v>
      </c>
      <c r="N47" s="14" t="s">
        <v>111</v>
      </c>
      <c r="O47" s="16" t="s">
        <v>74</v>
      </c>
      <c r="P47" s="16" t="s">
        <v>74</v>
      </c>
      <c r="Q47" s="16" t="s">
        <v>75</v>
      </c>
      <c r="R47" s="14" t="s">
        <v>76</v>
      </c>
      <c r="S47" s="14" t="s">
        <v>77</v>
      </c>
      <c r="T47" s="14" t="s">
        <v>78</v>
      </c>
      <c r="U47" s="14" t="s">
        <v>79</v>
      </c>
      <c r="V47" s="15">
        <v>40725</v>
      </c>
      <c r="W47" s="15"/>
      <c r="X47" s="16" t="s">
        <v>193</v>
      </c>
      <c r="Y47" s="17"/>
      <c r="Z47" s="18"/>
      <c r="AA47" s="17"/>
      <c r="AB47" s="18"/>
      <c r="AC47" s="17"/>
      <c r="AD47" s="18"/>
      <c r="AE47" s="17"/>
      <c r="AF47" s="18"/>
      <c r="AG47" s="17" t="s">
        <v>188</v>
      </c>
      <c r="AH47" s="18" t="str">
        <f>VLOOKUP(AG47,'Axe 2 Règles de gestion'!$D$2:$F$125,3, FALSE)</f>
        <v>La durée du congé doit être inférieure ou égale à 30 jours cumulés par année civile.</v>
      </c>
      <c r="AI47" s="17" t="s">
        <v>190</v>
      </c>
      <c r="AJ47" s="18" t="str">
        <f>VLOOKUP(AI47,'Axe 2 Règles de gestion'!$D$2:$F$125,3, FALSE)</f>
        <v>L'agent doit être en activité.</v>
      </c>
      <c r="AK47" s="17" t="s">
        <v>93</v>
      </c>
      <c r="AL47" s="18" t="str">
        <f>VLOOKUP(AK47,'Axe 2 Règles de gestion'!$D$2:$F$125,3, FALSE)</f>
        <v>La date de début du congé/absence doit être antérieure ou égale à la date de fin réelle du congé/absence.</v>
      </c>
      <c r="AM47" s="17" t="s">
        <v>95</v>
      </c>
      <c r="AN47" s="18" t="str">
        <f>VLOOKUP(AM47,'Axe 2 Règles de gestion'!$D$2:$F$125,3, FALSE)</f>
        <v>La date de début du congé/absence doit être antérieure ou égale à la date de fin prévisionnelle du congé/absence.</v>
      </c>
      <c r="AO47" s="17" t="s">
        <v>97</v>
      </c>
      <c r="AP47" s="18" t="str">
        <f>VLOOKUP(AO47,'Axe 2 Règles de gestion'!$D$2:$F$125,3, FALSE)</f>
        <v>La date de fin réelle du congé/absence doit être antérieure à la date limite de départ à la retraite.</v>
      </c>
      <c r="AQ47" s="17" t="s">
        <v>99</v>
      </c>
      <c r="AR47" s="18" t="str">
        <f>VLOOKUP(AQ47,'Axe 2 Règles de gestion'!$D$2:$F$125,3, FALSE)</f>
        <v>La date de fin prévisionnelle du congé/absence doit être antérieure à la date limite de départ à la retraite.</v>
      </c>
      <c r="AS47" s="17" t="s">
        <v>101</v>
      </c>
      <c r="AT47" s="18" t="str">
        <f>VLOOKUP(AS47,'Axe 2 Règles de gestion'!$D$2:$F$125,3, FALSE)</f>
        <v>La date de fin réelle ou la date de fin prévisionnelle du congé/absence doit être saisie.</v>
      </c>
      <c r="AU47" s="17" t="s">
        <v>107</v>
      </c>
      <c r="AV47" s="18" t="str">
        <f>VLOOKUP(AU47,'Axe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47" s="17"/>
      <c r="AX47" s="18"/>
      <c r="AY47" s="17"/>
      <c r="AZ47" s="18"/>
      <c r="BA47" s="17"/>
      <c r="BB47" s="18"/>
      <c r="BC47" s="17"/>
      <c r="BD47" s="18"/>
      <c r="BE47" s="17"/>
      <c r="BF47" s="18"/>
      <c r="BG47" s="14" t="s">
        <v>74</v>
      </c>
      <c r="BH47" s="16" t="s">
        <v>74</v>
      </c>
    </row>
    <row r="48" spans="1:60" ht="58" x14ac:dyDescent="0.35">
      <c r="A48" s="14" t="s">
        <v>113</v>
      </c>
      <c r="B48" s="14" t="s">
        <v>62</v>
      </c>
      <c r="C48" s="15">
        <v>44886.494444444441</v>
      </c>
      <c r="D48" s="14" t="s">
        <v>63</v>
      </c>
      <c r="E48" s="16" t="s">
        <v>64</v>
      </c>
      <c r="F48" s="14" t="s">
        <v>65</v>
      </c>
      <c r="G48" s="16" t="s">
        <v>66</v>
      </c>
      <c r="H48" s="14" t="s">
        <v>228</v>
      </c>
      <c r="I48" s="16" t="s">
        <v>229</v>
      </c>
      <c r="J48" s="16" t="s">
        <v>230</v>
      </c>
      <c r="K48" s="16" t="s">
        <v>231</v>
      </c>
      <c r="L48" s="14" t="s">
        <v>232</v>
      </c>
      <c r="M48" s="16" t="s">
        <v>233</v>
      </c>
      <c r="N48" s="14" t="s">
        <v>73</v>
      </c>
      <c r="O48" s="16" t="s">
        <v>74</v>
      </c>
      <c r="P48" s="16" t="s">
        <v>74</v>
      </c>
      <c r="Q48" s="16" t="s">
        <v>114</v>
      </c>
      <c r="R48" s="14" t="s">
        <v>115</v>
      </c>
      <c r="S48" s="14" t="s">
        <v>116</v>
      </c>
      <c r="T48" s="14" t="s">
        <v>78</v>
      </c>
      <c r="U48" s="14" t="s">
        <v>117</v>
      </c>
      <c r="V48" s="15">
        <v>43831</v>
      </c>
      <c r="W48" s="15"/>
      <c r="X48" s="16" t="s">
        <v>74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7"/>
      <c r="AP48" s="18"/>
      <c r="AQ48" s="17"/>
      <c r="AR48" s="18"/>
      <c r="AS48" s="17"/>
      <c r="AT48" s="18"/>
      <c r="AU48" s="17"/>
      <c r="AV48" s="18"/>
      <c r="AW48" s="17"/>
      <c r="AX48" s="18"/>
      <c r="AY48" s="17"/>
      <c r="AZ48" s="18"/>
      <c r="BA48" s="17"/>
      <c r="BB48" s="18"/>
      <c r="BC48" s="17"/>
      <c r="BD48" s="18"/>
      <c r="BE48" s="17"/>
      <c r="BF48" s="18"/>
      <c r="BG48" s="14" t="s">
        <v>74</v>
      </c>
      <c r="BH48" s="16" t="s">
        <v>74</v>
      </c>
    </row>
    <row r="49" spans="1:60" ht="58" x14ac:dyDescent="0.35">
      <c r="A49" s="14" t="s">
        <v>113</v>
      </c>
      <c r="B49" s="14" t="s">
        <v>62</v>
      </c>
      <c r="C49" s="15">
        <v>44886.494444444441</v>
      </c>
      <c r="D49" s="14" t="s">
        <v>63</v>
      </c>
      <c r="E49" s="16" t="s">
        <v>64</v>
      </c>
      <c r="F49" s="14" t="s">
        <v>65</v>
      </c>
      <c r="G49" s="16" t="s">
        <v>66</v>
      </c>
      <c r="H49" s="14" t="s">
        <v>228</v>
      </c>
      <c r="I49" s="16" t="s">
        <v>229</v>
      </c>
      <c r="J49" s="16" t="s">
        <v>230</v>
      </c>
      <c r="K49" s="16" t="s">
        <v>231</v>
      </c>
      <c r="L49" s="14" t="s">
        <v>234</v>
      </c>
      <c r="M49" s="16" t="s">
        <v>235</v>
      </c>
      <c r="N49" s="14" t="s">
        <v>111</v>
      </c>
      <c r="O49" s="16" t="s">
        <v>74</v>
      </c>
      <c r="P49" s="16" t="s">
        <v>74</v>
      </c>
      <c r="Q49" s="16" t="s">
        <v>114</v>
      </c>
      <c r="R49" s="14" t="s">
        <v>115</v>
      </c>
      <c r="S49" s="14" t="s">
        <v>116</v>
      </c>
      <c r="T49" s="14" t="s">
        <v>78</v>
      </c>
      <c r="U49" s="14" t="s">
        <v>117</v>
      </c>
      <c r="V49" s="15">
        <v>43831</v>
      </c>
      <c r="W49" s="15"/>
      <c r="X49" s="16" t="s">
        <v>74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7"/>
      <c r="AP49" s="18"/>
      <c r="AQ49" s="17"/>
      <c r="AR49" s="18"/>
      <c r="AS49" s="17"/>
      <c r="AT49" s="18"/>
      <c r="AU49" s="17"/>
      <c r="AV49" s="18"/>
      <c r="AW49" s="17"/>
      <c r="AX49" s="18"/>
      <c r="AY49" s="17"/>
      <c r="AZ49" s="18"/>
      <c r="BA49" s="17"/>
      <c r="BB49" s="18"/>
      <c r="BC49" s="17"/>
      <c r="BD49" s="18"/>
      <c r="BE49" s="17"/>
      <c r="BF49" s="18"/>
      <c r="BG49" s="14" t="s">
        <v>74</v>
      </c>
      <c r="BH49" s="16" t="s">
        <v>74</v>
      </c>
    </row>
    <row r="50" spans="1:60" ht="130.5" x14ac:dyDescent="0.35">
      <c r="A50" s="14" t="s">
        <v>113</v>
      </c>
      <c r="B50" s="14" t="s">
        <v>62</v>
      </c>
      <c r="C50" s="15">
        <v>44861.634027777778</v>
      </c>
      <c r="D50" s="14" t="s">
        <v>63</v>
      </c>
      <c r="E50" s="16" t="s">
        <v>64</v>
      </c>
      <c r="F50" s="14" t="s">
        <v>65</v>
      </c>
      <c r="G50" s="16" t="s">
        <v>66</v>
      </c>
      <c r="H50" s="14" t="s">
        <v>228</v>
      </c>
      <c r="I50" s="16" t="s">
        <v>229</v>
      </c>
      <c r="J50" s="16" t="s">
        <v>230</v>
      </c>
      <c r="K50" s="16" t="s">
        <v>231</v>
      </c>
      <c r="L50" s="14" t="s">
        <v>232</v>
      </c>
      <c r="M50" s="16" t="s">
        <v>233</v>
      </c>
      <c r="N50" s="14" t="s">
        <v>73</v>
      </c>
      <c r="O50" s="16" t="s">
        <v>74</v>
      </c>
      <c r="P50" s="16" t="s">
        <v>74</v>
      </c>
      <c r="Q50" s="16" t="s">
        <v>118</v>
      </c>
      <c r="R50" s="14" t="s">
        <v>119</v>
      </c>
      <c r="S50" s="14" t="s">
        <v>120</v>
      </c>
      <c r="T50" s="14" t="s">
        <v>78</v>
      </c>
      <c r="U50" s="14" t="s">
        <v>79</v>
      </c>
      <c r="V50" s="15">
        <v>40725</v>
      </c>
      <c r="W50" s="15"/>
      <c r="X50" s="16" t="s">
        <v>236</v>
      </c>
      <c r="Y50" s="17"/>
      <c r="Z50" s="18"/>
      <c r="AA50" s="17"/>
      <c r="AB50" s="18"/>
      <c r="AC50" s="17"/>
      <c r="AD50" s="18"/>
      <c r="AE50" s="17"/>
      <c r="AF50" s="18"/>
      <c r="AG50" s="17" t="s">
        <v>237</v>
      </c>
      <c r="AH50" s="18" t="str">
        <f>VLOOKUP(AG50,'Axe 2 Règles de gestion'!$D$2:$F$125,3, FALSE)</f>
        <v>La durée du congé doit être inférieure ou égale à 30 jours cumulés par année civile.</v>
      </c>
      <c r="AI50" s="17" t="s">
        <v>195</v>
      </c>
      <c r="AJ50" s="18" t="str">
        <f>VLOOKUP(AI50,'Axe 2 Règles de gestion'!$D$2:$F$125,3, FALSE)</f>
        <v>L'agent doit être en activité.</v>
      </c>
      <c r="AK50" s="17" t="s">
        <v>128</v>
      </c>
      <c r="AL50" s="18" t="str">
        <f>VLOOKUP(AK50,'Axe 2 Règles de gestion'!$D$2:$F$125,3, FALSE)</f>
        <v>La date de début du congé/absence doit être postérieure ou égale à la date de début du lien juridique.</v>
      </c>
      <c r="AM50" s="17" t="s">
        <v>95</v>
      </c>
      <c r="AN50" s="18" t="str">
        <f>VLOOKUP(AM50,'Axe 2 Règles de gestion'!$D$2:$F$125,3, FALSE)</f>
        <v>La date de début du congé/absence doit être antérieure ou égale à la date de fin prévisionnelle du congé/absence.</v>
      </c>
      <c r="AO50" s="17" t="s">
        <v>93</v>
      </c>
      <c r="AP50" s="18" t="str">
        <f>VLOOKUP(AO50,'Axe 2 Règles de gestion'!$D$2:$F$125,3, FALSE)</f>
        <v>La date de début du congé/absence doit être antérieure ou égale à la date de fin réelle du congé/absence.</v>
      </c>
      <c r="AQ50" s="17" t="s">
        <v>97</v>
      </c>
      <c r="AR50" s="18" t="str">
        <f>VLOOKUP(AQ50,'Axe 2 Règles de gestion'!$D$2:$F$125,3, FALSE)</f>
        <v>La date de fin réelle du congé/absence doit être antérieure à la date limite de départ à la retraite.</v>
      </c>
      <c r="AS50" s="17" t="s">
        <v>99</v>
      </c>
      <c r="AT50" s="18" t="str">
        <f>VLOOKUP(AS50,'Axe 2 Règles de gestion'!$D$2:$F$125,3, FALSE)</f>
        <v>La date de fin prévisionnelle du congé/absence doit être antérieure à la date limite de départ à la retraite.</v>
      </c>
      <c r="AU50" s="17" t="s">
        <v>130</v>
      </c>
      <c r="AV50" s="18" t="str">
        <f>VLOOKUP(AU50,'Axe 2 Règles de gestion'!$D$2:$F$125,3, FALSE)</f>
        <v>La date de fin réelle du congé/absence doit être antérieure ou égale à la date limite de fin réelle ou prévisionnelle du lien juridique.</v>
      </c>
      <c r="AW50" s="17" t="s">
        <v>132</v>
      </c>
      <c r="AX50" s="18" t="str">
        <f>VLOOKUP(AW50,'Axe 2 Règles de gestion'!$D$2:$F$125,3, FALSE)</f>
        <v>La date de fin prévisionnelle du congé/absence doit être antérieure ou égale à la date limite de fin réelle ou prévisionnelle du lien juridique.</v>
      </c>
      <c r="AY50" s="17" t="s">
        <v>103</v>
      </c>
      <c r="AZ50" s="18" t="str">
        <f>VLOOKUP(AY50,'Axe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50" s="17" t="s">
        <v>105</v>
      </c>
      <c r="BB50" s="18" t="str">
        <f>VLOOKUP(BA50,'Axe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50" s="17" t="s">
        <v>101</v>
      </c>
      <c r="BD50" s="18" t="str">
        <f>VLOOKUP(BC50,'Axe 2 Règles de gestion'!$D$2:$F$125,3, FALSE)</f>
        <v>La date de fin réelle ou la date de fin prévisionnelle du congé/absence doit être saisie.</v>
      </c>
      <c r="BE50" s="17" t="s">
        <v>107</v>
      </c>
      <c r="BF50" s="18" t="str">
        <f>VLOOKUP(BE50,'Axe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50" s="14" t="s">
        <v>74</v>
      </c>
      <c r="BH50" s="16" t="s">
        <v>74</v>
      </c>
    </row>
    <row r="51" spans="1:60" ht="130.5" x14ac:dyDescent="0.35">
      <c r="A51" s="14" t="s">
        <v>113</v>
      </c>
      <c r="B51" s="14" t="s">
        <v>62</v>
      </c>
      <c r="C51" s="15">
        <v>44852.474999999999</v>
      </c>
      <c r="D51" s="14" t="s">
        <v>63</v>
      </c>
      <c r="E51" s="16" t="s">
        <v>64</v>
      </c>
      <c r="F51" s="14" t="s">
        <v>65</v>
      </c>
      <c r="G51" s="16" t="s">
        <v>66</v>
      </c>
      <c r="H51" s="14" t="s">
        <v>228</v>
      </c>
      <c r="I51" s="16" t="s">
        <v>229</v>
      </c>
      <c r="J51" s="16" t="s">
        <v>230</v>
      </c>
      <c r="K51" s="16" t="s">
        <v>231</v>
      </c>
      <c r="L51" s="14" t="s">
        <v>234</v>
      </c>
      <c r="M51" s="16" t="s">
        <v>235</v>
      </c>
      <c r="N51" s="14" t="s">
        <v>111</v>
      </c>
      <c r="O51" s="16" t="s">
        <v>74</v>
      </c>
      <c r="P51" s="16" t="s">
        <v>74</v>
      </c>
      <c r="Q51" s="16" t="s">
        <v>118</v>
      </c>
      <c r="R51" s="14" t="s">
        <v>119</v>
      </c>
      <c r="S51" s="14" t="s">
        <v>120</v>
      </c>
      <c r="T51" s="14" t="s">
        <v>78</v>
      </c>
      <c r="U51" s="14" t="s">
        <v>79</v>
      </c>
      <c r="V51" s="15">
        <v>40725</v>
      </c>
      <c r="W51" s="15"/>
      <c r="X51" s="16" t="s">
        <v>238</v>
      </c>
      <c r="Y51" s="17"/>
      <c r="Z51" s="18"/>
      <c r="AA51" s="17"/>
      <c r="AB51" s="18"/>
      <c r="AC51" s="17"/>
      <c r="AD51" s="18"/>
      <c r="AE51" s="17"/>
      <c r="AF51" s="18"/>
      <c r="AG51" s="17" t="s">
        <v>237</v>
      </c>
      <c r="AH51" s="18" t="str">
        <f>VLOOKUP(AG51,'Axe 2 Règles de gestion'!$D$2:$F$125,3, FALSE)</f>
        <v>La durée du congé doit être inférieure ou égale à 30 jours cumulés par année civile.</v>
      </c>
      <c r="AI51" s="17" t="s">
        <v>195</v>
      </c>
      <c r="AJ51" s="18" t="str">
        <f>VLOOKUP(AI51,'Axe 2 Règles de gestion'!$D$2:$F$125,3, FALSE)</f>
        <v>L'agent doit être en activité.</v>
      </c>
      <c r="AK51" s="17" t="s">
        <v>128</v>
      </c>
      <c r="AL51" s="18" t="str">
        <f>VLOOKUP(AK51,'Axe 2 Règles de gestion'!$D$2:$F$125,3, FALSE)</f>
        <v>La date de début du congé/absence doit être postérieure ou égale à la date de début du lien juridique.</v>
      </c>
      <c r="AM51" s="17" t="s">
        <v>93</v>
      </c>
      <c r="AN51" s="18" t="str">
        <f>VLOOKUP(AM51,'Axe 2 Règles de gestion'!$D$2:$F$125,3, FALSE)</f>
        <v>La date de début du congé/absence doit être antérieure ou égale à la date de fin réelle du congé/absence.</v>
      </c>
      <c r="AO51" s="17" t="s">
        <v>95</v>
      </c>
      <c r="AP51" s="18" t="str">
        <f>VLOOKUP(AO51,'Axe 2 Règles de gestion'!$D$2:$F$125,3, FALSE)</f>
        <v>La date de début du congé/absence doit être antérieure ou égale à la date de fin prévisionnelle du congé/absence.</v>
      </c>
      <c r="AQ51" s="17" t="s">
        <v>97</v>
      </c>
      <c r="AR51" s="18" t="str">
        <f>VLOOKUP(AQ51,'Axe 2 Règles de gestion'!$D$2:$F$125,3, FALSE)</f>
        <v>La date de fin réelle du congé/absence doit être antérieure à la date limite de départ à la retraite.</v>
      </c>
      <c r="AS51" s="17" t="s">
        <v>99</v>
      </c>
      <c r="AT51" s="18" t="str">
        <f>VLOOKUP(AS51,'Axe 2 Règles de gestion'!$D$2:$F$125,3, FALSE)</f>
        <v>La date de fin prévisionnelle du congé/absence doit être antérieure à la date limite de départ à la retraite.</v>
      </c>
      <c r="AU51" s="17" t="s">
        <v>130</v>
      </c>
      <c r="AV51" s="18" t="str">
        <f>VLOOKUP(AU51,'Axe 2 Règles de gestion'!$D$2:$F$125,3, FALSE)</f>
        <v>La date de fin réelle du congé/absence doit être antérieure ou égale à la date limite de fin réelle ou prévisionnelle du lien juridique.</v>
      </c>
      <c r="AW51" s="17" t="s">
        <v>132</v>
      </c>
      <c r="AX51" s="18" t="str">
        <f>VLOOKUP(AW51,'Axe 2 Règles de gestion'!$D$2:$F$125,3, FALSE)</f>
        <v>La date de fin prévisionnelle du congé/absence doit être antérieure ou égale à la date limite de fin réelle ou prévisionnelle du lien juridique.</v>
      </c>
      <c r="AY51" s="17" t="s">
        <v>103</v>
      </c>
      <c r="AZ51" s="18" t="str">
        <f>VLOOKUP(AY51,'Axe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51" s="17" t="s">
        <v>105</v>
      </c>
      <c r="BB51" s="18" t="str">
        <f>VLOOKUP(BA51,'Axe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51" s="17" t="s">
        <v>101</v>
      </c>
      <c r="BD51" s="18" t="str">
        <f>VLOOKUP(BC51,'Axe 2 Règles de gestion'!$D$2:$F$125,3, FALSE)</f>
        <v>La date de fin réelle ou la date de fin prévisionnelle du congé/absence doit être saisie.</v>
      </c>
      <c r="BE51" s="17" t="s">
        <v>107</v>
      </c>
      <c r="BF51" s="18" t="str">
        <f>VLOOKUP(BE51,'Axe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51" s="14" t="s">
        <v>74</v>
      </c>
      <c r="BH51" s="16" t="s">
        <v>74</v>
      </c>
    </row>
    <row r="52" spans="1:60" ht="58" x14ac:dyDescent="0.35">
      <c r="A52" s="14" t="s">
        <v>113</v>
      </c>
      <c r="B52" s="14" t="s">
        <v>62</v>
      </c>
      <c r="C52" s="15">
        <v>44861.637499999997</v>
      </c>
      <c r="D52" s="14" t="s">
        <v>63</v>
      </c>
      <c r="E52" s="16" t="s">
        <v>64</v>
      </c>
      <c r="F52" s="14" t="s">
        <v>65</v>
      </c>
      <c r="G52" s="16" t="s">
        <v>66</v>
      </c>
      <c r="H52" s="14" t="s">
        <v>228</v>
      </c>
      <c r="I52" s="16" t="s">
        <v>229</v>
      </c>
      <c r="J52" s="16" t="s">
        <v>230</v>
      </c>
      <c r="K52" s="16" t="s">
        <v>231</v>
      </c>
      <c r="L52" s="14" t="s">
        <v>232</v>
      </c>
      <c r="M52" s="16" t="s">
        <v>233</v>
      </c>
      <c r="N52" s="14" t="s">
        <v>73</v>
      </c>
      <c r="O52" s="16" t="s">
        <v>74</v>
      </c>
      <c r="P52" s="16" t="s">
        <v>74</v>
      </c>
      <c r="Q52" s="16" t="s">
        <v>137</v>
      </c>
      <c r="R52" s="14" t="s">
        <v>138</v>
      </c>
      <c r="S52" s="14" t="s">
        <v>139</v>
      </c>
      <c r="T52" s="14" t="s">
        <v>78</v>
      </c>
      <c r="U52" s="14" t="s">
        <v>117</v>
      </c>
      <c r="V52" s="15">
        <v>40725</v>
      </c>
      <c r="W52" s="15"/>
      <c r="X52" s="16" t="s">
        <v>74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7"/>
      <c r="AP52" s="18"/>
      <c r="AQ52" s="17"/>
      <c r="AR52" s="18"/>
      <c r="AS52" s="17"/>
      <c r="AT52" s="18"/>
      <c r="AU52" s="17"/>
      <c r="AV52" s="18"/>
      <c r="AW52" s="17"/>
      <c r="AX52" s="18"/>
      <c r="AY52" s="17"/>
      <c r="AZ52" s="18"/>
      <c r="BA52" s="17"/>
      <c r="BB52" s="18"/>
      <c r="BC52" s="17"/>
      <c r="BD52" s="18"/>
      <c r="BE52" s="17"/>
      <c r="BF52" s="18"/>
      <c r="BG52" s="14" t="s">
        <v>74</v>
      </c>
      <c r="BH52" s="16" t="s">
        <v>74</v>
      </c>
    </row>
    <row r="53" spans="1:60" ht="58" x14ac:dyDescent="0.35">
      <c r="A53" s="14" t="s">
        <v>113</v>
      </c>
      <c r="B53" s="14" t="s">
        <v>62</v>
      </c>
      <c r="C53" s="15">
        <v>44852.474999999999</v>
      </c>
      <c r="D53" s="14" t="s">
        <v>63</v>
      </c>
      <c r="E53" s="16" t="s">
        <v>64</v>
      </c>
      <c r="F53" s="14" t="s">
        <v>65</v>
      </c>
      <c r="G53" s="16" t="s">
        <v>66</v>
      </c>
      <c r="H53" s="14" t="s">
        <v>228</v>
      </c>
      <c r="I53" s="16" t="s">
        <v>229</v>
      </c>
      <c r="J53" s="16" t="s">
        <v>230</v>
      </c>
      <c r="K53" s="16" t="s">
        <v>231</v>
      </c>
      <c r="L53" s="14" t="s">
        <v>234</v>
      </c>
      <c r="M53" s="16" t="s">
        <v>235</v>
      </c>
      <c r="N53" s="14" t="s">
        <v>111</v>
      </c>
      <c r="O53" s="16" t="s">
        <v>74</v>
      </c>
      <c r="P53" s="16" t="s">
        <v>74</v>
      </c>
      <c r="Q53" s="16" t="s">
        <v>137</v>
      </c>
      <c r="R53" s="14" t="s">
        <v>138</v>
      </c>
      <c r="S53" s="14" t="s">
        <v>139</v>
      </c>
      <c r="T53" s="14" t="s">
        <v>78</v>
      </c>
      <c r="U53" s="14" t="s">
        <v>117</v>
      </c>
      <c r="V53" s="15">
        <v>40725</v>
      </c>
      <c r="W53" s="15"/>
      <c r="X53" s="16" t="s">
        <v>74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7"/>
      <c r="AP53" s="18"/>
      <c r="AQ53" s="17"/>
      <c r="AR53" s="18"/>
      <c r="AS53" s="17"/>
      <c r="AT53" s="18"/>
      <c r="AU53" s="17"/>
      <c r="AV53" s="18"/>
      <c r="AW53" s="17"/>
      <c r="AX53" s="18"/>
      <c r="AY53" s="17"/>
      <c r="AZ53" s="18"/>
      <c r="BA53" s="17"/>
      <c r="BB53" s="18"/>
      <c r="BC53" s="17"/>
      <c r="BD53" s="18"/>
      <c r="BE53" s="17"/>
      <c r="BF53" s="18"/>
      <c r="BG53" s="14" t="s">
        <v>74</v>
      </c>
      <c r="BH53" s="16" t="s">
        <v>74</v>
      </c>
    </row>
    <row r="54" spans="1:60" ht="130.5" x14ac:dyDescent="0.35">
      <c r="A54" s="14" t="s">
        <v>113</v>
      </c>
      <c r="B54" s="14" t="s">
        <v>62</v>
      </c>
      <c r="C54" s="15">
        <v>44861.638194444444</v>
      </c>
      <c r="D54" s="14" t="s">
        <v>63</v>
      </c>
      <c r="E54" s="16" t="s">
        <v>64</v>
      </c>
      <c r="F54" s="14" t="s">
        <v>65</v>
      </c>
      <c r="G54" s="16" t="s">
        <v>66</v>
      </c>
      <c r="H54" s="14" t="s">
        <v>228</v>
      </c>
      <c r="I54" s="16" t="s">
        <v>229</v>
      </c>
      <c r="J54" s="16" t="s">
        <v>230</v>
      </c>
      <c r="K54" s="16" t="s">
        <v>231</v>
      </c>
      <c r="L54" s="14" t="s">
        <v>232</v>
      </c>
      <c r="M54" s="16" t="s">
        <v>233</v>
      </c>
      <c r="N54" s="14" t="s">
        <v>73</v>
      </c>
      <c r="O54" s="16" t="s">
        <v>74</v>
      </c>
      <c r="P54" s="16" t="s">
        <v>74</v>
      </c>
      <c r="Q54" s="16" t="s">
        <v>140</v>
      </c>
      <c r="R54" s="14" t="s">
        <v>141</v>
      </c>
      <c r="S54" s="14" t="s">
        <v>142</v>
      </c>
      <c r="T54" s="14" t="s">
        <v>78</v>
      </c>
      <c r="U54" s="14" t="s">
        <v>79</v>
      </c>
      <c r="V54" s="15">
        <v>40725</v>
      </c>
      <c r="W54" s="15"/>
      <c r="X54" s="16" t="s">
        <v>239</v>
      </c>
      <c r="Y54" s="17" t="s">
        <v>240</v>
      </c>
      <c r="Z54" s="18" t="str">
        <f>VLOOKUP(Y54,'Axe 2 Règles de gestion'!$D$2:$F$125,3, FALSE)</f>
        <v>L'agent peut s'absenter sans obtenir l'accord de son employeur dans la limite de 5 jours par année civile.</v>
      </c>
      <c r="AA54" s="17" t="s">
        <v>242</v>
      </c>
      <c r="AB54" s="18" t="str">
        <f>VLOOKUP(AA54,'Axe 2 Règles de gestion'!$D$2:$F$125,3, FALSE)</f>
        <v>La demande de l'agent doit être faite 1 mois au moins avant le début de l'absence.</v>
      </c>
      <c r="AC54" s="17" t="s">
        <v>243</v>
      </c>
      <c r="AD54" s="18" t="str">
        <f>VLOOKUP(AC54,'Axe 2 Règles de gestion'!$D$2:$F$125,3, FALSE)</f>
        <v>La demande de l'agent doit indiquer la date et la durée de l'absence envisagée.</v>
      </c>
      <c r="AE54" s="17" t="s">
        <v>244</v>
      </c>
      <c r="AF54" s="18" t="str">
        <f>VLOOKUP(AE54,'Axe 2 Règles de gestion'!$D$2:$F$125,3, FALSE)</f>
        <v>L'accord de l'administration est nécessaire dès que l'agent dépasse 5 jours d'absence par année civile.</v>
      </c>
      <c r="AG54" s="17" t="s">
        <v>205</v>
      </c>
      <c r="AH54" s="18" t="str">
        <f>VLOOKUP(AG54,'Axe 2 Règles de gestion'!$D$2:$F$125,3, FALSE)</f>
        <v>La durée du congé doit être inférieure ou égale à 30 jours cumulés par année civile.</v>
      </c>
      <c r="AI54" s="17" t="s">
        <v>206</v>
      </c>
      <c r="AJ54" s="18" t="str">
        <f>VLOOKUP(AI54,'Axe 2 Règles de gestion'!$D$2:$F$125,3, FALSE)</f>
        <v>L'agent doit être en activité.</v>
      </c>
      <c r="AK54" s="17" t="s">
        <v>128</v>
      </c>
      <c r="AL54" s="18" t="str">
        <f>VLOOKUP(AK54,'Axe 2 Règles de gestion'!$D$2:$F$125,3, FALSE)</f>
        <v>La date de début du congé/absence doit être postérieure ou égale à la date de début du lien juridique.</v>
      </c>
      <c r="AM54" s="17" t="s">
        <v>95</v>
      </c>
      <c r="AN54" s="18" t="str">
        <f>VLOOKUP(AM54,'Axe 2 Règles de gestion'!$D$2:$F$125,3, FALSE)</f>
        <v>La date de début du congé/absence doit être antérieure ou égale à la date de fin prévisionnelle du congé/absence.</v>
      </c>
      <c r="AO54" s="17" t="s">
        <v>93</v>
      </c>
      <c r="AP54" s="18" t="str">
        <f>VLOOKUP(AO54,'Axe 2 Règles de gestion'!$D$2:$F$125,3, FALSE)</f>
        <v>La date de début du congé/absence doit être antérieure ou égale à la date de fin réelle du congé/absence.</v>
      </c>
      <c r="AQ54" s="17" t="s">
        <v>97</v>
      </c>
      <c r="AR54" s="18" t="str">
        <f>VLOOKUP(AQ54,'Axe 2 Règles de gestion'!$D$2:$F$125,3, FALSE)</f>
        <v>La date de fin réelle du congé/absence doit être antérieure à la date limite de départ à la retraite.</v>
      </c>
      <c r="AS54" s="17" t="s">
        <v>99</v>
      </c>
      <c r="AT54" s="18" t="str">
        <f>VLOOKUP(AS54,'Axe 2 Règles de gestion'!$D$2:$F$125,3, FALSE)</f>
        <v>La date de fin prévisionnelle du congé/absence doit être antérieure à la date limite de départ à la retraite.</v>
      </c>
      <c r="AU54" s="17" t="s">
        <v>130</v>
      </c>
      <c r="AV54" s="18" t="str">
        <f>VLOOKUP(AU54,'Axe 2 Règles de gestion'!$D$2:$F$125,3, FALSE)</f>
        <v>La date de fin réelle du congé/absence doit être antérieure ou égale à la date limite de fin réelle ou prévisionnelle du lien juridique.</v>
      </c>
      <c r="AW54" s="17" t="s">
        <v>132</v>
      </c>
      <c r="AX54" s="18" t="str">
        <f>VLOOKUP(AW54,'Axe 2 Règles de gestion'!$D$2:$F$125,3, FALSE)</f>
        <v>La date de fin prévisionnelle du congé/absence doit être antérieure ou égale à la date limite de fin réelle ou prévisionnelle du lien juridique.</v>
      </c>
      <c r="AY54" s="17" t="s">
        <v>103</v>
      </c>
      <c r="AZ54" s="18" t="str">
        <f>VLOOKUP(AY54,'Axe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54" s="17" t="s">
        <v>105</v>
      </c>
      <c r="BB54" s="18" t="str">
        <f>VLOOKUP(BA54,'Axe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54" s="17" t="s">
        <v>101</v>
      </c>
      <c r="BD54" s="18" t="str">
        <f>VLOOKUP(BC54,'Axe 2 Règles de gestion'!$D$2:$F$125,3, FALSE)</f>
        <v>La date de fin réelle ou la date de fin prévisionnelle du congé/absence doit être saisie.</v>
      </c>
      <c r="BE54" s="17" t="s">
        <v>107</v>
      </c>
      <c r="BF54" s="18" t="str">
        <f>VLOOKUP(BE54,'Axe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54" s="14" t="s">
        <v>74</v>
      </c>
      <c r="BH54" s="16" t="s">
        <v>74</v>
      </c>
    </row>
    <row r="55" spans="1:60" ht="130.5" x14ac:dyDescent="0.35">
      <c r="A55" s="14" t="s">
        <v>113</v>
      </c>
      <c r="B55" s="14" t="s">
        <v>62</v>
      </c>
      <c r="C55" s="15">
        <v>44852.474999999999</v>
      </c>
      <c r="D55" s="14" t="s">
        <v>63</v>
      </c>
      <c r="E55" s="16" t="s">
        <v>64</v>
      </c>
      <c r="F55" s="14" t="s">
        <v>65</v>
      </c>
      <c r="G55" s="16" t="s">
        <v>66</v>
      </c>
      <c r="H55" s="14" t="s">
        <v>228</v>
      </c>
      <c r="I55" s="16" t="s">
        <v>229</v>
      </c>
      <c r="J55" s="16" t="s">
        <v>230</v>
      </c>
      <c r="K55" s="16" t="s">
        <v>231</v>
      </c>
      <c r="L55" s="14" t="s">
        <v>234</v>
      </c>
      <c r="M55" s="16" t="s">
        <v>235</v>
      </c>
      <c r="N55" s="14" t="s">
        <v>111</v>
      </c>
      <c r="O55" s="16" t="s">
        <v>74</v>
      </c>
      <c r="P55" s="16" t="s">
        <v>74</v>
      </c>
      <c r="Q55" s="16" t="s">
        <v>140</v>
      </c>
      <c r="R55" s="14" t="s">
        <v>141</v>
      </c>
      <c r="S55" s="14" t="s">
        <v>142</v>
      </c>
      <c r="T55" s="14" t="s">
        <v>78</v>
      </c>
      <c r="U55" s="14" t="s">
        <v>79</v>
      </c>
      <c r="V55" s="15">
        <v>40725</v>
      </c>
      <c r="W55" s="15"/>
      <c r="X55" s="16" t="s">
        <v>207</v>
      </c>
      <c r="Y55" s="17"/>
      <c r="Z55" s="18"/>
      <c r="AA55" s="17"/>
      <c r="AB55" s="18"/>
      <c r="AC55" s="17"/>
      <c r="AD55" s="18"/>
      <c r="AE55" s="17"/>
      <c r="AF55" s="18"/>
      <c r="AG55" s="17" t="s">
        <v>205</v>
      </c>
      <c r="AH55" s="18" t="str">
        <f>VLOOKUP(AG55,'Axe 2 Règles de gestion'!$D$2:$F$125,3, FALSE)</f>
        <v>La durée du congé doit être inférieure ou égale à 30 jours cumulés par année civile.</v>
      </c>
      <c r="AI55" s="17" t="s">
        <v>206</v>
      </c>
      <c r="AJ55" s="18" t="str">
        <f>VLOOKUP(AI55,'Axe 2 Règles de gestion'!$D$2:$F$125,3, FALSE)</f>
        <v>L'agent doit être en activité.</v>
      </c>
      <c r="AK55" s="17" t="s">
        <v>128</v>
      </c>
      <c r="AL55" s="18" t="str">
        <f>VLOOKUP(AK55,'Axe 2 Règles de gestion'!$D$2:$F$125,3, FALSE)</f>
        <v>La date de début du congé/absence doit être postérieure ou égale à la date de début du lien juridique.</v>
      </c>
      <c r="AM55" s="17" t="s">
        <v>93</v>
      </c>
      <c r="AN55" s="18" t="str">
        <f>VLOOKUP(AM55,'Axe 2 Règles de gestion'!$D$2:$F$125,3, FALSE)</f>
        <v>La date de début du congé/absence doit être antérieure ou égale à la date de fin réelle du congé/absence.</v>
      </c>
      <c r="AO55" s="17" t="s">
        <v>95</v>
      </c>
      <c r="AP55" s="18" t="str">
        <f>VLOOKUP(AO55,'Axe 2 Règles de gestion'!$D$2:$F$125,3, FALSE)</f>
        <v>La date de début du congé/absence doit être antérieure ou égale à la date de fin prévisionnelle du congé/absence.</v>
      </c>
      <c r="AQ55" s="17" t="s">
        <v>97</v>
      </c>
      <c r="AR55" s="18" t="str">
        <f>VLOOKUP(AQ55,'Axe 2 Règles de gestion'!$D$2:$F$125,3, FALSE)</f>
        <v>La date de fin réelle du congé/absence doit être antérieure à la date limite de départ à la retraite.</v>
      </c>
      <c r="AS55" s="17" t="s">
        <v>99</v>
      </c>
      <c r="AT55" s="18" t="str">
        <f>VLOOKUP(AS55,'Axe 2 Règles de gestion'!$D$2:$F$125,3, FALSE)</f>
        <v>La date de fin prévisionnelle du congé/absence doit être antérieure à la date limite de départ à la retraite.</v>
      </c>
      <c r="AU55" s="17" t="s">
        <v>130</v>
      </c>
      <c r="AV55" s="18" t="str">
        <f>VLOOKUP(AU55,'Axe 2 Règles de gestion'!$D$2:$F$125,3, FALSE)</f>
        <v>La date de fin réelle du congé/absence doit être antérieure ou égale à la date limite de fin réelle ou prévisionnelle du lien juridique.</v>
      </c>
      <c r="AW55" s="17" t="s">
        <v>132</v>
      </c>
      <c r="AX55" s="18" t="str">
        <f>VLOOKUP(AW55,'Axe 2 Règles de gestion'!$D$2:$F$125,3, FALSE)</f>
        <v>La date de fin prévisionnelle du congé/absence doit être antérieure ou égale à la date limite de fin réelle ou prévisionnelle du lien juridique.</v>
      </c>
      <c r="AY55" s="17" t="s">
        <v>103</v>
      </c>
      <c r="AZ55" s="18" t="str">
        <f>VLOOKUP(AY55,'Axe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55" s="17" t="s">
        <v>105</v>
      </c>
      <c r="BB55" s="18" t="str">
        <f>VLOOKUP(BA55,'Axe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55" s="17" t="s">
        <v>101</v>
      </c>
      <c r="BD55" s="18" t="str">
        <f>VLOOKUP(BC55,'Axe 2 Règles de gestion'!$D$2:$F$125,3, FALSE)</f>
        <v>La date de fin réelle ou la date de fin prévisionnelle du congé/absence doit être saisie.</v>
      </c>
      <c r="BE55" s="17" t="s">
        <v>107</v>
      </c>
      <c r="BF55" s="18" t="str">
        <f>VLOOKUP(BE55,'Axe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55" s="14" t="s">
        <v>74</v>
      </c>
      <c r="BH55" s="16" t="s">
        <v>74</v>
      </c>
    </row>
    <row r="56" spans="1:60" ht="130.5" x14ac:dyDescent="0.35">
      <c r="A56" s="14" t="s">
        <v>113</v>
      </c>
      <c r="B56" s="14" t="s">
        <v>62</v>
      </c>
      <c r="C56" s="15">
        <v>44861.634027777778</v>
      </c>
      <c r="D56" s="14" t="s">
        <v>63</v>
      </c>
      <c r="E56" s="16" t="s">
        <v>64</v>
      </c>
      <c r="F56" s="14" t="s">
        <v>65</v>
      </c>
      <c r="G56" s="16" t="s">
        <v>66</v>
      </c>
      <c r="H56" s="14" t="s">
        <v>228</v>
      </c>
      <c r="I56" s="16" t="s">
        <v>229</v>
      </c>
      <c r="J56" s="16" t="s">
        <v>230</v>
      </c>
      <c r="K56" s="16" t="s">
        <v>231</v>
      </c>
      <c r="L56" s="14" t="s">
        <v>232</v>
      </c>
      <c r="M56" s="16" t="s">
        <v>233</v>
      </c>
      <c r="N56" s="14" t="s">
        <v>73</v>
      </c>
      <c r="O56" s="16" t="s">
        <v>74</v>
      </c>
      <c r="P56" s="16" t="s">
        <v>74</v>
      </c>
      <c r="Q56" s="16" t="s">
        <v>143</v>
      </c>
      <c r="R56" s="14" t="s">
        <v>144</v>
      </c>
      <c r="S56" s="14" t="s">
        <v>77</v>
      </c>
      <c r="T56" s="14" t="s">
        <v>145</v>
      </c>
      <c r="U56" s="14" t="s">
        <v>79</v>
      </c>
      <c r="V56" s="15">
        <v>40725</v>
      </c>
      <c r="W56" s="15"/>
      <c r="X56" s="16" t="s">
        <v>246</v>
      </c>
      <c r="Y56" s="17" t="s">
        <v>247</v>
      </c>
      <c r="Z56" s="18" t="str">
        <f>VLOOKUP(Y56,'Axe 2 Règles de gestion'!$D$2:$F$125,3, FALSE)</f>
        <v>L'agent bénéficie des dispositions applicables aux agents titulaires pour la période d'activité au sein de la réserve opérationnelle.</v>
      </c>
      <c r="AA56" s="17" t="s">
        <v>184</v>
      </c>
      <c r="AB56" s="18" t="str">
        <f>VLOOKUP(AA56,'Axe 2 Règles de gestion'!$D$2:$F$125,3, FALSE)</f>
        <v>La demande de l'agent doit être faite 1 mois au moins avant le début de l'absence.</v>
      </c>
      <c r="AC56" s="17" t="s">
        <v>186</v>
      </c>
      <c r="AD56" s="18" t="str">
        <f>VLOOKUP(AC56,'Axe 2 Règles de gestion'!$D$2:$F$125,3, FALSE)</f>
        <v>L'accord de l'administration est nécessaire dès que l'agent dépasse 5 jours d'absence par année civile sauf s'il suit une formation professionnelle pendant son absence.</v>
      </c>
      <c r="AE56" s="17"/>
      <c r="AF56" s="18"/>
      <c r="AG56" s="17" t="s">
        <v>188</v>
      </c>
      <c r="AH56" s="18" t="str">
        <f>VLOOKUP(AG56,'Axe 2 Règles de gestion'!$D$2:$F$125,3, FALSE)</f>
        <v>La durée du congé doit être inférieure ou égale à 30 jours cumulés par année civile.</v>
      </c>
      <c r="AI56" s="17" t="s">
        <v>190</v>
      </c>
      <c r="AJ56" s="18" t="str">
        <f>VLOOKUP(AI56,'Axe 2 Règles de gestion'!$D$2:$F$125,3, FALSE)</f>
        <v>L'agent doit être en activité.</v>
      </c>
      <c r="AK56" s="17" t="s">
        <v>91</v>
      </c>
      <c r="AL56" s="18" t="str">
        <f>VLOOKUP(AK56,'Axe 2 Règles de gestion'!$D$2:$F$125,3, FALSE)</f>
        <v>La date de début du congé/absence doit être postérieure ou égale à la date de recrutement dans la FPE ou dans la carrière militaire.</v>
      </c>
      <c r="AM56" s="17" t="s">
        <v>93</v>
      </c>
      <c r="AN56" s="18" t="str">
        <f>VLOOKUP(AM56,'Axe 2 Règles de gestion'!$D$2:$F$125,3, FALSE)</f>
        <v>La date de début du congé/absence doit être antérieure ou égale à la date de fin réelle du congé/absence.</v>
      </c>
      <c r="AO56" s="17" t="s">
        <v>95</v>
      </c>
      <c r="AP56" s="18" t="str">
        <f>VLOOKUP(AO56,'Axe 2 Règles de gestion'!$D$2:$F$125,3, FALSE)</f>
        <v>La date de début du congé/absence doit être antérieure ou égale à la date de fin prévisionnelle du congé/absence.</v>
      </c>
      <c r="AQ56" s="17" t="s">
        <v>97</v>
      </c>
      <c r="AR56" s="18" t="str">
        <f>VLOOKUP(AQ56,'Axe 2 Règles de gestion'!$D$2:$F$125,3, FALSE)</f>
        <v>La date de fin réelle du congé/absence doit être antérieure à la date limite de départ à la retraite.</v>
      </c>
      <c r="AS56" s="17" t="s">
        <v>99</v>
      </c>
      <c r="AT56" s="18" t="str">
        <f>VLOOKUP(AS56,'Axe 2 Règles de gestion'!$D$2:$F$125,3, FALSE)</f>
        <v>La date de fin prévisionnelle du congé/absence doit être antérieure à la date limite de départ à la retraite.</v>
      </c>
      <c r="AU56" s="17" t="s">
        <v>101</v>
      </c>
      <c r="AV56" s="18" t="str">
        <f>VLOOKUP(AU56,'Axe 2 Règles de gestion'!$D$2:$F$125,3, FALSE)</f>
        <v>La date de fin réelle ou la date de fin prévisionnelle du congé/absence doit être saisie.</v>
      </c>
      <c r="AW56" s="17" t="s">
        <v>103</v>
      </c>
      <c r="AX56" s="18" t="str">
        <f>VLOOKUP(AW56,'Axe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56" s="17" t="s">
        <v>105</v>
      </c>
      <c r="AZ56" s="18" t="str">
        <f>VLOOKUP(AY56,'Axe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56" s="17" t="s">
        <v>107</v>
      </c>
      <c r="BB56" s="18" t="str">
        <f>VLOOKUP(BA56,'Axe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56" s="17"/>
      <c r="BD56" s="18"/>
      <c r="BE56" s="17"/>
      <c r="BF56" s="18"/>
      <c r="BG56" s="14" t="s">
        <v>74</v>
      </c>
      <c r="BH56" s="16" t="s">
        <v>74</v>
      </c>
    </row>
    <row r="57" spans="1:60" ht="116" x14ac:dyDescent="0.35">
      <c r="A57" s="14" t="s">
        <v>113</v>
      </c>
      <c r="B57" s="14" t="s">
        <v>62</v>
      </c>
      <c r="C57" s="15">
        <v>44852.474999999999</v>
      </c>
      <c r="D57" s="14" t="s">
        <v>63</v>
      </c>
      <c r="E57" s="16" t="s">
        <v>64</v>
      </c>
      <c r="F57" s="14" t="s">
        <v>65</v>
      </c>
      <c r="G57" s="16" t="s">
        <v>66</v>
      </c>
      <c r="H57" s="14" t="s">
        <v>228</v>
      </c>
      <c r="I57" s="16" t="s">
        <v>229</v>
      </c>
      <c r="J57" s="16" t="s">
        <v>230</v>
      </c>
      <c r="K57" s="16" t="s">
        <v>231</v>
      </c>
      <c r="L57" s="14" t="s">
        <v>234</v>
      </c>
      <c r="M57" s="16" t="s">
        <v>235</v>
      </c>
      <c r="N57" s="14" t="s">
        <v>111</v>
      </c>
      <c r="O57" s="16" t="s">
        <v>74</v>
      </c>
      <c r="P57" s="16" t="s">
        <v>74</v>
      </c>
      <c r="Q57" s="16" t="s">
        <v>143</v>
      </c>
      <c r="R57" s="14" t="s">
        <v>144</v>
      </c>
      <c r="S57" s="14" t="s">
        <v>77</v>
      </c>
      <c r="T57" s="14" t="s">
        <v>145</v>
      </c>
      <c r="U57" s="14" t="s">
        <v>79</v>
      </c>
      <c r="V57" s="15">
        <v>40725</v>
      </c>
      <c r="W57" s="15"/>
      <c r="X57" s="16" t="s">
        <v>193</v>
      </c>
      <c r="Y57" s="17"/>
      <c r="Z57" s="18"/>
      <c r="AA57" s="17"/>
      <c r="AB57" s="18"/>
      <c r="AC57" s="17"/>
      <c r="AD57" s="18"/>
      <c r="AE57" s="17"/>
      <c r="AF57" s="18"/>
      <c r="AG57" s="17" t="s">
        <v>188</v>
      </c>
      <c r="AH57" s="18" t="str">
        <f>VLOOKUP(AG57,'Axe 2 Règles de gestion'!$D$2:$F$125,3, FALSE)</f>
        <v>La durée du congé doit être inférieure ou égale à 30 jours cumulés par année civile.</v>
      </c>
      <c r="AI57" s="17" t="s">
        <v>190</v>
      </c>
      <c r="AJ57" s="18" t="str">
        <f>VLOOKUP(AI57,'Axe 2 Règles de gestion'!$D$2:$F$125,3, FALSE)</f>
        <v>L'agent doit être en activité.</v>
      </c>
      <c r="AK57" s="17" t="s">
        <v>93</v>
      </c>
      <c r="AL57" s="18" t="str">
        <f>VLOOKUP(AK57,'Axe 2 Règles de gestion'!$D$2:$F$125,3, FALSE)</f>
        <v>La date de début du congé/absence doit être antérieure ou égale à la date de fin réelle du congé/absence.</v>
      </c>
      <c r="AM57" s="17" t="s">
        <v>95</v>
      </c>
      <c r="AN57" s="18" t="str">
        <f>VLOOKUP(AM57,'Axe 2 Règles de gestion'!$D$2:$F$125,3, FALSE)</f>
        <v>La date de début du congé/absence doit être antérieure ou égale à la date de fin prévisionnelle du congé/absence.</v>
      </c>
      <c r="AO57" s="17" t="s">
        <v>97</v>
      </c>
      <c r="AP57" s="18" t="str">
        <f>VLOOKUP(AO57,'Axe 2 Règles de gestion'!$D$2:$F$125,3, FALSE)</f>
        <v>La date de fin réelle du congé/absence doit être antérieure à la date limite de départ à la retraite.</v>
      </c>
      <c r="AQ57" s="17" t="s">
        <v>99</v>
      </c>
      <c r="AR57" s="18" t="str">
        <f>VLOOKUP(AQ57,'Axe 2 Règles de gestion'!$D$2:$F$125,3, FALSE)</f>
        <v>La date de fin prévisionnelle du congé/absence doit être antérieure à la date limite de départ à la retraite.</v>
      </c>
      <c r="AS57" s="17" t="s">
        <v>101</v>
      </c>
      <c r="AT57" s="18" t="str">
        <f>VLOOKUP(AS57,'Axe 2 Règles de gestion'!$D$2:$F$125,3, FALSE)</f>
        <v>La date de fin réelle ou la date de fin prévisionnelle du congé/absence doit être saisie.</v>
      </c>
      <c r="AU57" s="17" t="s">
        <v>107</v>
      </c>
      <c r="AV57" s="18" t="str">
        <f>VLOOKUP(AU57,'Axe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57" s="17"/>
      <c r="AX57" s="18"/>
      <c r="AY57" s="17"/>
      <c r="AZ57" s="18"/>
      <c r="BA57" s="17"/>
      <c r="BB57" s="18"/>
      <c r="BC57" s="17"/>
      <c r="BD57" s="18"/>
      <c r="BE57" s="17"/>
      <c r="BF57" s="18"/>
      <c r="BG57" s="14" t="s">
        <v>74</v>
      </c>
      <c r="BH57" s="16" t="s">
        <v>74</v>
      </c>
    </row>
    <row r="58" spans="1:60" ht="130.5" x14ac:dyDescent="0.35">
      <c r="A58" s="14" t="s">
        <v>113</v>
      </c>
      <c r="B58" s="14" t="s">
        <v>62</v>
      </c>
      <c r="C58" s="15">
        <v>44861.634027777778</v>
      </c>
      <c r="D58" s="14" t="s">
        <v>63</v>
      </c>
      <c r="E58" s="16" t="s">
        <v>64</v>
      </c>
      <c r="F58" s="14" t="s">
        <v>65</v>
      </c>
      <c r="G58" s="16" t="s">
        <v>66</v>
      </c>
      <c r="H58" s="14" t="s">
        <v>228</v>
      </c>
      <c r="I58" s="16" t="s">
        <v>229</v>
      </c>
      <c r="J58" s="16" t="s">
        <v>230</v>
      </c>
      <c r="K58" s="16" t="s">
        <v>231</v>
      </c>
      <c r="L58" s="14" t="s">
        <v>232</v>
      </c>
      <c r="M58" s="16" t="s">
        <v>233</v>
      </c>
      <c r="N58" s="14" t="s">
        <v>73</v>
      </c>
      <c r="O58" s="16" t="s">
        <v>74</v>
      </c>
      <c r="P58" s="16" t="s">
        <v>74</v>
      </c>
      <c r="Q58" s="16" t="s">
        <v>153</v>
      </c>
      <c r="R58" s="14" t="s">
        <v>154</v>
      </c>
      <c r="S58" s="14" t="s">
        <v>120</v>
      </c>
      <c r="T58" s="14" t="s">
        <v>145</v>
      </c>
      <c r="U58" s="14" t="s">
        <v>79</v>
      </c>
      <c r="V58" s="15">
        <v>40725</v>
      </c>
      <c r="W58" s="15"/>
      <c r="X58" s="16" t="s">
        <v>249</v>
      </c>
      <c r="Y58" s="17" t="s">
        <v>250</v>
      </c>
      <c r="Z58" s="18" t="str">
        <f>VLOOKUP(Y58,'Axe 2 Règles de gestion'!$D$2:$F$125,3, FALSE)</f>
        <v>L'agent bénéficie des dispositions applicables aux agents titulaires pour la période d'activité effectuée au sein de la réserve opérationnelle.</v>
      </c>
      <c r="AA58" s="17" t="s">
        <v>184</v>
      </c>
      <c r="AB58" s="18" t="str">
        <f>VLOOKUP(AA58,'Axe 2 Règles de gestion'!$D$2:$F$125,3, FALSE)</f>
        <v>La demande de l'agent doit être faite 1 mois au moins avant le début de l'absence.</v>
      </c>
      <c r="AC58" s="17" t="s">
        <v>186</v>
      </c>
      <c r="AD58" s="18" t="str">
        <f>VLOOKUP(AC58,'Axe 2 Règles de gestion'!$D$2:$F$125,3, FALSE)</f>
        <v>L'accord de l'administration est nécessaire dès que l'agent dépasse 5 jours d'absence par année civile sauf s'il suit une formation professionnelle pendant son absence.</v>
      </c>
      <c r="AE58" s="17"/>
      <c r="AF58" s="18"/>
      <c r="AG58" s="17" t="s">
        <v>188</v>
      </c>
      <c r="AH58" s="18" t="str">
        <f>VLOOKUP(AG58,'Axe 2 Règles de gestion'!$D$2:$F$125,3, FALSE)</f>
        <v>La durée du congé doit être inférieure ou égale à 30 jours cumulés par année civile.</v>
      </c>
      <c r="AI58" s="17" t="s">
        <v>190</v>
      </c>
      <c r="AJ58" s="18" t="str">
        <f>VLOOKUP(AI58,'Axe 2 Règles de gestion'!$D$2:$F$125,3, FALSE)</f>
        <v>L'agent doit être en activité.</v>
      </c>
      <c r="AK58" s="17" t="s">
        <v>91</v>
      </c>
      <c r="AL58" s="18" t="str">
        <f>VLOOKUP(AK58,'Axe 2 Règles de gestion'!$D$2:$F$125,3, FALSE)</f>
        <v>La date de début du congé/absence doit être postérieure ou égale à la date de recrutement dans la FPE ou dans la carrière militaire.</v>
      </c>
      <c r="AM58" s="17" t="s">
        <v>93</v>
      </c>
      <c r="AN58" s="18" t="str">
        <f>VLOOKUP(AM58,'Axe 2 Règles de gestion'!$D$2:$F$125,3, FALSE)</f>
        <v>La date de début du congé/absence doit être antérieure ou égale à la date de fin réelle du congé/absence.</v>
      </c>
      <c r="AO58" s="17" t="s">
        <v>95</v>
      </c>
      <c r="AP58" s="18" t="str">
        <f>VLOOKUP(AO58,'Axe 2 Règles de gestion'!$D$2:$F$125,3, FALSE)</f>
        <v>La date de début du congé/absence doit être antérieure ou égale à la date de fin prévisionnelle du congé/absence.</v>
      </c>
      <c r="AQ58" s="17" t="s">
        <v>97</v>
      </c>
      <c r="AR58" s="18" t="str">
        <f>VLOOKUP(AQ58,'Axe 2 Règles de gestion'!$D$2:$F$125,3, FALSE)</f>
        <v>La date de fin réelle du congé/absence doit être antérieure à la date limite de départ à la retraite.</v>
      </c>
      <c r="AS58" s="17" t="s">
        <v>99</v>
      </c>
      <c r="AT58" s="18" t="str">
        <f>VLOOKUP(AS58,'Axe 2 Règles de gestion'!$D$2:$F$125,3, FALSE)</f>
        <v>La date de fin prévisionnelle du congé/absence doit être antérieure à la date limite de départ à la retraite.</v>
      </c>
      <c r="AU58" s="17" t="s">
        <v>101</v>
      </c>
      <c r="AV58" s="18" t="str">
        <f>VLOOKUP(AU58,'Axe 2 Règles de gestion'!$D$2:$F$125,3, FALSE)</f>
        <v>La date de fin réelle ou la date de fin prévisionnelle du congé/absence doit être saisie.</v>
      </c>
      <c r="AW58" s="17" t="s">
        <v>103</v>
      </c>
      <c r="AX58" s="18" t="str">
        <f>VLOOKUP(AW58,'Axe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58" s="17" t="s">
        <v>105</v>
      </c>
      <c r="AZ58" s="18" t="str">
        <f>VLOOKUP(AY58,'Axe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58" s="17" t="s">
        <v>107</v>
      </c>
      <c r="BB58" s="18" t="str">
        <f>VLOOKUP(BA58,'Axe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58" s="17"/>
      <c r="BD58" s="18"/>
      <c r="BE58" s="17"/>
      <c r="BF58" s="18"/>
      <c r="BG58" s="14" t="s">
        <v>74</v>
      </c>
      <c r="BH58" s="16" t="s">
        <v>74</v>
      </c>
    </row>
    <row r="59" spans="1:60" ht="116" x14ac:dyDescent="0.35">
      <c r="A59" s="14" t="s">
        <v>113</v>
      </c>
      <c r="B59" s="14" t="s">
        <v>62</v>
      </c>
      <c r="C59" s="15">
        <v>44852.474999999999</v>
      </c>
      <c r="D59" s="14" t="s">
        <v>63</v>
      </c>
      <c r="E59" s="16" t="s">
        <v>64</v>
      </c>
      <c r="F59" s="14" t="s">
        <v>65</v>
      </c>
      <c r="G59" s="16" t="s">
        <v>66</v>
      </c>
      <c r="H59" s="14" t="s">
        <v>228</v>
      </c>
      <c r="I59" s="16" t="s">
        <v>229</v>
      </c>
      <c r="J59" s="16" t="s">
        <v>230</v>
      </c>
      <c r="K59" s="16" t="s">
        <v>231</v>
      </c>
      <c r="L59" s="14" t="s">
        <v>234</v>
      </c>
      <c r="M59" s="16" t="s">
        <v>235</v>
      </c>
      <c r="N59" s="14" t="s">
        <v>111</v>
      </c>
      <c r="O59" s="16" t="s">
        <v>74</v>
      </c>
      <c r="P59" s="16" t="s">
        <v>74</v>
      </c>
      <c r="Q59" s="16" t="s">
        <v>153</v>
      </c>
      <c r="R59" s="14" t="s">
        <v>154</v>
      </c>
      <c r="S59" s="14" t="s">
        <v>120</v>
      </c>
      <c r="T59" s="14" t="s">
        <v>145</v>
      </c>
      <c r="U59" s="14" t="s">
        <v>79</v>
      </c>
      <c r="V59" s="15">
        <v>40725</v>
      </c>
      <c r="W59" s="15"/>
      <c r="X59" s="16" t="s">
        <v>193</v>
      </c>
      <c r="Y59" s="17"/>
      <c r="Z59" s="18"/>
      <c r="AA59" s="17"/>
      <c r="AB59" s="18"/>
      <c r="AC59" s="17"/>
      <c r="AD59" s="18"/>
      <c r="AE59" s="17"/>
      <c r="AF59" s="18"/>
      <c r="AG59" s="17" t="s">
        <v>188</v>
      </c>
      <c r="AH59" s="18" t="str">
        <f>VLOOKUP(AG59,'Axe 2 Règles de gestion'!$D$2:$F$125,3, FALSE)</f>
        <v>La durée du congé doit être inférieure ou égale à 30 jours cumulés par année civile.</v>
      </c>
      <c r="AI59" s="17" t="s">
        <v>190</v>
      </c>
      <c r="AJ59" s="18" t="str">
        <f>VLOOKUP(AI59,'Axe 2 Règles de gestion'!$D$2:$F$125,3, FALSE)</f>
        <v>L'agent doit être en activité.</v>
      </c>
      <c r="AK59" s="17" t="s">
        <v>93</v>
      </c>
      <c r="AL59" s="18" t="str">
        <f>VLOOKUP(AK59,'Axe 2 Règles de gestion'!$D$2:$F$125,3, FALSE)</f>
        <v>La date de début du congé/absence doit être antérieure ou égale à la date de fin réelle du congé/absence.</v>
      </c>
      <c r="AM59" s="17" t="s">
        <v>95</v>
      </c>
      <c r="AN59" s="18" t="str">
        <f>VLOOKUP(AM59,'Axe 2 Règles de gestion'!$D$2:$F$125,3, FALSE)</f>
        <v>La date de début du congé/absence doit être antérieure ou égale à la date de fin prévisionnelle du congé/absence.</v>
      </c>
      <c r="AO59" s="17" t="s">
        <v>97</v>
      </c>
      <c r="AP59" s="18" t="str">
        <f>VLOOKUP(AO59,'Axe 2 Règles de gestion'!$D$2:$F$125,3, FALSE)</f>
        <v>La date de fin réelle du congé/absence doit être antérieure à la date limite de départ à la retraite.</v>
      </c>
      <c r="AQ59" s="17" t="s">
        <v>99</v>
      </c>
      <c r="AR59" s="18" t="str">
        <f>VLOOKUP(AQ59,'Axe 2 Règles de gestion'!$D$2:$F$125,3, FALSE)</f>
        <v>La date de fin prévisionnelle du congé/absence doit être antérieure à la date limite de départ à la retraite.</v>
      </c>
      <c r="AS59" s="17" t="s">
        <v>101</v>
      </c>
      <c r="AT59" s="18" t="str">
        <f>VLOOKUP(AS59,'Axe 2 Règles de gestion'!$D$2:$F$125,3, FALSE)</f>
        <v>La date de fin réelle ou la date de fin prévisionnelle du congé/absence doit être saisie.</v>
      </c>
      <c r="AU59" s="17" t="s">
        <v>107</v>
      </c>
      <c r="AV59" s="18" t="str">
        <f>VLOOKUP(AU59,'Axe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59" s="17"/>
      <c r="AX59" s="18"/>
      <c r="AY59" s="17"/>
      <c r="AZ59" s="18"/>
      <c r="BA59" s="17"/>
      <c r="BB59" s="18"/>
      <c r="BC59" s="17"/>
      <c r="BD59" s="18"/>
      <c r="BE59" s="17"/>
      <c r="BF59" s="18"/>
      <c r="BG59" s="14" t="s">
        <v>74</v>
      </c>
      <c r="BH59" s="16" t="s">
        <v>74</v>
      </c>
    </row>
    <row r="60" spans="1:60" ht="130.5" x14ac:dyDescent="0.35">
      <c r="A60" s="14" t="s">
        <v>113</v>
      </c>
      <c r="B60" s="14" t="s">
        <v>116</v>
      </c>
      <c r="C60" s="15">
        <v>44873.637499999997</v>
      </c>
      <c r="D60" s="14" t="s">
        <v>63</v>
      </c>
      <c r="E60" s="16" t="s">
        <v>64</v>
      </c>
      <c r="F60" s="14" t="s">
        <v>65</v>
      </c>
      <c r="G60" s="16" t="s">
        <v>66</v>
      </c>
      <c r="H60" s="14" t="s">
        <v>228</v>
      </c>
      <c r="I60" s="16" t="s">
        <v>229</v>
      </c>
      <c r="J60" s="16" t="s">
        <v>230</v>
      </c>
      <c r="K60" s="16" t="s">
        <v>231</v>
      </c>
      <c r="L60" s="14" t="s">
        <v>232</v>
      </c>
      <c r="M60" s="16" t="s">
        <v>233</v>
      </c>
      <c r="N60" s="14" t="s">
        <v>73</v>
      </c>
      <c r="O60" s="16" t="s">
        <v>74</v>
      </c>
      <c r="P60" s="16" t="s">
        <v>74</v>
      </c>
      <c r="Q60" s="16" t="s">
        <v>164</v>
      </c>
      <c r="R60" s="14" t="s">
        <v>165</v>
      </c>
      <c r="S60" s="14" t="s">
        <v>120</v>
      </c>
      <c r="T60" s="14" t="s">
        <v>145</v>
      </c>
      <c r="U60" s="14" t="s">
        <v>79</v>
      </c>
      <c r="V60" s="15">
        <v>40725</v>
      </c>
      <c r="W60" s="15"/>
      <c r="X60" s="16" t="s">
        <v>214</v>
      </c>
      <c r="Y60" s="17" t="s">
        <v>215</v>
      </c>
      <c r="Z60" s="18" t="str">
        <f>VLOOKUP(Y60,'Axe 2 Règles de gestion'!$D$2:$F$125,3, FALSE)</f>
        <v>L'agent peut s'absenter sans obtenir l'accord de son employeur dans la limite de 8 jours par année civile.</v>
      </c>
      <c r="AA60" s="17" t="s">
        <v>217</v>
      </c>
      <c r="AB60" s="18" t="str">
        <f>VLOOKUP(AA60,'Axe 2 Règles de gestion'!$D$2:$F$125,3, FALSE)</f>
        <v>La demande de l'agent doit être faite 1 mois au moins avant le début de l'absence.</v>
      </c>
      <c r="AC60" s="17" t="s">
        <v>218</v>
      </c>
      <c r="AD60" s="18" t="str">
        <f>VLOOKUP(AC60,'Axe 2 Règles de gestion'!$D$2:$F$125,3, FALSE)</f>
        <v>La demande de l'agent doit indiquer la date et la durée de l'absence envisagée.</v>
      </c>
      <c r="AE60" s="17" t="s">
        <v>220</v>
      </c>
      <c r="AF60" s="18" t="str">
        <f>VLOOKUP(AE60,'Axe 2 Règles de gestion'!$D$2:$F$125,3, FALSE)</f>
        <v>L'accord de l'administration est nécessaire dès que l'agent dépasse 8 jours d'absence par année civile.</v>
      </c>
      <c r="AG60" s="17"/>
      <c r="AH60" s="18"/>
      <c r="AI60" s="17"/>
      <c r="AJ60" s="18"/>
      <c r="AK60" s="17" t="s">
        <v>128</v>
      </c>
      <c r="AL60" s="18" t="str">
        <f>VLOOKUP(AK60,'Axe 2 Règles de gestion'!$D$2:$F$125,3, FALSE)</f>
        <v>La date de début du congé/absence doit être postérieure ou égale à la date de début du lien juridique.</v>
      </c>
      <c r="AM60" s="17" t="s">
        <v>95</v>
      </c>
      <c r="AN60" s="18" t="str">
        <f>VLOOKUP(AM60,'Axe 2 Règles de gestion'!$D$2:$F$125,3, FALSE)</f>
        <v>La date de début du congé/absence doit être antérieure ou égale à la date de fin prévisionnelle du congé/absence.</v>
      </c>
      <c r="AO60" s="17" t="s">
        <v>93</v>
      </c>
      <c r="AP60" s="18" t="str">
        <f>VLOOKUP(AO60,'Axe 2 Règles de gestion'!$D$2:$F$125,3, FALSE)</f>
        <v>La date de début du congé/absence doit être antérieure ou égale à la date de fin réelle du congé/absence.</v>
      </c>
      <c r="AQ60" s="17" t="s">
        <v>97</v>
      </c>
      <c r="AR60" s="18" t="str">
        <f>VLOOKUP(AQ60,'Axe 2 Règles de gestion'!$D$2:$F$125,3, FALSE)</f>
        <v>La date de fin réelle du congé/absence doit être antérieure à la date limite de départ à la retraite.</v>
      </c>
      <c r="AS60" s="17" t="s">
        <v>99</v>
      </c>
      <c r="AT60" s="18" t="str">
        <f>VLOOKUP(AS60,'Axe 2 Règles de gestion'!$D$2:$F$125,3, FALSE)</f>
        <v>La date de fin prévisionnelle du congé/absence doit être antérieure à la date limite de départ à la retraite.</v>
      </c>
      <c r="AU60" s="17" t="s">
        <v>130</v>
      </c>
      <c r="AV60" s="18" t="str">
        <f>VLOOKUP(AU60,'Axe 2 Règles de gestion'!$D$2:$F$125,3, FALSE)</f>
        <v>La date de fin réelle du congé/absence doit être antérieure ou égale à la date limite de fin réelle ou prévisionnelle du lien juridique.</v>
      </c>
      <c r="AW60" s="17" t="s">
        <v>132</v>
      </c>
      <c r="AX60" s="18" t="str">
        <f>VLOOKUP(AW60,'Axe 2 Règles de gestion'!$D$2:$F$125,3, FALSE)</f>
        <v>La date de fin prévisionnelle du congé/absence doit être antérieure ou égale à la date limite de fin réelle ou prévisionnelle du lien juridique.</v>
      </c>
      <c r="AY60" s="17" t="s">
        <v>103</v>
      </c>
      <c r="AZ60" s="18" t="str">
        <f>VLOOKUP(AY60,'Axe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60" s="17" t="s">
        <v>105</v>
      </c>
      <c r="BB60" s="18" t="str">
        <f>VLOOKUP(BA60,'Axe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60" s="17" t="s">
        <v>101</v>
      </c>
      <c r="BD60" s="18" t="str">
        <f>VLOOKUP(BC60,'Axe 2 Règles de gestion'!$D$2:$F$125,3, FALSE)</f>
        <v>La date de fin réelle ou la date de fin prévisionnelle du congé/absence doit être saisie.</v>
      </c>
      <c r="BE60" s="17" t="s">
        <v>107</v>
      </c>
      <c r="BF60" s="18" t="str">
        <f>VLOOKUP(BE60,'Axe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60" s="14" t="s">
        <v>74</v>
      </c>
      <c r="BH60" s="16" t="s">
        <v>74</v>
      </c>
    </row>
    <row r="61" spans="1:60" ht="130.5" x14ac:dyDescent="0.35">
      <c r="A61" s="14" t="s">
        <v>113</v>
      </c>
      <c r="B61" s="14" t="s">
        <v>62</v>
      </c>
      <c r="C61" s="15">
        <v>44852.474999999999</v>
      </c>
      <c r="D61" s="14" t="s">
        <v>63</v>
      </c>
      <c r="E61" s="16" t="s">
        <v>64</v>
      </c>
      <c r="F61" s="14" t="s">
        <v>65</v>
      </c>
      <c r="G61" s="16" t="s">
        <v>66</v>
      </c>
      <c r="H61" s="14" t="s">
        <v>228</v>
      </c>
      <c r="I61" s="16" t="s">
        <v>229</v>
      </c>
      <c r="J61" s="16" t="s">
        <v>230</v>
      </c>
      <c r="K61" s="16" t="s">
        <v>231</v>
      </c>
      <c r="L61" s="14" t="s">
        <v>234</v>
      </c>
      <c r="M61" s="16" t="s">
        <v>235</v>
      </c>
      <c r="N61" s="14" t="s">
        <v>111</v>
      </c>
      <c r="O61" s="16" t="s">
        <v>74</v>
      </c>
      <c r="P61" s="16" t="s">
        <v>74</v>
      </c>
      <c r="Q61" s="16" t="s">
        <v>164</v>
      </c>
      <c r="R61" s="14" t="s">
        <v>165</v>
      </c>
      <c r="S61" s="14" t="s">
        <v>120</v>
      </c>
      <c r="T61" s="14" t="s">
        <v>145</v>
      </c>
      <c r="U61" s="14" t="s">
        <v>79</v>
      </c>
      <c r="V61" s="15">
        <v>40725</v>
      </c>
      <c r="W61" s="15"/>
      <c r="X61" s="16" t="s">
        <v>211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 t="s">
        <v>128</v>
      </c>
      <c r="AL61" s="18" t="str">
        <f>VLOOKUP(AK61,'Axe 2 Règles de gestion'!$D$2:$F$125,3, FALSE)</f>
        <v>La date de début du congé/absence doit être postérieure ou égale à la date de début du lien juridique.</v>
      </c>
      <c r="AM61" s="17" t="s">
        <v>93</v>
      </c>
      <c r="AN61" s="18" t="str">
        <f>VLOOKUP(AM61,'Axe 2 Règles de gestion'!$D$2:$F$125,3, FALSE)</f>
        <v>La date de début du congé/absence doit être antérieure ou égale à la date de fin réelle du congé/absence.</v>
      </c>
      <c r="AO61" s="17" t="s">
        <v>95</v>
      </c>
      <c r="AP61" s="18" t="str">
        <f>VLOOKUP(AO61,'Axe 2 Règles de gestion'!$D$2:$F$125,3, FALSE)</f>
        <v>La date de début du congé/absence doit être antérieure ou égale à la date de fin prévisionnelle du congé/absence.</v>
      </c>
      <c r="AQ61" s="17" t="s">
        <v>97</v>
      </c>
      <c r="AR61" s="18" t="str">
        <f>VLOOKUP(AQ61,'Axe 2 Règles de gestion'!$D$2:$F$125,3, FALSE)</f>
        <v>La date de fin réelle du congé/absence doit être antérieure à la date limite de départ à la retraite.</v>
      </c>
      <c r="AS61" s="17" t="s">
        <v>99</v>
      </c>
      <c r="AT61" s="18" t="str">
        <f>VLOOKUP(AS61,'Axe 2 Règles de gestion'!$D$2:$F$125,3, FALSE)</f>
        <v>La date de fin prévisionnelle du congé/absence doit être antérieure à la date limite de départ à la retraite.</v>
      </c>
      <c r="AU61" s="17" t="s">
        <v>130</v>
      </c>
      <c r="AV61" s="18" t="str">
        <f>VLOOKUP(AU61,'Axe 2 Règles de gestion'!$D$2:$F$125,3, FALSE)</f>
        <v>La date de fin réelle du congé/absence doit être antérieure ou égale à la date limite de fin réelle ou prévisionnelle du lien juridique.</v>
      </c>
      <c r="AW61" s="17" t="s">
        <v>132</v>
      </c>
      <c r="AX61" s="18" t="str">
        <f>VLOOKUP(AW61,'Axe 2 Règles de gestion'!$D$2:$F$125,3, FALSE)</f>
        <v>La date de fin prévisionnelle du congé/absence doit être antérieure ou égale à la date limite de fin réelle ou prévisionnelle du lien juridique.</v>
      </c>
      <c r="AY61" s="17" t="s">
        <v>103</v>
      </c>
      <c r="AZ61" s="18" t="str">
        <f>VLOOKUP(AY61,'Axe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61" s="17" t="s">
        <v>105</v>
      </c>
      <c r="BB61" s="18" t="str">
        <f>VLOOKUP(BA61,'Axe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61" s="17" t="s">
        <v>101</v>
      </c>
      <c r="BD61" s="18" t="str">
        <f>VLOOKUP(BC61,'Axe 2 Règles de gestion'!$D$2:$F$125,3, FALSE)</f>
        <v>La date de fin réelle ou la date de fin prévisionnelle du congé/absence doit être saisie.</v>
      </c>
      <c r="BE61" s="17" t="s">
        <v>107</v>
      </c>
      <c r="BF61" s="18" t="str">
        <f>VLOOKUP(BE61,'Axe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61" s="14" t="s">
        <v>74</v>
      </c>
      <c r="BH61" s="16" t="s">
        <v>74</v>
      </c>
    </row>
    <row r="62" spans="1:60" ht="58" x14ac:dyDescent="0.35">
      <c r="A62" s="14" t="s">
        <v>113</v>
      </c>
      <c r="B62" s="14" t="s">
        <v>62</v>
      </c>
      <c r="C62" s="15">
        <v>44861.634027777778</v>
      </c>
      <c r="D62" s="14" t="s">
        <v>63</v>
      </c>
      <c r="E62" s="16" t="s">
        <v>64</v>
      </c>
      <c r="F62" s="14" t="s">
        <v>65</v>
      </c>
      <c r="G62" s="16" t="s">
        <v>66</v>
      </c>
      <c r="H62" s="14" t="s">
        <v>228</v>
      </c>
      <c r="I62" s="16" t="s">
        <v>229</v>
      </c>
      <c r="J62" s="16" t="s">
        <v>230</v>
      </c>
      <c r="K62" s="16" t="s">
        <v>231</v>
      </c>
      <c r="L62" s="14" t="s">
        <v>232</v>
      </c>
      <c r="M62" s="16" t="s">
        <v>233</v>
      </c>
      <c r="N62" s="14" t="s">
        <v>73</v>
      </c>
      <c r="O62" s="16" t="s">
        <v>74</v>
      </c>
      <c r="P62" s="16" t="s">
        <v>74</v>
      </c>
      <c r="Q62" s="16" t="s">
        <v>166</v>
      </c>
      <c r="R62" s="14" t="s">
        <v>167</v>
      </c>
      <c r="S62" s="14" t="s">
        <v>120</v>
      </c>
      <c r="T62" s="14" t="s">
        <v>145</v>
      </c>
      <c r="U62" s="14" t="s">
        <v>117</v>
      </c>
      <c r="V62" s="15">
        <v>40725</v>
      </c>
      <c r="W62" s="15"/>
      <c r="X62" s="16" t="s">
        <v>74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7"/>
      <c r="AP62" s="18"/>
      <c r="AQ62" s="17"/>
      <c r="AR62" s="18"/>
      <c r="AS62" s="17"/>
      <c r="AT62" s="18"/>
      <c r="AU62" s="17"/>
      <c r="AV62" s="18"/>
      <c r="AW62" s="17"/>
      <c r="AX62" s="18"/>
      <c r="AY62" s="17"/>
      <c r="AZ62" s="18"/>
      <c r="BA62" s="17"/>
      <c r="BB62" s="18"/>
      <c r="BC62" s="17"/>
      <c r="BD62" s="18"/>
      <c r="BE62" s="17"/>
      <c r="BF62" s="18"/>
      <c r="BG62" s="14" t="s">
        <v>74</v>
      </c>
      <c r="BH62" s="16" t="s">
        <v>74</v>
      </c>
    </row>
    <row r="63" spans="1:60" ht="58" x14ac:dyDescent="0.35">
      <c r="A63" s="14" t="s">
        <v>113</v>
      </c>
      <c r="B63" s="14" t="s">
        <v>62</v>
      </c>
      <c r="C63" s="15">
        <v>44852.474999999999</v>
      </c>
      <c r="D63" s="14" t="s">
        <v>63</v>
      </c>
      <c r="E63" s="16" t="s">
        <v>64</v>
      </c>
      <c r="F63" s="14" t="s">
        <v>65</v>
      </c>
      <c r="G63" s="16" t="s">
        <v>66</v>
      </c>
      <c r="H63" s="14" t="s">
        <v>228</v>
      </c>
      <c r="I63" s="16" t="s">
        <v>229</v>
      </c>
      <c r="J63" s="16" t="s">
        <v>230</v>
      </c>
      <c r="K63" s="16" t="s">
        <v>231</v>
      </c>
      <c r="L63" s="14" t="s">
        <v>234</v>
      </c>
      <c r="M63" s="16" t="s">
        <v>235</v>
      </c>
      <c r="N63" s="14" t="s">
        <v>111</v>
      </c>
      <c r="O63" s="16" t="s">
        <v>74</v>
      </c>
      <c r="P63" s="16" t="s">
        <v>74</v>
      </c>
      <c r="Q63" s="16" t="s">
        <v>166</v>
      </c>
      <c r="R63" s="14" t="s">
        <v>167</v>
      </c>
      <c r="S63" s="14" t="s">
        <v>120</v>
      </c>
      <c r="T63" s="14" t="s">
        <v>145</v>
      </c>
      <c r="U63" s="14" t="s">
        <v>117</v>
      </c>
      <c r="V63" s="15">
        <v>40725</v>
      </c>
      <c r="W63" s="15"/>
      <c r="X63" s="16" t="s">
        <v>74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7"/>
      <c r="AP63" s="18"/>
      <c r="AQ63" s="17"/>
      <c r="AR63" s="18"/>
      <c r="AS63" s="17"/>
      <c r="AT63" s="18"/>
      <c r="AU63" s="17"/>
      <c r="AV63" s="18"/>
      <c r="AW63" s="17"/>
      <c r="AX63" s="18"/>
      <c r="AY63" s="17"/>
      <c r="AZ63" s="18"/>
      <c r="BA63" s="17"/>
      <c r="BB63" s="18"/>
      <c r="BC63" s="17"/>
      <c r="BD63" s="18"/>
      <c r="BE63" s="17"/>
      <c r="BF63" s="18"/>
      <c r="BG63" s="14" t="s">
        <v>74</v>
      </c>
      <c r="BH63" s="16" t="s">
        <v>74</v>
      </c>
    </row>
    <row r="64" spans="1:60" ht="130.5" x14ac:dyDescent="0.35">
      <c r="A64" s="14" t="s">
        <v>113</v>
      </c>
      <c r="B64" s="14" t="s">
        <v>62</v>
      </c>
      <c r="C64" s="15">
        <v>44861.634027777778</v>
      </c>
      <c r="D64" s="14" t="s">
        <v>63</v>
      </c>
      <c r="E64" s="16" t="s">
        <v>64</v>
      </c>
      <c r="F64" s="14" t="s">
        <v>65</v>
      </c>
      <c r="G64" s="16" t="s">
        <v>66</v>
      </c>
      <c r="H64" s="14" t="s">
        <v>228</v>
      </c>
      <c r="I64" s="16" t="s">
        <v>229</v>
      </c>
      <c r="J64" s="16" t="s">
        <v>230</v>
      </c>
      <c r="K64" s="16" t="s">
        <v>231</v>
      </c>
      <c r="L64" s="14" t="s">
        <v>232</v>
      </c>
      <c r="M64" s="16" t="s">
        <v>233</v>
      </c>
      <c r="N64" s="14" t="s">
        <v>73</v>
      </c>
      <c r="O64" s="16" t="s">
        <v>74</v>
      </c>
      <c r="P64" s="16" t="s">
        <v>74</v>
      </c>
      <c r="Q64" s="16" t="s">
        <v>168</v>
      </c>
      <c r="R64" s="14" t="s">
        <v>169</v>
      </c>
      <c r="S64" s="14" t="s">
        <v>120</v>
      </c>
      <c r="T64" s="14" t="s">
        <v>145</v>
      </c>
      <c r="U64" s="14" t="s">
        <v>79</v>
      </c>
      <c r="V64" s="15">
        <v>40725</v>
      </c>
      <c r="W64" s="15"/>
      <c r="X64" s="16" t="s">
        <v>252</v>
      </c>
      <c r="Y64" s="17" t="s">
        <v>253</v>
      </c>
      <c r="Z64" s="18" t="str">
        <f>VLOOKUP(Y64,'Axe 2 Règles de gestion'!$D$2:$F$125,3, FALSE)</f>
        <v>L'agent bénéficie des dispositions applicables aux agents titulaires pour la période d'activité effectuée au sein de la réserve civile.</v>
      </c>
      <c r="AA64" s="17" t="s">
        <v>184</v>
      </c>
      <c r="AB64" s="18" t="str">
        <f>VLOOKUP(AA64,'Axe 2 Règles de gestion'!$D$2:$F$125,3, FALSE)</f>
        <v>La demande de l'agent doit être faite 1 mois au moins avant le début de l'absence.</v>
      </c>
      <c r="AC64" s="17" t="s">
        <v>186</v>
      </c>
      <c r="AD64" s="18" t="str">
        <f>VLOOKUP(AC64,'Axe 2 Règles de gestion'!$D$2:$F$125,3, FALSE)</f>
        <v>L'accord de l'administration est nécessaire dès que l'agent dépasse 5 jours d'absence par année civile sauf s'il suit une formation professionnelle pendant son absence.</v>
      </c>
      <c r="AE64" s="17"/>
      <c r="AF64" s="18"/>
      <c r="AG64" s="17" t="s">
        <v>188</v>
      </c>
      <c r="AH64" s="18" t="str">
        <f>VLOOKUP(AG64,'Axe 2 Règles de gestion'!$D$2:$F$125,3, FALSE)</f>
        <v>La durée du congé doit être inférieure ou égale à 30 jours cumulés par année civile.</v>
      </c>
      <c r="AI64" s="17" t="s">
        <v>190</v>
      </c>
      <c r="AJ64" s="18" t="str">
        <f>VLOOKUP(AI64,'Axe 2 Règles de gestion'!$D$2:$F$125,3, FALSE)</f>
        <v>L'agent doit être en activité.</v>
      </c>
      <c r="AK64" s="17" t="s">
        <v>91</v>
      </c>
      <c r="AL64" s="18" t="str">
        <f>VLOOKUP(AK64,'Axe 2 Règles de gestion'!$D$2:$F$125,3, FALSE)</f>
        <v>La date de début du congé/absence doit être postérieure ou égale à la date de recrutement dans la FPE ou dans la carrière militaire.</v>
      </c>
      <c r="AM64" s="17" t="s">
        <v>93</v>
      </c>
      <c r="AN64" s="18" t="str">
        <f>VLOOKUP(AM64,'Axe 2 Règles de gestion'!$D$2:$F$125,3, FALSE)</f>
        <v>La date de début du congé/absence doit être antérieure ou égale à la date de fin réelle du congé/absence.</v>
      </c>
      <c r="AO64" s="17" t="s">
        <v>95</v>
      </c>
      <c r="AP64" s="18" t="str">
        <f>VLOOKUP(AO64,'Axe 2 Règles de gestion'!$D$2:$F$125,3, FALSE)</f>
        <v>La date de début du congé/absence doit être antérieure ou égale à la date de fin prévisionnelle du congé/absence.</v>
      </c>
      <c r="AQ64" s="17" t="s">
        <v>97</v>
      </c>
      <c r="AR64" s="18" t="str">
        <f>VLOOKUP(AQ64,'Axe 2 Règles de gestion'!$D$2:$F$125,3, FALSE)</f>
        <v>La date de fin réelle du congé/absence doit être antérieure à la date limite de départ à la retraite.</v>
      </c>
      <c r="AS64" s="17" t="s">
        <v>99</v>
      </c>
      <c r="AT64" s="18" t="str">
        <f>VLOOKUP(AS64,'Axe 2 Règles de gestion'!$D$2:$F$125,3, FALSE)</f>
        <v>La date de fin prévisionnelle du congé/absence doit être antérieure à la date limite de départ à la retraite.</v>
      </c>
      <c r="AU64" s="17" t="s">
        <v>101</v>
      </c>
      <c r="AV64" s="18" t="str">
        <f>VLOOKUP(AU64,'Axe 2 Règles de gestion'!$D$2:$F$125,3, FALSE)</f>
        <v>La date de fin réelle ou la date de fin prévisionnelle du congé/absence doit être saisie.</v>
      </c>
      <c r="AW64" s="17" t="s">
        <v>103</v>
      </c>
      <c r="AX64" s="18" t="str">
        <f>VLOOKUP(AW64,'Axe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64" s="17" t="s">
        <v>105</v>
      </c>
      <c r="AZ64" s="18" t="str">
        <f>VLOOKUP(AY64,'Axe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64" s="17" t="s">
        <v>107</v>
      </c>
      <c r="BB64" s="18" t="str">
        <f>VLOOKUP(BA64,'Axe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64" s="17"/>
      <c r="BD64" s="18"/>
      <c r="BE64" s="17"/>
      <c r="BF64" s="18"/>
      <c r="BG64" s="14" t="s">
        <v>74</v>
      </c>
      <c r="BH64" s="16" t="s">
        <v>74</v>
      </c>
    </row>
    <row r="65" spans="1:60" ht="116" x14ac:dyDescent="0.35">
      <c r="A65" s="14" t="s">
        <v>113</v>
      </c>
      <c r="B65" s="14" t="s">
        <v>62</v>
      </c>
      <c r="C65" s="15">
        <v>44852.474999999999</v>
      </c>
      <c r="D65" s="14" t="s">
        <v>63</v>
      </c>
      <c r="E65" s="16" t="s">
        <v>64</v>
      </c>
      <c r="F65" s="14" t="s">
        <v>65</v>
      </c>
      <c r="G65" s="16" t="s">
        <v>66</v>
      </c>
      <c r="H65" s="14" t="s">
        <v>228</v>
      </c>
      <c r="I65" s="16" t="s">
        <v>229</v>
      </c>
      <c r="J65" s="16" t="s">
        <v>230</v>
      </c>
      <c r="K65" s="16" t="s">
        <v>231</v>
      </c>
      <c r="L65" s="14" t="s">
        <v>234</v>
      </c>
      <c r="M65" s="16" t="s">
        <v>235</v>
      </c>
      <c r="N65" s="14" t="s">
        <v>111</v>
      </c>
      <c r="O65" s="16" t="s">
        <v>74</v>
      </c>
      <c r="P65" s="16" t="s">
        <v>74</v>
      </c>
      <c r="Q65" s="16" t="s">
        <v>168</v>
      </c>
      <c r="R65" s="14" t="s">
        <v>169</v>
      </c>
      <c r="S65" s="14" t="s">
        <v>120</v>
      </c>
      <c r="T65" s="14" t="s">
        <v>145</v>
      </c>
      <c r="U65" s="14" t="s">
        <v>79</v>
      </c>
      <c r="V65" s="15">
        <v>40725</v>
      </c>
      <c r="W65" s="15"/>
      <c r="X65" s="16" t="s">
        <v>193</v>
      </c>
      <c r="Y65" s="17"/>
      <c r="Z65" s="18"/>
      <c r="AA65" s="17"/>
      <c r="AB65" s="18"/>
      <c r="AC65" s="17"/>
      <c r="AD65" s="18"/>
      <c r="AE65" s="17"/>
      <c r="AF65" s="18"/>
      <c r="AG65" s="17" t="s">
        <v>188</v>
      </c>
      <c r="AH65" s="18" t="str">
        <f>VLOOKUP(AG65,'Axe 2 Règles de gestion'!$D$2:$F$125,3, FALSE)</f>
        <v>La durée du congé doit être inférieure ou égale à 30 jours cumulés par année civile.</v>
      </c>
      <c r="AI65" s="17" t="s">
        <v>190</v>
      </c>
      <c r="AJ65" s="18" t="str">
        <f>VLOOKUP(AI65,'Axe 2 Règles de gestion'!$D$2:$F$125,3, FALSE)</f>
        <v>L'agent doit être en activité.</v>
      </c>
      <c r="AK65" s="17" t="s">
        <v>93</v>
      </c>
      <c r="AL65" s="18" t="str">
        <f>VLOOKUP(AK65,'Axe 2 Règles de gestion'!$D$2:$F$125,3, FALSE)</f>
        <v>La date de début du congé/absence doit être antérieure ou égale à la date de fin réelle du congé/absence.</v>
      </c>
      <c r="AM65" s="17" t="s">
        <v>95</v>
      </c>
      <c r="AN65" s="18" t="str">
        <f>VLOOKUP(AM65,'Axe 2 Règles de gestion'!$D$2:$F$125,3, FALSE)</f>
        <v>La date de début du congé/absence doit être antérieure ou égale à la date de fin prévisionnelle du congé/absence.</v>
      </c>
      <c r="AO65" s="17" t="s">
        <v>97</v>
      </c>
      <c r="AP65" s="18" t="str">
        <f>VLOOKUP(AO65,'Axe 2 Règles de gestion'!$D$2:$F$125,3, FALSE)</f>
        <v>La date de fin réelle du congé/absence doit être antérieure à la date limite de départ à la retraite.</v>
      </c>
      <c r="AQ65" s="17" t="s">
        <v>99</v>
      </c>
      <c r="AR65" s="18" t="str">
        <f>VLOOKUP(AQ65,'Axe 2 Règles de gestion'!$D$2:$F$125,3, FALSE)</f>
        <v>La date de fin prévisionnelle du congé/absence doit être antérieure à la date limite de départ à la retraite.</v>
      </c>
      <c r="AS65" s="17" t="s">
        <v>101</v>
      </c>
      <c r="AT65" s="18" t="str">
        <f>VLOOKUP(AS65,'Axe 2 Règles de gestion'!$D$2:$F$125,3, FALSE)</f>
        <v>La date de fin réelle ou la date de fin prévisionnelle du congé/absence doit être saisie.</v>
      </c>
      <c r="AU65" s="17" t="s">
        <v>107</v>
      </c>
      <c r="AV65" s="18" t="str">
        <f>VLOOKUP(AU65,'Axe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65" s="17"/>
      <c r="AX65" s="18"/>
      <c r="AY65" s="17"/>
      <c r="AZ65" s="18"/>
      <c r="BA65" s="17"/>
      <c r="BB65" s="18"/>
      <c r="BC65" s="17"/>
      <c r="BD65" s="18"/>
      <c r="BE65" s="17"/>
      <c r="BF65" s="18"/>
      <c r="BG65" s="14" t="s">
        <v>74</v>
      </c>
      <c r="BH65" s="16" t="s">
        <v>74</v>
      </c>
    </row>
    <row r="66" spans="1:60" ht="130.5" x14ac:dyDescent="0.35">
      <c r="A66" s="14" t="s">
        <v>113</v>
      </c>
      <c r="B66" s="14" t="s">
        <v>116</v>
      </c>
      <c r="C66" s="15">
        <v>44854.579861111109</v>
      </c>
      <c r="D66" s="14" t="s">
        <v>63</v>
      </c>
      <c r="E66" s="16" t="s">
        <v>64</v>
      </c>
      <c r="F66" s="14" t="s">
        <v>65</v>
      </c>
      <c r="G66" s="16" t="s">
        <v>66</v>
      </c>
      <c r="H66" s="14" t="s">
        <v>255</v>
      </c>
      <c r="I66" s="16" t="s">
        <v>256</v>
      </c>
      <c r="J66" s="16" t="s">
        <v>257</v>
      </c>
      <c r="K66" s="16" t="s">
        <v>258</v>
      </c>
      <c r="L66" s="14" t="s">
        <v>259</v>
      </c>
      <c r="M66" s="16" t="s">
        <v>260</v>
      </c>
      <c r="N66" s="14" t="s">
        <v>73</v>
      </c>
      <c r="O66" s="16" t="s">
        <v>74</v>
      </c>
      <c r="P66" s="16" t="s">
        <v>74</v>
      </c>
      <c r="Q66" s="16" t="s">
        <v>75</v>
      </c>
      <c r="R66" s="14" t="s">
        <v>76</v>
      </c>
      <c r="S66" s="14" t="s">
        <v>77</v>
      </c>
      <c r="T66" s="14" t="s">
        <v>78</v>
      </c>
      <c r="U66" s="14" t="s">
        <v>79</v>
      </c>
      <c r="V66" s="15">
        <v>40725</v>
      </c>
      <c r="W66" s="15"/>
      <c r="X66" s="16" t="s">
        <v>261</v>
      </c>
      <c r="Y66" s="17" t="s">
        <v>262</v>
      </c>
      <c r="Z66" s="18" t="str">
        <f>VLOOKUP(Y66,'Axe 2 Règles de gestion'!$D$2:$F$125,3, FALSE)</f>
        <v>L'accord de l'administration est nécessaire.</v>
      </c>
      <c r="AA66" s="17"/>
      <c r="AB66" s="18"/>
      <c r="AC66" s="17"/>
      <c r="AD66" s="18"/>
      <c r="AE66" s="17"/>
      <c r="AF66" s="18"/>
      <c r="AG66" s="17" t="s">
        <v>264</v>
      </c>
      <c r="AH66" s="18" t="str">
        <f>VLOOKUP(AG66,'Axe 2 Règles de gestion'!$D$2:$F$125,3, FALSE)</f>
        <v>La durée du congé doit être inférieure ou égale à 15 jours cumulés par année civile.</v>
      </c>
      <c r="AI66" s="17" t="s">
        <v>190</v>
      </c>
      <c r="AJ66" s="18" t="str">
        <f>VLOOKUP(AI66,'Axe 2 Règles de gestion'!$D$2:$F$125,3, FALSE)</f>
        <v>L'agent doit être en activité.</v>
      </c>
      <c r="AK66" s="17" t="s">
        <v>91</v>
      </c>
      <c r="AL66" s="18" t="str">
        <f>VLOOKUP(AK66,'Axe 2 Règles de gestion'!$D$2:$F$125,3, FALSE)</f>
        <v>La date de début du congé/absence doit être postérieure ou égale à la date de recrutement dans la FPE ou dans la carrière militaire.</v>
      </c>
      <c r="AM66" s="17" t="s">
        <v>93</v>
      </c>
      <c r="AN66" s="18" t="str">
        <f>VLOOKUP(AM66,'Axe 2 Règles de gestion'!$D$2:$F$125,3, FALSE)</f>
        <v>La date de début du congé/absence doit être antérieure ou égale à la date de fin réelle du congé/absence.</v>
      </c>
      <c r="AO66" s="17" t="s">
        <v>95</v>
      </c>
      <c r="AP66" s="18" t="str">
        <f>VLOOKUP(AO66,'Axe 2 Règles de gestion'!$D$2:$F$125,3, FALSE)</f>
        <v>La date de début du congé/absence doit être antérieure ou égale à la date de fin prévisionnelle du congé/absence.</v>
      </c>
      <c r="AQ66" s="17" t="s">
        <v>97</v>
      </c>
      <c r="AR66" s="18" t="str">
        <f>VLOOKUP(AQ66,'Axe 2 Règles de gestion'!$D$2:$F$125,3, FALSE)</f>
        <v>La date de fin réelle du congé/absence doit être antérieure à la date limite de départ à la retraite.</v>
      </c>
      <c r="AS66" s="17" t="s">
        <v>99</v>
      </c>
      <c r="AT66" s="18" t="str">
        <f>VLOOKUP(AS66,'Axe 2 Règles de gestion'!$D$2:$F$125,3, FALSE)</f>
        <v>La date de fin prévisionnelle du congé/absence doit être antérieure à la date limite de départ à la retraite.</v>
      </c>
      <c r="AU66" s="17" t="s">
        <v>101</v>
      </c>
      <c r="AV66" s="18" t="str">
        <f>VLOOKUP(AU66,'Axe 2 Règles de gestion'!$D$2:$F$125,3, FALSE)</f>
        <v>La date de fin réelle ou la date de fin prévisionnelle du congé/absence doit être saisie.</v>
      </c>
      <c r="AW66" s="17" t="s">
        <v>103</v>
      </c>
      <c r="AX66" s="18" t="str">
        <f>VLOOKUP(AW66,'Axe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66" s="17" t="s">
        <v>105</v>
      </c>
      <c r="AZ66" s="18" t="str">
        <f>VLOOKUP(AY66,'Axe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66" s="17" t="s">
        <v>107</v>
      </c>
      <c r="BB66" s="18" t="str">
        <f>VLOOKUP(BA66,'Axe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66" s="17"/>
      <c r="BD66" s="18"/>
      <c r="BE66" s="17"/>
      <c r="BF66" s="18"/>
      <c r="BG66" s="14" t="s">
        <v>74</v>
      </c>
      <c r="BH66" s="16" t="s">
        <v>74</v>
      </c>
    </row>
    <row r="67" spans="1:60" ht="116" x14ac:dyDescent="0.35">
      <c r="A67" s="14" t="s">
        <v>113</v>
      </c>
      <c r="B67" s="14" t="s">
        <v>62</v>
      </c>
      <c r="C67" s="15">
        <v>44852.486111111109</v>
      </c>
      <c r="D67" s="14" t="s">
        <v>63</v>
      </c>
      <c r="E67" s="16" t="s">
        <v>64</v>
      </c>
      <c r="F67" s="14" t="s">
        <v>65</v>
      </c>
      <c r="G67" s="16" t="s">
        <v>66</v>
      </c>
      <c r="H67" s="14" t="s">
        <v>255</v>
      </c>
      <c r="I67" s="16" t="s">
        <v>256</v>
      </c>
      <c r="J67" s="16" t="s">
        <v>257</v>
      </c>
      <c r="K67" s="16" t="s">
        <v>258</v>
      </c>
      <c r="L67" s="14" t="s">
        <v>266</v>
      </c>
      <c r="M67" s="16" t="s">
        <v>267</v>
      </c>
      <c r="N67" s="14" t="s">
        <v>111</v>
      </c>
      <c r="O67" s="16" t="s">
        <v>74</v>
      </c>
      <c r="P67" s="16" t="s">
        <v>74</v>
      </c>
      <c r="Q67" s="16" t="s">
        <v>75</v>
      </c>
      <c r="R67" s="14" t="s">
        <v>76</v>
      </c>
      <c r="S67" s="14" t="s">
        <v>77</v>
      </c>
      <c r="T67" s="14" t="s">
        <v>78</v>
      </c>
      <c r="U67" s="14" t="s">
        <v>79</v>
      </c>
      <c r="V67" s="15">
        <v>40725</v>
      </c>
      <c r="W67" s="15"/>
      <c r="X67" s="16" t="s">
        <v>268</v>
      </c>
      <c r="Y67" s="17"/>
      <c r="Z67" s="18"/>
      <c r="AA67" s="17"/>
      <c r="AB67" s="18"/>
      <c r="AC67" s="17"/>
      <c r="AD67" s="18"/>
      <c r="AE67" s="17"/>
      <c r="AF67" s="18"/>
      <c r="AG67" s="17" t="s">
        <v>264</v>
      </c>
      <c r="AH67" s="18" t="str">
        <f>VLOOKUP(AG67,'Axe 2 Règles de gestion'!$D$2:$F$125,3, FALSE)</f>
        <v>La durée du congé doit être inférieure ou égale à 15 jours cumulés par année civile.</v>
      </c>
      <c r="AI67" s="17" t="s">
        <v>190</v>
      </c>
      <c r="AJ67" s="18" t="str">
        <f>VLOOKUP(AI67,'Axe 2 Règles de gestion'!$D$2:$F$125,3, FALSE)</f>
        <v>L'agent doit être en activité.</v>
      </c>
      <c r="AK67" s="17" t="s">
        <v>93</v>
      </c>
      <c r="AL67" s="18" t="str">
        <f>VLOOKUP(AK67,'Axe 2 Règles de gestion'!$D$2:$F$125,3, FALSE)</f>
        <v>La date de début du congé/absence doit être antérieure ou égale à la date de fin réelle du congé/absence.</v>
      </c>
      <c r="AM67" s="17" t="s">
        <v>95</v>
      </c>
      <c r="AN67" s="18" t="str">
        <f>VLOOKUP(AM67,'Axe 2 Règles de gestion'!$D$2:$F$125,3, FALSE)</f>
        <v>La date de début du congé/absence doit être antérieure ou égale à la date de fin prévisionnelle du congé/absence.</v>
      </c>
      <c r="AO67" s="17" t="s">
        <v>97</v>
      </c>
      <c r="AP67" s="18" t="str">
        <f>VLOOKUP(AO67,'Axe 2 Règles de gestion'!$D$2:$F$125,3, FALSE)</f>
        <v>La date de fin réelle du congé/absence doit être antérieure à la date limite de départ à la retraite.</v>
      </c>
      <c r="AQ67" s="17" t="s">
        <v>99</v>
      </c>
      <c r="AR67" s="18" t="str">
        <f>VLOOKUP(AQ67,'Axe 2 Règles de gestion'!$D$2:$F$125,3, FALSE)</f>
        <v>La date de fin prévisionnelle du congé/absence doit être antérieure à la date limite de départ à la retraite.</v>
      </c>
      <c r="AS67" s="17" t="s">
        <v>101</v>
      </c>
      <c r="AT67" s="18" t="str">
        <f>VLOOKUP(AS67,'Axe 2 Règles de gestion'!$D$2:$F$125,3, FALSE)</f>
        <v>La date de fin réelle ou la date de fin prévisionnelle du congé/absence doit être saisie.</v>
      </c>
      <c r="AU67" s="17" t="s">
        <v>107</v>
      </c>
      <c r="AV67" s="18" t="str">
        <f>VLOOKUP(AU67,'Axe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67" s="17"/>
      <c r="AX67" s="18"/>
      <c r="AY67" s="17"/>
      <c r="AZ67" s="18"/>
      <c r="BA67" s="17"/>
      <c r="BB67" s="18"/>
      <c r="BC67" s="17"/>
      <c r="BD67" s="18"/>
      <c r="BE67" s="17"/>
      <c r="BF67" s="18"/>
      <c r="BG67" s="14" t="s">
        <v>74</v>
      </c>
      <c r="BH67" s="16" t="s">
        <v>74</v>
      </c>
    </row>
    <row r="68" spans="1:60" ht="58" x14ac:dyDescent="0.35">
      <c r="A68" s="14" t="s">
        <v>113</v>
      </c>
      <c r="B68" s="14" t="s">
        <v>62</v>
      </c>
      <c r="C68" s="15">
        <v>44886.494444444441</v>
      </c>
      <c r="D68" s="14" t="s">
        <v>63</v>
      </c>
      <c r="E68" s="16" t="s">
        <v>64</v>
      </c>
      <c r="F68" s="14" t="s">
        <v>65</v>
      </c>
      <c r="G68" s="16" t="s">
        <v>66</v>
      </c>
      <c r="H68" s="14" t="s">
        <v>255</v>
      </c>
      <c r="I68" s="16" t="s">
        <v>256</v>
      </c>
      <c r="J68" s="16" t="s">
        <v>257</v>
      </c>
      <c r="K68" s="16" t="s">
        <v>258</v>
      </c>
      <c r="L68" s="14" t="s">
        <v>259</v>
      </c>
      <c r="M68" s="16" t="s">
        <v>260</v>
      </c>
      <c r="N68" s="14" t="s">
        <v>73</v>
      </c>
      <c r="O68" s="16" t="s">
        <v>74</v>
      </c>
      <c r="P68" s="16" t="s">
        <v>74</v>
      </c>
      <c r="Q68" s="16" t="s">
        <v>114</v>
      </c>
      <c r="R68" s="14" t="s">
        <v>115</v>
      </c>
      <c r="S68" s="14" t="s">
        <v>116</v>
      </c>
      <c r="T68" s="14" t="s">
        <v>78</v>
      </c>
      <c r="U68" s="14" t="s">
        <v>117</v>
      </c>
      <c r="V68" s="15">
        <v>43831</v>
      </c>
      <c r="W68" s="15"/>
      <c r="X68" s="16" t="s">
        <v>74</v>
      </c>
      <c r="Y68" s="17"/>
      <c r="Z68" s="18"/>
      <c r="AA68" s="17"/>
      <c r="AB68" s="18"/>
      <c r="AC68" s="17"/>
      <c r="AD68" s="18"/>
      <c r="AE68" s="17"/>
      <c r="AF68" s="18"/>
      <c r="AG68" s="17"/>
      <c r="AH68" s="18"/>
      <c r="AI68" s="17"/>
      <c r="AJ68" s="18"/>
      <c r="AK68" s="17"/>
      <c r="AL68" s="18"/>
      <c r="AM68" s="17"/>
      <c r="AN68" s="18"/>
      <c r="AO68" s="17"/>
      <c r="AP68" s="18"/>
      <c r="AQ68" s="17"/>
      <c r="AR68" s="18"/>
      <c r="AS68" s="17"/>
      <c r="AT68" s="18"/>
      <c r="AU68" s="17"/>
      <c r="AV68" s="18"/>
      <c r="AW68" s="17"/>
      <c r="AX68" s="18"/>
      <c r="AY68" s="17"/>
      <c r="AZ68" s="18"/>
      <c r="BA68" s="17"/>
      <c r="BB68" s="18"/>
      <c r="BC68" s="17"/>
      <c r="BD68" s="18"/>
      <c r="BE68" s="17"/>
      <c r="BF68" s="18"/>
      <c r="BG68" s="14" t="s">
        <v>74</v>
      </c>
      <c r="BH68" s="16" t="s">
        <v>74</v>
      </c>
    </row>
    <row r="69" spans="1:60" ht="58" x14ac:dyDescent="0.35">
      <c r="A69" s="14" t="s">
        <v>113</v>
      </c>
      <c r="B69" s="14" t="s">
        <v>62</v>
      </c>
      <c r="C69" s="15">
        <v>44886.494444444441</v>
      </c>
      <c r="D69" s="14" t="s">
        <v>63</v>
      </c>
      <c r="E69" s="16" t="s">
        <v>64</v>
      </c>
      <c r="F69" s="14" t="s">
        <v>65</v>
      </c>
      <c r="G69" s="16" t="s">
        <v>66</v>
      </c>
      <c r="H69" s="14" t="s">
        <v>255</v>
      </c>
      <c r="I69" s="16" t="s">
        <v>256</v>
      </c>
      <c r="J69" s="16" t="s">
        <v>257</v>
      </c>
      <c r="K69" s="16" t="s">
        <v>258</v>
      </c>
      <c r="L69" s="14" t="s">
        <v>266</v>
      </c>
      <c r="M69" s="16" t="s">
        <v>267</v>
      </c>
      <c r="N69" s="14" t="s">
        <v>111</v>
      </c>
      <c r="O69" s="16" t="s">
        <v>74</v>
      </c>
      <c r="P69" s="16" t="s">
        <v>74</v>
      </c>
      <c r="Q69" s="16" t="s">
        <v>114</v>
      </c>
      <c r="R69" s="14" t="s">
        <v>115</v>
      </c>
      <c r="S69" s="14" t="s">
        <v>116</v>
      </c>
      <c r="T69" s="14" t="s">
        <v>78</v>
      </c>
      <c r="U69" s="14" t="s">
        <v>117</v>
      </c>
      <c r="V69" s="15">
        <v>43831</v>
      </c>
      <c r="W69" s="15"/>
      <c r="X69" s="16" t="s">
        <v>74</v>
      </c>
      <c r="Y69" s="17"/>
      <c r="Z69" s="18"/>
      <c r="AA69" s="17"/>
      <c r="AB69" s="18"/>
      <c r="AC69" s="17"/>
      <c r="AD69" s="18"/>
      <c r="AE69" s="17"/>
      <c r="AF69" s="18"/>
      <c r="AG69" s="17"/>
      <c r="AH69" s="18"/>
      <c r="AI69" s="17"/>
      <c r="AJ69" s="18"/>
      <c r="AK69" s="17"/>
      <c r="AL69" s="18"/>
      <c r="AM69" s="17"/>
      <c r="AN69" s="18"/>
      <c r="AO69" s="17"/>
      <c r="AP69" s="18"/>
      <c r="AQ69" s="17"/>
      <c r="AR69" s="18"/>
      <c r="AS69" s="17"/>
      <c r="AT69" s="18"/>
      <c r="AU69" s="17"/>
      <c r="AV69" s="18"/>
      <c r="AW69" s="17"/>
      <c r="AX69" s="18"/>
      <c r="AY69" s="17"/>
      <c r="AZ69" s="18"/>
      <c r="BA69" s="17"/>
      <c r="BB69" s="18"/>
      <c r="BC69" s="17"/>
      <c r="BD69" s="18"/>
      <c r="BE69" s="17"/>
      <c r="BF69" s="18"/>
      <c r="BG69" s="14" t="s">
        <v>74</v>
      </c>
      <c r="BH69" s="16" t="s">
        <v>74</v>
      </c>
    </row>
    <row r="70" spans="1:60" ht="130.5" x14ac:dyDescent="0.35">
      <c r="A70" s="14" t="s">
        <v>113</v>
      </c>
      <c r="B70" s="14" t="s">
        <v>116</v>
      </c>
      <c r="C70" s="15">
        <v>44854.579861111109</v>
      </c>
      <c r="D70" s="14" t="s">
        <v>63</v>
      </c>
      <c r="E70" s="16" t="s">
        <v>64</v>
      </c>
      <c r="F70" s="14" t="s">
        <v>65</v>
      </c>
      <c r="G70" s="16" t="s">
        <v>66</v>
      </c>
      <c r="H70" s="14" t="s">
        <v>255</v>
      </c>
      <c r="I70" s="16" t="s">
        <v>256</v>
      </c>
      <c r="J70" s="16" t="s">
        <v>257</v>
      </c>
      <c r="K70" s="16" t="s">
        <v>258</v>
      </c>
      <c r="L70" s="14" t="s">
        <v>259</v>
      </c>
      <c r="M70" s="16" t="s">
        <v>260</v>
      </c>
      <c r="N70" s="14" t="s">
        <v>73</v>
      </c>
      <c r="O70" s="16" t="s">
        <v>74</v>
      </c>
      <c r="P70" s="16" t="s">
        <v>74</v>
      </c>
      <c r="Q70" s="16" t="s">
        <v>118</v>
      </c>
      <c r="R70" s="14" t="s">
        <v>119</v>
      </c>
      <c r="S70" s="14" t="s">
        <v>120</v>
      </c>
      <c r="T70" s="14" t="s">
        <v>78</v>
      </c>
      <c r="U70" s="14" t="s">
        <v>79</v>
      </c>
      <c r="V70" s="15">
        <v>40725</v>
      </c>
      <c r="W70" s="15"/>
      <c r="X70" s="16" t="s">
        <v>269</v>
      </c>
      <c r="Y70" s="17" t="s">
        <v>262</v>
      </c>
      <c r="Z70" s="18" t="str">
        <f>VLOOKUP(Y70,'Axe 2 Règles de gestion'!$D$2:$F$125,3, FALSE)</f>
        <v>L'accord de l'administration est nécessaire.</v>
      </c>
      <c r="AA70" s="17"/>
      <c r="AB70" s="18"/>
      <c r="AC70" s="17"/>
      <c r="AD70" s="18"/>
      <c r="AE70" s="17"/>
      <c r="AF70" s="18"/>
      <c r="AG70" s="17" t="s">
        <v>270</v>
      </c>
      <c r="AH70" s="18" t="str">
        <f>VLOOKUP(AG70,'Axe 2 Règles de gestion'!$D$2:$F$125,3, FALSE)</f>
        <v>La durée du congé doit être inférieure ou égale à 30 jours cumulés par année civile.</v>
      </c>
      <c r="AI70" s="17" t="s">
        <v>195</v>
      </c>
      <c r="AJ70" s="18" t="str">
        <f>VLOOKUP(AI70,'Axe 2 Règles de gestion'!$D$2:$F$125,3, FALSE)</f>
        <v>L'agent doit être en activité.</v>
      </c>
      <c r="AK70" s="17" t="s">
        <v>128</v>
      </c>
      <c r="AL70" s="18" t="str">
        <f>VLOOKUP(AK70,'Axe 2 Règles de gestion'!$D$2:$F$125,3, FALSE)</f>
        <v>La date de début du congé/absence doit être postérieure ou égale à la date de début du lien juridique.</v>
      </c>
      <c r="AM70" s="17" t="s">
        <v>95</v>
      </c>
      <c r="AN70" s="18" t="str">
        <f>VLOOKUP(AM70,'Axe 2 Règles de gestion'!$D$2:$F$125,3, FALSE)</f>
        <v>La date de début du congé/absence doit être antérieure ou égale à la date de fin prévisionnelle du congé/absence.</v>
      </c>
      <c r="AO70" s="17" t="s">
        <v>93</v>
      </c>
      <c r="AP70" s="18" t="str">
        <f>VLOOKUP(AO70,'Axe 2 Règles de gestion'!$D$2:$F$125,3, FALSE)</f>
        <v>La date de début du congé/absence doit être antérieure ou égale à la date de fin réelle du congé/absence.</v>
      </c>
      <c r="AQ70" s="17" t="s">
        <v>97</v>
      </c>
      <c r="AR70" s="18" t="str">
        <f>VLOOKUP(AQ70,'Axe 2 Règles de gestion'!$D$2:$F$125,3, FALSE)</f>
        <v>La date de fin réelle du congé/absence doit être antérieure à la date limite de départ à la retraite.</v>
      </c>
      <c r="AS70" s="17" t="s">
        <v>99</v>
      </c>
      <c r="AT70" s="18" t="str">
        <f>VLOOKUP(AS70,'Axe 2 Règles de gestion'!$D$2:$F$125,3, FALSE)</f>
        <v>La date de fin prévisionnelle du congé/absence doit être antérieure à la date limite de départ à la retraite.</v>
      </c>
      <c r="AU70" s="17" t="s">
        <v>130</v>
      </c>
      <c r="AV70" s="18" t="str">
        <f>VLOOKUP(AU70,'Axe 2 Règles de gestion'!$D$2:$F$125,3, FALSE)</f>
        <v>La date de fin réelle du congé/absence doit être antérieure ou égale à la date limite de fin réelle ou prévisionnelle du lien juridique.</v>
      </c>
      <c r="AW70" s="17" t="s">
        <v>132</v>
      </c>
      <c r="AX70" s="18" t="str">
        <f>VLOOKUP(AW70,'Axe 2 Règles de gestion'!$D$2:$F$125,3, FALSE)</f>
        <v>La date de fin prévisionnelle du congé/absence doit être antérieure ou égale à la date limite de fin réelle ou prévisionnelle du lien juridique.</v>
      </c>
      <c r="AY70" s="17" t="s">
        <v>103</v>
      </c>
      <c r="AZ70" s="18" t="str">
        <f>VLOOKUP(AY70,'Axe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70" s="17" t="s">
        <v>105</v>
      </c>
      <c r="BB70" s="18" t="str">
        <f>VLOOKUP(BA70,'Axe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70" s="17" t="s">
        <v>101</v>
      </c>
      <c r="BD70" s="18" t="str">
        <f>VLOOKUP(BC70,'Axe 2 Règles de gestion'!$D$2:$F$125,3, FALSE)</f>
        <v>La date de fin réelle ou la date de fin prévisionnelle du congé/absence doit être saisie.</v>
      </c>
      <c r="BE70" s="17" t="s">
        <v>107</v>
      </c>
      <c r="BF70" s="18" t="str">
        <f>VLOOKUP(BE70,'Axe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70" s="14" t="s">
        <v>74</v>
      </c>
      <c r="BH70" s="16" t="s">
        <v>74</v>
      </c>
    </row>
    <row r="71" spans="1:60" ht="130.5" x14ac:dyDescent="0.35">
      <c r="A71" s="14" t="s">
        <v>113</v>
      </c>
      <c r="B71" s="14" t="s">
        <v>62</v>
      </c>
      <c r="C71" s="15">
        <v>44852.486111111109</v>
      </c>
      <c r="D71" s="14" t="s">
        <v>63</v>
      </c>
      <c r="E71" s="16" t="s">
        <v>64</v>
      </c>
      <c r="F71" s="14" t="s">
        <v>65</v>
      </c>
      <c r="G71" s="16" t="s">
        <v>66</v>
      </c>
      <c r="H71" s="14" t="s">
        <v>255</v>
      </c>
      <c r="I71" s="16" t="s">
        <v>256</v>
      </c>
      <c r="J71" s="16" t="s">
        <v>257</v>
      </c>
      <c r="K71" s="16" t="s">
        <v>258</v>
      </c>
      <c r="L71" s="14" t="s">
        <v>266</v>
      </c>
      <c r="M71" s="16" t="s">
        <v>267</v>
      </c>
      <c r="N71" s="14" t="s">
        <v>111</v>
      </c>
      <c r="O71" s="16" t="s">
        <v>74</v>
      </c>
      <c r="P71" s="16" t="s">
        <v>74</v>
      </c>
      <c r="Q71" s="16" t="s">
        <v>118</v>
      </c>
      <c r="R71" s="14" t="s">
        <v>119</v>
      </c>
      <c r="S71" s="14" t="s">
        <v>120</v>
      </c>
      <c r="T71" s="14" t="s">
        <v>78</v>
      </c>
      <c r="U71" s="14" t="s">
        <v>79</v>
      </c>
      <c r="V71" s="15">
        <v>40725</v>
      </c>
      <c r="W71" s="15"/>
      <c r="X71" s="16" t="s">
        <v>271</v>
      </c>
      <c r="Y71" s="17"/>
      <c r="Z71" s="18"/>
      <c r="AA71" s="17"/>
      <c r="AB71" s="18"/>
      <c r="AC71" s="17"/>
      <c r="AD71" s="18"/>
      <c r="AE71" s="17"/>
      <c r="AF71" s="18"/>
      <c r="AG71" s="17" t="s">
        <v>270</v>
      </c>
      <c r="AH71" s="18" t="str">
        <f>VLOOKUP(AG71,'Axe 2 Règles de gestion'!$D$2:$F$125,3, FALSE)</f>
        <v>La durée du congé doit être inférieure ou égale à 30 jours cumulés par année civile.</v>
      </c>
      <c r="AI71" s="17" t="s">
        <v>195</v>
      </c>
      <c r="AJ71" s="18" t="str">
        <f>VLOOKUP(AI71,'Axe 2 Règles de gestion'!$D$2:$F$125,3, FALSE)</f>
        <v>L'agent doit être en activité.</v>
      </c>
      <c r="AK71" s="17" t="s">
        <v>128</v>
      </c>
      <c r="AL71" s="18" t="str">
        <f>VLOOKUP(AK71,'Axe 2 Règles de gestion'!$D$2:$F$125,3, FALSE)</f>
        <v>La date de début du congé/absence doit être postérieure ou égale à la date de début du lien juridique.</v>
      </c>
      <c r="AM71" s="17" t="s">
        <v>93</v>
      </c>
      <c r="AN71" s="18" t="str">
        <f>VLOOKUP(AM71,'Axe 2 Règles de gestion'!$D$2:$F$125,3, FALSE)</f>
        <v>La date de début du congé/absence doit être antérieure ou égale à la date de fin réelle du congé/absence.</v>
      </c>
      <c r="AO71" s="17" t="s">
        <v>95</v>
      </c>
      <c r="AP71" s="18" t="str">
        <f>VLOOKUP(AO71,'Axe 2 Règles de gestion'!$D$2:$F$125,3, FALSE)</f>
        <v>La date de début du congé/absence doit être antérieure ou égale à la date de fin prévisionnelle du congé/absence.</v>
      </c>
      <c r="AQ71" s="17" t="s">
        <v>97</v>
      </c>
      <c r="AR71" s="18" t="str">
        <f>VLOOKUP(AQ71,'Axe 2 Règles de gestion'!$D$2:$F$125,3, FALSE)</f>
        <v>La date de fin réelle du congé/absence doit être antérieure à la date limite de départ à la retraite.</v>
      </c>
      <c r="AS71" s="17" t="s">
        <v>99</v>
      </c>
      <c r="AT71" s="18" t="str">
        <f>VLOOKUP(AS71,'Axe 2 Règles de gestion'!$D$2:$F$125,3, FALSE)</f>
        <v>La date de fin prévisionnelle du congé/absence doit être antérieure à la date limite de départ à la retraite.</v>
      </c>
      <c r="AU71" s="17" t="s">
        <v>130</v>
      </c>
      <c r="AV71" s="18" t="str">
        <f>VLOOKUP(AU71,'Axe 2 Règles de gestion'!$D$2:$F$125,3, FALSE)</f>
        <v>La date de fin réelle du congé/absence doit être antérieure ou égale à la date limite de fin réelle ou prévisionnelle du lien juridique.</v>
      </c>
      <c r="AW71" s="17" t="s">
        <v>132</v>
      </c>
      <c r="AX71" s="18" t="str">
        <f>VLOOKUP(AW71,'Axe 2 Règles de gestion'!$D$2:$F$125,3, FALSE)</f>
        <v>La date de fin prévisionnelle du congé/absence doit être antérieure ou égale à la date limite de fin réelle ou prévisionnelle du lien juridique.</v>
      </c>
      <c r="AY71" s="17" t="s">
        <v>103</v>
      </c>
      <c r="AZ71" s="18" t="str">
        <f>VLOOKUP(AY71,'Axe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71" s="17" t="s">
        <v>105</v>
      </c>
      <c r="BB71" s="18" t="str">
        <f>VLOOKUP(BA71,'Axe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71" s="17" t="s">
        <v>101</v>
      </c>
      <c r="BD71" s="18" t="str">
        <f>VLOOKUP(BC71,'Axe 2 Règles de gestion'!$D$2:$F$125,3, FALSE)</f>
        <v>La date de fin réelle ou la date de fin prévisionnelle du congé/absence doit être saisie.</v>
      </c>
      <c r="BE71" s="17" t="s">
        <v>107</v>
      </c>
      <c r="BF71" s="18" t="str">
        <f>VLOOKUP(BE71,'Axe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71" s="14" t="s">
        <v>74</v>
      </c>
      <c r="BH71" s="16" t="s">
        <v>74</v>
      </c>
    </row>
    <row r="72" spans="1:60" ht="58" x14ac:dyDescent="0.35">
      <c r="A72" s="14" t="s">
        <v>113</v>
      </c>
      <c r="B72" s="14" t="s">
        <v>62</v>
      </c>
      <c r="C72" s="15">
        <v>44852.482638888891</v>
      </c>
      <c r="D72" s="14" t="s">
        <v>63</v>
      </c>
      <c r="E72" s="16" t="s">
        <v>64</v>
      </c>
      <c r="F72" s="14" t="s">
        <v>65</v>
      </c>
      <c r="G72" s="16" t="s">
        <v>66</v>
      </c>
      <c r="H72" s="14" t="s">
        <v>255</v>
      </c>
      <c r="I72" s="16" t="s">
        <v>256</v>
      </c>
      <c r="J72" s="16" t="s">
        <v>257</v>
      </c>
      <c r="K72" s="16" t="s">
        <v>258</v>
      </c>
      <c r="L72" s="14" t="s">
        <v>259</v>
      </c>
      <c r="M72" s="16" t="s">
        <v>260</v>
      </c>
      <c r="N72" s="14" t="s">
        <v>73</v>
      </c>
      <c r="O72" s="16" t="s">
        <v>74</v>
      </c>
      <c r="P72" s="16" t="s">
        <v>74</v>
      </c>
      <c r="Q72" s="16" t="s">
        <v>137</v>
      </c>
      <c r="R72" s="14" t="s">
        <v>138</v>
      </c>
      <c r="S72" s="14" t="s">
        <v>139</v>
      </c>
      <c r="T72" s="14" t="s">
        <v>78</v>
      </c>
      <c r="U72" s="14" t="s">
        <v>117</v>
      </c>
      <c r="V72" s="15">
        <v>40725</v>
      </c>
      <c r="W72" s="15"/>
      <c r="X72" s="16" t="s">
        <v>74</v>
      </c>
      <c r="Y72" s="17"/>
      <c r="Z72" s="18"/>
      <c r="AA72" s="17"/>
      <c r="AB72" s="18"/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7"/>
      <c r="AP72" s="18"/>
      <c r="AQ72" s="17"/>
      <c r="AR72" s="18"/>
      <c r="AS72" s="17"/>
      <c r="AT72" s="18"/>
      <c r="AU72" s="17"/>
      <c r="AV72" s="18"/>
      <c r="AW72" s="17"/>
      <c r="AX72" s="18"/>
      <c r="AY72" s="17"/>
      <c r="AZ72" s="18"/>
      <c r="BA72" s="17"/>
      <c r="BB72" s="18"/>
      <c r="BC72" s="17"/>
      <c r="BD72" s="18"/>
      <c r="BE72" s="17"/>
      <c r="BF72" s="18"/>
      <c r="BG72" s="14" t="s">
        <v>74</v>
      </c>
      <c r="BH72" s="16" t="s">
        <v>74</v>
      </c>
    </row>
    <row r="73" spans="1:60" ht="58" x14ac:dyDescent="0.35">
      <c r="A73" s="14" t="s">
        <v>113</v>
      </c>
      <c r="B73" s="14" t="s">
        <v>62</v>
      </c>
      <c r="C73" s="15">
        <v>44852.486111111109</v>
      </c>
      <c r="D73" s="14" t="s">
        <v>63</v>
      </c>
      <c r="E73" s="16" t="s">
        <v>64</v>
      </c>
      <c r="F73" s="14" t="s">
        <v>65</v>
      </c>
      <c r="G73" s="16" t="s">
        <v>66</v>
      </c>
      <c r="H73" s="14" t="s">
        <v>255</v>
      </c>
      <c r="I73" s="16" t="s">
        <v>256</v>
      </c>
      <c r="J73" s="16" t="s">
        <v>257</v>
      </c>
      <c r="K73" s="16" t="s">
        <v>258</v>
      </c>
      <c r="L73" s="14" t="s">
        <v>266</v>
      </c>
      <c r="M73" s="16" t="s">
        <v>267</v>
      </c>
      <c r="N73" s="14" t="s">
        <v>111</v>
      </c>
      <c r="O73" s="16" t="s">
        <v>74</v>
      </c>
      <c r="P73" s="16" t="s">
        <v>74</v>
      </c>
      <c r="Q73" s="16" t="s">
        <v>137</v>
      </c>
      <c r="R73" s="14" t="s">
        <v>138</v>
      </c>
      <c r="S73" s="14" t="s">
        <v>139</v>
      </c>
      <c r="T73" s="14" t="s">
        <v>78</v>
      </c>
      <c r="U73" s="14" t="s">
        <v>117</v>
      </c>
      <c r="V73" s="15">
        <v>40725</v>
      </c>
      <c r="W73" s="15"/>
      <c r="X73" s="16" t="s">
        <v>74</v>
      </c>
      <c r="Y73" s="17"/>
      <c r="Z73" s="18"/>
      <c r="AA73" s="17"/>
      <c r="AB73" s="18"/>
      <c r="AC73" s="17"/>
      <c r="AD73" s="18"/>
      <c r="AE73" s="17"/>
      <c r="AF73" s="18"/>
      <c r="AG73" s="17"/>
      <c r="AH73" s="18"/>
      <c r="AI73" s="17"/>
      <c r="AJ73" s="18"/>
      <c r="AK73" s="17"/>
      <c r="AL73" s="18"/>
      <c r="AM73" s="17"/>
      <c r="AN73" s="18"/>
      <c r="AO73" s="17"/>
      <c r="AP73" s="18"/>
      <c r="AQ73" s="17"/>
      <c r="AR73" s="18"/>
      <c r="AS73" s="17"/>
      <c r="AT73" s="18"/>
      <c r="AU73" s="17"/>
      <c r="AV73" s="18"/>
      <c r="AW73" s="17"/>
      <c r="AX73" s="18"/>
      <c r="AY73" s="17"/>
      <c r="AZ73" s="18"/>
      <c r="BA73" s="17"/>
      <c r="BB73" s="18"/>
      <c r="BC73" s="17"/>
      <c r="BD73" s="18"/>
      <c r="BE73" s="17"/>
      <c r="BF73" s="18"/>
      <c r="BG73" s="14" t="s">
        <v>74</v>
      </c>
      <c r="BH73" s="16" t="s">
        <v>74</v>
      </c>
    </row>
    <row r="74" spans="1:60" ht="130.5" x14ac:dyDescent="0.35">
      <c r="A74" s="14" t="s">
        <v>113</v>
      </c>
      <c r="B74" s="14" t="s">
        <v>116</v>
      </c>
      <c r="C74" s="15">
        <v>44854.579861111109</v>
      </c>
      <c r="D74" s="14" t="s">
        <v>63</v>
      </c>
      <c r="E74" s="16" t="s">
        <v>64</v>
      </c>
      <c r="F74" s="14" t="s">
        <v>65</v>
      </c>
      <c r="G74" s="16" t="s">
        <v>66</v>
      </c>
      <c r="H74" s="14" t="s">
        <v>255</v>
      </c>
      <c r="I74" s="16" t="s">
        <v>256</v>
      </c>
      <c r="J74" s="16" t="s">
        <v>257</v>
      </c>
      <c r="K74" s="16" t="s">
        <v>258</v>
      </c>
      <c r="L74" s="14" t="s">
        <v>259</v>
      </c>
      <c r="M74" s="16" t="s">
        <v>260</v>
      </c>
      <c r="N74" s="14" t="s">
        <v>73</v>
      </c>
      <c r="O74" s="16" t="s">
        <v>74</v>
      </c>
      <c r="P74" s="16" t="s">
        <v>74</v>
      </c>
      <c r="Q74" s="16" t="s">
        <v>140</v>
      </c>
      <c r="R74" s="14" t="s">
        <v>141</v>
      </c>
      <c r="S74" s="14" t="s">
        <v>142</v>
      </c>
      <c r="T74" s="14" t="s">
        <v>78</v>
      </c>
      <c r="U74" s="14" t="s">
        <v>79</v>
      </c>
      <c r="V74" s="15">
        <v>40725</v>
      </c>
      <c r="W74" s="15"/>
      <c r="X74" s="16" t="s">
        <v>272</v>
      </c>
      <c r="Y74" s="17" t="s">
        <v>262</v>
      </c>
      <c r="Z74" s="18" t="str">
        <f>VLOOKUP(Y74,'Axe 2 Règles de gestion'!$D$2:$F$125,3, FALSE)</f>
        <v>L'accord de l'administration est nécessaire.</v>
      </c>
      <c r="AA74" s="17"/>
      <c r="AB74" s="18"/>
      <c r="AC74" s="17"/>
      <c r="AD74" s="18"/>
      <c r="AE74" s="17"/>
      <c r="AF74" s="18"/>
      <c r="AG74" s="17" t="s">
        <v>273</v>
      </c>
      <c r="AH74" s="18" t="str">
        <f>VLOOKUP(AG74,'Axe 2 Règles de gestion'!$D$2:$F$125,3, FALSE)</f>
        <v>La durée du congé doit être inférieure ou égale à 15 jours cumulés par année civile.</v>
      </c>
      <c r="AI74" s="17" t="s">
        <v>206</v>
      </c>
      <c r="AJ74" s="18" t="str">
        <f>VLOOKUP(AI74,'Axe 2 Règles de gestion'!$D$2:$F$125,3, FALSE)</f>
        <v>L'agent doit être en activité.</v>
      </c>
      <c r="AK74" s="17" t="s">
        <v>128</v>
      </c>
      <c r="AL74" s="18" t="str">
        <f>VLOOKUP(AK74,'Axe 2 Règles de gestion'!$D$2:$F$125,3, FALSE)</f>
        <v>La date de début du congé/absence doit être postérieure ou égale à la date de début du lien juridique.</v>
      </c>
      <c r="AM74" s="17" t="s">
        <v>95</v>
      </c>
      <c r="AN74" s="18" t="str">
        <f>VLOOKUP(AM74,'Axe 2 Règles de gestion'!$D$2:$F$125,3, FALSE)</f>
        <v>La date de début du congé/absence doit être antérieure ou égale à la date de fin prévisionnelle du congé/absence.</v>
      </c>
      <c r="AO74" s="17" t="s">
        <v>93</v>
      </c>
      <c r="AP74" s="18" t="str">
        <f>VLOOKUP(AO74,'Axe 2 Règles de gestion'!$D$2:$F$125,3, FALSE)</f>
        <v>La date de début du congé/absence doit être antérieure ou égale à la date de fin réelle du congé/absence.</v>
      </c>
      <c r="AQ74" s="17" t="s">
        <v>97</v>
      </c>
      <c r="AR74" s="18" t="str">
        <f>VLOOKUP(AQ74,'Axe 2 Règles de gestion'!$D$2:$F$125,3, FALSE)</f>
        <v>La date de fin réelle du congé/absence doit être antérieure à la date limite de départ à la retraite.</v>
      </c>
      <c r="AS74" s="17" t="s">
        <v>99</v>
      </c>
      <c r="AT74" s="18" t="str">
        <f>VLOOKUP(AS74,'Axe 2 Règles de gestion'!$D$2:$F$125,3, FALSE)</f>
        <v>La date de fin prévisionnelle du congé/absence doit être antérieure à la date limite de départ à la retraite.</v>
      </c>
      <c r="AU74" s="17" t="s">
        <v>130</v>
      </c>
      <c r="AV74" s="18" t="str">
        <f>VLOOKUP(AU74,'Axe 2 Règles de gestion'!$D$2:$F$125,3, FALSE)</f>
        <v>La date de fin réelle du congé/absence doit être antérieure ou égale à la date limite de fin réelle ou prévisionnelle du lien juridique.</v>
      </c>
      <c r="AW74" s="17" t="s">
        <v>132</v>
      </c>
      <c r="AX74" s="18" t="str">
        <f>VLOOKUP(AW74,'Axe 2 Règles de gestion'!$D$2:$F$125,3, FALSE)</f>
        <v>La date de fin prévisionnelle du congé/absence doit être antérieure ou égale à la date limite de fin réelle ou prévisionnelle du lien juridique.</v>
      </c>
      <c r="AY74" s="17" t="s">
        <v>103</v>
      </c>
      <c r="AZ74" s="18" t="str">
        <f>VLOOKUP(AY74,'Axe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74" s="17" t="s">
        <v>105</v>
      </c>
      <c r="BB74" s="18" t="str">
        <f>VLOOKUP(BA74,'Axe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74" s="17" t="s">
        <v>101</v>
      </c>
      <c r="BD74" s="18" t="str">
        <f>VLOOKUP(BC74,'Axe 2 Règles de gestion'!$D$2:$F$125,3, FALSE)</f>
        <v>La date de fin réelle ou la date de fin prévisionnelle du congé/absence doit être saisie.</v>
      </c>
      <c r="BE74" s="17" t="s">
        <v>107</v>
      </c>
      <c r="BF74" s="18" t="str">
        <f>VLOOKUP(BE74,'Axe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74" s="14" t="s">
        <v>74</v>
      </c>
      <c r="BH74" s="16" t="s">
        <v>74</v>
      </c>
    </row>
    <row r="75" spans="1:60" ht="130.5" x14ac:dyDescent="0.35">
      <c r="A75" s="14" t="s">
        <v>113</v>
      </c>
      <c r="B75" s="14" t="s">
        <v>62</v>
      </c>
      <c r="C75" s="15">
        <v>44852.486111111109</v>
      </c>
      <c r="D75" s="14" t="s">
        <v>63</v>
      </c>
      <c r="E75" s="16" t="s">
        <v>64</v>
      </c>
      <c r="F75" s="14" t="s">
        <v>65</v>
      </c>
      <c r="G75" s="16" t="s">
        <v>66</v>
      </c>
      <c r="H75" s="14" t="s">
        <v>255</v>
      </c>
      <c r="I75" s="16" t="s">
        <v>256</v>
      </c>
      <c r="J75" s="16" t="s">
        <v>257</v>
      </c>
      <c r="K75" s="16" t="s">
        <v>258</v>
      </c>
      <c r="L75" s="14" t="s">
        <v>266</v>
      </c>
      <c r="M75" s="16" t="s">
        <v>267</v>
      </c>
      <c r="N75" s="14" t="s">
        <v>111</v>
      </c>
      <c r="O75" s="16" t="s">
        <v>74</v>
      </c>
      <c r="P75" s="16" t="s">
        <v>74</v>
      </c>
      <c r="Q75" s="16" t="s">
        <v>140</v>
      </c>
      <c r="R75" s="14" t="s">
        <v>141</v>
      </c>
      <c r="S75" s="14" t="s">
        <v>142</v>
      </c>
      <c r="T75" s="14" t="s">
        <v>78</v>
      </c>
      <c r="U75" s="14" t="s">
        <v>79</v>
      </c>
      <c r="V75" s="15">
        <v>40725</v>
      </c>
      <c r="W75" s="15"/>
      <c r="X75" s="16" t="s">
        <v>274</v>
      </c>
      <c r="Y75" s="17"/>
      <c r="Z75" s="18"/>
      <c r="AA75" s="17"/>
      <c r="AB75" s="18"/>
      <c r="AC75" s="17"/>
      <c r="AD75" s="18"/>
      <c r="AE75" s="17"/>
      <c r="AF75" s="18"/>
      <c r="AG75" s="17" t="s">
        <v>273</v>
      </c>
      <c r="AH75" s="18" t="str">
        <f>VLOOKUP(AG75,'Axe 2 Règles de gestion'!$D$2:$F$125,3, FALSE)</f>
        <v>La durée du congé doit être inférieure ou égale à 15 jours cumulés par année civile.</v>
      </c>
      <c r="AI75" s="17" t="s">
        <v>206</v>
      </c>
      <c r="AJ75" s="18" t="str">
        <f>VLOOKUP(AI75,'Axe 2 Règles de gestion'!$D$2:$F$125,3, FALSE)</f>
        <v>L'agent doit être en activité.</v>
      </c>
      <c r="AK75" s="17" t="s">
        <v>128</v>
      </c>
      <c r="AL75" s="18" t="str">
        <f>VLOOKUP(AK75,'Axe 2 Règles de gestion'!$D$2:$F$125,3, FALSE)</f>
        <v>La date de début du congé/absence doit être postérieure ou égale à la date de début du lien juridique.</v>
      </c>
      <c r="AM75" s="17" t="s">
        <v>93</v>
      </c>
      <c r="AN75" s="18" t="str">
        <f>VLOOKUP(AM75,'Axe 2 Règles de gestion'!$D$2:$F$125,3, FALSE)</f>
        <v>La date de début du congé/absence doit être antérieure ou égale à la date de fin réelle du congé/absence.</v>
      </c>
      <c r="AO75" s="17" t="s">
        <v>95</v>
      </c>
      <c r="AP75" s="18" t="str">
        <f>VLOOKUP(AO75,'Axe 2 Règles de gestion'!$D$2:$F$125,3, FALSE)</f>
        <v>La date de début du congé/absence doit être antérieure ou égale à la date de fin prévisionnelle du congé/absence.</v>
      </c>
      <c r="AQ75" s="17" t="s">
        <v>97</v>
      </c>
      <c r="AR75" s="18" t="str">
        <f>VLOOKUP(AQ75,'Axe 2 Règles de gestion'!$D$2:$F$125,3, FALSE)</f>
        <v>La date de fin réelle du congé/absence doit être antérieure à la date limite de départ à la retraite.</v>
      </c>
      <c r="AS75" s="17" t="s">
        <v>99</v>
      </c>
      <c r="AT75" s="18" t="str">
        <f>VLOOKUP(AS75,'Axe 2 Règles de gestion'!$D$2:$F$125,3, FALSE)</f>
        <v>La date de fin prévisionnelle du congé/absence doit être antérieure à la date limite de départ à la retraite.</v>
      </c>
      <c r="AU75" s="17" t="s">
        <v>130</v>
      </c>
      <c r="AV75" s="18" t="str">
        <f>VLOOKUP(AU75,'Axe 2 Règles de gestion'!$D$2:$F$125,3, FALSE)</f>
        <v>La date de fin réelle du congé/absence doit être antérieure ou égale à la date limite de fin réelle ou prévisionnelle du lien juridique.</v>
      </c>
      <c r="AW75" s="17" t="s">
        <v>132</v>
      </c>
      <c r="AX75" s="18" t="str">
        <f>VLOOKUP(AW75,'Axe 2 Règles de gestion'!$D$2:$F$125,3, FALSE)</f>
        <v>La date de fin prévisionnelle du congé/absence doit être antérieure ou égale à la date limite de fin réelle ou prévisionnelle du lien juridique.</v>
      </c>
      <c r="AY75" s="17" t="s">
        <v>103</v>
      </c>
      <c r="AZ75" s="18" t="str">
        <f>VLOOKUP(AY75,'Axe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75" s="17" t="s">
        <v>105</v>
      </c>
      <c r="BB75" s="18" t="str">
        <f>VLOOKUP(BA75,'Axe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75" s="17" t="s">
        <v>101</v>
      </c>
      <c r="BD75" s="18" t="str">
        <f>VLOOKUP(BC75,'Axe 2 Règles de gestion'!$D$2:$F$125,3, FALSE)</f>
        <v>La date de fin réelle ou la date de fin prévisionnelle du congé/absence doit être saisie.</v>
      </c>
      <c r="BE75" s="17" t="s">
        <v>107</v>
      </c>
      <c r="BF75" s="18" t="str">
        <f>VLOOKUP(BE75,'Axe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75" s="14" t="s">
        <v>74</v>
      </c>
      <c r="BH75" s="16" t="s">
        <v>74</v>
      </c>
    </row>
    <row r="76" spans="1:60" ht="130.5" x14ac:dyDescent="0.35">
      <c r="A76" s="14" t="s">
        <v>113</v>
      </c>
      <c r="B76" s="14" t="s">
        <v>62</v>
      </c>
      <c r="C76" s="15">
        <v>44852.482638888891</v>
      </c>
      <c r="D76" s="14" t="s">
        <v>63</v>
      </c>
      <c r="E76" s="16" t="s">
        <v>64</v>
      </c>
      <c r="F76" s="14" t="s">
        <v>65</v>
      </c>
      <c r="G76" s="16" t="s">
        <v>66</v>
      </c>
      <c r="H76" s="14" t="s">
        <v>255</v>
      </c>
      <c r="I76" s="16" t="s">
        <v>256</v>
      </c>
      <c r="J76" s="16" t="s">
        <v>257</v>
      </c>
      <c r="K76" s="16" t="s">
        <v>258</v>
      </c>
      <c r="L76" s="14" t="s">
        <v>259</v>
      </c>
      <c r="M76" s="16" t="s">
        <v>260</v>
      </c>
      <c r="N76" s="14" t="s">
        <v>73</v>
      </c>
      <c r="O76" s="16" t="s">
        <v>74</v>
      </c>
      <c r="P76" s="16" t="s">
        <v>74</v>
      </c>
      <c r="Q76" s="16" t="s">
        <v>143</v>
      </c>
      <c r="R76" s="14" t="s">
        <v>144</v>
      </c>
      <c r="S76" s="14" t="s">
        <v>77</v>
      </c>
      <c r="T76" s="14" t="s">
        <v>145</v>
      </c>
      <c r="U76" s="14" t="s">
        <v>79</v>
      </c>
      <c r="V76" s="15">
        <v>40725</v>
      </c>
      <c r="W76" s="15"/>
      <c r="X76" s="16" t="s">
        <v>275</v>
      </c>
      <c r="Y76" s="17" t="s">
        <v>276</v>
      </c>
      <c r="Z76" s="18" t="str">
        <f>VLOOKUP(Y76,'Axe 2 Règles de gestion'!$D$2:$F$125,3, FALSE)</f>
        <v>L'agent bénéficie des dispositions applicables aux agents titulaires pour la période d'activité effectuée au sein de la réserve civile.</v>
      </c>
      <c r="AA76" s="17" t="s">
        <v>262</v>
      </c>
      <c r="AB76" s="18" t="str">
        <f>VLOOKUP(AA76,'Axe 2 Règles de gestion'!$D$2:$F$125,3, FALSE)</f>
        <v>L'accord de l'administration est nécessaire.</v>
      </c>
      <c r="AC76" s="17"/>
      <c r="AD76" s="18"/>
      <c r="AE76" s="17"/>
      <c r="AF76" s="18"/>
      <c r="AG76" s="17" t="s">
        <v>264</v>
      </c>
      <c r="AH76" s="18" t="str">
        <f>VLOOKUP(AG76,'Axe 2 Règles de gestion'!$D$2:$F$125,3, FALSE)</f>
        <v>La durée du congé doit être inférieure ou égale à 15 jours cumulés par année civile.</v>
      </c>
      <c r="AI76" s="17" t="s">
        <v>190</v>
      </c>
      <c r="AJ76" s="18" t="str">
        <f>VLOOKUP(AI76,'Axe 2 Règles de gestion'!$D$2:$F$125,3, FALSE)</f>
        <v>L'agent doit être en activité.</v>
      </c>
      <c r="AK76" s="17" t="s">
        <v>91</v>
      </c>
      <c r="AL76" s="18" t="str">
        <f>VLOOKUP(AK76,'Axe 2 Règles de gestion'!$D$2:$F$125,3, FALSE)</f>
        <v>La date de début du congé/absence doit être postérieure ou égale à la date de recrutement dans la FPE ou dans la carrière militaire.</v>
      </c>
      <c r="AM76" s="17" t="s">
        <v>93</v>
      </c>
      <c r="AN76" s="18" t="str">
        <f>VLOOKUP(AM76,'Axe 2 Règles de gestion'!$D$2:$F$125,3, FALSE)</f>
        <v>La date de début du congé/absence doit être antérieure ou égale à la date de fin réelle du congé/absence.</v>
      </c>
      <c r="AO76" s="17" t="s">
        <v>95</v>
      </c>
      <c r="AP76" s="18" t="str">
        <f>VLOOKUP(AO76,'Axe 2 Règles de gestion'!$D$2:$F$125,3, FALSE)</f>
        <v>La date de début du congé/absence doit être antérieure ou égale à la date de fin prévisionnelle du congé/absence.</v>
      </c>
      <c r="AQ76" s="17" t="s">
        <v>97</v>
      </c>
      <c r="AR76" s="18" t="str">
        <f>VLOOKUP(AQ76,'Axe 2 Règles de gestion'!$D$2:$F$125,3, FALSE)</f>
        <v>La date de fin réelle du congé/absence doit être antérieure à la date limite de départ à la retraite.</v>
      </c>
      <c r="AS76" s="17" t="s">
        <v>99</v>
      </c>
      <c r="AT76" s="18" t="str">
        <f>VLOOKUP(AS76,'Axe 2 Règles de gestion'!$D$2:$F$125,3, FALSE)</f>
        <v>La date de fin prévisionnelle du congé/absence doit être antérieure à la date limite de départ à la retraite.</v>
      </c>
      <c r="AU76" s="17" t="s">
        <v>101</v>
      </c>
      <c r="AV76" s="18" t="str">
        <f>VLOOKUP(AU76,'Axe 2 Règles de gestion'!$D$2:$F$125,3, FALSE)</f>
        <v>La date de fin réelle ou la date de fin prévisionnelle du congé/absence doit être saisie.</v>
      </c>
      <c r="AW76" s="17" t="s">
        <v>103</v>
      </c>
      <c r="AX76" s="18" t="str">
        <f>VLOOKUP(AW76,'Axe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76" s="17" t="s">
        <v>105</v>
      </c>
      <c r="AZ76" s="18" t="str">
        <f>VLOOKUP(AY76,'Axe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76" s="17" t="s">
        <v>107</v>
      </c>
      <c r="BB76" s="18" t="str">
        <f>VLOOKUP(BA76,'Axe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76" s="17"/>
      <c r="BD76" s="18"/>
      <c r="BE76" s="17"/>
      <c r="BF76" s="18"/>
      <c r="BG76" s="14" t="s">
        <v>74</v>
      </c>
      <c r="BH76" s="16" t="s">
        <v>74</v>
      </c>
    </row>
    <row r="77" spans="1:60" ht="116" x14ac:dyDescent="0.35">
      <c r="A77" s="14" t="s">
        <v>113</v>
      </c>
      <c r="B77" s="14" t="s">
        <v>62</v>
      </c>
      <c r="C77" s="15">
        <v>44852.486111111109</v>
      </c>
      <c r="D77" s="14" t="s">
        <v>63</v>
      </c>
      <c r="E77" s="16" t="s">
        <v>64</v>
      </c>
      <c r="F77" s="14" t="s">
        <v>65</v>
      </c>
      <c r="G77" s="16" t="s">
        <v>66</v>
      </c>
      <c r="H77" s="14" t="s">
        <v>255</v>
      </c>
      <c r="I77" s="16" t="s">
        <v>256</v>
      </c>
      <c r="J77" s="16" t="s">
        <v>257</v>
      </c>
      <c r="K77" s="16" t="s">
        <v>258</v>
      </c>
      <c r="L77" s="14" t="s">
        <v>266</v>
      </c>
      <c r="M77" s="16" t="s">
        <v>267</v>
      </c>
      <c r="N77" s="14" t="s">
        <v>111</v>
      </c>
      <c r="O77" s="16" t="s">
        <v>74</v>
      </c>
      <c r="P77" s="16" t="s">
        <v>74</v>
      </c>
      <c r="Q77" s="16" t="s">
        <v>143</v>
      </c>
      <c r="R77" s="14" t="s">
        <v>144</v>
      </c>
      <c r="S77" s="14" t="s">
        <v>77</v>
      </c>
      <c r="T77" s="14" t="s">
        <v>145</v>
      </c>
      <c r="U77" s="14" t="s">
        <v>79</v>
      </c>
      <c r="V77" s="15">
        <v>40725</v>
      </c>
      <c r="W77" s="15"/>
      <c r="X77" s="16" t="s">
        <v>268</v>
      </c>
      <c r="Y77" s="17"/>
      <c r="Z77" s="18"/>
      <c r="AA77" s="17"/>
      <c r="AB77" s="18"/>
      <c r="AC77" s="17"/>
      <c r="AD77" s="18"/>
      <c r="AE77" s="17"/>
      <c r="AF77" s="18"/>
      <c r="AG77" s="17" t="s">
        <v>264</v>
      </c>
      <c r="AH77" s="18" t="str">
        <f>VLOOKUP(AG77,'Axe 2 Règles de gestion'!$D$2:$F$125,3, FALSE)</f>
        <v>La durée du congé doit être inférieure ou égale à 15 jours cumulés par année civile.</v>
      </c>
      <c r="AI77" s="17" t="s">
        <v>190</v>
      </c>
      <c r="AJ77" s="18" t="str">
        <f>VLOOKUP(AI77,'Axe 2 Règles de gestion'!$D$2:$F$125,3, FALSE)</f>
        <v>L'agent doit être en activité.</v>
      </c>
      <c r="AK77" s="17" t="s">
        <v>93</v>
      </c>
      <c r="AL77" s="18" t="str">
        <f>VLOOKUP(AK77,'Axe 2 Règles de gestion'!$D$2:$F$125,3, FALSE)</f>
        <v>La date de début du congé/absence doit être antérieure ou égale à la date de fin réelle du congé/absence.</v>
      </c>
      <c r="AM77" s="17" t="s">
        <v>95</v>
      </c>
      <c r="AN77" s="18" t="str">
        <f>VLOOKUP(AM77,'Axe 2 Règles de gestion'!$D$2:$F$125,3, FALSE)</f>
        <v>La date de début du congé/absence doit être antérieure ou égale à la date de fin prévisionnelle du congé/absence.</v>
      </c>
      <c r="AO77" s="17" t="s">
        <v>97</v>
      </c>
      <c r="AP77" s="18" t="str">
        <f>VLOOKUP(AO77,'Axe 2 Règles de gestion'!$D$2:$F$125,3, FALSE)</f>
        <v>La date de fin réelle du congé/absence doit être antérieure à la date limite de départ à la retraite.</v>
      </c>
      <c r="AQ77" s="17" t="s">
        <v>99</v>
      </c>
      <c r="AR77" s="18" t="str">
        <f>VLOOKUP(AQ77,'Axe 2 Règles de gestion'!$D$2:$F$125,3, FALSE)</f>
        <v>La date de fin prévisionnelle du congé/absence doit être antérieure à la date limite de départ à la retraite.</v>
      </c>
      <c r="AS77" s="17" t="s">
        <v>101</v>
      </c>
      <c r="AT77" s="18" t="str">
        <f>VLOOKUP(AS77,'Axe 2 Règles de gestion'!$D$2:$F$125,3, FALSE)</f>
        <v>La date de fin réelle ou la date de fin prévisionnelle du congé/absence doit être saisie.</v>
      </c>
      <c r="AU77" s="17" t="s">
        <v>107</v>
      </c>
      <c r="AV77" s="18" t="str">
        <f>VLOOKUP(AU77,'Axe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77" s="17"/>
      <c r="AX77" s="18"/>
      <c r="AY77" s="17"/>
      <c r="AZ77" s="18"/>
      <c r="BA77" s="17"/>
      <c r="BB77" s="18"/>
      <c r="BC77" s="17"/>
      <c r="BD77" s="18"/>
      <c r="BE77" s="17"/>
      <c r="BF77" s="18"/>
      <c r="BG77" s="14" t="s">
        <v>74</v>
      </c>
      <c r="BH77" s="16" t="s">
        <v>74</v>
      </c>
    </row>
    <row r="78" spans="1:60" ht="130.5" x14ac:dyDescent="0.35">
      <c r="A78" s="14" t="s">
        <v>113</v>
      </c>
      <c r="B78" s="14" t="s">
        <v>62</v>
      </c>
      <c r="C78" s="15">
        <v>44852.482638888891</v>
      </c>
      <c r="D78" s="14" t="s">
        <v>63</v>
      </c>
      <c r="E78" s="16" t="s">
        <v>64</v>
      </c>
      <c r="F78" s="14" t="s">
        <v>65</v>
      </c>
      <c r="G78" s="16" t="s">
        <v>66</v>
      </c>
      <c r="H78" s="14" t="s">
        <v>255</v>
      </c>
      <c r="I78" s="16" t="s">
        <v>256</v>
      </c>
      <c r="J78" s="16" t="s">
        <v>257</v>
      </c>
      <c r="K78" s="16" t="s">
        <v>258</v>
      </c>
      <c r="L78" s="14" t="s">
        <v>259</v>
      </c>
      <c r="M78" s="16" t="s">
        <v>260</v>
      </c>
      <c r="N78" s="14" t="s">
        <v>73</v>
      </c>
      <c r="O78" s="16" t="s">
        <v>74</v>
      </c>
      <c r="P78" s="16" t="s">
        <v>74</v>
      </c>
      <c r="Q78" s="16" t="s">
        <v>153</v>
      </c>
      <c r="R78" s="14" t="s">
        <v>154</v>
      </c>
      <c r="S78" s="14" t="s">
        <v>120</v>
      </c>
      <c r="T78" s="14" t="s">
        <v>145</v>
      </c>
      <c r="U78" s="14" t="s">
        <v>79</v>
      </c>
      <c r="V78" s="15">
        <v>40725</v>
      </c>
      <c r="W78" s="15"/>
      <c r="X78" s="16" t="s">
        <v>277</v>
      </c>
      <c r="Y78" s="17" t="s">
        <v>278</v>
      </c>
      <c r="Z78" s="18" t="str">
        <f>VLOOKUP(Y78,'Axe 2 Règles de gestion'!$D$2:$F$125,3, FALSE)</f>
        <v>L'agent bénéficie des dispositions applicables aux agents titulaires pour la période d'activité effectuée au sein de la réserve civile.</v>
      </c>
      <c r="AA78" s="17" t="s">
        <v>262</v>
      </c>
      <c r="AB78" s="18" t="str">
        <f>VLOOKUP(AA78,'Axe 2 Règles de gestion'!$D$2:$F$125,3, FALSE)</f>
        <v>L'accord de l'administration est nécessaire.</v>
      </c>
      <c r="AC78" s="17"/>
      <c r="AD78" s="18"/>
      <c r="AE78" s="17"/>
      <c r="AF78" s="18"/>
      <c r="AG78" s="17" t="s">
        <v>264</v>
      </c>
      <c r="AH78" s="18" t="str">
        <f>VLOOKUP(AG78,'Axe 2 Règles de gestion'!$D$2:$F$125,3, FALSE)</f>
        <v>La durée du congé doit être inférieure ou égale à 15 jours cumulés par année civile.</v>
      </c>
      <c r="AI78" s="17" t="s">
        <v>190</v>
      </c>
      <c r="AJ78" s="18" t="str">
        <f>VLOOKUP(AI78,'Axe 2 Règles de gestion'!$D$2:$F$125,3, FALSE)</f>
        <v>L'agent doit être en activité.</v>
      </c>
      <c r="AK78" s="17" t="s">
        <v>91</v>
      </c>
      <c r="AL78" s="18" t="str">
        <f>VLOOKUP(AK78,'Axe 2 Règles de gestion'!$D$2:$F$125,3, FALSE)</f>
        <v>La date de début du congé/absence doit être postérieure ou égale à la date de recrutement dans la FPE ou dans la carrière militaire.</v>
      </c>
      <c r="AM78" s="17" t="s">
        <v>93</v>
      </c>
      <c r="AN78" s="18" t="str">
        <f>VLOOKUP(AM78,'Axe 2 Règles de gestion'!$D$2:$F$125,3, FALSE)</f>
        <v>La date de début du congé/absence doit être antérieure ou égale à la date de fin réelle du congé/absence.</v>
      </c>
      <c r="AO78" s="17" t="s">
        <v>95</v>
      </c>
      <c r="AP78" s="18" t="str">
        <f>VLOOKUP(AO78,'Axe 2 Règles de gestion'!$D$2:$F$125,3, FALSE)</f>
        <v>La date de début du congé/absence doit être antérieure ou égale à la date de fin prévisionnelle du congé/absence.</v>
      </c>
      <c r="AQ78" s="17" t="s">
        <v>97</v>
      </c>
      <c r="AR78" s="18" t="str">
        <f>VLOOKUP(AQ78,'Axe 2 Règles de gestion'!$D$2:$F$125,3, FALSE)</f>
        <v>La date de fin réelle du congé/absence doit être antérieure à la date limite de départ à la retraite.</v>
      </c>
      <c r="AS78" s="17" t="s">
        <v>99</v>
      </c>
      <c r="AT78" s="18" t="str">
        <f>VLOOKUP(AS78,'Axe 2 Règles de gestion'!$D$2:$F$125,3, FALSE)</f>
        <v>La date de fin prévisionnelle du congé/absence doit être antérieure à la date limite de départ à la retraite.</v>
      </c>
      <c r="AU78" s="17" t="s">
        <v>101</v>
      </c>
      <c r="AV78" s="18" t="str">
        <f>VLOOKUP(AU78,'Axe 2 Règles de gestion'!$D$2:$F$125,3, FALSE)</f>
        <v>La date de fin réelle ou la date de fin prévisionnelle du congé/absence doit être saisie.</v>
      </c>
      <c r="AW78" s="17" t="s">
        <v>103</v>
      </c>
      <c r="AX78" s="18" t="str">
        <f>VLOOKUP(AW78,'Axe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78" s="17" t="s">
        <v>105</v>
      </c>
      <c r="AZ78" s="18" t="str">
        <f>VLOOKUP(AY78,'Axe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78" s="17" t="s">
        <v>107</v>
      </c>
      <c r="BB78" s="18" t="str">
        <f>VLOOKUP(BA78,'Axe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78" s="17"/>
      <c r="BD78" s="18"/>
      <c r="BE78" s="17"/>
      <c r="BF78" s="18"/>
      <c r="BG78" s="14" t="s">
        <v>74</v>
      </c>
      <c r="BH78" s="16" t="s">
        <v>74</v>
      </c>
    </row>
    <row r="79" spans="1:60" ht="116" x14ac:dyDescent="0.35">
      <c r="A79" s="14" t="s">
        <v>113</v>
      </c>
      <c r="B79" s="14" t="s">
        <v>62</v>
      </c>
      <c r="C79" s="15">
        <v>44852.486111111109</v>
      </c>
      <c r="D79" s="14" t="s">
        <v>63</v>
      </c>
      <c r="E79" s="16" t="s">
        <v>64</v>
      </c>
      <c r="F79" s="14" t="s">
        <v>65</v>
      </c>
      <c r="G79" s="16" t="s">
        <v>66</v>
      </c>
      <c r="H79" s="14" t="s">
        <v>255</v>
      </c>
      <c r="I79" s="16" t="s">
        <v>256</v>
      </c>
      <c r="J79" s="16" t="s">
        <v>257</v>
      </c>
      <c r="K79" s="16" t="s">
        <v>258</v>
      </c>
      <c r="L79" s="14" t="s">
        <v>266</v>
      </c>
      <c r="M79" s="16" t="s">
        <v>267</v>
      </c>
      <c r="N79" s="14" t="s">
        <v>111</v>
      </c>
      <c r="O79" s="16" t="s">
        <v>74</v>
      </c>
      <c r="P79" s="16" t="s">
        <v>74</v>
      </c>
      <c r="Q79" s="16" t="s">
        <v>153</v>
      </c>
      <c r="R79" s="14" t="s">
        <v>154</v>
      </c>
      <c r="S79" s="14" t="s">
        <v>120</v>
      </c>
      <c r="T79" s="14" t="s">
        <v>145</v>
      </c>
      <c r="U79" s="14" t="s">
        <v>79</v>
      </c>
      <c r="V79" s="15">
        <v>40725</v>
      </c>
      <c r="W79" s="15"/>
      <c r="X79" s="16" t="s">
        <v>268</v>
      </c>
      <c r="Y79" s="17"/>
      <c r="Z79" s="18"/>
      <c r="AA79" s="17"/>
      <c r="AB79" s="18"/>
      <c r="AC79" s="17"/>
      <c r="AD79" s="18"/>
      <c r="AE79" s="17"/>
      <c r="AF79" s="18"/>
      <c r="AG79" s="17" t="s">
        <v>264</v>
      </c>
      <c r="AH79" s="18" t="str">
        <f>VLOOKUP(AG79,'Axe 2 Règles de gestion'!$D$2:$F$125,3, FALSE)</f>
        <v>La durée du congé doit être inférieure ou égale à 15 jours cumulés par année civile.</v>
      </c>
      <c r="AI79" s="17" t="s">
        <v>190</v>
      </c>
      <c r="AJ79" s="18" t="str">
        <f>VLOOKUP(AI79,'Axe 2 Règles de gestion'!$D$2:$F$125,3, FALSE)</f>
        <v>L'agent doit être en activité.</v>
      </c>
      <c r="AK79" s="17" t="s">
        <v>93</v>
      </c>
      <c r="AL79" s="18" t="str">
        <f>VLOOKUP(AK79,'Axe 2 Règles de gestion'!$D$2:$F$125,3, FALSE)</f>
        <v>La date de début du congé/absence doit être antérieure ou égale à la date de fin réelle du congé/absence.</v>
      </c>
      <c r="AM79" s="17" t="s">
        <v>95</v>
      </c>
      <c r="AN79" s="18" t="str">
        <f>VLOOKUP(AM79,'Axe 2 Règles de gestion'!$D$2:$F$125,3, FALSE)</f>
        <v>La date de début du congé/absence doit être antérieure ou égale à la date de fin prévisionnelle du congé/absence.</v>
      </c>
      <c r="AO79" s="17" t="s">
        <v>97</v>
      </c>
      <c r="AP79" s="18" t="str">
        <f>VLOOKUP(AO79,'Axe 2 Règles de gestion'!$D$2:$F$125,3, FALSE)</f>
        <v>La date de fin réelle du congé/absence doit être antérieure à la date limite de départ à la retraite.</v>
      </c>
      <c r="AQ79" s="17" t="s">
        <v>99</v>
      </c>
      <c r="AR79" s="18" t="str">
        <f>VLOOKUP(AQ79,'Axe 2 Règles de gestion'!$D$2:$F$125,3, FALSE)</f>
        <v>La date de fin prévisionnelle du congé/absence doit être antérieure à la date limite de départ à la retraite.</v>
      </c>
      <c r="AS79" s="17" t="s">
        <v>101</v>
      </c>
      <c r="AT79" s="18" t="str">
        <f>VLOOKUP(AS79,'Axe 2 Règles de gestion'!$D$2:$F$125,3, FALSE)</f>
        <v>La date de fin réelle ou la date de fin prévisionnelle du congé/absence doit être saisie.</v>
      </c>
      <c r="AU79" s="17" t="s">
        <v>107</v>
      </c>
      <c r="AV79" s="18" t="str">
        <f>VLOOKUP(AU79,'Axe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79" s="17"/>
      <c r="AX79" s="18"/>
      <c r="AY79" s="17"/>
      <c r="AZ79" s="18"/>
      <c r="BA79" s="17"/>
      <c r="BB79" s="18"/>
      <c r="BC79" s="17"/>
      <c r="BD79" s="18"/>
      <c r="BE79" s="17"/>
      <c r="BF79" s="18"/>
      <c r="BG79" s="14" t="s">
        <v>74</v>
      </c>
      <c r="BH79" s="16" t="s">
        <v>74</v>
      </c>
    </row>
    <row r="80" spans="1:60" ht="130.5" x14ac:dyDescent="0.35">
      <c r="A80" s="14" t="s">
        <v>113</v>
      </c>
      <c r="B80" s="14" t="s">
        <v>116</v>
      </c>
      <c r="C80" s="15">
        <v>44854.662499999999</v>
      </c>
      <c r="D80" s="14" t="s">
        <v>63</v>
      </c>
      <c r="E80" s="16" t="s">
        <v>64</v>
      </c>
      <c r="F80" s="14" t="s">
        <v>65</v>
      </c>
      <c r="G80" s="16" t="s">
        <v>66</v>
      </c>
      <c r="H80" s="14" t="s">
        <v>255</v>
      </c>
      <c r="I80" s="16" t="s">
        <v>256</v>
      </c>
      <c r="J80" s="16" t="s">
        <v>257</v>
      </c>
      <c r="K80" s="16" t="s">
        <v>258</v>
      </c>
      <c r="L80" s="14" t="s">
        <v>259</v>
      </c>
      <c r="M80" s="16" t="s">
        <v>260</v>
      </c>
      <c r="N80" s="14" t="s">
        <v>73</v>
      </c>
      <c r="O80" s="16" t="s">
        <v>74</v>
      </c>
      <c r="P80" s="16" t="s">
        <v>74</v>
      </c>
      <c r="Q80" s="16" t="s">
        <v>164</v>
      </c>
      <c r="R80" s="14" t="s">
        <v>165</v>
      </c>
      <c r="S80" s="14" t="s">
        <v>120</v>
      </c>
      <c r="T80" s="14" t="s">
        <v>145</v>
      </c>
      <c r="U80" s="14" t="s">
        <v>79</v>
      </c>
      <c r="V80" s="15">
        <v>40725</v>
      </c>
      <c r="W80" s="15"/>
      <c r="X80" s="16" t="s">
        <v>279</v>
      </c>
      <c r="Y80" s="17" t="s">
        <v>280</v>
      </c>
      <c r="Z80" s="18" t="str">
        <f>VLOOKUP(Y80,'Axe 2 Règles de gestion'!$D$2:$F$125,3, FALSE)</f>
        <v>L'accord de l'administration est nécessaire.</v>
      </c>
      <c r="AA80" s="17"/>
      <c r="AB80" s="18"/>
      <c r="AC80" s="17"/>
      <c r="AD80" s="18"/>
      <c r="AE80" s="17"/>
      <c r="AF80" s="18"/>
      <c r="AG80" s="17"/>
      <c r="AH80" s="18"/>
      <c r="AI80" s="17"/>
      <c r="AJ80" s="18"/>
      <c r="AK80" s="17" t="s">
        <v>128</v>
      </c>
      <c r="AL80" s="18" t="str">
        <f>VLOOKUP(AK80,'Axe 2 Règles de gestion'!$D$2:$F$125,3, FALSE)</f>
        <v>La date de début du congé/absence doit être postérieure ou égale à la date de début du lien juridique.</v>
      </c>
      <c r="AM80" s="17" t="s">
        <v>95</v>
      </c>
      <c r="AN80" s="18" t="str">
        <f>VLOOKUP(AM80,'Axe 2 Règles de gestion'!$D$2:$F$125,3, FALSE)</f>
        <v>La date de début du congé/absence doit être antérieure ou égale à la date de fin prévisionnelle du congé/absence.</v>
      </c>
      <c r="AO80" s="17" t="s">
        <v>93</v>
      </c>
      <c r="AP80" s="18" t="str">
        <f>VLOOKUP(AO80,'Axe 2 Règles de gestion'!$D$2:$F$125,3, FALSE)</f>
        <v>La date de début du congé/absence doit être antérieure ou égale à la date de fin réelle du congé/absence.</v>
      </c>
      <c r="AQ80" s="17" t="s">
        <v>97</v>
      </c>
      <c r="AR80" s="18" t="str">
        <f>VLOOKUP(AQ80,'Axe 2 Règles de gestion'!$D$2:$F$125,3, FALSE)</f>
        <v>La date de fin réelle du congé/absence doit être antérieure à la date limite de départ à la retraite.</v>
      </c>
      <c r="AS80" s="17" t="s">
        <v>99</v>
      </c>
      <c r="AT80" s="18" t="str">
        <f>VLOOKUP(AS80,'Axe 2 Règles de gestion'!$D$2:$F$125,3, FALSE)</f>
        <v>La date de fin prévisionnelle du congé/absence doit être antérieure à la date limite de départ à la retraite.</v>
      </c>
      <c r="AU80" s="17" t="s">
        <v>130</v>
      </c>
      <c r="AV80" s="18" t="str">
        <f>VLOOKUP(AU80,'Axe 2 Règles de gestion'!$D$2:$F$125,3, FALSE)</f>
        <v>La date de fin réelle du congé/absence doit être antérieure ou égale à la date limite de fin réelle ou prévisionnelle du lien juridique.</v>
      </c>
      <c r="AW80" s="17" t="s">
        <v>132</v>
      </c>
      <c r="AX80" s="18" t="str">
        <f>VLOOKUP(AW80,'Axe 2 Règles de gestion'!$D$2:$F$125,3, FALSE)</f>
        <v>La date de fin prévisionnelle du congé/absence doit être antérieure ou égale à la date limite de fin réelle ou prévisionnelle du lien juridique.</v>
      </c>
      <c r="AY80" s="17" t="s">
        <v>103</v>
      </c>
      <c r="AZ80" s="18" t="str">
        <f>VLOOKUP(AY80,'Axe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80" s="17" t="s">
        <v>105</v>
      </c>
      <c r="BB80" s="18" t="str">
        <f>VLOOKUP(BA80,'Axe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80" s="17" t="s">
        <v>101</v>
      </c>
      <c r="BD80" s="18" t="str">
        <f>VLOOKUP(BC80,'Axe 2 Règles de gestion'!$D$2:$F$125,3, FALSE)</f>
        <v>La date de fin réelle ou la date de fin prévisionnelle du congé/absence doit être saisie.</v>
      </c>
      <c r="BE80" s="17" t="s">
        <v>107</v>
      </c>
      <c r="BF80" s="18" t="str">
        <f>VLOOKUP(BE80,'Axe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80" s="14" t="s">
        <v>74</v>
      </c>
      <c r="BH80" s="16" t="s">
        <v>74</v>
      </c>
    </row>
    <row r="81" spans="1:60" ht="130.5" x14ac:dyDescent="0.35">
      <c r="A81" s="14" t="s">
        <v>113</v>
      </c>
      <c r="B81" s="14" t="s">
        <v>62</v>
      </c>
      <c r="C81" s="15">
        <v>44852.486111111109</v>
      </c>
      <c r="D81" s="14" t="s">
        <v>63</v>
      </c>
      <c r="E81" s="16" t="s">
        <v>64</v>
      </c>
      <c r="F81" s="14" t="s">
        <v>65</v>
      </c>
      <c r="G81" s="16" t="s">
        <v>66</v>
      </c>
      <c r="H81" s="14" t="s">
        <v>255</v>
      </c>
      <c r="I81" s="16" t="s">
        <v>256</v>
      </c>
      <c r="J81" s="16" t="s">
        <v>257</v>
      </c>
      <c r="K81" s="16" t="s">
        <v>258</v>
      </c>
      <c r="L81" s="14" t="s">
        <v>266</v>
      </c>
      <c r="M81" s="16" t="s">
        <v>267</v>
      </c>
      <c r="N81" s="14" t="s">
        <v>111</v>
      </c>
      <c r="O81" s="16" t="s">
        <v>74</v>
      </c>
      <c r="P81" s="16" t="s">
        <v>74</v>
      </c>
      <c r="Q81" s="16" t="s">
        <v>164</v>
      </c>
      <c r="R81" s="14" t="s">
        <v>165</v>
      </c>
      <c r="S81" s="14" t="s">
        <v>120</v>
      </c>
      <c r="T81" s="14" t="s">
        <v>145</v>
      </c>
      <c r="U81" s="14" t="s">
        <v>79</v>
      </c>
      <c r="V81" s="15">
        <v>40725</v>
      </c>
      <c r="W81" s="15"/>
      <c r="X81" s="16" t="s">
        <v>211</v>
      </c>
      <c r="Y81" s="17"/>
      <c r="Z81" s="18"/>
      <c r="AA81" s="17"/>
      <c r="AB81" s="18"/>
      <c r="AC81" s="17"/>
      <c r="AD81" s="18"/>
      <c r="AE81" s="17"/>
      <c r="AF81" s="18"/>
      <c r="AG81" s="17"/>
      <c r="AH81" s="18"/>
      <c r="AI81" s="17"/>
      <c r="AJ81" s="18"/>
      <c r="AK81" s="17" t="s">
        <v>128</v>
      </c>
      <c r="AL81" s="18" t="str">
        <f>VLOOKUP(AK81,'Axe 2 Règles de gestion'!$D$2:$F$125,3, FALSE)</f>
        <v>La date de début du congé/absence doit être postérieure ou égale à la date de début du lien juridique.</v>
      </c>
      <c r="AM81" s="17" t="s">
        <v>93</v>
      </c>
      <c r="AN81" s="18" t="str">
        <f>VLOOKUP(AM81,'Axe 2 Règles de gestion'!$D$2:$F$125,3, FALSE)</f>
        <v>La date de début du congé/absence doit être antérieure ou égale à la date de fin réelle du congé/absence.</v>
      </c>
      <c r="AO81" s="17" t="s">
        <v>95</v>
      </c>
      <c r="AP81" s="18" t="str">
        <f>VLOOKUP(AO81,'Axe 2 Règles de gestion'!$D$2:$F$125,3, FALSE)</f>
        <v>La date de début du congé/absence doit être antérieure ou égale à la date de fin prévisionnelle du congé/absence.</v>
      </c>
      <c r="AQ81" s="17" t="s">
        <v>97</v>
      </c>
      <c r="AR81" s="18" t="str">
        <f>VLOOKUP(AQ81,'Axe 2 Règles de gestion'!$D$2:$F$125,3, FALSE)</f>
        <v>La date de fin réelle du congé/absence doit être antérieure à la date limite de départ à la retraite.</v>
      </c>
      <c r="AS81" s="17" t="s">
        <v>99</v>
      </c>
      <c r="AT81" s="18" t="str">
        <f>VLOOKUP(AS81,'Axe 2 Règles de gestion'!$D$2:$F$125,3, FALSE)</f>
        <v>La date de fin prévisionnelle du congé/absence doit être antérieure à la date limite de départ à la retraite.</v>
      </c>
      <c r="AU81" s="17" t="s">
        <v>130</v>
      </c>
      <c r="AV81" s="18" t="str">
        <f>VLOOKUP(AU81,'Axe 2 Règles de gestion'!$D$2:$F$125,3, FALSE)</f>
        <v>La date de fin réelle du congé/absence doit être antérieure ou égale à la date limite de fin réelle ou prévisionnelle du lien juridique.</v>
      </c>
      <c r="AW81" s="17" t="s">
        <v>132</v>
      </c>
      <c r="AX81" s="18" t="str">
        <f>VLOOKUP(AW81,'Axe 2 Règles de gestion'!$D$2:$F$125,3, FALSE)</f>
        <v>La date de fin prévisionnelle du congé/absence doit être antérieure ou égale à la date limite de fin réelle ou prévisionnelle du lien juridique.</v>
      </c>
      <c r="AY81" s="17" t="s">
        <v>103</v>
      </c>
      <c r="AZ81" s="18" t="str">
        <f>VLOOKUP(AY81,'Axe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81" s="17" t="s">
        <v>105</v>
      </c>
      <c r="BB81" s="18" t="str">
        <f>VLOOKUP(BA81,'Axe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81" s="17" t="s">
        <v>101</v>
      </c>
      <c r="BD81" s="18" t="str">
        <f>VLOOKUP(BC81,'Axe 2 Règles de gestion'!$D$2:$F$125,3, FALSE)</f>
        <v>La date de fin réelle ou la date de fin prévisionnelle du congé/absence doit être saisie.</v>
      </c>
      <c r="BE81" s="17" t="s">
        <v>107</v>
      </c>
      <c r="BF81" s="18" t="str">
        <f>VLOOKUP(BE81,'Axe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81" s="14" t="s">
        <v>74</v>
      </c>
      <c r="BH81" s="16" t="s">
        <v>74</v>
      </c>
    </row>
    <row r="82" spans="1:60" ht="58" x14ac:dyDescent="0.35">
      <c r="A82" s="14" t="s">
        <v>113</v>
      </c>
      <c r="B82" s="14" t="s">
        <v>62</v>
      </c>
      <c r="C82" s="15">
        <v>44852.482638888891</v>
      </c>
      <c r="D82" s="14" t="s">
        <v>63</v>
      </c>
      <c r="E82" s="16" t="s">
        <v>64</v>
      </c>
      <c r="F82" s="14" t="s">
        <v>65</v>
      </c>
      <c r="G82" s="16" t="s">
        <v>66</v>
      </c>
      <c r="H82" s="14" t="s">
        <v>255</v>
      </c>
      <c r="I82" s="16" t="s">
        <v>256</v>
      </c>
      <c r="J82" s="16" t="s">
        <v>257</v>
      </c>
      <c r="K82" s="16" t="s">
        <v>258</v>
      </c>
      <c r="L82" s="14" t="s">
        <v>259</v>
      </c>
      <c r="M82" s="16" t="s">
        <v>260</v>
      </c>
      <c r="N82" s="14" t="s">
        <v>73</v>
      </c>
      <c r="O82" s="16" t="s">
        <v>74</v>
      </c>
      <c r="P82" s="16" t="s">
        <v>74</v>
      </c>
      <c r="Q82" s="16" t="s">
        <v>166</v>
      </c>
      <c r="R82" s="14" t="s">
        <v>167</v>
      </c>
      <c r="S82" s="14" t="s">
        <v>120</v>
      </c>
      <c r="T82" s="14" t="s">
        <v>145</v>
      </c>
      <c r="U82" s="14" t="s">
        <v>117</v>
      </c>
      <c r="V82" s="15">
        <v>40725</v>
      </c>
      <c r="W82" s="15"/>
      <c r="X82" s="16" t="s">
        <v>74</v>
      </c>
      <c r="Y82" s="17"/>
      <c r="Z82" s="18"/>
      <c r="AA82" s="17"/>
      <c r="AB82" s="18"/>
      <c r="AC82" s="17"/>
      <c r="AD82" s="18"/>
      <c r="AE82" s="17"/>
      <c r="AF82" s="18"/>
      <c r="AG82" s="17"/>
      <c r="AH82" s="18"/>
      <c r="AI82" s="17"/>
      <c r="AJ82" s="18"/>
      <c r="AK82" s="17"/>
      <c r="AL82" s="18"/>
      <c r="AM82" s="17"/>
      <c r="AN82" s="18"/>
      <c r="AO82" s="17"/>
      <c r="AP82" s="18"/>
      <c r="AQ82" s="17"/>
      <c r="AR82" s="18"/>
      <c r="AS82" s="17"/>
      <c r="AT82" s="18"/>
      <c r="AU82" s="17"/>
      <c r="AV82" s="18"/>
      <c r="AW82" s="17"/>
      <c r="AX82" s="18"/>
      <c r="AY82" s="17"/>
      <c r="AZ82" s="18"/>
      <c r="BA82" s="17"/>
      <c r="BB82" s="18"/>
      <c r="BC82" s="17"/>
      <c r="BD82" s="18"/>
      <c r="BE82" s="17"/>
      <c r="BF82" s="18"/>
      <c r="BG82" s="14" t="s">
        <v>74</v>
      </c>
      <c r="BH82" s="16" t="s">
        <v>74</v>
      </c>
    </row>
    <row r="83" spans="1:60" ht="58" x14ac:dyDescent="0.35">
      <c r="A83" s="14" t="s">
        <v>113</v>
      </c>
      <c r="B83" s="14" t="s">
        <v>62</v>
      </c>
      <c r="C83" s="15">
        <v>44852.486111111109</v>
      </c>
      <c r="D83" s="14" t="s">
        <v>63</v>
      </c>
      <c r="E83" s="16" t="s">
        <v>64</v>
      </c>
      <c r="F83" s="14" t="s">
        <v>65</v>
      </c>
      <c r="G83" s="16" t="s">
        <v>66</v>
      </c>
      <c r="H83" s="14" t="s">
        <v>255</v>
      </c>
      <c r="I83" s="16" t="s">
        <v>256</v>
      </c>
      <c r="J83" s="16" t="s">
        <v>257</v>
      </c>
      <c r="K83" s="16" t="s">
        <v>258</v>
      </c>
      <c r="L83" s="14" t="s">
        <v>266</v>
      </c>
      <c r="M83" s="16" t="s">
        <v>267</v>
      </c>
      <c r="N83" s="14" t="s">
        <v>111</v>
      </c>
      <c r="O83" s="16" t="s">
        <v>74</v>
      </c>
      <c r="P83" s="16" t="s">
        <v>74</v>
      </c>
      <c r="Q83" s="16" t="s">
        <v>166</v>
      </c>
      <c r="R83" s="14" t="s">
        <v>167</v>
      </c>
      <c r="S83" s="14" t="s">
        <v>120</v>
      </c>
      <c r="T83" s="14" t="s">
        <v>145</v>
      </c>
      <c r="U83" s="14" t="s">
        <v>117</v>
      </c>
      <c r="V83" s="15">
        <v>40725</v>
      </c>
      <c r="W83" s="15"/>
      <c r="X83" s="16" t="s">
        <v>74</v>
      </c>
      <c r="Y83" s="17"/>
      <c r="Z83" s="18"/>
      <c r="AA83" s="17"/>
      <c r="AB83" s="18"/>
      <c r="AC83" s="17"/>
      <c r="AD83" s="18"/>
      <c r="AE83" s="17"/>
      <c r="AF83" s="18"/>
      <c r="AG83" s="17"/>
      <c r="AH83" s="18"/>
      <c r="AI83" s="17"/>
      <c r="AJ83" s="18"/>
      <c r="AK83" s="17"/>
      <c r="AL83" s="18"/>
      <c r="AM83" s="17"/>
      <c r="AN83" s="18"/>
      <c r="AO83" s="17"/>
      <c r="AP83" s="18"/>
      <c r="AQ83" s="17"/>
      <c r="AR83" s="18"/>
      <c r="AS83" s="17"/>
      <c r="AT83" s="18"/>
      <c r="AU83" s="17"/>
      <c r="AV83" s="18"/>
      <c r="AW83" s="17"/>
      <c r="AX83" s="18"/>
      <c r="AY83" s="17"/>
      <c r="AZ83" s="18"/>
      <c r="BA83" s="17"/>
      <c r="BB83" s="18"/>
      <c r="BC83" s="17"/>
      <c r="BD83" s="18"/>
      <c r="BE83" s="17"/>
      <c r="BF83" s="18"/>
      <c r="BG83" s="14" t="s">
        <v>74</v>
      </c>
      <c r="BH83" s="16" t="s">
        <v>74</v>
      </c>
    </row>
    <row r="84" spans="1:60" ht="130.5" x14ac:dyDescent="0.35">
      <c r="A84" s="14" t="s">
        <v>113</v>
      </c>
      <c r="B84" s="14" t="s">
        <v>62</v>
      </c>
      <c r="C84" s="15">
        <v>44852.482638888891</v>
      </c>
      <c r="D84" s="14" t="s">
        <v>63</v>
      </c>
      <c r="E84" s="16" t="s">
        <v>64</v>
      </c>
      <c r="F84" s="14" t="s">
        <v>65</v>
      </c>
      <c r="G84" s="16" t="s">
        <v>66</v>
      </c>
      <c r="H84" s="14" t="s">
        <v>255</v>
      </c>
      <c r="I84" s="16" t="s">
        <v>256</v>
      </c>
      <c r="J84" s="16" t="s">
        <v>257</v>
      </c>
      <c r="K84" s="16" t="s">
        <v>258</v>
      </c>
      <c r="L84" s="14" t="s">
        <v>259</v>
      </c>
      <c r="M84" s="16" t="s">
        <v>260</v>
      </c>
      <c r="N84" s="14" t="s">
        <v>73</v>
      </c>
      <c r="O84" s="16" t="s">
        <v>74</v>
      </c>
      <c r="P84" s="16" t="s">
        <v>74</v>
      </c>
      <c r="Q84" s="16" t="s">
        <v>168</v>
      </c>
      <c r="R84" s="14" t="s">
        <v>169</v>
      </c>
      <c r="S84" s="14" t="s">
        <v>120</v>
      </c>
      <c r="T84" s="14" t="s">
        <v>145</v>
      </c>
      <c r="U84" s="14" t="s">
        <v>79</v>
      </c>
      <c r="V84" s="15">
        <v>40725</v>
      </c>
      <c r="W84" s="15"/>
      <c r="X84" s="16" t="s">
        <v>281</v>
      </c>
      <c r="Y84" s="17" t="s">
        <v>282</v>
      </c>
      <c r="Z84" s="18" t="str">
        <f>VLOOKUP(Y84,'Axe 2 Règles de gestion'!$D$2:$F$125,3, FALSE)</f>
        <v>L'agent bénéficie des dispositions applicables aux agents titulaires pour la période d'activité effectuée au sein de la réserve civile, sauf disposition particulières.</v>
      </c>
      <c r="AA84" s="17" t="s">
        <v>262</v>
      </c>
      <c r="AB84" s="18" t="str">
        <f>VLOOKUP(AA84,'Axe 2 Règles de gestion'!$D$2:$F$125,3, FALSE)</f>
        <v>L'accord de l'administration est nécessaire.</v>
      </c>
      <c r="AC84" s="17"/>
      <c r="AD84" s="18"/>
      <c r="AE84" s="17"/>
      <c r="AF84" s="18"/>
      <c r="AG84" s="17" t="s">
        <v>264</v>
      </c>
      <c r="AH84" s="18" t="str">
        <f>VLOOKUP(AG84,'Axe 2 Règles de gestion'!$D$2:$F$125,3, FALSE)</f>
        <v>La durée du congé doit être inférieure ou égale à 15 jours cumulés par année civile.</v>
      </c>
      <c r="AI84" s="17" t="s">
        <v>190</v>
      </c>
      <c r="AJ84" s="18" t="str">
        <f>VLOOKUP(AI84,'Axe 2 Règles de gestion'!$D$2:$F$125,3, FALSE)</f>
        <v>L'agent doit être en activité.</v>
      </c>
      <c r="AK84" s="17" t="s">
        <v>91</v>
      </c>
      <c r="AL84" s="18" t="str">
        <f>VLOOKUP(AK84,'Axe 2 Règles de gestion'!$D$2:$F$125,3, FALSE)</f>
        <v>La date de début du congé/absence doit être postérieure ou égale à la date de recrutement dans la FPE ou dans la carrière militaire.</v>
      </c>
      <c r="AM84" s="17" t="s">
        <v>93</v>
      </c>
      <c r="AN84" s="18" t="str">
        <f>VLOOKUP(AM84,'Axe 2 Règles de gestion'!$D$2:$F$125,3, FALSE)</f>
        <v>La date de début du congé/absence doit être antérieure ou égale à la date de fin réelle du congé/absence.</v>
      </c>
      <c r="AO84" s="17" t="s">
        <v>95</v>
      </c>
      <c r="AP84" s="18" t="str">
        <f>VLOOKUP(AO84,'Axe 2 Règles de gestion'!$D$2:$F$125,3, FALSE)</f>
        <v>La date de début du congé/absence doit être antérieure ou égale à la date de fin prévisionnelle du congé/absence.</v>
      </c>
      <c r="AQ84" s="17" t="s">
        <v>97</v>
      </c>
      <c r="AR84" s="18" t="str">
        <f>VLOOKUP(AQ84,'Axe 2 Règles de gestion'!$D$2:$F$125,3, FALSE)</f>
        <v>La date de fin réelle du congé/absence doit être antérieure à la date limite de départ à la retraite.</v>
      </c>
      <c r="AS84" s="17" t="s">
        <v>99</v>
      </c>
      <c r="AT84" s="18" t="str">
        <f>VLOOKUP(AS84,'Axe 2 Règles de gestion'!$D$2:$F$125,3, FALSE)</f>
        <v>La date de fin prévisionnelle du congé/absence doit être antérieure à la date limite de départ à la retraite.</v>
      </c>
      <c r="AU84" s="17" t="s">
        <v>101</v>
      </c>
      <c r="AV84" s="18" t="str">
        <f>VLOOKUP(AU84,'Axe 2 Règles de gestion'!$D$2:$F$125,3, FALSE)</f>
        <v>La date de fin réelle ou la date de fin prévisionnelle du congé/absence doit être saisie.</v>
      </c>
      <c r="AW84" s="17" t="s">
        <v>103</v>
      </c>
      <c r="AX84" s="18" t="str">
        <f>VLOOKUP(AW84,'Axe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84" s="17" t="s">
        <v>105</v>
      </c>
      <c r="AZ84" s="18" t="str">
        <f>VLOOKUP(AY84,'Axe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84" s="17" t="s">
        <v>107</v>
      </c>
      <c r="BB84" s="18" t="str">
        <f>VLOOKUP(BA84,'Axe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84" s="17"/>
      <c r="BD84" s="18"/>
      <c r="BE84" s="17"/>
      <c r="BF84" s="18"/>
      <c r="BG84" s="14" t="s">
        <v>74</v>
      </c>
      <c r="BH84" s="16" t="s">
        <v>74</v>
      </c>
    </row>
    <row r="85" spans="1:60" ht="116" x14ac:dyDescent="0.35">
      <c r="A85" s="14" t="s">
        <v>113</v>
      </c>
      <c r="B85" s="14" t="s">
        <v>62</v>
      </c>
      <c r="C85" s="15">
        <v>44852.486111111109</v>
      </c>
      <c r="D85" s="14" t="s">
        <v>63</v>
      </c>
      <c r="E85" s="16" t="s">
        <v>64</v>
      </c>
      <c r="F85" s="14" t="s">
        <v>65</v>
      </c>
      <c r="G85" s="16" t="s">
        <v>66</v>
      </c>
      <c r="H85" s="14" t="s">
        <v>255</v>
      </c>
      <c r="I85" s="16" t="s">
        <v>256</v>
      </c>
      <c r="J85" s="16" t="s">
        <v>257</v>
      </c>
      <c r="K85" s="16" t="s">
        <v>258</v>
      </c>
      <c r="L85" s="14" t="s">
        <v>266</v>
      </c>
      <c r="M85" s="16" t="s">
        <v>267</v>
      </c>
      <c r="N85" s="14" t="s">
        <v>111</v>
      </c>
      <c r="O85" s="16" t="s">
        <v>74</v>
      </c>
      <c r="P85" s="16" t="s">
        <v>74</v>
      </c>
      <c r="Q85" s="16" t="s">
        <v>168</v>
      </c>
      <c r="R85" s="14" t="s">
        <v>169</v>
      </c>
      <c r="S85" s="14" t="s">
        <v>120</v>
      </c>
      <c r="T85" s="14" t="s">
        <v>145</v>
      </c>
      <c r="U85" s="14" t="s">
        <v>79</v>
      </c>
      <c r="V85" s="15">
        <v>40725</v>
      </c>
      <c r="W85" s="15"/>
      <c r="X85" s="16" t="s">
        <v>268</v>
      </c>
      <c r="Y85" s="17"/>
      <c r="Z85" s="18"/>
      <c r="AA85" s="17"/>
      <c r="AB85" s="18"/>
      <c r="AC85" s="17"/>
      <c r="AD85" s="18"/>
      <c r="AE85" s="17"/>
      <c r="AF85" s="18"/>
      <c r="AG85" s="17" t="s">
        <v>264</v>
      </c>
      <c r="AH85" s="18" t="str">
        <f>VLOOKUP(AG85,'Axe 2 Règles de gestion'!$D$2:$F$125,3, FALSE)</f>
        <v>La durée du congé doit être inférieure ou égale à 15 jours cumulés par année civile.</v>
      </c>
      <c r="AI85" s="17" t="s">
        <v>190</v>
      </c>
      <c r="AJ85" s="18" t="str">
        <f>VLOOKUP(AI85,'Axe 2 Règles de gestion'!$D$2:$F$125,3, FALSE)</f>
        <v>L'agent doit être en activité.</v>
      </c>
      <c r="AK85" s="17" t="s">
        <v>93</v>
      </c>
      <c r="AL85" s="18" t="str">
        <f>VLOOKUP(AK85,'Axe 2 Règles de gestion'!$D$2:$F$125,3, FALSE)</f>
        <v>La date de début du congé/absence doit être antérieure ou égale à la date de fin réelle du congé/absence.</v>
      </c>
      <c r="AM85" s="17" t="s">
        <v>95</v>
      </c>
      <c r="AN85" s="18" t="str">
        <f>VLOOKUP(AM85,'Axe 2 Règles de gestion'!$D$2:$F$125,3, FALSE)</f>
        <v>La date de début du congé/absence doit être antérieure ou égale à la date de fin prévisionnelle du congé/absence.</v>
      </c>
      <c r="AO85" s="17" t="s">
        <v>97</v>
      </c>
      <c r="AP85" s="18" t="str">
        <f>VLOOKUP(AO85,'Axe 2 Règles de gestion'!$D$2:$F$125,3, FALSE)</f>
        <v>La date de fin réelle du congé/absence doit être antérieure à la date limite de départ à la retraite.</v>
      </c>
      <c r="AQ85" s="17" t="s">
        <v>99</v>
      </c>
      <c r="AR85" s="18" t="str">
        <f>VLOOKUP(AQ85,'Axe 2 Règles de gestion'!$D$2:$F$125,3, FALSE)</f>
        <v>La date de fin prévisionnelle du congé/absence doit être antérieure à la date limite de départ à la retraite.</v>
      </c>
      <c r="AS85" s="17" t="s">
        <v>101</v>
      </c>
      <c r="AT85" s="18" t="str">
        <f>VLOOKUP(AS85,'Axe 2 Règles de gestion'!$D$2:$F$125,3, FALSE)</f>
        <v>La date de fin réelle ou la date de fin prévisionnelle du congé/absence doit être saisie.</v>
      </c>
      <c r="AU85" s="17" t="s">
        <v>107</v>
      </c>
      <c r="AV85" s="18" t="str">
        <f>VLOOKUP(AU85,'Axe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85" s="17"/>
      <c r="AX85" s="18"/>
      <c r="AY85" s="17"/>
      <c r="AZ85" s="18"/>
      <c r="BA85" s="17"/>
      <c r="BB85" s="18"/>
      <c r="BC85" s="17"/>
      <c r="BD85" s="18"/>
      <c r="BE85" s="17"/>
      <c r="BF85" s="18"/>
      <c r="BG85" s="14" t="s">
        <v>74</v>
      </c>
      <c r="BH85" s="16" t="s">
        <v>74</v>
      </c>
    </row>
    <row r="86" spans="1:60" ht="130.5" x14ac:dyDescent="0.35">
      <c r="A86" s="14" t="s">
        <v>113</v>
      </c>
      <c r="B86" s="14" t="s">
        <v>116</v>
      </c>
      <c r="C86" s="15">
        <v>44855.473611111112</v>
      </c>
      <c r="D86" s="14" t="s">
        <v>63</v>
      </c>
      <c r="E86" s="16" t="s">
        <v>64</v>
      </c>
      <c r="F86" s="14" t="s">
        <v>65</v>
      </c>
      <c r="G86" s="16" t="s">
        <v>66</v>
      </c>
      <c r="H86" s="14" t="s">
        <v>284</v>
      </c>
      <c r="I86" s="16" t="s">
        <v>285</v>
      </c>
      <c r="J86" s="16" t="s">
        <v>286</v>
      </c>
      <c r="K86" s="16" t="s">
        <v>287</v>
      </c>
      <c r="L86" s="14" t="s">
        <v>288</v>
      </c>
      <c r="M86" s="16" t="s">
        <v>289</v>
      </c>
      <c r="N86" s="14" t="s">
        <v>73</v>
      </c>
      <c r="O86" s="16" t="s">
        <v>74</v>
      </c>
      <c r="P86" s="16" t="s">
        <v>74</v>
      </c>
      <c r="Q86" s="16" t="s">
        <v>75</v>
      </c>
      <c r="R86" s="14" t="s">
        <v>76</v>
      </c>
      <c r="S86" s="14" t="s">
        <v>77</v>
      </c>
      <c r="T86" s="14" t="s">
        <v>78</v>
      </c>
      <c r="U86" s="14" t="s">
        <v>79</v>
      </c>
      <c r="V86" s="15">
        <v>40725</v>
      </c>
      <c r="W86" s="15"/>
      <c r="X86" s="16" t="s">
        <v>290</v>
      </c>
      <c r="Y86" s="17" t="s">
        <v>291</v>
      </c>
      <c r="Z86" s="18" t="str">
        <f>VLOOKUP(Y86,'Axe 2 Règles de gestion'!$D$2:$F$125,3, FALSE)</f>
        <v>L'accord de l'administration est nécessaire.</v>
      </c>
      <c r="AA86" s="17" t="s">
        <v>292</v>
      </c>
      <c r="AB86" s="18" t="str">
        <f>VLOOKUP(AA86,'Axe 2 Règles de gestion'!$D$2:$F$125,3, FALSE)</f>
        <v>La demande de l'agent peut être refusée en cas de nécessité inhérente à la poursuite de la production de biens et de services ou à la continuité du service public.</v>
      </c>
      <c r="AC86" s="17"/>
      <c r="AD86" s="18"/>
      <c r="AE86" s="17"/>
      <c r="AF86" s="18"/>
      <c r="AG86" s="17" t="s">
        <v>190</v>
      </c>
      <c r="AH86" s="18" t="str">
        <f>VLOOKUP(AG86,'Axe 2 Règles de gestion'!$D$2:$F$125,3, FALSE)</f>
        <v>L'agent doit être en activité.</v>
      </c>
      <c r="AI86" s="17"/>
      <c r="AJ86" s="18"/>
      <c r="AK86" s="17" t="s">
        <v>91</v>
      </c>
      <c r="AL86" s="18" t="str">
        <f>VLOOKUP(AK86,'Axe 2 Règles de gestion'!$D$2:$F$125,3, FALSE)</f>
        <v>La date de début du congé/absence doit être postérieure ou égale à la date de recrutement dans la FPE ou dans la carrière militaire.</v>
      </c>
      <c r="AM86" s="17" t="s">
        <v>93</v>
      </c>
      <c r="AN86" s="18" t="str">
        <f>VLOOKUP(AM86,'Axe 2 Règles de gestion'!$D$2:$F$125,3, FALSE)</f>
        <v>La date de début du congé/absence doit être antérieure ou égale à la date de fin réelle du congé/absence.</v>
      </c>
      <c r="AO86" s="17" t="s">
        <v>95</v>
      </c>
      <c r="AP86" s="18" t="str">
        <f>VLOOKUP(AO86,'Axe 2 Règles de gestion'!$D$2:$F$125,3, FALSE)</f>
        <v>La date de début du congé/absence doit être antérieure ou égale à la date de fin prévisionnelle du congé/absence.</v>
      </c>
      <c r="AQ86" s="17" t="s">
        <v>97</v>
      </c>
      <c r="AR86" s="18" t="str">
        <f>VLOOKUP(AQ86,'Axe 2 Règles de gestion'!$D$2:$F$125,3, FALSE)</f>
        <v>La date de fin réelle du congé/absence doit être antérieure à la date limite de départ à la retraite.</v>
      </c>
      <c r="AS86" s="17" t="s">
        <v>99</v>
      </c>
      <c r="AT86" s="18" t="str">
        <f>VLOOKUP(AS86,'Axe 2 Règles de gestion'!$D$2:$F$125,3, FALSE)</f>
        <v>La date de fin prévisionnelle du congé/absence doit être antérieure à la date limite de départ à la retraite.</v>
      </c>
      <c r="AU86" s="17" t="s">
        <v>101</v>
      </c>
      <c r="AV86" s="18" t="str">
        <f>VLOOKUP(AU86,'Axe 2 Règles de gestion'!$D$2:$F$125,3, FALSE)</f>
        <v>La date de fin réelle ou la date de fin prévisionnelle du congé/absence doit être saisie.</v>
      </c>
      <c r="AW86" s="17" t="s">
        <v>103</v>
      </c>
      <c r="AX86" s="18" t="str">
        <f>VLOOKUP(AW86,'Axe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86" s="17" t="s">
        <v>105</v>
      </c>
      <c r="AZ86" s="18" t="str">
        <f>VLOOKUP(AY86,'Axe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86" s="17" t="s">
        <v>107</v>
      </c>
      <c r="BB86" s="18" t="str">
        <f>VLOOKUP(BA86,'Axe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86" s="17"/>
      <c r="BD86" s="18"/>
      <c r="BE86" s="17"/>
      <c r="BF86" s="18"/>
      <c r="BG86" s="14" t="s">
        <v>74</v>
      </c>
      <c r="BH86" s="16" t="s">
        <v>74</v>
      </c>
    </row>
    <row r="87" spans="1:60" ht="116" x14ac:dyDescent="0.35">
      <c r="A87" s="14" t="s">
        <v>113</v>
      </c>
      <c r="B87" s="14" t="s">
        <v>62</v>
      </c>
      <c r="C87" s="15">
        <v>44852.579861111109</v>
      </c>
      <c r="D87" s="14" t="s">
        <v>63</v>
      </c>
      <c r="E87" s="16" t="s">
        <v>64</v>
      </c>
      <c r="F87" s="14" t="s">
        <v>65</v>
      </c>
      <c r="G87" s="16" t="s">
        <v>66</v>
      </c>
      <c r="H87" s="14" t="s">
        <v>284</v>
      </c>
      <c r="I87" s="16" t="s">
        <v>285</v>
      </c>
      <c r="J87" s="16" t="s">
        <v>286</v>
      </c>
      <c r="K87" s="16" t="s">
        <v>287</v>
      </c>
      <c r="L87" s="14" t="s">
        <v>294</v>
      </c>
      <c r="M87" s="16" t="s">
        <v>295</v>
      </c>
      <c r="N87" s="14" t="s">
        <v>111</v>
      </c>
      <c r="O87" s="16" t="s">
        <v>74</v>
      </c>
      <c r="P87" s="16" t="s">
        <v>74</v>
      </c>
      <c r="Q87" s="16" t="s">
        <v>75</v>
      </c>
      <c r="R87" s="14" t="s">
        <v>76</v>
      </c>
      <c r="S87" s="14" t="s">
        <v>77</v>
      </c>
      <c r="T87" s="14" t="s">
        <v>78</v>
      </c>
      <c r="U87" s="14" t="s">
        <v>79</v>
      </c>
      <c r="V87" s="15">
        <v>40725</v>
      </c>
      <c r="W87" s="15"/>
      <c r="X87" s="16" t="s">
        <v>296</v>
      </c>
      <c r="Y87" s="17"/>
      <c r="Z87" s="18"/>
      <c r="AA87" s="17"/>
      <c r="AB87" s="18"/>
      <c r="AC87" s="17"/>
      <c r="AD87" s="18"/>
      <c r="AE87" s="17"/>
      <c r="AF87" s="18"/>
      <c r="AG87" s="17" t="s">
        <v>190</v>
      </c>
      <c r="AH87" s="18" t="str">
        <f>VLOOKUP(AG87,'Axe 2 Règles de gestion'!$D$2:$F$125,3, FALSE)</f>
        <v>L'agent doit être en activité.</v>
      </c>
      <c r="AI87" s="17"/>
      <c r="AJ87" s="18"/>
      <c r="AK87" s="17" t="s">
        <v>93</v>
      </c>
      <c r="AL87" s="18" t="str">
        <f>VLOOKUP(AK87,'Axe 2 Règles de gestion'!$D$2:$F$125,3, FALSE)</f>
        <v>La date de début du congé/absence doit être antérieure ou égale à la date de fin réelle du congé/absence.</v>
      </c>
      <c r="AM87" s="17" t="s">
        <v>95</v>
      </c>
      <c r="AN87" s="18" t="str">
        <f>VLOOKUP(AM87,'Axe 2 Règles de gestion'!$D$2:$F$125,3, FALSE)</f>
        <v>La date de début du congé/absence doit être antérieure ou égale à la date de fin prévisionnelle du congé/absence.</v>
      </c>
      <c r="AO87" s="17" t="s">
        <v>97</v>
      </c>
      <c r="AP87" s="18" t="str">
        <f>VLOOKUP(AO87,'Axe 2 Règles de gestion'!$D$2:$F$125,3, FALSE)</f>
        <v>La date de fin réelle du congé/absence doit être antérieure à la date limite de départ à la retraite.</v>
      </c>
      <c r="AQ87" s="17" t="s">
        <v>99</v>
      </c>
      <c r="AR87" s="18" t="str">
        <f>VLOOKUP(AQ87,'Axe 2 Règles de gestion'!$D$2:$F$125,3, FALSE)</f>
        <v>La date de fin prévisionnelle du congé/absence doit être antérieure à la date limite de départ à la retraite.</v>
      </c>
      <c r="AS87" s="17" t="s">
        <v>101</v>
      </c>
      <c r="AT87" s="18" t="str">
        <f>VLOOKUP(AS87,'Axe 2 Règles de gestion'!$D$2:$F$125,3, FALSE)</f>
        <v>La date de fin réelle ou la date de fin prévisionnelle du congé/absence doit être saisie.</v>
      </c>
      <c r="AU87" s="17" t="s">
        <v>107</v>
      </c>
      <c r="AV87" s="18" t="str">
        <f>VLOOKUP(AU87,'Axe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87" s="17"/>
      <c r="AX87" s="18"/>
      <c r="AY87" s="17"/>
      <c r="AZ87" s="18"/>
      <c r="BA87" s="17"/>
      <c r="BB87" s="18"/>
      <c r="BC87" s="17"/>
      <c r="BD87" s="18"/>
      <c r="BE87" s="17"/>
      <c r="BF87" s="18"/>
      <c r="BG87" s="14" t="s">
        <v>74</v>
      </c>
      <c r="BH87" s="16" t="s">
        <v>74</v>
      </c>
    </row>
    <row r="88" spans="1:60" ht="58" x14ac:dyDescent="0.35">
      <c r="A88" s="14" t="s">
        <v>113</v>
      </c>
      <c r="B88" s="14" t="s">
        <v>62</v>
      </c>
      <c r="C88" s="15">
        <v>44886.494444444441</v>
      </c>
      <c r="D88" s="14" t="s">
        <v>63</v>
      </c>
      <c r="E88" s="16" t="s">
        <v>64</v>
      </c>
      <c r="F88" s="14" t="s">
        <v>65</v>
      </c>
      <c r="G88" s="16" t="s">
        <v>66</v>
      </c>
      <c r="H88" s="14" t="s">
        <v>284</v>
      </c>
      <c r="I88" s="16" t="s">
        <v>285</v>
      </c>
      <c r="J88" s="16" t="s">
        <v>286</v>
      </c>
      <c r="K88" s="16" t="s">
        <v>287</v>
      </c>
      <c r="L88" s="14" t="s">
        <v>288</v>
      </c>
      <c r="M88" s="16" t="s">
        <v>289</v>
      </c>
      <c r="N88" s="14" t="s">
        <v>73</v>
      </c>
      <c r="O88" s="16" t="s">
        <v>74</v>
      </c>
      <c r="P88" s="16" t="s">
        <v>74</v>
      </c>
      <c r="Q88" s="16" t="s">
        <v>114</v>
      </c>
      <c r="R88" s="14" t="s">
        <v>115</v>
      </c>
      <c r="S88" s="14" t="s">
        <v>116</v>
      </c>
      <c r="T88" s="14" t="s">
        <v>78</v>
      </c>
      <c r="U88" s="14" t="s">
        <v>117</v>
      </c>
      <c r="V88" s="15">
        <v>43831</v>
      </c>
      <c r="W88" s="15"/>
      <c r="X88" s="16" t="s">
        <v>74</v>
      </c>
      <c r="Y88" s="17"/>
      <c r="Z88" s="18"/>
      <c r="AA88" s="17"/>
      <c r="AB88" s="18"/>
      <c r="AC88" s="17"/>
      <c r="AD88" s="18"/>
      <c r="AE88" s="17"/>
      <c r="AF88" s="18"/>
      <c r="AG88" s="17"/>
      <c r="AH88" s="18"/>
      <c r="AI88" s="17"/>
      <c r="AJ88" s="18"/>
      <c r="AK88" s="17"/>
      <c r="AL88" s="18"/>
      <c r="AM88" s="17"/>
      <c r="AN88" s="18"/>
      <c r="AO88" s="17"/>
      <c r="AP88" s="18"/>
      <c r="AQ88" s="17"/>
      <c r="AR88" s="18"/>
      <c r="AS88" s="17"/>
      <c r="AT88" s="18"/>
      <c r="AU88" s="17"/>
      <c r="AV88" s="18"/>
      <c r="AW88" s="17"/>
      <c r="AX88" s="18"/>
      <c r="AY88" s="17"/>
      <c r="AZ88" s="18"/>
      <c r="BA88" s="17"/>
      <c r="BB88" s="18"/>
      <c r="BC88" s="17"/>
      <c r="BD88" s="18"/>
      <c r="BE88" s="17"/>
      <c r="BF88" s="18"/>
      <c r="BG88" s="14" t="s">
        <v>74</v>
      </c>
      <c r="BH88" s="16" t="s">
        <v>74</v>
      </c>
    </row>
    <row r="89" spans="1:60" ht="58" x14ac:dyDescent="0.35">
      <c r="A89" s="14" t="s">
        <v>113</v>
      </c>
      <c r="B89" s="14" t="s">
        <v>62</v>
      </c>
      <c r="C89" s="15">
        <v>44886.494444444441</v>
      </c>
      <c r="D89" s="14" t="s">
        <v>63</v>
      </c>
      <c r="E89" s="16" t="s">
        <v>64</v>
      </c>
      <c r="F89" s="14" t="s">
        <v>65</v>
      </c>
      <c r="G89" s="16" t="s">
        <v>66</v>
      </c>
      <c r="H89" s="14" t="s">
        <v>284</v>
      </c>
      <c r="I89" s="16" t="s">
        <v>285</v>
      </c>
      <c r="J89" s="16" t="s">
        <v>286</v>
      </c>
      <c r="K89" s="16" t="s">
        <v>287</v>
      </c>
      <c r="L89" s="14" t="s">
        <v>294</v>
      </c>
      <c r="M89" s="16" t="s">
        <v>295</v>
      </c>
      <c r="N89" s="14" t="s">
        <v>111</v>
      </c>
      <c r="O89" s="16" t="s">
        <v>74</v>
      </c>
      <c r="P89" s="16" t="s">
        <v>74</v>
      </c>
      <c r="Q89" s="16" t="s">
        <v>114</v>
      </c>
      <c r="R89" s="14" t="s">
        <v>115</v>
      </c>
      <c r="S89" s="14" t="s">
        <v>116</v>
      </c>
      <c r="T89" s="14" t="s">
        <v>78</v>
      </c>
      <c r="U89" s="14" t="s">
        <v>117</v>
      </c>
      <c r="V89" s="15">
        <v>43831</v>
      </c>
      <c r="W89" s="15"/>
      <c r="X89" s="16" t="s">
        <v>74</v>
      </c>
      <c r="Y89" s="17"/>
      <c r="Z89" s="18"/>
      <c r="AA89" s="17"/>
      <c r="AB89" s="18"/>
      <c r="AC89" s="17"/>
      <c r="AD89" s="18"/>
      <c r="AE89" s="17"/>
      <c r="AF89" s="18"/>
      <c r="AG89" s="17"/>
      <c r="AH89" s="18"/>
      <c r="AI89" s="17"/>
      <c r="AJ89" s="18"/>
      <c r="AK89" s="17"/>
      <c r="AL89" s="18"/>
      <c r="AM89" s="17"/>
      <c r="AN89" s="18"/>
      <c r="AO89" s="17"/>
      <c r="AP89" s="18"/>
      <c r="AQ89" s="17"/>
      <c r="AR89" s="18"/>
      <c r="AS89" s="17"/>
      <c r="AT89" s="18"/>
      <c r="AU89" s="17"/>
      <c r="AV89" s="18"/>
      <c r="AW89" s="17"/>
      <c r="AX89" s="18"/>
      <c r="AY89" s="17"/>
      <c r="AZ89" s="18"/>
      <c r="BA89" s="17"/>
      <c r="BB89" s="18"/>
      <c r="BC89" s="17"/>
      <c r="BD89" s="18"/>
      <c r="BE89" s="17"/>
      <c r="BF89" s="18"/>
      <c r="BG89" s="14" t="s">
        <v>74</v>
      </c>
      <c r="BH89" s="16" t="s">
        <v>74</v>
      </c>
    </row>
    <row r="90" spans="1:60" ht="130.5" x14ac:dyDescent="0.35">
      <c r="A90" s="14" t="s">
        <v>113</v>
      </c>
      <c r="B90" s="14" t="s">
        <v>116</v>
      </c>
      <c r="C90" s="15">
        <v>44855.473611111112</v>
      </c>
      <c r="D90" s="14" t="s">
        <v>63</v>
      </c>
      <c r="E90" s="16" t="s">
        <v>64</v>
      </c>
      <c r="F90" s="14" t="s">
        <v>65</v>
      </c>
      <c r="G90" s="16" t="s">
        <v>66</v>
      </c>
      <c r="H90" s="14" t="s">
        <v>284</v>
      </c>
      <c r="I90" s="16" t="s">
        <v>285</v>
      </c>
      <c r="J90" s="16" t="s">
        <v>286</v>
      </c>
      <c r="K90" s="16" t="s">
        <v>287</v>
      </c>
      <c r="L90" s="14" t="s">
        <v>288</v>
      </c>
      <c r="M90" s="16" t="s">
        <v>289</v>
      </c>
      <c r="N90" s="14" t="s">
        <v>73</v>
      </c>
      <c r="O90" s="16" t="s">
        <v>74</v>
      </c>
      <c r="P90" s="16" t="s">
        <v>74</v>
      </c>
      <c r="Q90" s="16" t="s">
        <v>118</v>
      </c>
      <c r="R90" s="14" t="s">
        <v>119</v>
      </c>
      <c r="S90" s="14" t="s">
        <v>120</v>
      </c>
      <c r="T90" s="14" t="s">
        <v>78</v>
      </c>
      <c r="U90" s="14" t="s">
        <v>79</v>
      </c>
      <c r="V90" s="15">
        <v>40725</v>
      </c>
      <c r="W90" s="15"/>
      <c r="X90" s="16" t="s">
        <v>297</v>
      </c>
      <c r="Y90" s="17" t="s">
        <v>291</v>
      </c>
      <c r="Z90" s="18" t="str">
        <f>VLOOKUP(Y90,'Axe 2 Règles de gestion'!$D$2:$F$125,3, FALSE)</f>
        <v>L'accord de l'administration est nécessaire.</v>
      </c>
      <c r="AA90" s="17" t="s">
        <v>292</v>
      </c>
      <c r="AB90" s="18" t="str">
        <f>VLOOKUP(AA90,'Axe 2 Règles de gestion'!$D$2:$F$125,3, FALSE)</f>
        <v>La demande de l'agent peut être refusée en cas de nécessité inhérente à la poursuite de la production de biens et de services ou à la continuité du service public.</v>
      </c>
      <c r="AC90" s="17"/>
      <c r="AD90" s="18"/>
      <c r="AE90" s="17"/>
      <c r="AF90" s="18"/>
      <c r="AG90" s="17" t="s">
        <v>190</v>
      </c>
      <c r="AH90" s="18" t="str">
        <f>VLOOKUP(AG90,'Axe 2 Règles de gestion'!$D$2:$F$125,3, FALSE)</f>
        <v>L'agent doit être en activité.</v>
      </c>
      <c r="AI90" s="17"/>
      <c r="AJ90" s="18"/>
      <c r="AK90" s="17" t="s">
        <v>128</v>
      </c>
      <c r="AL90" s="18" t="str">
        <f>VLOOKUP(AK90,'Axe 2 Règles de gestion'!$D$2:$F$125,3, FALSE)</f>
        <v>La date de début du congé/absence doit être postérieure ou égale à la date de début du lien juridique.</v>
      </c>
      <c r="AM90" s="17" t="s">
        <v>95</v>
      </c>
      <c r="AN90" s="18" t="str">
        <f>VLOOKUP(AM90,'Axe 2 Règles de gestion'!$D$2:$F$125,3, FALSE)</f>
        <v>La date de début du congé/absence doit être antérieure ou égale à la date de fin prévisionnelle du congé/absence.</v>
      </c>
      <c r="AO90" s="17" t="s">
        <v>93</v>
      </c>
      <c r="AP90" s="18" t="str">
        <f>VLOOKUP(AO90,'Axe 2 Règles de gestion'!$D$2:$F$125,3, FALSE)</f>
        <v>La date de début du congé/absence doit être antérieure ou égale à la date de fin réelle du congé/absence.</v>
      </c>
      <c r="AQ90" s="17" t="s">
        <v>97</v>
      </c>
      <c r="AR90" s="18" t="str">
        <f>VLOOKUP(AQ90,'Axe 2 Règles de gestion'!$D$2:$F$125,3, FALSE)</f>
        <v>La date de fin réelle du congé/absence doit être antérieure à la date limite de départ à la retraite.</v>
      </c>
      <c r="AS90" s="17" t="s">
        <v>99</v>
      </c>
      <c r="AT90" s="18" t="str">
        <f>VLOOKUP(AS90,'Axe 2 Règles de gestion'!$D$2:$F$125,3, FALSE)</f>
        <v>La date de fin prévisionnelle du congé/absence doit être antérieure à la date limite de départ à la retraite.</v>
      </c>
      <c r="AU90" s="17" t="s">
        <v>130</v>
      </c>
      <c r="AV90" s="18" t="str">
        <f>VLOOKUP(AU90,'Axe 2 Règles de gestion'!$D$2:$F$125,3, FALSE)</f>
        <v>La date de fin réelle du congé/absence doit être antérieure ou égale à la date limite de fin réelle ou prévisionnelle du lien juridique.</v>
      </c>
      <c r="AW90" s="17" t="s">
        <v>132</v>
      </c>
      <c r="AX90" s="18" t="str">
        <f>VLOOKUP(AW90,'Axe 2 Règles de gestion'!$D$2:$F$125,3, FALSE)</f>
        <v>La date de fin prévisionnelle du congé/absence doit être antérieure ou égale à la date limite de fin réelle ou prévisionnelle du lien juridique.</v>
      </c>
      <c r="AY90" s="17" t="s">
        <v>103</v>
      </c>
      <c r="AZ90" s="18" t="str">
        <f>VLOOKUP(AY90,'Axe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90" s="17" t="s">
        <v>105</v>
      </c>
      <c r="BB90" s="18" t="str">
        <f>VLOOKUP(BA90,'Axe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90" s="17" t="s">
        <v>101</v>
      </c>
      <c r="BD90" s="18" t="str">
        <f>VLOOKUP(BC90,'Axe 2 Règles de gestion'!$D$2:$F$125,3, FALSE)</f>
        <v>La date de fin réelle ou la date de fin prévisionnelle du congé/absence doit être saisie.</v>
      </c>
      <c r="BE90" s="17" t="s">
        <v>107</v>
      </c>
      <c r="BF90" s="18" t="str">
        <f>VLOOKUP(BE90,'Axe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90" s="14" t="s">
        <v>74</v>
      </c>
      <c r="BH90" s="16" t="s">
        <v>74</v>
      </c>
    </row>
    <row r="91" spans="1:60" ht="130.5" x14ac:dyDescent="0.35">
      <c r="A91" s="14" t="s">
        <v>113</v>
      </c>
      <c r="B91" s="14" t="s">
        <v>62</v>
      </c>
      <c r="C91" s="15">
        <v>44852.579861111109</v>
      </c>
      <c r="D91" s="14" t="s">
        <v>63</v>
      </c>
      <c r="E91" s="16" t="s">
        <v>64</v>
      </c>
      <c r="F91" s="14" t="s">
        <v>65</v>
      </c>
      <c r="G91" s="16" t="s">
        <v>66</v>
      </c>
      <c r="H91" s="14" t="s">
        <v>284</v>
      </c>
      <c r="I91" s="16" t="s">
        <v>285</v>
      </c>
      <c r="J91" s="16" t="s">
        <v>286</v>
      </c>
      <c r="K91" s="16" t="s">
        <v>287</v>
      </c>
      <c r="L91" s="14" t="s">
        <v>294</v>
      </c>
      <c r="M91" s="16" t="s">
        <v>295</v>
      </c>
      <c r="N91" s="14" t="s">
        <v>111</v>
      </c>
      <c r="O91" s="16" t="s">
        <v>74</v>
      </c>
      <c r="P91" s="16" t="s">
        <v>74</v>
      </c>
      <c r="Q91" s="16" t="s">
        <v>118</v>
      </c>
      <c r="R91" s="14" t="s">
        <v>119</v>
      </c>
      <c r="S91" s="14" t="s">
        <v>120</v>
      </c>
      <c r="T91" s="14" t="s">
        <v>78</v>
      </c>
      <c r="U91" s="14" t="s">
        <v>79</v>
      </c>
      <c r="V91" s="15">
        <v>40725</v>
      </c>
      <c r="W91" s="15"/>
      <c r="X91" s="16" t="s">
        <v>298</v>
      </c>
      <c r="Y91" s="17"/>
      <c r="Z91" s="18"/>
      <c r="AA91" s="17"/>
      <c r="AB91" s="18"/>
      <c r="AC91" s="17"/>
      <c r="AD91" s="18"/>
      <c r="AE91" s="17"/>
      <c r="AF91" s="18"/>
      <c r="AG91" s="17" t="s">
        <v>190</v>
      </c>
      <c r="AH91" s="18" t="str">
        <f>VLOOKUP(AG91,'Axe 2 Règles de gestion'!$D$2:$F$125,3, FALSE)</f>
        <v>L'agent doit être en activité.</v>
      </c>
      <c r="AI91" s="17"/>
      <c r="AJ91" s="18"/>
      <c r="AK91" s="17" t="s">
        <v>128</v>
      </c>
      <c r="AL91" s="18" t="str">
        <f>VLOOKUP(AK91,'Axe 2 Règles de gestion'!$D$2:$F$125,3, FALSE)</f>
        <v>La date de début du congé/absence doit être postérieure ou égale à la date de début du lien juridique.</v>
      </c>
      <c r="AM91" s="17" t="s">
        <v>93</v>
      </c>
      <c r="AN91" s="18" t="str">
        <f>VLOOKUP(AM91,'Axe 2 Règles de gestion'!$D$2:$F$125,3, FALSE)</f>
        <v>La date de début du congé/absence doit être antérieure ou égale à la date de fin réelle du congé/absence.</v>
      </c>
      <c r="AO91" s="17" t="s">
        <v>95</v>
      </c>
      <c r="AP91" s="18" t="str">
        <f>VLOOKUP(AO91,'Axe 2 Règles de gestion'!$D$2:$F$125,3, FALSE)</f>
        <v>La date de début du congé/absence doit être antérieure ou égale à la date de fin prévisionnelle du congé/absence.</v>
      </c>
      <c r="AQ91" s="17" t="s">
        <v>97</v>
      </c>
      <c r="AR91" s="18" t="str">
        <f>VLOOKUP(AQ91,'Axe 2 Règles de gestion'!$D$2:$F$125,3, FALSE)</f>
        <v>La date de fin réelle du congé/absence doit être antérieure à la date limite de départ à la retraite.</v>
      </c>
      <c r="AS91" s="17" t="s">
        <v>99</v>
      </c>
      <c r="AT91" s="18" t="str">
        <f>VLOOKUP(AS91,'Axe 2 Règles de gestion'!$D$2:$F$125,3, FALSE)</f>
        <v>La date de fin prévisionnelle du congé/absence doit être antérieure à la date limite de départ à la retraite.</v>
      </c>
      <c r="AU91" s="17" t="s">
        <v>130</v>
      </c>
      <c r="AV91" s="18" t="str">
        <f>VLOOKUP(AU91,'Axe 2 Règles de gestion'!$D$2:$F$125,3, FALSE)</f>
        <v>La date de fin réelle du congé/absence doit être antérieure ou égale à la date limite de fin réelle ou prévisionnelle du lien juridique.</v>
      </c>
      <c r="AW91" s="17" t="s">
        <v>132</v>
      </c>
      <c r="AX91" s="18" t="str">
        <f>VLOOKUP(AW91,'Axe 2 Règles de gestion'!$D$2:$F$125,3, FALSE)</f>
        <v>La date de fin prévisionnelle du congé/absence doit être antérieure ou égale à la date limite de fin réelle ou prévisionnelle du lien juridique.</v>
      </c>
      <c r="AY91" s="17" t="s">
        <v>103</v>
      </c>
      <c r="AZ91" s="18" t="str">
        <f>VLOOKUP(AY91,'Axe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91" s="17" t="s">
        <v>105</v>
      </c>
      <c r="BB91" s="18" t="str">
        <f>VLOOKUP(BA91,'Axe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91" s="17" t="s">
        <v>101</v>
      </c>
      <c r="BD91" s="18" t="str">
        <f>VLOOKUP(BC91,'Axe 2 Règles de gestion'!$D$2:$F$125,3, FALSE)</f>
        <v>La date de fin réelle ou la date de fin prévisionnelle du congé/absence doit être saisie.</v>
      </c>
      <c r="BE91" s="17" t="s">
        <v>107</v>
      </c>
      <c r="BF91" s="18" t="str">
        <f>VLOOKUP(BE91,'Axe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91" s="14" t="s">
        <v>74</v>
      </c>
      <c r="BH91" s="16" t="s">
        <v>74</v>
      </c>
    </row>
    <row r="92" spans="1:60" ht="58" x14ac:dyDescent="0.35">
      <c r="A92" s="14" t="s">
        <v>113</v>
      </c>
      <c r="B92" s="14" t="s">
        <v>62</v>
      </c>
      <c r="C92" s="15">
        <v>44852.493055555555</v>
      </c>
      <c r="D92" s="14" t="s">
        <v>63</v>
      </c>
      <c r="E92" s="16" t="s">
        <v>64</v>
      </c>
      <c r="F92" s="14" t="s">
        <v>65</v>
      </c>
      <c r="G92" s="16" t="s">
        <v>66</v>
      </c>
      <c r="H92" s="14" t="s">
        <v>284</v>
      </c>
      <c r="I92" s="16" t="s">
        <v>285</v>
      </c>
      <c r="J92" s="16" t="s">
        <v>286</v>
      </c>
      <c r="K92" s="16" t="s">
        <v>287</v>
      </c>
      <c r="L92" s="14" t="s">
        <v>288</v>
      </c>
      <c r="M92" s="16" t="s">
        <v>289</v>
      </c>
      <c r="N92" s="14" t="s">
        <v>73</v>
      </c>
      <c r="O92" s="16" t="s">
        <v>74</v>
      </c>
      <c r="P92" s="16" t="s">
        <v>74</v>
      </c>
      <c r="Q92" s="16" t="s">
        <v>137</v>
      </c>
      <c r="R92" s="14" t="s">
        <v>138</v>
      </c>
      <c r="S92" s="14" t="s">
        <v>139</v>
      </c>
      <c r="T92" s="14" t="s">
        <v>78</v>
      </c>
      <c r="U92" s="14" t="s">
        <v>117</v>
      </c>
      <c r="V92" s="15">
        <v>40725</v>
      </c>
      <c r="W92" s="15"/>
      <c r="X92" s="16" t="s">
        <v>74</v>
      </c>
      <c r="Y92" s="17"/>
      <c r="Z92" s="18"/>
      <c r="AA92" s="17"/>
      <c r="AB92" s="18"/>
      <c r="AC92" s="17"/>
      <c r="AD92" s="18"/>
      <c r="AE92" s="17"/>
      <c r="AF92" s="18"/>
      <c r="AG92" s="17"/>
      <c r="AH92" s="18"/>
      <c r="AI92" s="17"/>
      <c r="AJ92" s="18"/>
      <c r="AK92" s="17"/>
      <c r="AL92" s="18"/>
      <c r="AM92" s="17"/>
      <c r="AN92" s="18"/>
      <c r="AO92" s="17"/>
      <c r="AP92" s="18"/>
      <c r="AQ92" s="17"/>
      <c r="AR92" s="18"/>
      <c r="AS92" s="17"/>
      <c r="AT92" s="18"/>
      <c r="AU92" s="17"/>
      <c r="AV92" s="18"/>
      <c r="AW92" s="17"/>
      <c r="AX92" s="18"/>
      <c r="AY92" s="17"/>
      <c r="AZ92" s="18"/>
      <c r="BA92" s="17"/>
      <c r="BB92" s="18"/>
      <c r="BC92" s="17"/>
      <c r="BD92" s="18"/>
      <c r="BE92" s="17"/>
      <c r="BF92" s="18"/>
      <c r="BG92" s="14" t="s">
        <v>74</v>
      </c>
      <c r="BH92" s="16" t="s">
        <v>74</v>
      </c>
    </row>
    <row r="93" spans="1:60" ht="58" x14ac:dyDescent="0.35">
      <c r="A93" s="14" t="s">
        <v>113</v>
      </c>
      <c r="B93" s="14" t="s">
        <v>62</v>
      </c>
      <c r="C93" s="15">
        <v>44852.580555555556</v>
      </c>
      <c r="D93" s="14" t="s">
        <v>63</v>
      </c>
      <c r="E93" s="16" t="s">
        <v>64</v>
      </c>
      <c r="F93" s="14" t="s">
        <v>65</v>
      </c>
      <c r="G93" s="16" t="s">
        <v>66</v>
      </c>
      <c r="H93" s="14" t="s">
        <v>284</v>
      </c>
      <c r="I93" s="16" t="s">
        <v>285</v>
      </c>
      <c r="J93" s="16" t="s">
        <v>286</v>
      </c>
      <c r="K93" s="16" t="s">
        <v>287</v>
      </c>
      <c r="L93" s="14" t="s">
        <v>294</v>
      </c>
      <c r="M93" s="16" t="s">
        <v>295</v>
      </c>
      <c r="N93" s="14" t="s">
        <v>111</v>
      </c>
      <c r="O93" s="16" t="s">
        <v>74</v>
      </c>
      <c r="P93" s="16" t="s">
        <v>74</v>
      </c>
      <c r="Q93" s="16" t="s">
        <v>137</v>
      </c>
      <c r="R93" s="14" t="s">
        <v>138</v>
      </c>
      <c r="S93" s="14" t="s">
        <v>139</v>
      </c>
      <c r="T93" s="14" t="s">
        <v>78</v>
      </c>
      <c r="U93" s="14" t="s">
        <v>117</v>
      </c>
      <c r="V93" s="15">
        <v>40725</v>
      </c>
      <c r="W93" s="15"/>
      <c r="X93" s="16" t="s">
        <v>74</v>
      </c>
      <c r="Y93" s="17"/>
      <c r="Z93" s="18"/>
      <c r="AA93" s="17"/>
      <c r="AB93" s="18"/>
      <c r="AC93" s="17"/>
      <c r="AD93" s="18"/>
      <c r="AE93" s="17"/>
      <c r="AF93" s="18"/>
      <c r="AG93" s="17"/>
      <c r="AH93" s="18"/>
      <c r="AI93" s="17"/>
      <c r="AJ93" s="18"/>
      <c r="AK93" s="17"/>
      <c r="AL93" s="18"/>
      <c r="AM93" s="17"/>
      <c r="AN93" s="18"/>
      <c r="AO93" s="17"/>
      <c r="AP93" s="18"/>
      <c r="AQ93" s="17"/>
      <c r="AR93" s="18"/>
      <c r="AS93" s="17"/>
      <c r="AT93" s="18"/>
      <c r="AU93" s="17"/>
      <c r="AV93" s="18"/>
      <c r="AW93" s="17"/>
      <c r="AX93" s="18"/>
      <c r="AY93" s="17"/>
      <c r="AZ93" s="18"/>
      <c r="BA93" s="17"/>
      <c r="BB93" s="18"/>
      <c r="BC93" s="17"/>
      <c r="BD93" s="18"/>
      <c r="BE93" s="17"/>
      <c r="BF93" s="18"/>
      <c r="BG93" s="14" t="s">
        <v>74</v>
      </c>
      <c r="BH93" s="16" t="s">
        <v>74</v>
      </c>
    </row>
    <row r="94" spans="1:60" ht="58" x14ac:dyDescent="0.35">
      <c r="A94" s="14" t="s">
        <v>113</v>
      </c>
      <c r="B94" s="14" t="s">
        <v>62</v>
      </c>
      <c r="C94" s="15">
        <v>44852.493055555555</v>
      </c>
      <c r="D94" s="14" t="s">
        <v>63</v>
      </c>
      <c r="E94" s="16" t="s">
        <v>64</v>
      </c>
      <c r="F94" s="14" t="s">
        <v>65</v>
      </c>
      <c r="G94" s="16" t="s">
        <v>66</v>
      </c>
      <c r="H94" s="14" t="s">
        <v>284</v>
      </c>
      <c r="I94" s="16" t="s">
        <v>285</v>
      </c>
      <c r="J94" s="16" t="s">
        <v>286</v>
      </c>
      <c r="K94" s="16" t="s">
        <v>287</v>
      </c>
      <c r="L94" s="14" t="s">
        <v>288</v>
      </c>
      <c r="M94" s="16" t="s">
        <v>289</v>
      </c>
      <c r="N94" s="14" t="s">
        <v>73</v>
      </c>
      <c r="O94" s="16" t="s">
        <v>74</v>
      </c>
      <c r="P94" s="16" t="s">
        <v>74</v>
      </c>
      <c r="Q94" s="16" t="s">
        <v>140</v>
      </c>
      <c r="R94" s="14" t="s">
        <v>141</v>
      </c>
      <c r="S94" s="14" t="s">
        <v>142</v>
      </c>
      <c r="T94" s="14" t="s">
        <v>78</v>
      </c>
      <c r="U94" s="14" t="s">
        <v>117</v>
      </c>
      <c r="V94" s="15">
        <v>40725</v>
      </c>
      <c r="W94" s="15"/>
      <c r="X94" s="16" t="s">
        <v>74</v>
      </c>
      <c r="Y94" s="17"/>
      <c r="Z94" s="18"/>
      <c r="AA94" s="17"/>
      <c r="AB94" s="18"/>
      <c r="AC94" s="17"/>
      <c r="AD94" s="18"/>
      <c r="AE94" s="17"/>
      <c r="AF94" s="18"/>
      <c r="AG94" s="17"/>
      <c r="AH94" s="18"/>
      <c r="AI94" s="17"/>
      <c r="AJ94" s="18"/>
      <c r="AK94" s="17"/>
      <c r="AL94" s="18"/>
      <c r="AM94" s="17"/>
      <c r="AN94" s="18"/>
      <c r="AO94" s="17"/>
      <c r="AP94" s="18"/>
      <c r="AQ94" s="17"/>
      <c r="AR94" s="18"/>
      <c r="AS94" s="17"/>
      <c r="AT94" s="18"/>
      <c r="AU94" s="17"/>
      <c r="AV94" s="18"/>
      <c r="AW94" s="17"/>
      <c r="AX94" s="18"/>
      <c r="AY94" s="17"/>
      <c r="AZ94" s="18"/>
      <c r="BA94" s="17"/>
      <c r="BB94" s="18"/>
      <c r="BC94" s="17"/>
      <c r="BD94" s="18"/>
      <c r="BE94" s="17"/>
      <c r="BF94" s="18"/>
      <c r="BG94" s="14" t="s">
        <v>74</v>
      </c>
      <c r="BH94" s="16" t="s">
        <v>74</v>
      </c>
    </row>
    <row r="95" spans="1:60" ht="58" x14ac:dyDescent="0.35">
      <c r="A95" s="14" t="s">
        <v>113</v>
      </c>
      <c r="B95" s="14" t="s">
        <v>62</v>
      </c>
      <c r="C95" s="15">
        <v>44852.580555555556</v>
      </c>
      <c r="D95" s="14" t="s">
        <v>63</v>
      </c>
      <c r="E95" s="16" t="s">
        <v>64</v>
      </c>
      <c r="F95" s="14" t="s">
        <v>65</v>
      </c>
      <c r="G95" s="16" t="s">
        <v>66</v>
      </c>
      <c r="H95" s="14" t="s">
        <v>284</v>
      </c>
      <c r="I95" s="16" t="s">
        <v>285</v>
      </c>
      <c r="J95" s="16" t="s">
        <v>286</v>
      </c>
      <c r="K95" s="16" t="s">
        <v>287</v>
      </c>
      <c r="L95" s="14" t="s">
        <v>294</v>
      </c>
      <c r="M95" s="16" t="s">
        <v>295</v>
      </c>
      <c r="N95" s="14" t="s">
        <v>111</v>
      </c>
      <c r="O95" s="16" t="s">
        <v>74</v>
      </c>
      <c r="P95" s="16" t="s">
        <v>74</v>
      </c>
      <c r="Q95" s="16" t="s">
        <v>140</v>
      </c>
      <c r="R95" s="14" t="s">
        <v>141</v>
      </c>
      <c r="S95" s="14" t="s">
        <v>142</v>
      </c>
      <c r="T95" s="14" t="s">
        <v>78</v>
      </c>
      <c r="U95" s="14" t="s">
        <v>117</v>
      </c>
      <c r="V95" s="15">
        <v>40725</v>
      </c>
      <c r="W95" s="15"/>
      <c r="X95" s="16" t="s">
        <v>74</v>
      </c>
      <c r="Y95" s="17"/>
      <c r="Z95" s="18"/>
      <c r="AA95" s="17"/>
      <c r="AB95" s="18"/>
      <c r="AC95" s="17"/>
      <c r="AD95" s="18"/>
      <c r="AE95" s="17"/>
      <c r="AF95" s="18"/>
      <c r="AG95" s="17"/>
      <c r="AH95" s="18"/>
      <c r="AI95" s="17"/>
      <c r="AJ95" s="18"/>
      <c r="AK95" s="17"/>
      <c r="AL95" s="18"/>
      <c r="AM95" s="17"/>
      <c r="AN95" s="18"/>
      <c r="AO95" s="17"/>
      <c r="AP95" s="18"/>
      <c r="AQ95" s="17"/>
      <c r="AR95" s="18"/>
      <c r="AS95" s="17"/>
      <c r="AT95" s="18"/>
      <c r="AU95" s="17"/>
      <c r="AV95" s="18"/>
      <c r="AW95" s="17"/>
      <c r="AX95" s="18"/>
      <c r="AY95" s="17"/>
      <c r="AZ95" s="18"/>
      <c r="BA95" s="17"/>
      <c r="BB95" s="18"/>
      <c r="BC95" s="17"/>
      <c r="BD95" s="18"/>
      <c r="BE95" s="17"/>
      <c r="BF95" s="18"/>
      <c r="BG95" s="14" t="s">
        <v>74</v>
      </c>
      <c r="BH95" s="16" t="s">
        <v>74</v>
      </c>
    </row>
    <row r="96" spans="1:60" ht="130.5" x14ac:dyDescent="0.35">
      <c r="A96" s="14" t="s">
        <v>113</v>
      </c>
      <c r="B96" s="14" t="s">
        <v>62</v>
      </c>
      <c r="C96" s="15">
        <v>44852.57916666667</v>
      </c>
      <c r="D96" s="14" t="s">
        <v>63</v>
      </c>
      <c r="E96" s="16" t="s">
        <v>64</v>
      </c>
      <c r="F96" s="14" t="s">
        <v>65</v>
      </c>
      <c r="G96" s="16" t="s">
        <v>66</v>
      </c>
      <c r="H96" s="14" t="s">
        <v>284</v>
      </c>
      <c r="I96" s="16" t="s">
        <v>285</v>
      </c>
      <c r="J96" s="16" t="s">
        <v>286</v>
      </c>
      <c r="K96" s="16" t="s">
        <v>287</v>
      </c>
      <c r="L96" s="14" t="s">
        <v>288</v>
      </c>
      <c r="M96" s="16" t="s">
        <v>289</v>
      </c>
      <c r="N96" s="14" t="s">
        <v>73</v>
      </c>
      <c r="O96" s="16" t="s">
        <v>74</v>
      </c>
      <c r="P96" s="16" t="s">
        <v>74</v>
      </c>
      <c r="Q96" s="16" t="s">
        <v>143</v>
      </c>
      <c r="R96" s="14" t="s">
        <v>144</v>
      </c>
      <c r="S96" s="14" t="s">
        <v>77</v>
      </c>
      <c r="T96" s="14" t="s">
        <v>145</v>
      </c>
      <c r="U96" s="14" t="s">
        <v>79</v>
      </c>
      <c r="V96" s="15">
        <v>40725</v>
      </c>
      <c r="W96" s="15"/>
      <c r="X96" s="16" t="s">
        <v>299</v>
      </c>
      <c r="Y96" s="17" t="s">
        <v>300</v>
      </c>
      <c r="Z96" s="18" t="str">
        <f>VLOOKUP(Y96,'Axe 2 Règles de gestion'!$D$2:$F$125,3, FALSE)</f>
        <v>L'agent bénéficie des dispositions applicables aux agents titulaires pour la période d'activité effectuée au sein de la réserve sanitaire.</v>
      </c>
      <c r="AA96" s="17" t="s">
        <v>291</v>
      </c>
      <c r="AB96" s="18" t="str">
        <f>VLOOKUP(AA96,'Axe 2 Règles de gestion'!$D$2:$F$125,3, FALSE)</f>
        <v>L'accord de l'administration est nécessaire.</v>
      </c>
      <c r="AC96" s="17" t="s">
        <v>292</v>
      </c>
      <c r="AD96" s="18" t="str">
        <f>VLOOKUP(AC96,'Axe 2 Règles de gestion'!$D$2:$F$125,3, FALSE)</f>
        <v>La demande de l'agent peut être refusée en cas de nécessité inhérente à la poursuite de la production de biens et de services ou à la continuité du service public.</v>
      </c>
      <c r="AE96" s="17"/>
      <c r="AF96" s="18"/>
      <c r="AG96" s="17" t="s">
        <v>190</v>
      </c>
      <c r="AH96" s="18" t="str">
        <f>VLOOKUP(AG96,'Axe 2 Règles de gestion'!$D$2:$F$125,3, FALSE)</f>
        <v>L'agent doit être en activité.</v>
      </c>
      <c r="AI96" s="17"/>
      <c r="AJ96" s="18"/>
      <c r="AK96" s="17" t="s">
        <v>91</v>
      </c>
      <c r="AL96" s="18" t="str">
        <f>VLOOKUP(AK96,'Axe 2 Règles de gestion'!$D$2:$F$125,3, FALSE)</f>
        <v>La date de début du congé/absence doit être postérieure ou égale à la date de recrutement dans la FPE ou dans la carrière militaire.</v>
      </c>
      <c r="AM96" s="17" t="s">
        <v>93</v>
      </c>
      <c r="AN96" s="18" t="str">
        <f>VLOOKUP(AM96,'Axe 2 Règles de gestion'!$D$2:$F$125,3, FALSE)</f>
        <v>La date de début du congé/absence doit être antérieure ou égale à la date de fin réelle du congé/absence.</v>
      </c>
      <c r="AO96" s="17" t="s">
        <v>95</v>
      </c>
      <c r="AP96" s="18" t="str">
        <f>VLOOKUP(AO96,'Axe 2 Règles de gestion'!$D$2:$F$125,3, FALSE)</f>
        <v>La date de début du congé/absence doit être antérieure ou égale à la date de fin prévisionnelle du congé/absence.</v>
      </c>
      <c r="AQ96" s="17" t="s">
        <v>97</v>
      </c>
      <c r="AR96" s="18" t="str">
        <f>VLOOKUP(AQ96,'Axe 2 Règles de gestion'!$D$2:$F$125,3, FALSE)</f>
        <v>La date de fin réelle du congé/absence doit être antérieure à la date limite de départ à la retraite.</v>
      </c>
      <c r="AS96" s="17" t="s">
        <v>99</v>
      </c>
      <c r="AT96" s="18" t="str">
        <f>VLOOKUP(AS96,'Axe 2 Règles de gestion'!$D$2:$F$125,3, FALSE)</f>
        <v>La date de fin prévisionnelle du congé/absence doit être antérieure à la date limite de départ à la retraite.</v>
      </c>
      <c r="AU96" s="17" t="s">
        <v>101</v>
      </c>
      <c r="AV96" s="18" t="str">
        <f>VLOOKUP(AU96,'Axe 2 Règles de gestion'!$D$2:$F$125,3, FALSE)</f>
        <v>La date de fin réelle ou la date de fin prévisionnelle du congé/absence doit être saisie.</v>
      </c>
      <c r="AW96" s="17" t="s">
        <v>103</v>
      </c>
      <c r="AX96" s="18" t="str">
        <f>VLOOKUP(AW96,'Axe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96" s="17" t="s">
        <v>105</v>
      </c>
      <c r="AZ96" s="18" t="str">
        <f>VLOOKUP(AY96,'Axe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96" s="17" t="s">
        <v>107</v>
      </c>
      <c r="BB96" s="18" t="str">
        <f>VLOOKUP(BA96,'Axe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96" s="17"/>
      <c r="BD96" s="18"/>
      <c r="BE96" s="17"/>
      <c r="BF96" s="18"/>
      <c r="BG96" s="14" t="s">
        <v>74</v>
      </c>
      <c r="BH96" s="16" t="s">
        <v>74</v>
      </c>
    </row>
    <row r="97" spans="1:60" ht="116" x14ac:dyDescent="0.35">
      <c r="A97" s="14" t="s">
        <v>113</v>
      </c>
      <c r="B97" s="14" t="s">
        <v>62</v>
      </c>
      <c r="C97" s="15">
        <v>44852.614583333336</v>
      </c>
      <c r="D97" s="14" t="s">
        <v>63</v>
      </c>
      <c r="E97" s="16" t="s">
        <v>64</v>
      </c>
      <c r="F97" s="14" t="s">
        <v>65</v>
      </c>
      <c r="G97" s="16" t="s">
        <v>66</v>
      </c>
      <c r="H97" s="14" t="s">
        <v>284</v>
      </c>
      <c r="I97" s="16" t="s">
        <v>285</v>
      </c>
      <c r="J97" s="16" t="s">
        <v>286</v>
      </c>
      <c r="K97" s="16" t="s">
        <v>287</v>
      </c>
      <c r="L97" s="14" t="s">
        <v>294</v>
      </c>
      <c r="M97" s="16" t="s">
        <v>295</v>
      </c>
      <c r="N97" s="14" t="s">
        <v>111</v>
      </c>
      <c r="O97" s="16" t="s">
        <v>74</v>
      </c>
      <c r="P97" s="16" t="s">
        <v>74</v>
      </c>
      <c r="Q97" s="16" t="s">
        <v>143</v>
      </c>
      <c r="R97" s="14" t="s">
        <v>144</v>
      </c>
      <c r="S97" s="14" t="s">
        <v>77</v>
      </c>
      <c r="T97" s="14" t="s">
        <v>145</v>
      </c>
      <c r="U97" s="14" t="s">
        <v>79</v>
      </c>
      <c r="V97" s="15">
        <v>40725</v>
      </c>
      <c r="W97" s="15"/>
      <c r="X97" s="16" t="s">
        <v>296</v>
      </c>
      <c r="Y97" s="17"/>
      <c r="Z97" s="18"/>
      <c r="AA97" s="17"/>
      <c r="AB97" s="18"/>
      <c r="AC97" s="17"/>
      <c r="AD97" s="18"/>
      <c r="AE97" s="17"/>
      <c r="AF97" s="18"/>
      <c r="AG97" s="17" t="s">
        <v>190</v>
      </c>
      <c r="AH97" s="18" t="str">
        <f>VLOOKUP(AG97,'Axe 2 Règles de gestion'!$D$2:$F$125,3, FALSE)</f>
        <v>L'agent doit être en activité.</v>
      </c>
      <c r="AI97" s="17"/>
      <c r="AJ97" s="18"/>
      <c r="AK97" s="17" t="s">
        <v>93</v>
      </c>
      <c r="AL97" s="18" t="str">
        <f>VLOOKUP(AK97,'Axe 2 Règles de gestion'!$D$2:$F$125,3, FALSE)</f>
        <v>La date de début du congé/absence doit être antérieure ou égale à la date de fin réelle du congé/absence.</v>
      </c>
      <c r="AM97" s="17" t="s">
        <v>95</v>
      </c>
      <c r="AN97" s="18" t="str">
        <f>VLOOKUP(AM97,'Axe 2 Règles de gestion'!$D$2:$F$125,3, FALSE)</f>
        <v>La date de début du congé/absence doit être antérieure ou égale à la date de fin prévisionnelle du congé/absence.</v>
      </c>
      <c r="AO97" s="17" t="s">
        <v>97</v>
      </c>
      <c r="AP97" s="18" t="str">
        <f>VLOOKUP(AO97,'Axe 2 Règles de gestion'!$D$2:$F$125,3, FALSE)</f>
        <v>La date de fin réelle du congé/absence doit être antérieure à la date limite de départ à la retraite.</v>
      </c>
      <c r="AQ97" s="17" t="s">
        <v>99</v>
      </c>
      <c r="AR97" s="18" t="str">
        <f>VLOOKUP(AQ97,'Axe 2 Règles de gestion'!$D$2:$F$125,3, FALSE)</f>
        <v>La date de fin prévisionnelle du congé/absence doit être antérieure à la date limite de départ à la retraite.</v>
      </c>
      <c r="AS97" s="17" t="s">
        <v>101</v>
      </c>
      <c r="AT97" s="18" t="str">
        <f>VLOOKUP(AS97,'Axe 2 Règles de gestion'!$D$2:$F$125,3, FALSE)</f>
        <v>La date de fin réelle ou la date de fin prévisionnelle du congé/absence doit être saisie.</v>
      </c>
      <c r="AU97" s="17" t="s">
        <v>107</v>
      </c>
      <c r="AV97" s="18" t="str">
        <f>VLOOKUP(AU97,'Axe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97" s="17"/>
      <c r="AX97" s="18"/>
      <c r="AY97" s="17"/>
      <c r="AZ97" s="18"/>
      <c r="BA97" s="17"/>
      <c r="BB97" s="18"/>
      <c r="BC97" s="17"/>
      <c r="BD97" s="18"/>
      <c r="BE97" s="17"/>
      <c r="BF97" s="18"/>
      <c r="BG97" s="14" t="s">
        <v>74</v>
      </c>
      <c r="BH97" s="16" t="s">
        <v>74</v>
      </c>
    </row>
    <row r="98" spans="1:60" ht="130.5" x14ac:dyDescent="0.35">
      <c r="A98" s="14" t="s">
        <v>113</v>
      </c>
      <c r="B98" s="14" t="s">
        <v>62</v>
      </c>
      <c r="C98" s="15">
        <v>44852.57916666667</v>
      </c>
      <c r="D98" s="14" t="s">
        <v>63</v>
      </c>
      <c r="E98" s="16" t="s">
        <v>64</v>
      </c>
      <c r="F98" s="14" t="s">
        <v>65</v>
      </c>
      <c r="G98" s="16" t="s">
        <v>66</v>
      </c>
      <c r="H98" s="14" t="s">
        <v>284</v>
      </c>
      <c r="I98" s="16" t="s">
        <v>285</v>
      </c>
      <c r="J98" s="16" t="s">
        <v>286</v>
      </c>
      <c r="K98" s="16" t="s">
        <v>287</v>
      </c>
      <c r="L98" s="14" t="s">
        <v>288</v>
      </c>
      <c r="M98" s="16" t="s">
        <v>289</v>
      </c>
      <c r="N98" s="14" t="s">
        <v>73</v>
      </c>
      <c r="O98" s="16" t="s">
        <v>74</v>
      </c>
      <c r="P98" s="16" t="s">
        <v>74</v>
      </c>
      <c r="Q98" s="16" t="s">
        <v>153</v>
      </c>
      <c r="R98" s="14" t="s">
        <v>154</v>
      </c>
      <c r="S98" s="14" t="s">
        <v>120</v>
      </c>
      <c r="T98" s="14" t="s">
        <v>145</v>
      </c>
      <c r="U98" s="14" t="s">
        <v>79</v>
      </c>
      <c r="V98" s="15">
        <v>40725</v>
      </c>
      <c r="W98" s="15"/>
      <c r="X98" s="16" t="s">
        <v>302</v>
      </c>
      <c r="Y98" s="17" t="s">
        <v>303</v>
      </c>
      <c r="Z98" s="18" t="str">
        <f>VLOOKUP(Y98,'Axe 2 Règles de gestion'!$D$2:$F$125,3, FALSE)</f>
        <v>L'agent bénéficie des dispositions applicables aux agents titulaires pour la période d'activité effectuée au sein de la réserve sanitaire.</v>
      </c>
      <c r="AA98" s="17" t="s">
        <v>291</v>
      </c>
      <c r="AB98" s="18" t="str">
        <f>VLOOKUP(AA98,'Axe 2 Règles de gestion'!$D$2:$F$125,3, FALSE)</f>
        <v>L'accord de l'administration est nécessaire.</v>
      </c>
      <c r="AC98" s="17" t="s">
        <v>292</v>
      </c>
      <c r="AD98" s="18" t="str">
        <f>VLOOKUP(AC98,'Axe 2 Règles de gestion'!$D$2:$F$125,3, FALSE)</f>
        <v>La demande de l'agent peut être refusée en cas de nécessité inhérente à la poursuite de la production de biens et de services ou à la continuité du service public.</v>
      </c>
      <c r="AE98" s="17"/>
      <c r="AF98" s="18"/>
      <c r="AG98" s="17" t="s">
        <v>190</v>
      </c>
      <c r="AH98" s="18" t="str">
        <f>VLOOKUP(AG98,'Axe 2 Règles de gestion'!$D$2:$F$125,3, FALSE)</f>
        <v>L'agent doit être en activité.</v>
      </c>
      <c r="AI98" s="17"/>
      <c r="AJ98" s="18"/>
      <c r="AK98" s="17" t="s">
        <v>91</v>
      </c>
      <c r="AL98" s="18" t="str">
        <f>VLOOKUP(AK98,'Axe 2 Règles de gestion'!$D$2:$F$125,3, FALSE)</f>
        <v>La date de début du congé/absence doit être postérieure ou égale à la date de recrutement dans la FPE ou dans la carrière militaire.</v>
      </c>
      <c r="AM98" s="17" t="s">
        <v>93</v>
      </c>
      <c r="AN98" s="18" t="str">
        <f>VLOOKUP(AM98,'Axe 2 Règles de gestion'!$D$2:$F$125,3, FALSE)</f>
        <v>La date de début du congé/absence doit être antérieure ou égale à la date de fin réelle du congé/absence.</v>
      </c>
      <c r="AO98" s="17" t="s">
        <v>95</v>
      </c>
      <c r="AP98" s="18" t="str">
        <f>VLOOKUP(AO98,'Axe 2 Règles de gestion'!$D$2:$F$125,3, FALSE)</f>
        <v>La date de début du congé/absence doit être antérieure ou égale à la date de fin prévisionnelle du congé/absence.</v>
      </c>
      <c r="AQ98" s="17" t="s">
        <v>97</v>
      </c>
      <c r="AR98" s="18" t="str">
        <f>VLOOKUP(AQ98,'Axe 2 Règles de gestion'!$D$2:$F$125,3, FALSE)</f>
        <v>La date de fin réelle du congé/absence doit être antérieure à la date limite de départ à la retraite.</v>
      </c>
      <c r="AS98" s="17" t="s">
        <v>99</v>
      </c>
      <c r="AT98" s="18" t="str">
        <f>VLOOKUP(AS98,'Axe 2 Règles de gestion'!$D$2:$F$125,3, FALSE)</f>
        <v>La date de fin prévisionnelle du congé/absence doit être antérieure à la date limite de départ à la retraite.</v>
      </c>
      <c r="AU98" s="17" t="s">
        <v>101</v>
      </c>
      <c r="AV98" s="18" t="str">
        <f>VLOOKUP(AU98,'Axe 2 Règles de gestion'!$D$2:$F$125,3, FALSE)</f>
        <v>La date de fin réelle ou la date de fin prévisionnelle du congé/absence doit être saisie.</v>
      </c>
      <c r="AW98" s="17" t="s">
        <v>103</v>
      </c>
      <c r="AX98" s="18" t="str">
        <f>VLOOKUP(AW98,'Axe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98" s="17" t="s">
        <v>105</v>
      </c>
      <c r="AZ98" s="18" t="str">
        <f>VLOOKUP(AY98,'Axe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98" s="17" t="s">
        <v>107</v>
      </c>
      <c r="BB98" s="18" t="str">
        <f>VLOOKUP(BA98,'Axe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98" s="17"/>
      <c r="BD98" s="18"/>
      <c r="BE98" s="17"/>
      <c r="BF98" s="18"/>
      <c r="BG98" s="14" t="s">
        <v>74</v>
      </c>
      <c r="BH98" s="16" t="s">
        <v>74</v>
      </c>
    </row>
    <row r="99" spans="1:60" ht="116" x14ac:dyDescent="0.35">
      <c r="A99" s="14" t="s">
        <v>113</v>
      </c>
      <c r="B99" s="14" t="s">
        <v>62</v>
      </c>
      <c r="C99" s="15">
        <v>44852.614583333336</v>
      </c>
      <c r="D99" s="14" t="s">
        <v>63</v>
      </c>
      <c r="E99" s="16" t="s">
        <v>64</v>
      </c>
      <c r="F99" s="14" t="s">
        <v>65</v>
      </c>
      <c r="G99" s="16" t="s">
        <v>66</v>
      </c>
      <c r="H99" s="14" t="s">
        <v>284</v>
      </c>
      <c r="I99" s="16" t="s">
        <v>285</v>
      </c>
      <c r="J99" s="16" t="s">
        <v>286</v>
      </c>
      <c r="K99" s="16" t="s">
        <v>287</v>
      </c>
      <c r="L99" s="14" t="s">
        <v>294</v>
      </c>
      <c r="M99" s="16" t="s">
        <v>295</v>
      </c>
      <c r="N99" s="14" t="s">
        <v>111</v>
      </c>
      <c r="O99" s="16" t="s">
        <v>74</v>
      </c>
      <c r="P99" s="16" t="s">
        <v>74</v>
      </c>
      <c r="Q99" s="16" t="s">
        <v>153</v>
      </c>
      <c r="R99" s="14" t="s">
        <v>154</v>
      </c>
      <c r="S99" s="14" t="s">
        <v>120</v>
      </c>
      <c r="T99" s="14" t="s">
        <v>145</v>
      </c>
      <c r="U99" s="14" t="s">
        <v>79</v>
      </c>
      <c r="V99" s="15">
        <v>40725</v>
      </c>
      <c r="W99" s="15"/>
      <c r="X99" s="16" t="s">
        <v>296</v>
      </c>
      <c r="Y99" s="17"/>
      <c r="Z99" s="18"/>
      <c r="AA99" s="17"/>
      <c r="AB99" s="18"/>
      <c r="AC99" s="17"/>
      <c r="AD99" s="18"/>
      <c r="AE99" s="17"/>
      <c r="AF99" s="18"/>
      <c r="AG99" s="17" t="s">
        <v>190</v>
      </c>
      <c r="AH99" s="18" t="str">
        <f>VLOOKUP(AG99,'Axe 2 Règles de gestion'!$D$2:$F$125,3, FALSE)</f>
        <v>L'agent doit être en activité.</v>
      </c>
      <c r="AI99" s="17"/>
      <c r="AJ99" s="18"/>
      <c r="AK99" s="17" t="s">
        <v>93</v>
      </c>
      <c r="AL99" s="18" t="str">
        <f>VLOOKUP(AK99,'Axe 2 Règles de gestion'!$D$2:$F$125,3, FALSE)</f>
        <v>La date de début du congé/absence doit être antérieure ou égale à la date de fin réelle du congé/absence.</v>
      </c>
      <c r="AM99" s="17" t="s">
        <v>95</v>
      </c>
      <c r="AN99" s="18" t="str">
        <f>VLOOKUP(AM99,'Axe 2 Règles de gestion'!$D$2:$F$125,3, FALSE)</f>
        <v>La date de début du congé/absence doit être antérieure ou égale à la date de fin prévisionnelle du congé/absence.</v>
      </c>
      <c r="AO99" s="17" t="s">
        <v>97</v>
      </c>
      <c r="AP99" s="18" t="str">
        <f>VLOOKUP(AO99,'Axe 2 Règles de gestion'!$D$2:$F$125,3, FALSE)</f>
        <v>La date de fin réelle du congé/absence doit être antérieure à la date limite de départ à la retraite.</v>
      </c>
      <c r="AQ99" s="17" t="s">
        <v>99</v>
      </c>
      <c r="AR99" s="18" t="str">
        <f>VLOOKUP(AQ99,'Axe 2 Règles de gestion'!$D$2:$F$125,3, FALSE)</f>
        <v>La date de fin prévisionnelle du congé/absence doit être antérieure à la date limite de départ à la retraite.</v>
      </c>
      <c r="AS99" s="17" t="s">
        <v>101</v>
      </c>
      <c r="AT99" s="18" t="str">
        <f>VLOOKUP(AS99,'Axe 2 Règles de gestion'!$D$2:$F$125,3, FALSE)</f>
        <v>La date de fin réelle ou la date de fin prévisionnelle du congé/absence doit être saisie.</v>
      </c>
      <c r="AU99" s="17" t="s">
        <v>107</v>
      </c>
      <c r="AV99" s="18" t="str">
        <f>VLOOKUP(AU99,'Axe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99" s="17"/>
      <c r="AX99" s="18"/>
      <c r="AY99" s="17"/>
      <c r="AZ99" s="18"/>
      <c r="BA99" s="17"/>
      <c r="BB99" s="18"/>
      <c r="BC99" s="17"/>
      <c r="BD99" s="18"/>
      <c r="BE99" s="17"/>
      <c r="BF99" s="18"/>
      <c r="BG99" s="14" t="s">
        <v>74</v>
      </c>
      <c r="BH99" s="16" t="s">
        <v>74</v>
      </c>
    </row>
    <row r="100" spans="1:60" ht="130.5" x14ac:dyDescent="0.35">
      <c r="A100" s="14" t="s">
        <v>113</v>
      </c>
      <c r="B100" s="14" t="s">
        <v>116</v>
      </c>
      <c r="C100" s="15">
        <v>44854.718055555553</v>
      </c>
      <c r="D100" s="14" t="s">
        <v>63</v>
      </c>
      <c r="E100" s="16" t="s">
        <v>64</v>
      </c>
      <c r="F100" s="14" t="s">
        <v>65</v>
      </c>
      <c r="G100" s="16" t="s">
        <v>66</v>
      </c>
      <c r="H100" s="14" t="s">
        <v>284</v>
      </c>
      <c r="I100" s="16" t="s">
        <v>285</v>
      </c>
      <c r="J100" s="16" t="s">
        <v>286</v>
      </c>
      <c r="K100" s="16" t="s">
        <v>287</v>
      </c>
      <c r="L100" s="14" t="s">
        <v>288</v>
      </c>
      <c r="M100" s="16" t="s">
        <v>289</v>
      </c>
      <c r="N100" s="14" t="s">
        <v>73</v>
      </c>
      <c r="O100" s="16" t="s">
        <v>74</v>
      </c>
      <c r="P100" s="16" t="s">
        <v>74</v>
      </c>
      <c r="Q100" s="16" t="s">
        <v>164</v>
      </c>
      <c r="R100" s="14" t="s">
        <v>165</v>
      </c>
      <c r="S100" s="14" t="s">
        <v>120</v>
      </c>
      <c r="T100" s="14" t="s">
        <v>145</v>
      </c>
      <c r="U100" s="14" t="s">
        <v>79</v>
      </c>
      <c r="V100" s="15">
        <v>40725</v>
      </c>
      <c r="W100" s="15"/>
      <c r="X100" s="16" t="s">
        <v>304</v>
      </c>
      <c r="Y100" s="17" t="s">
        <v>305</v>
      </c>
      <c r="Z100" s="18" t="str">
        <f>VLOOKUP(Y100,'Axe 2 Règles de gestion'!$D$2:$F$125,3, FALSE)</f>
        <v>L'accord de l'administration est nécessaire.</v>
      </c>
      <c r="AA100" s="17"/>
      <c r="AB100" s="18"/>
      <c r="AC100" s="17"/>
      <c r="AD100" s="18"/>
      <c r="AE100" s="17"/>
      <c r="AF100" s="18"/>
      <c r="AG100" s="17"/>
      <c r="AH100" s="18"/>
      <c r="AI100" s="17"/>
      <c r="AJ100" s="18"/>
      <c r="AK100" s="17" t="s">
        <v>128</v>
      </c>
      <c r="AL100" s="18" t="str">
        <f>VLOOKUP(AK100,'Axe 2 Règles de gestion'!$D$2:$F$125,3, FALSE)</f>
        <v>La date de début du congé/absence doit être postérieure ou égale à la date de début du lien juridique.</v>
      </c>
      <c r="AM100" s="17" t="s">
        <v>95</v>
      </c>
      <c r="AN100" s="18" t="str">
        <f>VLOOKUP(AM100,'Axe 2 Règles de gestion'!$D$2:$F$125,3, FALSE)</f>
        <v>La date de début du congé/absence doit être antérieure ou égale à la date de fin prévisionnelle du congé/absence.</v>
      </c>
      <c r="AO100" s="17" t="s">
        <v>93</v>
      </c>
      <c r="AP100" s="18" t="str">
        <f>VLOOKUP(AO100,'Axe 2 Règles de gestion'!$D$2:$F$125,3, FALSE)</f>
        <v>La date de début du congé/absence doit être antérieure ou égale à la date de fin réelle du congé/absence.</v>
      </c>
      <c r="AQ100" s="17" t="s">
        <v>97</v>
      </c>
      <c r="AR100" s="18" t="str">
        <f>VLOOKUP(AQ100,'Axe 2 Règles de gestion'!$D$2:$F$125,3, FALSE)</f>
        <v>La date de fin réelle du congé/absence doit être antérieure à la date limite de départ à la retraite.</v>
      </c>
      <c r="AS100" s="17" t="s">
        <v>99</v>
      </c>
      <c r="AT100" s="18" t="str">
        <f>VLOOKUP(AS100,'Axe 2 Règles de gestion'!$D$2:$F$125,3, FALSE)</f>
        <v>La date de fin prévisionnelle du congé/absence doit être antérieure à la date limite de départ à la retraite.</v>
      </c>
      <c r="AU100" s="17" t="s">
        <v>130</v>
      </c>
      <c r="AV100" s="18" t="str">
        <f>VLOOKUP(AU100,'Axe 2 Règles de gestion'!$D$2:$F$125,3, FALSE)</f>
        <v>La date de fin réelle du congé/absence doit être antérieure ou égale à la date limite de fin réelle ou prévisionnelle du lien juridique.</v>
      </c>
      <c r="AW100" s="17" t="s">
        <v>132</v>
      </c>
      <c r="AX100" s="18" t="str">
        <f>VLOOKUP(AW100,'Axe 2 Règles de gestion'!$D$2:$F$125,3, FALSE)</f>
        <v>La date de fin prévisionnelle du congé/absence doit être antérieure ou égale à la date limite de fin réelle ou prévisionnelle du lien juridique.</v>
      </c>
      <c r="AY100" s="17" t="s">
        <v>103</v>
      </c>
      <c r="AZ100" s="18" t="str">
        <f>VLOOKUP(AY100,'Axe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100" s="17" t="s">
        <v>105</v>
      </c>
      <c r="BB100" s="18" t="str">
        <f>VLOOKUP(BA100,'Axe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100" s="17" t="s">
        <v>101</v>
      </c>
      <c r="BD100" s="18" t="str">
        <f>VLOOKUP(BC100,'Axe 2 Règles de gestion'!$D$2:$F$125,3, FALSE)</f>
        <v>La date de fin réelle ou la date de fin prévisionnelle du congé/absence doit être saisie.</v>
      </c>
      <c r="BE100" s="17" t="s">
        <v>107</v>
      </c>
      <c r="BF100" s="18" t="str">
        <f>VLOOKUP(BE100,'Axe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100" s="14" t="s">
        <v>74</v>
      </c>
      <c r="BH100" s="16" t="s">
        <v>74</v>
      </c>
    </row>
    <row r="101" spans="1:60" ht="130.5" x14ac:dyDescent="0.35">
      <c r="A101" s="14" t="s">
        <v>113</v>
      </c>
      <c r="B101" s="14" t="s">
        <v>62</v>
      </c>
      <c r="C101" s="15">
        <v>44852.614583333336</v>
      </c>
      <c r="D101" s="14" t="s">
        <v>63</v>
      </c>
      <c r="E101" s="16" t="s">
        <v>64</v>
      </c>
      <c r="F101" s="14" t="s">
        <v>65</v>
      </c>
      <c r="G101" s="16" t="s">
        <v>66</v>
      </c>
      <c r="H101" s="14" t="s">
        <v>284</v>
      </c>
      <c r="I101" s="16" t="s">
        <v>285</v>
      </c>
      <c r="J101" s="16" t="s">
        <v>286</v>
      </c>
      <c r="K101" s="16" t="s">
        <v>287</v>
      </c>
      <c r="L101" s="14" t="s">
        <v>294</v>
      </c>
      <c r="M101" s="16" t="s">
        <v>295</v>
      </c>
      <c r="N101" s="14" t="s">
        <v>111</v>
      </c>
      <c r="O101" s="16" t="s">
        <v>74</v>
      </c>
      <c r="P101" s="16" t="s">
        <v>74</v>
      </c>
      <c r="Q101" s="16" t="s">
        <v>164</v>
      </c>
      <c r="R101" s="14" t="s">
        <v>165</v>
      </c>
      <c r="S101" s="14" t="s">
        <v>120</v>
      </c>
      <c r="T101" s="14" t="s">
        <v>145</v>
      </c>
      <c r="U101" s="14" t="s">
        <v>79</v>
      </c>
      <c r="V101" s="15">
        <v>40725</v>
      </c>
      <c r="W101" s="15"/>
      <c r="X101" s="16" t="s">
        <v>211</v>
      </c>
      <c r="Y101" s="17"/>
      <c r="Z101" s="18"/>
      <c r="AA101" s="17"/>
      <c r="AB101" s="18"/>
      <c r="AC101" s="17"/>
      <c r="AD101" s="18"/>
      <c r="AE101" s="17"/>
      <c r="AF101" s="18"/>
      <c r="AG101" s="17"/>
      <c r="AH101" s="18"/>
      <c r="AI101" s="17"/>
      <c r="AJ101" s="18"/>
      <c r="AK101" s="17" t="s">
        <v>128</v>
      </c>
      <c r="AL101" s="18" t="str">
        <f>VLOOKUP(AK101,'Axe 2 Règles de gestion'!$D$2:$F$125,3, FALSE)</f>
        <v>La date de début du congé/absence doit être postérieure ou égale à la date de début du lien juridique.</v>
      </c>
      <c r="AM101" s="17" t="s">
        <v>93</v>
      </c>
      <c r="AN101" s="18" t="str">
        <f>VLOOKUP(AM101,'Axe 2 Règles de gestion'!$D$2:$F$125,3, FALSE)</f>
        <v>La date de début du congé/absence doit être antérieure ou égale à la date de fin réelle du congé/absence.</v>
      </c>
      <c r="AO101" s="17" t="s">
        <v>95</v>
      </c>
      <c r="AP101" s="18" t="str">
        <f>VLOOKUP(AO101,'Axe 2 Règles de gestion'!$D$2:$F$125,3, FALSE)</f>
        <v>La date de début du congé/absence doit être antérieure ou égale à la date de fin prévisionnelle du congé/absence.</v>
      </c>
      <c r="AQ101" s="17" t="s">
        <v>97</v>
      </c>
      <c r="AR101" s="18" t="str">
        <f>VLOOKUP(AQ101,'Axe 2 Règles de gestion'!$D$2:$F$125,3, FALSE)</f>
        <v>La date de fin réelle du congé/absence doit être antérieure à la date limite de départ à la retraite.</v>
      </c>
      <c r="AS101" s="17" t="s">
        <v>99</v>
      </c>
      <c r="AT101" s="18" t="str">
        <f>VLOOKUP(AS101,'Axe 2 Règles de gestion'!$D$2:$F$125,3, FALSE)</f>
        <v>La date de fin prévisionnelle du congé/absence doit être antérieure à la date limite de départ à la retraite.</v>
      </c>
      <c r="AU101" s="17" t="s">
        <v>130</v>
      </c>
      <c r="AV101" s="18" t="str">
        <f>VLOOKUP(AU101,'Axe 2 Règles de gestion'!$D$2:$F$125,3, FALSE)</f>
        <v>La date de fin réelle du congé/absence doit être antérieure ou égale à la date limite de fin réelle ou prévisionnelle du lien juridique.</v>
      </c>
      <c r="AW101" s="17" t="s">
        <v>132</v>
      </c>
      <c r="AX101" s="18" t="str">
        <f>VLOOKUP(AW101,'Axe 2 Règles de gestion'!$D$2:$F$125,3, FALSE)</f>
        <v>La date de fin prévisionnelle du congé/absence doit être antérieure ou égale à la date limite de fin réelle ou prévisionnelle du lien juridique.</v>
      </c>
      <c r="AY101" s="17" t="s">
        <v>103</v>
      </c>
      <c r="AZ101" s="18" t="str">
        <f>VLOOKUP(AY101,'Axe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BA101" s="17" t="s">
        <v>105</v>
      </c>
      <c r="BB101" s="18" t="str">
        <f>VLOOKUP(BA101,'Axe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C101" s="17" t="s">
        <v>101</v>
      </c>
      <c r="BD101" s="18" t="str">
        <f>VLOOKUP(BC101,'Axe 2 Règles de gestion'!$D$2:$F$125,3, FALSE)</f>
        <v>La date de fin réelle ou la date de fin prévisionnelle du congé/absence doit être saisie.</v>
      </c>
      <c r="BE101" s="17" t="s">
        <v>107</v>
      </c>
      <c r="BF101" s="18" t="str">
        <f>VLOOKUP(BE101,'Axe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101" s="14" t="s">
        <v>74</v>
      </c>
      <c r="BH101" s="16" t="s">
        <v>74</v>
      </c>
    </row>
    <row r="102" spans="1:60" ht="58" x14ac:dyDescent="0.35">
      <c r="A102" s="14" t="s">
        <v>113</v>
      </c>
      <c r="B102" s="14" t="s">
        <v>62</v>
      </c>
      <c r="C102" s="15">
        <v>44852.57916666667</v>
      </c>
      <c r="D102" s="14" t="s">
        <v>63</v>
      </c>
      <c r="E102" s="16" t="s">
        <v>64</v>
      </c>
      <c r="F102" s="14" t="s">
        <v>65</v>
      </c>
      <c r="G102" s="16" t="s">
        <v>66</v>
      </c>
      <c r="H102" s="14" t="s">
        <v>284</v>
      </c>
      <c r="I102" s="16" t="s">
        <v>285</v>
      </c>
      <c r="J102" s="16" t="s">
        <v>286</v>
      </c>
      <c r="K102" s="16" t="s">
        <v>287</v>
      </c>
      <c r="L102" s="14" t="s">
        <v>288</v>
      </c>
      <c r="M102" s="16" t="s">
        <v>289</v>
      </c>
      <c r="N102" s="14" t="s">
        <v>73</v>
      </c>
      <c r="O102" s="16" t="s">
        <v>74</v>
      </c>
      <c r="P102" s="16" t="s">
        <v>74</v>
      </c>
      <c r="Q102" s="16" t="s">
        <v>166</v>
      </c>
      <c r="R102" s="14" t="s">
        <v>167</v>
      </c>
      <c r="S102" s="14" t="s">
        <v>120</v>
      </c>
      <c r="T102" s="14" t="s">
        <v>145</v>
      </c>
      <c r="U102" s="14" t="s">
        <v>117</v>
      </c>
      <c r="V102" s="15">
        <v>40725</v>
      </c>
      <c r="W102" s="15"/>
      <c r="X102" s="16" t="s">
        <v>74</v>
      </c>
      <c r="Y102" s="17"/>
      <c r="Z102" s="18"/>
      <c r="AA102" s="17"/>
      <c r="AB102" s="18"/>
      <c r="AC102" s="17"/>
      <c r="AD102" s="18"/>
      <c r="AE102" s="17"/>
      <c r="AF102" s="18"/>
      <c r="AG102" s="17"/>
      <c r="AH102" s="18"/>
      <c r="AI102" s="17"/>
      <c r="AJ102" s="18"/>
      <c r="AK102" s="17"/>
      <c r="AL102" s="18"/>
      <c r="AM102" s="17"/>
      <c r="AN102" s="18"/>
      <c r="AO102" s="17"/>
      <c r="AP102" s="18"/>
      <c r="AQ102" s="17"/>
      <c r="AR102" s="18"/>
      <c r="AS102" s="17"/>
      <c r="AT102" s="18"/>
      <c r="AU102" s="17"/>
      <c r="AV102" s="18"/>
      <c r="AW102" s="17"/>
      <c r="AX102" s="18"/>
      <c r="AY102" s="17"/>
      <c r="AZ102" s="18"/>
      <c r="BA102" s="17"/>
      <c r="BB102" s="18"/>
      <c r="BC102" s="17"/>
      <c r="BD102" s="18"/>
      <c r="BE102" s="17"/>
      <c r="BF102" s="18"/>
      <c r="BG102" s="14" t="s">
        <v>74</v>
      </c>
      <c r="BH102" s="16" t="s">
        <v>74</v>
      </c>
    </row>
    <row r="103" spans="1:60" ht="58" x14ac:dyDescent="0.35">
      <c r="A103" s="14" t="s">
        <v>113</v>
      </c>
      <c r="B103" s="14" t="s">
        <v>62</v>
      </c>
      <c r="C103" s="15">
        <v>44852.614583333336</v>
      </c>
      <c r="D103" s="14" t="s">
        <v>63</v>
      </c>
      <c r="E103" s="16" t="s">
        <v>64</v>
      </c>
      <c r="F103" s="14" t="s">
        <v>65</v>
      </c>
      <c r="G103" s="16" t="s">
        <v>66</v>
      </c>
      <c r="H103" s="14" t="s">
        <v>284</v>
      </c>
      <c r="I103" s="16" t="s">
        <v>285</v>
      </c>
      <c r="J103" s="16" t="s">
        <v>286</v>
      </c>
      <c r="K103" s="16" t="s">
        <v>287</v>
      </c>
      <c r="L103" s="14" t="s">
        <v>294</v>
      </c>
      <c r="M103" s="16" t="s">
        <v>295</v>
      </c>
      <c r="N103" s="14" t="s">
        <v>111</v>
      </c>
      <c r="O103" s="16" t="s">
        <v>74</v>
      </c>
      <c r="P103" s="16" t="s">
        <v>74</v>
      </c>
      <c r="Q103" s="16" t="s">
        <v>166</v>
      </c>
      <c r="R103" s="14" t="s">
        <v>167</v>
      </c>
      <c r="S103" s="14" t="s">
        <v>120</v>
      </c>
      <c r="T103" s="14" t="s">
        <v>145</v>
      </c>
      <c r="U103" s="14" t="s">
        <v>117</v>
      </c>
      <c r="V103" s="15">
        <v>40725</v>
      </c>
      <c r="W103" s="15"/>
      <c r="X103" s="16" t="s">
        <v>74</v>
      </c>
      <c r="Y103" s="17"/>
      <c r="Z103" s="18"/>
      <c r="AA103" s="17"/>
      <c r="AB103" s="18"/>
      <c r="AC103" s="17"/>
      <c r="AD103" s="18"/>
      <c r="AE103" s="17"/>
      <c r="AF103" s="18"/>
      <c r="AG103" s="17"/>
      <c r="AH103" s="18"/>
      <c r="AI103" s="17"/>
      <c r="AJ103" s="18"/>
      <c r="AK103" s="17"/>
      <c r="AL103" s="18"/>
      <c r="AM103" s="17"/>
      <c r="AN103" s="18"/>
      <c r="AO103" s="17"/>
      <c r="AP103" s="18"/>
      <c r="AQ103" s="17"/>
      <c r="AR103" s="18"/>
      <c r="AS103" s="17"/>
      <c r="AT103" s="18"/>
      <c r="AU103" s="17"/>
      <c r="AV103" s="18"/>
      <c r="AW103" s="17"/>
      <c r="AX103" s="18"/>
      <c r="AY103" s="17"/>
      <c r="AZ103" s="18"/>
      <c r="BA103" s="17"/>
      <c r="BB103" s="18"/>
      <c r="BC103" s="17"/>
      <c r="BD103" s="18"/>
      <c r="BE103" s="17"/>
      <c r="BF103" s="18"/>
      <c r="BG103" s="14" t="s">
        <v>74</v>
      </c>
      <c r="BH103" s="16" t="s">
        <v>74</v>
      </c>
    </row>
    <row r="104" spans="1:60" ht="130.5" x14ac:dyDescent="0.35">
      <c r="A104" s="14" t="s">
        <v>113</v>
      </c>
      <c r="B104" s="14" t="s">
        <v>62</v>
      </c>
      <c r="C104" s="15">
        <v>44852.57916666667</v>
      </c>
      <c r="D104" s="14" t="s">
        <v>63</v>
      </c>
      <c r="E104" s="16" t="s">
        <v>64</v>
      </c>
      <c r="F104" s="14" t="s">
        <v>65</v>
      </c>
      <c r="G104" s="16" t="s">
        <v>66</v>
      </c>
      <c r="H104" s="14" t="s">
        <v>284</v>
      </c>
      <c r="I104" s="16" t="s">
        <v>285</v>
      </c>
      <c r="J104" s="16" t="s">
        <v>286</v>
      </c>
      <c r="K104" s="16" t="s">
        <v>287</v>
      </c>
      <c r="L104" s="14" t="s">
        <v>288</v>
      </c>
      <c r="M104" s="16" t="s">
        <v>289</v>
      </c>
      <c r="N104" s="14" t="s">
        <v>73</v>
      </c>
      <c r="O104" s="16" t="s">
        <v>74</v>
      </c>
      <c r="P104" s="16" t="s">
        <v>74</v>
      </c>
      <c r="Q104" s="16" t="s">
        <v>168</v>
      </c>
      <c r="R104" s="14" t="s">
        <v>169</v>
      </c>
      <c r="S104" s="14" t="s">
        <v>120</v>
      </c>
      <c r="T104" s="14" t="s">
        <v>145</v>
      </c>
      <c r="U104" s="14" t="s">
        <v>79</v>
      </c>
      <c r="V104" s="15">
        <v>40725</v>
      </c>
      <c r="W104" s="15"/>
      <c r="X104" s="16" t="s">
        <v>306</v>
      </c>
      <c r="Y104" s="17" t="s">
        <v>307</v>
      </c>
      <c r="Z104" s="18" t="str">
        <f>VLOOKUP(Y104,'Axe 2 Règles de gestion'!$D$2:$F$125,3, FALSE)</f>
        <v>L'agent bénéficie des dispositions applicables aux agents titulaires pour la période d'activité effectuée au sein de la réserve sanitaire.</v>
      </c>
      <c r="AA104" s="17" t="s">
        <v>291</v>
      </c>
      <c r="AB104" s="18" t="str">
        <f>VLOOKUP(AA104,'Axe 2 Règles de gestion'!$D$2:$F$125,3, FALSE)</f>
        <v>L'accord de l'administration est nécessaire.</v>
      </c>
      <c r="AC104" s="17" t="s">
        <v>292</v>
      </c>
      <c r="AD104" s="18" t="str">
        <f>VLOOKUP(AC104,'Axe 2 Règles de gestion'!$D$2:$F$125,3, FALSE)</f>
        <v>La demande de l'agent peut être refusée en cas de nécessité inhérente à la poursuite de la production de biens et de services ou à la continuité du service public.</v>
      </c>
      <c r="AE104" s="17"/>
      <c r="AF104" s="18"/>
      <c r="AG104" s="17" t="s">
        <v>190</v>
      </c>
      <c r="AH104" s="18" t="str">
        <f>VLOOKUP(AG104,'Axe 2 Règles de gestion'!$D$2:$F$125,3, FALSE)</f>
        <v>L'agent doit être en activité.</v>
      </c>
      <c r="AI104" s="17"/>
      <c r="AJ104" s="18"/>
      <c r="AK104" s="17" t="s">
        <v>91</v>
      </c>
      <c r="AL104" s="18" t="str">
        <f>VLOOKUP(AK104,'Axe 2 Règles de gestion'!$D$2:$F$125,3, FALSE)</f>
        <v>La date de début du congé/absence doit être postérieure ou égale à la date de recrutement dans la FPE ou dans la carrière militaire.</v>
      </c>
      <c r="AM104" s="17" t="s">
        <v>93</v>
      </c>
      <c r="AN104" s="18" t="str">
        <f>VLOOKUP(AM104,'Axe 2 Règles de gestion'!$D$2:$F$125,3, FALSE)</f>
        <v>La date de début du congé/absence doit être antérieure ou égale à la date de fin réelle du congé/absence.</v>
      </c>
      <c r="AO104" s="17" t="s">
        <v>95</v>
      </c>
      <c r="AP104" s="18" t="str">
        <f>VLOOKUP(AO104,'Axe 2 Règles de gestion'!$D$2:$F$125,3, FALSE)</f>
        <v>La date de début du congé/absence doit être antérieure ou égale à la date de fin prévisionnelle du congé/absence.</v>
      </c>
      <c r="AQ104" s="17" t="s">
        <v>97</v>
      </c>
      <c r="AR104" s="18" t="str">
        <f>VLOOKUP(AQ104,'Axe 2 Règles de gestion'!$D$2:$F$125,3, FALSE)</f>
        <v>La date de fin réelle du congé/absence doit être antérieure à la date limite de départ à la retraite.</v>
      </c>
      <c r="AS104" s="17" t="s">
        <v>99</v>
      </c>
      <c r="AT104" s="18" t="str">
        <f>VLOOKUP(AS104,'Axe 2 Règles de gestion'!$D$2:$F$125,3, FALSE)</f>
        <v>La date de fin prévisionnelle du congé/absence doit être antérieure à la date limite de départ à la retraite.</v>
      </c>
      <c r="AU104" s="17" t="s">
        <v>101</v>
      </c>
      <c r="AV104" s="18" t="str">
        <f>VLOOKUP(AU104,'Axe 2 Règles de gestion'!$D$2:$F$125,3, FALSE)</f>
        <v>La date de fin réelle ou la date de fin prévisionnelle du congé/absence doit être saisie.</v>
      </c>
      <c r="AW104" s="17" t="s">
        <v>103</v>
      </c>
      <c r="AX104" s="18" t="str">
        <f>VLOOKUP(AW104,'Axe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104" s="17" t="s">
        <v>105</v>
      </c>
      <c r="AZ104" s="18" t="str">
        <f>VLOOKUP(AY104,'Axe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104" s="17" t="s">
        <v>107</v>
      </c>
      <c r="BB104" s="18" t="str">
        <f>VLOOKUP(BA104,'Axe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04" s="17"/>
      <c r="BD104" s="18"/>
      <c r="BE104" s="17"/>
      <c r="BF104" s="18"/>
      <c r="BG104" s="14" t="s">
        <v>74</v>
      </c>
      <c r="BH104" s="16" t="s">
        <v>74</v>
      </c>
    </row>
    <row r="105" spans="1:60" ht="116" x14ac:dyDescent="0.35">
      <c r="A105" s="14" t="s">
        <v>113</v>
      </c>
      <c r="B105" s="14" t="s">
        <v>62</v>
      </c>
      <c r="C105" s="15">
        <v>44852.614583333336</v>
      </c>
      <c r="D105" s="14" t="s">
        <v>63</v>
      </c>
      <c r="E105" s="16" t="s">
        <v>64</v>
      </c>
      <c r="F105" s="14" t="s">
        <v>65</v>
      </c>
      <c r="G105" s="16" t="s">
        <v>66</v>
      </c>
      <c r="H105" s="14" t="s">
        <v>284</v>
      </c>
      <c r="I105" s="16" t="s">
        <v>285</v>
      </c>
      <c r="J105" s="16" t="s">
        <v>286</v>
      </c>
      <c r="K105" s="16" t="s">
        <v>287</v>
      </c>
      <c r="L105" s="14" t="s">
        <v>294</v>
      </c>
      <c r="M105" s="16" t="s">
        <v>295</v>
      </c>
      <c r="N105" s="14" t="s">
        <v>111</v>
      </c>
      <c r="O105" s="16" t="s">
        <v>74</v>
      </c>
      <c r="P105" s="16" t="s">
        <v>74</v>
      </c>
      <c r="Q105" s="16" t="s">
        <v>168</v>
      </c>
      <c r="R105" s="14" t="s">
        <v>169</v>
      </c>
      <c r="S105" s="14" t="s">
        <v>120</v>
      </c>
      <c r="T105" s="14" t="s">
        <v>145</v>
      </c>
      <c r="U105" s="14" t="s">
        <v>79</v>
      </c>
      <c r="V105" s="15">
        <v>40725</v>
      </c>
      <c r="W105" s="15"/>
      <c r="X105" s="16" t="s">
        <v>296</v>
      </c>
      <c r="Y105" s="17"/>
      <c r="Z105" s="18"/>
      <c r="AA105" s="17"/>
      <c r="AB105" s="18"/>
      <c r="AC105" s="17"/>
      <c r="AD105" s="18"/>
      <c r="AE105" s="17"/>
      <c r="AF105" s="18"/>
      <c r="AG105" s="17" t="s">
        <v>190</v>
      </c>
      <c r="AH105" s="18" t="str">
        <f>VLOOKUP(AG105,'Axe 2 Règles de gestion'!$D$2:$F$125,3, FALSE)</f>
        <v>L'agent doit être en activité.</v>
      </c>
      <c r="AI105" s="17"/>
      <c r="AJ105" s="18"/>
      <c r="AK105" s="17" t="s">
        <v>93</v>
      </c>
      <c r="AL105" s="18" t="str">
        <f>VLOOKUP(AK105,'Axe 2 Règles de gestion'!$D$2:$F$125,3, FALSE)</f>
        <v>La date de début du congé/absence doit être antérieure ou égale à la date de fin réelle du congé/absence.</v>
      </c>
      <c r="AM105" s="17" t="s">
        <v>95</v>
      </c>
      <c r="AN105" s="18" t="str">
        <f>VLOOKUP(AM105,'Axe 2 Règles de gestion'!$D$2:$F$125,3, FALSE)</f>
        <v>La date de début du congé/absence doit être antérieure ou égale à la date de fin prévisionnelle du congé/absence.</v>
      </c>
      <c r="AO105" s="17" t="s">
        <v>97</v>
      </c>
      <c r="AP105" s="18" t="str">
        <f>VLOOKUP(AO105,'Axe 2 Règles de gestion'!$D$2:$F$125,3, FALSE)</f>
        <v>La date de fin réelle du congé/absence doit être antérieure à la date limite de départ à la retraite.</v>
      </c>
      <c r="AQ105" s="17" t="s">
        <v>99</v>
      </c>
      <c r="AR105" s="18" t="str">
        <f>VLOOKUP(AQ105,'Axe 2 Règles de gestion'!$D$2:$F$125,3, FALSE)</f>
        <v>La date de fin prévisionnelle du congé/absence doit être antérieure à la date limite de départ à la retraite.</v>
      </c>
      <c r="AS105" s="17" t="s">
        <v>101</v>
      </c>
      <c r="AT105" s="18" t="str">
        <f>VLOOKUP(AS105,'Axe 2 Règles de gestion'!$D$2:$F$125,3, FALSE)</f>
        <v>La date de fin réelle ou la date de fin prévisionnelle du congé/absence doit être saisie.</v>
      </c>
      <c r="AU105" s="17" t="s">
        <v>107</v>
      </c>
      <c r="AV105" s="18" t="str">
        <f>VLOOKUP(AU105,'Axe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105" s="17"/>
      <c r="AX105" s="18"/>
      <c r="AY105" s="17"/>
      <c r="AZ105" s="18"/>
      <c r="BA105" s="17"/>
      <c r="BB105" s="18"/>
      <c r="BC105" s="17"/>
      <c r="BD105" s="18"/>
      <c r="BE105" s="17"/>
      <c r="BF105" s="18"/>
      <c r="BG105" s="14" t="s">
        <v>74</v>
      </c>
      <c r="BH105" s="16" t="s">
        <v>74</v>
      </c>
    </row>
    <row r="106" spans="1:60" ht="130.5" x14ac:dyDescent="0.35">
      <c r="A106" s="14" t="s">
        <v>113</v>
      </c>
      <c r="B106" s="14" t="s">
        <v>116</v>
      </c>
      <c r="C106" s="15">
        <v>44854.71875</v>
      </c>
      <c r="D106" s="14" t="s">
        <v>63</v>
      </c>
      <c r="E106" s="16" t="s">
        <v>64</v>
      </c>
      <c r="F106" s="14" t="s">
        <v>65</v>
      </c>
      <c r="G106" s="16" t="s">
        <v>66</v>
      </c>
      <c r="H106" s="14" t="s">
        <v>308</v>
      </c>
      <c r="I106" s="16" t="s">
        <v>309</v>
      </c>
      <c r="J106" s="16" t="s">
        <v>310</v>
      </c>
      <c r="K106" s="16" t="s">
        <v>311</v>
      </c>
      <c r="L106" s="14" t="s">
        <v>312</v>
      </c>
      <c r="M106" s="16" t="s">
        <v>313</v>
      </c>
      <c r="N106" s="14" t="s">
        <v>73</v>
      </c>
      <c r="O106" s="16" t="s">
        <v>74</v>
      </c>
      <c r="P106" s="16" t="s">
        <v>74</v>
      </c>
      <c r="Q106" s="16" t="s">
        <v>75</v>
      </c>
      <c r="R106" s="14" t="s">
        <v>76</v>
      </c>
      <c r="S106" s="14" t="s">
        <v>77</v>
      </c>
      <c r="T106" s="14" t="s">
        <v>78</v>
      </c>
      <c r="U106" s="14" t="s">
        <v>79</v>
      </c>
      <c r="V106" s="15">
        <v>40725</v>
      </c>
      <c r="W106" s="15"/>
      <c r="X106" s="16" t="s">
        <v>314</v>
      </c>
      <c r="Y106" s="17" t="s">
        <v>315</v>
      </c>
      <c r="Z106" s="18" t="str">
        <f>VLOOKUP(Y106,'Axe 2 Règles de gestion'!$D$2:$F$125,3, FALSE)</f>
        <v>L'agent qui suit une formation professionnelle durant ses activités n'est pas tenu de solliciter l'accord de son employeur.</v>
      </c>
      <c r="AA106" s="17" t="s">
        <v>317</v>
      </c>
      <c r="AB106" s="18" t="str">
        <f>VLOOKUP(AA106,'Axe 2 Règles de gestion'!$D$2:$F$125,3, FALSE)</f>
        <v>L'accord de l'administration est nécessaire dès que l'agent dépasse 10 jours ouvrés d'absence par année civile.</v>
      </c>
      <c r="AC106" s="17"/>
      <c r="AD106" s="18"/>
      <c r="AE106" s="17"/>
      <c r="AF106" s="18"/>
      <c r="AG106" s="17"/>
      <c r="AH106" s="18"/>
      <c r="AI106" s="17"/>
      <c r="AJ106" s="18"/>
      <c r="AK106" s="17" t="s">
        <v>91</v>
      </c>
      <c r="AL106" s="18" t="str">
        <f>VLOOKUP(AK106,'Axe 2 Règles de gestion'!$D$2:$F$125,3, FALSE)</f>
        <v>La date de début du congé/absence doit être postérieure ou égale à la date de recrutement dans la FPE ou dans la carrière militaire.</v>
      </c>
      <c r="AM106" s="17" t="s">
        <v>93</v>
      </c>
      <c r="AN106" s="18" t="str">
        <f>VLOOKUP(AM106,'Axe 2 Règles de gestion'!$D$2:$F$125,3, FALSE)</f>
        <v>La date de début du congé/absence doit être antérieure ou égale à la date de fin réelle du congé/absence.</v>
      </c>
      <c r="AO106" s="17" t="s">
        <v>95</v>
      </c>
      <c r="AP106" s="18" t="str">
        <f>VLOOKUP(AO106,'Axe 2 Règles de gestion'!$D$2:$F$125,3, FALSE)</f>
        <v>La date de début du congé/absence doit être antérieure ou égale à la date de fin prévisionnelle du congé/absence.</v>
      </c>
      <c r="AQ106" s="17" t="s">
        <v>97</v>
      </c>
      <c r="AR106" s="18" t="str">
        <f>VLOOKUP(AQ106,'Axe 2 Règles de gestion'!$D$2:$F$125,3, FALSE)</f>
        <v>La date de fin réelle du congé/absence doit être antérieure à la date limite de départ à la retraite.</v>
      </c>
      <c r="AS106" s="17" t="s">
        <v>99</v>
      </c>
      <c r="AT106" s="18" t="str">
        <f>VLOOKUP(AS106,'Axe 2 Règles de gestion'!$D$2:$F$125,3, FALSE)</f>
        <v>La date de fin prévisionnelle du congé/absence doit être antérieure à la date limite de départ à la retraite.</v>
      </c>
      <c r="AU106" s="17" t="s">
        <v>101</v>
      </c>
      <c r="AV106" s="18" t="str">
        <f>VLOOKUP(AU106,'Axe 2 Règles de gestion'!$D$2:$F$125,3, FALSE)</f>
        <v>La date de fin réelle ou la date de fin prévisionnelle du congé/absence doit être saisie.</v>
      </c>
      <c r="AW106" s="17" t="s">
        <v>103</v>
      </c>
      <c r="AX106" s="18" t="str">
        <f>VLOOKUP(AW106,'Axe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106" s="17" t="s">
        <v>105</v>
      </c>
      <c r="AZ106" s="18" t="str">
        <f>VLOOKUP(AY106,'Axe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106" s="17" t="s">
        <v>107</v>
      </c>
      <c r="BB106" s="18" t="str">
        <f>VLOOKUP(BA106,'Axe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06" s="17"/>
      <c r="BD106" s="18"/>
      <c r="BE106" s="17"/>
      <c r="BF106" s="18"/>
      <c r="BG106" s="14" t="s">
        <v>74</v>
      </c>
      <c r="BH106" s="16" t="s">
        <v>74</v>
      </c>
    </row>
    <row r="107" spans="1:60" ht="116" x14ac:dyDescent="0.35">
      <c r="A107" s="14" t="s">
        <v>113</v>
      </c>
      <c r="B107" s="14" t="s">
        <v>62</v>
      </c>
      <c r="C107" s="15">
        <v>44852.622916666667</v>
      </c>
      <c r="D107" s="14" t="s">
        <v>63</v>
      </c>
      <c r="E107" s="16" t="s">
        <v>64</v>
      </c>
      <c r="F107" s="14" t="s">
        <v>65</v>
      </c>
      <c r="G107" s="16" t="s">
        <v>66</v>
      </c>
      <c r="H107" s="14" t="s">
        <v>308</v>
      </c>
      <c r="I107" s="16" t="s">
        <v>309</v>
      </c>
      <c r="J107" s="16" t="s">
        <v>310</v>
      </c>
      <c r="K107" s="16" t="s">
        <v>311</v>
      </c>
      <c r="L107" s="14" t="s">
        <v>319</v>
      </c>
      <c r="M107" s="16" t="s">
        <v>320</v>
      </c>
      <c r="N107" s="14" t="s">
        <v>111</v>
      </c>
      <c r="O107" s="16" t="s">
        <v>74</v>
      </c>
      <c r="P107" s="16" t="s">
        <v>74</v>
      </c>
      <c r="Q107" s="16" t="s">
        <v>75</v>
      </c>
      <c r="R107" s="14" t="s">
        <v>76</v>
      </c>
      <c r="S107" s="14" t="s">
        <v>77</v>
      </c>
      <c r="T107" s="14" t="s">
        <v>78</v>
      </c>
      <c r="U107" s="14" t="s">
        <v>79</v>
      </c>
      <c r="V107" s="15">
        <v>40725</v>
      </c>
      <c r="W107" s="15"/>
      <c r="X107" s="16" t="s">
        <v>321</v>
      </c>
      <c r="Y107" s="17"/>
      <c r="Z107" s="18"/>
      <c r="AA107" s="17"/>
      <c r="AB107" s="18"/>
      <c r="AC107" s="17"/>
      <c r="AD107" s="18"/>
      <c r="AE107" s="17"/>
      <c r="AF107" s="18"/>
      <c r="AG107" s="17"/>
      <c r="AH107" s="18"/>
      <c r="AI107" s="17"/>
      <c r="AJ107" s="18"/>
      <c r="AK107" s="17" t="s">
        <v>93</v>
      </c>
      <c r="AL107" s="18" t="str">
        <f>VLOOKUP(AK107,'Axe 2 Règles de gestion'!$D$2:$F$125,3, FALSE)</f>
        <v>La date de début du congé/absence doit être antérieure ou égale à la date de fin réelle du congé/absence.</v>
      </c>
      <c r="AM107" s="17" t="s">
        <v>95</v>
      </c>
      <c r="AN107" s="18" t="str">
        <f>VLOOKUP(AM107,'Axe 2 Règles de gestion'!$D$2:$F$125,3, FALSE)</f>
        <v>La date de début du congé/absence doit être antérieure ou égale à la date de fin prévisionnelle du congé/absence.</v>
      </c>
      <c r="AO107" s="17" t="s">
        <v>97</v>
      </c>
      <c r="AP107" s="18" t="str">
        <f>VLOOKUP(AO107,'Axe 2 Règles de gestion'!$D$2:$F$125,3, FALSE)</f>
        <v>La date de fin réelle du congé/absence doit être antérieure à la date limite de départ à la retraite.</v>
      </c>
      <c r="AQ107" s="17" t="s">
        <v>99</v>
      </c>
      <c r="AR107" s="18" t="str">
        <f>VLOOKUP(AQ107,'Axe 2 Règles de gestion'!$D$2:$F$125,3, FALSE)</f>
        <v>La date de fin prévisionnelle du congé/absence doit être antérieure à la date limite de départ à la retraite.</v>
      </c>
      <c r="AS107" s="17" t="s">
        <v>101</v>
      </c>
      <c r="AT107" s="18" t="str">
        <f>VLOOKUP(AS107,'Axe 2 Règles de gestion'!$D$2:$F$125,3, FALSE)</f>
        <v>La date de fin réelle ou la date de fin prévisionnelle du congé/absence doit être saisie.</v>
      </c>
      <c r="AU107" s="17" t="s">
        <v>107</v>
      </c>
      <c r="AV107" s="18" t="str">
        <f>VLOOKUP(AU107,'Axe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107" s="17"/>
      <c r="AX107" s="18"/>
      <c r="AY107" s="17"/>
      <c r="AZ107" s="18"/>
      <c r="BA107" s="17"/>
      <c r="BB107" s="18"/>
      <c r="BC107" s="17"/>
      <c r="BD107" s="18"/>
      <c r="BE107" s="17"/>
      <c r="BF107" s="18"/>
      <c r="BG107" s="14" t="s">
        <v>74</v>
      </c>
      <c r="BH107" s="16" t="s">
        <v>74</v>
      </c>
    </row>
    <row r="108" spans="1:60" ht="58" x14ac:dyDescent="0.35">
      <c r="A108" s="14" t="s">
        <v>113</v>
      </c>
      <c r="B108" s="14" t="s">
        <v>62</v>
      </c>
      <c r="C108" s="15">
        <v>44886.494444444441</v>
      </c>
      <c r="D108" s="14" t="s">
        <v>63</v>
      </c>
      <c r="E108" s="16" t="s">
        <v>64</v>
      </c>
      <c r="F108" s="14" t="s">
        <v>65</v>
      </c>
      <c r="G108" s="16" t="s">
        <v>66</v>
      </c>
      <c r="H108" s="14" t="s">
        <v>308</v>
      </c>
      <c r="I108" s="16" t="s">
        <v>309</v>
      </c>
      <c r="J108" s="16" t="s">
        <v>310</v>
      </c>
      <c r="K108" s="16" t="s">
        <v>311</v>
      </c>
      <c r="L108" s="14" t="s">
        <v>312</v>
      </c>
      <c r="M108" s="16" t="s">
        <v>313</v>
      </c>
      <c r="N108" s="14" t="s">
        <v>73</v>
      </c>
      <c r="O108" s="16" t="s">
        <v>74</v>
      </c>
      <c r="P108" s="16" t="s">
        <v>74</v>
      </c>
      <c r="Q108" s="16" t="s">
        <v>114</v>
      </c>
      <c r="R108" s="14" t="s">
        <v>115</v>
      </c>
      <c r="S108" s="14" t="s">
        <v>116</v>
      </c>
      <c r="T108" s="14" t="s">
        <v>78</v>
      </c>
      <c r="U108" s="14" t="s">
        <v>117</v>
      </c>
      <c r="V108" s="15">
        <v>43831</v>
      </c>
      <c r="W108" s="15"/>
      <c r="X108" s="16" t="s">
        <v>74</v>
      </c>
      <c r="Y108" s="17"/>
      <c r="Z108" s="18"/>
      <c r="AA108" s="17"/>
      <c r="AB108" s="18"/>
      <c r="AC108" s="17"/>
      <c r="AD108" s="18"/>
      <c r="AE108" s="17"/>
      <c r="AF108" s="18"/>
      <c r="AG108" s="17"/>
      <c r="AH108" s="18"/>
      <c r="AI108" s="17"/>
      <c r="AJ108" s="18"/>
      <c r="AK108" s="17"/>
      <c r="AL108" s="18"/>
      <c r="AM108" s="17"/>
      <c r="AN108" s="18"/>
      <c r="AO108" s="17"/>
      <c r="AP108" s="18"/>
      <c r="AQ108" s="17"/>
      <c r="AR108" s="18"/>
      <c r="AS108" s="17"/>
      <c r="AT108" s="18"/>
      <c r="AU108" s="17"/>
      <c r="AV108" s="18"/>
      <c r="AW108" s="17"/>
      <c r="AX108" s="18"/>
      <c r="AY108" s="17"/>
      <c r="AZ108" s="18"/>
      <c r="BA108" s="17"/>
      <c r="BB108" s="18"/>
      <c r="BC108" s="17"/>
      <c r="BD108" s="18"/>
      <c r="BE108" s="17"/>
      <c r="BF108" s="18"/>
      <c r="BG108" s="14" t="s">
        <v>74</v>
      </c>
      <c r="BH108" s="16" t="s">
        <v>74</v>
      </c>
    </row>
    <row r="109" spans="1:60" ht="58" x14ac:dyDescent="0.35">
      <c r="A109" s="14" t="s">
        <v>113</v>
      </c>
      <c r="B109" s="14" t="s">
        <v>62</v>
      </c>
      <c r="C109" s="15">
        <v>44886.494444444441</v>
      </c>
      <c r="D109" s="14" t="s">
        <v>63</v>
      </c>
      <c r="E109" s="16" t="s">
        <v>64</v>
      </c>
      <c r="F109" s="14" t="s">
        <v>65</v>
      </c>
      <c r="G109" s="16" t="s">
        <v>66</v>
      </c>
      <c r="H109" s="14" t="s">
        <v>308</v>
      </c>
      <c r="I109" s="16" t="s">
        <v>309</v>
      </c>
      <c r="J109" s="16" t="s">
        <v>310</v>
      </c>
      <c r="K109" s="16" t="s">
        <v>311</v>
      </c>
      <c r="L109" s="14" t="s">
        <v>319</v>
      </c>
      <c r="M109" s="16" t="s">
        <v>320</v>
      </c>
      <c r="N109" s="14" t="s">
        <v>111</v>
      </c>
      <c r="O109" s="16" t="s">
        <v>74</v>
      </c>
      <c r="P109" s="16" t="s">
        <v>74</v>
      </c>
      <c r="Q109" s="16" t="s">
        <v>114</v>
      </c>
      <c r="R109" s="14" t="s">
        <v>115</v>
      </c>
      <c r="S109" s="14" t="s">
        <v>116</v>
      </c>
      <c r="T109" s="14" t="s">
        <v>78</v>
      </c>
      <c r="U109" s="14" t="s">
        <v>117</v>
      </c>
      <c r="V109" s="15">
        <v>43831</v>
      </c>
      <c r="W109" s="15"/>
      <c r="X109" s="16" t="s">
        <v>74</v>
      </c>
      <c r="Y109" s="17"/>
      <c r="Z109" s="18"/>
      <c r="AA109" s="17"/>
      <c r="AB109" s="18"/>
      <c r="AC109" s="17"/>
      <c r="AD109" s="18"/>
      <c r="AE109" s="17"/>
      <c r="AF109" s="18"/>
      <c r="AG109" s="17"/>
      <c r="AH109" s="18"/>
      <c r="AI109" s="17"/>
      <c r="AJ109" s="18"/>
      <c r="AK109" s="17"/>
      <c r="AL109" s="18"/>
      <c r="AM109" s="17"/>
      <c r="AN109" s="18"/>
      <c r="AO109" s="17"/>
      <c r="AP109" s="18"/>
      <c r="AQ109" s="17"/>
      <c r="AR109" s="18"/>
      <c r="AS109" s="17"/>
      <c r="AT109" s="18"/>
      <c r="AU109" s="17"/>
      <c r="AV109" s="18"/>
      <c r="AW109" s="17"/>
      <c r="AX109" s="18"/>
      <c r="AY109" s="17"/>
      <c r="AZ109" s="18"/>
      <c r="BA109" s="17"/>
      <c r="BB109" s="18"/>
      <c r="BC109" s="17"/>
      <c r="BD109" s="18"/>
      <c r="BE109" s="17"/>
      <c r="BF109" s="18"/>
      <c r="BG109" s="14" t="s">
        <v>74</v>
      </c>
      <c r="BH109" s="16" t="s">
        <v>74</v>
      </c>
    </row>
    <row r="110" spans="1:60" ht="58" x14ac:dyDescent="0.35">
      <c r="A110" s="14" t="s">
        <v>113</v>
      </c>
      <c r="B110" s="14" t="s">
        <v>62</v>
      </c>
      <c r="C110" s="15">
        <v>44852.615972222222</v>
      </c>
      <c r="D110" s="14" t="s">
        <v>63</v>
      </c>
      <c r="E110" s="16" t="s">
        <v>64</v>
      </c>
      <c r="F110" s="14" t="s">
        <v>65</v>
      </c>
      <c r="G110" s="16" t="s">
        <v>66</v>
      </c>
      <c r="H110" s="14" t="s">
        <v>308</v>
      </c>
      <c r="I110" s="16" t="s">
        <v>309</v>
      </c>
      <c r="J110" s="16" t="s">
        <v>310</v>
      </c>
      <c r="K110" s="16" t="s">
        <v>311</v>
      </c>
      <c r="L110" s="14" t="s">
        <v>312</v>
      </c>
      <c r="M110" s="16" t="s">
        <v>313</v>
      </c>
      <c r="N110" s="14" t="s">
        <v>73</v>
      </c>
      <c r="O110" s="16" t="s">
        <v>74</v>
      </c>
      <c r="P110" s="16" t="s">
        <v>74</v>
      </c>
      <c r="Q110" s="16" t="s">
        <v>118</v>
      </c>
      <c r="R110" s="14" t="s">
        <v>119</v>
      </c>
      <c r="S110" s="14" t="s">
        <v>120</v>
      </c>
      <c r="T110" s="14" t="s">
        <v>78</v>
      </c>
      <c r="U110" s="14" t="s">
        <v>117</v>
      </c>
      <c r="V110" s="15">
        <v>40725</v>
      </c>
      <c r="W110" s="15"/>
      <c r="X110" s="16" t="s">
        <v>74</v>
      </c>
      <c r="Y110" s="17"/>
      <c r="Z110" s="18"/>
      <c r="AA110" s="17"/>
      <c r="AB110" s="18"/>
      <c r="AC110" s="17"/>
      <c r="AD110" s="18"/>
      <c r="AE110" s="17"/>
      <c r="AF110" s="18"/>
      <c r="AG110" s="17"/>
      <c r="AH110" s="18"/>
      <c r="AI110" s="17"/>
      <c r="AJ110" s="18"/>
      <c r="AK110" s="17"/>
      <c r="AL110" s="18"/>
      <c r="AM110" s="17"/>
      <c r="AN110" s="18"/>
      <c r="AO110" s="17"/>
      <c r="AP110" s="18"/>
      <c r="AQ110" s="17"/>
      <c r="AR110" s="18"/>
      <c r="AS110" s="17"/>
      <c r="AT110" s="18"/>
      <c r="AU110" s="17"/>
      <c r="AV110" s="18"/>
      <c r="AW110" s="17"/>
      <c r="AX110" s="18"/>
      <c r="AY110" s="17"/>
      <c r="AZ110" s="18"/>
      <c r="BA110" s="17"/>
      <c r="BB110" s="18"/>
      <c r="BC110" s="17"/>
      <c r="BD110" s="18"/>
      <c r="BE110" s="17"/>
      <c r="BF110" s="18"/>
      <c r="BG110" s="14" t="s">
        <v>74</v>
      </c>
      <c r="BH110" s="16" t="s">
        <v>74</v>
      </c>
    </row>
    <row r="111" spans="1:60" ht="58" x14ac:dyDescent="0.35">
      <c r="A111" s="14" t="s">
        <v>113</v>
      </c>
      <c r="B111" s="14" t="s">
        <v>62</v>
      </c>
      <c r="C111" s="15">
        <v>44852.622916666667</v>
      </c>
      <c r="D111" s="14" t="s">
        <v>63</v>
      </c>
      <c r="E111" s="16" t="s">
        <v>64</v>
      </c>
      <c r="F111" s="14" t="s">
        <v>65</v>
      </c>
      <c r="G111" s="16" t="s">
        <v>66</v>
      </c>
      <c r="H111" s="14" t="s">
        <v>308</v>
      </c>
      <c r="I111" s="16" t="s">
        <v>309</v>
      </c>
      <c r="J111" s="16" t="s">
        <v>310</v>
      </c>
      <c r="K111" s="16" t="s">
        <v>311</v>
      </c>
      <c r="L111" s="14" t="s">
        <v>319</v>
      </c>
      <c r="M111" s="16" t="s">
        <v>320</v>
      </c>
      <c r="N111" s="14" t="s">
        <v>111</v>
      </c>
      <c r="O111" s="16" t="s">
        <v>74</v>
      </c>
      <c r="P111" s="16" t="s">
        <v>74</v>
      </c>
      <c r="Q111" s="16" t="s">
        <v>118</v>
      </c>
      <c r="R111" s="14" t="s">
        <v>119</v>
      </c>
      <c r="S111" s="14" t="s">
        <v>120</v>
      </c>
      <c r="T111" s="14" t="s">
        <v>78</v>
      </c>
      <c r="U111" s="14" t="s">
        <v>117</v>
      </c>
      <c r="V111" s="15">
        <v>40725</v>
      </c>
      <c r="W111" s="15"/>
      <c r="X111" s="16" t="s">
        <v>74</v>
      </c>
      <c r="Y111" s="17"/>
      <c r="Z111" s="18"/>
      <c r="AA111" s="17"/>
      <c r="AB111" s="18"/>
      <c r="AC111" s="17"/>
      <c r="AD111" s="18"/>
      <c r="AE111" s="17"/>
      <c r="AF111" s="18"/>
      <c r="AG111" s="17"/>
      <c r="AH111" s="18"/>
      <c r="AI111" s="17"/>
      <c r="AJ111" s="18"/>
      <c r="AK111" s="17"/>
      <c r="AL111" s="18"/>
      <c r="AM111" s="17"/>
      <c r="AN111" s="18"/>
      <c r="AO111" s="17"/>
      <c r="AP111" s="18"/>
      <c r="AQ111" s="17"/>
      <c r="AR111" s="18"/>
      <c r="AS111" s="17"/>
      <c r="AT111" s="18"/>
      <c r="AU111" s="17"/>
      <c r="AV111" s="18"/>
      <c r="AW111" s="17"/>
      <c r="AX111" s="18"/>
      <c r="AY111" s="17"/>
      <c r="AZ111" s="18"/>
      <c r="BA111" s="17"/>
      <c r="BB111" s="18"/>
      <c r="BC111" s="17"/>
      <c r="BD111" s="18"/>
      <c r="BE111" s="17"/>
      <c r="BF111" s="18"/>
      <c r="BG111" s="14" t="s">
        <v>74</v>
      </c>
      <c r="BH111" s="16" t="s">
        <v>74</v>
      </c>
    </row>
    <row r="112" spans="1:60" ht="58" x14ac:dyDescent="0.35">
      <c r="A112" s="14" t="s">
        <v>113</v>
      </c>
      <c r="B112" s="14" t="s">
        <v>62</v>
      </c>
      <c r="C112" s="15">
        <v>44852.615972222222</v>
      </c>
      <c r="D112" s="14" t="s">
        <v>63</v>
      </c>
      <c r="E112" s="16" t="s">
        <v>64</v>
      </c>
      <c r="F112" s="14" t="s">
        <v>65</v>
      </c>
      <c r="G112" s="16" t="s">
        <v>66</v>
      </c>
      <c r="H112" s="14" t="s">
        <v>308</v>
      </c>
      <c r="I112" s="16" t="s">
        <v>309</v>
      </c>
      <c r="J112" s="16" t="s">
        <v>310</v>
      </c>
      <c r="K112" s="16" t="s">
        <v>311</v>
      </c>
      <c r="L112" s="14" t="s">
        <v>312</v>
      </c>
      <c r="M112" s="16" t="s">
        <v>313</v>
      </c>
      <c r="N112" s="14" t="s">
        <v>73</v>
      </c>
      <c r="O112" s="16" t="s">
        <v>74</v>
      </c>
      <c r="P112" s="16" t="s">
        <v>74</v>
      </c>
      <c r="Q112" s="16" t="s">
        <v>137</v>
      </c>
      <c r="R112" s="14" t="s">
        <v>138</v>
      </c>
      <c r="S112" s="14" t="s">
        <v>139</v>
      </c>
      <c r="T112" s="14" t="s">
        <v>78</v>
      </c>
      <c r="U112" s="14" t="s">
        <v>117</v>
      </c>
      <c r="V112" s="15">
        <v>40725</v>
      </c>
      <c r="W112" s="15"/>
      <c r="X112" s="16" t="s">
        <v>74</v>
      </c>
      <c r="Y112" s="17"/>
      <c r="Z112" s="18"/>
      <c r="AA112" s="17"/>
      <c r="AB112" s="18"/>
      <c r="AC112" s="17"/>
      <c r="AD112" s="18"/>
      <c r="AE112" s="17"/>
      <c r="AF112" s="18"/>
      <c r="AG112" s="17"/>
      <c r="AH112" s="18"/>
      <c r="AI112" s="17"/>
      <c r="AJ112" s="18"/>
      <c r="AK112" s="17"/>
      <c r="AL112" s="18"/>
      <c r="AM112" s="17"/>
      <c r="AN112" s="18"/>
      <c r="AO112" s="17"/>
      <c r="AP112" s="18"/>
      <c r="AQ112" s="17"/>
      <c r="AR112" s="18"/>
      <c r="AS112" s="17"/>
      <c r="AT112" s="18"/>
      <c r="AU112" s="17"/>
      <c r="AV112" s="18"/>
      <c r="AW112" s="17"/>
      <c r="AX112" s="18"/>
      <c r="AY112" s="17"/>
      <c r="AZ112" s="18"/>
      <c r="BA112" s="17"/>
      <c r="BB112" s="18"/>
      <c r="BC112" s="17"/>
      <c r="BD112" s="18"/>
      <c r="BE112" s="17"/>
      <c r="BF112" s="18"/>
      <c r="BG112" s="14" t="s">
        <v>74</v>
      </c>
      <c r="BH112" s="16" t="s">
        <v>74</v>
      </c>
    </row>
    <row r="113" spans="1:60" ht="58" x14ac:dyDescent="0.35">
      <c r="A113" s="14" t="s">
        <v>113</v>
      </c>
      <c r="B113" s="14" t="s">
        <v>62</v>
      </c>
      <c r="C113" s="15">
        <v>44852.622916666667</v>
      </c>
      <c r="D113" s="14" t="s">
        <v>63</v>
      </c>
      <c r="E113" s="16" t="s">
        <v>64</v>
      </c>
      <c r="F113" s="14" t="s">
        <v>65</v>
      </c>
      <c r="G113" s="16" t="s">
        <v>66</v>
      </c>
      <c r="H113" s="14" t="s">
        <v>308</v>
      </c>
      <c r="I113" s="16" t="s">
        <v>309</v>
      </c>
      <c r="J113" s="16" t="s">
        <v>310</v>
      </c>
      <c r="K113" s="16" t="s">
        <v>311</v>
      </c>
      <c r="L113" s="14" t="s">
        <v>319</v>
      </c>
      <c r="M113" s="16" t="s">
        <v>320</v>
      </c>
      <c r="N113" s="14" t="s">
        <v>111</v>
      </c>
      <c r="O113" s="16" t="s">
        <v>74</v>
      </c>
      <c r="P113" s="16" t="s">
        <v>74</v>
      </c>
      <c r="Q113" s="16" t="s">
        <v>137</v>
      </c>
      <c r="R113" s="14" t="s">
        <v>138</v>
      </c>
      <c r="S113" s="14" t="s">
        <v>139</v>
      </c>
      <c r="T113" s="14" t="s">
        <v>78</v>
      </c>
      <c r="U113" s="14" t="s">
        <v>117</v>
      </c>
      <c r="V113" s="15">
        <v>40725</v>
      </c>
      <c r="W113" s="15"/>
      <c r="X113" s="16" t="s">
        <v>74</v>
      </c>
      <c r="Y113" s="17"/>
      <c r="Z113" s="18"/>
      <c r="AA113" s="17"/>
      <c r="AB113" s="18"/>
      <c r="AC113" s="17"/>
      <c r="AD113" s="18"/>
      <c r="AE113" s="17"/>
      <c r="AF113" s="18"/>
      <c r="AG113" s="17"/>
      <c r="AH113" s="18"/>
      <c r="AI113" s="17"/>
      <c r="AJ113" s="18"/>
      <c r="AK113" s="17"/>
      <c r="AL113" s="18"/>
      <c r="AM113" s="17"/>
      <c r="AN113" s="18"/>
      <c r="AO113" s="17"/>
      <c r="AP113" s="18"/>
      <c r="AQ113" s="17"/>
      <c r="AR113" s="18"/>
      <c r="AS113" s="17"/>
      <c r="AT113" s="18"/>
      <c r="AU113" s="17"/>
      <c r="AV113" s="18"/>
      <c r="AW113" s="17"/>
      <c r="AX113" s="18"/>
      <c r="AY113" s="17"/>
      <c r="AZ113" s="18"/>
      <c r="BA113" s="17"/>
      <c r="BB113" s="18"/>
      <c r="BC113" s="17"/>
      <c r="BD113" s="18"/>
      <c r="BE113" s="17"/>
      <c r="BF113" s="18"/>
      <c r="BG113" s="14" t="s">
        <v>74</v>
      </c>
      <c r="BH113" s="16" t="s">
        <v>74</v>
      </c>
    </row>
    <row r="114" spans="1:60" ht="58" x14ac:dyDescent="0.35">
      <c r="A114" s="14" t="s">
        <v>113</v>
      </c>
      <c r="B114" s="14" t="s">
        <v>62</v>
      </c>
      <c r="C114" s="15">
        <v>44852.615972222222</v>
      </c>
      <c r="D114" s="14" t="s">
        <v>63</v>
      </c>
      <c r="E114" s="16" t="s">
        <v>64</v>
      </c>
      <c r="F114" s="14" t="s">
        <v>65</v>
      </c>
      <c r="G114" s="16" t="s">
        <v>66</v>
      </c>
      <c r="H114" s="14" t="s">
        <v>308</v>
      </c>
      <c r="I114" s="16" t="s">
        <v>309</v>
      </c>
      <c r="J114" s="16" t="s">
        <v>310</v>
      </c>
      <c r="K114" s="16" t="s">
        <v>311</v>
      </c>
      <c r="L114" s="14" t="s">
        <v>312</v>
      </c>
      <c r="M114" s="16" t="s">
        <v>313</v>
      </c>
      <c r="N114" s="14" t="s">
        <v>73</v>
      </c>
      <c r="O114" s="16" t="s">
        <v>74</v>
      </c>
      <c r="P114" s="16" t="s">
        <v>74</v>
      </c>
      <c r="Q114" s="16" t="s">
        <v>140</v>
      </c>
      <c r="R114" s="14" t="s">
        <v>141</v>
      </c>
      <c r="S114" s="14" t="s">
        <v>142</v>
      </c>
      <c r="T114" s="14" t="s">
        <v>78</v>
      </c>
      <c r="U114" s="14" t="s">
        <v>117</v>
      </c>
      <c r="V114" s="15">
        <v>40725</v>
      </c>
      <c r="W114" s="15"/>
      <c r="X114" s="16" t="s">
        <v>74</v>
      </c>
      <c r="Y114" s="17"/>
      <c r="Z114" s="18"/>
      <c r="AA114" s="17"/>
      <c r="AB114" s="18"/>
      <c r="AC114" s="17"/>
      <c r="AD114" s="18"/>
      <c r="AE114" s="17"/>
      <c r="AF114" s="18"/>
      <c r="AG114" s="17"/>
      <c r="AH114" s="18"/>
      <c r="AI114" s="17"/>
      <c r="AJ114" s="18"/>
      <c r="AK114" s="17"/>
      <c r="AL114" s="18"/>
      <c r="AM114" s="17"/>
      <c r="AN114" s="18"/>
      <c r="AO114" s="17"/>
      <c r="AP114" s="18"/>
      <c r="AQ114" s="17"/>
      <c r="AR114" s="18"/>
      <c r="AS114" s="17"/>
      <c r="AT114" s="18"/>
      <c r="AU114" s="17"/>
      <c r="AV114" s="18"/>
      <c r="AW114" s="17"/>
      <c r="AX114" s="18"/>
      <c r="AY114" s="17"/>
      <c r="AZ114" s="18"/>
      <c r="BA114" s="17"/>
      <c r="BB114" s="18"/>
      <c r="BC114" s="17"/>
      <c r="BD114" s="18"/>
      <c r="BE114" s="17"/>
      <c r="BF114" s="18"/>
      <c r="BG114" s="14" t="s">
        <v>74</v>
      </c>
      <c r="BH114" s="16" t="s">
        <v>74</v>
      </c>
    </row>
    <row r="115" spans="1:60" ht="58" x14ac:dyDescent="0.35">
      <c r="A115" s="14" t="s">
        <v>113</v>
      </c>
      <c r="B115" s="14" t="s">
        <v>62</v>
      </c>
      <c r="C115" s="15">
        <v>44852.622916666667</v>
      </c>
      <c r="D115" s="14" t="s">
        <v>63</v>
      </c>
      <c r="E115" s="16" t="s">
        <v>64</v>
      </c>
      <c r="F115" s="14" t="s">
        <v>65</v>
      </c>
      <c r="G115" s="16" t="s">
        <v>66</v>
      </c>
      <c r="H115" s="14" t="s">
        <v>308</v>
      </c>
      <c r="I115" s="16" t="s">
        <v>309</v>
      </c>
      <c r="J115" s="16" t="s">
        <v>310</v>
      </c>
      <c r="K115" s="16" t="s">
        <v>311</v>
      </c>
      <c r="L115" s="14" t="s">
        <v>319</v>
      </c>
      <c r="M115" s="16" t="s">
        <v>320</v>
      </c>
      <c r="N115" s="14" t="s">
        <v>111</v>
      </c>
      <c r="O115" s="16" t="s">
        <v>74</v>
      </c>
      <c r="P115" s="16" t="s">
        <v>74</v>
      </c>
      <c r="Q115" s="16" t="s">
        <v>140</v>
      </c>
      <c r="R115" s="14" t="s">
        <v>141</v>
      </c>
      <c r="S115" s="14" t="s">
        <v>142</v>
      </c>
      <c r="T115" s="14" t="s">
        <v>78</v>
      </c>
      <c r="U115" s="14" t="s">
        <v>117</v>
      </c>
      <c r="V115" s="15">
        <v>40725</v>
      </c>
      <c r="W115" s="15"/>
      <c r="X115" s="16" t="s">
        <v>74</v>
      </c>
      <c r="Y115" s="17"/>
      <c r="Z115" s="18"/>
      <c r="AA115" s="17"/>
      <c r="AB115" s="18"/>
      <c r="AC115" s="17"/>
      <c r="AD115" s="18"/>
      <c r="AE115" s="17"/>
      <c r="AF115" s="18"/>
      <c r="AG115" s="17"/>
      <c r="AH115" s="18"/>
      <c r="AI115" s="17"/>
      <c r="AJ115" s="18"/>
      <c r="AK115" s="17"/>
      <c r="AL115" s="18"/>
      <c r="AM115" s="17"/>
      <c r="AN115" s="18"/>
      <c r="AO115" s="17"/>
      <c r="AP115" s="18"/>
      <c r="AQ115" s="17"/>
      <c r="AR115" s="18"/>
      <c r="AS115" s="17"/>
      <c r="AT115" s="18"/>
      <c r="AU115" s="17"/>
      <c r="AV115" s="18"/>
      <c r="AW115" s="17"/>
      <c r="AX115" s="18"/>
      <c r="AY115" s="17"/>
      <c r="AZ115" s="18"/>
      <c r="BA115" s="17"/>
      <c r="BB115" s="18"/>
      <c r="BC115" s="17"/>
      <c r="BD115" s="18"/>
      <c r="BE115" s="17"/>
      <c r="BF115" s="18"/>
      <c r="BG115" s="14" t="s">
        <v>74</v>
      </c>
      <c r="BH115" s="16" t="s">
        <v>74</v>
      </c>
    </row>
    <row r="116" spans="1:60" ht="130.5" x14ac:dyDescent="0.35">
      <c r="A116" s="14" t="s">
        <v>113</v>
      </c>
      <c r="B116" s="14" t="s">
        <v>116</v>
      </c>
      <c r="C116" s="15">
        <v>44890.638888888891</v>
      </c>
      <c r="D116" s="14" t="s">
        <v>63</v>
      </c>
      <c r="E116" s="16" t="s">
        <v>64</v>
      </c>
      <c r="F116" s="14" t="s">
        <v>65</v>
      </c>
      <c r="G116" s="16" t="s">
        <v>66</v>
      </c>
      <c r="H116" s="14" t="s">
        <v>308</v>
      </c>
      <c r="I116" s="16" t="s">
        <v>309</v>
      </c>
      <c r="J116" s="16" t="s">
        <v>310</v>
      </c>
      <c r="K116" s="16" t="s">
        <v>311</v>
      </c>
      <c r="L116" s="14" t="s">
        <v>312</v>
      </c>
      <c r="M116" s="16" t="s">
        <v>313</v>
      </c>
      <c r="N116" s="14" t="s">
        <v>73</v>
      </c>
      <c r="O116" s="16" t="s">
        <v>74</v>
      </c>
      <c r="P116" s="16" t="s">
        <v>74</v>
      </c>
      <c r="Q116" s="16" t="s">
        <v>143</v>
      </c>
      <c r="R116" s="14" t="s">
        <v>144</v>
      </c>
      <c r="S116" s="14" t="s">
        <v>77</v>
      </c>
      <c r="T116" s="14" t="s">
        <v>145</v>
      </c>
      <c r="U116" s="14" t="s">
        <v>79</v>
      </c>
      <c r="V116" s="15">
        <v>40725</v>
      </c>
      <c r="W116" s="15"/>
      <c r="X116" s="16" t="s">
        <v>322</v>
      </c>
      <c r="Y116" s="17" t="s">
        <v>323</v>
      </c>
      <c r="Z116" s="18" t="str">
        <f>VLOOKUP(Y116,'Axe 2 Règles de gestion'!$D$2:$F$125,3, FALSE)</f>
        <v>L'agent bénéficie des dispositions applicables aux agents titulaires pour la période d'activité effectuée au sein de la police nationale.</v>
      </c>
      <c r="AA116" s="17" t="s">
        <v>315</v>
      </c>
      <c r="AB116" s="18" t="str">
        <f>VLOOKUP(AA116,'Axe 2 Règles de gestion'!$D$2:$F$125,3, FALSE)</f>
        <v>L'agent qui suit une formation professionnelle durant ses activités n'est pas tenu de solliciter l'accord de son employeur.</v>
      </c>
      <c r="AC116" s="17" t="s">
        <v>317</v>
      </c>
      <c r="AD116" s="18" t="str">
        <f>VLOOKUP(AC116,'Axe 2 Règles de gestion'!$D$2:$F$125,3, FALSE)</f>
        <v>L'accord de l'administration est nécessaire dès que l'agent dépasse 10 jours ouvrés d'absence par année civile.</v>
      </c>
      <c r="AE116" s="17"/>
      <c r="AF116" s="18"/>
      <c r="AG116" s="17"/>
      <c r="AH116" s="18"/>
      <c r="AI116" s="17"/>
      <c r="AJ116" s="18"/>
      <c r="AK116" s="17" t="s">
        <v>91</v>
      </c>
      <c r="AL116" s="18" t="str">
        <f>VLOOKUP(AK116,'Axe 2 Règles de gestion'!$D$2:$F$125,3, FALSE)</f>
        <v>La date de début du congé/absence doit être postérieure ou égale à la date de recrutement dans la FPE ou dans la carrière militaire.</v>
      </c>
      <c r="AM116" s="17" t="s">
        <v>93</v>
      </c>
      <c r="AN116" s="18" t="str">
        <f>VLOOKUP(AM116,'Axe 2 Règles de gestion'!$D$2:$F$125,3, FALSE)</f>
        <v>La date de début du congé/absence doit être antérieure ou égale à la date de fin réelle du congé/absence.</v>
      </c>
      <c r="AO116" s="17" t="s">
        <v>95</v>
      </c>
      <c r="AP116" s="18" t="str">
        <f>VLOOKUP(AO116,'Axe 2 Règles de gestion'!$D$2:$F$125,3, FALSE)</f>
        <v>La date de début du congé/absence doit être antérieure ou égale à la date de fin prévisionnelle du congé/absence.</v>
      </c>
      <c r="AQ116" s="17" t="s">
        <v>97</v>
      </c>
      <c r="AR116" s="18" t="str">
        <f>VLOOKUP(AQ116,'Axe 2 Règles de gestion'!$D$2:$F$125,3, FALSE)</f>
        <v>La date de fin réelle du congé/absence doit être antérieure à la date limite de départ à la retraite.</v>
      </c>
      <c r="AS116" s="17" t="s">
        <v>99</v>
      </c>
      <c r="AT116" s="18" t="str">
        <f>VLOOKUP(AS116,'Axe 2 Règles de gestion'!$D$2:$F$125,3, FALSE)</f>
        <v>La date de fin prévisionnelle du congé/absence doit être antérieure à la date limite de départ à la retraite.</v>
      </c>
      <c r="AU116" s="17" t="s">
        <v>101</v>
      </c>
      <c r="AV116" s="18" t="str">
        <f>VLOOKUP(AU116,'Axe 2 Règles de gestion'!$D$2:$F$125,3, FALSE)</f>
        <v>La date de fin réelle ou la date de fin prévisionnelle du congé/absence doit être saisie.</v>
      </c>
      <c r="AW116" s="17" t="s">
        <v>103</v>
      </c>
      <c r="AX116" s="18" t="str">
        <f>VLOOKUP(AW116,'Axe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116" s="17" t="s">
        <v>105</v>
      </c>
      <c r="AZ116" s="18" t="str">
        <f>VLOOKUP(AY116,'Axe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116" s="17" t="s">
        <v>107</v>
      </c>
      <c r="BB116" s="18" t="str">
        <f>VLOOKUP(BA116,'Axe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16" s="17"/>
      <c r="BD116" s="18"/>
      <c r="BE116" s="17"/>
      <c r="BF116" s="18"/>
      <c r="BG116" s="14" t="s">
        <v>74</v>
      </c>
      <c r="BH116" s="16" t="s">
        <v>74</v>
      </c>
    </row>
    <row r="117" spans="1:60" ht="116" x14ac:dyDescent="0.35">
      <c r="A117" s="14" t="s">
        <v>113</v>
      </c>
      <c r="B117" s="14" t="s">
        <v>62</v>
      </c>
      <c r="C117" s="15">
        <v>44852.625694444447</v>
      </c>
      <c r="D117" s="14" t="s">
        <v>63</v>
      </c>
      <c r="E117" s="16" t="s">
        <v>64</v>
      </c>
      <c r="F117" s="14" t="s">
        <v>65</v>
      </c>
      <c r="G117" s="16" t="s">
        <v>66</v>
      </c>
      <c r="H117" s="14" t="s">
        <v>308</v>
      </c>
      <c r="I117" s="16" t="s">
        <v>309</v>
      </c>
      <c r="J117" s="16" t="s">
        <v>310</v>
      </c>
      <c r="K117" s="16" t="s">
        <v>311</v>
      </c>
      <c r="L117" s="14" t="s">
        <v>319</v>
      </c>
      <c r="M117" s="16" t="s">
        <v>320</v>
      </c>
      <c r="N117" s="14" t="s">
        <v>111</v>
      </c>
      <c r="O117" s="16" t="s">
        <v>74</v>
      </c>
      <c r="P117" s="16" t="s">
        <v>74</v>
      </c>
      <c r="Q117" s="16" t="s">
        <v>143</v>
      </c>
      <c r="R117" s="14" t="s">
        <v>144</v>
      </c>
      <c r="S117" s="14" t="s">
        <v>77</v>
      </c>
      <c r="T117" s="14" t="s">
        <v>145</v>
      </c>
      <c r="U117" s="14" t="s">
        <v>79</v>
      </c>
      <c r="V117" s="15">
        <v>40725</v>
      </c>
      <c r="W117" s="15"/>
      <c r="X117" s="16" t="s">
        <v>321</v>
      </c>
      <c r="Y117" s="17"/>
      <c r="Z117" s="18"/>
      <c r="AA117" s="17"/>
      <c r="AB117" s="18"/>
      <c r="AC117" s="17"/>
      <c r="AD117" s="18"/>
      <c r="AE117" s="17"/>
      <c r="AF117" s="18"/>
      <c r="AG117" s="17"/>
      <c r="AH117" s="18"/>
      <c r="AI117" s="17"/>
      <c r="AJ117" s="18"/>
      <c r="AK117" s="17" t="s">
        <v>93</v>
      </c>
      <c r="AL117" s="18" t="str">
        <f>VLOOKUP(AK117,'Axe 2 Règles de gestion'!$D$2:$F$125,3, FALSE)</f>
        <v>La date de début du congé/absence doit être antérieure ou égale à la date de fin réelle du congé/absence.</v>
      </c>
      <c r="AM117" s="17" t="s">
        <v>95</v>
      </c>
      <c r="AN117" s="18" t="str">
        <f>VLOOKUP(AM117,'Axe 2 Règles de gestion'!$D$2:$F$125,3, FALSE)</f>
        <v>La date de début du congé/absence doit être antérieure ou égale à la date de fin prévisionnelle du congé/absence.</v>
      </c>
      <c r="AO117" s="17" t="s">
        <v>97</v>
      </c>
      <c r="AP117" s="18" t="str">
        <f>VLOOKUP(AO117,'Axe 2 Règles de gestion'!$D$2:$F$125,3, FALSE)</f>
        <v>La date de fin réelle du congé/absence doit être antérieure à la date limite de départ à la retraite.</v>
      </c>
      <c r="AQ117" s="17" t="s">
        <v>99</v>
      </c>
      <c r="AR117" s="18" t="str">
        <f>VLOOKUP(AQ117,'Axe 2 Règles de gestion'!$D$2:$F$125,3, FALSE)</f>
        <v>La date de fin prévisionnelle du congé/absence doit être antérieure à la date limite de départ à la retraite.</v>
      </c>
      <c r="AS117" s="17" t="s">
        <v>101</v>
      </c>
      <c r="AT117" s="18" t="str">
        <f>VLOOKUP(AS117,'Axe 2 Règles de gestion'!$D$2:$F$125,3, FALSE)</f>
        <v>La date de fin réelle ou la date de fin prévisionnelle du congé/absence doit être saisie.</v>
      </c>
      <c r="AU117" s="17" t="s">
        <v>107</v>
      </c>
      <c r="AV117" s="18" t="str">
        <f>VLOOKUP(AU117,'Axe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117" s="17"/>
      <c r="AX117" s="18"/>
      <c r="AY117" s="17"/>
      <c r="AZ117" s="18"/>
      <c r="BA117" s="17"/>
      <c r="BB117" s="18"/>
      <c r="BC117" s="17"/>
      <c r="BD117" s="18"/>
      <c r="BE117" s="17"/>
      <c r="BF117" s="18"/>
      <c r="BG117" s="14" t="s">
        <v>74</v>
      </c>
      <c r="BH117" s="16" t="s">
        <v>74</v>
      </c>
    </row>
    <row r="118" spans="1:60" ht="130.5" x14ac:dyDescent="0.35">
      <c r="A118" s="14" t="s">
        <v>113</v>
      </c>
      <c r="B118" s="14" t="s">
        <v>116</v>
      </c>
      <c r="C118" s="15">
        <v>44890.638888888891</v>
      </c>
      <c r="D118" s="14" t="s">
        <v>63</v>
      </c>
      <c r="E118" s="16" t="s">
        <v>64</v>
      </c>
      <c r="F118" s="14" t="s">
        <v>65</v>
      </c>
      <c r="G118" s="16" t="s">
        <v>66</v>
      </c>
      <c r="H118" s="14" t="s">
        <v>308</v>
      </c>
      <c r="I118" s="16" t="s">
        <v>309</v>
      </c>
      <c r="J118" s="16" t="s">
        <v>310</v>
      </c>
      <c r="K118" s="16" t="s">
        <v>311</v>
      </c>
      <c r="L118" s="14" t="s">
        <v>312</v>
      </c>
      <c r="M118" s="16" t="s">
        <v>313</v>
      </c>
      <c r="N118" s="14" t="s">
        <v>73</v>
      </c>
      <c r="O118" s="16" t="s">
        <v>74</v>
      </c>
      <c r="P118" s="16" t="s">
        <v>74</v>
      </c>
      <c r="Q118" s="16" t="s">
        <v>153</v>
      </c>
      <c r="R118" s="14" t="s">
        <v>154</v>
      </c>
      <c r="S118" s="14" t="s">
        <v>120</v>
      </c>
      <c r="T118" s="14" t="s">
        <v>145</v>
      </c>
      <c r="U118" s="14" t="s">
        <v>79</v>
      </c>
      <c r="V118" s="15">
        <v>40725</v>
      </c>
      <c r="W118" s="15"/>
      <c r="X118" s="16" t="s">
        <v>325</v>
      </c>
      <c r="Y118" s="17" t="s">
        <v>326</v>
      </c>
      <c r="Z118" s="18" t="str">
        <f>VLOOKUP(Y118,'Axe 2 Règles de gestion'!$D$2:$F$125,3, FALSE)</f>
        <v>L'agent bénéficie des dispositions applicables aux agents titulaires pour la période d'activité effectuée au sein de la police nationale.</v>
      </c>
      <c r="AA118" s="17" t="s">
        <v>315</v>
      </c>
      <c r="AB118" s="18" t="str">
        <f>VLOOKUP(AA118,'Axe 2 Règles de gestion'!$D$2:$F$125,3, FALSE)</f>
        <v>L'agent qui suit une formation professionnelle durant ses activités n'est pas tenu de solliciter l'accord de son employeur.</v>
      </c>
      <c r="AC118" s="17" t="s">
        <v>317</v>
      </c>
      <c r="AD118" s="18" t="str">
        <f>VLOOKUP(AC118,'Axe 2 Règles de gestion'!$D$2:$F$125,3, FALSE)</f>
        <v>L'accord de l'administration est nécessaire dès que l'agent dépasse 10 jours ouvrés d'absence par année civile.</v>
      </c>
      <c r="AE118" s="17"/>
      <c r="AF118" s="18"/>
      <c r="AG118" s="17"/>
      <c r="AH118" s="18"/>
      <c r="AI118" s="17"/>
      <c r="AJ118" s="18"/>
      <c r="AK118" s="17" t="s">
        <v>91</v>
      </c>
      <c r="AL118" s="18" t="str">
        <f>VLOOKUP(AK118,'Axe 2 Règles de gestion'!$D$2:$F$125,3, FALSE)</f>
        <v>La date de début du congé/absence doit être postérieure ou égale à la date de recrutement dans la FPE ou dans la carrière militaire.</v>
      </c>
      <c r="AM118" s="17" t="s">
        <v>93</v>
      </c>
      <c r="AN118" s="18" t="str">
        <f>VLOOKUP(AM118,'Axe 2 Règles de gestion'!$D$2:$F$125,3, FALSE)</f>
        <v>La date de début du congé/absence doit être antérieure ou égale à la date de fin réelle du congé/absence.</v>
      </c>
      <c r="AO118" s="17" t="s">
        <v>95</v>
      </c>
      <c r="AP118" s="18" t="str">
        <f>VLOOKUP(AO118,'Axe 2 Règles de gestion'!$D$2:$F$125,3, FALSE)</f>
        <v>La date de début du congé/absence doit être antérieure ou égale à la date de fin prévisionnelle du congé/absence.</v>
      </c>
      <c r="AQ118" s="17" t="s">
        <v>97</v>
      </c>
      <c r="AR118" s="18" t="str">
        <f>VLOOKUP(AQ118,'Axe 2 Règles de gestion'!$D$2:$F$125,3, FALSE)</f>
        <v>La date de fin réelle du congé/absence doit être antérieure à la date limite de départ à la retraite.</v>
      </c>
      <c r="AS118" s="17" t="s">
        <v>99</v>
      </c>
      <c r="AT118" s="18" t="str">
        <f>VLOOKUP(AS118,'Axe 2 Règles de gestion'!$D$2:$F$125,3, FALSE)</f>
        <v>La date de fin prévisionnelle du congé/absence doit être antérieure à la date limite de départ à la retraite.</v>
      </c>
      <c r="AU118" s="17" t="s">
        <v>101</v>
      </c>
      <c r="AV118" s="18" t="str">
        <f>VLOOKUP(AU118,'Axe 2 Règles de gestion'!$D$2:$F$125,3, FALSE)</f>
        <v>La date de fin réelle ou la date de fin prévisionnelle du congé/absence doit être saisie.</v>
      </c>
      <c r="AW118" s="17" t="s">
        <v>103</v>
      </c>
      <c r="AX118" s="18" t="str">
        <f>VLOOKUP(AW118,'Axe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118" s="17" t="s">
        <v>105</v>
      </c>
      <c r="AZ118" s="18" t="str">
        <f>VLOOKUP(AY118,'Axe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118" s="17" t="s">
        <v>107</v>
      </c>
      <c r="BB118" s="18" t="str">
        <f>VLOOKUP(BA118,'Axe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18" s="17"/>
      <c r="BD118" s="18"/>
      <c r="BE118" s="17"/>
      <c r="BF118" s="18"/>
      <c r="BG118" s="14" t="s">
        <v>74</v>
      </c>
      <c r="BH118" s="16" t="s">
        <v>74</v>
      </c>
    </row>
    <row r="119" spans="1:60" ht="116" x14ac:dyDescent="0.35">
      <c r="A119" s="14" t="s">
        <v>113</v>
      </c>
      <c r="B119" s="14" t="s">
        <v>62</v>
      </c>
      <c r="C119" s="15">
        <v>44852.625694444447</v>
      </c>
      <c r="D119" s="14" t="s">
        <v>63</v>
      </c>
      <c r="E119" s="16" t="s">
        <v>64</v>
      </c>
      <c r="F119" s="14" t="s">
        <v>65</v>
      </c>
      <c r="G119" s="16" t="s">
        <v>66</v>
      </c>
      <c r="H119" s="14" t="s">
        <v>308</v>
      </c>
      <c r="I119" s="16" t="s">
        <v>309</v>
      </c>
      <c r="J119" s="16" t="s">
        <v>310</v>
      </c>
      <c r="K119" s="16" t="s">
        <v>311</v>
      </c>
      <c r="L119" s="14" t="s">
        <v>319</v>
      </c>
      <c r="M119" s="16" t="s">
        <v>320</v>
      </c>
      <c r="N119" s="14" t="s">
        <v>111</v>
      </c>
      <c r="O119" s="16" t="s">
        <v>74</v>
      </c>
      <c r="P119" s="16" t="s">
        <v>74</v>
      </c>
      <c r="Q119" s="16" t="s">
        <v>153</v>
      </c>
      <c r="R119" s="14" t="s">
        <v>154</v>
      </c>
      <c r="S119" s="14" t="s">
        <v>120</v>
      </c>
      <c r="T119" s="14" t="s">
        <v>145</v>
      </c>
      <c r="U119" s="14" t="s">
        <v>79</v>
      </c>
      <c r="V119" s="15">
        <v>40725</v>
      </c>
      <c r="W119" s="15"/>
      <c r="X119" s="16" t="s">
        <v>321</v>
      </c>
      <c r="Y119" s="17"/>
      <c r="Z119" s="18"/>
      <c r="AA119" s="17"/>
      <c r="AB119" s="18"/>
      <c r="AC119" s="17"/>
      <c r="AD119" s="18"/>
      <c r="AE119" s="17"/>
      <c r="AF119" s="18"/>
      <c r="AG119" s="17"/>
      <c r="AH119" s="18"/>
      <c r="AI119" s="17"/>
      <c r="AJ119" s="18"/>
      <c r="AK119" s="17" t="s">
        <v>93</v>
      </c>
      <c r="AL119" s="18" t="str">
        <f>VLOOKUP(AK119,'Axe 2 Règles de gestion'!$D$2:$F$125,3, FALSE)</f>
        <v>La date de début du congé/absence doit être antérieure ou égale à la date de fin réelle du congé/absence.</v>
      </c>
      <c r="AM119" s="17" t="s">
        <v>95</v>
      </c>
      <c r="AN119" s="18" t="str">
        <f>VLOOKUP(AM119,'Axe 2 Règles de gestion'!$D$2:$F$125,3, FALSE)</f>
        <v>La date de début du congé/absence doit être antérieure ou égale à la date de fin prévisionnelle du congé/absence.</v>
      </c>
      <c r="AO119" s="17" t="s">
        <v>97</v>
      </c>
      <c r="AP119" s="18" t="str">
        <f>VLOOKUP(AO119,'Axe 2 Règles de gestion'!$D$2:$F$125,3, FALSE)</f>
        <v>La date de fin réelle du congé/absence doit être antérieure à la date limite de départ à la retraite.</v>
      </c>
      <c r="AQ119" s="17" t="s">
        <v>99</v>
      </c>
      <c r="AR119" s="18" t="str">
        <f>VLOOKUP(AQ119,'Axe 2 Règles de gestion'!$D$2:$F$125,3, FALSE)</f>
        <v>La date de fin prévisionnelle du congé/absence doit être antérieure à la date limite de départ à la retraite.</v>
      </c>
      <c r="AS119" s="17" t="s">
        <v>101</v>
      </c>
      <c r="AT119" s="18" t="str">
        <f>VLOOKUP(AS119,'Axe 2 Règles de gestion'!$D$2:$F$125,3, FALSE)</f>
        <v>La date de fin réelle ou la date de fin prévisionnelle du congé/absence doit être saisie.</v>
      </c>
      <c r="AU119" s="17" t="s">
        <v>107</v>
      </c>
      <c r="AV119" s="18" t="str">
        <f>VLOOKUP(AU119,'Axe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119" s="17"/>
      <c r="AX119" s="18"/>
      <c r="AY119" s="17"/>
      <c r="AZ119" s="18"/>
      <c r="BA119" s="17"/>
      <c r="BB119" s="18"/>
      <c r="BC119" s="17"/>
      <c r="BD119" s="18"/>
      <c r="BE119" s="17"/>
      <c r="BF119" s="18"/>
      <c r="BG119" s="14" t="s">
        <v>74</v>
      </c>
      <c r="BH119" s="16" t="s">
        <v>74</v>
      </c>
    </row>
    <row r="120" spans="1:60" ht="58" x14ac:dyDescent="0.35">
      <c r="A120" s="14" t="s">
        <v>113</v>
      </c>
      <c r="B120" s="14" t="s">
        <v>62</v>
      </c>
      <c r="C120" s="15">
        <v>44852.620833333334</v>
      </c>
      <c r="D120" s="14" t="s">
        <v>63</v>
      </c>
      <c r="E120" s="16" t="s">
        <v>64</v>
      </c>
      <c r="F120" s="14" t="s">
        <v>65</v>
      </c>
      <c r="G120" s="16" t="s">
        <v>66</v>
      </c>
      <c r="H120" s="14" t="s">
        <v>308</v>
      </c>
      <c r="I120" s="16" t="s">
        <v>309</v>
      </c>
      <c r="J120" s="16" t="s">
        <v>310</v>
      </c>
      <c r="K120" s="16" t="s">
        <v>311</v>
      </c>
      <c r="L120" s="14" t="s">
        <v>312</v>
      </c>
      <c r="M120" s="16" t="s">
        <v>313</v>
      </c>
      <c r="N120" s="14" t="s">
        <v>73</v>
      </c>
      <c r="O120" s="16" t="s">
        <v>74</v>
      </c>
      <c r="P120" s="16" t="s">
        <v>74</v>
      </c>
      <c r="Q120" s="16" t="s">
        <v>164</v>
      </c>
      <c r="R120" s="14" t="s">
        <v>165</v>
      </c>
      <c r="S120" s="14" t="s">
        <v>120</v>
      </c>
      <c r="T120" s="14" t="s">
        <v>145</v>
      </c>
      <c r="U120" s="14" t="s">
        <v>117</v>
      </c>
      <c r="V120" s="15">
        <v>40725</v>
      </c>
      <c r="W120" s="15"/>
      <c r="X120" s="16" t="s">
        <v>74</v>
      </c>
      <c r="Y120" s="17"/>
      <c r="Z120" s="18"/>
      <c r="AA120" s="17"/>
      <c r="AB120" s="18"/>
      <c r="AC120" s="17"/>
      <c r="AD120" s="18"/>
      <c r="AE120" s="17"/>
      <c r="AF120" s="18"/>
      <c r="AG120" s="17"/>
      <c r="AH120" s="18"/>
      <c r="AI120" s="17"/>
      <c r="AJ120" s="18"/>
      <c r="AK120" s="17"/>
      <c r="AL120" s="18"/>
      <c r="AM120" s="17"/>
      <c r="AN120" s="18"/>
      <c r="AO120" s="17"/>
      <c r="AP120" s="18"/>
      <c r="AQ120" s="17"/>
      <c r="AR120" s="18"/>
      <c r="AS120" s="17"/>
      <c r="AT120" s="18"/>
      <c r="AU120" s="17"/>
      <c r="AV120" s="18"/>
      <c r="AW120" s="17"/>
      <c r="AX120" s="18"/>
      <c r="AY120" s="17"/>
      <c r="AZ120" s="18"/>
      <c r="BA120" s="17"/>
      <c r="BB120" s="18"/>
      <c r="BC120" s="17"/>
      <c r="BD120" s="18"/>
      <c r="BE120" s="17"/>
      <c r="BF120" s="18"/>
      <c r="BG120" s="14" t="s">
        <v>74</v>
      </c>
      <c r="BH120" s="16" t="s">
        <v>74</v>
      </c>
    </row>
    <row r="121" spans="1:60" ht="58" x14ac:dyDescent="0.35">
      <c r="A121" s="14" t="s">
        <v>113</v>
      </c>
      <c r="B121" s="14" t="s">
        <v>62</v>
      </c>
      <c r="C121" s="15">
        <v>44852.625694444447</v>
      </c>
      <c r="D121" s="14" t="s">
        <v>63</v>
      </c>
      <c r="E121" s="16" t="s">
        <v>64</v>
      </c>
      <c r="F121" s="14" t="s">
        <v>65</v>
      </c>
      <c r="G121" s="16" t="s">
        <v>66</v>
      </c>
      <c r="H121" s="14" t="s">
        <v>308</v>
      </c>
      <c r="I121" s="16" t="s">
        <v>309</v>
      </c>
      <c r="J121" s="16" t="s">
        <v>310</v>
      </c>
      <c r="K121" s="16" t="s">
        <v>311</v>
      </c>
      <c r="L121" s="14" t="s">
        <v>319</v>
      </c>
      <c r="M121" s="16" t="s">
        <v>320</v>
      </c>
      <c r="N121" s="14" t="s">
        <v>111</v>
      </c>
      <c r="O121" s="16" t="s">
        <v>74</v>
      </c>
      <c r="P121" s="16" t="s">
        <v>74</v>
      </c>
      <c r="Q121" s="16" t="s">
        <v>164</v>
      </c>
      <c r="R121" s="14" t="s">
        <v>165</v>
      </c>
      <c r="S121" s="14" t="s">
        <v>120</v>
      </c>
      <c r="T121" s="14" t="s">
        <v>145</v>
      </c>
      <c r="U121" s="14" t="s">
        <v>117</v>
      </c>
      <c r="V121" s="15">
        <v>40725</v>
      </c>
      <c r="W121" s="15"/>
      <c r="X121" s="16" t="s">
        <v>74</v>
      </c>
      <c r="Y121" s="17"/>
      <c r="Z121" s="18"/>
      <c r="AA121" s="17"/>
      <c r="AB121" s="18"/>
      <c r="AC121" s="17"/>
      <c r="AD121" s="18"/>
      <c r="AE121" s="17"/>
      <c r="AF121" s="18"/>
      <c r="AG121" s="17"/>
      <c r="AH121" s="18"/>
      <c r="AI121" s="17"/>
      <c r="AJ121" s="18"/>
      <c r="AK121" s="17"/>
      <c r="AL121" s="18"/>
      <c r="AM121" s="17"/>
      <c r="AN121" s="18"/>
      <c r="AO121" s="17"/>
      <c r="AP121" s="18"/>
      <c r="AQ121" s="17"/>
      <c r="AR121" s="18"/>
      <c r="AS121" s="17"/>
      <c r="AT121" s="18"/>
      <c r="AU121" s="17"/>
      <c r="AV121" s="18"/>
      <c r="AW121" s="17"/>
      <c r="AX121" s="18"/>
      <c r="AY121" s="17"/>
      <c r="AZ121" s="18"/>
      <c r="BA121" s="17"/>
      <c r="BB121" s="18"/>
      <c r="BC121" s="17"/>
      <c r="BD121" s="18"/>
      <c r="BE121" s="17"/>
      <c r="BF121" s="18"/>
      <c r="BG121" s="14" t="s">
        <v>74</v>
      </c>
      <c r="BH121" s="16" t="s">
        <v>74</v>
      </c>
    </row>
    <row r="122" spans="1:60" ht="58" x14ac:dyDescent="0.35">
      <c r="A122" s="14" t="s">
        <v>113</v>
      </c>
      <c r="B122" s="14" t="s">
        <v>62</v>
      </c>
      <c r="C122" s="15">
        <v>44852.620833333334</v>
      </c>
      <c r="D122" s="14" t="s">
        <v>63</v>
      </c>
      <c r="E122" s="16" t="s">
        <v>64</v>
      </c>
      <c r="F122" s="14" t="s">
        <v>65</v>
      </c>
      <c r="G122" s="16" t="s">
        <v>66</v>
      </c>
      <c r="H122" s="14" t="s">
        <v>308</v>
      </c>
      <c r="I122" s="16" t="s">
        <v>309</v>
      </c>
      <c r="J122" s="16" t="s">
        <v>310</v>
      </c>
      <c r="K122" s="16" t="s">
        <v>311</v>
      </c>
      <c r="L122" s="14" t="s">
        <v>312</v>
      </c>
      <c r="M122" s="16" t="s">
        <v>313</v>
      </c>
      <c r="N122" s="14" t="s">
        <v>73</v>
      </c>
      <c r="O122" s="16" t="s">
        <v>74</v>
      </c>
      <c r="P122" s="16" t="s">
        <v>74</v>
      </c>
      <c r="Q122" s="16" t="s">
        <v>166</v>
      </c>
      <c r="R122" s="14" t="s">
        <v>167</v>
      </c>
      <c r="S122" s="14" t="s">
        <v>120</v>
      </c>
      <c r="T122" s="14" t="s">
        <v>145</v>
      </c>
      <c r="U122" s="14" t="s">
        <v>117</v>
      </c>
      <c r="V122" s="15">
        <v>40725</v>
      </c>
      <c r="W122" s="15"/>
      <c r="X122" s="16" t="s">
        <v>74</v>
      </c>
      <c r="Y122" s="17"/>
      <c r="Z122" s="18"/>
      <c r="AA122" s="17"/>
      <c r="AB122" s="18"/>
      <c r="AC122" s="17"/>
      <c r="AD122" s="18"/>
      <c r="AE122" s="17"/>
      <c r="AF122" s="18"/>
      <c r="AG122" s="17"/>
      <c r="AH122" s="18"/>
      <c r="AI122" s="17"/>
      <c r="AJ122" s="18"/>
      <c r="AK122" s="17"/>
      <c r="AL122" s="18"/>
      <c r="AM122" s="17"/>
      <c r="AN122" s="18"/>
      <c r="AO122" s="17"/>
      <c r="AP122" s="18"/>
      <c r="AQ122" s="17"/>
      <c r="AR122" s="18"/>
      <c r="AS122" s="17"/>
      <c r="AT122" s="18"/>
      <c r="AU122" s="17"/>
      <c r="AV122" s="18"/>
      <c r="AW122" s="17"/>
      <c r="AX122" s="18"/>
      <c r="AY122" s="17"/>
      <c r="AZ122" s="18"/>
      <c r="BA122" s="17"/>
      <c r="BB122" s="18"/>
      <c r="BC122" s="17"/>
      <c r="BD122" s="18"/>
      <c r="BE122" s="17"/>
      <c r="BF122" s="18"/>
      <c r="BG122" s="14" t="s">
        <v>74</v>
      </c>
      <c r="BH122" s="16" t="s">
        <v>74</v>
      </c>
    </row>
    <row r="123" spans="1:60" ht="58" x14ac:dyDescent="0.35">
      <c r="A123" s="14" t="s">
        <v>113</v>
      </c>
      <c r="B123" s="14" t="s">
        <v>62</v>
      </c>
      <c r="C123" s="15">
        <v>44852.625694444447</v>
      </c>
      <c r="D123" s="14" t="s">
        <v>63</v>
      </c>
      <c r="E123" s="16" t="s">
        <v>64</v>
      </c>
      <c r="F123" s="14" t="s">
        <v>65</v>
      </c>
      <c r="G123" s="16" t="s">
        <v>66</v>
      </c>
      <c r="H123" s="14" t="s">
        <v>308</v>
      </c>
      <c r="I123" s="16" t="s">
        <v>309</v>
      </c>
      <c r="J123" s="16" t="s">
        <v>310</v>
      </c>
      <c r="K123" s="16" t="s">
        <v>311</v>
      </c>
      <c r="L123" s="14" t="s">
        <v>319</v>
      </c>
      <c r="M123" s="16" t="s">
        <v>320</v>
      </c>
      <c r="N123" s="14" t="s">
        <v>111</v>
      </c>
      <c r="O123" s="16" t="s">
        <v>74</v>
      </c>
      <c r="P123" s="16" t="s">
        <v>74</v>
      </c>
      <c r="Q123" s="16" t="s">
        <v>166</v>
      </c>
      <c r="R123" s="14" t="s">
        <v>167</v>
      </c>
      <c r="S123" s="14" t="s">
        <v>120</v>
      </c>
      <c r="T123" s="14" t="s">
        <v>145</v>
      </c>
      <c r="U123" s="14" t="s">
        <v>117</v>
      </c>
      <c r="V123" s="15">
        <v>40725</v>
      </c>
      <c r="W123" s="15"/>
      <c r="X123" s="16" t="s">
        <v>74</v>
      </c>
      <c r="Y123" s="17"/>
      <c r="Z123" s="18"/>
      <c r="AA123" s="17"/>
      <c r="AB123" s="18"/>
      <c r="AC123" s="17"/>
      <c r="AD123" s="18"/>
      <c r="AE123" s="17"/>
      <c r="AF123" s="18"/>
      <c r="AG123" s="17"/>
      <c r="AH123" s="18"/>
      <c r="AI123" s="17"/>
      <c r="AJ123" s="18"/>
      <c r="AK123" s="17"/>
      <c r="AL123" s="18"/>
      <c r="AM123" s="17"/>
      <c r="AN123" s="18"/>
      <c r="AO123" s="17"/>
      <c r="AP123" s="18"/>
      <c r="AQ123" s="17"/>
      <c r="AR123" s="18"/>
      <c r="AS123" s="17"/>
      <c r="AT123" s="18"/>
      <c r="AU123" s="17"/>
      <c r="AV123" s="18"/>
      <c r="AW123" s="17"/>
      <c r="AX123" s="18"/>
      <c r="AY123" s="17"/>
      <c r="AZ123" s="18"/>
      <c r="BA123" s="17"/>
      <c r="BB123" s="18"/>
      <c r="BC123" s="17"/>
      <c r="BD123" s="18"/>
      <c r="BE123" s="17"/>
      <c r="BF123" s="18"/>
      <c r="BG123" s="14" t="s">
        <v>74</v>
      </c>
      <c r="BH123" s="16" t="s">
        <v>74</v>
      </c>
    </row>
    <row r="124" spans="1:60" ht="130.5" x14ac:dyDescent="0.35">
      <c r="A124" s="14" t="s">
        <v>113</v>
      </c>
      <c r="B124" s="14" t="s">
        <v>62</v>
      </c>
      <c r="C124" s="15">
        <v>44852.620833333334</v>
      </c>
      <c r="D124" s="14" t="s">
        <v>63</v>
      </c>
      <c r="E124" s="16" t="s">
        <v>64</v>
      </c>
      <c r="F124" s="14" t="s">
        <v>65</v>
      </c>
      <c r="G124" s="16" t="s">
        <v>66</v>
      </c>
      <c r="H124" s="14" t="s">
        <v>308</v>
      </c>
      <c r="I124" s="16" t="s">
        <v>309</v>
      </c>
      <c r="J124" s="16" t="s">
        <v>310</v>
      </c>
      <c r="K124" s="16" t="s">
        <v>311</v>
      </c>
      <c r="L124" s="14" t="s">
        <v>312</v>
      </c>
      <c r="M124" s="16" t="s">
        <v>313</v>
      </c>
      <c r="N124" s="14" t="s">
        <v>73</v>
      </c>
      <c r="O124" s="16" t="s">
        <v>74</v>
      </c>
      <c r="P124" s="16" t="s">
        <v>74</v>
      </c>
      <c r="Q124" s="16" t="s">
        <v>168</v>
      </c>
      <c r="R124" s="14" t="s">
        <v>169</v>
      </c>
      <c r="S124" s="14" t="s">
        <v>120</v>
      </c>
      <c r="T124" s="14" t="s">
        <v>145</v>
      </c>
      <c r="U124" s="14" t="s">
        <v>79</v>
      </c>
      <c r="V124" s="15">
        <v>40725</v>
      </c>
      <c r="W124" s="15"/>
      <c r="X124" s="16" t="s">
        <v>327</v>
      </c>
      <c r="Y124" s="17" t="s">
        <v>328</v>
      </c>
      <c r="Z124" s="18" t="str">
        <f>VLOOKUP(Y124,'Axe 2 Règles de gestion'!$D$2:$F$125,3, FALSE)</f>
        <v>L'agent bénéficie des dispositions applicables aux agents titulaires pour la période d'activité effectuée au sein de la police nationale.</v>
      </c>
      <c r="AA124" s="17" t="s">
        <v>315</v>
      </c>
      <c r="AB124" s="18" t="str">
        <f>VLOOKUP(AA124,'Axe 2 Règles de gestion'!$D$2:$F$125,3, FALSE)</f>
        <v>L'agent qui suit une formation professionnelle durant ses activités n'est pas tenu de solliciter l'accord de son employeur.</v>
      </c>
      <c r="AC124" s="17" t="s">
        <v>317</v>
      </c>
      <c r="AD124" s="18" t="str">
        <f>VLOOKUP(AC124,'Axe 2 Règles de gestion'!$D$2:$F$125,3, FALSE)</f>
        <v>L'accord de l'administration est nécessaire dès que l'agent dépasse 10 jours ouvrés d'absence par année civile.</v>
      </c>
      <c r="AE124" s="17"/>
      <c r="AF124" s="18"/>
      <c r="AG124" s="17" t="s">
        <v>329</v>
      </c>
      <c r="AH124" s="18" t="str">
        <f>VLOOKUP(AG124,'Axe 2 Règles de gestion'!$D$2:$F$125,3, FALSE)</f>
        <v>La durée du congé doit être inférieure ou égale à 45 jours cumulés par année civile.</v>
      </c>
      <c r="AI124" s="17" t="s">
        <v>190</v>
      </c>
      <c r="AJ124" s="18" t="str">
        <f>VLOOKUP(AI124,'Axe 2 Règles de gestion'!$D$2:$F$125,3, FALSE)</f>
        <v>L'agent doit être en activité.</v>
      </c>
      <c r="AK124" s="17" t="s">
        <v>91</v>
      </c>
      <c r="AL124" s="18" t="str">
        <f>VLOOKUP(AK124,'Axe 2 Règles de gestion'!$D$2:$F$125,3, FALSE)</f>
        <v>La date de début du congé/absence doit être postérieure ou égale à la date de recrutement dans la FPE ou dans la carrière militaire.</v>
      </c>
      <c r="AM124" s="17" t="s">
        <v>93</v>
      </c>
      <c r="AN124" s="18" t="str">
        <f>VLOOKUP(AM124,'Axe 2 Règles de gestion'!$D$2:$F$125,3, FALSE)</f>
        <v>La date de début du congé/absence doit être antérieure ou égale à la date de fin réelle du congé/absence.</v>
      </c>
      <c r="AO124" s="17" t="s">
        <v>95</v>
      </c>
      <c r="AP124" s="18" t="str">
        <f>VLOOKUP(AO124,'Axe 2 Règles de gestion'!$D$2:$F$125,3, FALSE)</f>
        <v>La date de début du congé/absence doit être antérieure ou égale à la date de fin prévisionnelle du congé/absence.</v>
      </c>
      <c r="AQ124" s="17" t="s">
        <v>97</v>
      </c>
      <c r="AR124" s="18" t="str">
        <f>VLOOKUP(AQ124,'Axe 2 Règles de gestion'!$D$2:$F$125,3, FALSE)</f>
        <v>La date de fin réelle du congé/absence doit être antérieure à la date limite de départ à la retraite.</v>
      </c>
      <c r="AS124" s="17" t="s">
        <v>99</v>
      </c>
      <c r="AT124" s="18" t="str">
        <f>VLOOKUP(AS124,'Axe 2 Règles de gestion'!$D$2:$F$125,3, FALSE)</f>
        <v>La date de fin prévisionnelle du congé/absence doit être antérieure à la date limite de départ à la retraite.</v>
      </c>
      <c r="AU124" s="17" t="s">
        <v>101</v>
      </c>
      <c r="AV124" s="18" t="str">
        <f>VLOOKUP(AU124,'Axe 2 Règles de gestion'!$D$2:$F$125,3, FALSE)</f>
        <v>La date de fin réelle ou la date de fin prévisionnelle du congé/absence doit être saisie.</v>
      </c>
      <c r="AW124" s="17" t="s">
        <v>103</v>
      </c>
      <c r="AX124" s="18" t="str">
        <f>VLOOKUP(AW124,'Axe 2 Règles de gestion'!$D$2:$F$125,3, FALSE)</f>
        <v>Si l'absence ne commence pas par une demi-journée et si l'absence précédente ne finit pas par une demi journée, la date de début de l'absence saisie est postérieure à la date de fin réelle de l'absence précédente.</v>
      </c>
      <c r="AY124" s="17" t="s">
        <v>105</v>
      </c>
      <c r="AZ124" s="18" t="str">
        <f>VLOOKUP(AY124,'Axe 2 Règles de gestion'!$D$2:$F$125,3,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A124" s="17" t="s">
        <v>107</v>
      </c>
      <c r="BB124" s="18" t="str">
        <f>VLOOKUP(BA124,'Axe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C124" s="17"/>
      <c r="BD124" s="18"/>
      <c r="BE124" s="17"/>
      <c r="BF124" s="18"/>
      <c r="BG124" s="14" t="s">
        <v>74</v>
      </c>
      <c r="BH124" s="16" t="s">
        <v>74</v>
      </c>
    </row>
    <row r="125" spans="1:60" ht="116" x14ac:dyDescent="0.35">
      <c r="A125" s="14" t="s">
        <v>113</v>
      </c>
      <c r="B125" s="14" t="s">
        <v>62</v>
      </c>
      <c r="C125" s="15">
        <v>44852.625694444447</v>
      </c>
      <c r="D125" s="14" t="s">
        <v>63</v>
      </c>
      <c r="E125" s="16" t="s">
        <v>64</v>
      </c>
      <c r="F125" s="14" t="s">
        <v>65</v>
      </c>
      <c r="G125" s="16" t="s">
        <v>66</v>
      </c>
      <c r="H125" s="14" t="s">
        <v>308</v>
      </c>
      <c r="I125" s="16" t="s">
        <v>309</v>
      </c>
      <c r="J125" s="16" t="s">
        <v>310</v>
      </c>
      <c r="K125" s="16" t="s">
        <v>311</v>
      </c>
      <c r="L125" s="14" t="s">
        <v>319</v>
      </c>
      <c r="M125" s="16" t="s">
        <v>320</v>
      </c>
      <c r="N125" s="14" t="s">
        <v>111</v>
      </c>
      <c r="O125" s="16" t="s">
        <v>74</v>
      </c>
      <c r="P125" s="16" t="s">
        <v>74</v>
      </c>
      <c r="Q125" s="16" t="s">
        <v>168</v>
      </c>
      <c r="R125" s="14" t="s">
        <v>169</v>
      </c>
      <c r="S125" s="14" t="s">
        <v>120</v>
      </c>
      <c r="T125" s="14" t="s">
        <v>145</v>
      </c>
      <c r="U125" s="14" t="s">
        <v>79</v>
      </c>
      <c r="V125" s="15">
        <v>40725</v>
      </c>
      <c r="W125" s="15"/>
      <c r="X125" s="16" t="s">
        <v>331</v>
      </c>
      <c r="Y125" s="17"/>
      <c r="Z125" s="18"/>
      <c r="AA125" s="17"/>
      <c r="AB125" s="18"/>
      <c r="AC125" s="17"/>
      <c r="AD125" s="18"/>
      <c r="AE125" s="17"/>
      <c r="AF125" s="18"/>
      <c r="AG125" s="17" t="s">
        <v>329</v>
      </c>
      <c r="AH125" s="18" t="str">
        <f>VLOOKUP(AG125,'Axe 2 Règles de gestion'!$D$2:$F$125,3, FALSE)</f>
        <v>La durée du congé doit être inférieure ou égale à 45 jours cumulés par année civile.</v>
      </c>
      <c r="AI125" s="17" t="s">
        <v>190</v>
      </c>
      <c r="AJ125" s="18" t="str">
        <f>VLOOKUP(AI125,'Axe 2 Règles de gestion'!$D$2:$F$125,3, FALSE)</f>
        <v>L'agent doit être en activité.</v>
      </c>
      <c r="AK125" s="17" t="s">
        <v>93</v>
      </c>
      <c r="AL125" s="18" t="str">
        <f>VLOOKUP(AK125,'Axe 2 Règles de gestion'!$D$2:$F$125,3, FALSE)</f>
        <v>La date de début du congé/absence doit être antérieure ou égale à la date de fin réelle du congé/absence.</v>
      </c>
      <c r="AM125" s="17" t="s">
        <v>95</v>
      </c>
      <c r="AN125" s="18" t="str">
        <f>VLOOKUP(AM125,'Axe 2 Règles de gestion'!$D$2:$F$125,3, FALSE)</f>
        <v>La date de début du congé/absence doit être antérieure ou égale à la date de fin prévisionnelle du congé/absence.</v>
      </c>
      <c r="AO125" s="17" t="s">
        <v>97</v>
      </c>
      <c r="AP125" s="18" t="str">
        <f>VLOOKUP(AO125,'Axe 2 Règles de gestion'!$D$2:$F$125,3, FALSE)</f>
        <v>La date de fin réelle du congé/absence doit être antérieure à la date limite de départ à la retraite.</v>
      </c>
      <c r="AQ125" s="17" t="s">
        <v>99</v>
      </c>
      <c r="AR125" s="18" t="str">
        <f>VLOOKUP(AQ125,'Axe 2 Règles de gestion'!$D$2:$F$125,3, FALSE)</f>
        <v>La date de fin prévisionnelle du congé/absence doit être antérieure à la date limite de départ à la retraite.</v>
      </c>
      <c r="AS125" s="17" t="s">
        <v>101</v>
      </c>
      <c r="AT125" s="18" t="str">
        <f>VLOOKUP(AS125,'Axe 2 Règles de gestion'!$D$2:$F$125,3, FALSE)</f>
        <v>La date de fin réelle ou la date de fin prévisionnelle du congé/absence doit être saisie.</v>
      </c>
      <c r="AU125" s="17" t="s">
        <v>107</v>
      </c>
      <c r="AV125" s="18" t="str">
        <f>VLOOKUP(AU125,'Axe 2 Règles de gestion'!$D$2:$F$125,3,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AW125" s="17"/>
      <c r="AX125" s="18"/>
      <c r="AY125" s="17"/>
      <c r="AZ125" s="18"/>
      <c r="BA125" s="17"/>
      <c r="BB125" s="18"/>
      <c r="BC125" s="17"/>
      <c r="BD125" s="18"/>
      <c r="BE125" s="17"/>
      <c r="BF125" s="18"/>
      <c r="BG125" s="14" t="s">
        <v>74</v>
      </c>
      <c r="BH125" s="16" t="s">
        <v>74</v>
      </c>
    </row>
    <row r="126" spans="1:60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74</v>
      </c>
      <c r="K126" s="20" t="s">
        <v>74</v>
      </c>
      <c r="L126" s="20"/>
      <c r="M126" s="20"/>
      <c r="N126" s="20" t="s">
        <v>74</v>
      </c>
      <c r="O126" s="20" t="s">
        <v>74</v>
      </c>
      <c r="P126" s="20" t="s">
        <v>74</v>
      </c>
      <c r="Q126" s="20"/>
      <c r="R126" s="20"/>
      <c r="T126" s="20"/>
      <c r="U126" s="19"/>
      <c r="V126" s="22"/>
      <c r="W126" s="22"/>
      <c r="X126" s="20"/>
      <c r="BG126" s="25"/>
      <c r="BH126" s="20"/>
    </row>
    <row r="127" spans="1:60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74</v>
      </c>
      <c r="K127" s="20" t="s">
        <v>74</v>
      </c>
      <c r="L127" s="20"/>
      <c r="M127" s="20"/>
      <c r="N127" s="20" t="s">
        <v>74</v>
      </c>
      <c r="O127" s="20" t="s">
        <v>74</v>
      </c>
      <c r="P127" s="20" t="s">
        <v>74</v>
      </c>
      <c r="Q127" s="20"/>
      <c r="R127" s="20"/>
      <c r="T127" s="20"/>
      <c r="U127" s="19"/>
      <c r="V127" s="22"/>
      <c r="W127" s="22"/>
      <c r="X127" s="20"/>
      <c r="BG127" s="25"/>
      <c r="BH127" s="20"/>
    </row>
    <row r="128" spans="1:60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74</v>
      </c>
      <c r="K128" s="20" t="s">
        <v>74</v>
      </c>
      <c r="L128" s="20"/>
      <c r="M128" s="20"/>
      <c r="N128" s="20" t="s">
        <v>74</v>
      </c>
      <c r="O128" s="20" t="s">
        <v>74</v>
      </c>
      <c r="P128" s="20" t="s">
        <v>74</v>
      </c>
      <c r="Q128" s="20"/>
      <c r="R128" s="20"/>
      <c r="T128" s="20"/>
      <c r="U128" s="19"/>
      <c r="V128" s="22"/>
      <c r="W128" s="22"/>
      <c r="X128" s="20"/>
      <c r="BG128" s="25"/>
      <c r="BH128" s="20"/>
    </row>
    <row r="129" spans="1:60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74</v>
      </c>
      <c r="K129" s="20" t="s">
        <v>74</v>
      </c>
      <c r="L129" s="20"/>
      <c r="M129" s="20"/>
      <c r="N129" s="20" t="s">
        <v>74</v>
      </c>
      <c r="O129" s="20" t="s">
        <v>74</v>
      </c>
      <c r="P129" s="20" t="s">
        <v>74</v>
      </c>
      <c r="Q129" s="20"/>
      <c r="R129" s="20"/>
      <c r="T129" s="20"/>
      <c r="U129" s="19"/>
      <c r="V129" s="22"/>
      <c r="W129" s="22"/>
      <c r="X129" s="20"/>
      <c r="BG129" s="25"/>
      <c r="BH129" s="20"/>
    </row>
    <row r="130" spans="1:60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74</v>
      </c>
      <c r="K130" s="20" t="s">
        <v>74</v>
      </c>
      <c r="L130" s="20"/>
      <c r="M130" s="20"/>
      <c r="N130" s="20" t="s">
        <v>74</v>
      </c>
      <c r="O130" s="20" t="s">
        <v>74</v>
      </c>
      <c r="P130" s="20" t="s">
        <v>74</v>
      </c>
      <c r="Q130" s="20"/>
      <c r="R130" s="20"/>
      <c r="T130" s="20"/>
      <c r="U130" s="19"/>
      <c r="V130" s="22"/>
      <c r="W130" s="22"/>
      <c r="X130" s="20"/>
      <c r="BG130" s="25"/>
      <c r="BH130" s="20"/>
    </row>
    <row r="131" spans="1:60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74</v>
      </c>
      <c r="K131" s="20" t="s">
        <v>74</v>
      </c>
      <c r="L131" s="20"/>
      <c r="M131" s="20"/>
      <c r="N131" s="20" t="s">
        <v>74</v>
      </c>
      <c r="O131" s="20" t="s">
        <v>74</v>
      </c>
      <c r="P131" s="20" t="s">
        <v>74</v>
      </c>
      <c r="Q131" s="20"/>
      <c r="R131" s="20"/>
      <c r="T131" s="20"/>
      <c r="U131" s="19"/>
      <c r="V131" s="22"/>
      <c r="W131" s="22"/>
      <c r="X131" s="20"/>
      <c r="BG131" s="25"/>
      <c r="BH131" s="20"/>
    </row>
    <row r="132" spans="1:60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74</v>
      </c>
      <c r="K132" s="20" t="s">
        <v>74</v>
      </c>
      <c r="L132" s="20"/>
      <c r="M132" s="20"/>
      <c r="N132" s="20" t="s">
        <v>74</v>
      </c>
      <c r="O132" s="20" t="s">
        <v>74</v>
      </c>
      <c r="P132" s="20" t="s">
        <v>74</v>
      </c>
      <c r="Q132" s="20"/>
      <c r="R132" s="20"/>
      <c r="T132" s="20"/>
      <c r="U132" s="19"/>
      <c r="V132" s="22"/>
      <c r="W132" s="22"/>
      <c r="X132" s="20"/>
      <c r="BG132" s="25"/>
      <c r="BH132" s="20"/>
    </row>
    <row r="133" spans="1:60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74</v>
      </c>
      <c r="K133" s="20" t="s">
        <v>74</v>
      </c>
      <c r="L133" s="20"/>
      <c r="M133" s="20"/>
      <c r="N133" s="20" t="s">
        <v>74</v>
      </c>
      <c r="O133" s="20" t="s">
        <v>74</v>
      </c>
      <c r="P133" s="20" t="s">
        <v>74</v>
      </c>
      <c r="Q133" s="20"/>
      <c r="R133" s="20"/>
      <c r="T133" s="20"/>
      <c r="U133" s="19"/>
      <c r="V133" s="22"/>
      <c r="W133" s="22"/>
      <c r="X133" s="20"/>
      <c r="BG133" s="25"/>
      <c r="BH133" s="20"/>
    </row>
    <row r="134" spans="1:60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74</v>
      </c>
      <c r="K134" s="20" t="s">
        <v>74</v>
      </c>
      <c r="L134" s="20"/>
      <c r="M134" s="20"/>
      <c r="N134" s="20" t="s">
        <v>74</v>
      </c>
      <c r="O134" s="20" t="s">
        <v>74</v>
      </c>
      <c r="P134" s="20" t="s">
        <v>74</v>
      </c>
      <c r="Q134" s="20"/>
      <c r="R134" s="20"/>
      <c r="T134" s="20"/>
      <c r="U134" s="19"/>
      <c r="V134" s="22"/>
      <c r="W134" s="22"/>
      <c r="X134" s="20"/>
      <c r="BG134" s="25"/>
      <c r="BH134" s="20"/>
    </row>
    <row r="135" spans="1:60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74</v>
      </c>
      <c r="K135" s="20" t="s">
        <v>74</v>
      </c>
      <c r="L135" s="20"/>
      <c r="M135" s="20"/>
      <c r="N135" s="20" t="s">
        <v>74</v>
      </c>
      <c r="O135" s="20" t="s">
        <v>74</v>
      </c>
      <c r="P135" s="20" t="s">
        <v>74</v>
      </c>
      <c r="Q135" s="20"/>
      <c r="R135" s="20"/>
      <c r="T135" s="20"/>
      <c r="U135" s="19"/>
      <c r="V135" s="22"/>
      <c r="W135" s="22"/>
      <c r="X135" s="20"/>
      <c r="BG135" s="25"/>
      <c r="BH135" s="20"/>
    </row>
    <row r="136" spans="1:60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74</v>
      </c>
      <c r="K136" s="20" t="s">
        <v>74</v>
      </c>
      <c r="L136" s="20"/>
      <c r="M136" s="20"/>
      <c r="N136" s="20" t="s">
        <v>74</v>
      </c>
      <c r="O136" s="20" t="s">
        <v>74</v>
      </c>
      <c r="P136" s="20" t="s">
        <v>74</v>
      </c>
      <c r="Q136" s="20"/>
      <c r="R136" s="20"/>
      <c r="T136" s="20"/>
      <c r="U136" s="19"/>
      <c r="V136" s="22"/>
      <c r="W136" s="22"/>
      <c r="X136" s="20"/>
      <c r="BG136" s="25"/>
      <c r="BH136" s="20"/>
    </row>
    <row r="137" spans="1:60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74</v>
      </c>
      <c r="K137" s="20" t="s">
        <v>74</v>
      </c>
      <c r="L137" s="20"/>
      <c r="M137" s="20"/>
      <c r="N137" s="20" t="s">
        <v>74</v>
      </c>
      <c r="O137" s="20" t="s">
        <v>74</v>
      </c>
      <c r="P137" s="20" t="s">
        <v>74</v>
      </c>
      <c r="Q137" s="20"/>
      <c r="R137" s="20"/>
      <c r="T137" s="20"/>
      <c r="U137" s="19"/>
      <c r="V137" s="22"/>
      <c r="W137" s="22"/>
      <c r="X137" s="20"/>
      <c r="BG137" s="25"/>
      <c r="BH137" s="20"/>
    </row>
    <row r="138" spans="1:60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74</v>
      </c>
      <c r="K138" s="20" t="s">
        <v>74</v>
      </c>
      <c r="L138" s="20"/>
      <c r="M138" s="20"/>
      <c r="N138" s="20" t="s">
        <v>74</v>
      </c>
      <c r="O138" s="20" t="s">
        <v>74</v>
      </c>
      <c r="P138" s="20" t="s">
        <v>74</v>
      </c>
      <c r="Q138" s="20"/>
      <c r="R138" s="20"/>
      <c r="T138" s="20"/>
      <c r="U138" s="19"/>
      <c r="V138" s="22"/>
      <c r="W138" s="22"/>
      <c r="X138" s="20"/>
      <c r="BG138" s="25"/>
      <c r="BH138" s="20"/>
    </row>
    <row r="139" spans="1:60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74</v>
      </c>
      <c r="K139" s="20" t="s">
        <v>74</v>
      </c>
      <c r="L139" s="20"/>
      <c r="M139" s="20"/>
      <c r="N139" s="20" t="s">
        <v>74</v>
      </c>
      <c r="O139" s="20" t="s">
        <v>74</v>
      </c>
      <c r="P139" s="20" t="s">
        <v>74</v>
      </c>
      <c r="Q139" s="20"/>
      <c r="R139" s="20"/>
      <c r="T139" s="20"/>
      <c r="U139" s="19"/>
      <c r="V139" s="22"/>
      <c r="W139" s="22"/>
      <c r="X139" s="20"/>
      <c r="BG139" s="25"/>
      <c r="BH139" s="20"/>
    </row>
    <row r="140" spans="1:60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74</v>
      </c>
      <c r="K140" s="20" t="s">
        <v>74</v>
      </c>
      <c r="L140" s="20"/>
      <c r="M140" s="20"/>
      <c r="N140" s="20" t="s">
        <v>74</v>
      </c>
      <c r="O140" s="20" t="s">
        <v>74</v>
      </c>
      <c r="P140" s="20" t="s">
        <v>74</v>
      </c>
      <c r="Q140" s="20"/>
      <c r="R140" s="20"/>
      <c r="T140" s="20"/>
      <c r="U140" s="19"/>
      <c r="V140" s="22"/>
      <c r="W140" s="22"/>
      <c r="X140" s="20"/>
      <c r="BG140" s="25"/>
      <c r="BH140" s="20"/>
    </row>
    <row r="141" spans="1:60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74</v>
      </c>
      <c r="K141" s="20" t="s">
        <v>74</v>
      </c>
      <c r="L141" s="20"/>
      <c r="M141" s="20"/>
      <c r="N141" s="20" t="s">
        <v>74</v>
      </c>
      <c r="O141" s="20" t="s">
        <v>74</v>
      </c>
      <c r="P141" s="20" t="s">
        <v>74</v>
      </c>
      <c r="Q141" s="20"/>
      <c r="R141" s="20"/>
      <c r="T141" s="20"/>
      <c r="U141" s="19"/>
      <c r="V141" s="22"/>
      <c r="W141" s="22"/>
      <c r="X141" s="20"/>
      <c r="BG141" s="25"/>
      <c r="BH141" s="20"/>
    </row>
    <row r="142" spans="1:60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74</v>
      </c>
      <c r="K142" s="20" t="s">
        <v>74</v>
      </c>
      <c r="L142" s="20"/>
      <c r="M142" s="20"/>
      <c r="N142" s="20" t="s">
        <v>74</v>
      </c>
      <c r="O142" s="20" t="s">
        <v>74</v>
      </c>
      <c r="P142" s="20" t="s">
        <v>74</v>
      </c>
      <c r="Q142" s="20"/>
      <c r="R142" s="20"/>
      <c r="T142" s="20"/>
      <c r="U142" s="19"/>
      <c r="V142" s="22"/>
      <c r="W142" s="22"/>
      <c r="X142" s="20"/>
      <c r="BG142" s="25"/>
      <c r="BH142" s="20"/>
    </row>
    <row r="143" spans="1:60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74</v>
      </c>
      <c r="K143" s="20" t="s">
        <v>74</v>
      </c>
      <c r="L143" s="20"/>
      <c r="M143" s="20"/>
      <c r="N143" s="20" t="s">
        <v>74</v>
      </c>
      <c r="O143" s="20" t="s">
        <v>74</v>
      </c>
      <c r="P143" s="20" t="s">
        <v>74</v>
      </c>
      <c r="Q143" s="20"/>
      <c r="R143" s="20"/>
      <c r="T143" s="20"/>
      <c r="U143" s="19"/>
      <c r="V143" s="22"/>
      <c r="W143" s="22"/>
      <c r="X143" s="20"/>
      <c r="BG143" s="25"/>
      <c r="BH143" s="20"/>
    </row>
    <row r="144" spans="1:60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74</v>
      </c>
      <c r="K144" s="20" t="s">
        <v>74</v>
      </c>
      <c r="L144" s="20"/>
      <c r="M144" s="20"/>
      <c r="N144" s="20" t="s">
        <v>74</v>
      </c>
      <c r="O144" s="20" t="s">
        <v>74</v>
      </c>
      <c r="P144" s="20" t="s">
        <v>74</v>
      </c>
      <c r="Q144" s="20"/>
      <c r="R144" s="20"/>
      <c r="T144" s="20"/>
      <c r="U144" s="19"/>
      <c r="V144" s="22"/>
      <c r="W144" s="22"/>
      <c r="X144" s="20"/>
      <c r="BG144" s="25"/>
      <c r="BH144" s="20"/>
    </row>
    <row r="145" spans="1:60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74</v>
      </c>
      <c r="K145" s="20" t="s">
        <v>74</v>
      </c>
      <c r="L145" s="20"/>
      <c r="M145" s="20"/>
      <c r="N145" s="20" t="s">
        <v>74</v>
      </c>
      <c r="O145" s="20" t="s">
        <v>74</v>
      </c>
      <c r="P145" s="20" t="s">
        <v>74</v>
      </c>
      <c r="Q145" s="20"/>
      <c r="R145" s="20"/>
      <c r="T145" s="20"/>
      <c r="U145" s="19"/>
      <c r="V145" s="22"/>
      <c r="W145" s="22"/>
      <c r="X145" s="20"/>
      <c r="BG145" s="25"/>
      <c r="BH145" s="20"/>
    </row>
    <row r="146" spans="1:60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74</v>
      </c>
      <c r="K146" s="20" t="s">
        <v>74</v>
      </c>
      <c r="L146" s="20"/>
      <c r="M146" s="20"/>
      <c r="N146" s="20" t="s">
        <v>74</v>
      </c>
      <c r="O146" s="20" t="s">
        <v>74</v>
      </c>
      <c r="P146" s="20" t="s">
        <v>74</v>
      </c>
      <c r="Q146" s="20"/>
      <c r="R146" s="20"/>
      <c r="T146" s="20"/>
      <c r="U146" s="19"/>
      <c r="V146" s="22"/>
      <c r="W146" s="22"/>
      <c r="X146" s="20"/>
      <c r="BG146" s="25"/>
      <c r="BH146" s="20"/>
    </row>
    <row r="147" spans="1:60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74</v>
      </c>
      <c r="K147" s="20" t="s">
        <v>74</v>
      </c>
      <c r="L147" s="20"/>
      <c r="M147" s="20"/>
      <c r="N147" s="20" t="s">
        <v>74</v>
      </c>
      <c r="O147" s="20" t="s">
        <v>74</v>
      </c>
      <c r="P147" s="20" t="s">
        <v>74</v>
      </c>
      <c r="Q147" s="20"/>
      <c r="R147" s="20"/>
      <c r="T147" s="20"/>
      <c r="U147" s="19"/>
      <c r="V147" s="22"/>
      <c r="W147" s="22"/>
      <c r="X147" s="20"/>
      <c r="BG147" s="25"/>
      <c r="BH147" s="20"/>
    </row>
    <row r="148" spans="1:60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74</v>
      </c>
      <c r="K148" s="20" t="s">
        <v>74</v>
      </c>
      <c r="L148" s="20"/>
      <c r="M148" s="20"/>
      <c r="N148" s="20" t="s">
        <v>74</v>
      </c>
      <c r="O148" s="20" t="s">
        <v>74</v>
      </c>
      <c r="P148" s="20" t="s">
        <v>74</v>
      </c>
      <c r="Q148" s="20"/>
      <c r="R148" s="20"/>
      <c r="T148" s="20"/>
      <c r="U148" s="19"/>
      <c r="V148" s="22"/>
      <c r="W148" s="22"/>
      <c r="X148" s="20"/>
      <c r="BG148" s="25"/>
      <c r="BH148" s="20"/>
    </row>
    <row r="149" spans="1:60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74</v>
      </c>
      <c r="K149" s="20" t="s">
        <v>74</v>
      </c>
      <c r="L149" s="20"/>
      <c r="M149" s="20"/>
      <c r="N149" s="20" t="s">
        <v>74</v>
      </c>
      <c r="O149" s="20" t="s">
        <v>74</v>
      </c>
      <c r="P149" s="20" t="s">
        <v>74</v>
      </c>
      <c r="Q149" s="20"/>
      <c r="R149" s="20"/>
      <c r="T149" s="20"/>
      <c r="U149" s="19"/>
      <c r="V149" s="22"/>
      <c r="W149" s="22"/>
      <c r="X149" s="20"/>
      <c r="BG149" s="25"/>
      <c r="BH149" s="20"/>
    </row>
    <row r="150" spans="1:60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74</v>
      </c>
      <c r="K150" s="20" t="s">
        <v>74</v>
      </c>
      <c r="L150" s="20"/>
      <c r="M150" s="20"/>
      <c r="N150" s="20" t="s">
        <v>74</v>
      </c>
      <c r="O150" s="20" t="s">
        <v>74</v>
      </c>
      <c r="P150" s="20" t="s">
        <v>74</v>
      </c>
      <c r="Q150" s="20"/>
      <c r="R150" s="20"/>
      <c r="T150" s="20"/>
      <c r="U150" s="19"/>
      <c r="V150" s="22"/>
      <c r="W150" s="22"/>
      <c r="X150" s="20"/>
      <c r="BG150" s="25"/>
      <c r="BH150" s="20"/>
    </row>
    <row r="151" spans="1:60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74</v>
      </c>
      <c r="K151" s="20" t="s">
        <v>74</v>
      </c>
      <c r="L151" s="20"/>
      <c r="M151" s="20"/>
      <c r="N151" s="20" t="s">
        <v>74</v>
      </c>
      <c r="O151" s="20" t="s">
        <v>74</v>
      </c>
      <c r="P151" s="20" t="s">
        <v>74</v>
      </c>
      <c r="Q151" s="20"/>
      <c r="R151" s="20"/>
      <c r="T151" s="20"/>
      <c r="U151" s="19"/>
      <c r="V151" s="22"/>
      <c r="W151" s="22"/>
      <c r="X151" s="20"/>
      <c r="BG151" s="25"/>
      <c r="BH151" s="20"/>
    </row>
    <row r="152" spans="1:60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74</v>
      </c>
      <c r="K152" s="20" t="s">
        <v>74</v>
      </c>
      <c r="L152" s="20"/>
      <c r="M152" s="20"/>
      <c r="N152" s="20" t="s">
        <v>74</v>
      </c>
      <c r="O152" s="20" t="s">
        <v>74</v>
      </c>
      <c r="P152" s="20" t="s">
        <v>74</v>
      </c>
      <c r="Q152" s="20"/>
      <c r="R152" s="20"/>
      <c r="T152" s="20"/>
      <c r="U152" s="19"/>
      <c r="V152" s="22"/>
      <c r="W152" s="22"/>
      <c r="X152" s="20"/>
      <c r="BG152" s="25"/>
      <c r="BH152" s="20"/>
    </row>
    <row r="153" spans="1:60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74</v>
      </c>
      <c r="K153" s="20" t="s">
        <v>74</v>
      </c>
      <c r="L153" s="20"/>
      <c r="M153" s="20"/>
      <c r="N153" s="20" t="s">
        <v>74</v>
      </c>
      <c r="O153" s="20" t="s">
        <v>74</v>
      </c>
      <c r="P153" s="20" t="s">
        <v>74</v>
      </c>
      <c r="Q153" s="20"/>
      <c r="R153" s="20"/>
      <c r="T153" s="20"/>
      <c r="U153" s="19"/>
      <c r="V153" s="22"/>
      <c r="W153" s="22"/>
      <c r="X153" s="20"/>
      <c r="BG153" s="25"/>
      <c r="BH153" s="20"/>
    </row>
    <row r="154" spans="1:60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74</v>
      </c>
      <c r="K154" s="20" t="s">
        <v>74</v>
      </c>
      <c r="L154" s="20"/>
      <c r="M154" s="20"/>
      <c r="N154" s="20" t="s">
        <v>74</v>
      </c>
      <c r="O154" s="20" t="s">
        <v>74</v>
      </c>
      <c r="P154" s="20" t="s">
        <v>74</v>
      </c>
      <c r="Q154" s="20"/>
      <c r="R154" s="20"/>
      <c r="T154" s="20"/>
      <c r="U154" s="19"/>
      <c r="V154" s="22"/>
      <c r="W154" s="22"/>
      <c r="X154" s="20"/>
      <c r="BG154" s="25"/>
      <c r="BH154" s="20"/>
    </row>
    <row r="155" spans="1:60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74</v>
      </c>
      <c r="K155" s="20" t="s">
        <v>74</v>
      </c>
      <c r="L155" s="20"/>
      <c r="M155" s="20"/>
      <c r="N155" s="20" t="s">
        <v>74</v>
      </c>
      <c r="O155" s="20" t="s">
        <v>74</v>
      </c>
      <c r="P155" s="20" t="s">
        <v>74</v>
      </c>
      <c r="Q155" s="20"/>
      <c r="R155" s="20"/>
      <c r="T155" s="20"/>
      <c r="U155" s="19"/>
      <c r="V155" s="22"/>
      <c r="W155" s="22"/>
      <c r="X155" s="20"/>
      <c r="BG155" s="25"/>
      <c r="BH155" s="20"/>
    </row>
    <row r="156" spans="1:60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74</v>
      </c>
      <c r="K156" s="20" t="s">
        <v>74</v>
      </c>
      <c r="L156" s="20"/>
      <c r="M156" s="20"/>
      <c r="N156" s="20" t="s">
        <v>74</v>
      </c>
      <c r="O156" s="20" t="s">
        <v>74</v>
      </c>
      <c r="P156" s="20" t="s">
        <v>74</v>
      </c>
      <c r="Q156" s="20"/>
      <c r="R156" s="20"/>
      <c r="T156" s="20"/>
      <c r="U156" s="19"/>
      <c r="V156" s="22"/>
      <c r="W156" s="22"/>
      <c r="X156" s="20"/>
      <c r="BG156" s="25"/>
      <c r="BH156" s="20"/>
    </row>
    <row r="157" spans="1:60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74</v>
      </c>
      <c r="K157" s="20" t="s">
        <v>74</v>
      </c>
      <c r="L157" s="20"/>
      <c r="M157" s="20"/>
      <c r="N157" s="20" t="s">
        <v>74</v>
      </c>
      <c r="O157" s="20" t="s">
        <v>74</v>
      </c>
      <c r="P157" s="20" t="s">
        <v>74</v>
      </c>
      <c r="Q157" s="20"/>
      <c r="R157" s="20"/>
      <c r="T157" s="20"/>
      <c r="U157" s="19"/>
      <c r="V157" s="22"/>
      <c r="W157" s="22"/>
      <c r="X157" s="20"/>
      <c r="BG157" s="25"/>
      <c r="BH157" s="20"/>
    </row>
    <row r="158" spans="1:60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74</v>
      </c>
      <c r="K158" s="20" t="s">
        <v>74</v>
      </c>
      <c r="L158" s="20"/>
      <c r="M158" s="20"/>
      <c r="N158" s="20" t="s">
        <v>74</v>
      </c>
      <c r="O158" s="20" t="s">
        <v>74</v>
      </c>
      <c r="P158" s="20" t="s">
        <v>74</v>
      </c>
      <c r="Q158" s="20"/>
      <c r="R158" s="20"/>
      <c r="T158" s="20"/>
      <c r="U158" s="19"/>
      <c r="V158" s="22"/>
      <c r="W158" s="22"/>
      <c r="X158" s="20"/>
      <c r="BG158" s="25"/>
      <c r="BH158" s="20"/>
    </row>
    <row r="159" spans="1:60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74</v>
      </c>
      <c r="K159" s="20" t="s">
        <v>74</v>
      </c>
      <c r="L159" s="20"/>
      <c r="M159" s="20"/>
      <c r="N159" s="20" t="s">
        <v>74</v>
      </c>
      <c r="O159" s="20" t="s">
        <v>74</v>
      </c>
      <c r="P159" s="20" t="s">
        <v>74</v>
      </c>
      <c r="Q159" s="20"/>
      <c r="R159" s="20"/>
      <c r="T159" s="20"/>
      <c r="U159" s="19"/>
      <c r="V159" s="22"/>
      <c r="W159" s="22"/>
      <c r="X159" s="20"/>
      <c r="BG159" s="25"/>
      <c r="BH159" s="20"/>
    </row>
    <row r="160" spans="1:60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74</v>
      </c>
      <c r="K160" s="20" t="s">
        <v>74</v>
      </c>
      <c r="L160" s="20"/>
      <c r="M160" s="20"/>
      <c r="N160" s="20" t="s">
        <v>74</v>
      </c>
      <c r="O160" s="20" t="s">
        <v>74</v>
      </c>
      <c r="P160" s="20" t="s">
        <v>74</v>
      </c>
      <c r="Q160" s="20"/>
      <c r="R160" s="20"/>
      <c r="T160" s="20"/>
      <c r="U160" s="19"/>
      <c r="V160" s="22"/>
      <c r="W160" s="22"/>
      <c r="X160" s="20"/>
      <c r="BG160" s="25"/>
      <c r="BH160" s="20"/>
    </row>
    <row r="161" spans="1:60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74</v>
      </c>
      <c r="K161" s="20" t="s">
        <v>74</v>
      </c>
      <c r="L161" s="20"/>
      <c r="M161" s="20"/>
      <c r="N161" s="20" t="s">
        <v>74</v>
      </c>
      <c r="O161" s="20" t="s">
        <v>74</v>
      </c>
      <c r="P161" s="20" t="s">
        <v>74</v>
      </c>
      <c r="Q161" s="20"/>
      <c r="R161" s="20"/>
      <c r="T161" s="20"/>
      <c r="U161" s="19"/>
      <c r="V161" s="22"/>
      <c r="W161" s="22"/>
      <c r="X161" s="20"/>
      <c r="BG161" s="25"/>
      <c r="BH161" s="20"/>
    </row>
    <row r="162" spans="1:60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74</v>
      </c>
      <c r="K162" s="20" t="s">
        <v>74</v>
      </c>
      <c r="L162" s="20"/>
      <c r="M162" s="20"/>
      <c r="N162" s="20" t="s">
        <v>74</v>
      </c>
      <c r="O162" s="20" t="s">
        <v>74</v>
      </c>
      <c r="P162" s="20" t="s">
        <v>74</v>
      </c>
      <c r="Q162" s="20"/>
      <c r="R162" s="20"/>
      <c r="T162" s="20"/>
      <c r="U162" s="19"/>
      <c r="V162" s="22"/>
      <c r="W162" s="22"/>
      <c r="X162" s="20"/>
      <c r="BG162" s="25"/>
      <c r="BH162" s="20"/>
    </row>
    <row r="163" spans="1:60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74</v>
      </c>
      <c r="K163" s="20" t="s">
        <v>74</v>
      </c>
      <c r="L163" s="20"/>
      <c r="M163" s="20"/>
      <c r="N163" s="20" t="s">
        <v>74</v>
      </c>
      <c r="O163" s="20" t="s">
        <v>74</v>
      </c>
      <c r="P163" s="20" t="s">
        <v>74</v>
      </c>
      <c r="Q163" s="20"/>
      <c r="R163" s="20"/>
      <c r="T163" s="20"/>
      <c r="U163" s="19"/>
      <c r="V163" s="22"/>
      <c r="W163" s="22"/>
      <c r="X163" s="20"/>
      <c r="BG163" s="25"/>
      <c r="BH163" s="20"/>
    </row>
    <row r="164" spans="1:60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74</v>
      </c>
      <c r="K164" s="20" t="s">
        <v>74</v>
      </c>
      <c r="L164" s="20"/>
      <c r="M164" s="20"/>
      <c r="N164" s="20" t="s">
        <v>74</v>
      </c>
      <c r="O164" s="20" t="s">
        <v>74</v>
      </c>
      <c r="P164" s="20" t="s">
        <v>74</v>
      </c>
      <c r="Q164" s="20"/>
      <c r="R164" s="20"/>
      <c r="T164" s="20"/>
      <c r="U164" s="19"/>
      <c r="V164" s="22"/>
      <c r="W164" s="22"/>
      <c r="X164" s="20"/>
      <c r="BG164" s="25"/>
      <c r="BH164" s="20"/>
    </row>
    <row r="165" spans="1:60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74</v>
      </c>
      <c r="K165" s="20" t="s">
        <v>74</v>
      </c>
      <c r="L165" s="20"/>
      <c r="M165" s="20"/>
      <c r="N165" s="20" t="s">
        <v>74</v>
      </c>
      <c r="O165" s="20" t="s">
        <v>74</v>
      </c>
      <c r="P165" s="20" t="s">
        <v>74</v>
      </c>
      <c r="Q165" s="20"/>
      <c r="R165" s="20"/>
      <c r="T165" s="20"/>
      <c r="U165" s="19"/>
      <c r="V165" s="22"/>
      <c r="W165" s="22"/>
      <c r="X165" s="20"/>
      <c r="BG165" s="25"/>
      <c r="BH165" s="20"/>
    </row>
    <row r="166" spans="1:60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74</v>
      </c>
      <c r="K166" s="20" t="s">
        <v>74</v>
      </c>
      <c r="L166" s="20"/>
      <c r="M166" s="20"/>
      <c r="N166" s="20" t="s">
        <v>74</v>
      </c>
      <c r="O166" s="20" t="s">
        <v>74</v>
      </c>
      <c r="P166" s="20" t="s">
        <v>74</v>
      </c>
      <c r="Q166" s="20"/>
      <c r="R166" s="20"/>
      <c r="T166" s="20"/>
      <c r="U166" s="19"/>
      <c r="V166" s="22"/>
      <c r="W166" s="22"/>
      <c r="X166" s="20"/>
      <c r="BG166" s="25"/>
      <c r="BH166" s="20"/>
    </row>
    <row r="167" spans="1:60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74</v>
      </c>
      <c r="K167" s="20" t="s">
        <v>74</v>
      </c>
      <c r="L167" s="20"/>
      <c r="M167" s="20"/>
      <c r="N167" s="20" t="s">
        <v>74</v>
      </c>
      <c r="O167" s="20" t="s">
        <v>74</v>
      </c>
      <c r="P167" s="20" t="s">
        <v>74</v>
      </c>
      <c r="Q167" s="20"/>
      <c r="R167" s="20"/>
      <c r="T167" s="20"/>
      <c r="U167" s="19"/>
      <c r="V167" s="22"/>
      <c r="W167" s="22"/>
      <c r="X167" s="20"/>
      <c r="BG167" s="25"/>
      <c r="BH167" s="20"/>
    </row>
    <row r="168" spans="1:60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74</v>
      </c>
      <c r="K168" s="20" t="s">
        <v>74</v>
      </c>
      <c r="L168" s="20"/>
      <c r="M168" s="20"/>
      <c r="N168" s="20" t="s">
        <v>74</v>
      </c>
      <c r="O168" s="20" t="s">
        <v>74</v>
      </c>
      <c r="P168" s="20" t="s">
        <v>74</v>
      </c>
      <c r="Q168" s="20"/>
      <c r="R168" s="20"/>
      <c r="T168" s="20"/>
      <c r="U168" s="19"/>
      <c r="V168" s="22"/>
      <c r="W168" s="22"/>
      <c r="X168" s="20"/>
      <c r="BG168" s="25"/>
      <c r="BH168" s="20"/>
    </row>
    <row r="169" spans="1:60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74</v>
      </c>
      <c r="K169" s="20" t="s">
        <v>74</v>
      </c>
      <c r="L169" s="20"/>
      <c r="M169" s="20"/>
      <c r="N169" s="20" t="s">
        <v>74</v>
      </c>
      <c r="O169" s="20" t="s">
        <v>74</v>
      </c>
      <c r="P169" s="20" t="s">
        <v>74</v>
      </c>
      <c r="Q169" s="20"/>
      <c r="R169" s="20"/>
      <c r="T169" s="20"/>
      <c r="U169" s="19"/>
      <c r="V169" s="22"/>
      <c r="W169" s="22"/>
      <c r="X169" s="20"/>
      <c r="BG169" s="25"/>
      <c r="BH169" s="20"/>
    </row>
    <row r="170" spans="1:60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74</v>
      </c>
      <c r="K170" s="20" t="s">
        <v>74</v>
      </c>
      <c r="L170" s="20"/>
      <c r="M170" s="20"/>
      <c r="N170" s="20" t="s">
        <v>74</v>
      </c>
      <c r="O170" s="20" t="s">
        <v>74</v>
      </c>
      <c r="P170" s="20" t="s">
        <v>74</v>
      </c>
      <c r="Q170" s="20"/>
      <c r="R170" s="20"/>
      <c r="T170" s="20"/>
      <c r="U170" s="19"/>
      <c r="V170" s="22"/>
      <c r="W170" s="22"/>
      <c r="X170" s="20"/>
      <c r="BG170" s="25"/>
      <c r="BH170" s="20"/>
    </row>
    <row r="171" spans="1:60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74</v>
      </c>
      <c r="K171" s="20" t="s">
        <v>74</v>
      </c>
      <c r="L171" s="20"/>
      <c r="M171" s="20"/>
      <c r="N171" s="20" t="s">
        <v>74</v>
      </c>
      <c r="O171" s="20" t="s">
        <v>74</v>
      </c>
      <c r="P171" s="20" t="s">
        <v>74</v>
      </c>
      <c r="Q171" s="20"/>
      <c r="R171" s="20"/>
      <c r="T171" s="20"/>
      <c r="U171" s="19"/>
      <c r="V171" s="22"/>
      <c r="W171" s="22"/>
      <c r="X171" s="20"/>
      <c r="BG171" s="25"/>
      <c r="BH171" s="20"/>
    </row>
    <row r="172" spans="1:60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74</v>
      </c>
      <c r="K172" s="20" t="s">
        <v>74</v>
      </c>
      <c r="L172" s="20"/>
      <c r="M172" s="20"/>
      <c r="N172" s="20" t="s">
        <v>74</v>
      </c>
      <c r="O172" s="20" t="s">
        <v>74</v>
      </c>
      <c r="P172" s="20" t="s">
        <v>74</v>
      </c>
      <c r="Q172" s="20"/>
      <c r="R172" s="20"/>
      <c r="T172" s="20"/>
      <c r="U172" s="19"/>
      <c r="V172" s="22"/>
      <c r="W172" s="22"/>
      <c r="X172" s="20"/>
      <c r="BG172" s="25"/>
      <c r="BH172" s="20"/>
    </row>
    <row r="173" spans="1:60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74</v>
      </c>
      <c r="K173" s="20" t="s">
        <v>74</v>
      </c>
      <c r="L173" s="20"/>
      <c r="M173" s="20"/>
      <c r="N173" s="20" t="s">
        <v>74</v>
      </c>
      <c r="O173" s="20" t="s">
        <v>74</v>
      </c>
      <c r="P173" s="20" t="s">
        <v>74</v>
      </c>
      <c r="Q173" s="20"/>
      <c r="R173" s="20"/>
      <c r="T173" s="20"/>
      <c r="U173" s="19"/>
      <c r="V173" s="22"/>
      <c r="W173" s="22"/>
      <c r="X173" s="20"/>
      <c r="BG173" s="25"/>
      <c r="BH173" s="20"/>
    </row>
    <row r="174" spans="1:60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74</v>
      </c>
      <c r="K174" s="20" t="s">
        <v>74</v>
      </c>
      <c r="L174" s="20"/>
      <c r="M174" s="20"/>
      <c r="N174" s="20" t="s">
        <v>74</v>
      </c>
      <c r="O174" s="20" t="s">
        <v>74</v>
      </c>
      <c r="P174" s="20" t="s">
        <v>74</v>
      </c>
      <c r="Q174" s="20"/>
      <c r="R174" s="20"/>
      <c r="T174" s="20"/>
      <c r="U174" s="19"/>
      <c r="V174" s="22"/>
      <c r="W174" s="22"/>
      <c r="X174" s="20"/>
      <c r="BG174" s="25"/>
      <c r="BH174" s="20"/>
    </row>
    <row r="175" spans="1:60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74</v>
      </c>
      <c r="K175" s="20" t="s">
        <v>74</v>
      </c>
      <c r="L175" s="20"/>
      <c r="M175" s="20"/>
      <c r="N175" s="20" t="s">
        <v>74</v>
      </c>
      <c r="O175" s="20" t="s">
        <v>74</v>
      </c>
      <c r="P175" s="20" t="s">
        <v>74</v>
      </c>
      <c r="Q175" s="20"/>
      <c r="R175" s="20"/>
      <c r="T175" s="20"/>
      <c r="U175" s="19"/>
      <c r="V175" s="22"/>
      <c r="W175" s="22"/>
      <c r="X175" s="20"/>
      <c r="BG175" s="25"/>
      <c r="BH175" s="20"/>
    </row>
    <row r="176" spans="1:60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74</v>
      </c>
      <c r="K176" s="20" t="s">
        <v>74</v>
      </c>
      <c r="L176" s="20"/>
      <c r="M176" s="20"/>
      <c r="N176" s="20" t="s">
        <v>74</v>
      </c>
      <c r="O176" s="20" t="s">
        <v>74</v>
      </c>
      <c r="P176" s="20" t="s">
        <v>74</v>
      </c>
      <c r="Q176" s="20"/>
      <c r="R176" s="20"/>
      <c r="T176" s="20"/>
      <c r="U176" s="19"/>
      <c r="V176" s="22"/>
      <c r="W176" s="22"/>
      <c r="X176" s="20"/>
      <c r="BG176" s="25"/>
      <c r="BH176" s="20"/>
    </row>
    <row r="177" spans="1:60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74</v>
      </c>
      <c r="K177" s="20" t="s">
        <v>74</v>
      </c>
      <c r="L177" s="20"/>
      <c r="M177" s="20"/>
      <c r="N177" s="20" t="s">
        <v>74</v>
      </c>
      <c r="O177" s="20" t="s">
        <v>74</v>
      </c>
      <c r="P177" s="20" t="s">
        <v>74</v>
      </c>
      <c r="Q177" s="20"/>
      <c r="R177" s="20"/>
      <c r="T177" s="20"/>
      <c r="U177" s="19"/>
      <c r="V177" s="22"/>
      <c r="W177" s="22"/>
      <c r="X177" s="20"/>
      <c r="BG177" s="25"/>
      <c r="BH177" s="20"/>
    </row>
    <row r="178" spans="1:60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74</v>
      </c>
      <c r="K178" s="20" t="s">
        <v>74</v>
      </c>
      <c r="L178" s="20"/>
      <c r="M178" s="20"/>
      <c r="N178" s="20" t="s">
        <v>74</v>
      </c>
      <c r="O178" s="20" t="s">
        <v>74</v>
      </c>
      <c r="P178" s="20" t="s">
        <v>74</v>
      </c>
      <c r="Q178" s="20"/>
      <c r="R178" s="20"/>
      <c r="T178" s="20"/>
      <c r="U178" s="19"/>
      <c r="V178" s="22"/>
      <c r="W178" s="22"/>
      <c r="X178" s="20"/>
      <c r="BG178" s="25"/>
      <c r="BH178" s="20"/>
    </row>
    <row r="179" spans="1:60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74</v>
      </c>
      <c r="K179" s="20" t="s">
        <v>74</v>
      </c>
      <c r="L179" s="20"/>
      <c r="M179" s="20"/>
      <c r="N179" s="20" t="s">
        <v>74</v>
      </c>
      <c r="O179" s="20" t="s">
        <v>74</v>
      </c>
      <c r="P179" s="20" t="s">
        <v>74</v>
      </c>
      <c r="Q179" s="20"/>
      <c r="R179" s="20"/>
      <c r="T179" s="20"/>
      <c r="U179" s="19"/>
      <c r="V179" s="22"/>
      <c r="W179" s="22"/>
      <c r="X179" s="20"/>
      <c r="BG179" s="25"/>
      <c r="BH179" s="20"/>
    </row>
    <row r="180" spans="1:60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74</v>
      </c>
      <c r="K180" s="20" t="s">
        <v>74</v>
      </c>
      <c r="L180" s="20"/>
      <c r="M180" s="20"/>
      <c r="N180" s="20" t="s">
        <v>74</v>
      </c>
      <c r="O180" s="20" t="s">
        <v>74</v>
      </c>
      <c r="P180" s="20" t="s">
        <v>74</v>
      </c>
      <c r="Q180" s="20"/>
      <c r="R180" s="20"/>
      <c r="T180" s="20"/>
      <c r="U180" s="19"/>
      <c r="V180" s="22"/>
      <c r="W180" s="22"/>
      <c r="X180" s="20"/>
      <c r="BG180" s="25"/>
      <c r="BH180" s="20"/>
    </row>
    <row r="181" spans="1:60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74</v>
      </c>
      <c r="K181" s="20" t="s">
        <v>74</v>
      </c>
      <c r="L181" s="20"/>
      <c r="M181" s="20"/>
      <c r="N181" s="20" t="s">
        <v>74</v>
      </c>
      <c r="O181" s="20" t="s">
        <v>74</v>
      </c>
      <c r="P181" s="20" t="s">
        <v>74</v>
      </c>
      <c r="Q181" s="20"/>
      <c r="R181" s="20"/>
      <c r="T181" s="20"/>
      <c r="U181" s="19"/>
      <c r="V181" s="22"/>
      <c r="W181" s="22"/>
      <c r="X181" s="20"/>
      <c r="BG181" s="25"/>
      <c r="BH181" s="20"/>
    </row>
    <row r="182" spans="1:60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74</v>
      </c>
      <c r="K182" s="20" t="s">
        <v>74</v>
      </c>
      <c r="L182" s="20"/>
      <c r="M182" s="20"/>
      <c r="N182" s="20" t="s">
        <v>74</v>
      </c>
      <c r="O182" s="20" t="s">
        <v>74</v>
      </c>
      <c r="P182" s="20" t="s">
        <v>74</v>
      </c>
      <c r="Q182" s="20"/>
      <c r="R182" s="20"/>
      <c r="T182" s="20"/>
      <c r="U182" s="19"/>
      <c r="V182" s="22"/>
      <c r="W182" s="22"/>
      <c r="X182" s="20"/>
      <c r="BG182" s="25"/>
      <c r="BH182" s="20"/>
    </row>
    <row r="183" spans="1:60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74</v>
      </c>
      <c r="K183" s="20" t="s">
        <v>74</v>
      </c>
      <c r="L183" s="20"/>
      <c r="M183" s="20"/>
      <c r="N183" s="20" t="s">
        <v>74</v>
      </c>
      <c r="O183" s="20" t="s">
        <v>74</v>
      </c>
      <c r="P183" s="20" t="s">
        <v>74</v>
      </c>
      <c r="Q183" s="20"/>
      <c r="R183" s="20"/>
      <c r="T183" s="20"/>
      <c r="U183" s="19"/>
      <c r="V183" s="22"/>
      <c r="W183" s="22"/>
      <c r="X183" s="20"/>
      <c r="BG183" s="25"/>
      <c r="BH183" s="20"/>
    </row>
    <row r="184" spans="1:60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74</v>
      </c>
      <c r="K184" s="20" t="s">
        <v>74</v>
      </c>
      <c r="L184" s="20"/>
      <c r="M184" s="20"/>
      <c r="N184" s="20" t="s">
        <v>74</v>
      </c>
      <c r="O184" s="20" t="s">
        <v>74</v>
      </c>
      <c r="P184" s="20" t="s">
        <v>74</v>
      </c>
      <c r="Q184" s="20"/>
      <c r="R184" s="20"/>
      <c r="T184" s="20"/>
      <c r="U184" s="19"/>
      <c r="V184" s="22"/>
      <c r="W184" s="22"/>
      <c r="X184" s="20"/>
      <c r="BG184" s="25"/>
      <c r="BH184" s="20"/>
    </row>
    <row r="185" spans="1:60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74</v>
      </c>
      <c r="K185" s="20" t="s">
        <v>74</v>
      </c>
      <c r="L185" s="20"/>
      <c r="M185" s="20"/>
      <c r="N185" s="20" t="s">
        <v>74</v>
      </c>
      <c r="O185" s="20" t="s">
        <v>74</v>
      </c>
      <c r="P185" s="20" t="s">
        <v>74</v>
      </c>
      <c r="Q185" s="20"/>
      <c r="R185" s="20"/>
      <c r="T185" s="20"/>
      <c r="U185" s="19"/>
      <c r="V185" s="22"/>
      <c r="W185" s="22"/>
      <c r="X185" s="20"/>
      <c r="BG185" s="25"/>
      <c r="BH185" s="20"/>
    </row>
    <row r="186" spans="1:60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74</v>
      </c>
      <c r="K186" s="20" t="s">
        <v>74</v>
      </c>
      <c r="L186" s="20"/>
      <c r="M186" s="20"/>
      <c r="N186" s="20" t="s">
        <v>74</v>
      </c>
      <c r="O186" s="20" t="s">
        <v>74</v>
      </c>
      <c r="P186" s="20" t="s">
        <v>74</v>
      </c>
      <c r="Q186" s="20"/>
      <c r="R186" s="20"/>
      <c r="T186" s="20"/>
      <c r="U186" s="19"/>
      <c r="V186" s="22"/>
      <c r="W186" s="22"/>
      <c r="X186" s="20"/>
      <c r="BG186" s="25"/>
      <c r="BH186" s="20"/>
    </row>
    <row r="187" spans="1:60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74</v>
      </c>
      <c r="K187" s="20" t="s">
        <v>74</v>
      </c>
      <c r="L187" s="20"/>
      <c r="M187" s="20"/>
      <c r="N187" s="20" t="s">
        <v>74</v>
      </c>
      <c r="O187" s="20" t="s">
        <v>74</v>
      </c>
      <c r="P187" s="20" t="s">
        <v>74</v>
      </c>
      <c r="Q187" s="20"/>
      <c r="R187" s="20"/>
      <c r="T187" s="20"/>
      <c r="U187" s="19"/>
      <c r="V187" s="22"/>
      <c r="W187" s="22"/>
      <c r="X187" s="20"/>
      <c r="BG187" s="25"/>
      <c r="BH187" s="20"/>
    </row>
    <row r="188" spans="1:60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74</v>
      </c>
      <c r="K188" s="20" t="s">
        <v>74</v>
      </c>
      <c r="L188" s="20"/>
      <c r="M188" s="20"/>
      <c r="N188" s="20" t="s">
        <v>74</v>
      </c>
      <c r="O188" s="20" t="s">
        <v>74</v>
      </c>
      <c r="P188" s="20" t="s">
        <v>74</v>
      </c>
      <c r="Q188" s="20"/>
      <c r="R188" s="20"/>
      <c r="T188" s="20"/>
      <c r="U188" s="19"/>
      <c r="V188" s="22"/>
      <c r="W188" s="22"/>
      <c r="X188" s="20"/>
      <c r="BG188" s="25"/>
      <c r="BH188" s="20"/>
    </row>
    <row r="189" spans="1:60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74</v>
      </c>
      <c r="K189" s="20" t="s">
        <v>74</v>
      </c>
      <c r="L189" s="20"/>
      <c r="M189" s="20"/>
      <c r="N189" s="20" t="s">
        <v>74</v>
      </c>
      <c r="O189" s="20" t="s">
        <v>74</v>
      </c>
      <c r="P189" s="20" t="s">
        <v>74</v>
      </c>
      <c r="Q189" s="20"/>
      <c r="R189" s="20"/>
      <c r="T189" s="20"/>
      <c r="U189" s="19"/>
      <c r="V189" s="22"/>
      <c r="W189" s="22"/>
      <c r="X189" s="20"/>
      <c r="BG189" s="25"/>
      <c r="BH189" s="20"/>
    </row>
    <row r="190" spans="1:60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74</v>
      </c>
      <c r="K190" s="20" t="s">
        <v>74</v>
      </c>
      <c r="L190" s="20"/>
      <c r="M190" s="20"/>
      <c r="N190" s="20" t="s">
        <v>74</v>
      </c>
      <c r="O190" s="20" t="s">
        <v>74</v>
      </c>
      <c r="P190" s="20" t="s">
        <v>74</v>
      </c>
      <c r="Q190" s="20"/>
      <c r="R190" s="20"/>
      <c r="T190" s="20"/>
      <c r="U190" s="19"/>
      <c r="V190" s="22"/>
      <c r="W190" s="22"/>
      <c r="X190" s="20"/>
      <c r="BG190" s="25"/>
      <c r="BH190" s="20"/>
    </row>
    <row r="191" spans="1:60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74</v>
      </c>
      <c r="K191" s="20" t="s">
        <v>74</v>
      </c>
      <c r="L191" s="20"/>
      <c r="M191" s="20"/>
      <c r="N191" s="20" t="s">
        <v>74</v>
      </c>
      <c r="O191" s="20" t="s">
        <v>74</v>
      </c>
      <c r="P191" s="20" t="s">
        <v>74</v>
      </c>
      <c r="Q191" s="20"/>
      <c r="R191" s="20"/>
      <c r="T191" s="20"/>
      <c r="U191" s="19"/>
      <c r="V191" s="22"/>
      <c r="W191" s="22"/>
      <c r="X191" s="20"/>
      <c r="BG191" s="25"/>
      <c r="BH191" s="20"/>
    </row>
    <row r="192" spans="1:60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74</v>
      </c>
      <c r="K192" s="20" t="s">
        <v>74</v>
      </c>
      <c r="L192" s="20"/>
      <c r="M192" s="20"/>
      <c r="N192" s="20" t="s">
        <v>74</v>
      </c>
      <c r="O192" s="20" t="s">
        <v>74</v>
      </c>
      <c r="P192" s="20" t="s">
        <v>74</v>
      </c>
      <c r="Q192" s="20"/>
      <c r="R192" s="20"/>
      <c r="T192" s="20"/>
      <c r="U192" s="19"/>
      <c r="V192" s="22"/>
      <c r="W192" s="22"/>
      <c r="X192" s="20"/>
      <c r="BG192" s="25"/>
      <c r="BH192" s="20"/>
    </row>
    <row r="193" spans="1:60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74</v>
      </c>
      <c r="K193" s="20" t="s">
        <v>74</v>
      </c>
      <c r="L193" s="20"/>
      <c r="M193" s="20"/>
      <c r="N193" s="20" t="s">
        <v>74</v>
      </c>
      <c r="O193" s="20" t="s">
        <v>74</v>
      </c>
      <c r="P193" s="20" t="s">
        <v>74</v>
      </c>
      <c r="Q193" s="20"/>
      <c r="R193" s="20"/>
      <c r="T193" s="20"/>
      <c r="U193" s="19"/>
      <c r="V193" s="22"/>
      <c r="W193" s="22"/>
      <c r="X193" s="20"/>
      <c r="BG193" s="25"/>
      <c r="BH193" s="20"/>
    </row>
    <row r="194" spans="1:60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74</v>
      </c>
      <c r="K194" s="20" t="s">
        <v>74</v>
      </c>
      <c r="L194" s="20"/>
      <c r="M194" s="20"/>
      <c r="N194" s="20" t="s">
        <v>74</v>
      </c>
      <c r="O194" s="20" t="s">
        <v>74</v>
      </c>
      <c r="P194" s="20" t="s">
        <v>74</v>
      </c>
      <c r="Q194" s="20"/>
      <c r="R194" s="20"/>
      <c r="T194" s="20"/>
      <c r="U194" s="19"/>
      <c r="V194" s="22"/>
      <c r="W194" s="22"/>
      <c r="X194" s="20"/>
      <c r="BG194" s="25"/>
      <c r="BH194" s="20"/>
    </row>
    <row r="195" spans="1:60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74</v>
      </c>
      <c r="K195" s="20" t="s">
        <v>74</v>
      </c>
      <c r="L195" s="20"/>
      <c r="M195" s="20"/>
      <c r="N195" s="20" t="s">
        <v>74</v>
      </c>
      <c r="O195" s="20" t="s">
        <v>74</v>
      </c>
      <c r="P195" s="20" t="s">
        <v>74</v>
      </c>
      <c r="Q195" s="20"/>
      <c r="R195" s="20"/>
      <c r="T195" s="20"/>
      <c r="U195" s="19"/>
      <c r="V195" s="22"/>
      <c r="W195" s="22"/>
      <c r="X195" s="20"/>
      <c r="BG195" s="25"/>
      <c r="BH195" s="20"/>
    </row>
    <row r="196" spans="1:60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74</v>
      </c>
      <c r="K196" s="20" t="s">
        <v>74</v>
      </c>
      <c r="L196" s="20"/>
      <c r="M196" s="20"/>
      <c r="N196" s="20" t="s">
        <v>74</v>
      </c>
      <c r="O196" s="20" t="s">
        <v>74</v>
      </c>
      <c r="P196" s="20" t="s">
        <v>74</v>
      </c>
      <c r="Q196" s="20"/>
      <c r="R196" s="20"/>
      <c r="T196" s="20"/>
      <c r="U196" s="19"/>
      <c r="V196" s="22"/>
      <c r="W196" s="22"/>
      <c r="X196" s="20"/>
      <c r="BG196" s="25"/>
      <c r="BH196" s="20"/>
    </row>
    <row r="197" spans="1:60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74</v>
      </c>
      <c r="K197" s="20" t="s">
        <v>74</v>
      </c>
      <c r="L197" s="20"/>
      <c r="M197" s="20"/>
      <c r="N197" s="20" t="s">
        <v>74</v>
      </c>
      <c r="O197" s="20" t="s">
        <v>74</v>
      </c>
      <c r="P197" s="20" t="s">
        <v>74</v>
      </c>
      <c r="Q197" s="20"/>
      <c r="R197" s="20"/>
      <c r="T197" s="20"/>
      <c r="U197" s="19"/>
      <c r="V197" s="22"/>
      <c r="W197" s="22"/>
      <c r="X197" s="20"/>
      <c r="BG197" s="25"/>
      <c r="BH197" s="20"/>
    </row>
    <row r="198" spans="1:60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74</v>
      </c>
      <c r="K198" s="20" t="s">
        <v>74</v>
      </c>
      <c r="L198" s="20"/>
      <c r="M198" s="20"/>
      <c r="N198" s="20" t="s">
        <v>74</v>
      </c>
      <c r="O198" s="20" t="s">
        <v>74</v>
      </c>
      <c r="P198" s="20" t="s">
        <v>74</v>
      </c>
      <c r="Q198" s="20"/>
      <c r="R198" s="20"/>
      <c r="T198" s="20"/>
      <c r="U198" s="19"/>
      <c r="V198" s="22"/>
      <c r="W198" s="22"/>
      <c r="X198" s="20"/>
      <c r="BG198" s="25"/>
      <c r="BH198" s="20"/>
    </row>
    <row r="199" spans="1:60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74</v>
      </c>
      <c r="K199" s="20" t="s">
        <v>74</v>
      </c>
      <c r="L199" s="20"/>
      <c r="M199" s="20"/>
      <c r="N199" s="20" t="s">
        <v>74</v>
      </c>
      <c r="O199" s="20" t="s">
        <v>74</v>
      </c>
      <c r="P199" s="20" t="s">
        <v>74</v>
      </c>
      <c r="Q199" s="20"/>
      <c r="R199" s="20"/>
      <c r="T199" s="20"/>
      <c r="U199" s="19"/>
      <c r="V199" s="22"/>
      <c r="W199" s="22"/>
      <c r="X199" s="20"/>
      <c r="BG199" s="25"/>
      <c r="BH199" s="20"/>
    </row>
    <row r="200" spans="1:60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74</v>
      </c>
      <c r="K200" s="20" t="s">
        <v>74</v>
      </c>
      <c r="L200" s="20"/>
      <c r="M200" s="20"/>
      <c r="N200" s="20" t="s">
        <v>74</v>
      </c>
      <c r="O200" s="20" t="s">
        <v>74</v>
      </c>
      <c r="P200" s="20" t="s">
        <v>74</v>
      </c>
      <c r="Q200" s="20"/>
      <c r="R200" s="20"/>
      <c r="T200" s="20"/>
      <c r="U200" s="19"/>
      <c r="V200" s="22"/>
      <c r="W200" s="22"/>
      <c r="X200" s="20"/>
      <c r="BG200" s="25"/>
      <c r="BH200" s="20"/>
    </row>
    <row r="201" spans="1:60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74</v>
      </c>
      <c r="K201" s="20" t="s">
        <v>74</v>
      </c>
      <c r="L201" s="20"/>
      <c r="M201" s="20"/>
      <c r="N201" s="20" t="s">
        <v>74</v>
      </c>
      <c r="O201" s="20" t="s">
        <v>74</v>
      </c>
      <c r="P201" s="20" t="s">
        <v>74</v>
      </c>
      <c r="Q201" s="20"/>
      <c r="R201" s="20"/>
      <c r="T201" s="20"/>
      <c r="U201" s="19"/>
      <c r="V201" s="22"/>
      <c r="W201" s="22"/>
      <c r="X201" s="20"/>
      <c r="BG201" s="25"/>
      <c r="BH201" s="20"/>
    </row>
    <row r="202" spans="1:60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74</v>
      </c>
      <c r="K202" s="20" t="s">
        <v>74</v>
      </c>
      <c r="L202" s="20"/>
      <c r="M202" s="20"/>
      <c r="N202" s="20" t="s">
        <v>74</v>
      </c>
      <c r="O202" s="20" t="s">
        <v>74</v>
      </c>
      <c r="P202" s="20" t="s">
        <v>74</v>
      </c>
      <c r="Q202" s="20"/>
      <c r="R202" s="20"/>
      <c r="T202" s="20"/>
      <c r="U202" s="19"/>
      <c r="V202" s="22"/>
      <c r="W202" s="22"/>
      <c r="X202" s="20"/>
      <c r="BG202" s="25"/>
      <c r="BH202" s="20"/>
    </row>
    <row r="203" spans="1:60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74</v>
      </c>
      <c r="K203" s="20" t="s">
        <v>74</v>
      </c>
      <c r="L203" s="20"/>
      <c r="M203" s="20"/>
      <c r="N203" s="20" t="s">
        <v>74</v>
      </c>
      <c r="O203" s="20" t="s">
        <v>74</v>
      </c>
      <c r="P203" s="20" t="s">
        <v>74</v>
      </c>
      <c r="Q203" s="20"/>
      <c r="R203" s="20"/>
      <c r="T203" s="20"/>
      <c r="U203" s="19"/>
      <c r="V203" s="22"/>
      <c r="W203" s="22"/>
      <c r="X203" s="20"/>
      <c r="BG203" s="25"/>
      <c r="BH203" s="20"/>
    </row>
    <row r="204" spans="1:60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74</v>
      </c>
      <c r="K204" s="20" t="s">
        <v>74</v>
      </c>
      <c r="L204" s="20"/>
      <c r="M204" s="20"/>
      <c r="N204" s="20" t="s">
        <v>74</v>
      </c>
      <c r="O204" s="20" t="s">
        <v>74</v>
      </c>
      <c r="P204" s="20" t="s">
        <v>74</v>
      </c>
      <c r="Q204" s="20"/>
      <c r="R204" s="20"/>
      <c r="T204" s="20"/>
      <c r="U204" s="19"/>
      <c r="V204" s="22"/>
      <c r="W204" s="22"/>
      <c r="X204" s="20"/>
      <c r="BG204" s="25"/>
      <c r="BH204" s="20"/>
    </row>
    <row r="205" spans="1:60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74</v>
      </c>
      <c r="K205" s="20" t="s">
        <v>74</v>
      </c>
      <c r="L205" s="20"/>
      <c r="M205" s="20"/>
      <c r="N205" s="20" t="s">
        <v>74</v>
      </c>
      <c r="O205" s="20" t="s">
        <v>74</v>
      </c>
      <c r="P205" s="20" t="s">
        <v>74</v>
      </c>
      <c r="Q205" s="20"/>
      <c r="R205" s="20"/>
      <c r="T205" s="20"/>
      <c r="U205" s="19"/>
      <c r="V205" s="22"/>
      <c r="W205" s="22"/>
      <c r="X205" s="20"/>
      <c r="BG205" s="25"/>
      <c r="BH205" s="20"/>
    </row>
    <row r="206" spans="1:60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74</v>
      </c>
      <c r="K206" s="20" t="s">
        <v>74</v>
      </c>
      <c r="L206" s="20"/>
      <c r="M206" s="20"/>
      <c r="N206" s="20" t="s">
        <v>74</v>
      </c>
      <c r="O206" s="20" t="s">
        <v>74</v>
      </c>
      <c r="P206" s="20" t="s">
        <v>74</v>
      </c>
      <c r="Q206" s="20"/>
      <c r="R206" s="20"/>
      <c r="T206" s="20"/>
      <c r="U206" s="19"/>
      <c r="V206" s="22"/>
      <c r="W206" s="22"/>
      <c r="X206" s="20"/>
      <c r="BG206" s="25"/>
      <c r="BH206" s="20"/>
    </row>
    <row r="207" spans="1:60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74</v>
      </c>
      <c r="K207" s="20" t="s">
        <v>74</v>
      </c>
      <c r="L207" s="20"/>
      <c r="M207" s="20"/>
      <c r="N207" s="20" t="s">
        <v>74</v>
      </c>
      <c r="O207" s="20" t="s">
        <v>74</v>
      </c>
      <c r="P207" s="20" t="s">
        <v>74</v>
      </c>
      <c r="Q207" s="20"/>
      <c r="R207" s="20"/>
      <c r="T207" s="20"/>
      <c r="U207" s="19"/>
      <c r="V207" s="22"/>
      <c r="W207" s="22"/>
      <c r="X207" s="20"/>
      <c r="BG207" s="25"/>
      <c r="BH207" s="20"/>
    </row>
    <row r="208" spans="1:60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74</v>
      </c>
      <c r="K208" s="20" t="s">
        <v>74</v>
      </c>
      <c r="L208" s="20"/>
      <c r="M208" s="20"/>
      <c r="N208" s="20" t="s">
        <v>74</v>
      </c>
      <c r="O208" s="20" t="s">
        <v>74</v>
      </c>
      <c r="P208" s="20" t="s">
        <v>74</v>
      </c>
      <c r="Q208" s="20"/>
      <c r="R208" s="20"/>
      <c r="T208" s="20"/>
      <c r="U208" s="19"/>
      <c r="V208" s="22"/>
      <c r="W208" s="22"/>
      <c r="X208" s="20"/>
      <c r="BG208" s="25"/>
      <c r="BH208" s="20"/>
    </row>
    <row r="209" spans="1:60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74</v>
      </c>
      <c r="K209" s="20" t="s">
        <v>74</v>
      </c>
      <c r="L209" s="20"/>
      <c r="M209" s="20"/>
      <c r="N209" s="20" t="s">
        <v>74</v>
      </c>
      <c r="O209" s="20" t="s">
        <v>74</v>
      </c>
      <c r="P209" s="20" t="s">
        <v>74</v>
      </c>
      <c r="Q209" s="20"/>
      <c r="R209" s="20"/>
      <c r="T209" s="20"/>
      <c r="U209" s="19"/>
      <c r="V209" s="22"/>
      <c r="W209" s="22"/>
      <c r="X209" s="20"/>
      <c r="BG209" s="25"/>
      <c r="BH209" s="20"/>
    </row>
    <row r="210" spans="1:60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74</v>
      </c>
      <c r="K210" s="20" t="s">
        <v>74</v>
      </c>
      <c r="L210" s="20"/>
      <c r="M210" s="20"/>
      <c r="N210" s="20" t="s">
        <v>74</v>
      </c>
      <c r="O210" s="20" t="s">
        <v>74</v>
      </c>
      <c r="P210" s="20" t="s">
        <v>74</v>
      </c>
      <c r="Q210" s="20"/>
      <c r="R210" s="20"/>
      <c r="T210" s="20"/>
      <c r="U210" s="19"/>
      <c r="V210" s="22"/>
      <c r="W210" s="22"/>
      <c r="X210" s="20"/>
      <c r="BG210" s="25"/>
      <c r="BH210" s="20"/>
    </row>
    <row r="211" spans="1:60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74</v>
      </c>
      <c r="K211" s="20" t="s">
        <v>74</v>
      </c>
      <c r="L211" s="20"/>
      <c r="M211" s="20"/>
      <c r="N211" s="20" t="s">
        <v>74</v>
      </c>
      <c r="O211" s="20" t="s">
        <v>74</v>
      </c>
      <c r="P211" s="20" t="s">
        <v>74</v>
      </c>
      <c r="Q211" s="20"/>
      <c r="R211" s="20"/>
      <c r="T211" s="20"/>
      <c r="U211" s="19"/>
      <c r="V211" s="22"/>
      <c r="W211" s="22"/>
      <c r="X211" s="20"/>
      <c r="BG211" s="25"/>
      <c r="BH211" s="20"/>
    </row>
    <row r="212" spans="1:60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74</v>
      </c>
      <c r="K212" s="20" t="s">
        <v>74</v>
      </c>
      <c r="L212" s="20"/>
      <c r="M212" s="20"/>
      <c r="N212" s="20" t="s">
        <v>74</v>
      </c>
      <c r="O212" s="20" t="s">
        <v>74</v>
      </c>
      <c r="P212" s="20" t="s">
        <v>74</v>
      </c>
      <c r="Q212" s="20"/>
      <c r="R212" s="20"/>
      <c r="T212" s="20"/>
      <c r="U212" s="19"/>
      <c r="V212" s="22"/>
      <c r="W212" s="22"/>
      <c r="X212" s="20"/>
      <c r="BG212" s="25"/>
      <c r="BH212" s="20"/>
    </row>
    <row r="213" spans="1:60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74</v>
      </c>
      <c r="K213" s="20" t="s">
        <v>74</v>
      </c>
      <c r="L213" s="20"/>
      <c r="M213" s="20"/>
      <c r="N213" s="20" t="s">
        <v>74</v>
      </c>
      <c r="O213" s="20" t="s">
        <v>74</v>
      </c>
      <c r="P213" s="20" t="s">
        <v>74</v>
      </c>
      <c r="Q213" s="20"/>
      <c r="R213" s="20"/>
      <c r="T213" s="20"/>
      <c r="U213" s="19"/>
      <c r="V213" s="22"/>
      <c r="W213" s="22"/>
      <c r="X213" s="20"/>
      <c r="BG213" s="25"/>
      <c r="BH213" s="20"/>
    </row>
    <row r="214" spans="1:60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74</v>
      </c>
      <c r="K214" s="20" t="s">
        <v>74</v>
      </c>
      <c r="L214" s="20"/>
      <c r="M214" s="20"/>
      <c r="N214" s="20" t="s">
        <v>74</v>
      </c>
      <c r="O214" s="20" t="s">
        <v>74</v>
      </c>
      <c r="P214" s="20" t="s">
        <v>74</v>
      </c>
      <c r="Q214" s="20"/>
      <c r="R214" s="20"/>
      <c r="T214" s="20"/>
      <c r="U214" s="19"/>
      <c r="V214" s="22"/>
      <c r="W214" s="22"/>
      <c r="X214" s="20"/>
      <c r="BG214" s="25"/>
      <c r="BH214" s="20"/>
    </row>
    <row r="215" spans="1:60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74</v>
      </c>
      <c r="K215" s="20" t="s">
        <v>74</v>
      </c>
      <c r="L215" s="20"/>
      <c r="M215" s="20"/>
      <c r="N215" s="20" t="s">
        <v>74</v>
      </c>
      <c r="O215" s="20" t="s">
        <v>74</v>
      </c>
      <c r="P215" s="20" t="s">
        <v>74</v>
      </c>
      <c r="Q215" s="20"/>
      <c r="R215" s="20"/>
      <c r="T215" s="20"/>
      <c r="U215" s="19"/>
      <c r="V215" s="22"/>
      <c r="W215" s="22"/>
      <c r="X215" s="20"/>
      <c r="BG215" s="25"/>
      <c r="BH215" s="20"/>
    </row>
    <row r="216" spans="1:60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74</v>
      </c>
      <c r="K216" s="20" t="s">
        <v>74</v>
      </c>
      <c r="L216" s="20"/>
      <c r="M216" s="20"/>
      <c r="N216" s="20" t="s">
        <v>74</v>
      </c>
      <c r="O216" s="20" t="s">
        <v>74</v>
      </c>
      <c r="P216" s="20" t="s">
        <v>74</v>
      </c>
      <c r="Q216" s="20"/>
      <c r="R216" s="20"/>
      <c r="T216" s="20"/>
      <c r="U216" s="19"/>
      <c r="V216" s="22"/>
      <c r="W216" s="22"/>
      <c r="X216" s="20"/>
      <c r="BG216" s="25"/>
      <c r="BH216" s="20"/>
    </row>
    <row r="217" spans="1:60" x14ac:dyDescent="0.3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74</v>
      </c>
      <c r="K217" s="20" t="s">
        <v>74</v>
      </c>
      <c r="L217" s="20"/>
      <c r="M217" s="20"/>
      <c r="N217" s="20" t="s">
        <v>74</v>
      </c>
      <c r="O217" s="20" t="s">
        <v>74</v>
      </c>
      <c r="P217" s="20" t="s">
        <v>74</v>
      </c>
      <c r="Q217" s="20"/>
      <c r="R217" s="20"/>
      <c r="T217" s="20"/>
      <c r="U217" s="19"/>
      <c r="V217" s="22"/>
      <c r="W217" s="22"/>
      <c r="X217" s="20"/>
      <c r="BG217" s="25"/>
      <c r="BH217" s="20"/>
    </row>
    <row r="218" spans="1:60" x14ac:dyDescent="0.3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74</v>
      </c>
      <c r="K218" s="20" t="s">
        <v>74</v>
      </c>
      <c r="L218" s="20"/>
      <c r="M218" s="20"/>
      <c r="N218" s="20" t="s">
        <v>74</v>
      </c>
      <c r="O218" s="20" t="s">
        <v>74</v>
      </c>
      <c r="P218" s="20" t="s">
        <v>74</v>
      </c>
      <c r="Q218" s="20"/>
      <c r="R218" s="20"/>
      <c r="T218" s="20"/>
      <c r="U218" s="19"/>
      <c r="V218" s="22"/>
      <c r="W218" s="22"/>
      <c r="X218" s="20"/>
      <c r="BG218" s="25"/>
      <c r="BH218" s="20"/>
    </row>
    <row r="219" spans="1:60" x14ac:dyDescent="0.3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74</v>
      </c>
      <c r="K219" s="20" t="s">
        <v>74</v>
      </c>
      <c r="L219" s="20"/>
      <c r="M219" s="20"/>
      <c r="N219" s="20" t="s">
        <v>74</v>
      </c>
      <c r="O219" s="20" t="s">
        <v>74</v>
      </c>
      <c r="P219" s="20" t="s">
        <v>74</v>
      </c>
      <c r="Q219" s="20"/>
      <c r="R219" s="20"/>
      <c r="T219" s="20"/>
      <c r="U219" s="19"/>
      <c r="V219" s="22"/>
      <c r="W219" s="22"/>
      <c r="X219" s="20"/>
      <c r="BG219" s="25"/>
      <c r="BH219" s="20"/>
    </row>
    <row r="220" spans="1:60" x14ac:dyDescent="0.3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74</v>
      </c>
      <c r="K220" s="20" t="s">
        <v>74</v>
      </c>
      <c r="L220" s="20"/>
      <c r="M220" s="20"/>
      <c r="N220" s="20" t="s">
        <v>74</v>
      </c>
      <c r="O220" s="20" t="s">
        <v>74</v>
      </c>
      <c r="P220" s="20" t="s">
        <v>74</v>
      </c>
      <c r="Q220" s="20"/>
      <c r="R220" s="20"/>
      <c r="T220" s="20"/>
      <c r="U220" s="19"/>
      <c r="V220" s="22"/>
      <c r="W220" s="22"/>
      <c r="X220" s="20"/>
      <c r="BG220" s="25"/>
      <c r="BH220" s="20"/>
    </row>
    <row r="221" spans="1:60" x14ac:dyDescent="0.3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74</v>
      </c>
      <c r="K221" s="20" t="s">
        <v>74</v>
      </c>
      <c r="L221" s="20"/>
      <c r="M221" s="20"/>
      <c r="N221" s="20" t="s">
        <v>74</v>
      </c>
      <c r="O221" s="20" t="s">
        <v>74</v>
      </c>
      <c r="P221" s="20" t="s">
        <v>74</v>
      </c>
      <c r="Q221" s="20"/>
      <c r="R221" s="20"/>
      <c r="T221" s="20"/>
      <c r="U221" s="19"/>
      <c r="V221" s="22"/>
      <c r="W221" s="22"/>
      <c r="X221" s="20"/>
      <c r="BG221" s="25"/>
      <c r="BH221" s="20"/>
    </row>
    <row r="222" spans="1:60" x14ac:dyDescent="0.3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74</v>
      </c>
      <c r="K222" s="20" t="s">
        <v>74</v>
      </c>
      <c r="L222" s="20"/>
      <c r="M222" s="20"/>
      <c r="N222" s="20" t="s">
        <v>74</v>
      </c>
      <c r="O222" s="20" t="s">
        <v>74</v>
      </c>
      <c r="P222" s="20" t="s">
        <v>74</v>
      </c>
      <c r="Q222" s="20"/>
      <c r="R222" s="20"/>
      <c r="T222" s="20"/>
      <c r="U222" s="19"/>
      <c r="V222" s="22"/>
      <c r="W222" s="22"/>
      <c r="X222" s="20"/>
      <c r="BG222" s="25"/>
      <c r="BH222" s="20"/>
    </row>
    <row r="223" spans="1:60" x14ac:dyDescent="0.3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74</v>
      </c>
      <c r="K223" s="20" t="s">
        <v>74</v>
      </c>
      <c r="L223" s="20"/>
      <c r="M223" s="20"/>
      <c r="N223" s="20" t="s">
        <v>74</v>
      </c>
      <c r="O223" s="20" t="s">
        <v>74</v>
      </c>
      <c r="P223" s="20" t="s">
        <v>74</v>
      </c>
      <c r="Q223" s="20"/>
      <c r="R223" s="20"/>
      <c r="T223" s="20"/>
      <c r="U223" s="19"/>
      <c r="V223" s="22"/>
      <c r="W223" s="22"/>
      <c r="X223" s="20"/>
      <c r="BG223" s="25"/>
      <c r="BH223" s="20"/>
    </row>
    <row r="224" spans="1:60" x14ac:dyDescent="0.3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74</v>
      </c>
      <c r="K224" s="20" t="s">
        <v>74</v>
      </c>
      <c r="L224" s="20"/>
      <c r="M224" s="20"/>
      <c r="N224" s="20" t="s">
        <v>74</v>
      </c>
      <c r="O224" s="20" t="s">
        <v>74</v>
      </c>
      <c r="P224" s="20" t="s">
        <v>74</v>
      </c>
      <c r="Q224" s="20"/>
      <c r="R224" s="20"/>
      <c r="T224" s="20"/>
      <c r="U224" s="19"/>
      <c r="V224" s="22"/>
      <c r="W224" s="22"/>
      <c r="X224" s="20"/>
      <c r="BG224" s="25"/>
      <c r="BH224" s="20"/>
    </row>
    <row r="225" spans="1:60" x14ac:dyDescent="0.3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74</v>
      </c>
      <c r="K225" s="20" t="s">
        <v>74</v>
      </c>
      <c r="L225" s="20"/>
      <c r="M225" s="20"/>
      <c r="N225" s="20" t="s">
        <v>74</v>
      </c>
      <c r="O225" s="20" t="s">
        <v>74</v>
      </c>
      <c r="P225" s="20" t="s">
        <v>74</v>
      </c>
      <c r="Q225" s="20"/>
      <c r="R225" s="20"/>
      <c r="T225" s="20"/>
      <c r="U225" s="19"/>
      <c r="V225" s="22"/>
      <c r="W225" s="22"/>
      <c r="X225" s="20"/>
      <c r="BG225" s="25"/>
      <c r="BH225" s="20"/>
    </row>
    <row r="226" spans="1:60" x14ac:dyDescent="0.3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74</v>
      </c>
      <c r="K226" s="20" t="s">
        <v>74</v>
      </c>
      <c r="L226" s="20"/>
      <c r="M226" s="20"/>
      <c r="N226" s="20" t="s">
        <v>74</v>
      </c>
      <c r="O226" s="20" t="s">
        <v>74</v>
      </c>
      <c r="P226" s="20" t="s">
        <v>74</v>
      </c>
      <c r="Q226" s="20"/>
      <c r="R226" s="20"/>
      <c r="T226" s="20"/>
      <c r="U226" s="19"/>
      <c r="V226" s="22"/>
      <c r="W226" s="22"/>
      <c r="X226" s="20"/>
      <c r="BG226" s="25"/>
      <c r="BH226" s="20"/>
    </row>
    <row r="227" spans="1:60" x14ac:dyDescent="0.3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74</v>
      </c>
      <c r="K227" s="20" t="s">
        <v>74</v>
      </c>
      <c r="L227" s="20"/>
      <c r="M227" s="20"/>
      <c r="N227" s="20" t="s">
        <v>74</v>
      </c>
      <c r="O227" s="20" t="s">
        <v>74</v>
      </c>
      <c r="P227" s="20" t="s">
        <v>74</v>
      </c>
      <c r="Q227" s="20"/>
      <c r="R227" s="20"/>
      <c r="T227" s="20"/>
      <c r="U227" s="19"/>
      <c r="V227" s="22"/>
      <c r="W227" s="22"/>
      <c r="X227" s="20"/>
      <c r="BG227" s="25"/>
      <c r="BH227" s="20"/>
    </row>
    <row r="228" spans="1:60" x14ac:dyDescent="0.3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74</v>
      </c>
      <c r="K228" s="20" t="s">
        <v>74</v>
      </c>
      <c r="L228" s="20"/>
      <c r="M228" s="20"/>
      <c r="N228" s="20" t="s">
        <v>74</v>
      </c>
      <c r="O228" s="20" t="s">
        <v>74</v>
      </c>
      <c r="P228" s="20" t="s">
        <v>74</v>
      </c>
      <c r="Q228" s="20"/>
      <c r="R228" s="20"/>
      <c r="T228" s="20"/>
      <c r="U228" s="19"/>
      <c r="V228" s="22"/>
      <c r="W228" s="22"/>
      <c r="X228" s="20"/>
      <c r="BG228" s="25"/>
      <c r="BH228" s="20"/>
    </row>
    <row r="229" spans="1:60" x14ac:dyDescent="0.3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74</v>
      </c>
      <c r="K229" s="20" t="s">
        <v>74</v>
      </c>
      <c r="L229" s="20"/>
      <c r="M229" s="20"/>
      <c r="N229" s="20" t="s">
        <v>74</v>
      </c>
      <c r="O229" s="20" t="s">
        <v>74</v>
      </c>
      <c r="P229" s="20" t="s">
        <v>74</v>
      </c>
      <c r="Q229" s="20"/>
      <c r="R229" s="20"/>
      <c r="T229" s="20"/>
      <c r="U229" s="19"/>
      <c r="V229" s="22"/>
      <c r="W229" s="22"/>
      <c r="X229" s="20"/>
      <c r="BG229" s="25"/>
      <c r="BH229" s="20"/>
    </row>
    <row r="230" spans="1:60" x14ac:dyDescent="0.3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74</v>
      </c>
      <c r="K230" s="20" t="s">
        <v>74</v>
      </c>
      <c r="L230" s="20"/>
      <c r="M230" s="20"/>
      <c r="N230" s="20" t="s">
        <v>74</v>
      </c>
      <c r="O230" s="20" t="s">
        <v>74</v>
      </c>
      <c r="P230" s="20" t="s">
        <v>74</v>
      </c>
      <c r="Q230" s="20"/>
      <c r="R230" s="20"/>
      <c r="T230" s="20"/>
      <c r="U230" s="19"/>
      <c r="V230" s="22"/>
      <c r="W230" s="22"/>
      <c r="X230" s="20"/>
      <c r="BG230" s="25"/>
      <c r="BH230" s="20"/>
    </row>
    <row r="231" spans="1:60" x14ac:dyDescent="0.3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74</v>
      </c>
      <c r="K231" s="20" t="s">
        <v>74</v>
      </c>
      <c r="L231" s="20"/>
      <c r="M231" s="20"/>
      <c r="N231" s="20" t="s">
        <v>74</v>
      </c>
      <c r="O231" s="20" t="s">
        <v>74</v>
      </c>
      <c r="P231" s="20" t="s">
        <v>74</v>
      </c>
      <c r="Q231" s="20"/>
      <c r="R231" s="20"/>
      <c r="T231" s="20"/>
      <c r="U231" s="19"/>
      <c r="V231" s="22"/>
      <c r="W231" s="22"/>
      <c r="X231" s="20"/>
      <c r="BG231" s="25"/>
      <c r="BH231" s="20"/>
    </row>
    <row r="232" spans="1:60" x14ac:dyDescent="0.3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74</v>
      </c>
      <c r="K232" s="20" t="s">
        <v>74</v>
      </c>
      <c r="L232" s="20"/>
      <c r="M232" s="20"/>
      <c r="N232" s="20" t="s">
        <v>74</v>
      </c>
      <c r="O232" s="20" t="s">
        <v>74</v>
      </c>
      <c r="P232" s="20" t="s">
        <v>74</v>
      </c>
      <c r="Q232" s="20"/>
      <c r="R232" s="20"/>
      <c r="T232" s="20"/>
      <c r="U232" s="19"/>
      <c r="V232" s="22"/>
      <c r="W232" s="22"/>
      <c r="X232" s="20"/>
      <c r="BG232" s="25"/>
      <c r="BH232" s="20"/>
    </row>
    <row r="233" spans="1:60" x14ac:dyDescent="0.3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74</v>
      </c>
      <c r="K233" s="20" t="s">
        <v>74</v>
      </c>
      <c r="L233" s="20"/>
      <c r="M233" s="20"/>
      <c r="N233" s="20" t="s">
        <v>74</v>
      </c>
      <c r="O233" s="20" t="s">
        <v>74</v>
      </c>
      <c r="P233" s="20" t="s">
        <v>74</v>
      </c>
      <c r="Q233" s="20"/>
      <c r="R233" s="20"/>
      <c r="T233" s="20"/>
      <c r="U233" s="19"/>
      <c r="V233" s="22"/>
      <c r="W233" s="22"/>
      <c r="X233" s="20"/>
      <c r="BG233" s="25"/>
      <c r="BH233" s="20"/>
    </row>
    <row r="234" spans="1:60" x14ac:dyDescent="0.3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74</v>
      </c>
      <c r="K234" s="20" t="s">
        <v>74</v>
      </c>
      <c r="L234" s="20"/>
      <c r="M234" s="20"/>
      <c r="N234" s="20" t="s">
        <v>74</v>
      </c>
      <c r="O234" s="20" t="s">
        <v>74</v>
      </c>
      <c r="P234" s="20" t="s">
        <v>74</v>
      </c>
      <c r="Q234" s="20"/>
      <c r="R234" s="20"/>
      <c r="T234" s="20"/>
      <c r="U234" s="19"/>
      <c r="V234" s="22"/>
      <c r="W234" s="22"/>
      <c r="X234" s="20"/>
      <c r="BG234" s="25"/>
      <c r="BH234" s="20"/>
    </row>
    <row r="235" spans="1:60" x14ac:dyDescent="0.3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74</v>
      </c>
      <c r="K235" s="20" t="s">
        <v>74</v>
      </c>
      <c r="L235" s="20"/>
      <c r="M235" s="20"/>
      <c r="N235" s="20" t="s">
        <v>74</v>
      </c>
      <c r="O235" s="20" t="s">
        <v>74</v>
      </c>
      <c r="P235" s="20" t="s">
        <v>74</v>
      </c>
      <c r="Q235" s="20"/>
      <c r="R235" s="20"/>
      <c r="T235" s="20"/>
      <c r="U235" s="19"/>
      <c r="V235" s="22"/>
      <c r="W235" s="22"/>
      <c r="X235" s="20"/>
      <c r="BG235" s="25"/>
      <c r="BH235" s="20"/>
    </row>
    <row r="236" spans="1:60" x14ac:dyDescent="0.3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74</v>
      </c>
      <c r="K236" s="20" t="s">
        <v>74</v>
      </c>
      <c r="L236" s="20"/>
      <c r="M236" s="20"/>
      <c r="N236" s="20" t="s">
        <v>74</v>
      </c>
      <c r="O236" s="20" t="s">
        <v>74</v>
      </c>
      <c r="P236" s="20" t="s">
        <v>74</v>
      </c>
      <c r="Q236" s="20"/>
      <c r="R236" s="20"/>
      <c r="T236" s="20"/>
      <c r="U236" s="19"/>
      <c r="V236" s="22"/>
      <c r="W236" s="22"/>
      <c r="X236" s="20"/>
      <c r="BG236" s="25"/>
      <c r="BH236" s="20"/>
    </row>
    <row r="237" spans="1:60" x14ac:dyDescent="0.3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74</v>
      </c>
      <c r="K237" s="20" t="s">
        <v>74</v>
      </c>
      <c r="L237" s="20"/>
      <c r="M237" s="20"/>
      <c r="N237" s="20" t="s">
        <v>74</v>
      </c>
      <c r="O237" s="20" t="s">
        <v>74</v>
      </c>
      <c r="P237" s="20" t="s">
        <v>74</v>
      </c>
      <c r="Q237" s="20"/>
      <c r="R237" s="20"/>
      <c r="T237" s="20"/>
      <c r="U237" s="19"/>
      <c r="V237" s="22"/>
      <c r="W237" s="22"/>
      <c r="X237" s="20"/>
      <c r="BG237" s="25"/>
      <c r="BH237" s="20"/>
    </row>
    <row r="238" spans="1:60" x14ac:dyDescent="0.3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74</v>
      </c>
      <c r="K238" s="20" t="s">
        <v>74</v>
      </c>
      <c r="L238" s="20"/>
      <c r="M238" s="20"/>
      <c r="N238" s="20" t="s">
        <v>74</v>
      </c>
      <c r="O238" s="20" t="s">
        <v>74</v>
      </c>
      <c r="P238" s="20" t="s">
        <v>74</v>
      </c>
      <c r="Q238" s="20"/>
      <c r="R238" s="20"/>
      <c r="T238" s="20"/>
      <c r="U238" s="19"/>
      <c r="V238" s="22"/>
      <c r="W238" s="22"/>
      <c r="X238" s="20"/>
      <c r="BG238" s="25"/>
      <c r="BH238" s="20"/>
    </row>
    <row r="239" spans="1:60" x14ac:dyDescent="0.3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74</v>
      </c>
      <c r="K239" s="20" t="s">
        <v>74</v>
      </c>
      <c r="L239" s="20"/>
      <c r="M239" s="20"/>
      <c r="N239" s="20" t="s">
        <v>74</v>
      </c>
      <c r="O239" s="20" t="s">
        <v>74</v>
      </c>
      <c r="P239" s="20" t="s">
        <v>74</v>
      </c>
      <c r="Q239" s="20"/>
      <c r="R239" s="20"/>
      <c r="T239" s="20"/>
      <c r="U239" s="19"/>
      <c r="V239" s="22"/>
      <c r="W239" s="22"/>
      <c r="X239" s="20"/>
      <c r="BG239" s="25"/>
      <c r="BH239" s="20"/>
    </row>
    <row r="240" spans="1:60" x14ac:dyDescent="0.3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74</v>
      </c>
      <c r="K240" s="20" t="s">
        <v>74</v>
      </c>
      <c r="L240" s="20"/>
      <c r="M240" s="20"/>
      <c r="N240" s="20" t="s">
        <v>74</v>
      </c>
      <c r="O240" s="20" t="s">
        <v>74</v>
      </c>
      <c r="P240" s="20" t="s">
        <v>74</v>
      </c>
      <c r="Q240" s="20"/>
      <c r="R240" s="20"/>
      <c r="T240" s="20"/>
      <c r="U240" s="19"/>
      <c r="V240" s="22"/>
      <c r="W240" s="22"/>
      <c r="X240" s="20"/>
      <c r="BG240" s="25"/>
      <c r="BH240" s="20"/>
    </row>
    <row r="241" spans="1:60" x14ac:dyDescent="0.3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74</v>
      </c>
      <c r="K241" s="20" t="s">
        <v>74</v>
      </c>
      <c r="L241" s="20"/>
      <c r="M241" s="20"/>
      <c r="N241" s="20" t="s">
        <v>74</v>
      </c>
      <c r="O241" s="20" t="s">
        <v>74</v>
      </c>
      <c r="P241" s="20" t="s">
        <v>74</v>
      </c>
      <c r="Q241" s="20"/>
      <c r="R241" s="20"/>
      <c r="T241" s="20"/>
      <c r="U241" s="19"/>
      <c r="V241" s="22"/>
      <c r="W241" s="22"/>
      <c r="X241" s="20"/>
      <c r="BG241" s="25"/>
      <c r="BH241" s="20"/>
    </row>
    <row r="242" spans="1:60" x14ac:dyDescent="0.3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74</v>
      </c>
      <c r="K242" s="20" t="s">
        <v>74</v>
      </c>
      <c r="L242" s="20"/>
      <c r="M242" s="20"/>
      <c r="N242" s="20" t="s">
        <v>74</v>
      </c>
      <c r="O242" s="20" t="s">
        <v>74</v>
      </c>
      <c r="P242" s="20" t="s">
        <v>74</v>
      </c>
      <c r="Q242" s="20"/>
      <c r="R242" s="20"/>
      <c r="T242" s="20"/>
      <c r="U242" s="19"/>
      <c r="V242" s="22"/>
      <c r="W242" s="22"/>
      <c r="X242" s="20"/>
      <c r="BG242" s="25"/>
      <c r="BH242" s="20"/>
    </row>
    <row r="243" spans="1:60" x14ac:dyDescent="0.3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74</v>
      </c>
      <c r="K243" s="20" t="s">
        <v>74</v>
      </c>
      <c r="L243" s="20"/>
      <c r="M243" s="20"/>
      <c r="N243" s="20" t="s">
        <v>74</v>
      </c>
      <c r="O243" s="20" t="s">
        <v>74</v>
      </c>
      <c r="P243" s="20" t="s">
        <v>74</v>
      </c>
      <c r="Q243" s="20"/>
      <c r="R243" s="20"/>
      <c r="T243" s="20"/>
      <c r="U243" s="19"/>
      <c r="V243" s="22"/>
      <c r="W243" s="22"/>
      <c r="X243" s="20"/>
      <c r="BG243" s="25"/>
      <c r="BH243" s="20"/>
    </row>
    <row r="244" spans="1:60" x14ac:dyDescent="0.3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74</v>
      </c>
      <c r="K244" s="20" t="s">
        <v>74</v>
      </c>
      <c r="L244" s="20"/>
      <c r="M244" s="20"/>
      <c r="N244" s="20" t="s">
        <v>74</v>
      </c>
      <c r="O244" s="20" t="s">
        <v>74</v>
      </c>
      <c r="P244" s="20" t="s">
        <v>74</v>
      </c>
      <c r="Q244" s="20"/>
      <c r="R244" s="20"/>
      <c r="T244" s="20"/>
      <c r="U244" s="19"/>
      <c r="V244" s="22"/>
      <c r="W244" s="22"/>
      <c r="X244" s="20"/>
      <c r="BG244" s="25"/>
      <c r="BH244" s="20"/>
    </row>
    <row r="245" spans="1:60" x14ac:dyDescent="0.3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74</v>
      </c>
      <c r="K245" s="20" t="s">
        <v>74</v>
      </c>
      <c r="L245" s="20"/>
      <c r="M245" s="20"/>
      <c r="N245" s="20" t="s">
        <v>74</v>
      </c>
      <c r="O245" s="20" t="s">
        <v>74</v>
      </c>
      <c r="P245" s="20" t="s">
        <v>74</v>
      </c>
      <c r="Q245" s="20"/>
      <c r="R245" s="20"/>
      <c r="T245" s="20"/>
      <c r="U245" s="19"/>
      <c r="V245" s="22"/>
      <c r="W245" s="22"/>
      <c r="X245" s="20"/>
      <c r="BG245" s="25"/>
      <c r="BH245" s="20"/>
    </row>
    <row r="246" spans="1:60" x14ac:dyDescent="0.3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74</v>
      </c>
      <c r="K246" s="20" t="s">
        <v>74</v>
      </c>
      <c r="L246" s="20"/>
      <c r="M246" s="20"/>
      <c r="N246" s="20" t="s">
        <v>74</v>
      </c>
      <c r="O246" s="20" t="s">
        <v>74</v>
      </c>
      <c r="P246" s="20" t="s">
        <v>74</v>
      </c>
      <c r="Q246" s="20"/>
      <c r="R246" s="20"/>
      <c r="T246" s="20"/>
      <c r="U246" s="19"/>
      <c r="V246" s="22"/>
      <c r="W246" s="22"/>
      <c r="X246" s="20"/>
      <c r="BG246" s="25"/>
      <c r="BH246" s="20"/>
    </row>
    <row r="247" spans="1:60" x14ac:dyDescent="0.3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74</v>
      </c>
      <c r="K247" s="20" t="s">
        <v>74</v>
      </c>
      <c r="L247" s="20"/>
      <c r="M247" s="20"/>
      <c r="N247" s="20" t="s">
        <v>74</v>
      </c>
      <c r="O247" s="20" t="s">
        <v>74</v>
      </c>
      <c r="P247" s="20" t="s">
        <v>74</v>
      </c>
      <c r="Q247" s="20"/>
      <c r="R247" s="20"/>
      <c r="T247" s="20"/>
      <c r="U247" s="19"/>
      <c r="V247" s="22"/>
      <c r="W247" s="22"/>
      <c r="X247" s="20"/>
      <c r="BG247" s="25"/>
      <c r="BH247" s="20"/>
    </row>
    <row r="248" spans="1:60" x14ac:dyDescent="0.3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74</v>
      </c>
      <c r="K248" s="20" t="s">
        <v>74</v>
      </c>
      <c r="L248" s="20"/>
      <c r="M248" s="20"/>
      <c r="N248" s="20" t="s">
        <v>74</v>
      </c>
      <c r="O248" s="20" t="s">
        <v>74</v>
      </c>
      <c r="P248" s="20" t="s">
        <v>74</v>
      </c>
      <c r="Q248" s="20"/>
      <c r="R248" s="20"/>
      <c r="T248" s="20"/>
      <c r="U248" s="19"/>
      <c r="V248" s="22"/>
      <c r="W248" s="22"/>
      <c r="X248" s="20"/>
      <c r="BG248" s="25"/>
      <c r="BH248" s="20"/>
    </row>
    <row r="249" spans="1:60" x14ac:dyDescent="0.3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74</v>
      </c>
      <c r="K249" s="20" t="s">
        <v>74</v>
      </c>
      <c r="L249" s="20"/>
      <c r="M249" s="20"/>
      <c r="N249" s="20" t="s">
        <v>74</v>
      </c>
      <c r="O249" s="20" t="s">
        <v>74</v>
      </c>
      <c r="P249" s="20" t="s">
        <v>74</v>
      </c>
      <c r="Q249" s="20"/>
      <c r="R249" s="20"/>
      <c r="T249" s="20"/>
      <c r="U249" s="19"/>
      <c r="V249" s="22"/>
      <c r="W249" s="22"/>
      <c r="X249" s="20"/>
      <c r="BG249" s="25"/>
      <c r="BH249" s="20"/>
    </row>
    <row r="250" spans="1:60" x14ac:dyDescent="0.3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74</v>
      </c>
      <c r="K250" s="20" t="s">
        <v>74</v>
      </c>
      <c r="L250" s="20"/>
      <c r="M250" s="20"/>
      <c r="N250" s="20" t="s">
        <v>74</v>
      </c>
      <c r="O250" s="20" t="s">
        <v>74</v>
      </c>
      <c r="P250" s="20" t="s">
        <v>74</v>
      </c>
      <c r="Q250" s="20"/>
      <c r="R250" s="20"/>
      <c r="T250" s="20"/>
      <c r="U250" s="19"/>
      <c r="V250" s="22"/>
      <c r="W250" s="22"/>
      <c r="X250" s="20"/>
      <c r="BG250" s="25"/>
      <c r="BH250" s="20"/>
    </row>
    <row r="251" spans="1:60" x14ac:dyDescent="0.3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74</v>
      </c>
      <c r="K251" s="20" t="s">
        <v>74</v>
      </c>
      <c r="L251" s="20"/>
      <c r="M251" s="20"/>
      <c r="N251" s="20" t="s">
        <v>74</v>
      </c>
      <c r="O251" s="20" t="s">
        <v>74</v>
      </c>
      <c r="P251" s="20" t="s">
        <v>74</v>
      </c>
      <c r="Q251" s="20"/>
      <c r="R251" s="20"/>
      <c r="T251" s="20"/>
      <c r="U251" s="19"/>
      <c r="V251" s="22"/>
      <c r="W251" s="22"/>
      <c r="X251" s="20"/>
      <c r="BG251" s="25"/>
      <c r="BH251" s="20"/>
    </row>
    <row r="252" spans="1:60" x14ac:dyDescent="0.3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74</v>
      </c>
      <c r="K252" s="20" t="s">
        <v>74</v>
      </c>
      <c r="L252" s="20"/>
      <c r="M252" s="20"/>
      <c r="N252" s="20" t="s">
        <v>74</v>
      </c>
      <c r="O252" s="20" t="s">
        <v>74</v>
      </c>
      <c r="P252" s="20" t="s">
        <v>74</v>
      </c>
      <c r="Q252" s="20"/>
      <c r="R252" s="20"/>
      <c r="T252" s="20"/>
      <c r="U252" s="19"/>
      <c r="V252" s="22"/>
      <c r="W252" s="22"/>
      <c r="X252" s="20"/>
      <c r="BG252" s="25"/>
      <c r="BH252" s="20"/>
    </row>
    <row r="253" spans="1:60" x14ac:dyDescent="0.3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74</v>
      </c>
      <c r="K253" s="20" t="s">
        <v>74</v>
      </c>
      <c r="L253" s="20"/>
      <c r="M253" s="20"/>
      <c r="N253" s="20" t="s">
        <v>74</v>
      </c>
      <c r="O253" s="20" t="s">
        <v>74</v>
      </c>
      <c r="P253" s="20" t="s">
        <v>74</v>
      </c>
      <c r="Q253" s="20"/>
      <c r="R253" s="20"/>
      <c r="T253" s="20"/>
      <c r="U253" s="19"/>
      <c r="V253" s="22"/>
      <c r="W253" s="22"/>
      <c r="X253" s="20"/>
      <c r="BG253" s="25"/>
      <c r="BH253" s="20"/>
    </row>
    <row r="254" spans="1:60" x14ac:dyDescent="0.3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74</v>
      </c>
      <c r="K254" s="20" t="s">
        <v>74</v>
      </c>
      <c r="L254" s="20"/>
      <c r="M254" s="20"/>
      <c r="N254" s="20" t="s">
        <v>74</v>
      </c>
      <c r="O254" s="20" t="s">
        <v>74</v>
      </c>
      <c r="P254" s="20" t="s">
        <v>74</v>
      </c>
      <c r="Q254" s="20"/>
      <c r="R254" s="20"/>
      <c r="T254" s="20"/>
      <c r="U254" s="19"/>
      <c r="V254" s="22"/>
      <c r="W254" s="22"/>
      <c r="X254" s="20"/>
      <c r="BG254" s="25"/>
      <c r="BH254" s="20"/>
    </row>
    <row r="255" spans="1:60" x14ac:dyDescent="0.3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74</v>
      </c>
      <c r="K255" s="20" t="s">
        <v>74</v>
      </c>
      <c r="L255" s="20"/>
      <c r="M255" s="20"/>
      <c r="N255" s="20" t="s">
        <v>74</v>
      </c>
      <c r="O255" s="20" t="s">
        <v>74</v>
      </c>
      <c r="P255" s="20" t="s">
        <v>74</v>
      </c>
      <c r="Q255" s="20"/>
      <c r="R255" s="20"/>
      <c r="T255" s="20"/>
      <c r="U255" s="19"/>
      <c r="V255" s="22"/>
      <c r="W255" s="22"/>
      <c r="X255" s="20"/>
      <c r="BG255" s="25"/>
      <c r="BH255" s="20"/>
    </row>
    <row r="256" spans="1:60" x14ac:dyDescent="0.3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74</v>
      </c>
      <c r="K256" s="20" t="s">
        <v>74</v>
      </c>
      <c r="L256" s="20"/>
      <c r="M256" s="20"/>
      <c r="N256" s="20" t="s">
        <v>74</v>
      </c>
      <c r="O256" s="20" t="s">
        <v>74</v>
      </c>
      <c r="P256" s="20" t="s">
        <v>74</v>
      </c>
      <c r="Q256" s="20"/>
      <c r="R256" s="20"/>
      <c r="T256" s="20"/>
      <c r="U256" s="19"/>
      <c r="V256" s="22"/>
      <c r="W256" s="22"/>
      <c r="X256" s="20"/>
      <c r="BG256" s="25"/>
      <c r="BH256" s="20"/>
    </row>
    <row r="257" spans="1:60" x14ac:dyDescent="0.3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74</v>
      </c>
      <c r="K257" s="20" t="s">
        <v>74</v>
      </c>
      <c r="L257" s="20"/>
      <c r="M257" s="20"/>
      <c r="N257" s="20" t="s">
        <v>74</v>
      </c>
      <c r="O257" s="20" t="s">
        <v>74</v>
      </c>
      <c r="P257" s="20" t="s">
        <v>74</v>
      </c>
      <c r="Q257" s="20"/>
      <c r="R257" s="20"/>
      <c r="T257" s="20"/>
      <c r="U257" s="19"/>
      <c r="V257" s="22"/>
      <c r="W257" s="22"/>
      <c r="X257" s="20"/>
      <c r="BG257" s="25"/>
      <c r="BH257" s="20"/>
    </row>
    <row r="258" spans="1:60" x14ac:dyDescent="0.3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74</v>
      </c>
      <c r="K258" s="20" t="s">
        <v>74</v>
      </c>
      <c r="L258" s="20"/>
      <c r="M258" s="20"/>
      <c r="N258" s="20" t="s">
        <v>74</v>
      </c>
      <c r="O258" s="20" t="s">
        <v>74</v>
      </c>
      <c r="P258" s="20" t="s">
        <v>74</v>
      </c>
      <c r="Q258" s="20"/>
      <c r="R258" s="20"/>
      <c r="T258" s="20"/>
      <c r="U258" s="19"/>
      <c r="V258" s="22"/>
      <c r="W258" s="22"/>
      <c r="X258" s="20"/>
      <c r="BG258" s="25"/>
      <c r="BH258" s="20"/>
    </row>
    <row r="259" spans="1:60" x14ac:dyDescent="0.3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74</v>
      </c>
      <c r="K259" s="20" t="s">
        <v>74</v>
      </c>
      <c r="L259" s="20"/>
      <c r="M259" s="20"/>
      <c r="N259" s="20" t="s">
        <v>74</v>
      </c>
      <c r="O259" s="20" t="s">
        <v>74</v>
      </c>
      <c r="P259" s="20" t="s">
        <v>74</v>
      </c>
      <c r="Q259" s="20"/>
      <c r="R259" s="20"/>
      <c r="T259" s="20"/>
      <c r="U259" s="19"/>
      <c r="V259" s="22"/>
      <c r="W259" s="22"/>
      <c r="X259" s="20"/>
      <c r="BG259" s="25"/>
      <c r="BH259" s="20"/>
    </row>
    <row r="260" spans="1:60" x14ac:dyDescent="0.3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74</v>
      </c>
      <c r="K260" s="20" t="s">
        <v>74</v>
      </c>
      <c r="L260" s="20"/>
      <c r="M260" s="20"/>
      <c r="N260" s="20" t="s">
        <v>74</v>
      </c>
      <c r="O260" s="20" t="s">
        <v>74</v>
      </c>
      <c r="P260" s="20" t="s">
        <v>74</v>
      </c>
      <c r="Q260" s="20"/>
      <c r="R260" s="20"/>
      <c r="T260" s="20"/>
      <c r="U260" s="19"/>
      <c r="V260" s="22"/>
      <c r="W260" s="22"/>
      <c r="X260" s="20"/>
      <c r="BG260" s="25"/>
      <c r="BH260" s="20"/>
    </row>
    <row r="261" spans="1:60" x14ac:dyDescent="0.3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74</v>
      </c>
      <c r="K261" s="20" t="s">
        <v>74</v>
      </c>
      <c r="L261" s="20"/>
      <c r="M261" s="20"/>
      <c r="N261" s="20" t="s">
        <v>74</v>
      </c>
      <c r="O261" s="20" t="s">
        <v>74</v>
      </c>
      <c r="P261" s="20" t="s">
        <v>74</v>
      </c>
      <c r="Q261" s="20"/>
      <c r="R261" s="20"/>
      <c r="T261" s="20"/>
      <c r="U261" s="19"/>
      <c r="V261" s="22"/>
      <c r="W261" s="22"/>
      <c r="X261" s="20"/>
      <c r="BG261" s="25"/>
      <c r="BH261" s="20"/>
    </row>
    <row r="262" spans="1:60" x14ac:dyDescent="0.3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74</v>
      </c>
      <c r="K262" s="20" t="s">
        <v>74</v>
      </c>
      <c r="L262" s="20"/>
      <c r="M262" s="20"/>
      <c r="N262" s="20" t="s">
        <v>74</v>
      </c>
      <c r="O262" s="20" t="s">
        <v>74</v>
      </c>
      <c r="P262" s="20" t="s">
        <v>74</v>
      </c>
      <c r="Q262" s="20"/>
      <c r="R262" s="20"/>
      <c r="T262" s="20"/>
      <c r="U262" s="19"/>
      <c r="V262" s="22"/>
      <c r="W262" s="22"/>
      <c r="X262" s="20"/>
      <c r="BG262" s="25"/>
      <c r="BH262" s="20"/>
    </row>
    <row r="263" spans="1:60" x14ac:dyDescent="0.3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74</v>
      </c>
      <c r="K263" s="20" t="s">
        <v>74</v>
      </c>
      <c r="L263" s="20"/>
      <c r="M263" s="20"/>
      <c r="N263" s="20" t="s">
        <v>74</v>
      </c>
      <c r="O263" s="20" t="s">
        <v>74</v>
      </c>
      <c r="P263" s="20" t="s">
        <v>74</v>
      </c>
      <c r="Q263" s="20"/>
      <c r="R263" s="20"/>
      <c r="T263" s="20"/>
      <c r="U263" s="19"/>
      <c r="V263" s="22"/>
      <c r="W263" s="22"/>
      <c r="X263" s="20"/>
      <c r="BG263" s="25"/>
      <c r="BH263" s="20"/>
    </row>
    <row r="264" spans="1:60" x14ac:dyDescent="0.3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74</v>
      </c>
      <c r="K264" s="20" t="s">
        <v>74</v>
      </c>
      <c r="L264" s="20"/>
      <c r="M264" s="20"/>
      <c r="N264" s="20" t="s">
        <v>74</v>
      </c>
      <c r="O264" s="20" t="s">
        <v>74</v>
      </c>
      <c r="P264" s="20" t="s">
        <v>74</v>
      </c>
      <c r="Q264" s="20"/>
      <c r="R264" s="20"/>
      <c r="T264" s="20"/>
      <c r="U264" s="19"/>
      <c r="V264" s="22"/>
      <c r="W264" s="22"/>
      <c r="X264" s="20"/>
      <c r="BG264" s="25"/>
      <c r="BH264" s="20"/>
    </row>
    <row r="265" spans="1:60" x14ac:dyDescent="0.3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74</v>
      </c>
      <c r="K265" s="20" t="s">
        <v>74</v>
      </c>
      <c r="L265" s="20"/>
      <c r="M265" s="20"/>
      <c r="N265" s="20" t="s">
        <v>74</v>
      </c>
      <c r="O265" s="20" t="s">
        <v>74</v>
      </c>
      <c r="P265" s="20" t="s">
        <v>74</v>
      </c>
      <c r="Q265" s="20"/>
      <c r="R265" s="20"/>
      <c r="T265" s="20"/>
      <c r="U265" s="19"/>
      <c r="V265" s="22"/>
      <c r="W265" s="22"/>
      <c r="X265" s="20"/>
      <c r="BG265" s="25"/>
      <c r="BH265" s="20"/>
    </row>
    <row r="266" spans="1:60" x14ac:dyDescent="0.3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74</v>
      </c>
      <c r="K266" s="20" t="s">
        <v>74</v>
      </c>
      <c r="L266" s="20"/>
      <c r="M266" s="20"/>
      <c r="N266" s="20" t="s">
        <v>74</v>
      </c>
      <c r="O266" s="20" t="s">
        <v>74</v>
      </c>
      <c r="P266" s="20" t="s">
        <v>74</v>
      </c>
      <c r="Q266" s="20"/>
      <c r="R266" s="20"/>
      <c r="T266" s="20"/>
      <c r="U266" s="19"/>
      <c r="V266" s="22"/>
      <c r="W266" s="22"/>
      <c r="X266" s="20"/>
      <c r="BG266" s="25"/>
      <c r="BH266" s="20"/>
    </row>
    <row r="267" spans="1:60" x14ac:dyDescent="0.3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74</v>
      </c>
      <c r="K267" s="20" t="s">
        <v>74</v>
      </c>
      <c r="L267" s="20"/>
      <c r="M267" s="20"/>
      <c r="N267" s="20" t="s">
        <v>74</v>
      </c>
      <c r="O267" s="20" t="s">
        <v>74</v>
      </c>
      <c r="P267" s="20" t="s">
        <v>74</v>
      </c>
      <c r="Q267" s="20"/>
      <c r="R267" s="20"/>
      <c r="T267" s="20"/>
      <c r="U267" s="19"/>
      <c r="V267" s="22"/>
      <c r="W267" s="22"/>
      <c r="X267" s="20"/>
      <c r="BG267" s="25"/>
      <c r="BH267" s="20"/>
    </row>
    <row r="268" spans="1:60" x14ac:dyDescent="0.3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74</v>
      </c>
      <c r="K268" s="20" t="s">
        <v>74</v>
      </c>
      <c r="L268" s="20"/>
      <c r="M268" s="20"/>
      <c r="N268" s="20" t="s">
        <v>74</v>
      </c>
      <c r="O268" s="20" t="s">
        <v>74</v>
      </c>
      <c r="P268" s="20" t="s">
        <v>74</v>
      </c>
      <c r="Q268" s="20"/>
      <c r="R268" s="20"/>
      <c r="T268" s="20"/>
      <c r="U268" s="19"/>
      <c r="V268" s="22"/>
      <c r="W268" s="22"/>
      <c r="X268" s="20"/>
      <c r="BG268" s="25"/>
      <c r="BH268" s="20"/>
    </row>
    <row r="269" spans="1:60" x14ac:dyDescent="0.3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74</v>
      </c>
      <c r="K269" s="20" t="s">
        <v>74</v>
      </c>
      <c r="L269" s="20"/>
      <c r="M269" s="20"/>
      <c r="N269" s="20" t="s">
        <v>74</v>
      </c>
      <c r="O269" s="20" t="s">
        <v>74</v>
      </c>
      <c r="P269" s="20" t="s">
        <v>74</v>
      </c>
      <c r="Q269" s="20"/>
      <c r="R269" s="20"/>
      <c r="T269" s="20"/>
      <c r="U269" s="19"/>
      <c r="V269" s="22"/>
      <c r="W269" s="22"/>
      <c r="X269" s="20"/>
      <c r="BG269" s="25"/>
      <c r="BH269" s="20"/>
    </row>
    <row r="270" spans="1:60" x14ac:dyDescent="0.3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74</v>
      </c>
      <c r="K270" s="20" t="s">
        <v>74</v>
      </c>
      <c r="L270" s="20"/>
      <c r="M270" s="20"/>
      <c r="N270" s="20" t="s">
        <v>74</v>
      </c>
      <c r="O270" s="20" t="s">
        <v>74</v>
      </c>
      <c r="P270" s="20" t="s">
        <v>74</v>
      </c>
      <c r="Q270" s="20"/>
      <c r="R270" s="20"/>
      <c r="T270" s="20"/>
      <c r="U270" s="19"/>
      <c r="V270" s="22"/>
      <c r="W270" s="22"/>
      <c r="X270" s="20"/>
      <c r="BG270" s="25"/>
      <c r="BH270" s="20"/>
    </row>
    <row r="271" spans="1:60" x14ac:dyDescent="0.3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74</v>
      </c>
      <c r="K271" s="20" t="s">
        <v>74</v>
      </c>
      <c r="L271" s="20"/>
      <c r="M271" s="20"/>
      <c r="N271" s="20" t="s">
        <v>74</v>
      </c>
      <c r="O271" s="20" t="s">
        <v>74</v>
      </c>
      <c r="P271" s="20" t="s">
        <v>74</v>
      </c>
      <c r="Q271" s="20"/>
      <c r="R271" s="20"/>
      <c r="T271" s="20"/>
      <c r="U271" s="19"/>
      <c r="V271" s="22"/>
      <c r="W271" s="22"/>
      <c r="X271" s="20"/>
      <c r="BG271" s="25"/>
      <c r="BH271" s="20"/>
    </row>
    <row r="272" spans="1:60" x14ac:dyDescent="0.3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74</v>
      </c>
      <c r="K272" s="20" t="s">
        <v>74</v>
      </c>
      <c r="L272" s="20"/>
      <c r="M272" s="20"/>
      <c r="N272" s="20" t="s">
        <v>74</v>
      </c>
      <c r="O272" s="20" t="s">
        <v>74</v>
      </c>
      <c r="P272" s="20" t="s">
        <v>74</v>
      </c>
      <c r="Q272" s="20"/>
      <c r="R272" s="20"/>
      <c r="T272" s="20"/>
      <c r="U272" s="19"/>
      <c r="V272" s="22"/>
      <c r="W272" s="22"/>
      <c r="X272" s="20"/>
      <c r="BG272" s="25"/>
      <c r="BH272" s="20"/>
    </row>
    <row r="273" spans="1:60" x14ac:dyDescent="0.3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74</v>
      </c>
      <c r="K273" s="20" t="s">
        <v>74</v>
      </c>
      <c r="L273" s="20"/>
      <c r="M273" s="20"/>
      <c r="N273" s="20" t="s">
        <v>74</v>
      </c>
      <c r="O273" s="20" t="s">
        <v>74</v>
      </c>
      <c r="P273" s="20" t="s">
        <v>74</v>
      </c>
      <c r="Q273" s="20"/>
      <c r="R273" s="20"/>
      <c r="T273" s="20"/>
      <c r="U273" s="19"/>
      <c r="V273" s="22"/>
      <c r="W273" s="22"/>
      <c r="X273" s="20"/>
      <c r="BG273" s="25"/>
      <c r="BH273" s="20"/>
    </row>
    <row r="274" spans="1:60" x14ac:dyDescent="0.3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74</v>
      </c>
      <c r="K274" s="20" t="s">
        <v>74</v>
      </c>
      <c r="L274" s="20"/>
      <c r="M274" s="20"/>
      <c r="N274" s="20" t="s">
        <v>74</v>
      </c>
      <c r="O274" s="20" t="s">
        <v>74</v>
      </c>
      <c r="P274" s="20" t="s">
        <v>74</v>
      </c>
      <c r="Q274" s="20"/>
      <c r="R274" s="20"/>
      <c r="T274" s="20"/>
      <c r="U274" s="19"/>
      <c r="V274" s="22"/>
      <c r="W274" s="22"/>
      <c r="X274" s="20"/>
      <c r="BG274" s="25"/>
      <c r="BH274" s="20"/>
    </row>
    <row r="275" spans="1:60" x14ac:dyDescent="0.3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74</v>
      </c>
      <c r="K275" s="20" t="s">
        <v>74</v>
      </c>
      <c r="L275" s="20"/>
      <c r="M275" s="20"/>
      <c r="N275" s="20" t="s">
        <v>74</v>
      </c>
      <c r="O275" s="20" t="s">
        <v>74</v>
      </c>
      <c r="P275" s="20" t="s">
        <v>74</v>
      </c>
      <c r="Q275" s="20"/>
      <c r="R275" s="20"/>
      <c r="T275" s="20"/>
      <c r="U275" s="19"/>
      <c r="V275" s="22"/>
      <c r="W275" s="22"/>
      <c r="X275" s="20"/>
      <c r="BG275" s="25"/>
      <c r="BH275" s="20"/>
    </row>
    <row r="276" spans="1:60" x14ac:dyDescent="0.3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74</v>
      </c>
      <c r="K276" s="20" t="s">
        <v>74</v>
      </c>
      <c r="L276" s="20"/>
      <c r="M276" s="20"/>
      <c r="N276" s="20" t="s">
        <v>74</v>
      </c>
      <c r="O276" s="20" t="s">
        <v>74</v>
      </c>
      <c r="P276" s="20" t="s">
        <v>74</v>
      </c>
      <c r="Q276" s="20"/>
      <c r="R276" s="20"/>
      <c r="T276" s="20"/>
      <c r="U276" s="19"/>
      <c r="V276" s="22"/>
      <c r="W276" s="22"/>
      <c r="X276" s="20"/>
      <c r="BG276" s="25"/>
      <c r="BH276" s="20"/>
    </row>
    <row r="277" spans="1:60" x14ac:dyDescent="0.3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74</v>
      </c>
      <c r="K277" s="20" t="s">
        <v>74</v>
      </c>
      <c r="L277" s="20"/>
      <c r="M277" s="20"/>
      <c r="N277" s="20" t="s">
        <v>74</v>
      </c>
      <c r="O277" s="20" t="s">
        <v>74</v>
      </c>
      <c r="P277" s="20" t="s">
        <v>74</v>
      </c>
      <c r="Q277" s="20"/>
      <c r="R277" s="20"/>
      <c r="T277" s="20"/>
      <c r="U277" s="19"/>
      <c r="V277" s="22"/>
      <c r="W277" s="22"/>
      <c r="X277" s="20"/>
      <c r="BG277" s="25"/>
      <c r="BH277" s="20"/>
    </row>
    <row r="278" spans="1:60" x14ac:dyDescent="0.3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74</v>
      </c>
      <c r="K278" s="20" t="s">
        <v>74</v>
      </c>
      <c r="L278" s="20"/>
      <c r="M278" s="20"/>
      <c r="N278" s="20" t="s">
        <v>74</v>
      </c>
      <c r="O278" s="20" t="s">
        <v>74</v>
      </c>
      <c r="P278" s="20" t="s">
        <v>74</v>
      </c>
      <c r="Q278" s="20"/>
      <c r="R278" s="20"/>
      <c r="T278" s="20"/>
      <c r="U278" s="19"/>
      <c r="V278" s="22"/>
      <c r="W278" s="22"/>
      <c r="X278" s="20"/>
      <c r="BG278" s="25"/>
      <c r="BH278" s="20"/>
    </row>
    <row r="279" spans="1:60" x14ac:dyDescent="0.3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74</v>
      </c>
      <c r="K279" s="20" t="s">
        <v>74</v>
      </c>
      <c r="L279" s="20"/>
      <c r="M279" s="20"/>
      <c r="N279" s="20" t="s">
        <v>74</v>
      </c>
      <c r="O279" s="20" t="s">
        <v>74</v>
      </c>
      <c r="P279" s="20" t="s">
        <v>74</v>
      </c>
      <c r="Q279" s="20"/>
      <c r="R279" s="20"/>
      <c r="T279" s="20"/>
      <c r="U279" s="19"/>
      <c r="V279" s="22"/>
      <c r="W279" s="22"/>
      <c r="X279" s="20"/>
      <c r="BG279" s="25"/>
      <c r="BH279" s="20"/>
    </row>
    <row r="280" spans="1:60" x14ac:dyDescent="0.3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74</v>
      </c>
      <c r="K280" s="20" t="s">
        <v>74</v>
      </c>
      <c r="L280" s="20"/>
      <c r="M280" s="20"/>
      <c r="N280" s="20" t="s">
        <v>74</v>
      </c>
      <c r="O280" s="20" t="s">
        <v>74</v>
      </c>
      <c r="P280" s="20" t="s">
        <v>74</v>
      </c>
      <c r="Q280" s="20"/>
      <c r="R280" s="20"/>
      <c r="T280" s="20"/>
      <c r="U280" s="19"/>
      <c r="V280" s="22"/>
      <c r="W280" s="22"/>
      <c r="X280" s="20"/>
      <c r="BG280" s="25"/>
      <c r="BH280" s="20"/>
    </row>
    <row r="281" spans="1:60" x14ac:dyDescent="0.3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74</v>
      </c>
      <c r="K281" s="20" t="s">
        <v>74</v>
      </c>
      <c r="L281" s="20"/>
      <c r="M281" s="20"/>
      <c r="N281" s="20" t="s">
        <v>74</v>
      </c>
      <c r="O281" s="20" t="s">
        <v>74</v>
      </c>
      <c r="P281" s="20" t="s">
        <v>74</v>
      </c>
      <c r="Q281" s="20"/>
      <c r="R281" s="20"/>
      <c r="T281" s="20"/>
      <c r="U281" s="19"/>
      <c r="V281" s="22"/>
      <c r="W281" s="22"/>
      <c r="X281" s="20"/>
      <c r="BG281" s="25"/>
      <c r="BH281" s="20"/>
    </row>
    <row r="282" spans="1:60" x14ac:dyDescent="0.3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74</v>
      </c>
      <c r="K282" s="20" t="s">
        <v>74</v>
      </c>
      <c r="L282" s="20"/>
      <c r="M282" s="20"/>
      <c r="N282" s="20" t="s">
        <v>74</v>
      </c>
      <c r="O282" s="20" t="s">
        <v>74</v>
      </c>
      <c r="P282" s="20" t="s">
        <v>74</v>
      </c>
      <c r="Q282" s="20"/>
      <c r="R282" s="20"/>
      <c r="T282" s="20"/>
      <c r="U282" s="19"/>
      <c r="V282" s="22"/>
      <c r="W282" s="22"/>
      <c r="X282" s="20"/>
      <c r="BG282" s="25"/>
      <c r="BH282" s="20"/>
    </row>
    <row r="283" spans="1:60" x14ac:dyDescent="0.3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74</v>
      </c>
      <c r="K283" s="20" t="s">
        <v>74</v>
      </c>
      <c r="L283" s="20"/>
      <c r="M283" s="20"/>
      <c r="N283" s="20" t="s">
        <v>74</v>
      </c>
      <c r="O283" s="20" t="s">
        <v>74</v>
      </c>
      <c r="P283" s="20" t="s">
        <v>74</v>
      </c>
      <c r="Q283" s="20"/>
      <c r="R283" s="20"/>
      <c r="T283" s="20"/>
      <c r="U283" s="19"/>
      <c r="V283" s="22"/>
      <c r="W283" s="22"/>
      <c r="X283" s="20"/>
      <c r="BG283" s="25"/>
      <c r="BH283" s="20"/>
    </row>
    <row r="284" spans="1:60" x14ac:dyDescent="0.3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74</v>
      </c>
      <c r="K284" s="20" t="s">
        <v>74</v>
      </c>
      <c r="L284" s="20"/>
      <c r="M284" s="20"/>
      <c r="N284" s="20" t="s">
        <v>74</v>
      </c>
      <c r="O284" s="20" t="s">
        <v>74</v>
      </c>
      <c r="P284" s="20" t="s">
        <v>74</v>
      </c>
      <c r="Q284" s="20"/>
      <c r="R284" s="20"/>
      <c r="T284" s="20"/>
      <c r="U284" s="19"/>
      <c r="V284" s="22"/>
      <c r="W284" s="22"/>
      <c r="X284" s="20"/>
      <c r="BG284" s="25"/>
      <c r="BH284" s="20"/>
    </row>
    <row r="285" spans="1:60" x14ac:dyDescent="0.3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74</v>
      </c>
      <c r="K285" s="20" t="s">
        <v>74</v>
      </c>
      <c r="L285" s="20"/>
      <c r="M285" s="20"/>
      <c r="N285" s="20" t="s">
        <v>74</v>
      </c>
      <c r="O285" s="20" t="s">
        <v>74</v>
      </c>
      <c r="P285" s="20" t="s">
        <v>74</v>
      </c>
      <c r="Q285" s="20"/>
      <c r="R285" s="20"/>
      <c r="T285" s="20"/>
      <c r="U285" s="19"/>
      <c r="V285" s="22"/>
      <c r="W285" s="22"/>
      <c r="X285" s="20"/>
      <c r="BG285" s="25"/>
      <c r="BH285" s="20"/>
    </row>
    <row r="286" spans="1:60" x14ac:dyDescent="0.3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74</v>
      </c>
      <c r="K286" s="20" t="s">
        <v>74</v>
      </c>
      <c r="L286" s="20"/>
      <c r="M286" s="20"/>
      <c r="N286" s="20" t="s">
        <v>74</v>
      </c>
      <c r="O286" s="20" t="s">
        <v>74</v>
      </c>
      <c r="P286" s="20" t="s">
        <v>74</v>
      </c>
      <c r="Q286" s="20"/>
      <c r="R286" s="20"/>
      <c r="T286" s="20"/>
      <c r="U286" s="19"/>
      <c r="V286" s="22"/>
      <c r="W286" s="22"/>
      <c r="X286" s="20"/>
      <c r="BG286" s="25"/>
      <c r="BH286" s="20"/>
    </row>
    <row r="287" spans="1:60" x14ac:dyDescent="0.3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74</v>
      </c>
      <c r="K287" s="20" t="s">
        <v>74</v>
      </c>
      <c r="L287" s="20"/>
      <c r="M287" s="20"/>
      <c r="N287" s="20" t="s">
        <v>74</v>
      </c>
      <c r="O287" s="20" t="s">
        <v>74</v>
      </c>
      <c r="P287" s="20" t="s">
        <v>74</v>
      </c>
      <c r="Q287" s="20"/>
      <c r="R287" s="20"/>
      <c r="T287" s="20"/>
      <c r="U287" s="19"/>
      <c r="V287" s="22"/>
      <c r="W287" s="22"/>
      <c r="X287" s="20"/>
      <c r="BG287" s="25"/>
      <c r="BH287" s="20"/>
    </row>
    <row r="288" spans="1:60" x14ac:dyDescent="0.3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74</v>
      </c>
      <c r="K288" s="20" t="s">
        <v>74</v>
      </c>
      <c r="L288" s="20"/>
      <c r="M288" s="20"/>
      <c r="N288" s="20" t="s">
        <v>74</v>
      </c>
      <c r="O288" s="20" t="s">
        <v>74</v>
      </c>
      <c r="P288" s="20" t="s">
        <v>74</v>
      </c>
      <c r="Q288" s="20"/>
      <c r="R288" s="20"/>
      <c r="T288" s="20"/>
      <c r="U288" s="19"/>
      <c r="V288" s="22"/>
      <c r="W288" s="22"/>
      <c r="X288" s="20"/>
      <c r="BG288" s="25"/>
      <c r="BH288" s="20"/>
    </row>
    <row r="289" spans="1:60" x14ac:dyDescent="0.3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74</v>
      </c>
      <c r="K289" s="20" t="s">
        <v>74</v>
      </c>
      <c r="L289" s="20"/>
      <c r="M289" s="20"/>
      <c r="N289" s="20" t="s">
        <v>74</v>
      </c>
      <c r="O289" s="20" t="s">
        <v>74</v>
      </c>
      <c r="P289" s="20" t="s">
        <v>74</v>
      </c>
      <c r="Q289" s="20"/>
      <c r="R289" s="20"/>
      <c r="T289" s="20"/>
      <c r="U289" s="19"/>
      <c r="V289" s="22"/>
      <c r="W289" s="22"/>
      <c r="X289" s="20"/>
      <c r="BG289" s="25"/>
      <c r="BH289" s="20"/>
    </row>
    <row r="290" spans="1:60" x14ac:dyDescent="0.3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74</v>
      </c>
      <c r="K290" s="20" t="s">
        <v>74</v>
      </c>
      <c r="L290" s="20"/>
      <c r="M290" s="20"/>
      <c r="N290" s="20" t="s">
        <v>74</v>
      </c>
      <c r="O290" s="20" t="s">
        <v>74</v>
      </c>
      <c r="P290" s="20" t="s">
        <v>74</v>
      </c>
      <c r="Q290" s="20"/>
      <c r="R290" s="20"/>
      <c r="T290" s="20"/>
      <c r="U290" s="19"/>
      <c r="V290" s="22"/>
      <c r="W290" s="22"/>
      <c r="X290" s="20"/>
      <c r="BG290" s="25"/>
      <c r="BH290" s="20"/>
    </row>
    <row r="291" spans="1:60" x14ac:dyDescent="0.3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74</v>
      </c>
      <c r="K291" s="20" t="s">
        <v>74</v>
      </c>
      <c r="L291" s="20"/>
      <c r="M291" s="20"/>
      <c r="N291" s="20" t="s">
        <v>74</v>
      </c>
      <c r="O291" s="20" t="s">
        <v>74</v>
      </c>
      <c r="P291" s="20" t="s">
        <v>74</v>
      </c>
      <c r="Q291" s="20"/>
      <c r="R291" s="20"/>
      <c r="T291" s="20"/>
      <c r="U291" s="19"/>
      <c r="V291" s="22"/>
      <c r="W291" s="22"/>
      <c r="X291" s="20"/>
      <c r="BG291" s="25"/>
      <c r="BH291" s="20"/>
    </row>
    <row r="292" spans="1:60" x14ac:dyDescent="0.3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74</v>
      </c>
      <c r="K292" s="20" t="s">
        <v>74</v>
      </c>
      <c r="L292" s="20"/>
      <c r="M292" s="20"/>
      <c r="N292" s="20" t="s">
        <v>74</v>
      </c>
      <c r="O292" s="20" t="s">
        <v>74</v>
      </c>
      <c r="P292" s="20" t="s">
        <v>74</v>
      </c>
      <c r="Q292" s="20"/>
      <c r="R292" s="20"/>
      <c r="T292" s="20"/>
      <c r="U292" s="19"/>
      <c r="V292" s="22"/>
      <c r="W292" s="22"/>
      <c r="X292" s="20"/>
      <c r="BG292" s="25"/>
      <c r="BH292" s="20"/>
    </row>
    <row r="293" spans="1:60" x14ac:dyDescent="0.3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74</v>
      </c>
      <c r="K293" s="20" t="s">
        <v>74</v>
      </c>
      <c r="L293" s="20"/>
      <c r="M293" s="20"/>
      <c r="N293" s="20" t="s">
        <v>74</v>
      </c>
      <c r="O293" s="20" t="s">
        <v>74</v>
      </c>
      <c r="P293" s="20" t="s">
        <v>74</v>
      </c>
      <c r="Q293" s="20"/>
      <c r="R293" s="20"/>
      <c r="T293" s="20"/>
      <c r="U293" s="19"/>
      <c r="V293" s="22"/>
      <c r="W293" s="22"/>
      <c r="X293" s="20"/>
      <c r="BG293" s="25"/>
      <c r="BH293" s="20"/>
    </row>
    <row r="294" spans="1:60" x14ac:dyDescent="0.3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74</v>
      </c>
      <c r="K294" s="20" t="s">
        <v>74</v>
      </c>
      <c r="L294" s="20"/>
      <c r="M294" s="20"/>
      <c r="N294" s="20" t="s">
        <v>74</v>
      </c>
      <c r="O294" s="20" t="s">
        <v>74</v>
      </c>
      <c r="P294" s="20" t="s">
        <v>74</v>
      </c>
      <c r="Q294" s="20"/>
      <c r="R294" s="20"/>
      <c r="T294" s="20"/>
      <c r="U294" s="19"/>
      <c r="V294" s="22"/>
      <c r="W294" s="22"/>
      <c r="X294" s="20"/>
      <c r="BG294" s="25"/>
      <c r="BH294" s="20"/>
    </row>
    <row r="295" spans="1:60" x14ac:dyDescent="0.3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74</v>
      </c>
      <c r="K295" s="20" t="s">
        <v>74</v>
      </c>
      <c r="L295" s="20"/>
      <c r="M295" s="20"/>
      <c r="N295" s="20" t="s">
        <v>74</v>
      </c>
      <c r="O295" s="20" t="s">
        <v>74</v>
      </c>
      <c r="P295" s="20" t="s">
        <v>74</v>
      </c>
      <c r="Q295" s="20"/>
      <c r="R295" s="20"/>
      <c r="T295" s="20"/>
      <c r="U295" s="19"/>
      <c r="V295" s="22"/>
      <c r="W295" s="22"/>
      <c r="X295" s="20"/>
      <c r="BG295" s="25"/>
      <c r="BH295" s="20"/>
    </row>
    <row r="296" spans="1:60" x14ac:dyDescent="0.3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74</v>
      </c>
      <c r="K296" s="20" t="s">
        <v>74</v>
      </c>
      <c r="L296" s="20"/>
      <c r="M296" s="20"/>
      <c r="N296" s="20" t="s">
        <v>74</v>
      </c>
      <c r="O296" s="20" t="s">
        <v>74</v>
      </c>
      <c r="P296" s="20" t="s">
        <v>74</v>
      </c>
      <c r="Q296" s="20"/>
      <c r="R296" s="20"/>
      <c r="T296" s="20"/>
      <c r="U296" s="19"/>
      <c r="V296" s="22"/>
      <c r="W296" s="22"/>
      <c r="X296" s="20"/>
      <c r="BG296" s="25"/>
      <c r="BH296" s="20"/>
    </row>
    <row r="297" spans="1:60" x14ac:dyDescent="0.3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74</v>
      </c>
      <c r="K297" s="20" t="s">
        <v>74</v>
      </c>
      <c r="L297" s="20"/>
      <c r="M297" s="20"/>
      <c r="N297" s="20" t="s">
        <v>74</v>
      </c>
      <c r="O297" s="20" t="s">
        <v>74</v>
      </c>
      <c r="P297" s="20" t="s">
        <v>74</v>
      </c>
      <c r="Q297" s="20"/>
      <c r="R297" s="20"/>
      <c r="T297" s="20"/>
      <c r="U297" s="19"/>
      <c r="V297" s="22"/>
      <c r="W297" s="22"/>
      <c r="X297" s="20"/>
      <c r="BG297" s="25"/>
      <c r="BH297" s="20"/>
    </row>
    <row r="298" spans="1:60" x14ac:dyDescent="0.3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74</v>
      </c>
      <c r="K298" s="20" t="s">
        <v>74</v>
      </c>
      <c r="L298" s="20"/>
      <c r="M298" s="20"/>
      <c r="N298" s="20" t="s">
        <v>74</v>
      </c>
      <c r="O298" s="20" t="s">
        <v>74</v>
      </c>
      <c r="P298" s="20" t="s">
        <v>74</v>
      </c>
      <c r="Q298" s="20"/>
      <c r="R298" s="20"/>
      <c r="T298" s="20"/>
      <c r="U298" s="19"/>
      <c r="V298" s="22"/>
      <c r="W298" s="22"/>
      <c r="X298" s="20"/>
      <c r="BG298" s="25"/>
      <c r="BH298" s="20"/>
    </row>
    <row r="299" spans="1:60" x14ac:dyDescent="0.3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74</v>
      </c>
      <c r="K299" s="20" t="s">
        <v>74</v>
      </c>
      <c r="L299" s="20"/>
      <c r="M299" s="20"/>
      <c r="N299" s="20" t="s">
        <v>74</v>
      </c>
      <c r="O299" s="20" t="s">
        <v>74</v>
      </c>
      <c r="P299" s="20" t="s">
        <v>74</v>
      </c>
      <c r="Q299" s="20"/>
      <c r="R299" s="20"/>
      <c r="T299" s="20"/>
      <c r="U299" s="19"/>
      <c r="V299" s="22"/>
      <c r="W299" s="22"/>
      <c r="X299" s="20"/>
      <c r="BG299" s="25"/>
      <c r="BH299" s="20"/>
    </row>
    <row r="300" spans="1:60" x14ac:dyDescent="0.3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74</v>
      </c>
      <c r="K300" s="20" t="s">
        <v>74</v>
      </c>
      <c r="L300" s="20"/>
      <c r="M300" s="20"/>
      <c r="N300" s="20" t="s">
        <v>74</v>
      </c>
      <c r="O300" s="20" t="s">
        <v>74</v>
      </c>
      <c r="P300" s="20" t="s">
        <v>74</v>
      </c>
      <c r="Q300" s="20"/>
      <c r="R300" s="20"/>
      <c r="T300" s="20"/>
      <c r="U300" s="19"/>
      <c r="V300" s="22"/>
      <c r="W300" s="22"/>
      <c r="X300" s="20"/>
      <c r="BG300" s="25"/>
      <c r="BH300" s="20"/>
    </row>
    <row r="301" spans="1:60" x14ac:dyDescent="0.3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74</v>
      </c>
      <c r="K301" s="20" t="s">
        <v>74</v>
      </c>
      <c r="L301" s="20"/>
      <c r="M301" s="20"/>
      <c r="N301" s="20" t="s">
        <v>74</v>
      </c>
      <c r="O301" s="20" t="s">
        <v>74</v>
      </c>
      <c r="P301" s="20" t="s">
        <v>74</v>
      </c>
      <c r="Q301" s="20"/>
      <c r="R301" s="20"/>
      <c r="T301" s="20"/>
      <c r="U301" s="19"/>
      <c r="V301" s="22"/>
      <c r="W301" s="22"/>
      <c r="X301" s="20"/>
      <c r="BG301" s="25"/>
      <c r="BH301" s="20"/>
    </row>
    <row r="302" spans="1:60" x14ac:dyDescent="0.3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74</v>
      </c>
      <c r="K302" s="20" t="s">
        <v>74</v>
      </c>
      <c r="L302" s="20"/>
      <c r="M302" s="20"/>
      <c r="N302" s="20" t="s">
        <v>74</v>
      </c>
      <c r="O302" s="20" t="s">
        <v>74</v>
      </c>
      <c r="P302" s="20" t="s">
        <v>74</v>
      </c>
      <c r="Q302" s="20"/>
      <c r="R302" s="20"/>
      <c r="T302" s="20"/>
      <c r="U302" s="19"/>
      <c r="V302" s="22"/>
      <c r="W302" s="22"/>
      <c r="X302" s="20"/>
      <c r="BG302" s="25"/>
      <c r="BH302" s="20"/>
    </row>
    <row r="303" spans="1:60" x14ac:dyDescent="0.3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74</v>
      </c>
      <c r="K303" s="20" t="s">
        <v>74</v>
      </c>
      <c r="L303" s="20"/>
      <c r="M303" s="20"/>
      <c r="N303" s="20" t="s">
        <v>74</v>
      </c>
      <c r="O303" s="20" t="s">
        <v>74</v>
      </c>
      <c r="P303" s="20" t="s">
        <v>74</v>
      </c>
      <c r="Q303" s="20"/>
      <c r="R303" s="20"/>
      <c r="T303" s="20"/>
      <c r="U303" s="19"/>
      <c r="V303" s="22"/>
      <c r="W303" s="22"/>
      <c r="X303" s="20"/>
      <c r="BG303" s="25"/>
      <c r="BH303" s="20"/>
    </row>
    <row r="304" spans="1:60" x14ac:dyDescent="0.3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74</v>
      </c>
      <c r="K304" s="20" t="s">
        <v>74</v>
      </c>
      <c r="L304" s="20"/>
      <c r="M304" s="20"/>
      <c r="N304" s="20" t="s">
        <v>74</v>
      </c>
      <c r="O304" s="20" t="s">
        <v>74</v>
      </c>
      <c r="P304" s="20" t="s">
        <v>74</v>
      </c>
      <c r="Q304" s="20"/>
      <c r="R304" s="20"/>
      <c r="T304" s="20"/>
      <c r="U304" s="19"/>
      <c r="V304" s="22"/>
      <c r="W304" s="22"/>
      <c r="X304" s="20"/>
      <c r="BG304" s="25"/>
      <c r="BH304" s="20"/>
    </row>
    <row r="305" spans="1:60" x14ac:dyDescent="0.3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74</v>
      </c>
      <c r="K305" s="20" t="s">
        <v>74</v>
      </c>
      <c r="L305" s="20"/>
      <c r="M305" s="20"/>
      <c r="N305" s="20" t="s">
        <v>74</v>
      </c>
      <c r="O305" s="20" t="s">
        <v>74</v>
      </c>
      <c r="P305" s="20" t="s">
        <v>74</v>
      </c>
      <c r="Q305" s="20"/>
      <c r="R305" s="20"/>
      <c r="T305" s="20"/>
      <c r="U305" s="19"/>
      <c r="V305" s="22"/>
      <c r="W305" s="22"/>
      <c r="X305" s="20"/>
      <c r="BG305" s="25"/>
      <c r="BH305" s="20"/>
    </row>
    <row r="306" spans="1:60" x14ac:dyDescent="0.3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74</v>
      </c>
      <c r="K306" s="20" t="s">
        <v>74</v>
      </c>
      <c r="L306" s="20"/>
      <c r="M306" s="20"/>
      <c r="N306" s="20" t="s">
        <v>74</v>
      </c>
      <c r="O306" s="20" t="s">
        <v>74</v>
      </c>
      <c r="P306" s="20" t="s">
        <v>74</v>
      </c>
      <c r="Q306" s="20"/>
      <c r="R306" s="20"/>
      <c r="T306" s="20"/>
      <c r="U306" s="19"/>
      <c r="V306" s="22"/>
      <c r="W306" s="22"/>
      <c r="X306" s="20"/>
      <c r="BG306" s="25"/>
      <c r="BH306" s="20"/>
    </row>
    <row r="307" spans="1:60" x14ac:dyDescent="0.3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74</v>
      </c>
      <c r="K307" s="20" t="s">
        <v>74</v>
      </c>
      <c r="L307" s="20"/>
      <c r="M307" s="20"/>
      <c r="N307" s="20" t="s">
        <v>74</v>
      </c>
      <c r="O307" s="20" t="s">
        <v>74</v>
      </c>
      <c r="P307" s="20" t="s">
        <v>74</v>
      </c>
      <c r="Q307" s="20"/>
      <c r="R307" s="20"/>
      <c r="T307" s="20"/>
      <c r="U307" s="19"/>
      <c r="V307" s="22"/>
      <c r="W307" s="22"/>
      <c r="X307" s="20"/>
      <c r="BG307" s="25"/>
      <c r="BH307" s="20"/>
    </row>
    <row r="308" spans="1:60" x14ac:dyDescent="0.3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74</v>
      </c>
      <c r="K308" s="20" t="s">
        <v>74</v>
      </c>
      <c r="L308" s="20"/>
      <c r="M308" s="20"/>
      <c r="N308" s="20" t="s">
        <v>74</v>
      </c>
      <c r="O308" s="20" t="s">
        <v>74</v>
      </c>
      <c r="P308" s="20" t="s">
        <v>74</v>
      </c>
      <c r="Q308" s="20"/>
      <c r="R308" s="20"/>
      <c r="T308" s="20"/>
      <c r="U308" s="19"/>
      <c r="V308" s="22"/>
      <c r="W308" s="22"/>
      <c r="X308" s="20"/>
      <c r="BG308" s="25"/>
      <c r="BH308" s="20"/>
    </row>
    <row r="309" spans="1:60" x14ac:dyDescent="0.3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74</v>
      </c>
      <c r="K309" s="20" t="s">
        <v>74</v>
      </c>
      <c r="L309" s="20"/>
      <c r="M309" s="20"/>
      <c r="N309" s="20" t="s">
        <v>74</v>
      </c>
      <c r="O309" s="20" t="s">
        <v>74</v>
      </c>
      <c r="P309" s="20" t="s">
        <v>74</v>
      </c>
      <c r="Q309" s="20"/>
      <c r="R309" s="20"/>
      <c r="T309" s="20"/>
      <c r="U309" s="19"/>
      <c r="V309" s="22"/>
      <c r="W309" s="22"/>
      <c r="X309" s="20"/>
      <c r="BG309" s="25"/>
      <c r="BH309" s="20"/>
    </row>
    <row r="310" spans="1:60" x14ac:dyDescent="0.3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74</v>
      </c>
      <c r="K310" s="20" t="s">
        <v>74</v>
      </c>
      <c r="L310" s="20"/>
      <c r="M310" s="20"/>
      <c r="N310" s="20" t="s">
        <v>74</v>
      </c>
      <c r="O310" s="20" t="s">
        <v>74</v>
      </c>
      <c r="P310" s="20" t="s">
        <v>74</v>
      </c>
      <c r="Q310" s="20"/>
      <c r="R310" s="20"/>
      <c r="T310" s="20"/>
      <c r="U310" s="19"/>
      <c r="V310" s="22"/>
      <c r="W310" s="22"/>
      <c r="X310" s="20"/>
      <c r="BG310" s="25"/>
      <c r="BH310" s="20"/>
    </row>
    <row r="311" spans="1:60" x14ac:dyDescent="0.3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74</v>
      </c>
      <c r="K311" s="20" t="s">
        <v>74</v>
      </c>
      <c r="L311" s="20"/>
      <c r="M311" s="20"/>
      <c r="N311" s="20" t="s">
        <v>74</v>
      </c>
      <c r="O311" s="20" t="s">
        <v>74</v>
      </c>
      <c r="P311" s="20" t="s">
        <v>74</v>
      </c>
      <c r="Q311" s="20"/>
      <c r="R311" s="20"/>
      <c r="T311" s="20"/>
      <c r="U311" s="19"/>
      <c r="V311" s="22"/>
      <c r="W311" s="22"/>
      <c r="X311" s="20"/>
      <c r="BG311" s="25"/>
      <c r="BH311" s="20"/>
    </row>
    <row r="312" spans="1:60" x14ac:dyDescent="0.3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74</v>
      </c>
      <c r="K312" s="20" t="s">
        <v>74</v>
      </c>
      <c r="L312" s="20"/>
      <c r="M312" s="20"/>
      <c r="N312" s="20" t="s">
        <v>74</v>
      </c>
      <c r="O312" s="20" t="s">
        <v>74</v>
      </c>
      <c r="P312" s="20" t="s">
        <v>74</v>
      </c>
      <c r="Q312" s="20"/>
      <c r="R312" s="20"/>
      <c r="T312" s="20"/>
      <c r="U312" s="19"/>
      <c r="V312" s="22"/>
      <c r="W312" s="22"/>
      <c r="X312" s="20"/>
      <c r="BG312" s="25"/>
      <c r="BH312" s="20"/>
    </row>
    <row r="313" spans="1:60" x14ac:dyDescent="0.3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74</v>
      </c>
      <c r="K313" s="20" t="s">
        <v>74</v>
      </c>
      <c r="L313" s="20"/>
      <c r="M313" s="20"/>
      <c r="N313" s="20" t="s">
        <v>74</v>
      </c>
      <c r="O313" s="20" t="s">
        <v>74</v>
      </c>
      <c r="P313" s="20" t="s">
        <v>74</v>
      </c>
      <c r="Q313" s="20"/>
      <c r="R313" s="20"/>
      <c r="T313" s="20"/>
      <c r="U313" s="19"/>
      <c r="V313" s="22"/>
      <c r="W313" s="22"/>
      <c r="X313" s="20"/>
      <c r="BG313" s="25"/>
      <c r="BH313" s="20"/>
    </row>
    <row r="314" spans="1:60" x14ac:dyDescent="0.3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74</v>
      </c>
      <c r="K314" s="20" t="s">
        <v>74</v>
      </c>
      <c r="L314" s="20"/>
      <c r="M314" s="20"/>
      <c r="N314" s="20" t="s">
        <v>74</v>
      </c>
      <c r="O314" s="20" t="s">
        <v>74</v>
      </c>
      <c r="P314" s="20" t="s">
        <v>74</v>
      </c>
      <c r="Q314" s="20"/>
      <c r="R314" s="20"/>
      <c r="T314" s="20"/>
      <c r="U314" s="19"/>
      <c r="V314" s="22"/>
      <c r="W314" s="22"/>
      <c r="X314" s="20"/>
      <c r="BG314" s="25"/>
      <c r="BH314" s="20"/>
    </row>
    <row r="315" spans="1:60" x14ac:dyDescent="0.3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74</v>
      </c>
      <c r="K315" s="20" t="s">
        <v>74</v>
      </c>
      <c r="L315" s="20"/>
      <c r="M315" s="20"/>
      <c r="N315" s="20" t="s">
        <v>74</v>
      </c>
      <c r="O315" s="20" t="s">
        <v>74</v>
      </c>
      <c r="P315" s="20" t="s">
        <v>74</v>
      </c>
      <c r="Q315" s="20"/>
      <c r="R315" s="20"/>
      <c r="T315" s="20"/>
      <c r="U315" s="19"/>
      <c r="V315" s="22"/>
      <c r="W315" s="22"/>
      <c r="X315" s="20"/>
      <c r="BG315" s="25"/>
      <c r="BH315" s="20"/>
    </row>
    <row r="316" spans="1:60" x14ac:dyDescent="0.3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74</v>
      </c>
      <c r="K316" s="20" t="s">
        <v>74</v>
      </c>
      <c r="L316" s="20"/>
      <c r="M316" s="20"/>
      <c r="N316" s="20" t="s">
        <v>74</v>
      </c>
      <c r="O316" s="20" t="s">
        <v>74</v>
      </c>
      <c r="P316" s="20" t="s">
        <v>74</v>
      </c>
      <c r="Q316" s="20"/>
      <c r="R316" s="20"/>
      <c r="T316" s="20"/>
      <c r="U316" s="19"/>
      <c r="V316" s="22"/>
      <c r="W316" s="22"/>
      <c r="X316" s="20"/>
      <c r="BG316" s="25"/>
      <c r="BH316" s="20"/>
    </row>
    <row r="317" spans="1:60" x14ac:dyDescent="0.3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74</v>
      </c>
      <c r="K317" s="20" t="s">
        <v>74</v>
      </c>
      <c r="L317" s="20"/>
      <c r="M317" s="20"/>
      <c r="N317" s="20" t="s">
        <v>74</v>
      </c>
      <c r="O317" s="20" t="s">
        <v>74</v>
      </c>
      <c r="P317" s="20" t="s">
        <v>74</v>
      </c>
      <c r="Q317" s="20"/>
      <c r="R317" s="20"/>
      <c r="T317" s="20"/>
      <c r="U317" s="19"/>
      <c r="V317" s="22"/>
      <c r="W317" s="22"/>
      <c r="X317" s="20"/>
      <c r="BG317" s="25"/>
      <c r="BH317" s="20"/>
    </row>
    <row r="318" spans="1:60" x14ac:dyDescent="0.3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74</v>
      </c>
      <c r="K318" s="20" t="s">
        <v>74</v>
      </c>
      <c r="L318" s="20"/>
      <c r="M318" s="20"/>
      <c r="N318" s="20" t="s">
        <v>74</v>
      </c>
      <c r="O318" s="20" t="s">
        <v>74</v>
      </c>
      <c r="P318" s="20" t="s">
        <v>74</v>
      </c>
      <c r="Q318" s="20"/>
      <c r="R318" s="20"/>
      <c r="T318" s="20"/>
      <c r="U318" s="19"/>
      <c r="V318" s="22"/>
      <c r="W318" s="22"/>
      <c r="X318" s="20"/>
      <c r="BG318" s="25"/>
      <c r="BH318" s="20"/>
    </row>
    <row r="319" spans="1:60" x14ac:dyDescent="0.3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74</v>
      </c>
      <c r="K319" s="20" t="s">
        <v>74</v>
      </c>
      <c r="L319" s="20"/>
      <c r="M319" s="20"/>
      <c r="N319" s="20" t="s">
        <v>74</v>
      </c>
      <c r="O319" s="20" t="s">
        <v>74</v>
      </c>
      <c r="P319" s="20" t="s">
        <v>74</v>
      </c>
      <c r="Q319" s="20"/>
      <c r="R319" s="20"/>
      <c r="T319" s="20"/>
      <c r="U319" s="19"/>
      <c r="V319" s="22"/>
      <c r="W319" s="22"/>
      <c r="X319" s="20"/>
      <c r="BG319" s="25"/>
      <c r="BH319" s="20"/>
    </row>
    <row r="320" spans="1:60" x14ac:dyDescent="0.3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74</v>
      </c>
      <c r="K320" s="20" t="s">
        <v>74</v>
      </c>
      <c r="L320" s="20"/>
      <c r="M320" s="20"/>
      <c r="N320" s="20" t="s">
        <v>74</v>
      </c>
      <c r="O320" s="20" t="s">
        <v>74</v>
      </c>
      <c r="P320" s="20" t="s">
        <v>74</v>
      </c>
      <c r="Q320" s="20"/>
      <c r="R320" s="20"/>
      <c r="T320" s="20"/>
      <c r="U320" s="19"/>
      <c r="V320" s="22"/>
      <c r="W320" s="22"/>
      <c r="X320" s="20"/>
      <c r="BG320" s="25"/>
      <c r="BH320" s="20"/>
    </row>
    <row r="321" spans="1:60" x14ac:dyDescent="0.3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74</v>
      </c>
      <c r="K321" s="20" t="s">
        <v>74</v>
      </c>
      <c r="L321" s="20"/>
      <c r="M321" s="20"/>
      <c r="N321" s="20" t="s">
        <v>74</v>
      </c>
      <c r="O321" s="20" t="s">
        <v>74</v>
      </c>
      <c r="P321" s="20" t="s">
        <v>74</v>
      </c>
      <c r="Q321" s="20"/>
      <c r="R321" s="20"/>
      <c r="T321" s="20"/>
      <c r="U321" s="19"/>
      <c r="V321" s="22"/>
      <c r="W321" s="22"/>
      <c r="X321" s="20"/>
      <c r="BG321" s="25"/>
      <c r="BH321" s="20"/>
    </row>
    <row r="322" spans="1:60" x14ac:dyDescent="0.3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74</v>
      </c>
      <c r="K322" s="20" t="s">
        <v>74</v>
      </c>
      <c r="L322" s="20"/>
      <c r="M322" s="20"/>
      <c r="N322" s="20" t="s">
        <v>74</v>
      </c>
      <c r="O322" s="20" t="s">
        <v>74</v>
      </c>
      <c r="P322" s="20" t="s">
        <v>74</v>
      </c>
      <c r="Q322" s="20"/>
      <c r="R322" s="20"/>
      <c r="T322" s="20"/>
      <c r="U322" s="19"/>
      <c r="V322" s="22"/>
      <c r="W322" s="22"/>
      <c r="X322" s="20"/>
      <c r="BG322" s="25"/>
      <c r="BH322" s="20"/>
    </row>
    <row r="323" spans="1:60" x14ac:dyDescent="0.3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74</v>
      </c>
      <c r="K323" s="20" t="s">
        <v>74</v>
      </c>
      <c r="L323" s="20"/>
      <c r="M323" s="20"/>
      <c r="N323" s="20" t="s">
        <v>74</v>
      </c>
      <c r="O323" s="20" t="s">
        <v>74</v>
      </c>
      <c r="P323" s="20" t="s">
        <v>74</v>
      </c>
      <c r="Q323" s="20"/>
      <c r="R323" s="20"/>
      <c r="T323" s="20"/>
      <c r="U323" s="19"/>
      <c r="V323" s="22"/>
      <c r="W323" s="22"/>
      <c r="X323" s="20"/>
      <c r="BG323" s="25"/>
      <c r="BH323" s="20"/>
    </row>
    <row r="324" spans="1:60" x14ac:dyDescent="0.3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74</v>
      </c>
      <c r="K324" s="20" t="s">
        <v>74</v>
      </c>
      <c r="L324" s="20"/>
      <c r="M324" s="20"/>
      <c r="N324" s="20" t="s">
        <v>74</v>
      </c>
      <c r="O324" s="20" t="s">
        <v>74</v>
      </c>
      <c r="P324" s="20" t="s">
        <v>74</v>
      </c>
      <c r="Q324" s="20"/>
      <c r="R324" s="20"/>
      <c r="T324" s="20"/>
      <c r="U324" s="19"/>
      <c r="V324" s="22"/>
      <c r="W324" s="22"/>
      <c r="X324" s="20"/>
      <c r="BG324" s="25"/>
      <c r="BH324" s="20"/>
    </row>
    <row r="325" spans="1:60" x14ac:dyDescent="0.3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74</v>
      </c>
      <c r="K325" s="20" t="s">
        <v>74</v>
      </c>
      <c r="L325" s="20"/>
      <c r="M325" s="20"/>
      <c r="N325" s="20" t="s">
        <v>74</v>
      </c>
      <c r="O325" s="20" t="s">
        <v>74</v>
      </c>
      <c r="P325" s="20" t="s">
        <v>74</v>
      </c>
      <c r="Q325" s="20"/>
      <c r="R325" s="20"/>
      <c r="T325" s="20"/>
      <c r="U325" s="19"/>
      <c r="V325" s="22"/>
      <c r="W325" s="22"/>
      <c r="X325" s="20"/>
      <c r="BG325" s="25"/>
      <c r="BH325" s="20"/>
    </row>
    <row r="326" spans="1:60" x14ac:dyDescent="0.3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74</v>
      </c>
      <c r="K326" s="20" t="s">
        <v>74</v>
      </c>
      <c r="L326" s="20"/>
      <c r="M326" s="20"/>
      <c r="N326" s="20" t="s">
        <v>74</v>
      </c>
      <c r="O326" s="20" t="s">
        <v>74</v>
      </c>
      <c r="P326" s="20" t="s">
        <v>74</v>
      </c>
      <c r="Q326" s="20"/>
      <c r="R326" s="20"/>
      <c r="T326" s="20"/>
      <c r="U326" s="19"/>
      <c r="V326" s="22"/>
      <c r="W326" s="22"/>
      <c r="X326" s="20"/>
      <c r="BG326" s="25"/>
      <c r="BH326" s="20"/>
    </row>
    <row r="327" spans="1:60" x14ac:dyDescent="0.3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74</v>
      </c>
      <c r="K327" s="20" t="s">
        <v>74</v>
      </c>
      <c r="L327" s="20"/>
      <c r="M327" s="20"/>
      <c r="N327" s="20" t="s">
        <v>74</v>
      </c>
      <c r="O327" s="20" t="s">
        <v>74</v>
      </c>
      <c r="P327" s="20" t="s">
        <v>74</v>
      </c>
      <c r="Q327" s="20"/>
      <c r="R327" s="20"/>
      <c r="T327" s="20"/>
      <c r="U327" s="19"/>
      <c r="V327" s="22"/>
      <c r="W327" s="22"/>
      <c r="X327" s="20"/>
      <c r="BG327" s="25"/>
      <c r="BH327" s="20"/>
    </row>
    <row r="328" spans="1:60" x14ac:dyDescent="0.3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74</v>
      </c>
      <c r="K328" s="20" t="s">
        <v>74</v>
      </c>
      <c r="L328" s="20"/>
      <c r="M328" s="20"/>
      <c r="N328" s="20" t="s">
        <v>74</v>
      </c>
      <c r="O328" s="20" t="s">
        <v>74</v>
      </c>
      <c r="P328" s="20" t="s">
        <v>74</v>
      </c>
      <c r="Q328" s="20"/>
      <c r="R328" s="20"/>
      <c r="T328" s="20"/>
      <c r="U328" s="19"/>
      <c r="V328" s="22"/>
      <c r="W328" s="22"/>
      <c r="X328" s="20"/>
      <c r="BG328" s="25"/>
      <c r="BH328" s="20"/>
    </row>
    <row r="329" spans="1:60" x14ac:dyDescent="0.3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74</v>
      </c>
      <c r="K329" s="20" t="s">
        <v>74</v>
      </c>
      <c r="L329" s="20"/>
      <c r="M329" s="20"/>
      <c r="N329" s="20" t="s">
        <v>74</v>
      </c>
      <c r="O329" s="20" t="s">
        <v>74</v>
      </c>
      <c r="P329" s="20" t="s">
        <v>74</v>
      </c>
      <c r="Q329" s="20"/>
      <c r="R329" s="20"/>
      <c r="T329" s="20"/>
      <c r="U329" s="19"/>
      <c r="V329" s="22"/>
      <c r="W329" s="22"/>
      <c r="X329" s="20"/>
      <c r="BG329" s="25"/>
      <c r="BH329" s="20"/>
    </row>
    <row r="330" spans="1:60" x14ac:dyDescent="0.3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74</v>
      </c>
      <c r="K330" s="20" t="s">
        <v>74</v>
      </c>
      <c r="L330" s="20"/>
      <c r="M330" s="20"/>
      <c r="N330" s="20" t="s">
        <v>74</v>
      </c>
      <c r="O330" s="20" t="s">
        <v>74</v>
      </c>
      <c r="P330" s="20" t="s">
        <v>74</v>
      </c>
      <c r="Q330" s="20"/>
      <c r="R330" s="20"/>
      <c r="T330" s="20"/>
      <c r="U330" s="19"/>
      <c r="V330" s="22"/>
      <c r="W330" s="22"/>
      <c r="X330" s="20"/>
      <c r="BG330" s="25"/>
      <c r="BH330" s="20"/>
    </row>
    <row r="331" spans="1:60" x14ac:dyDescent="0.3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74</v>
      </c>
      <c r="K331" s="20" t="s">
        <v>74</v>
      </c>
      <c r="L331" s="20"/>
      <c r="M331" s="20"/>
      <c r="N331" s="20" t="s">
        <v>74</v>
      </c>
      <c r="O331" s="20" t="s">
        <v>74</v>
      </c>
      <c r="P331" s="20" t="s">
        <v>74</v>
      </c>
      <c r="Q331" s="20"/>
      <c r="R331" s="20"/>
      <c r="T331" s="20"/>
      <c r="U331" s="19"/>
      <c r="V331" s="22"/>
      <c r="W331" s="22"/>
      <c r="X331" s="20"/>
      <c r="BG331" s="25"/>
      <c r="BH331" s="20"/>
    </row>
    <row r="332" spans="1:60" x14ac:dyDescent="0.3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74</v>
      </c>
      <c r="K332" s="20" t="s">
        <v>74</v>
      </c>
      <c r="L332" s="20"/>
      <c r="M332" s="20"/>
      <c r="N332" s="20" t="s">
        <v>74</v>
      </c>
      <c r="O332" s="20" t="s">
        <v>74</v>
      </c>
      <c r="P332" s="20" t="s">
        <v>74</v>
      </c>
      <c r="Q332" s="20"/>
      <c r="R332" s="20"/>
      <c r="T332" s="20"/>
      <c r="U332" s="19"/>
      <c r="V332" s="22"/>
      <c r="W332" s="22"/>
      <c r="X332" s="20"/>
      <c r="BG332" s="25"/>
      <c r="BH332" s="20"/>
    </row>
    <row r="333" spans="1:60" x14ac:dyDescent="0.3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74</v>
      </c>
      <c r="K333" s="20" t="s">
        <v>74</v>
      </c>
      <c r="L333" s="20"/>
      <c r="M333" s="20"/>
      <c r="N333" s="20" t="s">
        <v>74</v>
      </c>
      <c r="O333" s="20" t="s">
        <v>74</v>
      </c>
      <c r="P333" s="20" t="s">
        <v>74</v>
      </c>
      <c r="Q333" s="20"/>
      <c r="R333" s="20"/>
      <c r="T333" s="20"/>
      <c r="U333" s="19"/>
      <c r="V333" s="22"/>
      <c r="W333" s="22"/>
      <c r="X333" s="20"/>
      <c r="BG333" s="25"/>
      <c r="BH333" s="20"/>
    </row>
    <row r="334" spans="1:60" x14ac:dyDescent="0.3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74</v>
      </c>
      <c r="K334" s="20" t="s">
        <v>74</v>
      </c>
      <c r="L334" s="20"/>
      <c r="M334" s="20"/>
      <c r="N334" s="20" t="s">
        <v>74</v>
      </c>
      <c r="O334" s="20" t="s">
        <v>74</v>
      </c>
      <c r="P334" s="20" t="s">
        <v>74</v>
      </c>
      <c r="Q334" s="20"/>
      <c r="R334" s="20"/>
      <c r="T334" s="20"/>
      <c r="U334" s="19"/>
      <c r="V334" s="22"/>
      <c r="W334" s="22"/>
      <c r="X334" s="20"/>
      <c r="BG334" s="25"/>
      <c r="BH334" s="20"/>
    </row>
    <row r="335" spans="1:60" x14ac:dyDescent="0.3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74</v>
      </c>
      <c r="K335" s="20" t="s">
        <v>74</v>
      </c>
      <c r="L335" s="20"/>
      <c r="M335" s="20"/>
      <c r="N335" s="20" t="s">
        <v>74</v>
      </c>
      <c r="O335" s="20" t="s">
        <v>74</v>
      </c>
      <c r="P335" s="20" t="s">
        <v>74</v>
      </c>
      <c r="Q335" s="20"/>
      <c r="R335" s="20"/>
      <c r="T335" s="20"/>
      <c r="U335" s="19"/>
      <c r="V335" s="22"/>
      <c r="W335" s="22"/>
      <c r="X335" s="20"/>
      <c r="BG335" s="25"/>
      <c r="BH335" s="20"/>
    </row>
    <row r="336" spans="1:60" x14ac:dyDescent="0.3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74</v>
      </c>
      <c r="K336" s="20" t="s">
        <v>74</v>
      </c>
      <c r="L336" s="20"/>
      <c r="M336" s="20"/>
      <c r="N336" s="20" t="s">
        <v>74</v>
      </c>
      <c r="O336" s="20" t="s">
        <v>74</v>
      </c>
      <c r="P336" s="20" t="s">
        <v>74</v>
      </c>
      <c r="Q336" s="20"/>
      <c r="R336" s="20"/>
      <c r="T336" s="20"/>
      <c r="U336" s="19"/>
      <c r="V336" s="22"/>
      <c r="W336" s="22"/>
      <c r="X336" s="20"/>
      <c r="BG336" s="25"/>
      <c r="BH336" s="20"/>
    </row>
    <row r="337" spans="1:60" x14ac:dyDescent="0.3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74</v>
      </c>
      <c r="K337" s="20" t="s">
        <v>74</v>
      </c>
      <c r="L337" s="20"/>
      <c r="M337" s="20"/>
      <c r="N337" s="20" t="s">
        <v>74</v>
      </c>
      <c r="O337" s="20" t="s">
        <v>74</v>
      </c>
      <c r="P337" s="20" t="s">
        <v>74</v>
      </c>
      <c r="Q337" s="20"/>
      <c r="R337" s="20"/>
      <c r="T337" s="20"/>
      <c r="U337" s="19"/>
      <c r="V337" s="22"/>
      <c r="W337" s="22"/>
      <c r="X337" s="20"/>
      <c r="BG337" s="25"/>
      <c r="BH337" s="20"/>
    </row>
    <row r="338" spans="1:60" x14ac:dyDescent="0.3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74</v>
      </c>
      <c r="K338" s="20" t="s">
        <v>74</v>
      </c>
      <c r="L338" s="20"/>
      <c r="M338" s="20"/>
      <c r="N338" s="20" t="s">
        <v>74</v>
      </c>
      <c r="O338" s="20" t="s">
        <v>74</v>
      </c>
      <c r="P338" s="20" t="s">
        <v>74</v>
      </c>
      <c r="Q338" s="20"/>
      <c r="R338" s="20"/>
      <c r="T338" s="20"/>
      <c r="U338" s="19"/>
      <c r="V338" s="22"/>
      <c r="W338" s="22"/>
      <c r="X338" s="20"/>
      <c r="BG338" s="25"/>
      <c r="BH338" s="20"/>
    </row>
    <row r="339" spans="1:60" x14ac:dyDescent="0.3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74</v>
      </c>
      <c r="K339" s="20" t="s">
        <v>74</v>
      </c>
      <c r="L339" s="20"/>
      <c r="M339" s="20"/>
      <c r="N339" s="20" t="s">
        <v>74</v>
      </c>
      <c r="O339" s="20" t="s">
        <v>74</v>
      </c>
      <c r="P339" s="20" t="s">
        <v>74</v>
      </c>
      <c r="Q339" s="20"/>
      <c r="R339" s="20"/>
      <c r="T339" s="20"/>
      <c r="U339" s="19"/>
      <c r="V339" s="22"/>
      <c r="W339" s="22"/>
      <c r="X339" s="20"/>
      <c r="BG339" s="25"/>
      <c r="BH339" s="20"/>
    </row>
    <row r="340" spans="1:60" x14ac:dyDescent="0.3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74</v>
      </c>
      <c r="K340" s="20" t="s">
        <v>74</v>
      </c>
      <c r="L340" s="20"/>
      <c r="M340" s="20"/>
      <c r="N340" s="20" t="s">
        <v>74</v>
      </c>
      <c r="O340" s="20" t="s">
        <v>74</v>
      </c>
      <c r="P340" s="20" t="s">
        <v>74</v>
      </c>
      <c r="Q340" s="20"/>
      <c r="R340" s="20"/>
      <c r="T340" s="20"/>
      <c r="U340" s="19"/>
      <c r="V340" s="22"/>
      <c r="W340" s="22"/>
      <c r="X340" s="20"/>
      <c r="BG340" s="25"/>
      <c r="BH340" s="20"/>
    </row>
    <row r="341" spans="1:60" x14ac:dyDescent="0.3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74</v>
      </c>
      <c r="K341" s="20" t="s">
        <v>74</v>
      </c>
      <c r="L341" s="20"/>
      <c r="M341" s="20"/>
      <c r="N341" s="20" t="s">
        <v>74</v>
      </c>
      <c r="O341" s="20" t="s">
        <v>74</v>
      </c>
      <c r="P341" s="20" t="s">
        <v>74</v>
      </c>
      <c r="Q341" s="20"/>
      <c r="R341" s="20"/>
      <c r="T341" s="20"/>
      <c r="U341" s="19"/>
      <c r="V341" s="22"/>
      <c r="W341" s="22"/>
      <c r="X341" s="20"/>
      <c r="BG341" s="25"/>
      <c r="BH341" s="20"/>
    </row>
    <row r="342" spans="1:60" x14ac:dyDescent="0.3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74</v>
      </c>
      <c r="K342" s="20" t="s">
        <v>74</v>
      </c>
      <c r="L342" s="20"/>
      <c r="M342" s="20"/>
      <c r="N342" s="20" t="s">
        <v>74</v>
      </c>
      <c r="O342" s="20" t="s">
        <v>74</v>
      </c>
      <c r="P342" s="20" t="s">
        <v>74</v>
      </c>
      <c r="Q342" s="20"/>
      <c r="R342" s="20"/>
      <c r="T342" s="20"/>
      <c r="U342" s="19"/>
      <c r="V342" s="22"/>
      <c r="W342" s="22"/>
      <c r="X342" s="20"/>
      <c r="BG342" s="25"/>
      <c r="BH342" s="20"/>
    </row>
    <row r="343" spans="1:60" x14ac:dyDescent="0.3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74</v>
      </c>
      <c r="K343" s="20" t="s">
        <v>74</v>
      </c>
      <c r="L343" s="20"/>
      <c r="M343" s="20"/>
      <c r="N343" s="20" t="s">
        <v>74</v>
      </c>
      <c r="O343" s="20" t="s">
        <v>74</v>
      </c>
      <c r="P343" s="20" t="s">
        <v>74</v>
      </c>
      <c r="Q343" s="20"/>
      <c r="R343" s="20"/>
      <c r="T343" s="20"/>
      <c r="U343" s="19"/>
      <c r="V343" s="22"/>
      <c r="W343" s="22"/>
      <c r="X343" s="20"/>
      <c r="BG343" s="25"/>
      <c r="BH343" s="20"/>
    </row>
    <row r="344" spans="1:60" x14ac:dyDescent="0.3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74</v>
      </c>
      <c r="K344" s="20" t="s">
        <v>74</v>
      </c>
      <c r="L344" s="20"/>
      <c r="M344" s="20"/>
      <c r="N344" s="20" t="s">
        <v>74</v>
      </c>
      <c r="O344" s="20" t="s">
        <v>74</v>
      </c>
      <c r="P344" s="20" t="s">
        <v>74</v>
      </c>
      <c r="Q344" s="20"/>
      <c r="R344" s="20"/>
      <c r="T344" s="20"/>
      <c r="U344" s="19"/>
      <c r="V344" s="22"/>
      <c r="W344" s="22"/>
      <c r="X344" s="20"/>
      <c r="BG344" s="25"/>
      <c r="BH344" s="20"/>
    </row>
    <row r="345" spans="1:60" x14ac:dyDescent="0.3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74</v>
      </c>
      <c r="K345" s="20" t="s">
        <v>74</v>
      </c>
      <c r="L345" s="20"/>
      <c r="M345" s="20"/>
      <c r="N345" s="20" t="s">
        <v>74</v>
      </c>
      <c r="O345" s="20" t="s">
        <v>74</v>
      </c>
      <c r="P345" s="20" t="s">
        <v>74</v>
      </c>
      <c r="Q345" s="20"/>
      <c r="R345" s="20"/>
      <c r="T345" s="20"/>
      <c r="U345" s="19"/>
      <c r="V345" s="22"/>
      <c r="W345" s="22"/>
      <c r="X345" s="20"/>
      <c r="BG345" s="25"/>
      <c r="BH345" s="20"/>
    </row>
    <row r="346" spans="1:60" x14ac:dyDescent="0.3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74</v>
      </c>
      <c r="K346" s="20" t="s">
        <v>74</v>
      </c>
      <c r="L346" s="20"/>
      <c r="M346" s="20"/>
      <c r="N346" s="20" t="s">
        <v>74</v>
      </c>
      <c r="O346" s="20" t="s">
        <v>74</v>
      </c>
      <c r="P346" s="20" t="s">
        <v>74</v>
      </c>
      <c r="Q346" s="20"/>
      <c r="R346" s="20"/>
      <c r="T346" s="20"/>
      <c r="U346" s="19"/>
      <c r="V346" s="22"/>
      <c r="W346" s="22"/>
      <c r="X346" s="20"/>
      <c r="BG346" s="25"/>
      <c r="BH346" s="20"/>
    </row>
    <row r="347" spans="1:60" x14ac:dyDescent="0.3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74</v>
      </c>
      <c r="K347" s="20" t="s">
        <v>74</v>
      </c>
      <c r="L347" s="20"/>
      <c r="M347" s="20"/>
      <c r="N347" s="20" t="s">
        <v>74</v>
      </c>
      <c r="O347" s="20" t="s">
        <v>74</v>
      </c>
      <c r="P347" s="20" t="s">
        <v>74</v>
      </c>
      <c r="Q347" s="20"/>
      <c r="R347" s="20"/>
      <c r="T347" s="20"/>
      <c r="U347" s="19"/>
      <c r="V347" s="22"/>
      <c r="W347" s="22"/>
      <c r="X347" s="20"/>
      <c r="BG347" s="25"/>
      <c r="BH347" s="20"/>
    </row>
    <row r="348" spans="1:60" x14ac:dyDescent="0.3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74</v>
      </c>
      <c r="K348" s="20" t="s">
        <v>74</v>
      </c>
      <c r="L348" s="20"/>
      <c r="M348" s="20"/>
      <c r="N348" s="20" t="s">
        <v>74</v>
      </c>
      <c r="O348" s="20" t="s">
        <v>74</v>
      </c>
      <c r="P348" s="20" t="s">
        <v>74</v>
      </c>
      <c r="Q348" s="20"/>
      <c r="R348" s="20"/>
      <c r="T348" s="20"/>
      <c r="U348" s="19"/>
      <c r="V348" s="22"/>
      <c r="W348" s="22"/>
      <c r="X348" s="20"/>
      <c r="BG348" s="25"/>
      <c r="BH348" s="20"/>
    </row>
    <row r="349" spans="1:60" x14ac:dyDescent="0.3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74</v>
      </c>
      <c r="K349" s="20" t="s">
        <v>74</v>
      </c>
      <c r="L349" s="20"/>
      <c r="M349" s="20"/>
      <c r="N349" s="20" t="s">
        <v>74</v>
      </c>
      <c r="O349" s="20" t="s">
        <v>74</v>
      </c>
      <c r="P349" s="20" t="s">
        <v>74</v>
      </c>
      <c r="Q349" s="20"/>
      <c r="R349" s="20"/>
      <c r="T349" s="20"/>
      <c r="U349" s="19"/>
      <c r="V349" s="22"/>
      <c r="W349" s="22"/>
      <c r="X349" s="20"/>
      <c r="BG349" s="25"/>
      <c r="BH349" s="20"/>
    </row>
    <row r="350" spans="1:60" x14ac:dyDescent="0.3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74</v>
      </c>
      <c r="K350" s="20" t="s">
        <v>74</v>
      </c>
      <c r="L350" s="20"/>
      <c r="M350" s="20"/>
      <c r="N350" s="20" t="s">
        <v>74</v>
      </c>
      <c r="O350" s="20" t="s">
        <v>74</v>
      </c>
      <c r="P350" s="20" t="s">
        <v>74</v>
      </c>
      <c r="Q350" s="20"/>
      <c r="R350" s="20"/>
      <c r="T350" s="20"/>
      <c r="U350" s="19"/>
      <c r="V350" s="22"/>
      <c r="W350" s="22"/>
      <c r="X350" s="20"/>
      <c r="BG350" s="25"/>
      <c r="BH350" s="20"/>
    </row>
    <row r="351" spans="1:60" x14ac:dyDescent="0.3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74</v>
      </c>
      <c r="K351" s="20" t="s">
        <v>74</v>
      </c>
      <c r="L351" s="20"/>
      <c r="M351" s="20"/>
      <c r="N351" s="20" t="s">
        <v>74</v>
      </c>
      <c r="O351" s="20" t="s">
        <v>74</v>
      </c>
      <c r="P351" s="20" t="s">
        <v>74</v>
      </c>
      <c r="Q351" s="20"/>
      <c r="R351" s="20"/>
      <c r="T351" s="20"/>
      <c r="U351" s="19"/>
      <c r="V351" s="22"/>
      <c r="W351" s="22"/>
      <c r="X351" s="20"/>
      <c r="BG351" s="25"/>
      <c r="BH351" s="20"/>
    </row>
    <row r="352" spans="1:60" x14ac:dyDescent="0.3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74</v>
      </c>
      <c r="K352" s="20" t="s">
        <v>74</v>
      </c>
      <c r="L352" s="20"/>
      <c r="M352" s="20"/>
      <c r="N352" s="20" t="s">
        <v>74</v>
      </c>
      <c r="O352" s="20" t="s">
        <v>74</v>
      </c>
      <c r="P352" s="20" t="s">
        <v>74</v>
      </c>
      <c r="Q352" s="20"/>
      <c r="R352" s="20"/>
      <c r="T352" s="20"/>
      <c r="U352" s="19"/>
      <c r="V352" s="22"/>
      <c r="W352" s="22"/>
      <c r="X352" s="20"/>
      <c r="BG352" s="25"/>
      <c r="BH352" s="20"/>
    </row>
    <row r="353" spans="1:60" x14ac:dyDescent="0.3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74</v>
      </c>
      <c r="K353" s="20" t="s">
        <v>74</v>
      </c>
      <c r="L353" s="20"/>
      <c r="M353" s="20"/>
      <c r="N353" s="20" t="s">
        <v>74</v>
      </c>
      <c r="O353" s="20" t="s">
        <v>74</v>
      </c>
      <c r="P353" s="20" t="s">
        <v>74</v>
      </c>
      <c r="Q353" s="20"/>
      <c r="R353" s="20"/>
      <c r="T353" s="20"/>
      <c r="U353" s="19"/>
      <c r="V353" s="22"/>
      <c r="W353" s="22"/>
      <c r="X353" s="20"/>
      <c r="BG353" s="25"/>
      <c r="BH353" s="20"/>
    </row>
    <row r="354" spans="1:60" x14ac:dyDescent="0.3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74</v>
      </c>
      <c r="K354" s="20" t="s">
        <v>74</v>
      </c>
      <c r="L354" s="20"/>
      <c r="M354" s="20"/>
      <c r="N354" s="20" t="s">
        <v>74</v>
      </c>
      <c r="O354" s="20" t="s">
        <v>74</v>
      </c>
      <c r="P354" s="20" t="s">
        <v>74</v>
      </c>
      <c r="Q354" s="20"/>
      <c r="R354" s="20"/>
      <c r="T354" s="20"/>
      <c r="U354" s="19"/>
      <c r="V354" s="22"/>
      <c r="W354" s="22"/>
      <c r="X354" s="20"/>
      <c r="BG354" s="25"/>
      <c r="BH354" s="20"/>
    </row>
    <row r="355" spans="1:60" x14ac:dyDescent="0.3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74</v>
      </c>
      <c r="K355" s="20" t="s">
        <v>74</v>
      </c>
      <c r="L355" s="20"/>
      <c r="M355" s="20"/>
      <c r="N355" s="20" t="s">
        <v>74</v>
      </c>
      <c r="O355" s="20" t="s">
        <v>74</v>
      </c>
      <c r="P355" s="20" t="s">
        <v>74</v>
      </c>
      <c r="Q355" s="20"/>
      <c r="R355" s="20"/>
      <c r="T355" s="20"/>
      <c r="U355" s="19"/>
      <c r="V355" s="22"/>
      <c r="W355" s="22"/>
      <c r="X355" s="20"/>
      <c r="BG355" s="25"/>
      <c r="BH355" s="20"/>
    </row>
    <row r="356" spans="1:60" x14ac:dyDescent="0.35">
      <c r="A356" s="19"/>
      <c r="B356" s="20"/>
      <c r="C356" s="21"/>
      <c r="D356" s="19"/>
      <c r="E356" s="20"/>
      <c r="F356" s="19"/>
      <c r="G356" s="20"/>
      <c r="H356" s="19"/>
      <c r="I356" s="20"/>
      <c r="J356" s="20" t="s">
        <v>74</v>
      </c>
      <c r="K356" s="20" t="s">
        <v>74</v>
      </c>
      <c r="L356" s="20"/>
      <c r="M356" s="20"/>
      <c r="N356" s="20" t="s">
        <v>74</v>
      </c>
      <c r="O356" s="20" t="s">
        <v>74</v>
      </c>
      <c r="P356" s="20" t="s">
        <v>74</v>
      </c>
      <c r="Q356" s="20"/>
      <c r="R356" s="20"/>
      <c r="T356" s="20"/>
      <c r="U356" s="19"/>
      <c r="V356" s="22"/>
      <c r="W356" s="22"/>
      <c r="X356" s="20"/>
      <c r="BG356" s="25"/>
      <c r="BH356" s="20"/>
    </row>
    <row r="357" spans="1:60" x14ac:dyDescent="0.35">
      <c r="A357" s="19"/>
      <c r="B357" s="20"/>
      <c r="C357" s="21"/>
      <c r="D357" s="19"/>
      <c r="E357" s="20"/>
      <c r="F357" s="19"/>
      <c r="G357" s="20"/>
      <c r="H357" s="19"/>
      <c r="I357" s="20"/>
      <c r="J357" s="20" t="s">
        <v>74</v>
      </c>
      <c r="K357" s="20" t="s">
        <v>74</v>
      </c>
      <c r="L357" s="20"/>
      <c r="M357" s="20"/>
      <c r="N357" s="20" t="s">
        <v>74</v>
      </c>
      <c r="O357" s="20" t="s">
        <v>74</v>
      </c>
      <c r="P357" s="20" t="s">
        <v>74</v>
      </c>
      <c r="Q357" s="20"/>
      <c r="R357" s="20"/>
      <c r="T357" s="20"/>
      <c r="U357" s="19"/>
      <c r="V357" s="22"/>
      <c r="W357" s="22"/>
      <c r="X357" s="20"/>
      <c r="BG357" s="25"/>
      <c r="BH357" s="20"/>
    </row>
    <row r="358" spans="1:60" x14ac:dyDescent="0.35">
      <c r="A358" s="19"/>
      <c r="B358" s="20"/>
      <c r="C358" s="21"/>
      <c r="D358" s="19"/>
      <c r="E358" s="20"/>
      <c r="F358" s="19"/>
      <c r="G358" s="20"/>
      <c r="H358" s="19"/>
      <c r="I358" s="20"/>
      <c r="J358" s="20" t="s">
        <v>74</v>
      </c>
      <c r="K358" s="20" t="s">
        <v>74</v>
      </c>
      <c r="L358" s="20"/>
      <c r="M358" s="20"/>
      <c r="N358" s="20" t="s">
        <v>74</v>
      </c>
      <c r="O358" s="20" t="s">
        <v>74</v>
      </c>
      <c r="P358" s="20" t="s">
        <v>74</v>
      </c>
      <c r="Q358" s="20"/>
      <c r="R358" s="20"/>
      <c r="T358" s="20"/>
      <c r="U358" s="19"/>
      <c r="V358" s="22"/>
      <c r="W358" s="22"/>
      <c r="X358" s="20"/>
      <c r="BG358" s="25"/>
      <c r="BH358" s="20"/>
    </row>
    <row r="359" spans="1:60" x14ac:dyDescent="0.35">
      <c r="A359" s="19"/>
      <c r="B359" s="20"/>
      <c r="C359" s="21"/>
      <c r="D359" s="19"/>
      <c r="E359" s="20"/>
      <c r="F359" s="19"/>
      <c r="G359" s="20"/>
      <c r="H359" s="19"/>
      <c r="I359" s="20"/>
      <c r="J359" s="20" t="s">
        <v>74</v>
      </c>
      <c r="K359" s="20" t="s">
        <v>74</v>
      </c>
      <c r="L359" s="20"/>
      <c r="M359" s="20"/>
      <c r="N359" s="20" t="s">
        <v>74</v>
      </c>
      <c r="O359" s="20" t="s">
        <v>74</v>
      </c>
      <c r="P359" s="20" t="s">
        <v>74</v>
      </c>
      <c r="Q359" s="20"/>
      <c r="R359" s="20"/>
      <c r="T359" s="20"/>
      <c r="U359" s="19"/>
      <c r="V359" s="22"/>
      <c r="W359" s="22"/>
      <c r="X359" s="20"/>
      <c r="BG359" s="25"/>
      <c r="BH359" s="20"/>
    </row>
    <row r="360" spans="1:60" x14ac:dyDescent="0.35">
      <c r="A360" s="19"/>
      <c r="B360" s="20"/>
      <c r="C360" s="21"/>
      <c r="D360" s="19"/>
      <c r="E360" s="20"/>
      <c r="F360" s="19"/>
      <c r="G360" s="20"/>
      <c r="H360" s="19"/>
      <c r="I360" s="20"/>
      <c r="J360" s="20" t="s">
        <v>74</v>
      </c>
      <c r="K360" s="20" t="s">
        <v>74</v>
      </c>
      <c r="L360" s="20"/>
      <c r="M360" s="20"/>
      <c r="N360" s="20" t="s">
        <v>74</v>
      </c>
      <c r="O360" s="20" t="s">
        <v>74</v>
      </c>
      <c r="P360" s="20" t="s">
        <v>74</v>
      </c>
      <c r="Q360" s="20"/>
      <c r="R360" s="20"/>
      <c r="T360" s="20"/>
      <c r="U360" s="19"/>
      <c r="V360" s="22"/>
      <c r="W360" s="22"/>
      <c r="X360" s="20"/>
      <c r="BG360" s="25"/>
      <c r="BH360" s="20"/>
    </row>
    <row r="361" spans="1:60" x14ac:dyDescent="0.35">
      <c r="A361" s="19"/>
      <c r="B361" s="20"/>
      <c r="C361" s="21"/>
      <c r="D361" s="19"/>
      <c r="E361" s="20"/>
      <c r="F361" s="19"/>
      <c r="G361" s="20"/>
      <c r="H361" s="19"/>
      <c r="I361" s="20"/>
      <c r="J361" s="20" t="s">
        <v>74</v>
      </c>
      <c r="K361" s="20" t="s">
        <v>74</v>
      </c>
      <c r="L361" s="20"/>
      <c r="M361" s="20"/>
      <c r="N361" s="20" t="s">
        <v>74</v>
      </c>
      <c r="O361" s="20" t="s">
        <v>74</v>
      </c>
      <c r="P361" s="20" t="s">
        <v>74</v>
      </c>
      <c r="Q361" s="20"/>
      <c r="R361" s="20"/>
      <c r="T361" s="20"/>
      <c r="U361" s="19"/>
      <c r="V361" s="22"/>
      <c r="W361" s="22"/>
      <c r="X361" s="20"/>
      <c r="BG361" s="25"/>
      <c r="BH361" s="20"/>
    </row>
    <row r="362" spans="1:60" x14ac:dyDescent="0.35">
      <c r="A362" s="19"/>
      <c r="B362" s="20"/>
      <c r="C362" s="21"/>
      <c r="D362" s="19"/>
      <c r="E362" s="20"/>
      <c r="F362" s="19"/>
      <c r="G362" s="20"/>
      <c r="H362" s="19"/>
      <c r="I362" s="20"/>
      <c r="J362" s="20" t="s">
        <v>74</v>
      </c>
      <c r="K362" s="20" t="s">
        <v>74</v>
      </c>
      <c r="L362" s="20"/>
      <c r="M362" s="20"/>
      <c r="N362" s="20" t="s">
        <v>74</v>
      </c>
      <c r="O362" s="20" t="s">
        <v>74</v>
      </c>
      <c r="P362" s="20" t="s">
        <v>74</v>
      </c>
      <c r="Q362" s="20"/>
      <c r="R362" s="20"/>
      <c r="T362" s="20"/>
      <c r="U362" s="19"/>
      <c r="V362" s="22"/>
      <c r="W362" s="22"/>
      <c r="X362" s="20"/>
      <c r="BG362" s="25"/>
      <c r="BH362" s="20"/>
    </row>
    <row r="363" spans="1:60" x14ac:dyDescent="0.35">
      <c r="A363" s="19"/>
      <c r="B363" s="20"/>
      <c r="C363" s="21"/>
      <c r="D363" s="19"/>
      <c r="E363" s="20"/>
      <c r="F363" s="19"/>
      <c r="G363" s="20"/>
      <c r="H363" s="19"/>
      <c r="I363" s="20"/>
      <c r="J363" s="20" t="s">
        <v>74</v>
      </c>
      <c r="K363" s="20" t="s">
        <v>74</v>
      </c>
      <c r="L363" s="20"/>
      <c r="M363" s="20"/>
      <c r="N363" s="20" t="s">
        <v>74</v>
      </c>
      <c r="O363" s="20" t="s">
        <v>74</v>
      </c>
      <c r="P363" s="20" t="s">
        <v>74</v>
      </c>
      <c r="Q363" s="20"/>
      <c r="R363" s="20"/>
      <c r="T363" s="20"/>
      <c r="U363" s="19"/>
      <c r="V363" s="22"/>
      <c r="W363" s="22"/>
      <c r="X363" s="20"/>
      <c r="BG363" s="25"/>
      <c r="BH363" s="20"/>
    </row>
    <row r="364" spans="1:60" x14ac:dyDescent="0.35">
      <c r="A364" s="19"/>
      <c r="B364" s="20"/>
      <c r="C364" s="21"/>
      <c r="D364" s="19"/>
      <c r="E364" s="20"/>
      <c r="F364" s="19"/>
      <c r="G364" s="20"/>
      <c r="H364" s="19"/>
      <c r="I364" s="20"/>
      <c r="J364" s="20" t="s">
        <v>74</v>
      </c>
      <c r="K364" s="20" t="s">
        <v>74</v>
      </c>
      <c r="L364" s="20"/>
      <c r="M364" s="20"/>
      <c r="N364" s="20" t="s">
        <v>74</v>
      </c>
      <c r="O364" s="20" t="s">
        <v>74</v>
      </c>
      <c r="P364" s="20" t="s">
        <v>74</v>
      </c>
      <c r="Q364" s="20"/>
      <c r="R364" s="20"/>
      <c r="T364" s="20"/>
      <c r="U364" s="19"/>
      <c r="V364" s="22"/>
      <c r="W364" s="22"/>
      <c r="X364" s="20"/>
      <c r="BG364" s="25"/>
      <c r="BH364" s="20"/>
    </row>
    <row r="365" spans="1:60" x14ac:dyDescent="0.35">
      <c r="A365" s="19"/>
      <c r="B365" s="20"/>
      <c r="C365" s="21"/>
      <c r="D365" s="19"/>
      <c r="E365" s="20"/>
      <c r="F365" s="19"/>
      <c r="G365" s="20"/>
      <c r="H365" s="19"/>
      <c r="I365" s="20"/>
      <c r="J365" s="20" t="s">
        <v>74</v>
      </c>
      <c r="K365" s="20" t="s">
        <v>74</v>
      </c>
      <c r="L365" s="20"/>
      <c r="M365" s="20"/>
      <c r="N365" s="20" t="s">
        <v>74</v>
      </c>
      <c r="O365" s="20" t="s">
        <v>74</v>
      </c>
      <c r="P365" s="20" t="s">
        <v>74</v>
      </c>
      <c r="Q365" s="20"/>
      <c r="R365" s="20"/>
      <c r="T365" s="20"/>
      <c r="U365" s="19"/>
      <c r="V365" s="22"/>
      <c r="W365" s="22"/>
      <c r="X365" s="20"/>
      <c r="BG365" s="25"/>
      <c r="BH365" s="20"/>
    </row>
    <row r="366" spans="1:60" x14ac:dyDescent="0.35">
      <c r="A366" s="19"/>
      <c r="B366" s="20"/>
      <c r="C366" s="21"/>
      <c r="D366" s="19"/>
      <c r="E366" s="20"/>
      <c r="F366" s="19"/>
      <c r="G366" s="20"/>
      <c r="H366" s="19"/>
      <c r="I366" s="20"/>
      <c r="J366" s="20" t="s">
        <v>74</v>
      </c>
      <c r="K366" s="20" t="s">
        <v>74</v>
      </c>
      <c r="L366" s="20"/>
      <c r="M366" s="20"/>
      <c r="N366" s="20" t="s">
        <v>74</v>
      </c>
      <c r="O366" s="20" t="s">
        <v>74</v>
      </c>
      <c r="P366" s="20" t="s">
        <v>74</v>
      </c>
      <c r="Q366" s="20"/>
      <c r="R366" s="20"/>
      <c r="T366" s="20"/>
      <c r="U366" s="19"/>
      <c r="V366" s="22"/>
      <c r="W366" s="22"/>
      <c r="X366" s="20"/>
      <c r="BG366" s="25"/>
      <c r="BH366" s="20"/>
    </row>
    <row r="367" spans="1:60" x14ac:dyDescent="0.35">
      <c r="A367" s="19"/>
      <c r="B367" s="20"/>
      <c r="C367" s="21"/>
      <c r="D367" s="19"/>
      <c r="E367" s="20"/>
      <c r="F367" s="19"/>
      <c r="G367" s="20"/>
      <c r="H367" s="19"/>
      <c r="I367" s="20"/>
      <c r="J367" s="20" t="s">
        <v>74</v>
      </c>
      <c r="K367" s="20" t="s">
        <v>74</v>
      </c>
      <c r="L367" s="20"/>
      <c r="M367" s="20"/>
      <c r="N367" s="20" t="s">
        <v>74</v>
      </c>
      <c r="O367" s="20" t="s">
        <v>74</v>
      </c>
      <c r="P367" s="20" t="s">
        <v>74</v>
      </c>
      <c r="Q367" s="20"/>
      <c r="R367" s="20"/>
      <c r="T367" s="20"/>
      <c r="U367" s="19"/>
      <c r="V367" s="22"/>
      <c r="W367" s="22"/>
      <c r="X367" s="20"/>
      <c r="BG367" s="25"/>
      <c r="BH367" s="20"/>
    </row>
    <row r="368" spans="1:60" x14ac:dyDescent="0.35">
      <c r="A368" s="19"/>
      <c r="B368" s="20"/>
      <c r="C368" s="21"/>
      <c r="D368" s="19"/>
      <c r="E368" s="20"/>
      <c r="F368" s="19"/>
      <c r="G368" s="20"/>
      <c r="H368" s="19"/>
      <c r="I368" s="20"/>
      <c r="J368" s="20" t="s">
        <v>74</v>
      </c>
      <c r="K368" s="20" t="s">
        <v>74</v>
      </c>
      <c r="L368" s="20"/>
      <c r="M368" s="20"/>
      <c r="N368" s="20" t="s">
        <v>74</v>
      </c>
      <c r="O368" s="20" t="s">
        <v>74</v>
      </c>
      <c r="P368" s="20" t="s">
        <v>74</v>
      </c>
      <c r="Q368" s="20"/>
      <c r="R368" s="20"/>
      <c r="T368" s="20"/>
      <c r="U368" s="19"/>
      <c r="V368" s="22"/>
      <c r="W368" s="22"/>
      <c r="X368" s="20"/>
      <c r="BG368" s="25"/>
      <c r="BH368" s="20"/>
    </row>
    <row r="369" spans="1:60" x14ac:dyDescent="0.35">
      <c r="A369" s="19"/>
      <c r="B369" s="20"/>
      <c r="C369" s="21"/>
      <c r="D369" s="19"/>
      <c r="E369" s="20"/>
      <c r="F369" s="19"/>
      <c r="G369" s="20"/>
      <c r="H369" s="19"/>
      <c r="I369" s="20"/>
      <c r="J369" s="20" t="s">
        <v>74</v>
      </c>
      <c r="K369" s="20" t="s">
        <v>74</v>
      </c>
      <c r="L369" s="20"/>
      <c r="M369" s="20"/>
      <c r="N369" s="20" t="s">
        <v>74</v>
      </c>
      <c r="O369" s="20" t="s">
        <v>74</v>
      </c>
      <c r="P369" s="20" t="s">
        <v>74</v>
      </c>
      <c r="Q369" s="20"/>
      <c r="R369" s="20"/>
      <c r="T369" s="20"/>
      <c r="U369" s="19"/>
      <c r="V369" s="22"/>
      <c r="W369" s="22"/>
      <c r="X369" s="20"/>
      <c r="BG369" s="25"/>
      <c r="BH369" s="20"/>
    </row>
    <row r="370" spans="1:60" x14ac:dyDescent="0.35">
      <c r="A370" s="19"/>
      <c r="B370" s="20"/>
      <c r="C370" s="21"/>
      <c r="D370" s="19"/>
      <c r="E370" s="20"/>
      <c r="F370" s="19"/>
      <c r="G370" s="20"/>
      <c r="H370" s="19"/>
      <c r="I370" s="20"/>
      <c r="J370" s="20" t="s">
        <v>74</v>
      </c>
      <c r="K370" s="20" t="s">
        <v>74</v>
      </c>
      <c r="L370" s="20"/>
      <c r="M370" s="20"/>
      <c r="N370" s="20" t="s">
        <v>74</v>
      </c>
      <c r="O370" s="20" t="s">
        <v>74</v>
      </c>
      <c r="P370" s="20" t="s">
        <v>74</v>
      </c>
      <c r="Q370" s="20"/>
      <c r="R370" s="20"/>
      <c r="T370" s="20"/>
      <c r="U370" s="19"/>
      <c r="V370" s="22"/>
      <c r="W370" s="22"/>
      <c r="X370" s="20"/>
      <c r="BG370" s="25"/>
      <c r="BH370" s="20"/>
    </row>
    <row r="371" spans="1:60" x14ac:dyDescent="0.35">
      <c r="A371" s="19"/>
      <c r="B371" s="20"/>
      <c r="C371" s="21"/>
      <c r="D371" s="19"/>
      <c r="E371" s="20"/>
      <c r="F371" s="19"/>
      <c r="G371" s="20"/>
      <c r="H371" s="19"/>
      <c r="I371" s="20"/>
      <c r="J371" s="20" t="s">
        <v>74</v>
      </c>
      <c r="K371" s="20" t="s">
        <v>74</v>
      </c>
      <c r="L371" s="20"/>
      <c r="M371" s="20"/>
      <c r="N371" s="20" t="s">
        <v>74</v>
      </c>
      <c r="O371" s="20" t="s">
        <v>74</v>
      </c>
      <c r="P371" s="20" t="s">
        <v>74</v>
      </c>
      <c r="Q371" s="20"/>
      <c r="R371" s="20"/>
      <c r="T371" s="20"/>
      <c r="U371" s="19"/>
      <c r="V371" s="22"/>
      <c r="W371" s="22"/>
      <c r="X371" s="20"/>
      <c r="BG371" s="25"/>
      <c r="BH371" s="20"/>
    </row>
    <row r="372" spans="1:60" x14ac:dyDescent="0.35">
      <c r="A372" s="19"/>
      <c r="B372" s="20"/>
      <c r="C372" s="21"/>
      <c r="D372" s="19"/>
      <c r="E372" s="20"/>
      <c r="F372" s="19"/>
      <c r="G372" s="20"/>
      <c r="H372" s="19"/>
      <c r="I372" s="20"/>
      <c r="J372" s="20" t="s">
        <v>74</v>
      </c>
      <c r="K372" s="20" t="s">
        <v>74</v>
      </c>
      <c r="L372" s="20"/>
      <c r="M372" s="20"/>
      <c r="N372" s="20" t="s">
        <v>74</v>
      </c>
      <c r="O372" s="20" t="s">
        <v>74</v>
      </c>
      <c r="P372" s="20" t="s">
        <v>74</v>
      </c>
      <c r="Q372" s="20"/>
      <c r="R372" s="20"/>
      <c r="T372" s="20"/>
      <c r="U372" s="19"/>
      <c r="V372" s="22"/>
      <c r="W372" s="22"/>
      <c r="X372" s="20"/>
      <c r="BG372" s="25"/>
      <c r="BH372" s="20"/>
    </row>
    <row r="373" spans="1:60" x14ac:dyDescent="0.35">
      <c r="A373" s="19"/>
      <c r="B373" s="20"/>
      <c r="C373" s="21"/>
      <c r="D373" s="19"/>
      <c r="E373" s="20"/>
      <c r="F373" s="19"/>
      <c r="G373" s="20"/>
      <c r="H373" s="19"/>
      <c r="I373" s="20"/>
      <c r="J373" s="20" t="s">
        <v>74</v>
      </c>
      <c r="K373" s="20" t="s">
        <v>74</v>
      </c>
      <c r="L373" s="20"/>
      <c r="M373" s="20"/>
      <c r="N373" s="20" t="s">
        <v>74</v>
      </c>
      <c r="O373" s="20" t="s">
        <v>74</v>
      </c>
      <c r="P373" s="20" t="s">
        <v>74</v>
      </c>
      <c r="Q373" s="20"/>
      <c r="R373" s="20"/>
      <c r="T373" s="20"/>
      <c r="U373" s="19"/>
      <c r="V373" s="22"/>
      <c r="W373" s="22"/>
      <c r="X373" s="20"/>
      <c r="BG373" s="25"/>
      <c r="BH373" s="20"/>
    </row>
    <row r="374" spans="1:60" x14ac:dyDescent="0.35">
      <c r="A374" s="19"/>
      <c r="B374" s="20"/>
      <c r="C374" s="21"/>
      <c r="D374" s="19"/>
      <c r="E374" s="20"/>
      <c r="F374" s="19"/>
      <c r="G374" s="20"/>
      <c r="H374" s="19"/>
      <c r="I374" s="20"/>
      <c r="J374" s="20" t="s">
        <v>74</v>
      </c>
      <c r="K374" s="20" t="s">
        <v>74</v>
      </c>
      <c r="L374" s="20"/>
      <c r="M374" s="20"/>
      <c r="N374" s="20" t="s">
        <v>74</v>
      </c>
      <c r="O374" s="20" t="s">
        <v>74</v>
      </c>
      <c r="P374" s="20" t="s">
        <v>74</v>
      </c>
      <c r="Q374" s="20"/>
      <c r="R374" s="20"/>
      <c r="T374" s="20"/>
      <c r="U374" s="19"/>
      <c r="V374" s="22"/>
      <c r="W374" s="22"/>
      <c r="X374" s="20"/>
      <c r="BG374" s="25"/>
      <c r="BH374" s="20"/>
    </row>
    <row r="375" spans="1:60" x14ac:dyDescent="0.35">
      <c r="A375" s="19"/>
      <c r="B375" s="20"/>
      <c r="C375" s="21"/>
      <c r="D375" s="19"/>
      <c r="E375" s="20"/>
      <c r="F375" s="19"/>
      <c r="G375" s="20"/>
      <c r="H375" s="19"/>
      <c r="I375" s="20"/>
      <c r="J375" s="20" t="s">
        <v>74</v>
      </c>
      <c r="K375" s="20" t="s">
        <v>74</v>
      </c>
      <c r="L375" s="20"/>
      <c r="M375" s="20"/>
      <c r="N375" s="20" t="s">
        <v>74</v>
      </c>
      <c r="O375" s="20" t="s">
        <v>74</v>
      </c>
      <c r="P375" s="20" t="s">
        <v>74</v>
      </c>
      <c r="Q375" s="20"/>
      <c r="R375" s="20"/>
      <c r="T375" s="20"/>
      <c r="U375" s="19"/>
      <c r="V375" s="22"/>
      <c r="W375" s="22"/>
      <c r="X375" s="20"/>
      <c r="BG375" s="25"/>
      <c r="BH375" s="20"/>
    </row>
    <row r="376" spans="1:60" x14ac:dyDescent="0.35">
      <c r="A376" s="19"/>
      <c r="B376" s="20"/>
      <c r="C376" s="21"/>
      <c r="D376" s="19"/>
      <c r="E376" s="20"/>
      <c r="F376" s="19"/>
      <c r="G376" s="20"/>
      <c r="H376" s="19"/>
      <c r="I376" s="20"/>
      <c r="J376" s="20" t="s">
        <v>74</v>
      </c>
      <c r="K376" s="20" t="s">
        <v>74</v>
      </c>
      <c r="L376" s="20"/>
      <c r="M376" s="20"/>
      <c r="N376" s="20" t="s">
        <v>74</v>
      </c>
      <c r="O376" s="20" t="s">
        <v>74</v>
      </c>
      <c r="P376" s="20" t="s">
        <v>74</v>
      </c>
      <c r="Q376" s="20"/>
      <c r="R376" s="20"/>
      <c r="T376" s="20"/>
      <c r="U376" s="19"/>
      <c r="V376" s="22"/>
      <c r="W376" s="22"/>
      <c r="X376" s="20"/>
      <c r="BG376" s="25"/>
      <c r="BH376" s="20"/>
    </row>
    <row r="377" spans="1:60" x14ac:dyDescent="0.35">
      <c r="A377" s="19"/>
      <c r="B377" s="20"/>
      <c r="C377" s="21"/>
      <c r="D377" s="19"/>
      <c r="E377" s="20"/>
      <c r="F377" s="19"/>
      <c r="G377" s="20"/>
      <c r="H377" s="19"/>
      <c r="I377" s="20"/>
      <c r="J377" s="20" t="s">
        <v>74</v>
      </c>
      <c r="K377" s="20" t="s">
        <v>74</v>
      </c>
      <c r="L377" s="20"/>
      <c r="M377" s="20"/>
      <c r="N377" s="20" t="s">
        <v>74</v>
      </c>
      <c r="O377" s="20" t="s">
        <v>74</v>
      </c>
      <c r="P377" s="20" t="s">
        <v>74</v>
      </c>
      <c r="Q377" s="20"/>
      <c r="R377" s="20"/>
      <c r="T377" s="20"/>
      <c r="U377" s="19"/>
      <c r="V377" s="22"/>
      <c r="W377" s="22"/>
      <c r="X377" s="20"/>
      <c r="BG377" s="25"/>
      <c r="BH377" s="20"/>
    </row>
    <row r="378" spans="1:60" x14ac:dyDescent="0.35">
      <c r="A378" s="19"/>
      <c r="B378" s="20"/>
      <c r="C378" s="21"/>
      <c r="D378" s="19"/>
      <c r="E378" s="20"/>
      <c r="F378" s="19"/>
      <c r="G378" s="20"/>
      <c r="H378" s="19"/>
      <c r="I378" s="20"/>
      <c r="J378" s="20" t="s">
        <v>74</v>
      </c>
      <c r="K378" s="20" t="s">
        <v>74</v>
      </c>
      <c r="L378" s="20"/>
      <c r="M378" s="20"/>
      <c r="N378" s="20" t="s">
        <v>74</v>
      </c>
      <c r="O378" s="20" t="s">
        <v>74</v>
      </c>
      <c r="P378" s="20" t="s">
        <v>74</v>
      </c>
      <c r="Q378" s="20"/>
      <c r="R378" s="20"/>
      <c r="T378" s="20"/>
      <c r="U378" s="19"/>
      <c r="V378" s="22"/>
      <c r="W378" s="22"/>
      <c r="X378" s="20"/>
      <c r="BG378" s="25"/>
      <c r="BH378" s="20"/>
    </row>
    <row r="379" spans="1:60" x14ac:dyDescent="0.35">
      <c r="A379" s="19"/>
      <c r="B379" s="20"/>
      <c r="C379" s="21"/>
      <c r="D379" s="19"/>
      <c r="E379" s="20"/>
      <c r="F379" s="19"/>
      <c r="G379" s="20"/>
      <c r="H379" s="19"/>
      <c r="I379" s="20"/>
      <c r="J379" s="20" t="s">
        <v>74</v>
      </c>
      <c r="K379" s="20" t="s">
        <v>74</v>
      </c>
      <c r="L379" s="20"/>
      <c r="M379" s="20"/>
      <c r="N379" s="20" t="s">
        <v>74</v>
      </c>
      <c r="O379" s="20" t="s">
        <v>74</v>
      </c>
      <c r="P379" s="20" t="s">
        <v>74</v>
      </c>
      <c r="Q379" s="20"/>
      <c r="R379" s="20"/>
      <c r="T379" s="20"/>
      <c r="U379" s="19"/>
      <c r="V379" s="22"/>
      <c r="W379" s="22"/>
      <c r="X379" s="20"/>
      <c r="BG379" s="25"/>
      <c r="BH379" s="20"/>
    </row>
    <row r="380" spans="1:60" x14ac:dyDescent="0.35">
      <c r="A380" s="19"/>
      <c r="B380" s="20"/>
      <c r="C380" s="21"/>
      <c r="D380" s="19"/>
      <c r="E380" s="20"/>
      <c r="F380" s="19"/>
      <c r="G380" s="20"/>
      <c r="H380" s="19"/>
      <c r="I380" s="20"/>
      <c r="J380" s="20" t="s">
        <v>74</v>
      </c>
      <c r="K380" s="20" t="s">
        <v>74</v>
      </c>
      <c r="L380" s="20"/>
      <c r="M380" s="20"/>
      <c r="N380" s="20" t="s">
        <v>74</v>
      </c>
      <c r="O380" s="20" t="s">
        <v>74</v>
      </c>
      <c r="P380" s="20" t="s">
        <v>74</v>
      </c>
      <c r="Q380" s="20"/>
      <c r="R380" s="20"/>
      <c r="T380" s="20"/>
      <c r="U380" s="19"/>
      <c r="V380" s="22"/>
      <c r="W380" s="22"/>
      <c r="X380" s="20"/>
      <c r="BG380" s="25"/>
      <c r="BH380" s="20"/>
    </row>
    <row r="381" spans="1:60" x14ac:dyDescent="0.35">
      <c r="A381" s="19"/>
      <c r="B381" s="20"/>
      <c r="C381" s="21"/>
      <c r="D381" s="19"/>
      <c r="E381" s="20"/>
      <c r="F381" s="19"/>
      <c r="G381" s="20"/>
      <c r="H381" s="19"/>
      <c r="I381" s="20"/>
      <c r="J381" s="20" t="s">
        <v>74</v>
      </c>
      <c r="K381" s="20" t="s">
        <v>74</v>
      </c>
      <c r="L381" s="20"/>
      <c r="M381" s="20"/>
      <c r="N381" s="20" t="s">
        <v>74</v>
      </c>
      <c r="O381" s="20" t="s">
        <v>74</v>
      </c>
      <c r="P381" s="20" t="s">
        <v>74</v>
      </c>
      <c r="Q381" s="20"/>
      <c r="R381" s="20"/>
      <c r="T381" s="20"/>
      <c r="U381" s="19"/>
      <c r="V381" s="22"/>
      <c r="W381" s="22"/>
      <c r="X381" s="20"/>
      <c r="BG381" s="25"/>
      <c r="BH381" s="20"/>
    </row>
    <row r="382" spans="1:60" x14ac:dyDescent="0.35">
      <c r="A382" s="19"/>
      <c r="B382" s="20"/>
      <c r="C382" s="21"/>
      <c r="D382" s="19"/>
      <c r="E382" s="20"/>
      <c r="F382" s="19"/>
      <c r="G382" s="20"/>
      <c r="H382" s="19"/>
      <c r="I382" s="20"/>
      <c r="J382" s="20" t="s">
        <v>74</v>
      </c>
      <c r="K382" s="20" t="s">
        <v>74</v>
      </c>
      <c r="L382" s="20"/>
      <c r="M382" s="20"/>
      <c r="N382" s="20" t="s">
        <v>74</v>
      </c>
      <c r="O382" s="20" t="s">
        <v>74</v>
      </c>
      <c r="P382" s="20" t="s">
        <v>74</v>
      </c>
      <c r="Q382" s="20"/>
      <c r="R382" s="20"/>
      <c r="T382" s="20"/>
      <c r="U382" s="19"/>
      <c r="V382" s="22"/>
      <c r="W382" s="22"/>
      <c r="X382" s="20"/>
      <c r="BG382" s="25"/>
      <c r="BH382" s="20"/>
    </row>
    <row r="383" spans="1:60" x14ac:dyDescent="0.35">
      <c r="A383" s="19"/>
      <c r="B383" s="20"/>
      <c r="C383" s="21"/>
      <c r="D383" s="19"/>
      <c r="E383" s="20"/>
      <c r="F383" s="19"/>
      <c r="G383" s="20"/>
      <c r="H383" s="19"/>
      <c r="I383" s="20"/>
      <c r="J383" s="20" t="s">
        <v>74</v>
      </c>
      <c r="K383" s="20" t="s">
        <v>74</v>
      </c>
      <c r="L383" s="20"/>
      <c r="M383" s="20"/>
      <c r="N383" s="20" t="s">
        <v>74</v>
      </c>
      <c r="O383" s="20" t="s">
        <v>74</v>
      </c>
      <c r="P383" s="20" t="s">
        <v>74</v>
      </c>
      <c r="Q383" s="20"/>
      <c r="R383" s="20"/>
      <c r="T383" s="20"/>
      <c r="U383" s="19"/>
      <c r="V383" s="22"/>
      <c r="W383" s="22"/>
      <c r="X383" s="20"/>
      <c r="BG383" s="25"/>
      <c r="BH383" s="20"/>
    </row>
    <row r="384" spans="1:60" x14ac:dyDescent="0.35">
      <c r="A384" s="19"/>
      <c r="B384" s="20"/>
      <c r="C384" s="21"/>
      <c r="D384" s="19"/>
      <c r="E384" s="20"/>
      <c r="F384" s="19"/>
      <c r="G384" s="20"/>
      <c r="H384" s="19"/>
      <c r="I384" s="20"/>
      <c r="J384" s="20" t="s">
        <v>74</v>
      </c>
      <c r="K384" s="20" t="s">
        <v>74</v>
      </c>
      <c r="L384" s="20"/>
      <c r="M384" s="20"/>
      <c r="N384" s="20" t="s">
        <v>74</v>
      </c>
      <c r="O384" s="20" t="s">
        <v>74</v>
      </c>
      <c r="P384" s="20" t="s">
        <v>74</v>
      </c>
      <c r="Q384" s="20"/>
      <c r="R384" s="20"/>
      <c r="T384" s="20"/>
      <c r="U384" s="19"/>
      <c r="V384" s="22"/>
      <c r="W384" s="22"/>
      <c r="X384" s="20"/>
      <c r="BG384" s="25"/>
      <c r="BH384" s="20"/>
    </row>
    <row r="385" spans="1:60" x14ac:dyDescent="0.35">
      <c r="A385" s="19"/>
      <c r="B385" s="20"/>
      <c r="C385" s="21"/>
      <c r="D385" s="19"/>
      <c r="E385" s="20"/>
      <c r="F385" s="19"/>
      <c r="G385" s="20"/>
      <c r="H385" s="19"/>
      <c r="I385" s="20"/>
      <c r="J385" s="20" t="s">
        <v>74</v>
      </c>
      <c r="K385" s="20" t="s">
        <v>74</v>
      </c>
      <c r="L385" s="20"/>
      <c r="M385" s="20"/>
      <c r="N385" s="20" t="s">
        <v>74</v>
      </c>
      <c r="O385" s="20" t="s">
        <v>74</v>
      </c>
      <c r="P385" s="20" t="s">
        <v>74</v>
      </c>
      <c r="Q385" s="20"/>
      <c r="R385" s="20"/>
      <c r="T385" s="20"/>
      <c r="U385" s="19"/>
      <c r="V385" s="22"/>
      <c r="W385" s="22"/>
      <c r="X385" s="20"/>
      <c r="BG385" s="25"/>
      <c r="BH385" s="20"/>
    </row>
    <row r="386" spans="1:60" x14ac:dyDescent="0.35">
      <c r="A386" s="19"/>
      <c r="B386" s="20"/>
      <c r="C386" s="21"/>
      <c r="D386" s="19"/>
      <c r="E386" s="20"/>
      <c r="F386" s="19"/>
      <c r="G386" s="20"/>
      <c r="H386" s="19"/>
      <c r="I386" s="20"/>
      <c r="J386" s="20" t="s">
        <v>74</v>
      </c>
      <c r="K386" s="20" t="s">
        <v>74</v>
      </c>
      <c r="L386" s="20"/>
      <c r="M386" s="20"/>
      <c r="N386" s="20" t="s">
        <v>74</v>
      </c>
      <c r="O386" s="20" t="s">
        <v>74</v>
      </c>
      <c r="P386" s="20" t="s">
        <v>74</v>
      </c>
      <c r="Q386" s="20"/>
      <c r="R386" s="20"/>
      <c r="T386" s="20"/>
      <c r="U386" s="19"/>
      <c r="V386" s="22"/>
      <c r="W386" s="22"/>
      <c r="X386" s="20"/>
      <c r="BG386" s="25"/>
      <c r="BH386" s="20"/>
    </row>
    <row r="387" spans="1:60" x14ac:dyDescent="0.35">
      <c r="A387" s="19"/>
      <c r="B387" s="20"/>
      <c r="C387" s="21"/>
      <c r="D387" s="19"/>
      <c r="E387" s="20"/>
      <c r="F387" s="19"/>
      <c r="G387" s="20"/>
      <c r="H387" s="19"/>
      <c r="I387" s="20"/>
      <c r="J387" s="20" t="s">
        <v>74</v>
      </c>
      <c r="K387" s="20" t="s">
        <v>74</v>
      </c>
      <c r="L387" s="20"/>
      <c r="M387" s="20"/>
      <c r="N387" s="20" t="s">
        <v>74</v>
      </c>
      <c r="O387" s="20" t="s">
        <v>74</v>
      </c>
      <c r="P387" s="20" t="s">
        <v>74</v>
      </c>
      <c r="Q387" s="20"/>
      <c r="R387" s="20"/>
      <c r="T387" s="20"/>
      <c r="U387" s="19"/>
      <c r="V387" s="22"/>
      <c r="W387" s="22"/>
      <c r="X387" s="20"/>
      <c r="BG387" s="25"/>
      <c r="BH387" s="20"/>
    </row>
    <row r="388" spans="1:60" x14ac:dyDescent="0.35">
      <c r="A388" s="19"/>
      <c r="B388" s="20"/>
      <c r="C388" s="21"/>
      <c r="D388" s="19"/>
      <c r="E388" s="20"/>
      <c r="F388" s="19"/>
      <c r="G388" s="20"/>
      <c r="H388" s="19"/>
      <c r="I388" s="20"/>
      <c r="J388" s="20" t="s">
        <v>74</v>
      </c>
      <c r="K388" s="20" t="s">
        <v>74</v>
      </c>
      <c r="L388" s="20"/>
      <c r="M388" s="20"/>
      <c r="N388" s="20" t="s">
        <v>74</v>
      </c>
      <c r="O388" s="20" t="s">
        <v>74</v>
      </c>
      <c r="P388" s="20" t="s">
        <v>74</v>
      </c>
      <c r="Q388" s="20"/>
      <c r="R388" s="20"/>
      <c r="T388" s="20"/>
      <c r="U388" s="19"/>
      <c r="V388" s="22"/>
      <c r="W388" s="22"/>
      <c r="X388" s="20"/>
      <c r="BG388" s="25"/>
      <c r="BH388" s="20"/>
    </row>
    <row r="389" spans="1:60" x14ac:dyDescent="0.35">
      <c r="A389" s="19"/>
      <c r="B389" s="20"/>
      <c r="C389" s="21"/>
      <c r="D389" s="19"/>
      <c r="E389" s="20"/>
      <c r="F389" s="19"/>
      <c r="G389" s="20"/>
      <c r="H389" s="19"/>
      <c r="I389" s="20"/>
      <c r="J389" s="20" t="s">
        <v>74</v>
      </c>
      <c r="K389" s="20" t="s">
        <v>74</v>
      </c>
      <c r="L389" s="20"/>
      <c r="M389" s="20"/>
      <c r="N389" s="20" t="s">
        <v>74</v>
      </c>
      <c r="O389" s="20" t="s">
        <v>74</v>
      </c>
      <c r="P389" s="20" t="s">
        <v>74</v>
      </c>
      <c r="Q389" s="20"/>
      <c r="R389" s="20"/>
      <c r="T389" s="20"/>
      <c r="U389" s="19"/>
      <c r="V389" s="22"/>
      <c r="W389" s="22"/>
      <c r="X389" s="20"/>
      <c r="BG389" s="25"/>
      <c r="BH389" s="20"/>
    </row>
    <row r="390" spans="1:60" x14ac:dyDescent="0.35">
      <c r="A390" s="19"/>
      <c r="B390" s="20"/>
      <c r="C390" s="21"/>
      <c r="D390" s="19"/>
      <c r="E390" s="20"/>
      <c r="F390" s="19"/>
      <c r="G390" s="20"/>
      <c r="H390" s="19"/>
      <c r="I390" s="20"/>
      <c r="J390" s="20" t="s">
        <v>74</v>
      </c>
      <c r="K390" s="20" t="s">
        <v>74</v>
      </c>
      <c r="L390" s="20"/>
      <c r="M390" s="20"/>
      <c r="N390" s="20" t="s">
        <v>74</v>
      </c>
      <c r="O390" s="20" t="s">
        <v>74</v>
      </c>
      <c r="P390" s="20" t="s">
        <v>74</v>
      </c>
      <c r="Q390" s="20"/>
      <c r="R390" s="20"/>
      <c r="T390" s="20"/>
      <c r="U390" s="19"/>
      <c r="V390" s="22"/>
      <c r="W390" s="22"/>
      <c r="X390" s="20"/>
      <c r="BG390" s="25"/>
      <c r="BH390" s="20"/>
    </row>
    <row r="391" spans="1:60" x14ac:dyDescent="0.35">
      <c r="A391" s="19"/>
      <c r="B391" s="20"/>
      <c r="C391" s="21"/>
      <c r="D391" s="19"/>
      <c r="E391" s="20"/>
      <c r="F391" s="19"/>
      <c r="G391" s="20"/>
      <c r="H391" s="19"/>
      <c r="I391" s="20"/>
      <c r="J391" s="20" t="s">
        <v>74</v>
      </c>
      <c r="K391" s="20" t="s">
        <v>74</v>
      </c>
      <c r="L391" s="20"/>
      <c r="M391" s="20"/>
      <c r="N391" s="20" t="s">
        <v>74</v>
      </c>
      <c r="O391" s="20" t="s">
        <v>74</v>
      </c>
      <c r="P391" s="20" t="s">
        <v>74</v>
      </c>
      <c r="Q391" s="20"/>
      <c r="R391" s="20"/>
      <c r="T391" s="20"/>
      <c r="U391" s="19"/>
      <c r="V391" s="22"/>
      <c r="W391" s="22"/>
      <c r="X391" s="20"/>
      <c r="BG391" s="25"/>
      <c r="BH391" s="20"/>
    </row>
    <row r="392" spans="1:60" x14ac:dyDescent="0.35">
      <c r="A392" s="19"/>
      <c r="B392" s="20"/>
      <c r="C392" s="21"/>
      <c r="D392" s="19"/>
      <c r="E392" s="20"/>
      <c r="F392" s="19"/>
      <c r="G392" s="20"/>
      <c r="H392" s="19"/>
      <c r="I392" s="20"/>
      <c r="J392" s="20" t="s">
        <v>74</v>
      </c>
      <c r="K392" s="20" t="s">
        <v>74</v>
      </c>
      <c r="L392" s="20"/>
      <c r="M392" s="20"/>
      <c r="N392" s="20" t="s">
        <v>74</v>
      </c>
      <c r="O392" s="20" t="s">
        <v>74</v>
      </c>
      <c r="P392" s="20" t="s">
        <v>74</v>
      </c>
      <c r="Q392" s="20"/>
      <c r="R392" s="20"/>
      <c r="T392" s="20"/>
      <c r="U392" s="19"/>
      <c r="V392" s="22"/>
      <c r="W392" s="22"/>
      <c r="X392" s="20"/>
      <c r="BG392" s="25"/>
      <c r="BH392" s="20"/>
    </row>
    <row r="393" spans="1:60" x14ac:dyDescent="0.35">
      <c r="A393" s="19"/>
      <c r="B393" s="20"/>
      <c r="C393" s="21"/>
      <c r="D393" s="19"/>
      <c r="E393" s="20"/>
      <c r="F393" s="19"/>
      <c r="G393" s="20"/>
      <c r="H393" s="19"/>
      <c r="I393" s="20"/>
      <c r="J393" s="20" t="s">
        <v>74</v>
      </c>
      <c r="K393" s="20" t="s">
        <v>74</v>
      </c>
      <c r="L393" s="20"/>
      <c r="M393" s="20"/>
      <c r="N393" s="20" t="s">
        <v>74</v>
      </c>
      <c r="O393" s="20" t="s">
        <v>74</v>
      </c>
      <c r="P393" s="20" t="s">
        <v>74</v>
      </c>
      <c r="Q393" s="20"/>
      <c r="R393" s="20"/>
      <c r="T393" s="20"/>
      <c r="U393" s="19"/>
      <c r="V393" s="22"/>
      <c r="W393" s="22"/>
      <c r="X393" s="20"/>
      <c r="BG393" s="25"/>
      <c r="BH393" s="20"/>
    </row>
    <row r="394" spans="1:60" x14ac:dyDescent="0.35">
      <c r="A394" s="19"/>
      <c r="B394" s="20"/>
      <c r="C394" s="21"/>
      <c r="D394" s="19"/>
      <c r="E394" s="20"/>
      <c r="F394" s="19"/>
      <c r="G394" s="20"/>
      <c r="H394" s="19"/>
      <c r="I394" s="20"/>
      <c r="J394" s="20" t="s">
        <v>74</v>
      </c>
      <c r="K394" s="20" t="s">
        <v>74</v>
      </c>
      <c r="L394" s="20"/>
      <c r="M394" s="20"/>
      <c r="N394" s="20" t="s">
        <v>74</v>
      </c>
      <c r="O394" s="20" t="s">
        <v>74</v>
      </c>
      <c r="P394" s="20" t="s">
        <v>74</v>
      </c>
      <c r="Q394" s="20"/>
      <c r="R394" s="20"/>
      <c r="T394" s="20"/>
      <c r="U394" s="19"/>
      <c r="V394" s="22"/>
      <c r="W394" s="22"/>
      <c r="X394" s="20"/>
      <c r="BG394" s="25"/>
      <c r="BH394" s="20"/>
    </row>
    <row r="395" spans="1:60" x14ac:dyDescent="0.35">
      <c r="A395" s="19"/>
      <c r="B395" s="20"/>
      <c r="C395" s="21"/>
      <c r="D395" s="19"/>
      <c r="E395" s="20"/>
      <c r="F395" s="19"/>
      <c r="G395" s="20"/>
      <c r="H395" s="19"/>
      <c r="I395" s="20"/>
      <c r="J395" s="20" t="s">
        <v>74</v>
      </c>
      <c r="K395" s="20" t="s">
        <v>74</v>
      </c>
      <c r="L395" s="20"/>
      <c r="M395" s="20"/>
      <c r="N395" s="20" t="s">
        <v>74</v>
      </c>
      <c r="O395" s="20" t="s">
        <v>74</v>
      </c>
      <c r="P395" s="20" t="s">
        <v>74</v>
      </c>
      <c r="Q395" s="20"/>
      <c r="R395" s="20"/>
      <c r="T395" s="20"/>
      <c r="U395" s="19"/>
      <c r="V395" s="22"/>
      <c r="W395" s="22"/>
      <c r="X395" s="20"/>
      <c r="BG395" s="25"/>
      <c r="BH395" s="20"/>
    </row>
    <row r="396" spans="1:60" x14ac:dyDescent="0.35">
      <c r="A396" s="19"/>
      <c r="B396" s="20"/>
      <c r="C396" s="21"/>
      <c r="D396" s="19"/>
      <c r="E396" s="20"/>
      <c r="F396" s="19"/>
      <c r="G396" s="20"/>
      <c r="H396" s="19"/>
      <c r="I396" s="20"/>
      <c r="J396" s="20" t="s">
        <v>74</v>
      </c>
      <c r="K396" s="20" t="s">
        <v>74</v>
      </c>
      <c r="L396" s="20"/>
      <c r="M396" s="20"/>
      <c r="N396" s="20" t="s">
        <v>74</v>
      </c>
      <c r="O396" s="20" t="s">
        <v>74</v>
      </c>
      <c r="P396" s="20" t="s">
        <v>74</v>
      </c>
      <c r="Q396" s="20"/>
      <c r="R396" s="20"/>
      <c r="T396" s="20"/>
      <c r="U396" s="19"/>
      <c r="V396" s="22"/>
      <c r="W396" s="22"/>
      <c r="X396" s="20"/>
      <c r="BG396" s="25"/>
      <c r="BH396" s="20"/>
    </row>
    <row r="397" spans="1:60" x14ac:dyDescent="0.35">
      <c r="A397" s="19"/>
      <c r="B397" s="20"/>
      <c r="C397" s="21"/>
      <c r="D397" s="19"/>
      <c r="E397" s="20"/>
      <c r="F397" s="19"/>
      <c r="G397" s="20"/>
      <c r="H397" s="19"/>
      <c r="I397" s="20"/>
      <c r="J397" s="20" t="s">
        <v>74</v>
      </c>
      <c r="K397" s="20" t="s">
        <v>74</v>
      </c>
      <c r="L397" s="20"/>
      <c r="M397" s="20"/>
      <c r="N397" s="20" t="s">
        <v>74</v>
      </c>
      <c r="O397" s="20" t="s">
        <v>74</v>
      </c>
      <c r="P397" s="20" t="s">
        <v>74</v>
      </c>
      <c r="Q397" s="20"/>
      <c r="R397" s="20"/>
      <c r="T397" s="20"/>
      <c r="U397" s="19"/>
      <c r="V397" s="22"/>
      <c r="W397" s="22"/>
      <c r="X397" s="20"/>
      <c r="BG397" s="25"/>
      <c r="BH397" s="20"/>
    </row>
    <row r="398" spans="1:60" x14ac:dyDescent="0.35">
      <c r="A398" s="19"/>
      <c r="B398" s="20"/>
      <c r="C398" s="21"/>
      <c r="D398" s="19"/>
      <c r="E398" s="20"/>
      <c r="F398" s="19"/>
      <c r="G398" s="20"/>
      <c r="H398" s="19"/>
      <c r="I398" s="20"/>
      <c r="J398" s="20" t="s">
        <v>74</v>
      </c>
      <c r="K398" s="20" t="s">
        <v>74</v>
      </c>
      <c r="L398" s="20"/>
      <c r="M398" s="20"/>
      <c r="N398" s="20" t="s">
        <v>74</v>
      </c>
      <c r="O398" s="20" t="s">
        <v>74</v>
      </c>
      <c r="P398" s="20" t="s">
        <v>74</v>
      </c>
      <c r="Q398" s="20"/>
      <c r="R398" s="20"/>
      <c r="T398" s="20"/>
      <c r="U398" s="19"/>
      <c r="V398" s="22"/>
      <c r="W398" s="22"/>
      <c r="X398" s="20"/>
      <c r="BG398" s="25"/>
      <c r="BH398" s="20"/>
    </row>
    <row r="399" spans="1:60" x14ac:dyDescent="0.35">
      <c r="A399" s="19"/>
      <c r="B399" s="20"/>
      <c r="C399" s="21"/>
      <c r="D399" s="19"/>
      <c r="E399" s="20"/>
      <c r="F399" s="19"/>
      <c r="G399" s="20"/>
      <c r="H399" s="19"/>
      <c r="I399" s="20"/>
      <c r="J399" s="20" t="s">
        <v>74</v>
      </c>
      <c r="K399" s="20" t="s">
        <v>74</v>
      </c>
      <c r="L399" s="20"/>
      <c r="M399" s="20"/>
      <c r="N399" s="20" t="s">
        <v>74</v>
      </c>
      <c r="O399" s="20" t="s">
        <v>74</v>
      </c>
      <c r="P399" s="20" t="s">
        <v>74</v>
      </c>
      <c r="Q399" s="20"/>
      <c r="R399" s="20"/>
      <c r="T399" s="20"/>
      <c r="U399" s="19"/>
      <c r="V399" s="22"/>
      <c r="W399" s="22"/>
      <c r="X399" s="20"/>
      <c r="BG399" s="25"/>
      <c r="BH399" s="20"/>
    </row>
    <row r="400" spans="1:60" x14ac:dyDescent="0.35">
      <c r="A400" s="19"/>
      <c r="B400" s="20"/>
      <c r="C400" s="21"/>
      <c r="D400" s="19"/>
      <c r="E400" s="20"/>
      <c r="F400" s="19"/>
      <c r="G400" s="20"/>
      <c r="H400" s="19"/>
      <c r="I400" s="20"/>
      <c r="J400" s="20" t="s">
        <v>74</v>
      </c>
      <c r="K400" s="20" t="s">
        <v>74</v>
      </c>
      <c r="L400" s="20"/>
      <c r="M400" s="20"/>
      <c r="N400" s="20" t="s">
        <v>74</v>
      </c>
      <c r="O400" s="20" t="s">
        <v>74</v>
      </c>
      <c r="P400" s="20" t="s">
        <v>74</v>
      </c>
      <c r="Q400" s="20"/>
      <c r="R400" s="20"/>
      <c r="T400" s="20"/>
      <c r="U400" s="19"/>
      <c r="V400" s="22"/>
      <c r="W400" s="22"/>
      <c r="X400" s="20"/>
      <c r="BG400" s="25"/>
      <c r="BH400" s="20"/>
    </row>
    <row r="401" spans="1:60" x14ac:dyDescent="0.35">
      <c r="A401" s="19"/>
      <c r="B401" s="20"/>
      <c r="C401" s="21"/>
      <c r="D401" s="19"/>
      <c r="E401" s="20"/>
      <c r="F401" s="19"/>
      <c r="G401" s="20"/>
      <c r="H401" s="19"/>
      <c r="I401" s="20"/>
      <c r="J401" s="20" t="s">
        <v>74</v>
      </c>
      <c r="K401" s="20" t="s">
        <v>74</v>
      </c>
      <c r="L401" s="20"/>
      <c r="M401" s="20"/>
      <c r="N401" s="20" t="s">
        <v>74</v>
      </c>
      <c r="O401" s="20" t="s">
        <v>74</v>
      </c>
      <c r="P401" s="20" t="s">
        <v>74</v>
      </c>
      <c r="Q401" s="20"/>
      <c r="R401" s="20"/>
      <c r="T401" s="20"/>
      <c r="U401" s="19"/>
      <c r="V401" s="22"/>
      <c r="W401" s="22"/>
      <c r="X401" s="20"/>
      <c r="BG401" s="25"/>
      <c r="BH401" s="20"/>
    </row>
    <row r="402" spans="1:60" x14ac:dyDescent="0.35">
      <c r="A402" s="19"/>
      <c r="B402" s="20"/>
      <c r="C402" s="21"/>
      <c r="D402" s="19"/>
      <c r="E402" s="20"/>
      <c r="F402" s="19"/>
      <c r="G402" s="20"/>
      <c r="H402" s="19"/>
      <c r="I402" s="20"/>
      <c r="J402" s="20" t="s">
        <v>74</v>
      </c>
      <c r="K402" s="20" t="s">
        <v>74</v>
      </c>
      <c r="L402" s="20"/>
      <c r="M402" s="20"/>
      <c r="N402" s="20" t="s">
        <v>74</v>
      </c>
      <c r="O402" s="20" t="s">
        <v>74</v>
      </c>
      <c r="P402" s="20" t="s">
        <v>74</v>
      </c>
      <c r="Q402" s="20"/>
      <c r="R402" s="20"/>
      <c r="T402" s="20"/>
      <c r="U402" s="19"/>
      <c r="V402" s="22"/>
      <c r="W402" s="22"/>
      <c r="X402" s="20"/>
      <c r="BG402" s="25"/>
      <c r="BH402" s="20"/>
    </row>
    <row r="403" spans="1:60" x14ac:dyDescent="0.35">
      <c r="A403" s="19"/>
      <c r="B403" s="20"/>
      <c r="C403" s="21"/>
      <c r="D403" s="19"/>
      <c r="E403" s="20"/>
      <c r="F403" s="19"/>
      <c r="G403" s="20"/>
      <c r="H403" s="19"/>
      <c r="I403" s="20"/>
      <c r="J403" s="20" t="s">
        <v>74</v>
      </c>
      <c r="K403" s="20" t="s">
        <v>74</v>
      </c>
      <c r="L403" s="20"/>
      <c r="M403" s="20"/>
      <c r="N403" s="20" t="s">
        <v>74</v>
      </c>
      <c r="O403" s="20" t="s">
        <v>74</v>
      </c>
      <c r="P403" s="20" t="s">
        <v>74</v>
      </c>
      <c r="Q403" s="20"/>
      <c r="R403" s="20"/>
      <c r="T403" s="20"/>
      <c r="U403" s="19"/>
      <c r="V403" s="22"/>
      <c r="W403" s="22"/>
      <c r="X403" s="20"/>
      <c r="BG403" s="25"/>
      <c r="BH403" s="20"/>
    </row>
    <row r="404" spans="1:60" x14ac:dyDescent="0.35">
      <c r="A404" s="19"/>
      <c r="B404" s="20"/>
      <c r="C404" s="21"/>
      <c r="D404" s="19"/>
      <c r="E404" s="20"/>
      <c r="F404" s="19"/>
      <c r="G404" s="20"/>
      <c r="H404" s="19"/>
      <c r="I404" s="20"/>
      <c r="J404" s="20" t="s">
        <v>74</v>
      </c>
      <c r="K404" s="20" t="s">
        <v>74</v>
      </c>
      <c r="L404" s="20"/>
      <c r="M404" s="20"/>
      <c r="N404" s="20" t="s">
        <v>74</v>
      </c>
      <c r="O404" s="20" t="s">
        <v>74</v>
      </c>
      <c r="P404" s="20" t="s">
        <v>74</v>
      </c>
      <c r="Q404" s="20"/>
      <c r="R404" s="20"/>
      <c r="T404" s="20"/>
      <c r="U404" s="19"/>
      <c r="V404" s="22"/>
      <c r="W404" s="22"/>
      <c r="X404" s="20"/>
      <c r="BG404" s="25"/>
      <c r="BH404" s="20"/>
    </row>
    <row r="405" spans="1:60" x14ac:dyDescent="0.35">
      <c r="A405" s="19"/>
      <c r="B405" s="20"/>
      <c r="C405" s="21"/>
      <c r="D405" s="19"/>
      <c r="E405" s="20"/>
      <c r="F405" s="19"/>
      <c r="G405" s="20"/>
      <c r="H405" s="19"/>
      <c r="I405" s="20"/>
      <c r="J405" s="20" t="s">
        <v>74</v>
      </c>
      <c r="K405" s="20" t="s">
        <v>74</v>
      </c>
      <c r="L405" s="20"/>
      <c r="M405" s="20"/>
      <c r="N405" s="20" t="s">
        <v>74</v>
      </c>
      <c r="O405" s="20" t="s">
        <v>74</v>
      </c>
      <c r="P405" s="20" t="s">
        <v>74</v>
      </c>
      <c r="Q405" s="20"/>
      <c r="R405" s="20"/>
      <c r="T405" s="20"/>
      <c r="U405" s="19"/>
      <c r="V405" s="22"/>
      <c r="W405" s="22"/>
      <c r="X405" s="20"/>
      <c r="BG405" s="25"/>
      <c r="BH405" s="20"/>
    </row>
    <row r="406" spans="1:60" x14ac:dyDescent="0.35">
      <c r="A406" s="19"/>
      <c r="B406" s="20"/>
      <c r="C406" s="21"/>
      <c r="D406" s="19"/>
      <c r="E406" s="20"/>
      <c r="F406" s="19"/>
      <c r="G406" s="20"/>
      <c r="H406" s="19"/>
      <c r="I406" s="20"/>
      <c r="J406" s="20" t="s">
        <v>74</v>
      </c>
      <c r="K406" s="20" t="s">
        <v>74</v>
      </c>
      <c r="L406" s="20"/>
      <c r="M406" s="20"/>
      <c r="N406" s="20" t="s">
        <v>74</v>
      </c>
      <c r="O406" s="20" t="s">
        <v>74</v>
      </c>
      <c r="P406" s="20" t="s">
        <v>74</v>
      </c>
      <c r="Q406" s="20"/>
      <c r="R406" s="20"/>
      <c r="T406" s="20"/>
      <c r="U406" s="19"/>
      <c r="V406" s="22"/>
      <c r="W406" s="22"/>
      <c r="X406" s="20"/>
      <c r="BG406" s="25"/>
      <c r="BH406" s="20"/>
    </row>
    <row r="407" spans="1:60" x14ac:dyDescent="0.35">
      <c r="A407" s="19"/>
      <c r="B407" s="20"/>
      <c r="C407" s="21"/>
      <c r="D407" s="19"/>
      <c r="E407" s="20"/>
      <c r="F407" s="19"/>
      <c r="G407" s="20"/>
      <c r="H407" s="19"/>
      <c r="I407" s="20"/>
      <c r="J407" s="20" t="s">
        <v>74</v>
      </c>
      <c r="K407" s="20" t="s">
        <v>74</v>
      </c>
      <c r="L407" s="20"/>
      <c r="M407" s="20"/>
      <c r="N407" s="20" t="s">
        <v>74</v>
      </c>
      <c r="O407" s="20" t="s">
        <v>74</v>
      </c>
      <c r="P407" s="20" t="s">
        <v>74</v>
      </c>
      <c r="Q407" s="20"/>
      <c r="R407" s="20"/>
      <c r="T407" s="20"/>
      <c r="U407" s="19"/>
      <c r="V407" s="22"/>
      <c r="W407" s="22"/>
      <c r="X407" s="20"/>
      <c r="BG407" s="25"/>
      <c r="BH407" s="20"/>
    </row>
    <row r="408" spans="1:60" x14ac:dyDescent="0.35">
      <c r="A408" s="19"/>
      <c r="B408" s="20"/>
      <c r="C408" s="21"/>
      <c r="D408" s="19"/>
      <c r="E408" s="20"/>
      <c r="F408" s="19"/>
      <c r="G408" s="20"/>
      <c r="H408" s="19"/>
      <c r="I408" s="20"/>
      <c r="J408" s="20" t="s">
        <v>74</v>
      </c>
      <c r="K408" s="20" t="s">
        <v>74</v>
      </c>
      <c r="L408" s="20"/>
      <c r="M408" s="20"/>
      <c r="N408" s="20" t="s">
        <v>74</v>
      </c>
      <c r="O408" s="20" t="s">
        <v>74</v>
      </c>
      <c r="P408" s="20" t="s">
        <v>74</v>
      </c>
      <c r="Q408" s="20"/>
      <c r="R408" s="20"/>
      <c r="T408" s="20"/>
      <c r="U408" s="19"/>
      <c r="V408" s="22"/>
      <c r="W408" s="22"/>
      <c r="X408" s="20"/>
      <c r="BG408" s="25"/>
      <c r="BH408" s="20"/>
    </row>
    <row r="409" spans="1:60" x14ac:dyDescent="0.35">
      <c r="A409" s="19"/>
      <c r="B409" s="20"/>
      <c r="C409" s="21"/>
      <c r="D409" s="19"/>
      <c r="E409" s="20"/>
      <c r="F409" s="19"/>
      <c r="G409" s="20"/>
      <c r="H409" s="19"/>
      <c r="I409" s="20"/>
      <c r="J409" s="20" t="s">
        <v>74</v>
      </c>
      <c r="K409" s="20" t="s">
        <v>74</v>
      </c>
      <c r="L409" s="20"/>
      <c r="M409" s="20"/>
      <c r="N409" s="20" t="s">
        <v>74</v>
      </c>
      <c r="O409" s="20" t="s">
        <v>74</v>
      </c>
      <c r="P409" s="20" t="s">
        <v>74</v>
      </c>
      <c r="Q409" s="20"/>
      <c r="R409" s="20"/>
      <c r="T409" s="20"/>
      <c r="U409" s="19"/>
      <c r="V409" s="22"/>
      <c r="W409" s="22"/>
      <c r="X409" s="20"/>
      <c r="BG409" s="25"/>
      <c r="BH409" s="20"/>
    </row>
    <row r="410" spans="1:60" x14ac:dyDescent="0.35">
      <c r="A410" s="19"/>
      <c r="B410" s="20"/>
      <c r="C410" s="21"/>
      <c r="D410" s="19"/>
      <c r="E410" s="20"/>
      <c r="F410" s="19"/>
      <c r="G410" s="20"/>
      <c r="H410" s="19"/>
      <c r="I410" s="20"/>
      <c r="J410" s="20" t="s">
        <v>74</v>
      </c>
      <c r="K410" s="20" t="s">
        <v>74</v>
      </c>
      <c r="L410" s="20"/>
      <c r="M410" s="20"/>
      <c r="N410" s="20" t="s">
        <v>74</v>
      </c>
      <c r="O410" s="20" t="s">
        <v>74</v>
      </c>
      <c r="P410" s="20" t="s">
        <v>74</v>
      </c>
      <c r="Q410" s="20"/>
      <c r="R410" s="20"/>
      <c r="T410" s="20"/>
      <c r="U410" s="19"/>
      <c r="V410" s="22"/>
      <c r="W410" s="22"/>
      <c r="X410" s="20"/>
      <c r="BG410" s="25"/>
      <c r="BH410" s="20"/>
    </row>
    <row r="411" spans="1:60" x14ac:dyDescent="0.35">
      <c r="A411" s="19"/>
      <c r="B411" s="20"/>
      <c r="C411" s="21"/>
      <c r="D411" s="19"/>
      <c r="E411" s="20"/>
      <c r="F411" s="19"/>
      <c r="G411" s="20"/>
      <c r="H411" s="19"/>
      <c r="I411" s="20"/>
      <c r="J411" s="20" t="s">
        <v>74</v>
      </c>
      <c r="K411" s="20" t="s">
        <v>74</v>
      </c>
      <c r="L411" s="20"/>
      <c r="M411" s="20"/>
      <c r="N411" s="20" t="s">
        <v>74</v>
      </c>
      <c r="O411" s="20" t="s">
        <v>74</v>
      </c>
      <c r="P411" s="20" t="s">
        <v>74</v>
      </c>
      <c r="Q411" s="20"/>
      <c r="R411" s="20"/>
      <c r="T411" s="20"/>
      <c r="U411" s="19"/>
      <c r="V411" s="22"/>
      <c r="W411" s="22"/>
      <c r="X411" s="20"/>
      <c r="BG411" s="25"/>
      <c r="BH411" s="20"/>
    </row>
    <row r="412" spans="1:60" x14ac:dyDescent="0.35">
      <c r="A412" s="19"/>
      <c r="B412" s="20"/>
      <c r="C412" s="21"/>
      <c r="D412" s="19"/>
      <c r="E412" s="20"/>
      <c r="F412" s="19"/>
      <c r="G412" s="20"/>
      <c r="H412" s="19"/>
      <c r="I412" s="20"/>
      <c r="J412" s="20" t="s">
        <v>74</v>
      </c>
      <c r="K412" s="20" t="s">
        <v>74</v>
      </c>
      <c r="L412" s="20"/>
      <c r="M412" s="20"/>
      <c r="N412" s="20" t="s">
        <v>74</v>
      </c>
      <c r="O412" s="20" t="s">
        <v>74</v>
      </c>
      <c r="P412" s="20" t="s">
        <v>74</v>
      </c>
      <c r="Q412" s="20"/>
      <c r="R412" s="20"/>
      <c r="T412" s="20"/>
      <c r="U412" s="19"/>
      <c r="V412" s="22"/>
      <c r="W412" s="22"/>
      <c r="X412" s="20"/>
      <c r="BG412" s="25"/>
      <c r="BH412" s="20"/>
    </row>
    <row r="413" spans="1:60" x14ac:dyDescent="0.35">
      <c r="A413" s="19"/>
      <c r="B413" s="20"/>
      <c r="C413" s="21"/>
      <c r="D413" s="19"/>
      <c r="E413" s="20"/>
      <c r="F413" s="19"/>
      <c r="G413" s="20"/>
      <c r="H413" s="19"/>
      <c r="I413" s="20"/>
      <c r="J413" s="20" t="s">
        <v>74</v>
      </c>
      <c r="K413" s="20" t="s">
        <v>74</v>
      </c>
      <c r="L413" s="20"/>
      <c r="M413" s="20"/>
      <c r="N413" s="20" t="s">
        <v>74</v>
      </c>
      <c r="O413" s="20" t="s">
        <v>74</v>
      </c>
      <c r="P413" s="20" t="s">
        <v>74</v>
      </c>
      <c r="Q413" s="20"/>
      <c r="R413" s="20"/>
      <c r="T413" s="20"/>
      <c r="U413" s="19"/>
      <c r="V413" s="22"/>
      <c r="W413" s="22"/>
      <c r="X413" s="20"/>
      <c r="BG413" s="25"/>
      <c r="BH413" s="20"/>
    </row>
    <row r="414" spans="1:60" x14ac:dyDescent="0.35">
      <c r="A414" s="19"/>
      <c r="B414" s="20"/>
      <c r="C414" s="21"/>
      <c r="D414" s="19"/>
      <c r="E414" s="20"/>
      <c r="F414" s="19"/>
      <c r="G414" s="20"/>
      <c r="H414" s="19"/>
      <c r="I414" s="20"/>
      <c r="J414" s="20" t="s">
        <v>74</v>
      </c>
      <c r="K414" s="20" t="s">
        <v>74</v>
      </c>
      <c r="L414" s="20"/>
      <c r="M414" s="20"/>
      <c r="N414" s="20" t="s">
        <v>74</v>
      </c>
      <c r="O414" s="20" t="s">
        <v>74</v>
      </c>
      <c r="P414" s="20" t="s">
        <v>74</v>
      </c>
      <c r="Q414" s="20"/>
      <c r="R414" s="20"/>
      <c r="T414" s="20"/>
      <c r="U414" s="19"/>
      <c r="V414" s="22"/>
      <c r="W414" s="22"/>
      <c r="X414" s="20"/>
      <c r="BG414" s="25"/>
      <c r="BH414" s="20"/>
    </row>
    <row r="415" spans="1:60" x14ac:dyDescent="0.35">
      <c r="A415" s="19"/>
      <c r="B415" s="20"/>
      <c r="C415" s="21"/>
      <c r="D415" s="19"/>
      <c r="E415" s="20"/>
      <c r="F415" s="19"/>
      <c r="G415" s="20"/>
      <c r="H415" s="19"/>
      <c r="I415" s="20"/>
      <c r="J415" s="20" t="s">
        <v>74</v>
      </c>
      <c r="K415" s="20" t="s">
        <v>74</v>
      </c>
      <c r="L415" s="20"/>
      <c r="M415" s="20"/>
      <c r="N415" s="20" t="s">
        <v>74</v>
      </c>
      <c r="O415" s="20" t="s">
        <v>74</v>
      </c>
      <c r="P415" s="20" t="s">
        <v>74</v>
      </c>
      <c r="Q415" s="20"/>
      <c r="R415" s="20"/>
      <c r="T415" s="20"/>
      <c r="U415" s="19"/>
      <c r="V415" s="22"/>
      <c r="W415" s="22"/>
      <c r="X415" s="20"/>
      <c r="BG415" s="25"/>
      <c r="BH415" s="20"/>
    </row>
    <row r="416" spans="1:60" x14ac:dyDescent="0.35">
      <c r="A416" s="19"/>
      <c r="B416" s="20"/>
      <c r="C416" s="21"/>
      <c r="D416" s="19"/>
      <c r="E416" s="20"/>
      <c r="F416" s="19"/>
      <c r="G416" s="20"/>
      <c r="H416" s="19"/>
      <c r="I416" s="20"/>
      <c r="J416" s="20" t="s">
        <v>74</v>
      </c>
      <c r="K416" s="20" t="s">
        <v>74</v>
      </c>
      <c r="L416" s="20"/>
      <c r="M416" s="20"/>
      <c r="N416" s="20" t="s">
        <v>74</v>
      </c>
      <c r="O416" s="20" t="s">
        <v>74</v>
      </c>
      <c r="P416" s="20" t="s">
        <v>74</v>
      </c>
      <c r="Q416" s="20"/>
      <c r="R416" s="20"/>
      <c r="T416" s="20"/>
      <c r="U416" s="19"/>
      <c r="V416" s="22"/>
      <c r="W416" s="22"/>
      <c r="X416" s="20"/>
      <c r="BG416" s="25"/>
      <c r="BH416" s="20"/>
    </row>
    <row r="417" spans="1:60" x14ac:dyDescent="0.35">
      <c r="A417" s="19"/>
      <c r="B417" s="20"/>
      <c r="C417" s="21"/>
      <c r="D417" s="19"/>
      <c r="E417" s="20"/>
      <c r="F417" s="19"/>
      <c r="G417" s="20"/>
      <c r="H417" s="19"/>
      <c r="I417" s="20"/>
      <c r="J417" s="20" t="s">
        <v>74</v>
      </c>
      <c r="K417" s="20" t="s">
        <v>74</v>
      </c>
      <c r="L417" s="20"/>
      <c r="M417" s="20"/>
      <c r="N417" s="20" t="s">
        <v>74</v>
      </c>
      <c r="O417" s="20" t="s">
        <v>74</v>
      </c>
      <c r="P417" s="20" t="s">
        <v>74</v>
      </c>
      <c r="Q417" s="20"/>
      <c r="R417" s="20"/>
      <c r="T417" s="20"/>
      <c r="U417" s="19"/>
      <c r="V417" s="22"/>
      <c r="W417" s="22"/>
      <c r="X417" s="20"/>
      <c r="BG417" s="25"/>
      <c r="BH417" s="20"/>
    </row>
    <row r="418" spans="1:60" x14ac:dyDescent="0.35">
      <c r="A418" s="19"/>
      <c r="B418" s="20"/>
      <c r="C418" s="21"/>
      <c r="D418" s="19"/>
      <c r="E418" s="20"/>
      <c r="F418" s="19"/>
      <c r="G418" s="20"/>
      <c r="H418" s="19"/>
      <c r="I418" s="20"/>
      <c r="J418" s="20" t="s">
        <v>74</v>
      </c>
      <c r="K418" s="20" t="s">
        <v>74</v>
      </c>
      <c r="L418" s="20"/>
      <c r="M418" s="20"/>
      <c r="N418" s="20" t="s">
        <v>74</v>
      </c>
      <c r="O418" s="20" t="s">
        <v>74</v>
      </c>
      <c r="P418" s="20" t="s">
        <v>74</v>
      </c>
      <c r="Q418" s="20"/>
      <c r="R418" s="20"/>
      <c r="T418" s="20"/>
      <c r="U418" s="19"/>
      <c r="V418" s="22"/>
      <c r="W418" s="22"/>
      <c r="X418" s="20"/>
      <c r="BG418" s="25"/>
      <c r="BH418" s="20"/>
    </row>
    <row r="419" spans="1:60" x14ac:dyDescent="0.35">
      <c r="A419" s="19"/>
      <c r="B419" s="20"/>
      <c r="C419" s="21"/>
      <c r="D419" s="19"/>
      <c r="E419" s="20"/>
      <c r="F419" s="19"/>
      <c r="G419" s="20"/>
      <c r="H419" s="19"/>
      <c r="I419" s="20"/>
      <c r="J419" s="20" t="s">
        <v>74</v>
      </c>
      <c r="K419" s="20" t="s">
        <v>74</v>
      </c>
      <c r="L419" s="20"/>
      <c r="M419" s="20"/>
      <c r="N419" s="20" t="s">
        <v>74</v>
      </c>
      <c r="O419" s="20" t="s">
        <v>74</v>
      </c>
      <c r="P419" s="20" t="s">
        <v>74</v>
      </c>
      <c r="Q419" s="20"/>
      <c r="R419" s="20"/>
      <c r="T419" s="20"/>
      <c r="U419" s="19"/>
      <c r="V419" s="22"/>
      <c r="W419" s="22"/>
      <c r="X419" s="20"/>
      <c r="BG419" s="25"/>
      <c r="BH419" s="20"/>
    </row>
    <row r="420" spans="1:60" x14ac:dyDescent="0.35">
      <c r="A420" s="19"/>
      <c r="B420" s="20"/>
      <c r="C420" s="21"/>
      <c r="D420" s="19"/>
      <c r="E420" s="20"/>
      <c r="F420" s="19"/>
      <c r="G420" s="20"/>
      <c r="H420" s="19"/>
      <c r="I420" s="20"/>
      <c r="J420" s="20" t="s">
        <v>74</v>
      </c>
      <c r="K420" s="20" t="s">
        <v>74</v>
      </c>
      <c r="L420" s="20"/>
      <c r="M420" s="20"/>
      <c r="N420" s="20" t="s">
        <v>74</v>
      </c>
      <c r="O420" s="20" t="s">
        <v>74</v>
      </c>
      <c r="P420" s="20" t="s">
        <v>74</v>
      </c>
      <c r="Q420" s="20"/>
      <c r="R420" s="20"/>
      <c r="T420" s="20"/>
      <c r="U420" s="19"/>
      <c r="V420" s="22"/>
      <c r="W420" s="22"/>
      <c r="X420" s="20"/>
      <c r="BG420" s="25"/>
      <c r="BH420" s="20"/>
    </row>
    <row r="421" spans="1:60" x14ac:dyDescent="0.35">
      <c r="A421" s="19"/>
      <c r="B421" s="20"/>
      <c r="C421" s="21"/>
      <c r="D421" s="19"/>
      <c r="E421" s="20"/>
      <c r="F421" s="19"/>
      <c r="G421" s="20"/>
      <c r="H421" s="19"/>
      <c r="I421" s="20"/>
      <c r="J421" s="20" t="s">
        <v>74</v>
      </c>
      <c r="K421" s="20" t="s">
        <v>74</v>
      </c>
      <c r="L421" s="20"/>
      <c r="M421" s="20"/>
      <c r="N421" s="20" t="s">
        <v>74</v>
      </c>
      <c r="O421" s="20" t="s">
        <v>74</v>
      </c>
      <c r="P421" s="20" t="s">
        <v>74</v>
      </c>
      <c r="Q421" s="20"/>
      <c r="R421" s="20"/>
      <c r="T421" s="20"/>
      <c r="U421" s="19"/>
      <c r="V421" s="22"/>
      <c r="W421" s="22"/>
      <c r="X421" s="20"/>
      <c r="BG421" s="25"/>
      <c r="BH421" s="20"/>
    </row>
    <row r="422" spans="1:60" x14ac:dyDescent="0.35">
      <c r="A422" s="19"/>
      <c r="B422" s="20"/>
      <c r="C422" s="21"/>
      <c r="D422" s="19"/>
      <c r="E422" s="20"/>
      <c r="F422" s="19"/>
      <c r="G422" s="20"/>
      <c r="H422" s="19"/>
      <c r="I422" s="20"/>
      <c r="J422" s="20" t="s">
        <v>74</v>
      </c>
      <c r="K422" s="20" t="s">
        <v>74</v>
      </c>
      <c r="L422" s="20"/>
      <c r="M422" s="20"/>
      <c r="N422" s="20" t="s">
        <v>74</v>
      </c>
      <c r="O422" s="20" t="s">
        <v>74</v>
      </c>
      <c r="P422" s="20" t="s">
        <v>74</v>
      </c>
      <c r="Q422" s="20"/>
      <c r="R422" s="20"/>
      <c r="T422" s="20"/>
      <c r="U422" s="19"/>
      <c r="V422" s="22"/>
      <c r="W422" s="22"/>
      <c r="X422" s="20"/>
      <c r="BG422" s="25"/>
      <c r="BH422" s="20"/>
    </row>
    <row r="423" spans="1:60" x14ac:dyDescent="0.35">
      <c r="A423" s="19"/>
      <c r="B423" s="20"/>
      <c r="C423" s="21"/>
      <c r="D423" s="19"/>
      <c r="E423" s="20"/>
      <c r="F423" s="19"/>
      <c r="G423" s="20"/>
      <c r="H423" s="19"/>
      <c r="I423" s="20"/>
      <c r="J423" s="20" t="s">
        <v>74</v>
      </c>
      <c r="K423" s="20" t="s">
        <v>74</v>
      </c>
      <c r="L423" s="20"/>
      <c r="M423" s="20"/>
      <c r="N423" s="20" t="s">
        <v>74</v>
      </c>
      <c r="O423" s="20" t="s">
        <v>74</v>
      </c>
      <c r="P423" s="20" t="s">
        <v>74</v>
      </c>
      <c r="Q423" s="20"/>
      <c r="R423" s="20"/>
      <c r="T423" s="20"/>
      <c r="U423" s="19"/>
      <c r="V423" s="22"/>
      <c r="W423" s="22"/>
      <c r="X423" s="20"/>
      <c r="BG423" s="25"/>
      <c r="BH423" s="20"/>
    </row>
    <row r="424" spans="1:60" x14ac:dyDescent="0.35">
      <c r="A424" s="19"/>
      <c r="B424" s="20"/>
      <c r="C424" s="21"/>
      <c r="D424" s="19"/>
      <c r="E424" s="20"/>
      <c r="F424" s="19"/>
      <c r="G424" s="20"/>
      <c r="H424" s="19"/>
      <c r="I424" s="20"/>
      <c r="J424" s="20" t="s">
        <v>74</v>
      </c>
      <c r="K424" s="20" t="s">
        <v>74</v>
      </c>
      <c r="L424" s="20"/>
      <c r="M424" s="20"/>
      <c r="N424" s="20" t="s">
        <v>74</v>
      </c>
      <c r="O424" s="20" t="s">
        <v>74</v>
      </c>
      <c r="P424" s="20" t="s">
        <v>74</v>
      </c>
      <c r="Q424" s="20"/>
      <c r="R424" s="20"/>
      <c r="T424" s="20"/>
      <c r="U424" s="19"/>
      <c r="V424" s="22"/>
      <c r="W424" s="22"/>
      <c r="X424" s="20"/>
      <c r="BG424" s="25"/>
      <c r="BH424" s="20"/>
    </row>
    <row r="425" spans="1:60" x14ac:dyDescent="0.35">
      <c r="A425" s="19"/>
      <c r="B425" s="20"/>
      <c r="C425" s="21"/>
      <c r="D425" s="19"/>
      <c r="E425" s="20"/>
      <c r="F425" s="19"/>
      <c r="G425" s="20"/>
      <c r="H425" s="19"/>
      <c r="I425" s="20"/>
      <c r="J425" s="20" t="s">
        <v>74</v>
      </c>
      <c r="K425" s="20" t="s">
        <v>74</v>
      </c>
      <c r="L425" s="20"/>
      <c r="M425" s="20"/>
      <c r="N425" s="20" t="s">
        <v>74</v>
      </c>
      <c r="O425" s="20" t="s">
        <v>74</v>
      </c>
      <c r="P425" s="20" t="s">
        <v>74</v>
      </c>
      <c r="Q425" s="20"/>
      <c r="R425" s="20"/>
      <c r="T425" s="20"/>
      <c r="U425" s="19"/>
      <c r="V425" s="22"/>
      <c r="W425" s="22"/>
      <c r="X425" s="20"/>
      <c r="BG425" s="25"/>
      <c r="BH425" s="20"/>
    </row>
    <row r="426" spans="1:60" x14ac:dyDescent="0.35">
      <c r="A426" s="19"/>
      <c r="B426" s="20"/>
      <c r="C426" s="21"/>
      <c r="D426" s="19"/>
      <c r="E426" s="20"/>
      <c r="F426" s="19"/>
      <c r="G426" s="20"/>
      <c r="H426" s="19"/>
      <c r="I426" s="20"/>
      <c r="J426" s="20" t="s">
        <v>74</v>
      </c>
      <c r="K426" s="20" t="s">
        <v>74</v>
      </c>
      <c r="L426" s="20"/>
      <c r="M426" s="20"/>
      <c r="N426" s="20" t="s">
        <v>74</v>
      </c>
      <c r="O426" s="20" t="s">
        <v>74</v>
      </c>
      <c r="P426" s="20" t="s">
        <v>74</v>
      </c>
      <c r="Q426" s="20"/>
      <c r="R426" s="20"/>
      <c r="T426" s="20"/>
      <c r="U426" s="19"/>
      <c r="V426" s="22"/>
      <c r="W426" s="22"/>
      <c r="X426" s="20"/>
      <c r="BG426" s="25"/>
      <c r="BH426" s="20"/>
    </row>
    <row r="427" spans="1:60" x14ac:dyDescent="0.35">
      <c r="A427" s="19"/>
      <c r="B427" s="20"/>
      <c r="C427" s="21"/>
      <c r="D427" s="19"/>
      <c r="E427" s="20"/>
      <c r="F427" s="19"/>
      <c r="G427" s="20"/>
      <c r="H427" s="19"/>
      <c r="I427" s="20"/>
      <c r="J427" s="20" t="s">
        <v>74</v>
      </c>
      <c r="K427" s="20" t="s">
        <v>74</v>
      </c>
      <c r="L427" s="20"/>
      <c r="M427" s="20"/>
      <c r="N427" s="20" t="s">
        <v>74</v>
      </c>
      <c r="O427" s="20" t="s">
        <v>74</v>
      </c>
      <c r="P427" s="20" t="s">
        <v>74</v>
      </c>
      <c r="Q427" s="20"/>
      <c r="R427" s="20"/>
      <c r="T427" s="20"/>
      <c r="U427" s="19"/>
      <c r="V427" s="22"/>
      <c r="W427" s="22"/>
      <c r="X427" s="20"/>
      <c r="BG427" s="25"/>
      <c r="BH427" s="20"/>
    </row>
    <row r="428" spans="1:60" x14ac:dyDescent="0.35">
      <c r="A428" s="19"/>
      <c r="B428" s="20"/>
      <c r="C428" s="21"/>
      <c r="D428" s="19"/>
      <c r="E428" s="20"/>
      <c r="F428" s="19"/>
      <c r="G428" s="20"/>
      <c r="H428" s="19"/>
      <c r="I428" s="20"/>
      <c r="J428" s="20" t="s">
        <v>74</v>
      </c>
      <c r="K428" s="20" t="s">
        <v>74</v>
      </c>
      <c r="L428" s="20"/>
      <c r="M428" s="20"/>
      <c r="N428" s="20" t="s">
        <v>74</v>
      </c>
      <c r="O428" s="20" t="s">
        <v>74</v>
      </c>
      <c r="P428" s="20" t="s">
        <v>74</v>
      </c>
      <c r="Q428" s="20"/>
      <c r="R428" s="20"/>
      <c r="T428" s="20"/>
      <c r="U428" s="19"/>
      <c r="V428" s="22"/>
      <c r="W428" s="22"/>
      <c r="X428" s="20"/>
      <c r="BG428" s="25"/>
      <c r="BH428" s="20"/>
    </row>
    <row r="429" spans="1:60" x14ac:dyDescent="0.35">
      <c r="A429" s="19"/>
      <c r="B429" s="20"/>
      <c r="C429" s="21"/>
      <c r="D429" s="19"/>
      <c r="E429" s="20"/>
      <c r="F429" s="19"/>
      <c r="G429" s="20"/>
      <c r="H429" s="19"/>
      <c r="I429" s="20"/>
      <c r="J429" s="20" t="s">
        <v>74</v>
      </c>
      <c r="K429" s="20" t="s">
        <v>74</v>
      </c>
      <c r="L429" s="20"/>
      <c r="M429" s="20"/>
      <c r="N429" s="20" t="s">
        <v>74</v>
      </c>
      <c r="O429" s="20" t="s">
        <v>74</v>
      </c>
      <c r="P429" s="20" t="s">
        <v>74</v>
      </c>
      <c r="Q429" s="20"/>
      <c r="R429" s="20"/>
      <c r="T429" s="20"/>
      <c r="U429" s="19"/>
      <c r="V429" s="22"/>
      <c r="W429" s="22"/>
      <c r="X429" s="20"/>
      <c r="BG429" s="25"/>
      <c r="BH429" s="20"/>
    </row>
    <row r="430" spans="1:60" x14ac:dyDescent="0.35">
      <c r="A430" s="19"/>
      <c r="B430" s="20"/>
      <c r="C430" s="21"/>
      <c r="D430" s="19"/>
      <c r="E430" s="20"/>
      <c r="F430" s="19"/>
      <c r="G430" s="20"/>
      <c r="H430" s="19"/>
      <c r="I430" s="20"/>
      <c r="J430" s="20" t="s">
        <v>74</v>
      </c>
      <c r="K430" s="20" t="s">
        <v>74</v>
      </c>
      <c r="L430" s="20"/>
      <c r="M430" s="20"/>
      <c r="N430" s="20" t="s">
        <v>74</v>
      </c>
      <c r="O430" s="20" t="s">
        <v>74</v>
      </c>
      <c r="P430" s="20" t="s">
        <v>74</v>
      </c>
      <c r="Q430" s="20"/>
      <c r="R430" s="20"/>
      <c r="T430" s="20"/>
      <c r="U430" s="19"/>
      <c r="V430" s="22"/>
      <c r="W430" s="22"/>
      <c r="X430" s="20"/>
      <c r="BG430" s="25"/>
      <c r="BH430" s="20"/>
    </row>
    <row r="431" spans="1:60" x14ac:dyDescent="0.35">
      <c r="A431" s="19"/>
      <c r="B431" s="20"/>
      <c r="C431" s="21"/>
      <c r="D431" s="19"/>
      <c r="E431" s="20"/>
      <c r="F431" s="19"/>
      <c r="G431" s="20"/>
      <c r="H431" s="19"/>
      <c r="I431" s="20"/>
      <c r="J431" s="20" t="s">
        <v>74</v>
      </c>
      <c r="K431" s="20" t="s">
        <v>74</v>
      </c>
      <c r="L431" s="20"/>
      <c r="M431" s="20"/>
      <c r="N431" s="20" t="s">
        <v>74</v>
      </c>
      <c r="O431" s="20" t="s">
        <v>74</v>
      </c>
      <c r="P431" s="20" t="s">
        <v>74</v>
      </c>
      <c r="Q431" s="20"/>
      <c r="R431" s="20"/>
      <c r="T431" s="20"/>
      <c r="U431" s="19"/>
      <c r="V431" s="22"/>
      <c r="W431" s="22"/>
      <c r="X431" s="20"/>
      <c r="BG431" s="25"/>
      <c r="BH431" s="20"/>
    </row>
    <row r="432" spans="1:60" x14ac:dyDescent="0.35">
      <c r="A432" s="19"/>
      <c r="B432" s="20"/>
      <c r="C432" s="21"/>
      <c r="D432" s="19"/>
      <c r="E432" s="20"/>
      <c r="F432" s="19"/>
      <c r="G432" s="20"/>
      <c r="H432" s="19"/>
      <c r="I432" s="20"/>
      <c r="J432" s="20" t="s">
        <v>74</v>
      </c>
      <c r="K432" s="20" t="s">
        <v>74</v>
      </c>
      <c r="L432" s="20"/>
      <c r="M432" s="20"/>
      <c r="N432" s="20" t="s">
        <v>74</v>
      </c>
      <c r="O432" s="20" t="s">
        <v>74</v>
      </c>
      <c r="P432" s="20" t="s">
        <v>74</v>
      </c>
      <c r="Q432" s="20"/>
      <c r="R432" s="20"/>
      <c r="T432" s="20"/>
      <c r="U432" s="19"/>
      <c r="V432" s="22"/>
      <c r="W432" s="22"/>
      <c r="X432" s="20"/>
      <c r="BG432" s="25"/>
      <c r="BH432" s="20"/>
    </row>
    <row r="433" spans="1:60" x14ac:dyDescent="0.35">
      <c r="A433" s="19"/>
      <c r="B433" s="20"/>
      <c r="C433" s="21"/>
      <c r="D433" s="19"/>
      <c r="E433" s="20"/>
      <c r="F433" s="19"/>
      <c r="G433" s="20"/>
      <c r="H433" s="19"/>
      <c r="I433" s="20"/>
      <c r="J433" s="20" t="s">
        <v>74</v>
      </c>
      <c r="K433" s="20" t="s">
        <v>74</v>
      </c>
      <c r="L433" s="20"/>
      <c r="M433" s="20"/>
      <c r="N433" s="20" t="s">
        <v>74</v>
      </c>
      <c r="O433" s="20" t="s">
        <v>74</v>
      </c>
      <c r="P433" s="20" t="s">
        <v>74</v>
      </c>
      <c r="Q433" s="20"/>
      <c r="R433" s="20"/>
      <c r="T433" s="20"/>
      <c r="U433" s="19"/>
      <c r="V433" s="22"/>
      <c r="W433" s="22"/>
      <c r="X433" s="20"/>
      <c r="BG433" s="25"/>
      <c r="BH433" s="20"/>
    </row>
    <row r="434" spans="1:60" x14ac:dyDescent="0.35">
      <c r="A434" s="19"/>
      <c r="B434" s="20"/>
      <c r="C434" s="21"/>
      <c r="D434" s="19"/>
      <c r="E434" s="20"/>
      <c r="F434" s="19"/>
      <c r="G434" s="20"/>
      <c r="H434" s="19"/>
      <c r="I434" s="20"/>
      <c r="J434" s="20" t="s">
        <v>74</v>
      </c>
      <c r="K434" s="20" t="s">
        <v>74</v>
      </c>
      <c r="L434" s="20"/>
      <c r="M434" s="20"/>
      <c r="N434" s="20" t="s">
        <v>74</v>
      </c>
      <c r="O434" s="20" t="s">
        <v>74</v>
      </c>
      <c r="P434" s="20" t="s">
        <v>74</v>
      </c>
      <c r="Q434" s="20"/>
      <c r="R434" s="20"/>
      <c r="T434" s="20"/>
      <c r="U434" s="19"/>
      <c r="V434" s="22"/>
      <c r="W434" s="22"/>
      <c r="X434" s="20"/>
      <c r="BG434" s="25"/>
      <c r="BH434" s="20"/>
    </row>
    <row r="435" spans="1:60" x14ac:dyDescent="0.35">
      <c r="A435" s="19"/>
      <c r="B435" s="20"/>
      <c r="C435" s="21"/>
      <c r="D435" s="19"/>
      <c r="E435" s="20"/>
      <c r="F435" s="19"/>
      <c r="G435" s="20"/>
      <c r="H435" s="19"/>
      <c r="I435" s="20"/>
      <c r="J435" s="20" t="s">
        <v>74</v>
      </c>
      <c r="K435" s="20" t="s">
        <v>74</v>
      </c>
      <c r="L435" s="20"/>
      <c r="M435" s="20"/>
      <c r="N435" s="20" t="s">
        <v>74</v>
      </c>
      <c r="O435" s="20" t="s">
        <v>74</v>
      </c>
      <c r="P435" s="20" t="s">
        <v>74</v>
      </c>
      <c r="Q435" s="20"/>
      <c r="R435" s="20"/>
      <c r="T435" s="20"/>
      <c r="U435" s="19"/>
      <c r="V435" s="22"/>
      <c r="W435" s="22"/>
      <c r="X435" s="20"/>
      <c r="BG435" s="25"/>
      <c r="BH435" s="20"/>
    </row>
    <row r="436" spans="1:60" x14ac:dyDescent="0.35">
      <c r="A436" s="19"/>
      <c r="B436" s="20"/>
      <c r="C436" s="21"/>
      <c r="D436" s="19"/>
      <c r="E436" s="20"/>
      <c r="F436" s="19"/>
      <c r="G436" s="20"/>
      <c r="H436" s="19"/>
      <c r="I436" s="20"/>
      <c r="J436" s="20" t="s">
        <v>74</v>
      </c>
      <c r="K436" s="20" t="s">
        <v>74</v>
      </c>
      <c r="L436" s="20"/>
      <c r="M436" s="20"/>
      <c r="N436" s="20" t="s">
        <v>74</v>
      </c>
      <c r="O436" s="20" t="s">
        <v>74</v>
      </c>
      <c r="P436" s="20" t="s">
        <v>74</v>
      </c>
      <c r="Q436" s="20"/>
      <c r="R436" s="20"/>
      <c r="T436" s="20"/>
      <c r="U436" s="19"/>
      <c r="V436" s="22"/>
      <c r="W436" s="22"/>
      <c r="X436" s="20"/>
      <c r="BG436" s="25"/>
      <c r="BH436" s="20"/>
    </row>
    <row r="437" spans="1:60" x14ac:dyDescent="0.35">
      <c r="A437" s="19"/>
      <c r="B437" s="20"/>
      <c r="C437" s="21"/>
      <c r="D437" s="19"/>
      <c r="E437" s="20"/>
      <c r="F437" s="19"/>
      <c r="G437" s="20"/>
      <c r="H437" s="19"/>
      <c r="I437" s="20"/>
      <c r="J437" s="20" t="s">
        <v>74</v>
      </c>
      <c r="K437" s="20" t="s">
        <v>74</v>
      </c>
      <c r="L437" s="20"/>
      <c r="M437" s="20"/>
      <c r="N437" s="20" t="s">
        <v>74</v>
      </c>
      <c r="O437" s="20" t="s">
        <v>74</v>
      </c>
      <c r="P437" s="20" t="s">
        <v>74</v>
      </c>
      <c r="Q437" s="20"/>
      <c r="R437" s="20"/>
      <c r="T437" s="20"/>
      <c r="U437" s="19"/>
      <c r="V437" s="22"/>
      <c r="W437" s="22"/>
      <c r="X437" s="20"/>
      <c r="BG437" s="25"/>
      <c r="BH437" s="20"/>
    </row>
    <row r="438" spans="1:60" x14ac:dyDescent="0.35">
      <c r="A438" s="19"/>
      <c r="B438" s="20"/>
      <c r="C438" s="21"/>
      <c r="D438" s="19"/>
      <c r="E438" s="20"/>
      <c r="F438" s="19"/>
      <c r="G438" s="20"/>
      <c r="H438" s="19"/>
      <c r="I438" s="20"/>
      <c r="J438" s="20" t="s">
        <v>74</v>
      </c>
      <c r="K438" s="20" t="s">
        <v>74</v>
      </c>
      <c r="L438" s="20"/>
      <c r="M438" s="20"/>
      <c r="N438" s="20" t="s">
        <v>74</v>
      </c>
      <c r="O438" s="20" t="s">
        <v>74</v>
      </c>
      <c r="P438" s="20" t="s">
        <v>74</v>
      </c>
      <c r="Q438" s="20"/>
      <c r="R438" s="20"/>
      <c r="T438" s="20"/>
      <c r="U438" s="19"/>
      <c r="V438" s="22"/>
      <c r="W438" s="22"/>
      <c r="X438" s="20"/>
      <c r="BG438" s="25"/>
      <c r="BH438" s="20"/>
    </row>
    <row r="439" spans="1:60" x14ac:dyDescent="0.35">
      <c r="A439" s="19"/>
      <c r="B439" s="20"/>
      <c r="C439" s="21"/>
      <c r="D439" s="19"/>
      <c r="E439" s="20"/>
      <c r="F439" s="19"/>
      <c r="G439" s="20"/>
      <c r="H439" s="19"/>
      <c r="I439" s="20"/>
      <c r="J439" s="20" t="s">
        <v>74</v>
      </c>
      <c r="K439" s="20" t="s">
        <v>74</v>
      </c>
      <c r="L439" s="20"/>
      <c r="M439" s="20"/>
      <c r="N439" s="20" t="s">
        <v>74</v>
      </c>
      <c r="O439" s="20" t="s">
        <v>74</v>
      </c>
      <c r="P439" s="20" t="s">
        <v>74</v>
      </c>
      <c r="Q439" s="20"/>
      <c r="R439" s="20"/>
      <c r="T439" s="20"/>
      <c r="U439" s="19"/>
      <c r="V439" s="22"/>
      <c r="W439" s="22"/>
      <c r="X439" s="20"/>
      <c r="BG439" s="25"/>
      <c r="BH439" s="20"/>
    </row>
    <row r="440" spans="1:60" x14ac:dyDescent="0.35">
      <c r="A440" s="19"/>
      <c r="B440" s="20"/>
      <c r="C440" s="21"/>
      <c r="D440" s="19"/>
      <c r="E440" s="20"/>
      <c r="F440" s="19"/>
      <c r="G440" s="20"/>
      <c r="H440" s="19"/>
      <c r="I440" s="20"/>
      <c r="J440" s="20" t="s">
        <v>74</v>
      </c>
      <c r="K440" s="20" t="s">
        <v>74</v>
      </c>
      <c r="L440" s="20"/>
      <c r="M440" s="20"/>
      <c r="N440" s="20" t="s">
        <v>74</v>
      </c>
      <c r="O440" s="20" t="s">
        <v>74</v>
      </c>
      <c r="P440" s="20" t="s">
        <v>74</v>
      </c>
      <c r="Q440" s="20"/>
      <c r="R440" s="20"/>
      <c r="T440" s="20"/>
      <c r="U440" s="19"/>
      <c r="V440" s="22"/>
      <c r="W440" s="22"/>
      <c r="X440" s="20"/>
      <c r="BG440" s="25"/>
      <c r="BH440" s="20"/>
    </row>
    <row r="441" spans="1:60" x14ac:dyDescent="0.35">
      <c r="A441" s="19"/>
      <c r="B441" s="20"/>
      <c r="C441" s="21"/>
      <c r="D441" s="19"/>
      <c r="E441" s="20"/>
      <c r="F441" s="19"/>
      <c r="G441" s="20"/>
      <c r="H441" s="19"/>
      <c r="I441" s="20"/>
      <c r="J441" s="20" t="s">
        <v>74</v>
      </c>
      <c r="K441" s="20" t="s">
        <v>74</v>
      </c>
      <c r="L441" s="20"/>
      <c r="M441" s="20"/>
      <c r="N441" s="20" t="s">
        <v>74</v>
      </c>
      <c r="O441" s="20" t="s">
        <v>74</v>
      </c>
      <c r="P441" s="20" t="s">
        <v>74</v>
      </c>
      <c r="Q441" s="20"/>
      <c r="R441" s="20"/>
      <c r="T441" s="20"/>
      <c r="U441" s="19"/>
      <c r="V441" s="22"/>
      <c r="W441" s="22"/>
      <c r="X441" s="20"/>
      <c r="BG441" s="25"/>
      <c r="BH441" s="20"/>
    </row>
    <row r="442" spans="1:60" x14ac:dyDescent="0.35">
      <c r="A442" s="19"/>
      <c r="B442" s="20"/>
      <c r="C442" s="21"/>
      <c r="D442" s="19"/>
      <c r="E442" s="20"/>
      <c r="F442" s="19"/>
      <c r="G442" s="20"/>
      <c r="H442" s="19"/>
      <c r="I442" s="20"/>
      <c r="J442" s="20" t="s">
        <v>74</v>
      </c>
      <c r="K442" s="20" t="s">
        <v>74</v>
      </c>
      <c r="L442" s="20"/>
      <c r="M442" s="20"/>
      <c r="N442" s="20" t="s">
        <v>74</v>
      </c>
      <c r="O442" s="20" t="s">
        <v>74</v>
      </c>
      <c r="P442" s="20" t="s">
        <v>74</v>
      </c>
      <c r="Q442" s="20"/>
      <c r="R442" s="20"/>
      <c r="T442" s="20"/>
      <c r="U442" s="19"/>
      <c r="V442" s="22"/>
      <c r="W442" s="22"/>
      <c r="X442" s="20"/>
      <c r="BG442" s="25"/>
      <c r="BH442" s="20"/>
    </row>
    <row r="443" spans="1:60" x14ac:dyDescent="0.35">
      <c r="A443" s="19"/>
      <c r="B443" s="20"/>
      <c r="C443" s="21"/>
      <c r="D443" s="19"/>
      <c r="E443" s="20"/>
      <c r="F443" s="19"/>
      <c r="G443" s="20"/>
      <c r="H443" s="19"/>
      <c r="I443" s="20"/>
      <c r="J443" s="20" t="s">
        <v>74</v>
      </c>
      <c r="K443" s="20" t="s">
        <v>74</v>
      </c>
      <c r="L443" s="20"/>
      <c r="M443" s="20"/>
      <c r="N443" s="20" t="s">
        <v>74</v>
      </c>
      <c r="O443" s="20" t="s">
        <v>74</v>
      </c>
      <c r="P443" s="20" t="s">
        <v>74</v>
      </c>
      <c r="Q443" s="20"/>
      <c r="R443" s="20"/>
      <c r="T443" s="20"/>
      <c r="U443" s="19"/>
      <c r="V443" s="22"/>
      <c r="W443" s="22"/>
      <c r="X443" s="20"/>
      <c r="BG443" s="25"/>
      <c r="BH443" s="20"/>
    </row>
    <row r="444" spans="1:60" x14ac:dyDescent="0.35">
      <c r="A444" s="19"/>
      <c r="B444" s="20"/>
      <c r="C444" s="21"/>
      <c r="D444" s="19"/>
      <c r="E444" s="20"/>
      <c r="F444" s="19"/>
      <c r="G444" s="20"/>
      <c r="H444" s="19"/>
      <c r="I444" s="20"/>
      <c r="J444" s="20" t="s">
        <v>74</v>
      </c>
      <c r="K444" s="20" t="s">
        <v>74</v>
      </c>
      <c r="L444" s="20"/>
      <c r="M444" s="20"/>
      <c r="N444" s="20" t="s">
        <v>74</v>
      </c>
      <c r="O444" s="20" t="s">
        <v>74</v>
      </c>
      <c r="P444" s="20" t="s">
        <v>74</v>
      </c>
      <c r="Q444" s="20"/>
      <c r="R444" s="20"/>
      <c r="T444" s="20"/>
      <c r="U444" s="19"/>
      <c r="V444" s="22"/>
      <c r="W444" s="22"/>
      <c r="X444" s="20"/>
      <c r="BG444" s="25"/>
      <c r="BH444" s="20"/>
    </row>
    <row r="445" spans="1:60" x14ac:dyDescent="0.35">
      <c r="A445" s="19"/>
      <c r="B445" s="20"/>
      <c r="C445" s="21"/>
      <c r="D445" s="19"/>
      <c r="E445" s="20"/>
      <c r="F445" s="19"/>
      <c r="G445" s="20"/>
      <c r="H445" s="19"/>
      <c r="I445" s="20"/>
      <c r="J445" s="20" t="s">
        <v>74</v>
      </c>
      <c r="K445" s="20" t="s">
        <v>74</v>
      </c>
      <c r="L445" s="20"/>
      <c r="M445" s="20"/>
      <c r="N445" s="20" t="s">
        <v>74</v>
      </c>
      <c r="O445" s="20" t="s">
        <v>74</v>
      </c>
      <c r="P445" s="20" t="s">
        <v>74</v>
      </c>
      <c r="Q445" s="20"/>
      <c r="R445" s="20"/>
      <c r="T445" s="20"/>
      <c r="U445" s="19"/>
      <c r="V445" s="22"/>
      <c r="W445" s="22"/>
      <c r="X445" s="20"/>
      <c r="BG445" s="25"/>
      <c r="BH445" s="20"/>
    </row>
    <row r="446" spans="1:60" x14ac:dyDescent="0.35">
      <c r="A446" s="19"/>
      <c r="B446" s="20"/>
      <c r="C446" s="21"/>
      <c r="D446" s="19"/>
      <c r="E446" s="20"/>
      <c r="F446" s="19"/>
      <c r="G446" s="20"/>
      <c r="H446" s="19"/>
      <c r="I446" s="20"/>
      <c r="J446" s="20" t="s">
        <v>74</v>
      </c>
      <c r="K446" s="20" t="s">
        <v>74</v>
      </c>
      <c r="L446" s="20"/>
      <c r="M446" s="20"/>
      <c r="N446" s="20" t="s">
        <v>74</v>
      </c>
      <c r="O446" s="20" t="s">
        <v>74</v>
      </c>
      <c r="P446" s="20" t="s">
        <v>74</v>
      </c>
      <c r="Q446" s="20"/>
      <c r="R446" s="20"/>
      <c r="T446" s="20"/>
      <c r="U446" s="19"/>
      <c r="V446" s="22"/>
      <c r="W446" s="22"/>
      <c r="X446" s="20"/>
      <c r="BG446" s="25"/>
      <c r="BH446" s="20"/>
    </row>
    <row r="447" spans="1:60" x14ac:dyDescent="0.35">
      <c r="A447" s="19"/>
      <c r="B447" s="20"/>
      <c r="C447" s="21"/>
      <c r="D447" s="19"/>
      <c r="E447" s="20"/>
      <c r="F447" s="19"/>
      <c r="G447" s="20"/>
      <c r="H447" s="19"/>
      <c r="I447" s="20"/>
      <c r="J447" s="20" t="s">
        <v>74</v>
      </c>
      <c r="K447" s="20" t="s">
        <v>74</v>
      </c>
      <c r="L447" s="20"/>
      <c r="M447" s="20"/>
      <c r="N447" s="20" t="s">
        <v>74</v>
      </c>
      <c r="O447" s="20" t="s">
        <v>74</v>
      </c>
      <c r="P447" s="20" t="s">
        <v>74</v>
      </c>
      <c r="Q447" s="20"/>
      <c r="R447" s="20"/>
      <c r="T447" s="20"/>
      <c r="U447" s="19"/>
      <c r="V447" s="22"/>
      <c r="W447" s="22"/>
      <c r="X447" s="20"/>
      <c r="BG447" s="25"/>
      <c r="BH447" s="20"/>
    </row>
    <row r="448" spans="1:60" x14ac:dyDescent="0.35">
      <c r="A448" s="19"/>
      <c r="B448" s="20"/>
      <c r="C448" s="21"/>
      <c r="D448" s="19"/>
      <c r="E448" s="20"/>
      <c r="F448" s="19"/>
      <c r="G448" s="20"/>
      <c r="H448" s="19"/>
      <c r="I448" s="20"/>
      <c r="J448" s="20" t="s">
        <v>74</v>
      </c>
      <c r="K448" s="20" t="s">
        <v>74</v>
      </c>
      <c r="L448" s="20"/>
      <c r="M448" s="20"/>
      <c r="N448" s="20" t="s">
        <v>74</v>
      </c>
      <c r="O448" s="20" t="s">
        <v>74</v>
      </c>
      <c r="P448" s="20" t="s">
        <v>74</v>
      </c>
      <c r="Q448" s="20"/>
      <c r="R448" s="20"/>
      <c r="T448" s="20"/>
      <c r="U448" s="19"/>
      <c r="V448" s="22"/>
      <c r="W448" s="22"/>
      <c r="X448" s="20"/>
      <c r="BG448" s="25"/>
      <c r="BH448" s="20"/>
    </row>
    <row r="449" spans="1:60" x14ac:dyDescent="0.35">
      <c r="A449" s="19"/>
      <c r="B449" s="20"/>
      <c r="C449" s="21"/>
      <c r="D449" s="19"/>
      <c r="E449" s="20"/>
      <c r="F449" s="19"/>
      <c r="G449" s="20"/>
      <c r="H449" s="19"/>
      <c r="I449" s="20"/>
      <c r="J449" s="20" t="s">
        <v>74</v>
      </c>
      <c r="K449" s="20" t="s">
        <v>74</v>
      </c>
      <c r="L449" s="20"/>
      <c r="M449" s="20"/>
      <c r="N449" s="20" t="s">
        <v>74</v>
      </c>
      <c r="O449" s="20" t="s">
        <v>74</v>
      </c>
      <c r="P449" s="20" t="s">
        <v>74</v>
      </c>
      <c r="Q449" s="20"/>
      <c r="R449" s="20"/>
      <c r="T449" s="20"/>
      <c r="U449" s="19"/>
      <c r="V449" s="22"/>
      <c r="W449" s="22"/>
      <c r="X449" s="20"/>
      <c r="BG449" s="25"/>
      <c r="BH449" s="20"/>
    </row>
    <row r="450" spans="1:60" x14ac:dyDescent="0.35">
      <c r="A450" s="19"/>
      <c r="B450" s="20"/>
      <c r="C450" s="21"/>
      <c r="D450" s="19"/>
      <c r="E450" s="20"/>
      <c r="F450" s="19"/>
      <c r="G450" s="20"/>
      <c r="H450" s="19"/>
      <c r="I450" s="20"/>
      <c r="J450" s="20" t="s">
        <v>74</v>
      </c>
      <c r="K450" s="20" t="s">
        <v>74</v>
      </c>
      <c r="L450" s="20"/>
      <c r="M450" s="20"/>
      <c r="N450" s="20" t="s">
        <v>74</v>
      </c>
      <c r="O450" s="20" t="s">
        <v>74</v>
      </c>
      <c r="P450" s="20" t="s">
        <v>74</v>
      </c>
      <c r="Q450" s="20"/>
      <c r="R450" s="20"/>
      <c r="T450" s="20"/>
      <c r="U450" s="19"/>
      <c r="V450" s="22"/>
      <c r="W450" s="22"/>
      <c r="X450" s="20"/>
      <c r="BG450" s="25"/>
      <c r="BH450" s="20"/>
    </row>
    <row r="451" spans="1:60" x14ac:dyDescent="0.35">
      <c r="A451" s="19"/>
      <c r="B451" s="20"/>
      <c r="C451" s="21"/>
      <c r="D451" s="19"/>
      <c r="E451" s="20"/>
      <c r="F451" s="19"/>
      <c r="G451" s="20"/>
      <c r="H451" s="19"/>
      <c r="I451" s="20"/>
      <c r="J451" s="20" t="s">
        <v>74</v>
      </c>
      <c r="K451" s="20" t="s">
        <v>74</v>
      </c>
      <c r="L451" s="20"/>
      <c r="M451" s="20"/>
      <c r="N451" s="20" t="s">
        <v>74</v>
      </c>
      <c r="O451" s="20" t="s">
        <v>74</v>
      </c>
      <c r="P451" s="20" t="s">
        <v>74</v>
      </c>
      <c r="Q451" s="20"/>
      <c r="R451" s="20"/>
      <c r="T451" s="20"/>
      <c r="U451" s="19"/>
      <c r="V451" s="22"/>
      <c r="W451" s="22"/>
      <c r="X451" s="20"/>
      <c r="BG451" s="25"/>
      <c r="BH451" s="20"/>
    </row>
    <row r="452" spans="1:60" x14ac:dyDescent="0.35">
      <c r="A452" s="19"/>
      <c r="B452" s="20"/>
      <c r="C452" s="21"/>
      <c r="D452" s="19"/>
      <c r="E452" s="20"/>
      <c r="F452" s="19"/>
      <c r="G452" s="20"/>
      <c r="H452" s="19"/>
      <c r="I452" s="20"/>
      <c r="J452" s="20" t="s">
        <v>74</v>
      </c>
      <c r="K452" s="20" t="s">
        <v>74</v>
      </c>
      <c r="L452" s="20"/>
      <c r="M452" s="20"/>
      <c r="N452" s="20" t="s">
        <v>74</v>
      </c>
      <c r="O452" s="20" t="s">
        <v>74</v>
      </c>
      <c r="P452" s="20" t="s">
        <v>74</v>
      </c>
      <c r="Q452" s="20"/>
      <c r="R452" s="20"/>
      <c r="T452" s="20"/>
      <c r="U452" s="19"/>
      <c r="V452" s="22"/>
      <c r="W452" s="22"/>
      <c r="X452" s="20"/>
      <c r="BG452" s="25"/>
      <c r="BH452" s="20"/>
    </row>
    <row r="453" spans="1:60" x14ac:dyDescent="0.35">
      <c r="A453" s="19"/>
      <c r="B453" s="20"/>
      <c r="C453" s="21"/>
      <c r="D453" s="19"/>
      <c r="E453" s="20"/>
      <c r="F453" s="19"/>
      <c r="G453" s="20"/>
      <c r="H453" s="19"/>
      <c r="I453" s="20"/>
      <c r="J453" s="20" t="s">
        <v>74</v>
      </c>
      <c r="K453" s="20" t="s">
        <v>74</v>
      </c>
      <c r="L453" s="20"/>
      <c r="M453" s="20"/>
      <c r="N453" s="20" t="s">
        <v>74</v>
      </c>
      <c r="O453" s="20" t="s">
        <v>74</v>
      </c>
      <c r="P453" s="20" t="s">
        <v>74</v>
      </c>
      <c r="Q453" s="20"/>
      <c r="R453" s="20"/>
      <c r="T453" s="20"/>
      <c r="U453" s="19"/>
      <c r="V453" s="22"/>
      <c r="W453" s="22"/>
      <c r="X453" s="20"/>
      <c r="BG453" s="25"/>
      <c r="BH453" s="20"/>
    </row>
    <row r="454" spans="1:60" x14ac:dyDescent="0.35">
      <c r="A454" s="19"/>
      <c r="B454" s="20"/>
      <c r="C454" s="21"/>
      <c r="D454" s="19"/>
      <c r="E454" s="20"/>
      <c r="F454" s="19"/>
      <c r="G454" s="20"/>
      <c r="H454" s="19"/>
      <c r="I454" s="20"/>
      <c r="J454" s="20" t="s">
        <v>74</v>
      </c>
      <c r="K454" s="20" t="s">
        <v>74</v>
      </c>
      <c r="L454" s="20"/>
      <c r="M454" s="20"/>
      <c r="N454" s="20" t="s">
        <v>74</v>
      </c>
      <c r="O454" s="20" t="s">
        <v>74</v>
      </c>
      <c r="P454" s="20" t="s">
        <v>74</v>
      </c>
      <c r="Q454" s="20"/>
      <c r="R454" s="20"/>
      <c r="T454" s="20"/>
      <c r="U454" s="19"/>
      <c r="V454" s="22"/>
      <c r="W454" s="22"/>
      <c r="X454" s="20"/>
      <c r="BG454" s="25"/>
      <c r="BH454" s="20"/>
    </row>
    <row r="455" spans="1:60" x14ac:dyDescent="0.35">
      <c r="A455" s="19"/>
      <c r="B455" s="20"/>
      <c r="C455" s="21"/>
      <c r="D455" s="19"/>
      <c r="E455" s="20"/>
      <c r="F455" s="19"/>
      <c r="G455" s="20"/>
      <c r="H455" s="19"/>
      <c r="I455" s="20"/>
      <c r="J455" s="20" t="s">
        <v>74</v>
      </c>
      <c r="K455" s="20" t="s">
        <v>74</v>
      </c>
      <c r="L455" s="20"/>
      <c r="M455" s="20"/>
      <c r="N455" s="20" t="s">
        <v>74</v>
      </c>
      <c r="O455" s="20" t="s">
        <v>74</v>
      </c>
      <c r="P455" s="20" t="s">
        <v>74</v>
      </c>
      <c r="Q455" s="20"/>
      <c r="R455" s="20"/>
      <c r="T455" s="20"/>
      <c r="U455" s="19"/>
      <c r="V455" s="22"/>
      <c r="W455" s="22"/>
      <c r="X455" s="20"/>
      <c r="BG455" s="25"/>
      <c r="BH455" s="20"/>
    </row>
    <row r="456" spans="1:60" x14ac:dyDescent="0.35">
      <c r="A456" s="19"/>
      <c r="B456" s="20"/>
      <c r="C456" s="21"/>
      <c r="D456" s="19"/>
      <c r="E456" s="20"/>
      <c r="F456" s="19"/>
      <c r="G456" s="20"/>
      <c r="H456" s="19"/>
      <c r="I456" s="20"/>
      <c r="J456" s="20" t="s">
        <v>74</v>
      </c>
      <c r="K456" s="20" t="s">
        <v>74</v>
      </c>
      <c r="L456" s="20"/>
      <c r="M456" s="20"/>
      <c r="N456" s="20" t="s">
        <v>74</v>
      </c>
      <c r="O456" s="20" t="s">
        <v>74</v>
      </c>
      <c r="P456" s="20" t="s">
        <v>74</v>
      </c>
      <c r="Q456" s="20"/>
      <c r="R456" s="20"/>
      <c r="T456" s="20"/>
      <c r="U456" s="19"/>
      <c r="V456" s="22"/>
      <c r="W456" s="22"/>
      <c r="X456" s="20"/>
      <c r="BG456" s="25"/>
      <c r="BH456" s="20"/>
    </row>
    <row r="457" spans="1:60" x14ac:dyDescent="0.35">
      <c r="A457" s="19"/>
      <c r="B457" s="20"/>
      <c r="C457" s="21"/>
      <c r="D457" s="19"/>
      <c r="E457" s="20"/>
      <c r="F457" s="19"/>
      <c r="G457" s="20"/>
      <c r="H457" s="19"/>
      <c r="I457" s="20"/>
      <c r="J457" s="20" t="s">
        <v>74</v>
      </c>
      <c r="K457" s="20" t="s">
        <v>74</v>
      </c>
      <c r="L457" s="20"/>
      <c r="M457" s="20"/>
      <c r="N457" s="20" t="s">
        <v>74</v>
      </c>
      <c r="O457" s="20" t="s">
        <v>74</v>
      </c>
      <c r="P457" s="20" t="s">
        <v>74</v>
      </c>
      <c r="Q457" s="20"/>
      <c r="R457" s="20"/>
      <c r="T457" s="20"/>
      <c r="U457" s="19"/>
      <c r="V457" s="22"/>
      <c r="W457" s="22"/>
      <c r="X457" s="20"/>
      <c r="BG457" s="25"/>
      <c r="BH457" s="20"/>
    </row>
    <row r="458" spans="1:60" x14ac:dyDescent="0.35">
      <c r="A458" s="19"/>
      <c r="B458" s="20"/>
      <c r="C458" s="21"/>
      <c r="D458" s="19"/>
      <c r="E458" s="20"/>
      <c r="F458" s="19"/>
      <c r="G458" s="20"/>
      <c r="H458" s="19"/>
      <c r="I458" s="20"/>
      <c r="J458" s="20" t="s">
        <v>74</v>
      </c>
      <c r="K458" s="20" t="s">
        <v>74</v>
      </c>
      <c r="L458" s="20"/>
      <c r="M458" s="20"/>
      <c r="N458" s="20" t="s">
        <v>74</v>
      </c>
      <c r="O458" s="20" t="s">
        <v>74</v>
      </c>
      <c r="P458" s="20" t="s">
        <v>74</v>
      </c>
      <c r="Q458" s="20"/>
      <c r="R458" s="20"/>
      <c r="T458" s="20"/>
      <c r="U458" s="19"/>
      <c r="V458" s="22"/>
      <c r="W458" s="22"/>
      <c r="X458" s="20"/>
      <c r="BG458" s="25"/>
      <c r="BH458" s="20"/>
    </row>
    <row r="459" spans="1:60" x14ac:dyDescent="0.35">
      <c r="A459" s="19"/>
      <c r="B459" s="20"/>
      <c r="C459" s="21"/>
      <c r="D459" s="19"/>
      <c r="E459" s="20"/>
      <c r="F459" s="19"/>
      <c r="G459" s="20"/>
      <c r="H459" s="19"/>
      <c r="I459" s="20"/>
      <c r="J459" s="20" t="s">
        <v>74</v>
      </c>
      <c r="K459" s="20" t="s">
        <v>74</v>
      </c>
      <c r="L459" s="20"/>
      <c r="M459" s="20"/>
      <c r="N459" s="20" t="s">
        <v>74</v>
      </c>
      <c r="O459" s="20" t="s">
        <v>74</v>
      </c>
      <c r="P459" s="20" t="s">
        <v>74</v>
      </c>
      <c r="Q459" s="20"/>
      <c r="R459" s="20"/>
      <c r="T459" s="20"/>
      <c r="U459" s="19"/>
      <c r="V459" s="22"/>
      <c r="W459" s="22"/>
      <c r="X459" s="20"/>
      <c r="BG459" s="25"/>
      <c r="BH459" s="20"/>
    </row>
    <row r="460" spans="1:60" x14ac:dyDescent="0.35">
      <c r="A460" s="19"/>
      <c r="B460" s="20"/>
      <c r="C460" s="21"/>
      <c r="D460" s="19"/>
      <c r="E460" s="20"/>
      <c r="F460" s="19"/>
      <c r="G460" s="20"/>
      <c r="H460" s="19"/>
      <c r="I460" s="20"/>
      <c r="J460" s="20" t="s">
        <v>74</v>
      </c>
      <c r="K460" s="20" t="s">
        <v>74</v>
      </c>
      <c r="L460" s="20"/>
      <c r="M460" s="20"/>
      <c r="N460" s="20" t="s">
        <v>74</v>
      </c>
      <c r="O460" s="20" t="s">
        <v>74</v>
      </c>
      <c r="P460" s="20" t="s">
        <v>74</v>
      </c>
      <c r="Q460" s="20"/>
      <c r="R460" s="20"/>
      <c r="T460" s="20"/>
      <c r="U460" s="19"/>
      <c r="V460" s="22"/>
      <c r="W460" s="22"/>
      <c r="X460" s="20"/>
      <c r="BG460" s="25"/>
      <c r="BH460" s="20"/>
    </row>
    <row r="461" spans="1:60" x14ac:dyDescent="0.35">
      <c r="A461" s="19"/>
      <c r="B461" s="20"/>
      <c r="C461" s="21"/>
      <c r="D461" s="19"/>
      <c r="E461" s="20"/>
      <c r="F461" s="19"/>
      <c r="G461" s="20"/>
      <c r="H461" s="19"/>
      <c r="I461" s="20"/>
      <c r="J461" s="20" t="s">
        <v>74</v>
      </c>
      <c r="K461" s="20" t="s">
        <v>74</v>
      </c>
      <c r="L461" s="20"/>
      <c r="M461" s="20"/>
      <c r="N461" s="20" t="s">
        <v>74</v>
      </c>
      <c r="O461" s="20" t="s">
        <v>74</v>
      </c>
      <c r="P461" s="20" t="s">
        <v>74</v>
      </c>
      <c r="Q461" s="20"/>
      <c r="R461" s="20"/>
      <c r="T461" s="20"/>
      <c r="U461" s="19"/>
      <c r="V461" s="22"/>
      <c r="W461" s="22"/>
      <c r="X461" s="20"/>
      <c r="BG461" s="25"/>
      <c r="BH461" s="20"/>
    </row>
    <row r="462" spans="1:60" x14ac:dyDescent="0.35">
      <c r="A462" s="19"/>
      <c r="B462" s="20"/>
      <c r="C462" s="21"/>
      <c r="D462" s="19"/>
      <c r="E462" s="20"/>
      <c r="F462" s="19"/>
      <c r="G462" s="20"/>
      <c r="H462" s="19"/>
      <c r="I462" s="20"/>
      <c r="J462" s="20" t="s">
        <v>74</v>
      </c>
      <c r="K462" s="20" t="s">
        <v>74</v>
      </c>
      <c r="L462" s="20"/>
      <c r="M462" s="20"/>
      <c r="N462" s="20" t="s">
        <v>74</v>
      </c>
      <c r="O462" s="20" t="s">
        <v>74</v>
      </c>
      <c r="P462" s="20" t="s">
        <v>74</v>
      </c>
      <c r="Q462" s="20"/>
      <c r="R462" s="20"/>
      <c r="T462" s="20"/>
      <c r="U462" s="19"/>
      <c r="V462" s="22"/>
      <c r="W462" s="22"/>
      <c r="X462" s="20"/>
      <c r="BG462" s="25"/>
      <c r="BH462" s="20"/>
    </row>
    <row r="463" spans="1:60" x14ac:dyDescent="0.35">
      <c r="A463" s="19"/>
      <c r="B463" s="20"/>
      <c r="C463" s="21"/>
      <c r="D463" s="19"/>
      <c r="E463" s="20"/>
      <c r="F463" s="19"/>
      <c r="G463" s="20"/>
      <c r="H463" s="19"/>
      <c r="I463" s="20"/>
      <c r="J463" s="20" t="s">
        <v>74</v>
      </c>
      <c r="K463" s="20" t="s">
        <v>74</v>
      </c>
      <c r="L463" s="20"/>
      <c r="M463" s="20"/>
      <c r="N463" s="20" t="s">
        <v>74</v>
      </c>
      <c r="O463" s="20" t="s">
        <v>74</v>
      </c>
      <c r="P463" s="20" t="s">
        <v>74</v>
      </c>
      <c r="Q463" s="20"/>
      <c r="R463" s="20"/>
      <c r="T463" s="20"/>
      <c r="U463" s="19"/>
      <c r="V463" s="22"/>
      <c r="W463" s="22"/>
      <c r="X463" s="20"/>
      <c r="BG463" s="25"/>
      <c r="BH463" s="20"/>
    </row>
    <row r="464" spans="1:60" x14ac:dyDescent="0.35">
      <c r="A464" s="19"/>
      <c r="B464" s="20"/>
      <c r="C464" s="21"/>
      <c r="D464" s="19"/>
      <c r="E464" s="20"/>
      <c r="F464" s="19"/>
      <c r="G464" s="20"/>
      <c r="H464" s="19"/>
      <c r="I464" s="20"/>
      <c r="J464" s="20" t="s">
        <v>74</v>
      </c>
      <c r="K464" s="20" t="s">
        <v>74</v>
      </c>
      <c r="L464" s="20"/>
      <c r="M464" s="20"/>
      <c r="N464" s="20" t="s">
        <v>74</v>
      </c>
      <c r="O464" s="20" t="s">
        <v>74</v>
      </c>
      <c r="P464" s="20" t="s">
        <v>74</v>
      </c>
      <c r="Q464" s="20"/>
      <c r="R464" s="20"/>
      <c r="T464" s="20"/>
      <c r="U464" s="19"/>
      <c r="V464" s="22"/>
      <c r="W464" s="22"/>
      <c r="X464" s="20"/>
      <c r="BG464" s="25"/>
      <c r="BH464" s="20"/>
    </row>
    <row r="465" spans="1:60" x14ac:dyDescent="0.35">
      <c r="A465" s="19"/>
      <c r="B465" s="20"/>
      <c r="C465" s="21"/>
      <c r="D465" s="19"/>
      <c r="E465" s="20"/>
      <c r="F465" s="19"/>
      <c r="G465" s="20"/>
      <c r="H465" s="19"/>
      <c r="I465" s="20"/>
      <c r="J465" s="20" t="s">
        <v>74</v>
      </c>
      <c r="K465" s="20" t="s">
        <v>74</v>
      </c>
      <c r="L465" s="20"/>
      <c r="M465" s="20"/>
      <c r="N465" s="20" t="s">
        <v>74</v>
      </c>
      <c r="O465" s="20" t="s">
        <v>74</v>
      </c>
      <c r="P465" s="20" t="s">
        <v>74</v>
      </c>
      <c r="Q465" s="20"/>
      <c r="R465" s="20"/>
      <c r="T465" s="20"/>
      <c r="U465" s="19"/>
      <c r="V465" s="22"/>
      <c r="W465" s="22"/>
      <c r="X465" s="20"/>
      <c r="BG465" s="25"/>
      <c r="BH465" s="20"/>
    </row>
    <row r="466" spans="1:60" x14ac:dyDescent="0.35">
      <c r="A466" s="19"/>
      <c r="B466" s="20"/>
      <c r="C466" s="21"/>
      <c r="D466" s="19"/>
      <c r="E466" s="20"/>
      <c r="F466" s="19"/>
      <c r="G466" s="20"/>
      <c r="H466" s="19"/>
      <c r="I466" s="20"/>
      <c r="J466" s="20" t="s">
        <v>74</v>
      </c>
      <c r="K466" s="20" t="s">
        <v>74</v>
      </c>
      <c r="L466" s="20"/>
      <c r="M466" s="20"/>
      <c r="N466" s="20" t="s">
        <v>74</v>
      </c>
      <c r="O466" s="20" t="s">
        <v>74</v>
      </c>
      <c r="P466" s="20" t="s">
        <v>74</v>
      </c>
      <c r="Q466" s="20"/>
      <c r="R466" s="20"/>
      <c r="T466" s="20"/>
      <c r="U466" s="19"/>
      <c r="V466" s="22"/>
      <c r="W466" s="22"/>
      <c r="X466" s="20"/>
      <c r="BG466" s="25"/>
      <c r="BH466" s="20"/>
    </row>
    <row r="467" spans="1:60" x14ac:dyDescent="0.35">
      <c r="A467" s="19"/>
      <c r="B467" s="20"/>
      <c r="C467" s="21"/>
      <c r="D467" s="19"/>
      <c r="E467" s="20"/>
      <c r="F467" s="19"/>
      <c r="G467" s="20"/>
      <c r="H467" s="19"/>
      <c r="I467" s="20"/>
      <c r="J467" s="20" t="s">
        <v>74</v>
      </c>
      <c r="K467" s="20" t="s">
        <v>74</v>
      </c>
      <c r="L467" s="20"/>
      <c r="M467" s="20"/>
      <c r="N467" s="20" t="s">
        <v>74</v>
      </c>
      <c r="O467" s="20" t="s">
        <v>74</v>
      </c>
      <c r="P467" s="20" t="s">
        <v>74</v>
      </c>
      <c r="Q467" s="20"/>
      <c r="R467" s="20"/>
      <c r="T467" s="20"/>
      <c r="U467" s="19"/>
      <c r="V467" s="22"/>
      <c r="W467" s="22"/>
      <c r="X467" s="20"/>
      <c r="BG467" s="25"/>
      <c r="BH467" s="20"/>
    </row>
  </sheetData>
  <autoFilter ref="A1:OJ1" xr:uid="{844E90AB-2E57-455A-A13D-C7A9DFDEF6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1940-A2FB-493B-959F-20BED57F638E}">
  <dimension ref="A1:AH46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9.6328125" style="23" customWidth="1"/>
    <col min="34" max="34" width="15.6328125" style="24" customWidth="1"/>
    <col min="35" max="16384" width="10.90625" style="13"/>
  </cols>
  <sheetData>
    <row r="1" spans="1:34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332</v>
      </c>
      <c r="Y1" s="12" t="s">
        <v>333</v>
      </c>
      <c r="Z1" s="12" t="s">
        <v>334</v>
      </c>
      <c r="AA1" s="12" t="s">
        <v>335</v>
      </c>
      <c r="AB1" s="12" t="s">
        <v>336</v>
      </c>
      <c r="AC1" s="12" t="s">
        <v>337</v>
      </c>
      <c r="AD1" s="12" t="s">
        <v>338</v>
      </c>
      <c r="AE1" s="12" t="s">
        <v>339</v>
      </c>
      <c r="AF1" s="12" t="s">
        <v>340</v>
      </c>
      <c r="AG1" s="10" t="s">
        <v>59</v>
      </c>
      <c r="AH1" s="10" t="s">
        <v>60</v>
      </c>
    </row>
    <row r="2" spans="1:34" ht="58" x14ac:dyDescent="0.35">
      <c r="A2" s="14" t="s">
        <v>61</v>
      </c>
      <c r="B2" s="14" t="s">
        <v>62</v>
      </c>
      <c r="C2" s="15">
        <v>44510.504861111112</v>
      </c>
      <c r="D2" s="14" t="s">
        <v>63</v>
      </c>
      <c r="E2" s="16" t="s">
        <v>64</v>
      </c>
      <c r="F2" s="14" t="s">
        <v>65</v>
      </c>
      <c r="G2" s="16" t="s">
        <v>66</v>
      </c>
      <c r="H2" s="14" t="s">
        <v>67</v>
      </c>
      <c r="I2" s="16" t="s">
        <v>68</v>
      </c>
      <c r="J2" s="16" t="s">
        <v>69</v>
      </c>
      <c r="K2" s="16" t="s">
        <v>70</v>
      </c>
      <c r="L2" s="14" t="s">
        <v>71</v>
      </c>
      <c r="M2" s="16" t="s">
        <v>72</v>
      </c>
      <c r="N2" s="14" t="s">
        <v>73</v>
      </c>
      <c r="O2" s="16" t="s">
        <v>74</v>
      </c>
      <c r="P2" s="16" t="s">
        <v>74</v>
      </c>
      <c r="Q2" s="16" t="s">
        <v>75</v>
      </c>
      <c r="R2" s="14" t="s">
        <v>76</v>
      </c>
      <c r="S2" s="14" t="s">
        <v>77</v>
      </c>
      <c r="T2" s="14" t="s">
        <v>78</v>
      </c>
      <c r="U2" s="14" t="s">
        <v>79</v>
      </c>
      <c r="V2" s="15">
        <v>44449</v>
      </c>
      <c r="W2" s="15"/>
      <c r="X2" s="16" t="s">
        <v>341</v>
      </c>
      <c r="Y2" s="17" t="s">
        <v>342</v>
      </c>
      <c r="Z2" s="18" t="str">
        <f>VLOOKUP(Y2,'Axe 2 Règles de gestion'!$D$2:$F$125,3, FALSE)</f>
        <v>Rémunération : L'agent continue de percevoir son traitement.</v>
      </c>
      <c r="AA2" s="17" t="s">
        <v>344</v>
      </c>
      <c r="AB2" s="18" t="str">
        <f>VLOOKUP(AA2,'Axe 2 Règles de gestion'!$D$2:$F$125,3, FALSE)</f>
        <v>Congés annuels : La durée du congé n'est pas imputée sur la durée du congé annuel.</v>
      </c>
      <c r="AC2" s="17" t="s">
        <v>346</v>
      </c>
      <c r="AD2" s="18" t="str">
        <f>VLOOKUP(AC2,'Axe 2 Règles de gestion'!$D$2:$F$125,3, FALSE)</f>
        <v>Retraite : Ce congé est considéré comme une période d'activité pour la retraite.</v>
      </c>
      <c r="AE2" s="17"/>
      <c r="AF2" s="18"/>
      <c r="AG2" s="14" t="s">
        <v>74</v>
      </c>
      <c r="AH2" s="16" t="s">
        <v>74</v>
      </c>
    </row>
    <row r="3" spans="1:34" ht="43.5" x14ac:dyDescent="0.35">
      <c r="A3" s="14" t="s">
        <v>61</v>
      </c>
      <c r="B3" s="14" t="s">
        <v>62</v>
      </c>
      <c r="C3" s="15">
        <v>44510.482638888891</v>
      </c>
      <c r="D3" s="14" t="s">
        <v>63</v>
      </c>
      <c r="E3" s="16" t="s">
        <v>64</v>
      </c>
      <c r="F3" s="14" t="s">
        <v>65</v>
      </c>
      <c r="G3" s="16" t="s">
        <v>66</v>
      </c>
      <c r="H3" s="14" t="s">
        <v>67</v>
      </c>
      <c r="I3" s="16" t="s">
        <v>68</v>
      </c>
      <c r="J3" s="16" t="s">
        <v>69</v>
      </c>
      <c r="K3" s="16" t="s">
        <v>70</v>
      </c>
      <c r="L3" s="14" t="s">
        <v>109</v>
      </c>
      <c r="M3" s="16" t="s">
        <v>110</v>
      </c>
      <c r="N3" s="14" t="s">
        <v>111</v>
      </c>
      <c r="O3" s="16" t="s">
        <v>74</v>
      </c>
      <c r="P3" s="16" t="s">
        <v>74</v>
      </c>
      <c r="Q3" s="16" t="s">
        <v>75</v>
      </c>
      <c r="R3" s="14" t="s">
        <v>76</v>
      </c>
      <c r="S3" s="14" t="s">
        <v>77</v>
      </c>
      <c r="T3" s="14" t="s">
        <v>78</v>
      </c>
      <c r="U3" s="14" t="s">
        <v>79</v>
      </c>
      <c r="V3" s="15">
        <v>44449</v>
      </c>
      <c r="W3" s="15"/>
      <c r="X3" s="16" t="s">
        <v>74</v>
      </c>
      <c r="Y3" s="17"/>
      <c r="Z3" s="18"/>
      <c r="AA3" s="17"/>
      <c r="AB3" s="18"/>
      <c r="AC3" s="17"/>
      <c r="AD3" s="18"/>
      <c r="AE3" s="17"/>
      <c r="AF3" s="18"/>
      <c r="AG3" s="14" t="s">
        <v>74</v>
      </c>
      <c r="AH3" s="16" t="s">
        <v>74</v>
      </c>
    </row>
    <row r="4" spans="1:34" ht="58" x14ac:dyDescent="0.35">
      <c r="A4" s="14" t="s">
        <v>113</v>
      </c>
      <c r="B4" s="14" t="s">
        <v>62</v>
      </c>
      <c r="C4" s="15">
        <v>44886.494444444441</v>
      </c>
      <c r="D4" s="14" t="s">
        <v>63</v>
      </c>
      <c r="E4" s="16" t="s">
        <v>64</v>
      </c>
      <c r="F4" s="14" t="s">
        <v>65</v>
      </c>
      <c r="G4" s="16" t="s">
        <v>66</v>
      </c>
      <c r="H4" s="14" t="s">
        <v>67</v>
      </c>
      <c r="I4" s="16" t="s">
        <v>68</v>
      </c>
      <c r="J4" s="16" t="s">
        <v>69</v>
      </c>
      <c r="K4" s="16" t="s">
        <v>70</v>
      </c>
      <c r="L4" s="14" t="s">
        <v>71</v>
      </c>
      <c r="M4" s="16" t="s">
        <v>72</v>
      </c>
      <c r="N4" s="14" t="s">
        <v>73</v>
      </c>
      <c r="O4" s="16" t="s">
        <v>74</v>
      </c>
      <c r="P4" s="16" t="s">
        <v>74</v>
      </c>
      <c r="Q4" s="16" t="s">
        <v>114</v>
      </c>
      <c r="R4" s="14" t="s">
        <v>115</v>
      </c>
      <c r="S4" s="14" t="s">
        <v>116</v>
      </c>
      <c r="T4" s="14" t="s">
        <v>78</v>
      </c>
      <c r="U4" s="14" t="s">
        <v>117</v>
      </c>
      <c r="V4" s="15">
        <v>44449</v>
      </c>
      <c r="W4" s="15"/>
      <c r="X4" s="16" t="s">
        <v>74</v>
      </c>
      <c r="Y4" s="17"/>
      <c r="Z4" s="18"/>
      <c r="AA4" s="17"/>
      <c r="AB4" s="18"/>
      <c r="AC4" s="17"/>
      <c r="AD4" s="18"/>
      <c r="AE4" s="17"/>
      <c r="AF4" s="18"/>
      <c r="AG4" s="14" t="s">
        <v>74</v>
      </c>
      <c r="AH4" s="16" t="s">
        <v>74</v>
      </c>
    </row>
    <row r="5" spans="1:34" ht="43.5" x14ac:dyDescent="0.35">
      <c r="A5" s="14" t="s">
        <v>113</v>
      </c>
      <c r="B5" s="14" t="s">
        <v>62</v>
      </c>
      <c r="C5" s="15">
        <v>44886.494444444441</v>
      </c>
      <c r="D5" s="14" t="s">
        <v>63</v>
      </c>
      <c r="E5" s="16" t="s">
        <v>64</v>
      </c>
      <c r="F5" s="14" t="s">
        <v>65</v>
      </c>
      <c r="G5" s="16" t="s">
        <v>66</v>
      </c>
      <c r="H5" s="14" t="s">
        <v>67</v>
      </c>
      <c r="I5" s="16" t="s">
        <v>68</v>
      </c>
      <c r="J5" s="16" t="s">
        <v>69</v>
      </c>
      <c r="K5" s="16" t="s">
        <v>70</v>
      </c>
      <c r="L5" s="14" t="s">
        <v>109</v>
      </c>
      <c r="M5" s="16" t="s">
        <v>110</v>
      </c>
      <c r="N5" s="14" t="s">
        <v>111</v>
      </c>
      <c r="O5" s="16" t="s">
        <v>74</v>
      </c>
      <c r="P5" s="16" t="s">
        <v>74</v>
      </c>
      <c r="Q5" s="16" t="s">
        <v>114</v>
      </c>
      <c r="R5" s="14" t="s">
        <v>115</v>
      </c>
      <c r="S5" s="14" t="s">
        <v>116</v>
      </c>
      <c r="T5" s="14" t="s">
        <v>78</v>
      </c>
      <c r="U5" s="14" t="s">
        <v>117</v>
      </c>
      <c r="V5" s="15">
        <v>44449</v>
      </c>
      <c r="W5" s="15"/>
      <c r="X5" s="16" t="s">
        <v>74</v>
      </c>
      <c r="Y5" s="17"/>
      <c r="Z5" s="18"/>
      <c r="AA5" s="17"/>
      <c r="AB5" s="18"/>
      <c r="AC5" s="17"/>
      <c r="AD5" s="18"/>
      <c r="AE5" s="17"/>
      <c r="AF5" s="18"/>
      <c r="AG5" s="14" t="s">
        <v>74</v>
      </c>
      <c r="AH5" s="16" t="s">
        <v>74</v>
      </c>
    </row>
    <row r="6" spans="1:34" ht="58" x14ac:dyDescent="0.35">
      <c r="A6" s="14" t="s">
        <v>113</v>
      </c>
      <c r="B6" s="14" t="s">
        <v>116</v>
      </c>
      <c r="C6" s="15">
        <v>44834.609722222223</v>
      </c>
      <c r="D6" s="14" t="s">
        <v>63</v>
      </c>
      <c r="E6" s="16" t="s">
        <v>64</v>
      </c>
      <c r="F6" s="14" t="s">
        <v>65</v>
      </c>
      <c r="G6" s="16" t="s">
        <v>66</v>
      </c>
      <c r="H6" s="14" t="s">
        <v>67</v>
      </c>
      <c r="I6" s="16" t="s">
        <v>68</v>
      </c>
      <c r="J6" s="16" t="s">
        <v>69</v>
      </c>
      <c r="K6" s="16" t="s">
        <v>70</v>
      </c>
      <c r="L6" s="14" t="s">
        <v>71</v>
      </c>
      <c r="M6" s="16" t="s">
        <v>72</v>
      </c>
      <c r="N6" s="14" t="s">
        <v>73</v>
      </c>
      <c r="O6" s="16" t="s">
        <v>74</v>
      </c>
      <c r="P6" s="16" t="s">
        <v>74</v>
      </c>
      <c r="Q6" s="16" t="s">
        <v>118</v>
      </c>
      <c r="R6" s="14" t="s">
        <v>119</v>
      </c>
      <c r="S6" s="14" t="s">
        <v>120</v>
      </c>
      <c r="T6" s="14" t="s">
        <v>78</v>
      </c>
      <c r="U6" s="14" t="s">
        <v>117</v>
      </c>
      <c r="V6" s="15">
        <v>44449</v>
      </c>
      <c r="W6" s="15">
        <v>44677</v>
      </c>
      <c r="X6" s="16" t="s">
        <v>74</v>
      </c>
      <c r="Y6" s="17"/>
      <c r="Z6" s="18"/>
      <c r="AA6" s="17"/>
      <c r="AB6" s="18"/>
      <c r="AC6" s="17"/>
      <c r="AD6" s="18"/>
      <c r="AE6" s="17"/>
      <c r="AF6" s="18"/>
      <c r="AG6" s="14" t="s">
        <v>74</v>
      </c>
      <c r="AH6" s="16" t="s">
        <v>74</v>
      </c>
    </row>
    <row r="7" spans="1:34" ht="72.5" x14ac:dyDescent="0.35">
      <c r="A7" s="14" t="s">
        <v>113</v>
      </c>
      <c r="B7" s="14" t="s">
        <v>62</v>
      </c>
      <c r="C7" s="15">
        <v>44834.61041666667</v>
      </c>
      <c r="D7" s="14" t="s">
        <v>63</v>
      </c>
      <c r="E7" s="16" t="s">
        <v>64</v>
      </c>
      <c r="F7" s="14" t="s">
        <v>65</v>
      </c>
      <c r="G7" s="16" t="s">
        <v>66</v>
      </c>
      <c r="H7" s="14" t="s">
        <v>67</v>
      </c>
      <c r="I7" s="16" t="s">
        <v>68</v>
      </c>
      <c r="J7" s="16" t="s">
        <v>69</v>
      </c>
      <c r="K7" s="16" t="s">
        <v>70</v>
      </c>
      <c r="L7" s="14" t="s">
        <v>71</v>
      </c>
      <c r="M7" s="16" t="s">
        <v>72</v>
      </c>
      <c r="N7" s="14" t="s">
        <v>73</v>
      </c>
      <c r="O7" s="16" t="s">
        <v>74</v>
      </c>
      <c r="P7" s="16" t="s">
        <v>74</v>
      </c>
      <c r="Q7" s="16" t="s">
        <v>118</v>
      </c>
      <c r="R7" s="14" t="s">
        <v>119</v>
      </c>
      <c r="S7" s="14" t="s">
        <v>120</v>
      </c>
      <c r="T7" s="14" t="s">
        <v>78</v>
      </c>
      <c r="U7" s="14" t="s">
        <v>79</v>
      </c>
      <c r="V7" s="15">
        <v>44678</v>
      </c>
      <c r="W7" s="15"/>
      <c r="X7" s="16" t="s">
        <v>348</v>
      </c>
      <c r="Y7" s="17" t="s">
        <v>349</v>
      </c>
      <c r="Z7" s="18" t="str">
        <f>VLOOKUP(Y7,'Axe 2 Règles de gestion'!$D$2:$F$125,3, FALSE)</f>
        <v>Rémunération : L'agent continue de percevoir son traitement.</v>
      </c>
      <c r="AA7" s="17" t="s">
        <v>350</v>
      </c>
      <c r="AB7" s="18" t="str">
        <f>VLOOKUP(AA7,'Axe 2 Règles de gestion'!$D$2:$F$125,3, FALSE)</f>
        <v>Congés annuels : La durée du congé est prise en compte pour la détermination des droits à congé annuel de l'agent.</v>
      </c>
      <c r="AC7" s="17"/>
      <c r="AD7" s="18"/>
      <c r="AE7" s="17"/>
      <c r="AF7" s="18"/>
      <c r="AG7" s="14" t="s">
        <v>74</v>
      </c>
      <c r="AH7" s="16" t="s">
        <v>74</v>
      </c>
    </row>
    <row r="8" spans="1:34" ht="43.5" x14ac:dyDescent="0.35">
      <c r="A8" s="14" t="s">
        <v>113</v>
      </c>
      <c r="B8" s="14" t="s">
        <v>116</v>
      </c>
      <c r="C8" s="15">
        <v>44839.352777777778</v>
      </c>
      <c r="D8" s="14" t="s">
        <v>63</v>
      </c>
      <c r="E8" s="16" t="s">
        <v>64</v>
      </c>
      <c r="F8" s="14" t="s">
        <v>65</v>
      </c>
      <c r="G8" s="16" t="s">
        <v>66</v>
      </c>
      <c r="H8" s="14" t="s">
        <v>67</v>
      </c>
      <c r="I8" s="16" t="s">
        <v>68</v>
      </c>
      <c r="J8" s="16" t="s">
        <v>69</v>
      </c>
      <c r="K8" s="16" t="s">
        <v>70</v>
      </c>
      <c r="L8" s="14" t="s">
        <v>109</v>
      </c>
      <c r="M8" s="16" t="s">
        <v>110</v>
      </c>
      <c r="N8" s="14" t="s">
        <v>111</v>
      </c>
      <c r="O8" s="16" t="s">
        <v>74</v>
      </c>
      <c r="P8" s="16" t="s">
        <v>74</v>
      </c>
      <c r="Q8" s="16" t="s">
        <v>118</v>
      </c>
      <c r="R8" s="14" t="s">
        <v>119</v>
      </c>
      <c r="S8" s="14" t="s">
        <v>120</v>
      </c>
      <c r="T8" s="14" t="s">
        <v>78</v>
      </c>
      <c r="U8" s="14" t="s">
        <v>117</v>
      </c>
      <c r="V8" s="15">
        <v>44449</v>
      </c>
      <c r="W8" s="15">
        <v>44677</v>
      </c>
      <c r="X8" s="16" t="s">
        <v>74</v>
      </c>
      <c r="Y8" s="17"/>
      <c r="Z8" s="18"/>
      <c r="AA8" s="17"/>
      <c r="AB8" s="18"/>
      <c r="AC8" s="17"/>
      <c r="AD8" s="18"/>
      <c r="AE8" s="17"/>
      <c r="AF8" s="18"/>
      <c r="AG8" s="14" t="s">
        <v>74</v>
      </c>
      <c r="AH8" s="16" t="s">
        <v>74</v>
      </c>
    </row>
    <row r="9" spans="1:34" ht="43.5" x14ac:dyDescent="0.35">
      <c r="A9" s="14" t="s">
        <v>113</v>
      </c>
      <c r="B9" s="14" t="s">
        <v>62</v>
      </c>
      <c r="C9" s="15">
        <v>44839.353472222225</v>
      </c>
      <c r="D9" s="14" t="s">
        <v>63</v>
      </c>
      <c r="E9" s="16" t="s">
        <v>64</v>
      </c>
      <c r="F9" s="14" t="s">
        <v>65</v>
      </c>
      <c r="G9" s="16" t="s">
        <v>66</v>
      </c>
      <c r="H9" s="14" t="s">
        <v>67</v>
      </c>
      <c r="I9" s="16" t="s">
        <v>68</v>
      </c>
      <c r="J9" s="16" t="s">
        <v>69</v>
      </c>
      <c r="K9" s="16" t="s">
        <v>70</v>
      </c>
      <c r="L9" s="14" t="s">
        <v>109</v>
      </c>
      <c r="M9" s="16" t="s">
        <v>110</v>
      </c>
      <c r="N9" s="14" t="s">
        <v>111</v>
      </c>
      <c r="O9" s="16" t="s">
        <v>74</v>
      </c>
      <c r="P9" s="16" t="s">
        <v>74</v>
      </c>
      <c r="Q9" s="16" t="s">
        <v>118</v>
      </c>
      <c r="R9" s="14" t="s">
        <v>119</v>
      </c>
      <c r="S9" s="14" t="s">
        <v>120</v>
      </c>
      <c r="T9" s="14" t="s">
        <v>78</v>
      </c>
      <c r="U9" s="14" t="s">
        <v>79</v>
      </c>
      <c r="V9" s="15">
        <v>44678</v>
      </c>
      <c r="W9" s="15"/>
      <c r="X9" s="16" t="s">
        <v>74</v>
      </c>
      <c r="Y9" s="17"/>
      <c r="Z9" s="18"/>
      <c r="AA9" s="17"/>
      <c r="AB9" s="18"/>
      <c r="AC9" s="17"/>
      <c r="AD9" s="18"/>
      <c r="AE9" s="17"/>
      <c r="AF9" s="18"/>
      <c r="AG9" s="14" t="s">
        <v>74</v>
      </c>
      <c r="AH9" s="16" t="s">
        <v>74</v>
      </c>
    </row>
    <row r="10" spans="1:34" ht="58" x14ac:dyDescent="0.35">
      <c r="A10" s="14" t="s">
        <v>61</v>
      </c>
      <c r="B10" s="14" t="s">
        <v>62</v>
      </c>
      <c r="C10" s="15">
        <v>44510.48333333333</v>
      </c>
      <c r="D10" s="14" t="s">
        <v>63</v>
      </c>
      <c r="E10" s="16" t="s">
        <v>64</v>
      </c>
      <c r="F10" s="14" t="s">
        <v>65</v>
      </c>
      <c r="G10" s="16" t="s">
        <v>66</v>
      </c>
      <c r="H10" s="14" t="s">
        <v>67</v>
      </c>
      <c r="I10" s="16" t="s">
        <v>68</v>
      </c>
      <c r="J10" s="16" t="s">
        <v>69</v>
      </c>
      <c r="K10" s="16" t="s">
        <v>70</v>
      </c>
      <c r="L10" s="14" t="s">
        <v>71</v>
      </c>
      <c r="M10" s="16" t="s">
        <v>72</v>
      </c>
      <c r="N10" s="14" t="s">
        <v>73</v>
      </c>
      <c r="O10" s="16" t="s">
        <v>74</v>
      </c>
      <c r="P10" s="16" t="s">
        <v>74</v>
      </c>
      <c r="Q10" s="16" t="s">
        <v>137</v>
      </c>
      <c r="R10" s="14" t="s">
        <v>138</v>
      </c>
      <c r="S10" s="14" t="s">
        <v>139</v>
      </c>
      <c r="T10" s="14" t="s">
        <v>78</v>
      </c>
      <c r="U10" s="14" t="s">
        <v>117</v>
      </c>
      <c r="V10" s="15">
        <v>44449</v>
      </c>
      <c r="W10" s="15"/>
      <c r="X10" s="16" t="s">
        <v>74</v>
      </c>
      <c r="Y10" s="17"/>
      <c r="Z10" s="18"/>
      <c r="AA10" s="17"/>
      <c r="AB10" s="18"/>
      <c r="AC10" s="17"/>
      <c r="AD10" s="18"/>
      <c r="AE10" s="17"/>
      <c r="AF10" s="18"/>
      <c r="AG10" s="14" t="s">
        <v>74</v>
      </c>
      <c r="AH10" s="16" t="s">
        <v>74</v>
      </c>
    </row>
    <row r="11" spans="1:34" ht="43.5" x14ac:dyDescent="0.35">
      <c r="A11" s="14" t="s">
        <v>61</v>
      </c>
      <c r="B11" s="14" t="s">
        <v>62</v>
      </c>
      <c r="C11" s="15">
        <v>44510.482638888891</v>
      </c>
      <c r="D11" s="14" t="s">
        <v>63</v>
      </c>
      <c r="E11" s="16" t="s">
        <v>64</v>
      </c>
      <c r="F11" s="14" t="s">
        <v>65</v>
      </c>
      <c r="G11" s="16" t="s">
        <v>66</v>
      </c>
      <c r="H11" s="14" t="s">
        <v>67</v>
      </c>
      <c r="I11" s="16" t="s">
        <v>68</v>
      </c>
      <c r="J11" s="16" t="s">
        <v>69</v>
      </c>
      <c r="K11" s="16" t="s">
        <v>70</v>
      </c>
      <c r="L11" s="14" t="s">
        <v>109</v>
      </c>
      <c r="M11" s="16" t="s">
        <v>110</v>
      </c>
      <c r="N11" s="14" t="s">
        <v>111</v>
      </c>
      <c r="O11" s="16" t="s">
        <v>74</v>
      </c>
      <c r="P11" s="16" t="s">
        <v>74</v>
      </c>
      <c r="Q11" s="16" t="s">
        <v>137</v>
      </c>
      <c r="R11" s="14" t="s">
        <v>138</v>
      </c>
      <c r="S11" s="14" t="s">
        <v>139</v>
      </c>
      <c r="T11" s="14" t="s">
        <v>78</v>
      </c>
      <c r="U11" s="14" t="s">
        <v>117</v>
      </c>
      <c r="V11" s="15">
        <v>44449</v>
      </c>
      <c r="W11" s="15"/>
      <c r="X11" s="16" t="s">
        <v>74</v>
      </c>
      <c r="Y11" s="17"/>
      <c r="Z11" s="18"/>
      <c r="AA11" s="17"/>
      <c r="AB11" s="18"/>
      <c r="AC11" s="17"/>
      <c r="AD11" s="18"/>
      <c r="AE11" s="17"/>
      <c r="AF11" s="18"/>
      <c r="AG11" s="14" t="s">
        <v>74</v>
      </c>
      <c r="AH11" s="16" t="s">
        <v>74</v>
      </c>
    </row>
    <row r="12" spans="1:34" ht="58" x14ac:dyDescent="0.35">
      <c r="A12" s="14" t="s">
        <v>61</v>
      </c>
      <c r="B12" s="14" t="s">
        <v>62</v>
      </c>
      <c r="C12" s="15">
        <v>44510.48333333333</v>
      </c>
      <c r="D12" s="14" t="s">
        <v>63</v>
      </c>
      <c r="E12" s="16" t="s">
        <v>64</v>
      </c>
      <c r="F12" s="14" t="s">
        <v>65</v>
      </c>
      <c r="G12" s="16" t="s">
        <v>66</v>
      </c>
      <c r="H12" s="14" t="s">
        <v>67</v>
      </c>
      <c r="I12" s="16" t="s">
        <v>68</v>
      </c>
      <c r="J12" s="16" t="s">
        <v>69</v>
      </c>
      <c r="K12" s="16" t="s">
        <v>70</v>
      </c>
      <c r="L12" s="14" t="s">
        <v>71</v>
      </c>
      <c r="M12" s="16" t="s">
        <v>72</v>
      </c>
      <c r="N12" s="14" t="s">
        <v>73</v>
      </c>
      <c r="O12" s="16" t="s">
        <v>74</v>
      </c>
      <c r="P12" s="16" t="s">
        <v>74</v>
      </c>
      <c r="Q12" s="16" t="s">
        <v>140</v>
      </c>
      <c r="R12" s="14" t="s">
        <v>141</v>
      </c>
      <c r="S12" s="14" t="s">
        <v>142</v>
      </c>
      <c r="T12" s="14" t="s">
        <v>78</v>
      </c>
      <c r="U12" s="14" t="s">
        <v>117</v>
      </c>
      <c r="V12" s="15">
        <v>44449</v>
      </c>
      <c r="W12" s="15"/>
      <c r="X12" s="16" t="s">
        <v>74</v>
      </c>
      <c r="Y12" s="17"/>
      <c r="Z12" s="18"/>
      <c r="AA12" s="17"/>
      <c r="AB12" s="18"/>
      <c r="AC12" s="17"/>
      <c r="AD12" s="18"/>
      <c r="AE12" s="17"/>
      <c r="AF12" s="18"/>
      <c r="AG12" s="14" t="s">
        <v>74</v>
      </c>
      <c r="AH12" s="16" t="s">
        <v>74</v>
      </c>
    </row>
    <row r="13" spans="1:34" ht="43.5" x14ac:dyDescent="0.35">
      <c r="A13" s="14" t="s">
        <v>61</v>
      </c>
      <c r="B13" s="14" t="s">
        <v>62</v>
      </c>
      <c r="C13" s="15">
        <v>44510.482638888891</v>
      </c>
      <c r="D13" s="14" t="s">
        <v>63</v>
      </c>
      <c r="E13" s="16" t="s">
        <v>64</v>
      </c>
      <c r="F13" s="14" t="s">
        <v>65</v>
      </c>
      <c r="G13" s="16" t="s">
        <v>66</v>
      </c>
      <c r="H13" s="14" t="s">
        <v>67</v>
      </c>
      <c r="I13" s="16" t="s">
        <v>68</v>
      </c>
      <c r="J13" s="16" t="s">
        <v>69</v>
      </c>
      <c r="K13" s="16" t="s">
        <v>70</v>
      </c>
      <c r="L13" s="14" t="s">
        <v>109</v>
      </c>
      <c r="M13" s="16" t="s">
        <v>110</v>
      </c>
      <c r="N13" s="14" t="s">
        <v>111</v>
      </c>
      <c r="O13" s="16" t="s">
        <v>74</v>
      </c>
      <c r="P13" s="16" t="s">
        <v>74</v>
      </c>
      <c r="Q13" s="16" t="s">
        <v>140</v>
      </c>
      <c r="R13" s="14" t="s">
        <v>141</v>
      </c>
      <c r="S13" s="14" t="s">
        <v>142</v>
      </c>
      <c r="T13" s="14" t="s">
        <v>78</v>
      </c>
      <c r="U13" s="14" t="s">
        <v>117</v>
      </c>
      <c r="V13" s="15">
        <v>44449</v>
      </c>
      <c r="W13" s="15"/>
      <c r="X13" s="16" t="s">
        <v>74</v>
      </c>
      <c r="Y13" s="17"/>
      <c r="Z13" s="18"/>
      <c r="AA13" s="17"/>
      <c r="AB13" s="18"/>
      <c r="AC13" s="17"/>
      <c r="AD13" s="18"/>
      <c r="AE13" s="17"/>
      <c r="AF13" s="18"/>
      <c r="AG13" s="14" t="s">
        <v>74</v>
      </c>
      <c r="AH13" s="16" t="s">
        <v>74</v>
      </c>
    </row>
    <row r="14" spans="1:34" ht="58" x14ac:dyDescent="0.35">
      <c r="A14" s="14" t="s">
        <v>61</v>
      </c>
      <c r="B14" s="14" t="s">
        <v>62</v>
      </c>
      <c r="C14" s="15">
        <v>44510.484027777777</v>
      </c>
      <c r="D14" s="14" t="s">
        <v>63</v>
      </c>
      <c r="E14" s="16" t="s">
        <v>64</v>
      </c>
      <c r="F14" s="14" t="s">
        <v>65</v>
      </c>
      <c r="G14" s="16" t="s">
        <v>66</v>
      </c>
      <c r="H14" s="14" t="s">
        <v>67</v>
      </c>
      <c r="I14" s="16" t="s">
        <v>68</v>
      </c>
      <c r="J14" s="16" t="s">
        <v>69</v>
      </c>
      <c r="K14" s="16" t="s">
        <v>70</v>
      </c>
      <c r="L14" s="14" t="s">
        <v>71</v>
      </c>
      <c r="M14" s="16" t="s">
        <v>72</v>
      </c>
      <c r="N14" s="14" t="s">
        <v>73</v>
      </c>
      <c r="O14" s="16" t="s">
        <v>74</v>
      </c>
      <c r="P14" s="16" t="s">
        <v>74</v>
      </c>
      <c r="Q14" s="16" t="s">
        <v>143</v>
      </c>
      <c r="R14" s="14" t="s">
        <v>144</v>
      </c>
      <c r="S14" s="14" t="s">
        <v>77</v>
      </c>
      <c r="T14" s="14" t="s">
        <v>145</v>
      </c>
      <c r="U14" s="14" t="s">
        <v>79</v>
      </c>
      <c r="V14" s="15">
        <v>44449</v>
      </c>
      <c r="W14" s="15"/>
      <c r="X14" s="16" t="s">
        <v>74</v>
      </c>
      <c r="Y14" s="17"/>
      <c r="Z14" s="18"/>
      <c r="AA14" s="17"/>
      <c r="AB14" s="18"/>
      <c r="AC14" s="17"/>
      <c r="AD14" s="18"/>
      <c r="AE14" s="17"/>
      <c r="AF14" s="18"/>
      <c r="AG14" s="14" t="s">
        <v>74</v>
      </c>
      <c r="AH14" s="16" t="s">
        <v>74</v>
      </c>
    </row>
    <row r="15" spans="1:34" ht="43.5" x14ac:dyDescent="0.35">
      <c r="A15" s="14" t="s">
        <v>61</v>
      </c>
      <c r="B15" s="14" t="s">
        <v>62</v>
      </c>
      <c r="C15" s="15">
        <v>44510.484027777777</v>
      </c>
      <c r="D15" s="14" t="s">
        <v>63</v>
      </c>
      <c r="E15" s="16" t="s">
        <v>64</v>
      </c>
      <c r="F15" s="14" t="s">
        <v>65</v>
      </c>
      <c r="G15" s="16" t="s">
        <v>66</v>
      </c>
      <c r="H15" s="14" t="s">
        <v>67</v>
      </c>
      <c r="I15" s="16" t="s">
        <v>68</v>
      </c>
      <c r="J15" s="16" t="s">
        <v>69</v>
      </c>
      <c r="K15" s="16" t="s">
        <v>70</v>
      </c>
      <c r="L15" s="14" t="s">
        <v>109</v>
      </c>
      <c r="M15" s="16" t="s">
        <v>110</v>
      </c>
      <c r="N15" s="14" t="s">
        <v>111</v>
      </c>
      <c r="O15" s="16" t="s">
        <v>74</v>
      </c>
      <c r="P15" s="16" t="s">
        <v>74</v>
      </c>
      <c r="Q15" s="16" t="s">
        <v>143</v>
      </c>
      <c r="R15" s="14" t="s">
        <v>144</v>
      </c>
      <c r="S15" s="14" t="s">
        <v>77</v>
      </c>
      <c r="T15" s="14" t="s">
        <v>145</v>
      </c>
      <c r="U15" s="14" t="s">
        <v>79</v>
      </c>
      <c r="V15" s="15">
        <v>44449</v>
      </c>
      <c r="W15" s="15"/>
      <c r="X15" s="16" t="s">
        <v>74</v>
      </c>
      <c r="Y15" s="17"/>
      <c r="Z15" s="18"/>
      <c r="AA15" s="17"/>
      <c r="AB15" s="18"/>
      <c r="AC15" s="17"/>
      <c r="AD15" s="18"/>
      <c r="AE15" s="17"/>
      <c r="AF15" s="18"/>
      <c r="AG15" s="14" t="s">
        <v>74</v>
      </c>
      <c r="AH15" s="16" t="s">
        <v>74</v>
      </c>
    </row>
    <row r="16" spans="1:34" ht="58" x14ac:dyDescent="0.35">
      <c r="A16" s="14" t="s">
        <v>61</v>
      </c>
      <c r="B16" s="14" t="s">
        <v>62</v>
      </c>
      <c r="C16" s="15">
        <v>44510.484027777777</v>
      </c>
      <c r="D16" s="14" t="s">
        <v>63</v>
      </c>
      <c r="E16" s="16" t="s">
        <v>64</v>
      </c>
      <c r="F16" s="14" t="s">
        <v>65</v>
      </c>
      <c r="G16" s="16" t="s">
        <v>66</v>
      </c>
      <c r="H16" s="14" t="s">
        <v>67</v>
      </c>
      <c r="I16" s="16" t="s">
        <v>68</v>
      </c>
      <c r="J16" s="16" t="s">
        <v>69</v>
      </c>
      <c r="K16" s="16" t="s">
        <v>70</v>
      </c>
      <c r="L16" s="14" t="s">
        <v>71</v>
      </c>
      <c r="M16" s="16" t="s">
        <v>72</v>
      </c>
      <c r="N16" s="14" t="s">
        <v>73</v>
      </c>
      <c r="O16" s="16" t="s">
        <v>74</v>
      </c>
      <c r="P16" s="16" t="s">
        <v>74</v>
      </c>
      <c r="Q16" s="16" t="s">
        <v>153</v>
      </c>
      <c r="R16" s="14" t="s">
        <v>154</v>
      </c>
      <c r="S16" s="14" t="s">
        <v>120</v>
      </c>
      <c r="T16" s="14" t="s">
        <v>145</v>
      </c>
      <c r="U16" s="14" t="s">
        <v>79</v>
      </c>
      <c r="V16" s="15">
        <v>44449</v>
      </c>
      <c r="W16" s="15"/>
      <c r="X16" s="16" t="s">
        <v>74</v>
      </c>
      <c r="Y16" s="17"/>
      <c r="Z16" s="18"/>
      <c r="AA16" s="17"/>
      <c r="AB16" s="18"/>
      <c r="AC16" s="17"/>
      <c r="AD16" s="18"/>
      <c r="AE16" s="17"/>
      <c r="AF16" s="18"/>
      <c r="AG16" s="14" t="s">
        <v>74</v>
      </c>
      <c r="AH16" s="16" t="s">
        <v>74</v>
      </c>
    </row>
    <row r="17" spans="1:34" ht="43.5" x14ac:dyDescent="0.35">
      <c r="A17" s="14" t="s">
        <v>61</v>
      </c>
      <c r="B17" s="14" t="s">
        <v>62</v>
      </c>
      <c r="C17" s="15">
        <v>44510.484722222223</v>
      </c>
      <c r="D17" s="14" t="s">
        <v>63</v>
      </c>
      <c r="E17" s="16" t="s">
        <v>64</v>
      </c>
      <c r="F17" s="14" t="s">
        <v>65</v>
      </c>
      <c r="G17" s="16" t="s">
        <v>66</v>
      </c>
      <c r="H17" s="14" t="s">
        <v>67</v>
      </c>
      <c r="I17" s="16" t="s">
        <v>68</v>
      </c>
      <c r="J17" s="16" t="s">
        <v>69</v>
      </c>
      <c r="K17" s="16" t="s">
        <v>70</v>
      </c>
      <c r="L17" s="14" t="s">
        <v>109</v>
      </c>
      <c r="M17" s="16" t="s">
        <v>110</v>
      </c>
      <c r="N17" s="14" t="s">
        <v>111</v>
      </c>
      <c r="O17" s="16" t="s">
        <v>74</v>
      </c>
      <c r="P17" s="16" t="s">
        <v>74</v>
      </c>
      <c r="Q17" s="16" t="s">
        <v>153</v>
      </c>
      <c r="R17" s="14" t="s">
        <v>154</v>
      </c>
      <c r="S17" s="14" t="s">
        <v>120</v>
      </c>
      <c r="T17" s="14" t="s">
        <v>145</v>
      </c>
      <c r="U17" s="14" t="s">
        <v>79</v>
      </c>
      <c r="V17" s="15">
        <v>44449</v>
      </c>
      <c r="W17" s="15"/>
      <c r="X17" s="16" t="s">
        <v>74</v>
      </c>
      <c r="Y17" s="17"/>
      <c r="Z17" s="18"/>
      <c r="AA17" s="17"/>
      <c r="AB17" s="18"/>
      <c r="AC17" s="17"/>
      <c r="AD17" s="18"/>
      <c r="AE17" s="17"/>
      <c r="AF17" s="18"/>
      <c r="AG17" s="14" t="s">
        <v>74</v>
      </c>
      <c r="AH17" s="16" t="s">
        <v>74</v>
      </c>
    </row>
    <row r="18" spans="1:34" ht="58" x14ac:dyDescent="0.35">
      <c r="A18" s="14" t="s">
        <v>113</v>
      </c>
      <c r="B18" s="14" t="s">
        <v>62</v>
      </c>
      <c r="C18" s="15">
        <v>44834.61041666667</v>
      </c>
      <c r="D18" s="14" t="s">
        <v>63</v>
      </c>
      <c r="E18" s="16" t="s">
        <v>64</v>
      </c>
      <c r="F18" s="14" t="s">
        <v>65</v>
      </c>
      <c r="G18" s="16" t="s">
        <v>66</v>
      </c>
      <c r="H18" s="14" t="s">
        <v>67</v>
      </c>
      <c r="I18" s="16" t="s">
        <v>68</v>
      </c>
      <c r="J18" s="16" t="s">
        <v>69</v>
      </c>
      <c r="K18" s="16" t="s">
        <v>70</v>
      </c>
      <c r="L18" s="14" t="s">
        <v>71</v>
      </c>
      <c r="M18" s="16" t="s">
        <v>72</v>
      </c>
      <c r="N18" s="14" t="s">
        <v>73</v>
      </c>
      <c r="O18" s="16" t="s">
        <v>74</v>
      </c>
      <c r="P18" s="16" t="s">
        <v>74</v>
      </c>
      <c r="Q18" s="16" t="s">
        <v>162</v>
      </c>
      <c r="R18" s="14" t="s">
        <v>163</v>
      </c>
      <c r="S18" s="14" t="s">
        <v>120</v>
      </c>
      <c r="T18" s="14" t="s">
        <v>145</v>
      </c>
      <c r="U18" s="14" t="s">
        <v>117</v>
      </c>
      <c r="V18" s="15">
        <v>44678</v>
      </c>
      <c r="W18" s="15"/>
      <c r="X18" s="16" t="s">
        <v>74</v>
      </c>
      <c r="Y18" s="17"/>
      <c r="Z18" s="18"/>
      <c r="AA18" s="17"/>
      <c r="AB18" s="18"/>
      <c r="AC18" s="17"/>
      <c r="AD18" s="18"/>
      <c r="AE18" s="17"/>
      <c r="AF18" s="18"/>
      <c r="AG18" s="14" t="s">
        <v>74</v>
      </c>
      <c r="AH18" s="16" t="s">
        <v>74</v>
      </c>
    </row>
    <row r="19" spans="1:34" ht="43.5" x14ac:dyDescent="0.35">
      <c r="A19" s="14" t="s">
        <v>113</v>
      </c>
      <c r="B19" s="14" t="s">
        <v>62</v>
      </c>
      <c r="C19" s="15">
        <v>44839.354861111111</v>
      </c>
      <c r="D19" s="14" t="s">
        <v>63</v>
      </c>
      <c r="E19" s="16" t="s">
        <v>64</v>
      </c>
      <c r="F19" s="14" t="s">
        <v>65</v>
      </c>
      <c r="G19" s="16" t="s">
        <v>66</v>
      </c>
      <c r="H19" s="14" t="s">
        <v>67</v>
      </c>
      <c r="I19" s="16" t="s">
        <v>68</v>
      </c>
      <c r="J19" s="16" t="s">
        <v>69</v>
      </c>
      <c r="K19" s="16" t="s">
        <v>70</v>
      </c>
      <c r="L19" s="14" t="s">
        <v>109</v>
      </c>
      <c r="M19" s="16" t="s">
        <v>110</v>
      </c>
      <c r="N19" s="14" t="s">
        <v>111</v>
      </c>
      <c r="O19" s="16" t="s">
        <v>74</v>
      </c>
      <c r="P19" s="16" t="s">
        <v>74</v>
      </c>
      <c r="Q19" s="16" t="s">
        <v>162</v>
      </c>
      <c r="R19" s="14" t="s">
        <v>163</v>
      </c>
      <c r="S19" s="14" t="s">
        <v>120</v>
      </c>
      <c r="T19" s="14" t="s">
        <v>145</v>
      </c>
      <c r="U19" s="14" t="s">
        <v>117</v>
      </c>
      <c r="V19" s="15">
        <v>44678</v>
      </c>
      <c r="W19" s="15"/>
      <c r="X19" s="16" t="s">
        <v>74</v>
      </c>
      <c r="Y19" s="17"/>
      <c r="Z19" s="18"/>
      <c r="AA19" s="17"/>
      <c r="AB19" s="18"/>
      <c r="AC19" s="17"/>
      <c r="AD19" s="18"/>
      <c r="AE19" s="17"/>
      <c r="AF19" s="18"/>
      <c r="AG19" s="14" t="s">
        <v>74</v>
      </c>
      <c r="AH19" s="16" t="s">
        <v>74</v>
      </c>
    </row>
    <row r="20" spans="1:34" ht="58" x14ac:dyDescent="0.35">
      <c r="A20" s="14" t="s">
        <v>113</v>
      </c>
      <c r="B20" s="14" t="s">
        <v>62</v>
      </c>
      <c r="C20" s="15">
        <v>44834.611111111109</v>
      </c>
      <c r="D20" s="14" t="s">
        <v>63</v>
      </c>
      <c r="E20" s="16" t="s">
        <v>64</v>
      </c>
      <c r="F20" s="14" t="s">
        <v>65</v>
      </c>
      <c r="G20" s="16" t="s">
        <v>66</v>
      </c>
      <c r="H20" s="14" t="s">
        <v>67</v>
      </c>
      <c r="I20" s="16" t="s">
        <v>68</v>
      </c>
      <c r="J20" s="16" t="s">
        <v>69</v>
      </c>
      <c r="K20" s="16" t="s">
        <v>70</v>
      </c>
      <c r="L20" s="14" t="s">
        <v>71</v>
      </c>
      <c r="M20" s="16" t="s">
        <v>72</v>
      </c>
      <c r="N20" s="14" t="s">
        <v>73</v>
      </c>
      <c r="O20" s="16" t="s">
        <v>74</v>
      </c>
      <c r="P20" s="16" t="s">
        <v>74</v>
      </c>
      <c r="Q20" s="16" t="s">
        <v>164</v>
      </c>
      <c r="R20" s="14" t="s">
        <v>165</v>
      </c>
      <c r="S20" s="14" t="s">
        <v>120</v>
      </c>
      <c r="T20" s="14" t="s">
        <v>145</v>
      </c>
      <c r="U20" s="14" t="s">
        <v>117</v>
      </c>
      <c r="V20" s="15">
        <v>44678</v>
      </c>
      <c r="W20" s="15"/>
      <c r="X20" s="16" t="s">
        <v>74</v>
      </c>
      <c r="Y20" s="17"/>
      <c r="Z20" s="18"/>
      <c r="AA20" s="17"/>
      <c r="AB20" s="18"/>
      <c r="AC20" s="17"/>
      <c r="AD20" s="18"/>
      <c r="AE20" s="17"/>
      <c r="AF20" s="18"/>
      <c r="AG20" s="14" t="s">
        <v>74</v>
      </c>
      <c r="AH20" s="16" t="s">
        <v>74</v>
      </c>
    </row>
    <row r="21" spans="1:34" ht="43.5" x14ac:dyDescent="0.35">
      <c r="A21" s="14" t="s">
        <v>113</v>
      </c>
      <c r="B21" s="14" t="s">
        <v>62</v>
      </c>
      <c r="C21" s="15">
        <v>44839.354861111111</v>
      </c>
      <c r="D21" s="14" t="s">
        <v>63</v>
      </c>
      <c r="E21" s="16" t="s">
        <v>64</v>
      </c>
      <c r="F21" s="14" t="s">
        <v>65</v>
      </c>
      <c r="G21" s="16" t="s">
        <v>66</v>
      </c>
      <c r="H21" s="14" t="s">
        <v>67</v>
      </c>
      <c r="I21" s="16" t="s">
        <v>68</v>
      </c>
      <c r="J21" s="16" t="s">
        <v>69</v>
      </c>
      <c r="K21" s="16" t="s">
        <v>70</v>
      </c>
      <c r="L21" s="14" t="s">
        <v>109</v>
      </c>
      <c r="M21" s="16" t="s">
        <v>110</v>
      </c>
      <c r="N21" s="14" t="s">
        <v>111</v>
      </c>
      <c r="O21" s="16" t="s">
        <v>74</v>
      </c>
      <c r="P21" s="16" t="s">
        <v>74</v>
      </c>
      <c r="Q21" s="16" t="s">
        <v>164</v>
      </c>
      <c r="R21" s="14" t="s">
        <v>165</v>
      </c>
      <c r="S21" s="14" t="s">
        <v>120</v>
      </c>
      <c r="T21" s="14" t="s">
        <v>145</v>
      </c>
      <c r="U21" s="14" t="s">
        <v>117</v>
      </c>
      <c r="V21" s="15">
        <v>44678</v>
      </c>
      <c r="W21" s="15"/>
      <c r="X21" s="16" t="s">
        <v>74</v>
      </c>
      <c r="Y21" s="17"/>
      <c r="Z21" s="18"/>
      <c r="AA21" s="17"/>
      <c r="AB21" s="18"/>
      <c r="AC21" s="17"/>
      <c r="AD21" s="18"/>
      <c r="AE21" s="17"/>
      <c r="AF21" s="18"/>
      <c r="AG21" s="14" t="s">
        <v>74</v>
      </c>
      <c r="AH21" s="16" t="s">
        <v>74</v>
      </c>
    </row>
    <row r="22" spans="1:34" ht="58" x14ac:dyDescent="0.35">
      <c r="A22" s="14" t="s">
        <v>113</v>
      </c>
      <c r="B22" s="14" t="s">
        <v>62</v>
      </c>
      <c r="C22" s="15">
        <v>44834.611111111109</v>
      </c>
      <c r="D22" s="14" t="s">
        <v>63</v>
      </c>
      <c r="E22" s="16" t="s">
        <v>64</v>
      </c>
      <c r="F22" s="14" t="s">
        <v>65</v>
      </c>
      <c r="G22" s="16" t="s">
        <v>66</v>
      </c>
      <c r="H22" s="14" t="s">
        <v>67</v>
      </c>
      <c r="I22" s="16" t="s">
        <v>68</v>
      </c>
      <c r="J22" s="16" t="s">
        <v>69</v>
      </c>
      <c r="K22" s="16" t="s">
        <v>70</v>
      </c>
      <c r="L22" s="14" t="s">
        <v>71</v>
      </c>
      <c r="M22" s="16" t="s">
        <v>72</v>
      </c>
      <c r="N22" s="14" t="s">
        <v>73</v>
      </c>
      <c r="O22" s="16" t="s">
        <v>74</v>
      </c>
      <c r="P22" s="16" t="s">
        <v>74</v>
      </c>
      <c r="Q22" s="16" t="s">
        <v>166</v>
      </c>
      <c r="R22" s="14" t="s">
        <v>167</v>
      </c>
      <c r="S22" s="14" t="s">
        <v>120</v>
      </c>
      <c r="T22" s="14" t="s">
        <v>145</v>
      </c>
      <c r="U22" s="14" t="s">
        <v>117</v>
      </c>
      <c r="V22" s="15">
        <v>44678</v>
      </c>
      <c r="W22" s="15"/>
      <c r="X22" s="16" t="s">
        <v>74</v>
      </c>
      <c r="Y22" s="17"/>
      <c r="Z22" s="18"/>
      <c r="AA22" s="17"/>
      <c r="AB22" s="18"/>
      <c r="AC22" s="17"/>
      <c r="AD22" s="18"/>
      <c r="AE22" s="17"/>
      <c r="AF22" s="18"/>
      <c r="AG22" s="14" t="s">
        <v>74</v>
      </c>
      <c r="AH22" s="16" t="s">
        <v>74</v>
      </c>
    </row>
    <row r="23" spans="1:34" ht="58" x14ac:dyDescent="0.35">
      <c r="A23" s="14" t="s">
        <v>113</v>
      </c>
      <c r="B23" s="14" t="s">
        <v>62</v>
      </c>
      <c r="C23" s="15">
        <v>44839.356249999997</v>
      </c>
      <c r="D23" s="14" t="s">
        <v>63</v>
      </c>
      <c r="E23" s="16" t="s">
        <v>64</v>
      </c>
      <c r="F23" s="14" t="s">
        <v>65</v>
      </c>
      <c r="G23" s="16" t="s">
        <v>66</v>
      </c>
      <c r="H23" s="14" t="s">
        <v>67</v>
      </c>
      <c r="I23" s="16" t="s">
        <v>68</v>
      </c>
      <c r="J23" s="16" t="s">
        <v>69</v>
      </c>
      <c r="K23" s="16" t="s">
        <v>70</v>
      </c>
      <c r="L23" s="14" t="s">
        <v>109</v>
      </c>
      <c r="M23" s="16" t="s">
        <v>110</v>
      </c>
      <c r="N23" s="14" t="s">
        <v>111</v>
      </c>
      <c r="O23" s="16" t="s">
        <v>74</v>
      </c>
      <c r="P23" s="16" t="s">
        <v>74</v>
      </c>
      <c r="Q23" s="16" t="s">
        <v>166</v>
      </c>
      <c r="R23" s="14" t="s">
        <v>167</v>
      </c>
      <c r="S23" s="14" t="s">
        <v>120</v>
      </c>
      <c r="T23" s="14" t="s">
        <v>145</v>
      </c>
      <c r="U23" s="14" t="s">
        <v>117</v>
      </c>
      <c r="V23" s="15">
        <v>44678</v>
      </c>
      <c r="W23" s="15"/>
      <c r="X23" s="16" t="s">
        <v>74</v>
      </c>
      <c r="Y23" s="17"/>
      <c r="Z23" s="18"/>
      <c r="AA23" s="17"/>
      <c r="AB23" s="18"/>
      <c r="AC23" s="17"/>
      <c r="AD23" s="18"/>
      <c r="AE23" s="17"/>
      <c r="AF23" s="18"/>
      <c r="AG23" s="14" t="s">
        <v>74</v>
      </c>
      <c r="AH23" s="16" t="s">
        <v>74</v>
      </c>
    </row>
    <row r="24" spans="1:34" ht="58" x14ac:dyDescent="0.35">
      <c r="A24" s="14" t="s">
        <v>61</v>
      </c>
      <c r="B24" s="14" t="s">
        <v>62</v>
      </c>
      <c r="C24" s="15">
        <v>44510.484027777777</v>
      </c>
      <c r="D24" s="14" t="s">
        <v>63</v>
      </c>
      <c r="E24" s="16" t="s">
        <v>64</v>
      </c>
      <c r="F24" s="14" t="s">
        <v>65</v>
      </c>
      <c r="G24" s="16" t="s">
        <v>66</v>
      </c>
      <c r="H24" s="14" t="s">
        <v>67</v>
      </c>
      <c r="I24" s="16" t="s">
        <v>68</v>
      </c>
      <c r="J24" s="16" t="s">
        <v>69</v>
      </c>
      <c r="K24" s="16" t="s">
        <v>70</v>
      </c>
      <c r="L24" s="14" t="s">
        <v>71</v>
      </c>
      <c r="M24" s="16" t="s">
        <v>72</v>
      </c>
      <c r="N24" s="14" t="s">
        <v>73</v>
      </c>
      <c r="O24" s="16" t="s">
        <v>74</v>
      </c>
      <c r="P24" s="16" t="s">
        <v>74</v>
      </c>
      <c r="Q24" s="16" t="s">
        <v>168</v>
      </c>
      <c r="R24" s="14" t="s">
        <v>169</v>
      </c>
      <c r="S24" s="14" t="s">
        <v>120</v>
      </c>
      <c r="T24" s="14" t="s">
        <v>145</v>
      </c>
      <c r="U24" s="14" t="s">
        <v>79</v>
      </c>
      <c r="V24" s="15">
        <v>44449</v>
      </c>
      <c r="W24" s="15"/>
      <c r="X24" s="16" t="s">
        <v>74</v>
      </c>
      <c r="Y24" s="17"/>
      <c r="Z24" s="18"/>
      <c r="AA24" s="17"/>
      <c r="AB24" s="18"/>
      <c r="AC24" s="17"/>
      <c r="AD24" s="18"/>
      <c r="AE24" s="17"/>
      <c r="AF24" s="18"/>
      <c r="AG24" s="14" t="s">
        <v>74</v>
      </c>
      <c r="AH24" s="16" t="s">
        <v>74</v>
      </c>
    </row>
    <row r="25" spans="1:34" ht="58" x14ac:dyDescent="0.35">
      <c r="A25" s="14" t="s">
        <v>61</v>
      </c>
      <c r="B25" s="14" t="s">
        <v>62</v>
      </c>
      <c r="C25" s="15">
        <v>44839.387499999997</v>
      </c>
      <c r="D25" s="14" t="s">
        <v>63</v>
      </c>
      <c r="E25" s="16" t="s">
        <v>64</v>
      </c>
      <c r="F25" s="14" t="s">
        <v>65</v>
      </c>
      <c r="G25" s="16" t="s">
        <v>66</v>
      </c>
      <c r="H25" s="14" t="s">
        <v>67</v>
      </c>
      <c r="I25" s="16" t="s">
        <v>68</v>
      </c>
      <c r="J25" s="16" t="s">
        <v>69</v>
      </c>
      <c r="K25" s="16" t="s">
        <v>70</v>
      </c>
      <c r="L25" s="14" t="s">
        <v>109</v>
      </c>
      <c r="M25" s="16" t="s">
        <v>110</v>
      </c>
      <c r="N25" s="14" t="s">
        <v>111</v>
      </c>
      <c r="O25" s="16" t="s">
        <v>74</v>
      </c>
      <c r="P25" s="16" t="s">
        <v>74</v>
      </c>
      <c r="Q25" s="16" t="s">
        <v>168</v>
      </c>
      <c r="R25" s="14" t="s">
        <v>169</v>
      </c>
      <c r="S25" s="14" t="s">
        <v>120</v>
      </c>
      <c r="T25" s="14" t="s">
        <v>145</v>
      </c>
      <c r="U25" s="14" t="s">
        <v>79</v>
      </c>
      <c r="V25" s="15">
        <v>44449</v>
      </c>
      <c r="W25" s="15"/>
      <c r="X25" s="16" t="s">
        <v>74</v>
      </c>
      <c r="Y25" s="17"/>
      <c r="Z25" s="18"/>
      <c r="AA25" s="17"/>
      <c r="AB25" s="18"/>
      <c r="AC25" s="17"/>
      <c r="AD25" s="18"/>
      <c r="AE25" s="17"/>
      <c r="AF25" s="18"/>
      <c r="AG25" s="14" t="s">
        <v>74</v>
      </c>
      <c r="AH25" s="16" t="s">
        <v>74</v>
      </c>
    </row>
    <row r="26" spans="1:34" ht="43.5" x14ac:dyDescent="0.35">
      <c r="A26" s="14" t="s">
        <v>113</v>
      </c>
      <c r="B26" s="14" t="s">
        <v>62</v>
      </c>
      <c r="C26" s="15">
        <v>44852.402777777781</v>
      </c>
      <c r="D26" s="14" t="s">
        <v>63</v>
      </c>
      <c r="E26" s="16" t="s">
        <v>64</v>
      </c>
      <c r="F26" s="14" t="s">
        <v>65</v>
      </c>
      <c r="G26" s="16" t="s">
        <v>66</v>
      </c>
      <c r="H26" s="14" t="s">
        <v>177</v>
      </c>
      <c r="I26" s="16" t="s">
        <v>178</v>
      </c>
      <c r="J26" s="16" t="s">
        <v>179</v>
      </c>
      <c r="K26" s="16" t="s">
        <v>180</v>
      </c>
      <c r="L26" s="14" t="s">
        <v>181</v>
      </c>
      <c r="M26" s="16" t="s">
        <v>182</v>
      </c>
      <c r="N26" s="14" t="s">
        <v>73</v>
      </c>
      <c r="O26" s="16" t="s">
        <v>74</v>
      </c>
      <c r="P26" s="16" t="s">
        <v>74</v>
      </c>
      <c r="Q26" s="16" t="s">
        <v>75</v>
      </c>
      <c r="R26" s="14" t="s">
        <v>76</v>
      </c>
      <c r="S26" s="14" t="s">
        <v>77</v>
      </c>
      <c r="T26" s="14" t="s">
        <v>78</v>
      </c>
      <c r="U26" s="14" t="s">
        <v>79</v>
      </c>
      <c r="V26" s="15">
        <v>40725</v>
      </c>
      <c r="W26" s="15"/>
      <c r="X26" s="16" t="s">
        <v>74</v>
      </c>
      <c r="Y26" s="17"/>
      <c r="Z26" s="18"/>
      <c r="AA26" s="17"/>
      <c r="AB26" s="18"/>
      <c r="AC26" s="17"/>
      <c r="AD26" s="18"/>
      <c r="AE26" s="17"/>
      <c r="AF26" s="18"/>
      <c r="AG26" s="14" t="s">
        <v>74</v>
      </c>
      <c r="AH26" s="16" t="s">
        <v>74</v>
      </c>
    </row>
    <row r="27" spans="1:34" ht="43.5" x14ac:dyDescent="0.35">
      <c r="A27" s="14" t="s">
        <v>113</v>
      </c>
      <c r="B27" s="14" t="s">
        <v>62</v>
      </c>
      <c r="C27" s="15">
        <v>44852.463888888888</v>
      </c>
      <c r="D27" s="14" t="s">
        <v>63</v>
      </c>
      <c r="E27" s="16" t="s">
        <v>64</v>
      </c>
      <c r="F27" s="14" t="s">
        <v>65</v>
      </c>
      <c r="G27" s="16" t="s">
        <v>66</v>
      </c>
      <c r="H27" s="14" t="s">
        <v>177</v>
      </c>
      <c r="I27" s="16" t="s">
        <v>178</v>
      </c>
      <c r="J27" s="16" t="s">
        <v>179</v>
      </c>
      <c r="K27" s="16" t="s">
        <v>180</v>
      </c>
      <c r="L27" s="14" t="s">
        <v>191</v>
      </c>
      <c r="M27" s="16" t="s">
        <v>192</v>
      </c>
      <c r="N27" s="14" t="s">
        <v>111</v>
      </c>
      <c r="O27" s="16" t="s">
        <v>74</v>
      </c>
      <c r="P27" s="16" t="s">
        <v>74</v>
      </c>
      <c r="Q27" s="16" t="s">
        <v>75</v>
      </c>
      <c r="R27" s="14" t="s">
        <v>76</v>
      </c>
      <c r="S27" s="14" t="s">
        <v>77</v>
      </c>
      <c r="T27" s="14" t="s">
        <v>78</v>
      </c>
      <c r="U27" s="14" t="s">
        <v>79</v>
      </c>
      <c r="V27" s="15">
        <v>40725</v>
      </c>
      <c r="W27" s="15"/>
      <c r="X27" s="16" t="s">
        <v>74</v>
      </c>
      <c r="Y27" s="17"/>
      <c r="Z27" s="18"/>
      <c r="AA27" s="17"/>
      <c r="AB27" s="18"/>
      <c r="AC27" s="17"/>
      <c r="AD27" s="18"/>
      <c r="AE27" s="17"/>
      <c r="AF27" s="18"/>
      <c r="AG27" s="14" t="s">
        <v>74</v>
      </c>
      <c r="AH27" s="16" t="s">
        <v>74</v>
      </c>
    </row>
    <row r="28" spans="1:34" ht="43.5" x14ac:dyDescent="0.35">
      <c r="A28" s="14" t="s">
        <v>113</v>
      </c>
      <c r="B28" s="14" t="s">
        <v>62</v>
      </c>
      <c r="C28" s="15">
        <v>44886.494444444441</v>
      </c>
      <c r="D28" s="14" t="s">
        <v>63</v>
      </c>
      <c r="E28" s="16" t="s">
        <v>64</v>
      </c>
      <c r="F28" s="14" t="s">
        <v>65</v>
      </c>
      <c r="G28" s="16" t="s">
        <v>66</v>
      </c>
      <c r="H28" s="14" t="s">
        <v>177</v>
      </c>
      <c r="I28" s="16" t="s">
        <v>178</v>
      </c>
      <c r="J28" s="16" t="s">
        <v>179</v>
      </c>
      <c r="K28" s="16" t="s">
        <v>180</v>
      </c>
      <c r="L28" s="14" t="s">
        <v>181</v>
      </c>
      <c r="M28" s="16" t="s">
        <v>182</v>
      </c>
      <c r="N28" s="14" t="s">
        <v>73</v>
      </c>
      <c r="O28" s="16" t="s">
        <v>74</v>
      </c>
      <c r="P28" s="16" t="s">
        <v>74</v>
      </c>
      <c r="Q28" s="16" t="s">
        <v>114</v>
      </c>
      <c r="R28" s="14" t="s">
        <v>115</v>
      </c>
      <c r="S28" s="14" t="s">
        <v>116</v>
      </c>
      <c r="T28" s="14" t="s">
        <v>78</v>
      </c>
      <c r="U28" s="14" t="s">
        <v>117</v>
      </c>
      <c r="V28" s="15">
        <v>43831</v>
      </c>
      <c r="W28" s="15"/>
      <c r="X28" s="16" t="s">
        <v>74</v>
      </c>
      <c r="Y28" s="17"/>
      <c r="Z28" s="18"/>
      <c r="AA28" s="17"/>
      <c r="AB28" s="18"/>
      <c r="AC28" s="17"/>
      <c r="AD28" s="18"/>
      <c r="AE28" s="17"/>
      <c r="AF28" s="18"/>
      <c r="AG28" s="14" t="s">
        <v>74</v>
      </c>
      <c r="AH28" s="16" t="s">
        <v>74</v>
      </c>
    </row>
    <row r="29" spans="1:34" ht="43.5" x14ac:dyDescent="0.35">
      <c r="A29" s="14" t="s">
        <v>113</v>
      </c>
      <c r="B29" s="14" t="s">
        <v>62</v>
      </c>
      <c r="C29" s="15">
        <v>44886.494444444441</v>
      </c>
      <c r="D29" s="14" t="s">
        <v>63</v>
      </c>
      <c r="E29" s="16" t="s">
        <v>64</v>
      </c>
      <c r="F29" s="14" t="s">
        <v>65</v>
      </c>
      <c r="G29" s="16" t="s">
        <v>66</v>
      </c>
      <c r="H29" s="14" t="s">
        <v>177</v>
      </c>
      <c r="I29" s="16" t="s">
        <v>178</v>
      </c>
      <c r="J29" s="16" t="s">
        <v>179</v>
      </c>
      <c r="K29" s="16" t="s">
        <v>180</v>
      </c>
      <c r="L29" s="14" t="s">
        <v>191</v>
      </c>
      <c r="M29" s="16" t="s">
        <v>192</v>
      </c>
      <c r="N29" s="14" t="s">
        <v>111</v>
      </c>
      <c r="O29" s="16" t="s">
        <v>74</v>
      </c>
      <c r="P29" s="16" t="s">
        <v>74</v>
      </c>
      <c r="Q29" s="16" t="s">
        <v>114</v>
      </c>
      <c r="R29" s="14" t="s">
        <v>115</v>
      </c>
      <c r="S29" s="14" t="s">
        <v>116</v>
      </c>
      <c r="T29" s="14" t="s">
        <v>78</v>
      </c>
      <c r="U29" s="14" t="s">
        <v>117</v>
      </c>
      <c r="V29" s="15">
        <v>43831</v>
      </c>
      <c r="W29" s="15"/>
      <c r="X29" s="16" t="s">
        <v>74</v>
      </c>
      <c r="Y29" s="17"/>
      <c r="Z29" s="18"/>
      <c r="AA29" s="17"/>
      <c r="AB29" s="18"/>
      <c r="AC29" s="17"/>
      <c r="AD29" s="18"/>
      <c r="AE29" s="17"/>
      <c r="AF29" s="18"/>
      <c r="AG29" s="14" t="s">
        <v>74</v>
      </c>
      <c r="AH29" s="16" t="s">
        <v>74</v>
      </c>
    </row>
    <row r="30" spans="1:34" ht="43.5" x14ac:dyDescent="0.35">
      <c r="A30" s="14" t="s">
        <v>113</v>
      </c>
      <c r="B30" s="14" t="s">
        <v>116</v>
      </c>
      <c r="C30" s="15">
        <v>44855.435416666667</v>
      </c>
      <c r="D30" s="14" t="s">
        <v>63</v>
      </c>
      <c r="E30" s="16" t="s">
        <v>64</v>
      </c>
      <c r="F30" s="14" t="s">
        <v>65</v>
      </c>
      <c r="G30" s="16" t="s">
        <v>66</v>
      </c>
      <c r="H30" s="14" t="s">
        <v>177</v>
      </c>
      <c r="I30" s="16" t="s">
        <v>178</v>
      </c>
      <c r="J30" s="16" t="s">
        <v>179</v>
      </c>
      <c r="K30" s="16" t="s">
        <v>180</v>
      </c>
      <c r="L30" s="14" t="s">
        <v>181</v>
      </c>
      <c r="M30" s="16" t="s">
        <v>182</v>
      </c>
      <c r="N30" s="14" t="s">
        <v>73</v>
      </c>
      <c r="O30" s="16" t="s">
        <v>74</v>
      </c>
      <c r="P30" s="16" t="s">
        <v>74</v>
      </c>
      <c r="Q30" s="16" t="s">
        <v>118</v>
      </c>
      <c r="R30" s="14" t="s">
        <v>119</v>
      </c>
      <c r="S30" s="14" t="s">
        <v>120</v>
      </c>
      <c r="T30" s="14" t="s">
        <v>78</v>
      </c>
      <c r="U30" s="14" t="s">
        <v>79</v>
      </c>
      <c r="V30" s="15">
        <v>40725</v>
      </c>
      <c r="W30" s="15"/>
      <c r="X30" s="16" t="s">
        <v>352</v>
      </c>
      <c r="Y30" s="17" t="s">
        <v>353</v>
      </c>
      <c r="Z30" s="18" t="str">
        <f>VLOOKUP(Y30,'Axe 2 Règles de gestion'!$D$2:$F$125,3, FALSE)</f>
        <v>Rémunération : L'agent continue de percevoir sa rémunération.</v>
      </c>
      <c r="AA30" s="17" t="s">
        <v>355</v>
      </c>
      <c r="AB30" s="18" t="str">
        <f>VLOOKUP(AA30,'Axe 2 Règles de gestion'!$D$2:$F$125,3, FALSE)</f>
        <v>Congés annuels : La durée du congé n'est pas imputée sur la durée du congé annuel.</v>
      </c>
      <c r="AC30" s="17" t="s">
        <v>356</v>
      </c>
      <c r="AD30" s="18" t="str">
        <f>VLOOKUP(AC30,'Axe 2 Règles de gestion'!$D$2:$F$125,3, FALSE)</f>
        <v>Rémunération : L'agent bénéficie d'un congé avec traitement.</v>
      </c>
      <c r="AE30" s="17"/>
      <c r="AF30" s="18"/>
      <c r="AG30" s="14" t="s">
        <v>74</v>
      </c>
      <c r="AH30" s="16" t="s">
        <v>74</v>
      </c>
    </row>
    <row r="31" spans="1:34" ht="43.5" x14ac:dyDescent="0.35">
      <c r="A31" s="14" t="s">
        <v>113</v>
      </c>
      <c r="B31" s="14" t="s">
        <v>62</v>
      </c>
      <c r="C31" s="15">
        <v>44852.463888888888</v>
      </c>
      <c r="D31" s="14" t="s">
        <v>63</v>
      </c>
      <c r="E31" s="16" t="s">
        <v>64</v>
      </c>
      <c r="F31" s="14" t="s">
        <v>65</v>
      </c>
      <c r="G31" s="16" t="s">
        <v>66</v>
      </c>
      <c r="H31" s="14" t="s">
        <v>177</v>
      </c>
      <c r="I31" s="16" t="s">
        <v>178</v>
      </c>
      <c r="J31" s="16" t="s">
        <v>179</v>
      </c>
      <c r="K31" s="16" t="s">
        <v>180</v>
      </c>
      <c r="L31" s="14" t="s">
        <v>191</v>
      </c>
      <c r="M31" s="16" t="s">
        <v>192</v>
      </c>
      <c r="N31" s="14" t="s">
        <v>111</v>
      </c>
      <c r="O31" s="16" t="s">
        <v>74</v>
      </c>
      <c r="P31" s="16" t="s">
        <v>74</v>
      </c>
      <c r="Q31" s="16" t="s">
        <v>118</v>
      </c>
      <c r="R31" s="14" t="s">
        <v>119</v>
      </c>
      <c r="S31" s="14" t="s">
        <v>120</v>
      </c>
      <c r="T31" s="14" t="s">
        <v>78</v>
      </c>
      <c r="U31" s="14" t="s">
        <v>79</v>
      </c>
      <c r="V31" s="15">
        <v>40725</v>
      </c>
      <c r="W31" s="15"/>
      <c r="X31" s="16" t="s">
        <v>74</v>
      </c>
      <c r="Y31" s="17"/>
      <c r="Z31" s="18"/>
      <c r="AA31" s="17"/>
      <c r="AB31" s="18"/>
      <c r="AC31" s="17"/>
      <c r="AD31" s="18"/>
      <c r="AE31" s="17"/>
      <c r="AF31" s="18"/>
      <c r="AG31" s="14" t="s">
        <v>74</v>
      </c>
      <c r="AH31" s="16" t="s">
        <v>74</v>
      </c>
    </row>
    <row r="32" spans="1:34" ht="43.5" x14ac:dyDescent="0.35">
      <c r="A32" s="14" t="s">
        <v>197</v>
      </c>
      <c r="B32" s="14" t="s">
        <v>116</v>
      </c>
      <c r="C32" s="15">
        <v>45993.65902777778</v>
      </c>
      <c r="D32" s="14" t="s">
        <v>63</v>
      </c>
      <c r="E32" s="16" t="s">
        <v>64</v>
      </c>
      <c r="F32" s="14" t="s">
        <v>65</v>
      </c>
      <c r="G32" s="16" t="s">
        <v>66</v>
      </c>
      <c r="H32" s="14" t="s">
        <v>177</v>
      </c>
      <c r="I32" s="16" t="s">
        <v>178</v>
      </c>
      <c r="J32" s="16" t="s">
        <v>179</v>
      </c>
      <c r="K32" s="16" t="s">
        <v>180</v>
      </c>
      <c r="L32" s="14" t="s">
        <v>181</v>
      </c>
      <c r="M32" s="16" t="s">
        <v>182</v>
      </c>
      <c r="N32" s="14" t="s">
        <v>73</v>
      </c>
      <c r="O32" s="16" t="s">
        <v>74</v>
      </c>
      <c r="P32" s="16" t="s">
        <v>74</v>
      </c>
      <c r="Q32" s="16" t="s">
        <v>137</v>
      </c>
      <c r="R32" s="14" t="s">
        <v>138</v>
      </c>
      <c r="S32" s="14" t="s">
        <v>139</v>
      </c>
      <c r="T32" s="14" t="s">
        <v>78</v>
      </c>
      <c r="U32" s="14" t="s">
        <v>79</v>
      </c>
      <c r="V32" s="15">
        <v>40725</v>
      </c>
      <c r="W32" s="15"/>
      <c r="X32" s="16" t="s">
        <v>358</v>
      </c>
      <c r="Y32" s="17" t="s">
        <v>359</v>
      </c>
      <c r="Z32" s="18" t="str">
        <f>VLOOKUP(Y32,'Axe 2 Règles de gestion'!$D$2:$F$125,3, FALSE)</f>
        <v>Carrière : la durée du congé compte pour les droits à avancement.</v>
      </c>
      <c r="AA32" s="17" t="s">
        <v>361</v>
      </c>
      <c r="AB32" s="18" t="str">
        <f>VLOOKUP(AA32,'Axe 2 Règles de gestion'!$D$2:$F$125,3, FALSE)</f>
        <v>Rémunération : L'agent continue de percevoir son traitement.</v>
      </c>
      <c r="AC32" s="17"/>
      <c r="AD32" s="18"/>
      <c r="AE32" s="17"/>
      <c r="AF32" s="18"/>
      <c r="AG32" s="14" t="s">
        <v>74</v>
      </c>
      <c r="AH32" s="16" t="s">
        <v>74</v>
      </c>
    </row>
    <row r="33" spans="1:34" ht="43.5" x14ac:dyDescent="0.35">
      <c r="A33" s="14" t="s">
        <v>197</v>
      </c>
      <c r="B33" s="14" t="s">
        <v>116</v>
      </c>
      <c r="C33" s="15">
        <v>45994.498611111114</v>
      </c>
      <c r="D33" s="14" t="s">
        <v>63</v>
      </c>
      <c r="E33" s="16" t="s">
        <v>64</v>
      </c>
      <c r="F33" s="14" t="s">
        <v>65</v>
      </c>
      <c r="G33" s="16" t="s">
        <v>66</v>
      </c>
      <c r="H33" s="14" t="s">
        <v>177</v>
      </c>
      <c r="I33" s="16" t="s">
        <v>178</v>
      </c>
      <c r="J33" s="16" t="s">
        <v>179</v>
      </c>
      <c r="K33" s="16" t="s">
        <v>180</v>
      </c>
      <c r="L33" s="14" t="s">
        <v>191</v>
      </c>
      <c r="M33" s="16" t="s">
        <v>192</v>
      </c>
      <c r="N33" s="14" t="s">
        <v>111</v>
      </c>
      <c r="O33" s="16" t="s">
        <v>74</v>
      </c>
      <c r="P33" s="16" t="s">
        <v>74</v>
      </c>
      <c r="Q33" s="16" t="s">
        <v>137</v>
      </c>
      <c r="R33" s="14" t="s">
        <v>138</v>
      </c>
      <c r="S33" s="14" t="s">
        <v>139</v>
      </c>
      <c r="T33" s="14" t="s">
        <v>78</v>
      </c>
      <c r="U33" s="14" t="s">
        <v>79</v>
      </c>
      <c r="V33" s="15">
        <v>40725</v>
      </c>
      <c r="W33" s="15"/>
      <c r="X33" s="16" t="s">
        <v>74</v>
      </c>
      <c r="Y33" s="17"/>
      <c r="Z33" s="18"/>
      <c r="AA33" s="17"/>
      <c r="AB33" s="18"/>
      <c r="AC33" s="17"/>
      <c r="AD33" s="18"/>
      <c r="AE33" s="17"/>
      <c r="AF33" s="18"/>
      <c r="AG33" s="14" t="s">
        <v>74</v>
      </c>
      <c r="AH33" s="16" t="s">
        <v>74</v>
      </c>
    </row>
    <row r="34" spans="1:34" ht="43.5" x14ac:dyDescent="0.35">
      <c r="A34" s="14" t="s">
        <v>113</v>
      </c>
      <c r="B34" s="14" t="s">
        <v>116</v>
      </c>
      <c r="C34" s="15">
        <v>44855.598611111112</v>
      </c>
      <c r="D34" s="14" t="s">
        <v>63</v>
      </c>
      <c r="E34" s="16" t="s">
        <v>64</v>
      </c>
      <c r="F34" s="14" t="s">
        <v>65</v>
      </c>
      <c r="G34" s="16" t="s">
        <v>66</v>
      </c>
      <c r="H34" s="14" t="s">
        <v>177</v>
      </c>
      <c r="I34" s="16" t="s">
        <v>178</v>
      </c>
      <c r="J34" s="16" t="s">
        <v>179</v>
      </c>
      <c r="K34" s="16" t="s">
        <v>180</v>
      </c>
      <c r="L34" s="14" t="s">
        <v>181</v>
      </c>
      <c r="M34" s="16" t="s">
        <v>182</v>
      </c>
      <c r="N34" s="14" t="s">
        <v>73</v>
      </c>
      <c r="O34" s="16" t="s">
        <v>74</v>
      </c>
      <c r="P34" s="16" t="s">
        <v>74</v>
      </c>
      <c r="Q34" s="16" t="s">
        <v>140</v>
      </c>
      <c r="R34" s="14" t="s">
        <v>141</v>
      </c>
      <c r="S34" s="14" t="s">
        <v>142</v>
      </c>
      <c r="T34" s="14" t="s">
        <v>78</v>
      </c>
      <c r="U34" s="14" t="s">
        <v>79</v>
      </c>
      <c r="V34" s="15">
        <v>40725</v>
      </c>
      <c r="W34" s="15"/>
      <c r="X34" s="16" t="s">
        <v>74</v>
      </c>
      <c r="Y34" s="17"/>
      <c r="Z34" s="18"/>
      <c r="AA34" s="17"/>
      <c r="AB34" s="18"/>
      <c r="AC34" s="17"/>
      <c r="AD34" s="18"/>
      <c r="AE34" s="17"/>
      <c r="AF34" s="18"/>
      <c r="AG34" s="14" t="s">
        <v>74</v>
      </c>
      <c r="AH34" s="16" t="s">
        <v>74</v>
      </c>
    </row>
    <row r="35" spans="1:34" ht="43.5" x14ac:dyDescent="0.35">
      <c r="A35" s="14" t="s">
        <v>113</v>
      </c>
      <c r="B35" s="14" t="s">
        <v>62</v>
      </c>
      <c r="C35" s="15">
        <v>44852.464583333334</v>
      </c>
      <c r="D35" s="14" t="s">
        <v>63</v>
      </c>
      <c r="E35" s="16" t="s">
        <v>64</v>
      </c>
      <c r="F35" s="14" t="s">
        <v>65</v>
      </c>
      <c r="G35" s="16" t="s">
        <v>66</v>
      </c>
      <c r="H35" s="14" t="s">
        <v>177</v>
      </c>
      <c r="I35" s="16" t="s">
        <v>178</v>
      </c>
      <c r="J35" s="16" t="s">
        <v>179</v>
      </c>
      <c r="K35" s="16" t="s">
        <v>180</v>
      </c>
      <c r="L35" s="14" t="s">
        <v>191</v>
      </c>
      <c r="M35" s="16" t="s">
        <v>192</v>
      </c>
      <c r="N35" s="14" t="s">
        <v>111</v>
      </c>
      <c r="O35" s="16" t="s">
        <v>74</v>
      </c>
      <c r="P35" s="16" t="s">
        <v>74</v>
      </c>
      <c r="Q35" s="16" t="s">
        <v>140</v>
      </c>
      <c r="R35" s="14" t="s">
        <v>141</v>
      </c>
      <c r="S35" s="14" t="s">
        <v>142</v>
      </c>
      <c r="T35" s="14" t="s">
        <v>78</v>
      </c>
      <c r="U35" s="14" t="s">
        <v>79</v>
      </c>
      <c r="V35" s="15">
        <v>40725</v>
      </c>
      <c r="W35" s="15"/>
      <c r="X35" s="16" t="s">
        <v>74</v>
      </c>
      <c r="Y35" s="17"/>
      <c r="Z35" s="18"/>
      <c r="AA35" s="17"/>
      <c r="AB35" s="18"/>
      <c r="AC35" s="17"/>
      <c r="AD35" s="18"/>
      <c r="AE35" s="17"/>
      <c r="AF35" s="18"/>
      <c r="AG35" s="14" t="s">
        <v>74</v>
      </c>
      <c r="AH35" s="16" t="s">
        <v>74</v>
      </c>
    </row>
    <row r="36" spans="1:34" ht="43.5" x14ac:dyDescent="0.35">
      <c r="A36" s="14" t="s">
        <v>113</v>
      </c>
      <c r="B36" s="14" t="s">
        <v>62</v>
      </c>
      <c r="C36" s="15">
        <v>44852.462500000001</v>
      </c>
      <c r="D36" s="14" t="s">
        <v>63</v>
      </c>
      <c r="E36" s="16" t="s">
        <v>64</v>
      </c>
      <c r="F36" s="14" t="s">
        <v>65</v>
      </c>
      <c r="G36" s="16" t="s">
        <v>66</v>
      </c>
      <c r="H36" s="14" t="s">
        <v>177</v>
      </c>
      <c r="I36" s="16" t="s">
        <v>178</v>
      </c>
      <c r="J36" s="16" t="s">
        <v>179</v>
      </c>
      <c r="K36" s="16" t="s">
        <v>180</v>
      </c>
      <c r="L36" s="14" t="s">
        <v>181</v>
      </c>
      <c r="M36" s="16" t="s">
        <v>182</v>
      </c>
      <c r="N36" s="14" t="s">
        <v>73</v>
      </c>
      <c r="O36" s="16" t="s">
        <v>74</v>
      </c>
      <c r="P36" s="16" t="s">
        <v>74</v>
      </c>
      <c r="Q36" s="16" t="s">
        <v>143</v>
      </c>
      <c r="R36" s="14" t="s">
        <v>144</v>
      </c>
      <c r="S36" s="14" t="s">
        <v>77</v>
      </c>
      <c r="T36" s="14" t="s">
        <v>145</v>
      </c>
      <c r="U36" s="14" t="s">
        <v>79</v>
      </c>
      <c r="V36" s="15">
        <v>40725</v>
      </c>
      <c r="W36" s="15"/>
      <c r="X36" s="16" t="s">
        <v>74</v>
      </c>
      <c r="Y36" s="17"/>
      <c r="Z36" s="18"/>
      <c r="AA36" s="17"/>
      <c r="AB36" s="18"/>
      <c r="AC36" s="17"/>
      <c r="AD36" s="18"/>
      <c r="AE36" s="17"/>
      <c r="AF36" s="18"/>
      <c r="AG36" s="14" t="s">
        <v>74</v>
      </c>
      <c r="AH36" s="16" t="s">
        <v>74</v>
      </c>
    </row>
    <row r="37" spans="1:34" ht="43.5" x14ac:dyDescent="0.35">
      <c r="A37" s="14" t="s">
        <v>113</v>
      </c>
      <c r="B37" s="14" t="s">
        <v>62</v>
      </c>
      <c r="C37" s="15">
        <v>44852.466666666667</v>
      </c>
      <c r="D37" s="14" t="s">
        <v>63</v>
      </c>
      <c r="E37" s="16" t="s">
        <v>64</v>
      </c>
      <c r="F37" s="14" t="s">
        <v>65</v>
      </c>
      <c r="G37" s="16" t="s">
        <v>66</v>
      </c>
      <c r="H37" s="14" t="s">
        <v>177</v>
      </c>
      <c r="I37" s="16" t="s">
        <v>178</v>
      </c>
      <c r="J37" s="16" t="s">
        <v>179</v>
      </c>
      <c r="K37" s="16" t="s">
        <v>180</v>
      </c>
      <c r="L37" s="14" t="s">
        <v>191</v>
      </c>
      <c r="M37" s="16" t="s">
        <v>192</v>
      </c>
      <c r="N37" s="14" t="s">
        <v>111</v>
      </c>
      <c r="O37" s="16" t="s">
        <v>74</v>
      </c>
      <c r="P37" s="16" t="s">
        <v>74</v>
      </c>
      <c r="Q37" s="16" t="s">
        <v>143</v>
      </c>
      <c r="R37" s="14" t="s">
        <v>144</v>
      </c>
      <c r="S37" s="14" t="s">
        <v>77</v>
      </c>
      <c r="T37" s="14" t="s">
        <v>145</v>
      </c>
      <c r="U37" s="14" t="s">
        <v>79</v>
      </c>
      <c r="V37" s="15">
        <v>40725</v>
      </c>
      <c r="W37" s="15"/>
      <c r="X37" s="16" t="s">
        <v>74</v>
      </c>
      <c r="Y37" s="17"/>
      <c r="Z37" s="18"/>
      <c r="AA37" s="17"/>
      <c r="AB37" s="18"/>
      <c r="AC37" s="17"/>
      <c r="AD37" s="18"/>
      <c r="AE37" s="17"/>
      <c r="AF37" s="18"/>
      <c r="AG37" s="14" t="s">
        <v>74</v>
      </c>
      <c r="AH37" s="16" t="s">
        <v>74</v>
      </c>
    </row>
    <row r="38" spans="1:34" ht="43.5" x14ac:dyDescent="0.35">
      <c r="A38" s="14" t="s">
        <v>113</v>
      </c>
      <c r="B38" s="14" t="s">
        <v>62</v>
      </c>
      <c r="C38" s="15">
        <v>44852.462500000001</v>
      </c>
      <c r="D38" s="14" t="s">
        <v>63</v>
      </c>
      <c r="E38" s="16" t="s">
        <v>64</v>
      </c>
      <c r="F38" s="14" t="s">
        <v>65</v>
      </c>
      <c r="G38" s="16" t="s">
        <v>66</v>
      </c>
      <c r="H38" s="14" t="s">
        <v>177</v>
      </c>
      <c r="I38" s="16" t="s">
        <v>178</v>
      </c>
      <c r="J38" s="16" t="s">
        <v>179</v>
      </c>
      <c r="K38" s="16" t="s">
        <v>180</v>
      </c>
      <c r="L38" s="14" t="s">
        <v>181</v>
      </c>
      <c r="M38" s="16" t="s">
        <v>182</v>
      </c>
      <c r="N38" s="14" t="s">
        <v>73</v>
      </c>
      <c r="O38" s="16" t="s">
        <v>74</v>
      </c>
      <c r="P38" s="16" t="s">
        <v>74</v>
      </c>
      <c r="Q38" s="16" t="s">
        <v>153</v>
      </c>
      <c r="R38" s="14" t="s">
        <v>154</v>
      </c>
      <c r="S38" s="14" t="s">
        <v>120</v>
      </c>
      <c r="T38" s="14" t="s">
        <v>145</v>
      </c>
      <c r="U38" s="14" t="s">
        <v>79</v>
      </c>
      <c r="V38" s="15">
        <v>40725</v>
      </c>
      <c r="W38" s="15"/>
      <c r="X38" s="16" t="s">
        <v>74</v>
      </c>
      <c r="Y38" s="17"/>
      <c r="Z38" s="18"/>
      <c r="AA38" s="17"/>
      <c r="AB38" s="18"/>
      <c r="AC38" s="17"/>
      <c r="AD38" s="18"/>
      <c r="AE38" s="17"/>
      <c r="AF38" s="18"/>
      <c r="AG38" s="14" t="s">
        <v>74</v>
      </c>
      <c r="AH38" s="16" t="s">
        <v>74</v>
      </c>
    </row>
    <row r="39" spans="1:34" ht="43.5" x14ac:dyDescent="0.35">
      <c r="A39" s="14" t="s">
        <v>113</v>
      </c>
      <c r="B39" s="14" t="s">
        <v>62</v>
      </c>
      <c r="C39" s="15">
        <v>44852.466666666667</v>
      </c>
      <c r="D39" s="14" t="s">
        <v>63</v>
      </c>
      <c r="E39" s="16" t="s">
        <v>64</v>
      </c>
      <c r="F39" s="14" t="s">
        <v>65</v>
      </c>
      <c r="G39" s="16" t="s">
        <v>66</v>
      </c>
      <c r="H39" s="14" t="s">
        <v>177</v>
      </c>
      <c r="I39" s="16" t="s">
        <v>178</v>
      </c>
      <c r="J39" s="16" t="s">
        <v>179</v>
      </c>
      <c r="K39" s="16" t="s">
        <v>180</v>
      </c>
      <c r="L39" s="14" t="s">
        <v>191</v>
      </c>
      <c r="M39" s="16" t="s">
        <v>192</v>
      </c>
      <c r="N39" s="14" t="s">
        <v>111</v>
      </c>
      <c r="O39" s="16" t="s">
        <v>74</v>
      </c>
      <c r="P39" s="16" t="s">
        <v>74</v>
      </c>
      <c r="Q39" s="16" t="s">
        <v>153</v>
      </c>
      <c r="R39" s="14" t="s">
        <v>154</v>
      </c>
      <c r="S39" s="14" t="s">
        <v>120</v>
      </c>
      <c r="T39" s="14" t="s">
        <v>145</v>
      </c>
      <c r="U39" s="14" t="s">
        <v>79</v>
      </c>
      <c r="V39" s="15">
        <v>40725</v>
      </c>
      <c r="W39" s="15"/>
      <c r="X39" s="16" t="s">
        <v>74</v>
      </c>
      <c r="Y39" s="17"/>
      <c r="Z39" s="18"/>
      <c r="AA39" s="17"/>
      <c r="AB39" s="18"/>
      <c r="AC39" s="17"/>
      <c r="AD39" s="18"/>
      <c r="AE39" s="17"/>
      <c r="AF39" s="18"/>
      <c r="AG39" s="14" t="s">
        <v>74</v>
      </c>
      <c r="AH39" s="16" t="s">
        <v>74</v>
      </c>
    </row>
    <row r="40" spans="1:34" ht="43.5" x14ac:dyDescent="0.35">
      <c r="A40" s="14" t="s">
        <v>113</v>
      </c>
      <c r="B40" s="14" t="s">
        <v>116</v>
      </c>
      <c r="C40" s="15">
        <v>44854.574999999997</v>
      </c>
      <c r="D40" s="14" t="s">
        <v>63</v>
      </c>
      <c r="E40" s="16" t="s">
        <v>64</v>
      </c>
      <c r="F40" s="14" t="s">
        <v>65</v>
      </c>
      <c r="G40" s="16" t="s">
        <v>66</v>
      </c>
      <c r="H40" s="14" t="s">
        <v>177</v>
      </c>
      <c r="I40" s="16" t="s">
        <v>178</v>
      </c>
      <c r="J40" s="16" t="s">
        <v>179</v>
      </c>
      <c r="K40" s="16" t="s">
        <v>180</v>
      </c>
      <c r="L40" s="14" t="s">
        <v>181</v>
      </c>
      <c r="M40" s="16" t="s">
        <v>182</v>
      </c>
      <c r="N40" s="14" t="s">
        <v>73</v>
      </c>
      <c r="O40" s="16" t="s">
        <v>74</v>
      </c>
      <c r="P40" s="16" t="s">
        <v>74</v>
      </c>
      <c r="Q40" s="16" t="s">
        <v>164</v>
      </c>
      <c r="R40" s="14" t="s">
        <v>165</v>
      </c>
      <c r="S40" s="14" t="s">
        <v>120</v>
      </c>
      <c r="T40" s="14" t="s">
        <v>145</v>
      </c>
      <c r="U40" s="14" t="s">
        <v>79</v>
      </c>
      <c r="V40" s="15">
        <v>40725</v>
      </c>
      <c r="W40" s="15"/>
      <c r="X40" s="16" t="s">
        <v>362</v>
      </c>
      <c r="Y40" s="17" t="s">
        <v>363</v>
      </c>
      <c r="Z40" s="18" t="str">
        <f>VLOOKUP(Y40,'Axe 2 Règles de gestion'!$D$2:$F$125,3, FALSE)</f>
        <v>Rémunération : L'agent continue de percevoir sa rémunération.</v>
      </c>
      <c r="AA40" s="17" t="s">
        <v>364</v>
      </c>
      <c r="AB40" s="18" t="str">
        <f>VLOOKUP(AA40,'Axe 2 Règles de gestion'!$D$2:$F$125,3, FALSE)</f>
        <v>Congés annuels : La durée du congé n'est pas imputée sur la durée du congé annuel.</v>
      </c>
      <c r="AC40" s="17" t="s">
        <v>365</v>
      </c>
      <c r="AD40" s="18" t="str">
        <f>VLOOKUP(AC40,'Axe 2 Règles de gestion'!$D$2:$F$125,3, FALSE)</f>
        <v>Carrière : la durée du congé compte pour les droits à avancement.</v>
      </c>
      <c r="AE40" s="17"/>
      <c r="AF40" s="18"/>
      <c r="AG40" s="14" t="s">
        <v>74</v>
      </c>
      <c r="AH40" s="16" t="s">
        <v>74</v>
      </c>
    </row>
    <row r="41" spans="1:34" ht="43.5" x14ac:dyDescent="0.35">
      <c r="A41" s="14" t="s">
        <v>113</v>
      </c>
      <c r="B41" s="14" t="s">
        <v>62</v>
      </c>
      <c r="C41" s="15">
        <v>44852.466666666667</v>
      </c>
      <c r="D41" s="14" t="s">
        <v>63</v>
      </c>
      <c r="E41" s="16" t="s">
        <v>64</v>
      </c>
      <c r="F41" s="14" t="s">
        <v>65</v>
      </c>
      <c r="G41" s="16" t="s">
        <v>66</v>
      </c>
      <c r="H41" s="14" t="s">
        <v>177</v>
      </c>
      <c r="I41" s="16" t="s">
        <v>178</v>
      </c>
      <c r="J41" s="16" t="s">
        <v>179</v>
      </c>
      <c r="K41" s="16" t="s">
        <v>180</v>
      </c>
      <c r="L41" s="14" t="s">
        <v>191</v>
      </c>
      <c r="M41" s="16" t="s">
        <v>192</v>
      </c>
      <c r="N41" s="14" t="s">
        <v>111</v>
      </c>
      <c r="O41" s="16" t="s">
        <v>74</v>
      </c>
      <c r="P41" s="16" t="s">
        <v>74</v>
      </c>
      <c r="Q41" s="16" t="s">
        <v>164</v>
      </c>
      <c r="R41" s="14" t="s">
        <v>165</v>
      </c>
      <c r="S41" s="14" t="s">
        <v>120</v>
      </c>
      <c r="T41" s="14" t="s">
        <v>145</v>
      </c>
      <c r="U41" s="14" t="s">
        <v>79</v>
      </c>
      <c r="V41" s="15">
        <v>40725</v>
      </c>
      <c r="W41" s="15"/>
      <c r="X41" s="16" t="s">
        <v>74</v>
      </c>
      <c r="Y41" s="17"/>
      <c r="Z41" s="18"/>
      <c r="AA41" s="17"/>
      <c r="AB41" s="18"/>
      <c r="AC41" s="17"/>
      <c r="AD41" s="18"/>
      <c r="AE41" s="17"/>
      <c r="AF41" s="18"/>
      <c r="AG41" s="14" t="s">
        <v>74</v>
      </c>
      <c r="AH41" s="16" t="s">
        <v>74</v>
      </c>
    </row>
    <row r="42" spans="1:34" ht="58" x14ac:dyDescent="0.35">
      <c r="A42" s="14" t="s">
        <v>197</v>
      </c>
      <c r="B42" s="14" t="s">
        <v>116</v>
      </c>
      <c r="C42" s="15">
        <v>45993.658333333333</v>
      </c>
      <c r="D42" s="14" t="s">
        <v>63</v>
      </c>
      <c r="E42" s="16" t="s">
        <v>64</v>
      </c>
      <c r="F42" s="14" t="s">
        <v>65</v>
      </c>
      <c r="G42" s="16" t="s">
        <v>66</v>
      </c>
      <c r="H42" s="14" t="s">
        <v>177</v>
      </c>
      <c r="I42" s="16" t="s">
        <v>178</v>
      </c>
      <c r="J42" s="16" t="s">
        <v>179</v>
      </c>
      <c r="K42" s="16" t="s">
        <v>180</v>
      </c>
      <c r="L42" s="14" t="s">
        <v>181</v>
      </c>
      <c r="M42" s="16" t="s">
        <v>182</v>
      </c>
      <c r="N42" s="14" t="s">
        <v>73</v>
      </c>
      <c r="O42" s="16" t="s">
        <v>74</v>
      </c>
      <c r="P42" s="16" t="s">
        <v>74</v>
      </c>
      <c r="Q42" s="16" t="s">
        <v>166</v>
      </c>
      <c r="R42" s="14" t="s">
        <v>167</v>
      </c>
      <c r="S42" s="14" t="s">
        <v>120</v>
      </c>
      <c r="T42" s="14" t="s">
        <v>145</v>
      </c>
      <c r="U42" s="14" t="s">
        <v>79</v>
      </c>
      <c r="V42" s="15">
        <v>40725</v>
      </c>
      <c r="W42" s="15"/>
      <c r="X42" s="16" t="s">
        <v>74</v>
      </c>
      <c r="Y42" s="17"/>
      <c r="Z42" s="18"/>
      <c r="AA42" s="17"/>
      <c r="AB42" s="18"/>
      <c r="AC42" s="17"/>
      <c r="AD42" s="18"/>
      <c r="AE42" s="17"/>
      <c r="AF42" s="18"/>
      <c r="AG42" s="14" t="s">
        <v>74</v>
      </c>
      <c r="AH42" s="16" t="s">
        <v>74</v>
      </c>
    </row>
    <row r="43" spans="1:34" ht="58" x14ac:dyDescent="0.35">
      <c r="A43" s="14" t="s">
        <v>197</v>
      </c>
      <c r="B43" s="14" t="s">
        <v>116</v>
      </c>
      <c r="C43" s="15">
        <v>45994.498611111114</v>
      </c>
      <c r="D43" s="14" t="s">
        <v>63</v>
      </c>
      <c r="E43" s="16" t="s">
        <v>64</v>
      </c>
      <c r="F43" s="14" t="s">
        <v>65</v>
      </c>
      <c r="G43" s="16" t="s">
        <v>66</v>
      </c>
      <c r="H43" s="14" t="s">
        <v>177</v>
      </c>
      <c r="I43" s="16" t="s">
        <v>178</v>
      </c>
      <c r="J43" s="16" t="s">
        <v>179</v>
      </c>
      <c r="K43" s="16" t="s">
        <v>180</v>
      </c>
      <c r="L43" s="14" t="s">
        <v>191</v>
      </c>
      <c r="M43" s="16" t="s">
        <v>192</v>
      </c>
      <c r="N43" s="14" t="s">
        <v>111</v>
      </c>
      <c r="O43" s="16" t="s">
        <v>74</v>
      </c>
      <c r="P43" s="16" t="s">
        <v>74</v>
      </c>
      <c r="Q43" s="16" t="s">
        <v>166</v>
      </c>
      <c r="R43" s="14" t="s">
        <v>167</v>
      </c>
      <c r="S43" s="14" t="s">
        <v>120</v>
      </c>
      <c r="T43" s="14" t="s">
        <v>145</v>
      </c>
      <c r="U43" s="14" t="s">
        <v>79</v>
      </c>
      <c r="V43" s="15">
        <v>40725</v>
      </c>
      <c r="W43" s="15"/>
      <c r="X43" s="16" t="s">
        <v>74</v>
      </c>
      <c r="Y43" s="17"/>
      <c r="Z43" s="18"/>
      <c r="AA43" s="17"/>
      <c r="AB43" s="18"/>
      <c r="AC43" s="17"/>
      <c r="AD43" s="18"/>
      <c r="AE43" s="17"/>
      <c r="AF43" s="18"/>
      <c r="AG43" s="14" t="s">
        <v>74</v>
      </c>
      <c r="AH43" s="16" t="s">
        <v>74</v>
      </c>
    </row>
    <row r="44" spans="1:34" ht="58" x14ac:dyDescent="0.35">
      <c r="A44" s="14" t="s">
        <v>113</v>
      </c>
      <c r="B44" s="14" t="s">
        <v>62</v>
      </c>
      <c r="C44" s="15">
        <v>44852.462500000001</v>
      </c>
      <c r="D44" s="14" t="s">
        <v>63</v>
      </c>
      <c r="E44" s="16" t="s">
        <v>64</v>
      </c>
      <c r="F44" s="14" t="s">
        <v>65</v>
      </c>
      <c r="G44" s="16" t="s">
        <v>66</v>
      </c>
      <c r="H44" s="14" t="s">
        <v>177</v>
      </c>
      <c r="I44" s="16" t="s">
        <v>178</v>
      </c>
      <c r="J44" s="16" t="s">
        <v>179</v>
      </c>
      <c r="K44" s="16" t="s">
        <v>180</v>
      </c>
      <c r="L44" s="14" t="s">
        <v>181</v>
      </c>
      <c r="M44" s="16" t="s">
        <v>182</v>
      </c>
      <c r="N44" s="14" t="s">
        <v>73</v>
      </c>
      <c r="O44" s="16" t="s">
        <v>74</v>
      </c>
      <c r="P44" s="16" t="s">
        <v>74</v>
      </c>
      <c r="Q44" s="16" t="s">
        <v>168</v>
      </c>
      <c r="R44" s="14" t="s">
        <v>169</v>
      </c>
      <c r="S44" s="14" t="s">
        <v>120</v>
      </c>
      <c r="T44" s="14" t="s">
        <v>145</v>
      </c>
      <c r="U44" s="14" t="s">
        <v>79</v>
      </c>
      <c r="V44" s="15">
        <v>40725</v>
      </c>
      <c r="W44" s="15"/>
      <c r="X44" s="16" t="s">
        <v>74</v>
      </c>
      <c r="Y44" s="17"/>
      <c r="Z44" s="18"/>
      <c r="AA44" s="17"/>
      <c r="AB44" s="18"/>
      <c r="AC44" s="17"/>
      <c r="AD44" s="18"/>
      <c r="AE44" s="17"/>
      <c r="AF44" s="18"/>
      <c r="AG44" s="14" t="s">
        <v>74</v>
      </c>
      <c r="AH44" s="16" t="s">
        <v>74</v>
      </c>
    </row>
    <row r="45" spans="1:34" ht="58" x14ac:dyDescent="0.35">
      <c r="A45" s="14" t="s">
        <v>113</v>
      </c>
      <c r="B45" s="14" t="s">
        <v>62</v>
      </c>
      <c r="C45" s="15">
        <v>44852.466666666667</v>
      </c>
      <c r="D45" s="14" t="s">
        <v>63</v>
      </c>
      <c r="E45" s="16" t="s">
        <v>64</v>
      </c>
      <c r="F45" s="14" t="s">
        <v>65</v>
      </c>
      <c r="G45" s="16" t="s">
        <v>66</v>
      </c>
      <c r="H45" s="14" t="s">
        <v>177</v>
      </c>
      <c r="I45" s="16" t="s">
        <v>178</v>
      </c>
      <c r="J45" s="16" t="s">
        <v>179</v>
      </c>
      <c r="K45" s="16" t="s">
        <v>180</v>
      </c>
      <c r="L45" s="14" t="s">
        <v>191</v>
      </c>
      <c r="M45" s="16" t="s">
        <v>192</v>
      </c>
      <c r="N45" s="14" t="s">
        <v>111</v>
      </c>
      <c r="O45" s="16" t="s">
        <v>74</v>
      </c>
      <c r="P45" s="16" t="s">
        <v>74</v>
      </c>
      <c r="Q45" s="16" t="s">
        <v>168</v>
      </c>
      <c r="R45" s="14" t="s">
        <v>169</v>
      </c>
      <c r="S45" s="14" t="s">
        <v>120</v>
      </c>
      <c r="T45" s="14" t="s">
        <v>145</v>
      </c>
      <c r="U45" s="14" t="s">
        <v>79</v>
      </c>
      <c r="V45" s="15">
        <v>40725</v>
      </c>
      <c r="W45" s="15"/>
      <c r="X45" s="16" t="s">
        <v>74</v>
      </c>
      <c r="Y45" s="17"/>
      <c r="Z45" s="18"/>
      <c r="AA45" s="17"/>
      <c r="AB45" s="18"/>
      <c r="AC45" s="17"/>
      <c r="AD45" s="18"/>
      <c r="AE45" s="17"/>
      <c r="AF45" s="18"/>
      <c r="AG45" s="14" t="s">
        <v>74</v>
      </c>
      <c r="AH45" s="16" t="s">
        <v>74</v>
      </c>
    </row>
    <row r="46" spans="1:34" ht="58" x14ac:dyDescent="0.35">
      <c r="A46" s="14" t="s">
        <v>113</v>
      </c>
      <c r="B46" s="14" t="s">
        <v>62</v>
      </c>
      <c r="C46" s="15">
        <v>44861.636805555558</v>
      </c>
      <c r="D46" s="14" t="s">
        <v>63</v>
      </c>
      <c r="E46" s="16" t="s">
        <v>64</v>
      </c>
      <c r="F46" s="14" t="s">
        <v>65</v>
      </c>
      <c r="G46" s="16" t="s">
        <v>66</v>
      </c>
      <c r="H46" s="14" t="s">
        <v>228</v>
      </c>
      <c r="I46" s="16" t="s">
        <v>229</v>
      </c>
      <c r="J46" s="16" t="s">
        <v>230</v>
      </c>
      <c r="K46" s="16" t="s">
        <v>231</v>
      </c>
      <c r="L46" s="14" t="s">
        <v>232</v>
      </c>
      <c r="M46" s="16" t="s">
        <v>233</v>
      </c>
      <c r="N46" s="14" t="s">
        <v>73</v>
      </c>
      <c r="O46" s="16" t="s">
        <v>74</v>
      </c>
      <c r="P46" s="16" t="s">
        <v>74</v>
      </c>
      <c r="Q46" s="16" t="s">
        <v>75</v>
      </c>
      <c r="R46" s="14" t="s">
        <v>76</v>
      </c>
      <c r="S46" s="14" t="s">
        <v>77</v>
      </c>
      <c r="T46" s="14" t="s">
        <v>78</v>
      </c>
      <c r="U46" s="14" t="s">
        <v>79</v>
      </c>
      <c r="V46" s="15">
        <v>40725</v>
      </c>
      <c r="W46" s="15"/>
      <c r="X46" s="16" t="s">
        <v>366</v>
      </c>
      <c r="Y46" s="17" t="s">
        <v>367</v>
      </c>
      <c r="Z46" s="18" t="str">
        <f>VLOOKUP(Y46,'Axe 2 Règles de gestion'!$D$2:$F$125,3, FALSE)</f>
        <v>Rémunération : L'agent continue de percevoir son traitement.</v>
      </c>
      <c r="AA46" s="17" t="s">
        <v>368</v>
      </c>
      <c r="AB46" s="18" t="str">
        <f>VLOOKUP(AA46,'Axe 2 Règles de gestion'!$D$2:$F$125,3, FALSE)</f>
        <v>Congés annuels : La durée du congé n'est pas imputée sur la durée du congé annuel.</v>
      </c>
      <c r="AC46" s="17"/>
      <c r="AD46" s="18"/>
      <c r="AE46" s="17"/>
      <c r="AF46" s="18"/>
      <c r="AG46" s="14" t="s">
        <v>74</v>
      </c>
      <c r="AH46" s="16" t="s">
        <v>74</v>
      </c>
    </row>
    <row r="47" spans="1:34" ht="58" x14ac:dyDescent="0.35">
      <c r="A47" s="14" t="s">
        <v>113</v>
      </c>
      <c r="B47" s="14" t="s">
        <v>62</v>
      </c>
      <c r="C47" s="15">
        <v>44852.474999999999</v>
      </c>
      <c r="D47" s="14" t="s">
        <v>63</v>
      </c>
      <c r="E47" s="16" t="s">
        <v>64</v>
      </c>
      <c r="F47" s="14" t="s">
        <v>65</v>
      </c>
      <c r="G47" s="16" t="s">
        <v>66</v>
      </c>
      <c r="H47" s="14" t="s">
        <v>228</v>
      </c>
      <c r="I47" s="16" t="s">
        <v>229</v>
      </c>
      <c r="J47" s="16" t="s">
        <v>230</v>
      </c>
      <c r="K47" s="16" t="s">
        <v>231</v>
      </c>
      <c r="L47" s="14" t="s">
        <v>234</v>
      </c>
      <c r="M47" s="16" t="s">
        <v>235</v>
      </c>
      <c r="N47" s="14" t="s">
        <v>111</v>
      </c>
      <c r="O47" s="16" t="s">
        <v>74</v>
      </c>
      <c r="P47" s="16" t="s">
        <v>74</v>
      </c>
      <c r="Q47" s="16" t="s">
        <v>75</v>
      </c>
      <c r="R47" s="14" t="s">
        <v>76</v>
      </c>
      <c r="S47" s="14" t="s">
        <v>77</v>
      </c>
      <c r="T47" s="14" t="s">
        <v>78</v>
      </c>
      <c r="U47" s="14" t="s">
        <v>79</v>
      </c>
      <c r="V47" s="15">
        <v>40725</v>
      </c>
      <c r="W47" s="15"/>
      <c r="X47" s="16" t="s">
        <v>74</v>
      </c>
      <c r="Y47" s="17"/>
      <c r="Z47" s="18"/>
      <c r="AA47" s="17"/>
      <c r="AB47" s="18"/>
      <c r="AC47" s="17"/>
      <c r="AD47" s="18"/>
      <c r="AE47" s="17"/>
      <c r="AF47" s="18"/>
      <c r="AG47" s="14" t="s">
        <v>74</v>
      </c>
      <c r="AH47" s="16" t="s">
        <v>74</v>
      </c>
    </row>
    <row r="48" spans="1:34" ht="58" x14ac:dyDescent="0.35">
      <c r="A48" s="14" t="s">
        <v>113</v>
      </c>
      <c r="B48" s="14" t="s">
        <v>62</v>
      </c>
      <c r="C48" s="15">
        <v>44886.494444444441</v>
      </c>
      <c r="D48" s="14" t="s">
        <v>63</v>
      </c>
      <c r="E48" s="16" t="s">
        <v>64</v>
      </c>
      <c r="F48" s="14" t="s">
        <v>65</v>
      </c>
      <c r="G48" s="16" t="s">
        <v>66</v>
      </c>
      <c r="H48" s="14" t="s">
        <v>228</v>
      </c>
      <c r="I48" s="16" t="s">
        <v>229</v>
      </c>
      <c r="J48" s="16" t="s">
        <v>230</v>
      </c>
      <c r="K48" s="16" t="s">
        <v>231</v>
      </c>
      <c r="L48" s="14" t="s">
        <v>232</v>
      </c>
      <c r="M48" s="16" t="s">
        <v>233</v>
      </c>
      <c r="N48" s="14" t="s">
        <v>73</v>
      </c>
      <c r="O48" s="16" t="s">
        <v>74</v>
      </c>
      <c r="P48" s="16" t="s">
        <v>74</v>
      </c>
      <c r="Q48" s="16" t="s">
        <v>114</v>
      </c>
      <c r="R48" s="14" t="s">
        <v>115</v>
      </c>
      <c r="S48" s="14" t="s">
        <v>116</v>
      </c>
      <c r="T48" s="14" t="s">
        <v>78</v>
      </c>
      <c r="U48" s="14" t="s">
        <v>117</v>
      </c>
      <c r="V48" s="15">
        <v>43831</v>
      </c>
      <c r="W48" s="15"/>
      <c r="X48" s="16" t="s">
        <v>74</v>
      </c>
      <c r="Y48" s="17"/>
      <c r="Z48" s="18"/>
      <c r="AA48" s="17"/>
      <c r="AB48" s="18"/>
      <c r="AC48" s="17"/>
      <c r="AD48" s="18"/>
      <c r="AE48" s="17"/>
      <c r="AF48" s="18"/>
      <c r="AG48" s="14" t="s">
        <v>74</v>
      </c>
      <c r="AH48" s="16" t="s">
        <v>74</v>
      </c>
    </row>
    <row r="49" spans="1:34" ht="58" x14ac:dyDescent="0.35">
      <c r="A49" s="14" t="s">
        <v>113</v>
      </c>
      <c r="B49" s="14" t="s">
        <v>62</v>
      </c>
      <c r="C49" s="15">
        <v>44886.494444444441</v>
      </c>
      <c r="D49" s="14" t="s">
        <v>63</v>
      </c>
      <c r="E49" s="16" t="s">
        <v>64</v>
      </c>
      <c r="F49" s="14" t="s">
        <v>65</v>
      </c>
      <c r="G49" s="16" t="s">
        <v>66</v>
      </c>
      <c r="H49" s="14" t="s">
        <v>228</v>
      </c>
      <c r="I49" s="16" t="s">
        <v>229</v>
      </c>
      <c r="J49" s="16" t="s">
        <v>230</v>
      </c>
      <c r="K49" s="16" t="s">
        <v>231</v>
      </c>
      <c r="L49" s="14" t="s">
        <v>234</v>
      </c>
      <c r="M49" s="16" t="s">
        <v>235</v>
      </c>
      <c r="N49" s="14" t="s">
        <v>111</v>
      </c>
      <c r="O49" s="16" t="s">
        <v>74</v>
      </c>
      <c r="P49" s="16" t="s">
        <v>74</v>
      </c>
      <c r="Q49" s="16" t="s">
        <v>114</v>
      </c>
      <c r="R49" s="14" t="s">
        <v>115</v>
      </c>
      <c r="S49" s="14" t="s">
        <v>116</v>
      </c>
      <c r="T49" s="14" t="s">
        <v>78</v>
      </c>
      <c r="U49" s="14" t="s">
        <v>117</v>
      </c>
      <c r="V49" s="15">
        <v>43831</v>
      </c>
      <c r="W49" s="15"/>
      <c r="X49" s="16" t="s">
        <v>74</v>
      </c>
      <c r="Y49" s="17"/>
      <c r="Z49" s="18"/>
      <c r="AA49" s="17"/>
      <c r="AB49" s="18"/>
      <c r="AC49" s="17"/>
      <c r="AD49" s="18"/>
      <c r="AE49" s="17"/>
      <c r="AF49" s="18"/>
      <c r="AG49" s="14" t="s">
        <v>74</v>
      </c>
      <c r="AH49" s="16" t="s">
        <v>74</v>
      </c>
    </row>
    <row r="50" spans="1:34" ht="58" x14ac:dyDescent="0.35">
      <c r="A50" s="14" t="s">
        <v>113</v>
      </c>
      <c r="B50" s="14" t="s">
        <v>62</v>
      </c>
      <c r="C50" s="15">
        <v>44861.634027777778</v>
      </c>
      <c r="D50" s="14" t="s">
        <v>63</v>
      </c>
      <c r="E50" s="16" t="s">
        <v>64</v>
      </c>
      <c r="F50" s="14" t="s">
        <v>65</v>
      </c>
      <c r="G50" s="16" t="s">
        <v>66</v>
      </c>
      <c r="H50" s="14" t="s">
        <v>228</v>
      </c>
      <c r="I50" s="16" t="s">
        <v>229</v>
      </c>
      <c r="J50" s="16" t="s">
        <v>230</v>
      </c>
      <c r="K50" s="16" t="s">
        <v>231</v>
      </c>
      <c r="L50" s="14" t="s">
        <v>232</v>
      </c>
      <c r="M50" s="16" t="s">
        <v>233</v>
      </c>
      <c r="N50" s="14" t="s">
        <v>73</v>
      </c>
      <c r="O50" s="16" t="s">
        <v>74</v>
      </c>
      <c r="P50" s="16" t="s">
        <v>74</v>
      </c>
      <c r="Q50" s="16" t="s">
        <v>118</v>
      </c>
      <c r="R50" s="14" t="s">
        <v>119</v>
      </c>
      <c r="S50" s="14" t="s">
        <v>120</v>
      </c>
      <c r="T50" s="14" t="s">
        <v>78</v>
      </c>
      <c r="U50" s="14" t="s">
        <v>79</v>
      </c>
      <c r="V50" s="15">
        <v>40725</v>
      </c>
      <c r="W50" s="15"/>
      <c r="X50" s="16" t="s">
        <v>369</v>
      </c>
      <c r="Y50" s="17" t="s">
        <v>370</v>
      </c>
      <c r="Z50" s="18" t="str">
        <f>VLOOKUP(Y50,'Axe 2 Règles de gestion'!$D$2:$F$125,3, FALSE)</f>
        <v>Congés annuels : La durée du congé n'est pas imputée sur la durée du congé annuel.</v>
      </c>
      <c r="AA50" s="17" t="s">
        <v>371</v>
      </c>
      <c r="AB50" s="18" t="str">
        <f>VLOOKUP(AA50,'Axe 2 Règles de gestion'!$D$2:$F$125,3, FALSE)</f>
        <v>Rémunération : L'agent continue de percevoir son traitement.</v>
      </c>
      <c r="AC50" s="17" t="s">
        <v>356</v>
      </c>
      <c r="AD50" s="18" t="str">
        <f>VLOOKUP(AC50,'Axe 2 Règles de gestion'!$D$2:$F$125,3, FALSE)</f>
        <v>Rémunération : L'agent bénéficie d'un congé avec traitement.</v>
      </c>
      <c r="AE50" s="17"/>
      <c r="AF50" s="18"/>
      <c r="AG50" s="14" t="s">
        <v>74</v>
      </c>
      <c r="AH50" s="16" t="s">
        <v>74</v>
      </c>
    </row>
    <row r="51" spans="1:34" ht="58" x14ac:dyDescent="0.35">
      <c r="A51" s="14" t="s">
        <v>113</v>
      </c>
      <c r="B51" s="14" t="s">
        <v>62</v>
      </c>
      <c r="C51" s="15">
        <v>44852.474999999999</v>
      </c>
      <c r="D51" s="14" t="s">
        <v>63</v>
      </c>
      <c r="E51" s="16" t="s">
        <v>64</v>
      </c>
      <c r="F51" s="14" t="s">
        <v>65</v>
      </c>
      <c r="G51" s="16" t="s">
        <v>66</v>
      </c>
      <c r="H51" s="14" t="s">
        <v>228</v>
      </c>
      <c r="I51" s="16" t="s">
        <v>229</v>
      </c>
      <c r="J51" s="16" t="s">
        <v>230</v>
      </c>
      <c r="K51" s="16" t="s">
        <v>231</v>
      </c>
      <c r="L51" s="14" t="s">
        <v>234</v>
      </c>
      <c r="M51" s="16" t="s">
        <v>235</v>
      </c>
      <c r="N51" s="14" t="s">
        <v>111</v>
      </c>
      <c r="O51" s="16" t="s">
        <v>74</v>
      </c>
      <c r="P51" s="16" t="s">
        <v>74</v>
      </c>
      <c r="Q51" s="16" t="s">
        <v>118</v>
      </c>
      <c r="R51" s="14" t="s">
        <v>119</v>
      </c>
      <c r="S51" s="14" t="s">
        <v>120</v>
      </c>
      <c r="T51" s="14" t="s">
        <v>78</v>
      </c>
      <c r="U51" s="14" t="s">
        <v>79</v>
      </c>
      <c r="V51" s="15">
        <v>40725</v>
      </c>
      <c r="W51" s="15"/>
      <c r="X51" s="16" t="s">
        <v>74</v>
      </c>
      <c r="Y51" s="17"/>
      <c r="Z51" s="18"/>
      <c r="AA51" s="17"/>
      <c r="AB51" s="18"/>
      <c r="AC51" s="17"/>
      <c r="AD51" s="18"/>
      <c r="AE51" s="17"/>
      <c r="AF51" s="18"/>
      <c r="AG51" s="14" t="s">
        <v>74</v>
      </c>
      <c r="AH51" s="16" t="s">
        <v>74</v>
      </c>
    </row>
    <row r="52" spans="1:34" ht="58" x14ac:dyDescent="0.35">
      <c r="A52" s="14" t="s">
        <v>113</v>
      </c>
      <c r="B52" s="14" t="s">
        <v>62</v>
      </c>
      <c r="C52" s="15">
        <v>44861.637499999997</v>
      </c>
      <c r="D52" s="14" t="s">
        <v>63</v>
      </c>
      <c r="E52" s="16" t="s">
        <v>64</v>
      </c>
      <c r="F52" s="14" t="s">
        <v>65</v>
      </c>
      <c r="G52" s="16" t="s">
        <v>66</v>
      </c>
      <c r="H52" s="14" t="s">
        <v>228</v>
      </c>
      <c r="I52" s="16" t="s">
        <v>229</v>
      </c>
      <c r="J52" s="16" t="s">
        <v>230</v>
      </c>
      <c r="K52" s="16" t="s">
        <v>231</v>
      </c>
      <c r="L52" s="14" t="s">
        <v>232</v>
      </c>
      <c r="M52" s="16" t="s">
        <v>233</v>
      </c>
      <c r="N52" s="14" t="s">
        <v>73</v>
      </c>
      <c r="O52" s="16" t="s">
        <v>74</v>
      </c>
      <c r="P52" s="16" t="s">
        <v>74</v>
      </c>
      <c r="Q52" s="16" t="s">
        <v>137</v>
      </c>
      <c r="R52" s="14" t="s">
        <v>138</v>
      </c>
      <c r="S52" s="14" t="s">
        <v>139</v>
      </c>
      <c r="T52" s="14" t="s">
        <v>78</v>
      </c>
      <c r="U52" s="14" t="s">
        <v>117</v>
      </c>
      <c r="V52" s="15">
        <v>40725</v>
      </c>
      <c r="W52" s="15"/>
      <c r="X52" s="16" t="s">
        <v>74</v>
      </c>
      <c r="Y52" s="17"/>
      <c r="Z52" s="18"/>
      <c r="AA52" s="17"/>
      <c r="AB52" s="18"/>
      <c r="AC52" s="17"/>
      <c r="AD52" s="18"/>
      <c r="AE52" s="17"/>
      <c r="AF52" s="18"/>
      <c r="AG52" s="14" t="s">
        <v>74</v>
      </c>
      <c r="AH52" s="16" t="s">
        <v>74</v>
      </c>
    </row>
    <row r="53" spans="1:34" ht="58" x14ac:dyDescent="0.35">
      <c r="A53" s="14" t="s">
        <v>113</v>
      </c>
      <c r="B53" s="14" t="s">
        <v>62</v>
      </c>
      <c r="C53" s="15">
        <v>44852.474999999999</v>
      </c>
      <c r="D53" s="14" t="s">
        <v>63</v>
      </c>
      <c r="E53" s="16" t="s">
        <v>64</v>
      </c>
      <c r="F53" s="14" t="s">
        <v>65</v>
      </c>
      <c r="G53" s="16" t="s">
        <v>66</v>
      </c>
      <c r="H53" s="14" t="s">
        <v>228</v>
      </c>
      <c r="I53" s="16" t="s">
        <v>229</v>
      </c>
      <c r="J53" s="16" t="s">
        <v>230</v>
      </c>
      <c r="K53" s="16" t="s">
        <v>231</v>
      </c>
      <c r="L53" s="14" t="s">
        <v>234</v>
      </c>
      <c r="M53" s="16" t="s">
        <v>235</v>
      </c>
      <c r="N53" s="14" t="s">
        <v>111</v>
      </c>
      <c r="O53" s="16" t="s">
        <v>74</v>
      </c>
      <c r="P53" s="16" t="s">
        <v>74</v>
      </c>
      <c r="Q53" s="16" t="s">
        <v>137</v>
      </c>
      <c r="R53" s="14" t="s">
        <v>138</v>
      </c>
      <c r="S53" s="14" t="s">
        <v>139</v>
      </c>
      <c r="T53" s="14" t="s">
        <v>78</v>
      </c>
      <c r="U53" s="14" t="s">
        <v>117</v>
      </c>
      <c r="V53" s="15">
        <v>40725</v>
      </c>
      <c r="W53" s="15"/>
      <c r="X53" s="16" t="s">
        <v>74</v>
      </c>
      <c r="Y53" s="17"/>
      <c r="Z53" s="18"/>
      <c r="AA53" s="17"/>
      <c r="AB53" s="18"/>
      <c r="AC53" s="17"/>
      <c r="AD53" s="18"/>
      <c r="AE53" s="17"/>
      <c r="AF53" s="18"/>
      <c r="AG53" s="14" t="s">
        <v>74</v>
      </c>
      <c r="AH53" s="16" t="s">
        <v>74</v>
      </c>
    </row>
    <row r="54" spans="1:34" ht="58" x14ac:dyDescent="0.35">
      <c r="A54" s="14" t="s">
        <v>113</v>
      </c>
      <c r="B54" s="14" t="s">
        <v>62</v>
      </c>
      <c r="C54" s="15">
        <v>44861.638194444444</v>
      </c>
      <c r="D54" s="14" t="s">
        <v>63</v>
      </c>
      <c r="E54" s="16" t="s">
        <v>64</v>
      </c>
      <c r="F54" s="14" t="s">
        <v>65</v>
      </c>
      <c r="G54" s="16" t="s">
        <v>66</v>
      </c>
      <c r="H54" s="14" t="s">
        <v>228</v>
      </c>
      <c r="I54" s="16" t="s">
        <v>229</v>
      </c>
      <c r="J54" s="16" t="s">
        <v>230</v>
      </c>
      <c r="K54" s="16" t="s">
        <v>231</v>
      </c>
      <c r="L54" s="14" t="s">
        <v>232</v>
      </c>
      <c r="M54" s="16" t="s">
        <v>233</v>
      </c>
      <c r="N54" s="14" t="s">
        <v>73</v>
      </c>
      <c r="O54" s="16" t="s">
        <v>74</v>
      </c>
      <c r="P54" s="16" t="s">
        <v>74</v>
      </c>
      <c r="Q54" s="16" t="s">
        <v>140</v>
      </c>
      <c r="R54" s="14" t="s">
        <v>141</v>
      </c>
      <c r="S54" s="14" t="s">
        <v>142</v>
      </c>
      <c r="T54" s="14" t="s">
        <v>78</v>
      </c>
      <c r="U54" s="14" t="s">
        <v>79</v>
      </c>
      <c r="V54" s="15">
        <v>40725</v>
      </c>
      <c r="W54" s="15"/>
      <c r="X54" s="16" t="s">
        <v>372</v>
      </c>
      <c r="Y54" s="17" t="s">
        <v>373</v>
      </c>
      <c r="Z54" s="18" t="str">
        <f>VLOOKUP(Y54,'Axe 2 Règles de gestion'!$D$2:$F$125,3, FALSE)</f>
        <v>Rémunération : L'agent continue de percevoir son salaire.</v>
      </c>
      <c r="AA54" s="17" t="s">
        <v>375</v>
      </c>
      <c r="AB54" s="18" t="str">
        <f>VLOOKUP(AA54,'Axe 2 Règles de gestion'!$D$2:$F$125,3, FALSE)</f>
        <v>Congés annuels : La durée du congé n'est pas imputée sur la durée du congé annuel.</v>
      </c>
      <c r="AC54" s="17" t="s">
        <v>376</v>
      </c>
      <c r="AD54" s="18" t="str">
        <f>VLOOKUP(AC54,'Axe 2 Règles de gestion'!$D$2:$F$125,3, FALSE)</f>
        <v>Carrière : la durée du congé compte pour les droits à avancement.</v>
      </c>
      <c r="AE54" s="17"/>
      <c r="AF54" s="18"/>
      <c r="AG54" s="14" t="s">
        <v>74</v>
      </c>
      <c r="AH54" s="16" t="s">
        <v>74</v>
      </c>
    </row>
    <row r="55" spans="1:34" ht="58" x14ac:dyDescent="0.35">
      <c r="A55" s="14" t="s">
        <v>113</v>
      </c>
      <c r="B55" s="14" t="s">
        <v>62</v>
      </c>
      <c r="C55" s="15">
        <v>44852.474999999999</v>
      </c>
      <c r="D55" s="14" t="s">
        <v>63</v>
      </c>
      <c r="E55" s="16" t="s">
        <v>64</v>
      </c>
      <c r="F55" s="14" t="s">
        <v>65</v>
      </c>
      <c r="G55" s="16" t="s">
        <v>66</v>
      </c>
      <c r="H55" s="14" t="s">
        <v>228</v>
      </c>
      <c r="I55" s="16" t="s">
        <v>229</v>
      </c>
      <c r="J55" s="16" t="s">
        <v>230</v>
      </c>
      <c r="K55" s="16" t="s">
        <v>231</v>
      </c>
      <c r="L55" s="14" t="s">
        <v>234</v>
      </c>
      <c r="M55" s="16" t="s">
        <v>235</v>
      </c>
      <c r="N55" s="14" t="s">
        <v>111</v>
      </c>
      <c r="O55" s="16" t="s">
        <v>74</v>
      </c>
      <c r="P55" s="16" t="s">
        <v>74</v>
      </c>
      <c r="Q55" s="16" t="s">
        <v>140</v>
      </c>
      <c r="R55" s="14" t="s">
        <v>141</v>
      </c>
      <c r="S55" s="14" t="s">
        <v>142</v>
      </c>
      <c r="T55" s="14" t="s">
        <v>78</v>
      </c>
      <c r="U55" s="14" t="s">
        <v>79</v>
      </c>
      <c r="V55" s="15">
        <v>40725</v>
      </c>
      <c r="W55" s="15"/>
      <c r="X55" s="16" t="s">
        <v>74</v>
      </c>
      <c r="Y55" s="17"/>
      <c r="Z55" s="18"/>
      <c r="AA55" s="17"/>
      <c r="AB55" s="18"/>
      <c r="AC55" s="17"/>
      <c r="AD55" s="18"/>
      <c r="AE55" s="17"/>
      <c r="AF55" s="18"/>
      <c r="AG55" s="14" t="s">
        <v>74</v>
      </c>
      <c r="AH55" s="16" t="s">
        <v>74</v>
      </c>
    </row>
    <row r="56" spans="1:34" ht="58" x14ac:dyDescent="0.35">
      <c r="A56" s="14" t="s">
        <v>113</v>
      </c>
      <c r="B56" s="14" t="s">
        <v>62</v>
      </c>
      <c r="C56" s="15">
        <v>44861.634027777778</v>
      </c>
      <c r="D56" s="14" t="s">
        <v>63</v>
      </c>
      <c r="E56" s="16" t="s">
        <v>64</v>
      </c>
      <c r="F56" s="14" t="s">
        <v>65</v>
      </c>
      <c r="G56" s="16" t="s">
        <v>66</v>
      </c>
      <c r="H56" s="14" t="s">
        <v>228</v>
      </c>
      <c r="I56" s="16" t="s">
        <v>229</v>
      </c>
      <c r="J56" s="16" t="s">
        <v>230</v>
      </c>
      <c r="K56" s="16" t="s">
        <v>231</v>
      </c>
      <c r="L56" s="14" t="s">
        <v>232</v>
      </c>
      <c r="M56" s="16" t="s">
        <v>233</v>
      </c>
      <c r="N56" s="14" t="s">
        <v>73</v>
      </c>
      <c r="O56" s="16" t="s">
        <v>74</v>
      </c>
      <c r="P56" s="16" t="s">
        <v>74</v>
      </c>
      <c r="Q56" s="16" t="s">
        <v>143</v>
      </c>
      <c r="R56" s="14" t="s">
        <v>144</v>
      </c>
      <c r="S56" s="14" t="s">
        <v>77</v>
      </c>
      <c r="T56" s="14" t="s">
        <v>145</v>
      </c>
      <c r="U56" s="14" t="s">
        <v>79</v>
      </c>
      <c r="V56" s="15">
        <v>40725</v>
      </c>
      <c r="W56" s="15"/>
      <c r="X56" s="16" t="s">
        <v>74</v>
      </c>
      <c r="Y56" s="17"/>
      <c r="Z56" s="18"/>
      <c r="AA56" s="17"/>
      <c r="AB56" s="18"/>
      <c r="AC56" s="17"/>
      <c r="AD56" s="18"/>
      <c r="AE56" s="17"/>
      <c r="AF56" s="18"/>
      <c r="AG56" s="14" t="s">
        <v>74</v>
      </c>
      <c r="AH56" s="16" t="s">
        <v>74</v>
      </c>
    </row>
    <row r="57" spans="1:34" ht="58" x14ac:dyDescent="0.35">
      <c r="A57" s="14" t="s">
        <v>113</v>
      </c>
      <c r="B57" s="14" t="s">
        <v>62</v>
      </c>
      <c r="C57" s="15">
        <v>44852.474999999999</v>
      </c>
      <c r="D57" s="14" t="s">
        <v>63</v>
      </c>
      <c r="E57" s="16" t="s">
        <v>64</v>
      </c>
      <c r="F57" s="14" t="s">
        <v>65</v>
      </c>
      <c r="G57" s="16" t="s">
        <v>66</v>
      </c>
      <c r="H57" s="14" t="s">
        <v>228</v>
      </c>
      <c r="I57" s="16" t="s">
        <v>229</v>
      </c>
      <c r="J57" s="16" t="s">
        <v>230</v>
      </c>
      <c r="K57" s="16" t="s">
        <v>231</v>
      </c>
      <c r="L57" s="14" t="s">
        <v>234</v>
      </c>
      <c r="M57" s="16" t="s">
        <v>235</v>
      </c>
      <c r="N57" s="14" t="s">
        <v>111</v>
      </c>
      <c r="O57" s="16" t="s">
        <v>74</v>
      </c>
      <c r="P57" s="16" t="s">
        <v>74</v>
      </c>
      <c r="Q57" s="16" t="s">
        <v>143</v>
      </c>
      <c r="R57" s="14" t="s">
        <v>144</v>
      </c>
      <c r="S57" s="14" t="s">
        <v>77</v>
      </c>
      <c r="T57" s="14" t="s">
        <v>145</v>
      </c>
      <c r="U57" s="14" t="s">
        <v>79</v>
      </c>
      <c r="V57" s="15">
        <v>40725</v>
      </c>
      <c r="W57" s="15"/>
      <c r="X57" s="16" t="s">
        <v>74</v>
      </c>
      <c r="Y57" s="17"/>
      <c r="Z57" s="18"/>
      <c r="AA57" s="17"/>
      <c r="AB57" s="18"/>
      <c r="AC57" s="17"/>
      <c r="AD57" s="18"/>
      <c r="AE57" s="17"/>
      <c r="AF57" s="18"/>
      <c r="AG57" s="14" t="s">
        <v>74</v>
      </c>
      <c r="AH57" s="16" t="s">
        <v>74</v>
      </c>
    </row>
    <row r="58" spans="1:34" ht="58" x14ac:dyDescent="0.35">
      <c r="A58" s="14" t="s">
        <v>113</v>
      </c>
      <c r="B58" s="14" t="s">
        <v>62</v>
      </c>
      <c r="C58" s="15">
        <v>44861.634027777778</v>
      </c>
      <c r="D58" s="14" t="s">
        <v>63</v>
      </c>
      <c r="E58" s="16" t="s">
        <v>64</v>
      </c>
      <c r="F58" s="14" t="s">
        <v>65</v>
      </c>
      <c r="G58" s="16" t="s">
        <v>66</v>
      </c>
      <c r="H58" s="14" t="s">
        <v>228</v>
      </c>
      <c r="I58" s="16" t="s">
        <v>229</v>
      </c>
      <c r="J58" s="16" t="s">
        <v>230</v>
      </c>
      <c r="K58" s="16" t="s">
        <v>231</v>
      </c>
      <c r="L58" s="14" t="s">
        <v>232</v>
      </c>
      <c r="M58" s="16" t="s">
        <v>233</v>
      </c>
      <c r="N58" s="14" t="s">
        <v>73</v>
      </c>
      <c r="O58" s="16" t="s">
        <v>74</v>
      </c>
      <c r="P58" s="16" t="s">
        <v>74</v>
      </c>
      <c r="Q58" s="16" t="s">
        <v>153</v>
      </c>
      <c r="R58" s="14" t="s">
        <v>154</v>
      </c>
      <c r="S58" s="14" t="s">
        <v>120</v>
      </c>
      <c r="T58" s="14" t="s">
        <v>145</v>
      </c>
      <c r="U58" s="14" t="s">
        <v>79</v>
      </c>
      <c r="V58" s="15">
        <v>40725</v>
      </c>
      <c r="W58" s="15"/>
      <c r="X58" s="16" t="s">
        <v>74</v>
      </c>
      <c r="Y58" s="17"/>
      <c r="Z58" s="18"/>
      <c r="AA58" s="17"/>
      <c r="AB58" s="18"/>
      <c r="AC58" s="17"/>
      <c r="AD58" s="18"/>
      <c r="AE58" s="17"/>
      <c r="AF58" s="18"/>
      <c r="AG58" s="14" t="s">
        <v>74</v>
      </c>
      <c r="AH58" s="16" t="s">
        <v>74</v>
      </c>
    </row>
    <row r="59" spans="1:34" ht="58" x14ac:dyDescent="0.35">
      <c r="A59" s="14" t="s">
        <v>113</v>
      </c>
      <c r="B59" s="14" t="s">
        <v>62</v>
      </c>
      <c r="C59" s="15">
        <v>44852.474999999999</v>
      </c>
      <c r="D59" s="14" t="s">
        <v>63</v>
      </c>
      <c r="E59" s="16" t="s">
        <v>64</v>
      </c>
      <c r="F59" s="14" t="s">
        <v>65</v>
      </c>
      <c r="G59" s="16" t="s">
        <v>66</v>
      </c>
      <c r="H59" s="14" t="s">
        <v>228</v>
      </c>
      <c r="I59" s="16" t="s">
        <v>229</v>
      </c>
      <c r="J59" s="16" t="s">
        <v>230</v>
      </c>
      <c r="K59" s="16" t="s">
        <v>231</v>
      </c>
      <c r="L59" s="14" t="s">
        <v>234</v>
      </c>
      <c r="M59" s="16" t="s">
        <v>235</v>
      </c>
      <c r="N59" s="14" t="s">
        <v>111</v>
      </c>
      <c r="O59" s="16" t="s">
        <v>74</v>
      </c>
      <c r="P59" s="16" t="s">
        <v>74</v>
      </c>
      <c r="Q59" s="16" t="s">
        <v>153</v>
      </c>
      <c r="R59" s="14" t="s">
        <v>154</v>
      </c>
      <c r="S59" s="14" t="s">
        <v>120</v>
      </c>
      <c r="T59" s="14" t="s">
        <v>145</v>
      </c>
      <c r="U59" s="14" t="s">
        <v>79</v>
      </c>
      <c r="V59" s="15">
        <v>40725</v>
      </c>
      <c r="W59" s="15"/>
      <c r="X59" s="16" t="s">
        <v>74</v>
      </c>
      <c r="Y59" s="17"/>
      <c r="Z59" s="18"/>
      <c r="AA59" s="17"/>
      <c r="AB59" s="18"/>
      <c r="AC59" s="17"/>
      <c r="AD59" s="18"/>
      <c r="AE59" s="17"/>
      <c r="AF59" s="18"/>
      <c r="AG59" s="14" t="s">
        <v>74</v>
      </c>
      <c r="AH59" s="16" t="s">
        <v>74</v>
      </c>
    </row>
    <row r="60" spans="1:34" ht="58" x14ac:dyDescent="0.35">
      <c r="A60" s="14" t="s">
        <v>113</v>
      </c>
      <c r="B60" s="14" t="s">
        <v>116</v>
      </c>
      <c r="C60" s="15">
        <v>44873.637499999997</v>
      </c>
      <c r="D60" s="14" t="s">
        <v>63</v>
      </c>
      <c r="E60" s="16" t="s">
        <v>64</v>
      </c>
      <c r="F60" s="14" t="s">
        <v>65</v>
      </c>
      <c r="G60" s="16" t="s">
        <v>66</v>
      </c>
      <c r="H60" s="14" t="s">
        <v>228</v>
      </c>
      <c r="I60" s="16" t="s">
        <v>229</v>
      </c>
      <c r="J60" s="16" t="s">
        <v>230</v>
      </c>
      <c r="K60" s="16" t="s">
        <v>231</v>
      </c>
      <c r="L60" s="14" t="s">
        <v>232</v>
      </c>
      <c r="M60" s="16" t="s">
        <v>233</v>
      </c>
      <c r="N60" s="14" t="s">
        <v>73</v>
      </c>
      <c r="O60" s="16" t="s">
        <v>74</v>
      </c>
      <c r="P60" s="16" t="s">
        <v>74</v>
      </c>
      <c r="Q60" s="16" t="s">
        <v>164</v>
      </c>
      <c r="R60" s="14" t="s">
        <v>165</v>
      </c>
      <c r="S60" s="14" t="s">
        <v>120</v>
      </c>
      <c r="T60" s="14" t="s">
        <v>145</v>
      </c>
      <c r="U60" s="14" t="s">
        <v>79</v>
      </c>
      <c r="V60" s="15">
        <v>40725</v>
      </c>
      <c r="W60" s="15"/>
      <c r="X60" s="16" t="s">
        <v>362</v>
      </c>
      <c r="Y60" s="17" t="s">
        <v>363</v>
      </c>
      <c r="Z60" s="18" t="str">
        <f>VLOOKUP(Y60,'Axe 2 Règles de gestion'!$D$2:$F$125,3, FALSE)</f>
        <v>Rémunération : L'agent continue de percevoir sa rémunération.</v>
      </c>
      <c r="AA60" s="17" t="s">
        <v>364</v>
      </c>
      <c r="AB60" s="18" t="str">
        <f>VLOOKUP(AA60,'Axe 2 Règles de gestion'!$D$2:$F$125,3, FALSE)</f>
        <v>Congés annuels : La durée du congé n'est pas imputée sur la durée du congé annuel.</v>
      </c>
      <c r="AC60" s="17" t="s">
        <v>365</v>
      </c>
      <c r="AD60" s="18" t="str">
        <f>VLOOKUP(AC60,'Axe 2 Règles de gestion'!$D$2:$F$125,3, FALSE)</f>
        <v>Carrière : la durée du congé compte pour les droits à avancement.</v>
      </c>
      <c r="AE60" s="17"/>
      <c r="AF60" s="18"/>
      <c r="AG60" s="14" t="s">
        <v>74</v>
      </c>
      <c r="AH60" s="16" t="s">
        <v>74</v>
      </c>
    </row>
    <row r="61" spans="1:34" ht="58" x14ac:dyDescent="0.35">
      <c r="A61" s="14" t="s">
        <v>113</v>
      </c>
      <c r="B61" s="14" t="s">
        <v>62</v>
      </c>
      <c r="C61" s="15">
        <v>44852.474999999999</v>
      </c>
      <c r="D61" s="14" t="s">
        <v>63</v>
      </c>
      <c r="E61" s="16" t="s">
        <v>64</v>
      </c>
      <c r="F61" s="14" t="s">
        <v>65</v>
      </c>
      <c r="G61" s="16" t="s">
        <v>66</v>
      </c>
      <c r="H61" s="14" t="s">
        <v>228</v>
      </c>
      <c r="I61" s="16" t="s">
        <v>229</v>
      </c>
      <c r="J61" s="16" t="s">
        <v>230</v>
      </c>
      <c r="K61" s="16" t="s">
        <v>231</v>
      </c>
      <c r="L61" s="14" t="s">
        <v>234</v>
      </c>
      <c r="M61" s="16" t="s">
        <v>235</v>
      </c>
      <c r="N61" s="14" t="s">
        <v>111</v>
      </c>
      <c r="O61" s="16" t="s">
        <v>74</v>
      </c>
      <c r="P61" s="16" t="s">
        <v>74</v>
      </c>
      <c r="Q61" s="16" t="s">
        <v>164</v>
      </c>
      <c r="R61" s="14" t="s">
        <v>165</v>
      </c>
      <c r="S61" s="14" t="s">
        <v>120</v>
      </c>
      <c r="T61" s="14" t="s">
        <v>145</v>
      </c>
      <c r="U61" s="14" t="s">
        <v>79</v>
      </c>
      <c r="V61" s="15">
        <v>40725</v>
      </c>
      <c r="W61" s="15"/>
      <c r="X61" s="16" t="s">
        <v>74</v>
      </c>
      <c r="Y61" s="17"/>
      <c r="Z61" s="18"/>
      <c r="AA61" s="17"/>
      <c r="AB61" s="18"/>
      <c r="AC61" s="17"/>
      <c r="AD61" s="18"/>
      <c r="AE61" s="17"/>
      <c r="AF61" s="18"/>
      <c r="AG61" s="14" t="s">
        <v>74</v>
      </c>
      <c r="AH61" s="16" t="s">
        <v>74</v>
      </c>
    </row>
    <row r="62" spans="1:34" ht="58" x14ac:dyDescent="0.35">
      <c r="A62" s="14" t="s">
        <v>113</v>
      </c>
      <c r="B62" s="14" t="s">
        <v>62</v>
      </c>
      <c r="C62" s="15">
        <v>44861.634027777778</v>
      </c>
      <c r="D62" s="14" t="s">
        <v>63</v>
      </c>
      <c r="E62" s="16" t="s">
        <v>64</v>
      </c>
      <c r="F62" s="14" t="s">
        <v>65</v>
      </c>
      <c r="G62" s="16" t="s">
        <v>66</v>
      </c>
      <c r="H62" s="14" t="s">
        <v>228</v>
      </c>
      <c r="I62" s="16" t="s">
        <v>229</v>
      </c>
      <c r="J62" s="16" t="s">
        <v>230</v>
      </c>
      <c r="K62" s="16" t="s">
        <v>231</v>
      </c>
      <c r="L62" s="14" t="s">
        <v>232</v>
      </c>
      <c r="M62" s="16" t="s">
        <v>233</v>
      </c>
      <c r="N62" s="14" t="s">
        <v>73</v>
      </c>
      <c r="O62" s="16" t="s">
        <v>74</v>
      </c>
      <c r="P62" s="16" t="s">
        <v>74</v>
      </c>
      <c r="Q62" s="16" t="s">
        <v>166</v>
      </c>
      <c r="R62" s="14" t="s">
        <v>167</v>
      </c>
      <c r="S62" s="14" t="s">
        <v>120</v>
      </c>
      <c r="T62" s="14" t="s">
        <v>145</v>
      </c>
      <c r="U62" s="14" t="s">
        <v>117</v>
      </c>
      <c r="V62" s="15">
        <v>40725</v>
      </c>
      <c r="W62" s="15"/>
      <c r="X62" s="16" t="s">
        <v>74</v>
      </c>
      <c r="Y62" s="17"/>
      <c r="Z62" s="18"/>
      <c r="AA62" s="17"/>
      <c r="AB62" s="18"/>
      <c r="AC62" s="17"/>
      <c r="AD62" s="18"/>
      <c r="AE62" s="17"/>
      <c r="AF62" s="18"/>
      <c r="AG62" s="14" t="s">
        <v>74</v>
      </c>
      <c r="AH62" s="16" t="s">
        <v>74</v>
      </c>
    </row>
    <row r="63" spans="1:34" ht="58" x14ac:dyDescent="0.35">
      <c r="A63" s="14" t="s">
        <v>113</v>
      </c>
      <c r="B63" s="14" t="s">
        <v>62</v>
      </c>
      <c r="C63" s="15">
        <v>44852.474999999999</v>
      </c>
      <c r="D63" s="14" t="s">
        <v>63</v>
      </c>
      <c r="E63" s="16" t="s">
        <v>64</v>
      </c>
      <c r="F63" s="14" t="s">
        <v>65</v>
      </c>
      <c r="G63" s="16" t="s">
        <v>66</v>
      </c>
      <c r="H63" s="14" t="s">
        <v>228</v>
      </c>
      <c r="I63" s="16" t="s">
        <v>229</v>
      </c>
      <c r="J63" s="16" t="s">
        <v>230</v>
      </c>
      <c r="K63" s="16" t="s">
        <v>231</v>
      </c>
      <c r="L63" s="14" t="s">
        <v>234</v>
      </c>
      <c r="M63" s="16" t="s">
        <v>235</v>
      </c>
      <c r="N63" s="14" t="s">
        <v>111</v>
      </c>
      <c r="O63" s="16" t="s">
        <v>74</v>
      </c>
      <c r="P63" s="16" t="s">
        <v>74</v>
      </c>
      <c r="Q63" s="16" t="s">
        <v>166</v>
      </c>
      <c r="R63" s="14" t="s">
        <v>167</v>
      </c>
      <c r="S63" s="14" t="s">
        <v>120</v>
      </c>
      <c r="T63" s="14" t="s">
        <v>145</v>
      </c>
      <c r="U63" s="14" t="s">
        <v>117</v>
      </c>
      <c r="V63" s="15">
        <v>40725</v>
      </c>
      <c r="W63" s="15"/>
      <c r="X63" s="16" t="s">
        <v>74</v>
      </c>
      <c r="Y63" s="17"/>
      <c r="Z63" s="18"/>
      <c r="AA63" s="17"/>
      <c r="AB63" s="18"/>
      <c r="AC63" s="17"/>
      <c r="AD63" s="18"/>
      <c r="AE63" s="17"/>
      <c r="AF63" s="18"/>
      <c r="AG63" s="14" t="s">
        <v>74</v>
      </c>
      <c r="AH63" s="16" t="s">
        <v>74</v>
      </c>
    </row>
    <row r="64" spans="1:34" ht="58" x14ac:dyDescent="0.35">
      <c r="A64" s="14" t="s">
        <v>113</v>
      </c>
      <c r="B64" s="14" t="s">
        <v>62</v>
      </c>
      <c r="C64" s="15">
        <v>44861.634027777778</v>
      </c>
      <c r="D64" s="14" t="s">
        <v>63</v>
      </c>
      <c r="E64" s="16" t="s">
        <v>64</v>
      </c>
      <c r="F64" s="14" t="s">
        <v>65</v>
      </c>
      <c r="G64" s="16" t="s">
        <v>66</v>
      </c>
      <c r="H64" s="14" t="s">
        <v>228</v>
      </c>
      <c r="I64" s="16" t="s">
        <v>229</v>
      </c>
      <c r="J64" s="16" t="s">
        <v>230</v>
      </c>
      <c r="K64" s="16" t="s">
        <v>231</v>
      </c>
      <c r="L64" s="14" t="s">
        <v>232</v>
      </c>
      <c r="M64" s="16" t="s">
        <v>233</v>
      </c>
      <c r="N64" s="14" t="s">
        <v>73</v>
      </c>
      <c r="O64" s="16" t="s">
        <v>74</v>
      </c>
      <c r="P64" s="16" t="s">
        <v>74</v>
      </c>
      <c r="Q64" s="16" t="s">
        <v>168</v>
      </c>
      <c r="R64" s="14" t="s">
        <v>169</v>
      </c>
      <c r="S64" s="14" t="s">
        <v>120</v>
      </c>
      <c r="T64" s="14" t="s">
        <v>145</v>
      </c>
      <c r="U64" s="14" t="s">
        <v>79</v>
      </c>
      <c r="V64" s="15">
        <v>40725</v>
      </c>
      <c r="W64" s="15"/>
      <c r="X64" s="16" t="s">
        <v>74</v>
      </c>
      <c r="Y64" s="17"/>
      <c r="Z64" s="18"/>
      <c r="AA64" s="17"/>
      <c r="AB64" s="18"/>
      <c r="AC64" s="17"/>
      <c r="AD64" s="18"/>
      <c r="AE64" s="17"/>
      <c r="AF64" s="18"/>
      <c r="AG64" s="14" t="s">
        <v>74</v>
      </c>
      <c r="AH64" s="16" t="s">
        <v>74</v>
      </c>
    </row>
    <row r="65" spans="1:34" ht="58" x14ac:dyDescent="0.35">
      <c r="A65" s="14" t="s">
        <v>113</v>
      </c>
      <c r="B65" s="14" t="s">
        <v>62</v>
      </c>
      <c r="C65" s="15">
        <v>44852.474999999999</v>
      </c>
      <c r="D65" s="14" t="s">
        <v>63</v>
      </c>
      <c r="E65" s="16" t="s">
        <v>64</v>
      </c>
      <c r="F65" s="14" t="s">
        <v>65</v>
      </c>
      <c r="G65" s="16" t="s">
        <v>66</v>
      </c>
      <c r="H65" s="14" t="s">
        <v>228</v>
      </c>
      <c r="I65" s="16" t="s">
        <v>229</v>
      </c>
      <c r="J65" s="16" t="s">
        <v>230</v>
      </c>
      <c r="K65" s="16" t="s">
        <v>231</v>
      </c>
      <c r="L65" s="14" t="s">
        <v>234</v>
      </c>
      <c r="M65" s="16" t="s">
        <v>235</v>
      </c>
      <c r="N65" s="14" t="s">
        <v>111</v>
      </c>
      <c r="O65" s="16" t="s">
        <v>74</v>
      </c>
      <c r="P65" s="16" t="s">
        <v>74</v>
      </c>
      <c r="Q65" s="16" t="s">
        <v>168</v>
      </c>
      <c r="R65" s="14" t="s">
        <v>169</v>
      </c>
      <c r="S65" s="14" t="s">
        <v>120</v>
      </c>
      <c r="T65" s="14" t="s">
        <v>145</v>
      </c>
      <c r="U65" s="14" t="s">
        <v>79</v>
      </c>
      <c r="V65" s="15">
        <v>40725</v>
      </c>
      <c r="W65" s="15"/>
      <c r="X65" s="16" t="s">
        <v>74</v>
      </c>
      <c r="Y65" s="17"/>
      <c r="Z65" s="18"/>
      <c r="AA65" s="17"/>
      <c r="AB65" s="18"/>
      <c r="AC65" s="17"/>
      <c r="AD65" s="18"/>
      <c r="AE65" s="17"/>
      <c r="AF65" s="18"/>
      <c r="AG65" s="14" t="s">
        <v>74</v>
      </c>
      <c r="AH65" s="16" t="s">
        <v>74</v>
      </c>
    </row>
    <row r="66" spans="1:34" ht="58" x14ac:dyDescent="0.35">
      <c r="A66" s="14" t="s">
        <v>113</v>
      </c>
      <c r="B66" s="14" t="s">
        <v>116</v>
      </c>
      <c r="C66" s="15">
        <v>44854.579861111109</v>
      </c>
      <c r="D66" s="14" t="s">
        <v>63</v>
      </c>
      <c r="E66" s="16" t="s">
        <v>64</v>
      </c>
      <c r="F66" s="14" t="s">
        <v>65</v>
      </c>
      <c r="G66" s="16" t="s">
        <v>66</v>
      </c>
      <c r="H66" s="14" t="s">
        <v>255</v>
      </c>
      <c r="I66" s="16" t="s">
        <v>256</v>
      </c>
      <c r="J66" s="16" t="s">
        <v>257</v>
      </c>
      <c r="K66" s="16" t="s">
        <v>258</v>
      </c>
      <c r="L66" s="14" t="s">
        <v>259</v>
      </c>
      <c r="M66" s="16" t="s">
        <v>260</v>
      </c>
      <c r="N66" s="14" t="s">
        <v>73</v>
      </c>
      <c r="O66" s="16" t="s">
        <v>74</v>
      </c>
      <c r="P66" s="16" t="s">
        <v>74</v>
      </c>
      <c r="Q66" s="16" t="s">
        <v>75</v>
      </c>
      <c r="R66" s="14" t="s">
        <v>76</v>
      </c>
      <c r="S66" s="14" t="s">
        <v>77</v>
      </c>
      <c r="T66" s="14" t="s">
        <v>78</v>
      </c>
      <c r="U66" s="14" t="s">
        <v>79</v>
      </c>
      <c r="V66" s="15">
        <v>40725</v>
      </c>
      <c r="W66" s="15"/>
      <c r="X66" s="16" t="s">
        <v>377</v>
      </c>
      <c r="Y66" s="17" t="s">
        <v>378</v>
      </c>
      <c r="Z66" s="18" t="str">
        <f>VLOOKUP(Y66,'Axe 2 Règles de gestion'!$D$2:$F$125,3, FALSE)</f>
        <v>Congés annuels : La durée du congé n'est pas imputée sur la durée du congé annuel.</v>
      </c>
      <c r="AA66" s="17" t="s">
        <v>379</v>
      </c>
      <c r="AB66" s="18" t="str">
        <f>VLOOKUP(AA66,'Axe 2 Règles de gestion'!$D$2:$F$125,3, FALSE)</f>
        <v>Carrière : la durée du congé compte pour les droits à avancement.</v>
      </c>
      <c r="AC66" s="17"/>
      <c r="AD66" s="18"/>
      <c r="AE66" s="17"/>
      <c r="AF66" s="18"/>
      <c r="AG66" s="14" t="s">
        <v>74</v>
      </c>
      <c r="AH66" s="16" t="s">
        <v>74</v>
      </c>
    </row>
    <row r="67" spans="1:34" ht="58" x14ac:dyDescent="0.35">
      <c r="A67" s="14" t="s">
        <v>113</v>
      </c>
      <c r="B67" s="14" t="s">
        <v>62</v>
      </c>
      <c r="C67" s="15">
        <v>44852.486111111109</v>
      </c>
      <c r="D67" s="14" t="s">
        <v>63</v>
      </c>
      <c r="E67" s="16" t="s">
        <v>64</v>
      </c>
      <c r="F67" s="14" t="s">
        <v>65</v>
      </c>
      <c r="G67" s="16" t="s">
        <v>66</v>
      </c>
      <c r="H67" s="14" t="s">
        <v>255</v>
      </c>
      <c r="I67" s="16" t="s">
        <v>256</v>
      </c>
      <c r="J67" s="16" t="s">
        <v>257</v>
      </c>
      <c r="K67" s="16" t="s">
        <v>258</v>
      </c>
      <c r="L67" s="14" t="s">
        <v>266</v>
      </c>
      <c r="M67" s="16" t="s">
        <v>267</v>
      </c>
      <c r="N67" s="14" t="s">
        <v>111</v>
      </c>
      <c r="O67" s="16" t="s">
        <v>74</v>
      </c>
      <c r="P67" s="16" t="s">
        <v>74</v>
      </c>
      <c r="Q67" s="16" t="s">
        <v>75</v>
      </c>
      <c r="R67" s="14" t="s">
        <v>76</v>
      </c>
      <c r="S67" s="14" t="s">
        <v>77</v>
      </c>
      <c r="T67" s="14" t="s">
        <v>78</v>
      </c>
      <c r="U67" s="14" t="s">
        <v>79</v>
      </c>
      <c r="V67" s="15">
        <v>40725</v>
      </c>
      <c r="W67" s="15"/>
      <c r="X67" s="16" t="s">
        <v>74</v>
      </c>
      <c r="Y67" s="17"/>
      <c r="Z67" s="18"/>
      <c r="AA67" s="17"/>
      <c r="AB67" s="18"/>
      <c r="AC67" s="17"/>
      <c r="AD67" s="18"/>
      <c r="AE67" s="17"/>
      <c r="AF67" s="18"/>
      <c r="AG67" s="14" t="s">
        <v>74</v>
      </c>
      <c r="AH67" s="16" t="s">
        <v>74</v>
      </c>
    </row>
    <row r="68" spans="1:34" ht="58" x14ac:dyDescent="0.35">
      <c r="A68" s="14" t="s">
        <v>113</v>
      </c>
      <c r="B68" s="14" t="s">
        <v>62</v>
      </c>
      <c r="C68" s="15">
        <v>44886.494444444441</v>
      </c>
      <c r="D68" s="14" t="s">
        <v>63</v>
      </c>
      <c r="E68" s="16" t="s">
        <v>64</v>
      </c>
      <c r="F68" s="14" t="s">
        <v>65</v>
      </c>
      <c r="G68" s="16" t="s">
        <v>66</v>
      </c>
      <c r="H68" s="14" t="s">
        <v>255</v>
      </c>
      <c r="I68" s="16" t="s">
        <v>256</v>
      </c>
      <c r="J68" s="16" t="s">
        <v>257</v>
      </c>
      <c r="K68" s="16" t="s">
        <v>258</v>
      </c>
      <c r="L68" s="14" t="s">
        <v>259</v>
      </c>
      <c r="M68" s="16" t="s">
        <v>260</v>
      </c>
      <c r="N68" s="14" t="s">
        <v>73</v>
      </c>
      <c r="O68" s="16" t="s">
        <v>74</v>
      </c>
      <c r="P68" s="16" t="s">
        <v>74</v>
      </c>
      <c r="Q68" s="16" t="s">
        <v>114</v>
      </c>
      <c r="R68" s="14" t="s">
        <v>115</v>
      </c>
      <c r="S68" s="14" t="s">
        <v>116</v>
      </c>
      <c r="T68" s="14" t="s">
        <v>78</v>
      </c>
      <c r="U68" s="14" t="s">
        <v>117</v>
      </c>
      <c r="V68" s="15">
        <v>43831</v>
      </c>
      <c r="W68" s="15"/>
      <c r="X68" s="16" t="s">
        <v>74</v>
      </c>
      <c r="Y68" s="17"/>
      <c r="Z68" s="18"/>
      <c r="AA68" s="17"/>
      <c r="AB68" s="18"/>
      <c r="AC68" s="17"/>
      <c r="AD68" s="18"/>
      <c r="AE68" s="17"/>
      <c r="AF68" s="18"/>
      <c r="AG68" s="14" t="s">
        <v>74</v>
      </c>
      <c r="AH68" s="16" t="s">
        <v>74</v>
      </c>
    </row>
    <row r="69" spans="1:34" ht="58" x14ac:dyDescent="0.35">
      <c r="A69" s="14" t="s">
        <v>113</v>
      </c>
      <c r="B69" s="14" t="s">
        <v>62</v>
      </c>
      <c r="C69" s="15">
        <v>44886.494444444441</v>
      </c>
      <c r="D69" s="14" t="s">
        <v>63</v>
      </c>
      <c r="E69" s="16" t="s">
        <v>64</v>
      </c>
      <c r="F69" s="14" t="s">
        <v>65</v>
      </c>
      <c r="G69" s="16" t="s">
        <v>66</v>
      </c>
      <c r="H69" s="14" t="s">
        <v>255</v>
      </c>
      <c r="I69" s="16" t="s">
        <v>256</v>
      </c>
      <c r="J69" s="16" t="s">
        <v>257</v>
      </c>
      <c r="K69" s="16" t="s">
        <v>258</v>
      </c>
      <c r="L69" s="14" t="s">
        <v>266</v>
      </c>
      <c r="M69" s="16" t="s">
        <v>267</v>
      </c>
      <c r="N69" s="14" t="s">
        <v>111</v>
      </c>
      <c r="O69" s="16" t="s">
        <v>74</v>
      </c>
      <c r="P69" s="16" t="s">
        <v>74</v>
      </c>
      <c r="Q69" s="16" t="s">
        <v>114</v>
      </c>
      <c r="R69" s="14" t="s">
        <v>115</v>
      </c>
      <c r="S69" s="14" t="s">
        <v>116</v>
      </c>
      <c r="T69" s="14" t="s">
        <v>78</v>
      </c>
      <c r="U69" s="14" t="s">
        <v>117</v>
      </c>
      <c r="V69" s="15">
        <v>43831</v>
      </c>
      <c r="W69" s="15"/>
      <c r="X69" s="16" t="s">
        <v>74</v>
      </c>
      <c r="Y69" s="17"/>
      <c r="Z69" s="18"/>
      <c r="AA69" s="17"/>
      <c r="AB69" s="18"/>
      <c r="AC69" s="17"/>
      <c r="AD69" s="18"/>
      <c r="AE69" s="17"/>
      <c r="AF69" s="18"/>
      <c r="AG69" s="14" t="s">
        <v>74</v>
      </c>
      <c r="AH69" s="16" t="s">
        <v>74</v>
      </c>
    </row>
    <row r="70" spans="1:34" ht="58" x14ac:dyDescent="0.35">
      <c r="A70" s="14" t="s">
        <v>113</v>
      </c>
      <c r="B70" s="14" t="s">
        <v>116</v>
      </c>
      <c r="C70" s="15">
        <v>44854.579861111109</v>
      </c>
      <c r="D70" s="14" t="s">
        <v>63</v>
      </c>
      <c r="E70" s="16" t="s">
        <v>64</v>
      </c>
      <c r="F70" s="14" t="s">
        <v>65</v>
      </c>
      <c r="G70" s="16" t="s">
        <v>66</v>
      </c>
      <c r="H70" s="14" t="s">
        <v>255</v>
      </c>
      <c r="I70" s="16" t="s">
        <v>256</v>
      </c>
      <c r="J70" s="16" t="s">
        <v>257</v>
      </c>
      <c r="K70" s="16" t="s">
        <v>258</v>
      </c>
      <c r="L70" s="14" t="s">
        <v>259</v>
      </c>
      <c r="M70" s="16" t="s">
        <v>260</v>
      </c>
      <c r="N70" s="14" t="s">
        <v>73</v>
      </c>
      <c r="O70" s="16" t="s">
        <v>74</v>
      </c>
      <c r="P70" s="16" t="s">
        <v>74</v>
      </c>
      <c r="Q70" s="16" t="s">
        <v>118</v>
      </c>
      <c r="R70" s="14" t="s">
        <v>119</v>
      </c>
      <c r="S70" s="14" t="s">
        <v>120</v>
      </c>
      <c r="T70" s="14" t="s">
        <v>78</v>
      </c>
      <c r="U70" s="14" t="s">
        <v>79</v>
      </c>
      <c r="V70" s="15">
        <v>40725</v>
      </c>
      <c r="W70" s="15"/>
      <c r="X70" s="16" t="s">
        <v>380</v>
      </c>
      <c r="Y70" s="17" t="s">
        <v>378</v>
      </c>
      <c r="Z70" s="18" t="str">
        <f>VLOOKUP(Y70,'Axe 2 Règles de gestion'!$D$2:$F$125,3, FALSE)</f>
        <v>Congés annuels : La durée du congé n'est pas imputée sur la durée du congé annuel.</v>
      </c>
      <c r="AA70" s="17" t="s">
        <v>381</v>
      </c>
      <c r="AB70" s="18" t="str">
        <f>VLOOKUP(AA70,'Axe 2 Règles de gestion'!$D$2:$F$125,3, FALSE)</f>
        <v>Rémunération : L'agent continue de percevoir son traitement.</v>
      </c>
      <c r="AC70" s="17" t="s">
        <v>379</v>
      </c>
      <c r="AD70" s="18" t="str">
        <f>VLOOKUP(AC70,'Axe 2 Règles de gestion'!$D$2:$F$125,3, FALSE)</f>
        <v>Carrière : la durée du congé compte pour les droits à avancement.</v>
      </c>
      <c r="AE70" s="17"/>
      <c r="AF70" s="18"/>
      <c r="AG70" s="14" t="s">
        <v>74</v>
      </c>
      <c r="AH70" s="16" t="s">
        <v>74</v>
      </c>
    </row>
    <row r="71" spans="1:34" ht="58" x14ac:dyDescent="0.35">
      <c r="A71" s="14" t="s">
        <v>113</v>
      </c>
      <c r="B71" s="14" t="s">
        <v>62</v>
      </c>
      <c r="C71" s="15">
        <v>44852.486111111109</v>
      </c>
      <c r="D71" s="14" t="s">
        <v>63</v>
      </c>
      <c r="E71" s="16" t="s">
        <v>64</v>
      </c>
      <c r="F71" s="14" t="s">
        <v>65</v>
      </c>
      <c r="G71" s="16" t="s">
        <v>66</v>
      </c>
      <c r="H71" s="14" t="s">
        <v>255</v>
      </c>
      <c r="I71" s="16" t="s">
        <v>256</v>
      </c>
      <c r="J71" s="16" t="s">
        <v>257</v>
      </c>
      <c r="K71" s="16" t="s">
        <v>258</v>
      </c>
      <c r="L71" s="14" t="s">
        <v>266</v>
      </c>
      <c r="M71" s="16" t="s">
        <v>267</v>
      </c>
      <c r="N71" s="14" t="s">
        <v>111</v>
      </c>
      <c r="O71" s="16" t="s">
        <v>74</v>
      </c>
      <c r="P71" s="16" t="s">
        <v>74</v>
      </c>
      <c r="Q71" s="16" t="s">
        <v>118</v>
      </c>
      <c r="R71" s="14" t="s">
        <v>119</v>
      </c>
      <c r="S71" s="14" t="s">
        <v>120</v>
      </c>
      <c r="T71" s="14" t="s">
        <v>78</v>
      </c>
      <c r="U71" s="14" t="s">
        <v>79</v>
      </c>
      <c r="V71" s="15">
        <v>40725</v>
      </c>
      <c r="W71" s="15"/>
      <c r="X71" s="16" t="s">
        <v>74</v>
      </c>
      <c r="Y71" s="17"/>
      <c r="Z71" s="18"/>
      <c r="AA71" s="17"/>
      <c r="AB71" s="18"/>
      <c r="AC71" s="17"/>
      <c r="AD71" s="18"/>
      <c r="AE71" s="17"/>
      <c r="AF71" s="18"/>
      <c r="AG71" s="14" t="s">
        <v>74</v>
      </c>
      <c r="AH71" s="16" t="s">
        <v>74</v>
      </c>
    </row>
    <row r="72" spans="1:34" ht="58" x14ac:dyDescent="0.35">
      <c r="A72" s="14" t="s">
        <v>113</v>
      </c>
      <c r="B72" s="14" t="s">
        <v>62</v>
      </c>
      <c r="C72" s="15">
        <v>44852.482638888891</v>
      </c>
      <c r="D72" s="14" t="s">
        <v>63</v>
      </c>
      <c r="E72" s="16" t="s">
        <v>64</v>
      </c>
      <c r="F72" s="14" t="s">
        <v>65</v>
      </c>
      <c r="G72" s="16" t="s">
        <v>66</v>
      </c>
      <c r="H72" s="14" t="s">
        <v>255</v>
      </c>
      <c r="I72" s="16" t="s">
        <v>256</v>
      </c>
      <c r="J72" s="16" t="s">
        <v>257</v>
      </c>
      <c r="K72" s="16" t="s">
        <v>258</v>
      </c>
      <c r="L72" s="14" t="s">
        <v>259</v>
      </c>
      <c r="M72" s="16" t="s">
        <v>260</v>
      </c>
      <c r="N72" s="14" t="s">
        <v>73</v>
      </c>
      <c r="O72" s="16" t="s">
        <v>74</v>
      </c>
      <c r="P72" s="16" t="s">
        <v>74</v>
      </c>
      <c r="Q72" s="16" t="s">
        <v>137</v>
      </c>
      <c r="R72" s="14" t="s">
        <v>138</v>
      </c>
      <c r="S72" s="14" t="s">
        <v>139</v>
      </c>
      <c r="T72" s="14" t="s">
        <v>78</v>
      </c>
      <c r="U72" s="14" t="s">
        <v>117</v>
      </c>
      <c r="V72" s="15">
        <v>40725</v>
      </c>
      <c r="W72" s="15"/>
      <c r="X72" s="16" t="s">
        <v>74</v>
      </c>
      <c r="Y72" s="17"/>
      <c r="Z72" s="18"/>
      <c r="AA72" s="17"/>
      <c r="AB72" s="18"/>
      <c r="AC72" s="17"/>
      <c r="AD72" s="18"/>
      <c r="AE72" s="17"/>
      <c r="AF72" s="18"/>
      <c r="AG72" s="14" t="s">
        <v>74</v>
      </c>
      <c r="AH72" s="16" t="s">
        <v>74</v>
      </c>
    </row>
    <row r="73" spans="1:34" ht="58" x14ac:dyDescent="0.35">
      <c r="A73" s="14" t="s">
        <v>113</v>
      </c>
      <c r="B73" s="14" t="s">
        <v>62</v>
      </c>
      <c r="C73" s="15">
        <v>44852.486111111109</v>
      </c>
      <c r="D73" s="14" t="s">
        <v>63</v>
      </c>
      <c r="E73" s="16" t="s">
        <v>64</v>
      </c>
      <c r="F73" s="14" t="s">
        <v>65</v>
      </c>
      <c r="G73" s="16" t="s">
        <v>66</v>
      </c>
      <c r="H73" s="14" t="s">
        <v>255</v>
      </c>
      <c r="I73" s="16" t="s">
        <v>256</v>
      </c>
      <c r="J73" s="16" t="s">
        <v>257</v>
      </c>
      <c r="K73" s="16" t="s">
        <v>258</v>
      </c>
      <c r="L73" s="14" t="s">
        <v>266</v>
      </c>
      <c r="M73" s="16" t="s">
        <v>267</v>
      </c>
      <c r="N73" s="14" t="s">
        <v>111</v>
      </c>
      <c r="O73" s="16" t="s">
        <v>74</v>
      </c>
      <c r="P73" s="16" t="s">
        <v>74</v>
      </c>
      <c r="Q73" s="16" t="s">
        <v>137</v>
      </c>
      <c r="R73" s="14" t="s">
        <v>138</v>
      </c>
      <c r="S73" s="14" t="s">
        <v>139</v>
      </c>
      <c r="T73" s="14" t="s">
        <v>78</v>
      </c>
      <c r="U73" s="14" t="s">
        <v>117</v>
      </c>
      <c r="V73" s="15">
        <v>40725</v>
      </c>
      <c r="W73" s="15"/>
      <c r="X73" s="16" t="s">
        <v>74</v>
      </c>
      <c r="Y73" s="17"/>
      <c r="Z73" s="18"/>
      <c r="AA73" s="17"/>
      <c r="AB73" s="18"/>
      <c r="AC73" s="17"/>
      <c r="AD73" s="18"/>
      <c r="AE73" s="17"/>
      <c r="AF73" s="18"/>
      <c r="AG73" s="14" t="s">
        <v>74</v>
      </c>
      <c r="AH73" s="16" t="s">
        <v>74</v>
      </c>
    </row>
    <row r="74" spans="1:34" ht="58" x14ac:dyDescent="0.35">
      <c r="A74" s="14" t="s">
        <v>113</v>
      </c>
      <c r="B74" s="14" t="s">
        <v>116</v>
      </c>
      <c r="C74" s="15">
        <v>44854.579861111109</v>
      </c>
      <c r="D74" s="14" t="s">
        <v>63</v>
      </c>
      <c r="E74" s="16" t="s">
        <v>64</v>
      </c>
      <c r="F74" s="14" t="s">
        <v>65</v>
      </c>
      <c r="G74" s="16" t="s">
        <v>66</v>
      </c>
      <c r="H74" s="14" t="s">
        <v>255</v>
      </c>
      <c r="I74" s="16" t="s">
        <v>256</v>
      </c>
      <c r="J74" s="16" t="s">
        <v>257</v>
      </c>
      <c r="K74" s="16" t="s">
        <v>258</v>
      </c>
      <c r="L74" s="14" t="s">
        <v>259</v>
      </c>
      <c r="M74" s="16" t="s">
        <v>260</v>
      </c>
      <c r="N74" s="14" t="s">
        <v>73</v>
      </c>
      <c r="O74" s="16" t="s">
        <v>74</v>
      </c>
      <c r="P74" s="16" t="s">
        <v>74</v>
      </c>
      <c r="Q74" s="16" t="s">
        <v>140</v>
      </c>
      <c r="R74" s="14" t="s">
        <v>141</v>
      </c>
      <c r="S74" s="14" t="s">
        <v>142</v>
      </c>
      <c r="T74" s="14" t="s">
        <v>78</v>
      </c>
      <c r="U74" s="14" t="s">
        <v>79</v>
      </c>
      <c r="V74" s="15">
        <v>40725</v>
      </c>
      <c r="W74" s="15"/>
      <c r="X74" s="16" t="s">
        <v>382</v>
      </c>
      <c r="Y74" s="17" t="s">
        <v>383</v>
      </c>
      <c r="Z74" s="18" t="str">
        <f>VLOOKUP(Y74,'Axe 2 Règles de gestion'!$D$2:$F$125,3, FALSE)</f>
        <v>Rémunération : L'agent continue de percevoir son salaire.</v>
      </c>
      <c r="AA74" s="17" t="s">
        <v>384</v>
      </c>
      <c r="AB74" s="18" t="str">
        <f>VLOOKUP(AA74,'Axe 2 Règles de gestion'!$D$2:$F$125,3, FALSE)</f>
        <v>Congés annuels : La durée du congé n'est pas imputée sur la durée du congé annuel.</v>
      </c>
      <c r="AC74" s="17"/>
      <c r="AD74" s="18"/>
      <c r="AE74" s="17"/>
      <c r="AF74" s="18"/>
      <c r="AG74" s="14" t="s">
        <v>74</v>
      </c>
      <c r="AH74" s="16" t="s">
        <v>74</v>
      </c>
    </row>
    <row r="75" spans="1:34" ht="58" x14ac:dyDescent="0.35">
      <c r="A75" s="14" t="s">
        <v>113</v>
      </c>
      <c r="B75" s="14" t="s">
        <v>62</v>
      </c>
      <c r="C75" s="15">
        <v>44852.486111111109</v>
      </c>
      <c r="D75" s="14" t="s">
        <v>63</v>
      </c>
      <c r="E75" s="16" t="s">
        <v>64</v>
      </c>
      <c r="F75" s="14" t="s">
        <v>65</v>
      </c>
      <c r="G75" s="16" t="s">
        <v>66</v>
      </c>
      <c r="H75" s="14" t="s">
        <v>255</v>
      </c>
      <c r="I75" s="16" t="s">
        <v>256</v>
      </c>
      <c r="J75" s="16" t="s">
        <v>257</v>
      </c>
      <c r="K75" s="16" t="s">
        <v>258</v>
      </c>
      <c r="L75" s="14" t="s">
        <v>266</v>
      </c>
      <c r="M75" s="16" t="s">
        <v>267</v>
      </c>
      <c r="N75" s="14" t="s">
        <v>111</v>
      </c>
      <c r="O75" s="16" t="s">
        <v>74</v>
      </c>
      <c r="P75" s="16" t="s">
        <v>74</v>
      </c>
      <c r="Q75" s="16" t="s">
        <v>140</v>
      </c>
      <c r="R75" s="14" t="s">
        <v>141</v>
      </c>
      <c r="S75" s="14" t="s">
        <v>142</v>
      </c>
      <c r="T75" s="14" t="s">
        <v>78</v>
      </c>
      <c r="U75" s="14" t="s">
        <v>79</v>
      </c>
      <c r="V75" s="15">
        <v>40725</v>
      </c>
      <c r="W75" s="15"/>
      <c r="X75" s="16" t="s">
        <v>74</v>
      </c>
      <c r="Y75" s="17"/>
      <c r="Z75" s="18"/>
      <c r="AA75" s="17"/>
      <c r="AB75" s="18"/>
      <c r="AC75" s="17"/>
      <c r="AD75" s="18"/>
      <c r="AE75" s="17"/>
      <c r="AF75" s="18"/>
      <c r="AG75" s="14" t="s">
        <v>74</v>
      </c>
      <c r="AH75" s="16" t="s">
        <v>74</v>
      </c>
    </row>
    <row r="76" spans="1:34" ht="58" x14ac:dyDescent="0.35">
      <c r="A76" s="14" t="s">
        <v>113</v>
      </c>
      <c r="B76" s="14" t="s">
        <v>62</v>
      </c>
      <c r="C76" s="15">
        <v>44852.482638888891</v>
      </c>
      <c r="D76" s="14" t="s">
        <v>63</v>
      </c>
      <c r="E76" s="16" t="s">
        <v>64</v>
      </c>
      <c r="F76" s="14" t="s">
        <v>65</v>
      </c>
      <c r="G76" s="16" t="s">
        <v>66</v>
      </c>
      <c r="H76" s="14" t="s">
        <v>255</v>
      </c>
      <c r="I76" s="16" t="s">
        <v>256</v>
      </c>
      <c r="J76" s="16" t="s">
        <v>257</v>
      </c>
      <c r="K76" s="16" t="s">
        <v>258</v>
      </c>
      <c r="L76" s="14" t="s">
        <v>259</v>
      </c>
      <c r="M76" s="16" t="s">
        <v>260</v>
      </c>
      <c r="N76" s="14" t="s">
        <v>73</v>
      </c>
      <c r="O76" s="16" t="s">
        <v>74</v>
      </c>
      <c r="P76" s="16" t="s">
        <v>74</v>
      </c>
      <c r="Q76" s="16" t="s">
        <v>143</v>
      </c>
      <c r="R76" s="14" t="s">
        <v>144</v>
      </c>
      <c r="S76" s="14" t="s">
        <v>77</v>
      </c>
      <c r="T76" s="14" t="s">
        <v>145</v>
      </c>
      <c r="U76" s="14" t="s">
        <v>79</v>
      </c>
      <c r="V76" s="15">
        <v>40725</v>
      </c>
      <c r="W76" s="15"/>
      <c r="X76" s="16" t="s">
        <v>74</v>
      </c>
      <c r="Y76" s="17"/>
      <c r="Z76" s="18"/>
      <c r="AA76" s="17"/>
      <c r="AB76" s="18"/>
      <c r="AC76" s="17"/>
      <c r="AD76" s="18"/>
      <c r="AE76" s="17"/>
      <c r="AF76" s="18"/>
      <c r="AG76" s="14" t="s">
        <v>74</v>
      </c>
      <c r="AH76" s="16" t="s">
        <v>74</v>
      </c>
    </row>
    <row r="77" spans="1:34" ht="58" x14ac:dyDescent="0.35">
      <c r="A77" s="14" t="s">
        <v>113</v>
      </c>
      <c r="B77" s="14" t="s">
        <v>62</v>
      </c>
      <c r="C77" s="15">
        <v>44852.486111111109</v>
      </c>
      <c r="D77" s="14" t="s">
        <v>63</v>
      </c>
      <c r="E77" s="16" t="s">
        <v>64</v>
      </c>
      <c r="F77" s="14" t="s">
        <v>65</v>
      </c>
      <c r="G77" s="16" t="s">
        <v>66</v>
      </c>
      <c r="H77" s="14" t="s">
        <v>255</v>
      </c>
      <c r="I77" s="16" t="s">
        <v>256</v>
      </c>
      <c r="J77" s="16" t="s">
        <v>257</v>
      </c>
      <c r="K77" s="16" t="s">
        <v>258</v>
      </c>
      <c r="L77" s="14" t="s">
        <v>266</v>
      </c>
      <c r="M77" s="16" t="s">
        <v>267</v>
      </c>
      <c r="N77" s="14" t="s">
        <v>111</v>
      </c>
      <c r="O77" s="16" t="s">
        <v>74</v>
      </c>
      <c r="P77" s="16" t="s">
        <v>74</v>
      </c>
      <c r="Q77" s="16" t="s">
        <v>143</v>
      </c>
      <c r="R77" s="14" t="s">
        <v>144</v>
      </c>
      <c r="S77" s="14" t="s">
        <v>77</v>
      </c>
      <c r="T77" s="14" t="s">
        <v>145</v>
      </c>
      <c r="U77" s="14" t="s">
        <v>79</v>
      </c>
      <c r="V77" s="15">
        <v>40725</v>
      </c>
      <c r="W77" s="15"/>
      <c r="X77" s="16" t="s">
        <v>74</v>
      </c>
      <c r="Y77" s="17"/>
      <c r="Z77" s="18"/>
      <c r="AA77" s="17"/>
      <c r="AB77" s="18"/>
      <c r="AC77" s="17"/>
      <c r="AD77" s="18"/>
      <c r="AE77" s="17"/>
      <c r="AF77" s="18"/>
      <c r="AG77" s="14" t="s">
        <v>74</v>
      </c>
      <c r="AH77" s="16" t="s">
        <v>74</v>
      </c>
    </row>
    <row r="78" spans="1:34" ht="58" x14ac:dyDescent="0.35">
      <c r="A78" s="14" t="s">
        <v>113</v>
      </c>
      <c r="B78" s="14" t="s">
        <v>62</v>
      </c>
      <c r="C78" s="15">
        <v>44852.482638888891</v>
      </c>
      <c r="D78" s="14" t="s">
        <v>63</v>
      </c>
      <c r="E78" s="16" t="s">
        <v>64</v>
      </c>
      <c r="F78" s="14" t="s">
        <v>65</v>
      </c>
      <c r="G78" s="16" t="s">
        <v>66</v>
      </c>
      <c r="H78" s="14" t="s">
        <v>255</v>
      </c>
      <c r="I78" s="16" t="s">
        <v>256</v>
      </c>
      <c r="J78" s="16" t="s">
        <v>257</v>
      </c>
      <c r="K78" s="16" t="s">
        <v>258</v>
      </c>
      <c r="L78" s="14" t="s">
        <v>259</v>
      </c>
      <c r="M78" s="16" t="s">
        <v>260</v>
      </c>
      <c r="N78" s="14" t="s">
        <v>73</v>
      </c>
      <c r="O78" s="16" t="s">
        <v>74</v>
      </c>
      <c r="P78" s="16" t="s">
        <v>74</v>
      </c>
      <c r="Q78" s="16" t="s">
        <v>153</v>
      </c>
      <c r="R78" s="14" t="s">
        <v>154</v>
      </c>
      <c r="S78" s="14" t="s">
        <v>120</v>
      </c>
      <c r="T78" s="14" t="s">
        <v>145</v>
      </c>
      <c r="U78" s="14" t="s">
        <v>79</v>
      </c>
      <c r="V78" s="15">
        <v>40725</v>
      </c>
      <c r="W78" s="15"/>
      <c r="X78" s="16" t="s">
        <v>74</v>
      </c>
      <c r="Y78" s="17"/>
      <c r="Z78" s="18"/>
      <c r="AA78" s="17"/>
      <c r="AB78" s="18"/>
      <c r="AC78" s="17"/>
      <c r="AD78" s="18"/>
      <c r="AE78" s="17"/>
      <c r="AF78" s="18"/>
      <c r="AG78" s="14" t="s">
        <v>74</v>
      </c>
      <c r="AH78" s="16" t="s">
        <v>74</v>
      </c>
    </row>
    <row r="79" spans="1:34" ht="58" x14ac:dyDescent="0.35">
      <c r="A79" s="14" t="s">
        <v>113</v>
      </c>
      <c r="B79" s="14" t="s">
        <v>62</v>
      </c>
      <c r="C79" s="15">
        <v>44852.486111111109</v>
      </c>
      <c r="D79" s="14" t="s">
        <v>63</v>
      </c>
      <c r="E79" s="16" t="s">
        <v>64</v>
      </c>
      <c r="F79" s="14" t="s">
        <v>65</v>
      </c>
      <c r="G79" s="16" t="s">
        <v>66</v>
      </c>
      <c r="H79" s="14" t="s">
        <v>255</v>
      </c>
      <c r="I79" s="16" t="s">
        <v>256</v>
      </c>
      <c r="J79" s="16" t="s">
        <v>257</v>
      </c>
      <c r="K79" s="16" t="s">
        <v>258</v>
      </c>
      <c r="L79" s="14" t="s">
        <v>266</v>
      </c>
      <c r="M79" s="16" t="s">
        <v>267</v>
      </c>
      <c r="N79" s="14" t="s">
        <v>111</v>
      </c>
      <c r="O79" s="16" t="s">
        <v>74</v>
      </c>
      <c r="P79" s="16" t="s">
        <v>74</v>
      </c>
      <c r="Q79" s="16" t="s">
        <v>153</v>
      </c>
      <c r="R79" s="14" t="s">
        <v>154</v>
      </c>
      <c r="S79" s="14" t="s">
        <v>120</v>
      </c>
      <c r="T79" s="14" t="s">
        <v>145</v>
      </c>
      <c r="U79" s="14" t="s">
        <v>79</v>
      </c>
      <c r="V79" s="15">
        <v>40725</v>
      </c>
      <c r="W79" s="15"/>
      <c r="X79" s="16" t="s">
        <v>74</v>
      </c>
      <c r="Y79" s="17"/>
      <c r="Z79" s="18"/>
      <c r="AA79" s="17"/>
      <c r="AB79" s="18"/>
      <c r="AC79" s="17"/>
      <c r="AD79" s="18"/>
      <c r="AE79" s="17"/>
      <c r="AF79" s="18"/>
      <c r="AG79" s="14" t="s">
        <v>74</v>
      </c>
      <c r="AH79" s="16" t="s">
        <v>74</v>
      </c>
    </row>
    <row r="80" spans="1:34" ht="58" x14ac:dyDescent="0.35">
      <c r="A80" s="14" t="s">
        <v>113</v>
      </c>
      <c r="B80" s="14" t="s">
        <v>116</v>
      </c>
      <c r="C80" s="15">
        <v>44854.662499999999</v>
      </c>
      <c r="D80" s="14" t="s">
        <v>63</v>
      </c>
      <c r="E80" s="16" t="s">
        <v>64</v>
      </c>
      <c r="F80" s="14" t="s">
        <v>65</v>
      </c>
      <c r="G80" s="16" t="s">
        <v>66</v>
      </c>
      <c r="H80" s="14" t="s">
        <v>255</v>
      </c>
      <c r="I80" s="16" t="s">
        <v>256</v>
      </c>
      <c r="J80" s="16" t="s">
        <v>257</v>
      </c>
      <c r="K80" s="16" t="s">
        <v>258</v>
      </c>
      <c r="L80" s="14" t="s">
        <v>259</v>
      </c>
      <c r="M80" s="16" t="s">
        <v>260</v>
      </c>
      <c r="N80" s="14" t="s">
        <v>73</v>
      </c>
      <c r="O80" s="16" t="s">
        <v>74</v>
      </c>
      <c r="P80" s="16" t="s">
        <v>74</v>
      </c>
      <c r="Q80" s="16" t="s">
        <v>164</v>
      </c>
      <c r="R80" s="14" t="s">
        <v>165</v>
      </c>
      <c r="S80" s="14" t="s">
        <v>120</v>
      </c>
      <c r="T80" s="14" t="s">
        <v>145</v>
      </c>
      <c r="U80" s="14" t="s">
        <v>79</v>
      </c>
      <c r="V80" s="15">
        <v>40725</v>
      </c>
      <c r="W80" s="15"/>
      <c r="X80" s="16" t="s">
        <v>385</v>
      </c>
      <c r="Y80" s="17" t="s">
        <v>379</v>
      </c>
      <c r="Z80" s="18" t="str">
        <f>VLOOKUP(Y80,'Axe 2 Règles de gestion'!$D$2:$F$125,3, FALSE)</f>
        <v>Carrière : la durée du congé compte pour les droits à avancement.</v>
      </c>
      <c r="AA80" s="17" t="s">
        <v>386</v>
      </c>
      <c r="AB80" s="18" t="str">
        <f>VLOOKUP(AA80,'Axe 2 Règles de gestion'!$D$2:$F$125,3, FALSE)</f>
        <v>Congés annuels : La durée du congé n'est pas imputée sur la durée du congé annuel.</v>
      </c>
      <c r="AC80" s="17"/>
      <c r="AD80" s="18"/>
      <c r="AE80" s="17"/>
      <c r="AF80" s="18"/>
      <c r="AG80" s="14" t="s">
        <v>74</v>
      </c>
      <c r="AH80" s="16" t="s">
        <v>74</v>
      </c>
    </row>
    <row r="81" spans="1:34" ht="58" x14ac:dyDescent="0.35">
      <c r="A81" s="14" t="s">
        <v>113</v>
      </c>
      <c r="B81" s="14" t="s">
        <v>62</v>
      </c>
      <c r="C81" s="15">
        <v>44852.486111111109</v>
      </c>
      <c r="D81" s="14" t="s">
        <v>63</v>
      </c>
      <c r="E81" s="16" t="s">
        <v>64</v>
      </c>
      <c r="F81" s="14" t="s">
        <v>65</v>
      </c>
      <c r="G81" s="16" t="s">
        <v>66</v>
      </c>
      <c r="H81" s="14" t="s">
        <v>255</v>
      </c>
      <c r="I81" s="16" t="s">
        <v>256</v>
      </c>
      <c r="J81" s="16" t="s">
        <v>257</v>
      </c>
      <c r="K81" s="16" t="s">
        <v>258</v>
      </c>
      <c r="L81" s="14" t="s">
        <v>266</v>
      </c>
      <c r="M81" s="16" t="s">
        <v>267</v>
      </c>
      <c r="N81" s="14" t="s">
        <v>111</v>
      </c>
      <c r="O81" s="16" t="s">
        <v>74</v>
      </c>
      <c r="P81" s="16" t="s">
        <v>74</v>
      </c>
      <c r="Q81" s="16" t="s">
        <v>164</v>
      </c>
      <c r="R81" s="14" t="s">
        <v>165</v>
      </c>
      <c r="S81" s="14" t="s">
        <v>120</v>
      </c>
      <c r="T81" s="14" t="s">
        <v>145</v>
      </c>
      <c r="U81" s="14" t="s">
        <v>79</v>
      </c>
      <c r="V81" s="15">
        <v>40725</v>
      </c>
      <c r="W81" s="15"/>
      <c r="X81" s="16" t="s">
        <v>74</v>
      </c>
      <c r="Y81" s="17"/>
      <c r="Z81" s="18"/>
      <c r="AA81" s="17"/>
      <c r="AB81" s="18"/>
      <c r="AC81" s="17"/>
      <c r="AD81" s="18"/>
      <c r="AE81" s="17"/>
      <c r="AF81" s="18"/>
      <c r="AG81" s="14" t="s">
        <v>74</v>
      </c>
      <c r="AH81" s="16" t="s">
        <v>74</v>
      </c>
    </row>
    <row r="82" spans="1:34" ht="58" x14ac:dyDescent="0.35">
      <c r="A82" s="14" t="s">
        <v>113</v>
      </c>
      <c r="B82" s="14" t="s">
        <v>62</v>
      </c>
      <c r="C82" s="15">
        <v>44852.482638888891</v>
      </c>
      <c r="D82" s="14" t="s">
        <v>63</v>
      </c>
      <c r="E82" s="16" t="s">
        <v>64</v>
      </c>
      <c r="F82" s="14" t="s">
        <v>65</v>
      </c>
      <c r="G82" s="16" t="s">
        <v>66</v>
      </c>
      <c r="H82" s="14" t="s">
        <v>255</v>
      </c>
      <c r="I82" s="16" t="s">
        <v>256</v>
      </c>
      <c r="J82" s="16" t="s">
        <v>257</v>
      </c>
      <c r="K82" s="16" t="s">
        <v>258</v>
      </c>
      <c r="L82" s="14" t="s">
        <v>259</v>
      </c>
      <c r="M82" s="16" t="s">
        <v>260</v>
      </c>
      <c r="N82" s="14" t="s">
        <v>73</v>
      </c>
      <c r="O82" s="16" t="s">
        <v>74</v>
      </c>
      <c r="P82" s="16" t="s">
        <v>74</v>
      </c>
      <c r="Q82" s="16" t="s">
        <v>166</v>
      </c>
      <c r="R82" s="14" t="s">
        <v>167</v>
      </c>
      <c r="S82" s="14" t="s">
        <v>120</v>
      </c>
      <c r="T82" s="14" t="s">
        <v>145</v>
      </c>
      <c r="U82" s="14" t="s">
        <v>117</v>
      </c>
      <c r="V82" s="15">
        <v>40725</v>
      </c>
      <c r="W82" s="15"/>
      <c r="X82" s="16" t="s">
        <v>74</v>
      </c>
      <c r="Y82" s="17"/>
      <c r="Z82" s="18"/>
      <c r="AA82" s="17"/>
      <c r="AB82" s="18"/>
      <c r="AC82" s="17"/>
      <c r="AD82" s="18"/>
      <c r="AE82" s="17"/>
      <c r="AF82" s="18"/>
      <c r="AG82" s="14" t="s">
        <v>74</v>
      </c>
      <c r="AH82" s="16" t="s">
        <v>74</v>
      </c>
    </row>
    <row r="83" spans="1:34" ht="58" x14ac:dyDescent="0.35">
      <c r="A83" s="14" t="s">
        <v>113</v>
      </c>
      <c r="B83" s="14" t="s">
        <v>62</v>
      </c>
      <c r="C83" s="15">
        <v>44852.486111111109</v>
      </c>
      <c r="D83" s="14" t="s">
        <v>63</v>
      </c>
      <c r="E83" s="16" t="s">
        <v>64</v>
      </c>
      <c r="F83" s="14" t="s">
        <v>65</v>
      </c>
      <c r="G83" s="16" t="s">
        <v>66</v>
      </c>
      <c r="H83" s="14" t="s">
        <v>255</v>
      </c>
      <c r="I83" s="16" t="s">
        <v>256</v>
      </c>
      <c r="J83" s="16" t="s">
        <v>257</v>
      </c>
      <c r="K83" s="16" t="s">
        <v>258</v>
      </c>
      <c r="L83" s="14" t="s">
        <v>266</v>
      </c>
      <c r="M83" s="16" t="s">
        <v>267</v>
      </c>
      <c r="N83" s="14" t="s">
        <v>111</v>
      </c>
      <c r="O83" s="16" t="s">
        <v>74</v>
      </c>
      <c r="P83" s="16" t="s">
        <v>74</v>
      </c>
      <c r="Q83" s="16" t="s">
        <v>166</v>
      </c>
      <c r="R83" s="14" t="s">
        <v>167</v>
      </c>
      <c r="S83" s="14" t="s">
        <v>120</v>
      </c>
      <c r="T83" s="14" t="s">
        <v>145</v>
      </c>
      <c r="U83" s="14" t="s">
        <v>117</v>
      </c>
      <c r="V83" s="15">
        <v>40725</v>
      </c>
      <c r="W83" s="15"/>
      <c r="X83" s="16" t="s">
        <v>74</v>
      </c>
      <c r="Y83" s="17"/>
      <c r="Z83" s="18"/>
      <c r="AA83" s="17"/>
      <c r="AB83" s="18"/>
      <c r="AC83" s="17"/>
      <c r="AD83" s="18"/>
      <c r="AE83" s="17"/>
      <c r="AF83" s="18"/>
      <c r="AG83" s="14" t="s">
        <v>74</v>
      </c>
      <c r="AH83" s="16" t="s">
        <v>74</v>
      </c>
    </row>
    <row r="84" spans="1:34" ht="58" x14ac:dyDescent="0.35">
      <c r="A84" s="14" t="s">
        <v>113</v>
      </c>
      <c r="B84" s="14" t="s">
        <v>62</v>
      </c>
      <c r="C84" s="15">
        <v>44852.482638888891</v>
      </c>
      <c r="D84" s="14" t="s">
        <v>63</v>
      </c>
      <c r="E84" s="16" t="s">
        <v>64</v>
      </c>
      <c r="F84" s="14" t="s">
        <v>65</v>
      </c>
      <c r="G84" s="16" t="s">
        <v>66</v>
      </c>
      <c r="H84" s="14" t="s">
        <v>255</v>
      </c>
      <c r="I84" s="16" t="s">
        <v>256</v>
      </c>
      <c r="J84" s="16" t="s">
        <v>257</v>
      </c>
      <c r="K84" s="16" t="s">
        <v>258</v>
      </c>
      <c r="L84" s="14" t="s">
        <v>259</v>
      </c>
      <c r="M84" s="16" t="s">
        <v>260</v>
      </c>
      <c r="N84" s="14" t="s">
        <v>73</v>
      </c>
      <c r="O84" s="16" t="s">
        <v>74</v>
      </c>
      <c r="P84" s="16" t="s">
        <v>74</v>
      </c>
      <c r="Q84" s="16" t="s">
        <v>168</v>
      </c>
      <c r="R84" s="14" t="s">
        <v>169</v>
      </c>
      <c r="S84" s="14" t="s">
        <v>120</v>
      </c>
      <c r="T84" s="14" t="s">
        <v>145</v>
      </c>
      <c r="U84" s="14" t="s">
        <v>79</v>
      </c>
      <c r="V84" s="15">
        <v>40725</v>
      </c>
      <c r="W84" s="15"/>
      <c r="X84" s="16" t="s">
        <v>74</v>
      </c>
      <c r="Y84" s="17"/>
      <c r="Z84" s="18"/>
      <c r="AA84" s="17"/>
      <c r="AB84" s="18"/>
      <c r="AC84" s="17"/>
      <c r="AD84" s="18"/>
      <c r="AE84" s="17"/>
      <c r="AF84" s="18"/>
      <c r="AG84" s="14" t="s">
        <v>74</v>
      </c>
      <c r="AH84" s="16" t="s">
        <v>74</v>
      </c>
    </row>
    <row r="85" spans="1:34" ht="58" x14ac:dyDescent="0.35">
      <c r="A85" s="14" t="s">
        <v>113</v>
      </c>
      <c r="B85" s="14" t="s">
        <v>62</v>
      </c>
      <c r="C85" s="15">
        <v>44852.486111111109</v>
      </c>
      <c r="D85" s="14" t="s">
        <v>63</v>
      </c>
      <c r="E85" s="16" t="s">
        <v>64</v>
      </c>
      <c r="F85" s="14" t="s">
        <v>65</v>
      </c>
      <c r="G85" s="16" t="s">
        <v>66</v>
      </c>
      <c r="H85" s="14" t="s">
        <v>255</v>
      </c>
      <c r="I85" s="16" t="s">
        <v>256</v>
      </c>
      <c r="J85" s="16" t="s">
        <v>257</v>
      </c>
      <c r="K85" s="16" t="s">
        <v>258</v>
      </c>
      <c r="L85" s="14" t="s">
        <v>266</v>
      </c>
      <c r="M85" s="16" t="s">
        <v>267</v>
      </c>
      <c r="N85" s="14" t="s">
        <v>111</v>
      </c>
      <c r="O85" s="16" t="s">
        <v>74</v>
      </c>
      <c r="P85" s="16" t="s">
        <v>74</v>
      </c>
      <c r="Q85" s="16" t="s">
        <v>168</v>
      </c>
      <c r="R85" s="14" t="s">
        <v>169</v>
      </c>
      <c r="S85" s="14" t="s">
        <v>120</v>
      </c>
      <c r="T85" s="14" t="s">
        <v>145</v>
      </c>
      <c r="U85" s="14" t="s">
        <v>79</v>
      </c>
      <c r="V85" s="15">
        <v>40725</v>
      </c>
      <c r="W85" s="15"/>
      <c r="X85" s="16" t="s">
        <v>74</v>
      </c>
      <c r="Y85" s="17"/>
      <c r="Z85" s="18"/>
      <c r="AA85" s="17"/>
      <c r="AB85" s="18"/>
      <c r="AC85" s="17"/>
      <c r="AD85" s="18"/>
      <c r="AE85" s="17"/>
      <c r="AF85" s="18"/>
      <c r="AG85" s="14" t="s">
        <v>74</v>
      </c>
      <c r="AH85" s="16" t="s">
        <v>74</v>
      </c>
    </row>
    <row r="86" spans="1:34" ht="58" x14ac:dyDescent="0.35">
      <c r="A86" s="14" t="s">
        <v>113</v>
      </c>
      <c r="B86" s="14" t="s">
        <v>116</v>
      </c>
      <c r="C86" s="15">
        <v>44855.473611111112</v>
      </c>
      <c r="D86" s="14" t="s">
        <v>63</v>
      </c>
      <c r="E86" s="16" t="s">
        <v>64</v>
      </c>
      <c r="F86" s="14" t="s">
        <v>65</v>
      </c>
      <c r="G86" s="16" t="s">
        <v>66</v>
      </c>
      <c r="H86" s="14" t="s">
        <v>284</v>
      </c>
      <c r="I86" s="16" t="s">
        <v>285</v>
      </c>
      <c r="J86" s="16" t="s">
        <v>286</v>
      </c>
      <c r="K86" s="16" t="s">
        <v>287</v>
      </c>
      <c r="L86" s="14" t="s">
        <v>288</v>
      </c>
      <c r="M86" s="16" t="s">
        <v>289</v>
      </c>
      <c r="N86" s="14" t="s">
        <v>73</v>
      </c>
      <c r="O86" s="16" t="s">
        <v>74</v>
      </c>
      <c r="P86" s="16" t="s">
        <v>74</v>
      </c>
      <c r="Q86" s="16" t="s">
        <v>75</v>
      </c>
      <c r="R86" s="14" t="s">
        <v>76</v>
      </c>
      <c r="S86" s="14" t="s">
        <v>77</v>
      </c>
      <c r="T86" s="14" t="s">
        <v>78</v>
      </c>
      <c r="U86" s="14" t="s">
        <v>79</v>
      </c>
      <c r="V86" s="15">
        <v>40725</v>
      </c>
      <c r="W86" s="15"/>
      <c r="X86" s="16" t="s">
        <v>387</v>
      </c>
      <c r="Y86" s="17" t="s">
        <v>388</v>
      </c>
      <c r="Z86" s="18" t="str">
        <f>VLOOKUP(Y86,'Axe 2 Règles de gestion'!$D$2:$F$125,3, FALSE)</f>
        <v>Rémunération : L'agent continue de percevoir son traitement.</v>
      </c>
      <c r="AA86" s="17" t="s">
        <v>389</v>
      </c>
      <c r="AB86" s="18" t="str">
        <f>VLOOKUP(AA86,'Axe 2 Règles de gestion'!$D$2:$F$125,3, FALSE)</f>
        <v>Carrière : la durée du congé compte pour les droits à avancement.</v>
      </c>
      <c r="AC86" s="17" t="s">
        <v>390</v>
      </c>
      <c r="AD86" s="18" t="str">
        <f>VLOOKUP(AC86,'Axe 2 Règles de gestion'!$D$2:$F$125,3, FALSE)</f>
        <v>Congés annuels : La durée du congé n'est pas imputée sur la durée du congé annuel.</v>
      </c>
      <c r="AE86" s="17" t="s">
        <v>391</v>
      </c>
      <c r="AF86" s="18" t="str">
        <f>VLOOKUP(AE86,'Axe 2 Règles de gestion'!$D$2:$F$125,3, FALSE)</f>
        <v>Rémunération : L'agent bénéficie d'un congé avec traitement.</v>
      </c>
      <c r="AG86" s="14" t="s">
        <v>74</v>
      </c>
      <c r="AH86" s="16" t="s">
        <v>74</v>
      </c>
    </row>
    <row r="87" spans="1:34" ht="58" x14ac:dyDescent="0.35">
      <c r="A87" s="14" t="s">
        <v>113</v>
      </c>
      <c r="B87" s="14" t="s">
        <v>62</v>
      </c>
      <c r="C87" s="15">
        <v>44852.579861111109</v>
      </c>
      <c r="D87" s="14" t="s">
        <v>63</v>
      </c>
      <c r="E87" s="16" t="s">
        <v>64</v>
      </c>
      <c r="F87" s="14" t="s">
        <v>65</v>
      </c>
      <c r="G87" s="16" t="s">
        <v>66</v>
      </c>
      <c r="H87" s="14" t="s">
        <v>284</v>
      </c>
      <c r="I87" s="16" t="s">
        <v>285</v>
      </c>
      <c r="J87" s="16" t="s">
        <v>286</v>
      </c>
      <c r="K87" s="16" t="s">
        <v>287</v>
      </c>
      <c r="L87" s="14" t="s">
        <v>294</v>
      </c>
      <c r="M87" s="16" t="s">
        <v>295</v>
      </c>
      <c r="N87" s="14" t="s">
        <v>111</v>
      </c>
      <c r="O87" s="16" t="s">
        <v>74</v>
      </c>
      <c r="P87" s="16" t="s">
        <v>74</v>
      </c>
      <c r="Q87" s="16" t="s">
        <v>75</v>
      </c>
      <c r="R87" s="14" t="s">
        <v>76</v>
      </c>
      <c r="S87" s="14" t="s">
        <v>77</v>
      </c>
      <c r="T87" s="14" t="s">
        <v>78</v>
      </c>
      <c r="U87" s="14" t="s">
        <v>79</v>
      </c>
      <c r="V87" s="15">
        <v>40725</v>
      </c>
      <c r="W87" s="15"/>
      <c r="X87" s="16" t="s">
        <v>74</v>
      </c>
      <c r="Y87" s="17"/>
      <c r="Z87" s="18"/>
      <c r="AA87" s="17"/>
      <c r="AB87" s="18"/>
      <c r="AC87" s="17"/>
      <c r="AD87" s="18"/>
      <c r="AE87" s="17"/>
      <c r="AF87" s="18"/>
      <c r="AG87" s="14" t="s">
        <v>74</v>
      </c>
      <c r="AH87" s="16" t="s">
        <v>74</v>
      </c>
    </row>
    <row r="88" spans="1:34" ht="58" x14ac:dyDescent="0.35">
      <c r="A88" s="14" t="s">
        <v>113</v>
      </c>
      <c r="B88" s="14" t="s">
        <v>62</v>
      </c>
      <c r="C88" s="15">
        <v>44886.494444444441</v>
      </c>
      <c r="D88" s="14" t="s">
        <v>63</v>
      </c>
      <c r="E88" s="16" t="s">
        <v>64</v>
      </c>
      <c r="F88" s="14" t="s">
        <v>65</v>
      </c>
      <c r="G88" s="16" t="s">
        <v>66</v>
      </c>
      <c r="H88" s="14" t="s">
        <v>284</v>
      </c>
      <c r="I88" s="16" t="s">
        <v>285</v>
      </c>
      <c r="J88" s="16" t="s">
        <v>286</v>
      </c>
      <c r="K88" s="16" t="s">
        <v>287</v>
      </c>
      <c r="L88" s="14" t="s">
        <v>288</v>
      </c>
      <c r="M88" s="16" t="s">
        <v>289</v>
      </c>
      <c r="N88" s="14" t="s">
        <v>73</v>
      </c>
      <c r="O88" s="16" t="s">
        <v>74</v>
      </c>
      <c r="P88" s="16" t="s">
        <v>74</v>
      </c>
      <c r="Q88" s="16" t="s">
        <v>114</v>
      </c>
      <c r="R88" s="14" t="s">
        <v>115</v>
      </c>
      <c r="S88" s="14" t="s">
        <v>116</v>
      </c>
      <c r="T88" s="14" t="s">
        <v>78</v>
      </c>
      <c r="U88" s="14" t="s">
        <v>117</v>
      </c>
      <c r="V88" s="15">
        <v>43831</v>
      </c>
      <c r="W88" s="15"/>
      <c r="X88" s="16" t="s">
        <v>74</v>
      </c>
      <c r="Y88" s="17"/>
      <c r="Z88" s="18"/>
      <c r="AA88" s="17"/>
      <c r="AB88" s="18"/>
      <c r="AC88" s="17"/>
      <c r="AD88" s="18"/>
      <c r="AE88" s="17"/>
      <c r="AF88" s="18"/>
      <c r="AG88" s="14" t="s">
        <v>74</v>
      </c>
      <c r="AH88" s="16" t="s">
        <v>74</v>
      </c>
    </row>
    <row r="89" spans="1:34" ht="58" x14ac:dyDescent="0.35">
      <c r="A89" s="14" t="s">
        <v>113</v>
      </c>
      <c r="B89" s="14" t="s">
        <v>62</v>
      </c>
      <c r="C89" s="15">
        <v>44886.494444444441</v>
      </c>
      <c r="D89" s="14" t="s">
        <v>63</v>
      </c>
      <c r="E89" s="16" t="s">
        <v>64</v>
      </c>
      <c r="F89" s="14" t="s">
        <v>65</v>
      </c>
      <c r="G89" s="16" t="s">
        <v>66</v>
      </c>
      <c r="H89" s="14" t="s">
        <v>284</v>
      </c>
      <c r="I89" s="16" t="s">
        <v>285</v>
      </c>
      <c r="J89" s="16" t="s">
        <v>286</v>
      </c>
      <c r="K89" s="16" t="s">
        <v>287</v>
      </c>
      <c r="L89" s="14" t="s">
        <v>294</v>
      </c>
      <c r="M89" s="16" t="s">
        <v>295</v>
      </c>
      <c r="N89" s="14" t="s">
        <v>111</v>
      </c>
      <c r="O89" s="16" t="s">
        <v>74</v>
      </c>
      <c r="P89" s="16" t="s">
        <v>74</v>
      </c>
      <c r="Q89" s="16" t="s">
        <v>114</v>
      </c>
      <c r="R89" s="14" t="s">
        <v>115</v>
      </c>
      <c r="S89" s="14" t="s">
        <v>116</v>
      </c>
      <c r="T89" s="14" t="s">
        <v>78</v>
      </c>
      <c r="U89" s="14" t="s">
        <v>117</v>
      </c>
      <c r="V89" s="15">
        <v>43831</v>
      </c>
      <c r="W89" s="15"/>
      <c r="X89" s="16" t="s">
        <v>74</v>
      </c>
      <c r="Y89" s="17"/>
      <c r="Z89" s="18"/>
      <c r="AA89" s="17"/>
      <c r="AB89" s="18"/>
      <c r="AC89" s="17"/>
      <c r="AD89" s="18"/>
      <c r="AE89" s="17"/>
      <c r="AF89" s="18"/>
      <c r="AG89" s="14" t="s">
        <v>74</v>
      </c>
      <c r="AH89" s="16" t="s">
        <v>74</v>
      </c>
    </row>
    <row r="90" spans="1:34" ht="58" x14ac:dyDescent="0.35">
      <c r="A90" s="14" t="s">
        <v>113</v>
      </c>
      <c r="B90" s="14" t="s">
        <v>116</v>
      </c>
      <c r="C90" s="15">
        <v>44855.473611111112</v>
      </c>
      <c r="D90" s="14" t="s">
        <v>63</v>
      </c>
      <c r="E90" s="16" t="s">
        <v>64</v>
      </c>
      <c r="F90" s="14" t="s">
        <v>65</v>
      </c>
      <c r="G90" s="16" t="s">
        <v>66</v>
      </c>
      <c r="H90" s="14" t="s">
        <v>284</v>
      </c>
      <c r="I90" s="16" t="s">
        <v>285</v>
      </c>
      <c r="J90" s="16" t="s">
        <v>286</v>
      </c>
      <c r="K90" s="16" t="s">
        <v>287</v>
      </c>
      <c r="L90" s="14" t="s">
        <v>288</v>
      </c>
      <c r="M90" s="16" t="s">
        <v>289</v>
      </c>
      <c r="N90" s="14" t="s">
        <v>73</v>
      </c>
      <c r="O90" s="16" t="s">
        <v>74</v>
      </c>
      <c r="P90" s="16" t="s">
        <v>74</v>
      </c>
      <c r="Q90" s="16" t="s">
        <v>118</v>
      </c>
      <c r="R90" s="14" t="s">
        <v>119</v>
      </c>
      <c r="S90" s="14" t="s">
        <v>120</v>
      </c>
      <c r="T90" s="14" t="s">
        <v>78</v>
      </c>
      <c r="U90" s="14" t="s">
        <v>79</v>
      </c>
      <c r="V90" s="15">
        <v>40725</v>
      </c>
      <c r="W90" s="15"/>
      <c r="X90" s="16" t="s">
        <v>392</v>
      </c>
      <c r="Y90" s="17" t="s">
        <v>393</v>
      </c>
      <c r="Z90" s="18" t="str">
        <f>VLOOKUP(Y90,'Axe 2 Règles de gestion'!$D$2:$F$125,3, FALSE)</f>
        <v>Rémunération : L'agent continue de percevoir sa rémunération.</v>
      </c>
      <c r="AA90" s="17" t="s">
        <v>394</v>
      </c>
      <c r="AB90" s="18" t="str">
        <f>VLOOKUP(AA90,'Axe 2 Règles de gestion'!$D$2:$F$125,3, FALSE)</f>
        <v>Carrière : la durée du congé compte pour les droits à avancement.</v>
      </c>
      <c r="AC90" s="17" t="s">
        <v>395</v>
      </c>
      <c r="AD90" s="18" t="str">
        <f>VLOOKUP(AC90,'Axe 2 Règles de gestion'!$D$2:$F$125,3, FALSE)</f>
        <v>Congés annuels : La durée du congé n'est pas imputée sur la durée du congé annuel.</v>
      </c>
      <c r="AE90" s="17" t="s">
        <v>396</v>
      </c>
      <c r="AF90" s="18" t="str">
        <f>VLOOKUP(AE90,'Axe 2 Règles de gestion'!$D$2:$F$125,3, FALSE)</f>
        <v>Rémunération : L'agent bénéficie d'un congé rémunéré.</v>
      </c>
      <c r="AG90" s="14" t="s">
        <v>74</v>
      </c>
      <c r="AH90" s="16" t="s">
        <v>74</v>
      </c>
    </row>
    <row r="91" spans="1:34" ht="58" x14ac:dyDescent="0.35">
      <c r="A91" s="14" t="s">
        <v>113</v>
      </c>
      <c r="B91" s="14" t="s">
        <v>62</v>
      </c>
      <c r="C91" s="15">
        <v>44852.579861111109</v>
      </c>
      <c r="D91" s="14" t="s">
        <v>63</v>
      </c>
      <c r="E91" s="16" t="s">
        <v>64</v>
      </c>
      <c r="F91" s="14" t="s">
        <v>65</v>
      </c>
      <c r="G91" s="16" t="s">
        <v>66</v>
      </c>
      <c r="H91" s="14" t="s">
        <v>284</v>
      </c>
      <c r="I91" s="16" t="s">
        <v>285</v>
      </c>
      <c r="J91" s="16" t="s">
        <v>286</v>
      </c>
      <c r="K91" s="16" t="s">
        <v>287</v>
      </c>
      <c r="L91" s="14" t="s">
        <v>294</v>
      </c>
      <c r="M91" s="16" t="s">
        <v>295</v>
      </c>
      <c r="N91" s="14" t="s">
        <v>111</v>
      </c>
      <c r="O91" s="16" t="s">
        <v>74</v>
      </c>
      <c r="P91" s="16" t="s">
        <v>74</v>
      </c>
      <c r="Q91" s="16" t="s">
        <v>118</v>
      </c>
      <c r="R91" s="14" t="s">
        <v>119</v>
      </c>
      <c r="S91" s="14" t="s">
        <v>120</v>
      </c>
      <c r="T91" s="14" t="s">
        <v>78</v>
      </c>
      <c r="U91" s="14" t="s">
        <v>79</v>
      </c>
      <c r="V91" s="15">
        <v>40725</v>
      </c>
      <c r="W91" s="15"/>
      <c r="X91" s="16" t="s">
        <v>74</v>
      </c>
      <c r="Y91" s="17"/>
      <c r="Z91" s="18"/>
      <c r="AA91" s="17"/>
      <c r="AB91" s="18"/>
      <c r="AC91" s="17"/>
      <c r="AD91" s="18"/>
      <c r="AE91" s="17"/>
      <c r="AF91" s="18"/>
      <c r="AG91" s="14" t="s">
        <v>74</v>
      </c>
      <c r="AH91" s="16" t="s">
        <v>74</v>
      </c>
    </row>
    <row r="92" spans="1:34" ht="58" x14ac:dyDescent="0.35">
      <c r="A92" s="14" t="s">
        <v>113</v>
      </c>
      <c r="B92" s="14" t="s">
        <v>62</v>
      </c>
      <c r="C92" s="15">
        <v>44852.493055555555</v>
      </c>
      <c r="D92" s="14" t="s">
        <v>63</v>
      </c>
      <c r="E92" s="16" t="s">
        <v>64</v>
      </c>
      <c r="F92" s="14" t="s">
        <v>65</v>
      </c>
      <c r="G92" s="16" t="s">
        <v>66</v>
      </c>
      <c r="H92" s="14" t="s">
        <v>284</v>
      </c>
      <c r="I92" s="16" t="s">
        <v>285</v>
      </c>
      <c r="J92" s="16" t="s">
        <v>286</v>
      </c>
      <c r="K92" s="16" t="s">
        <v>287</v>
      </c>
      <c r="L92" s="14" t="s">
        <v>288</v>
      </c>
      <c r="M92" s="16" t="s">
        <v>289</v>
      </c>
      <c r="N92" s="14" t="s">
        <v>73</v>
      </c>
      <c r="O92" s="16" t="s">
        <v>74</v>
      </c>
      <c r="P92" s="16" t="s">
        <v>74</v>
      </c>
      <c r="Q92" s="16" t="s">
        <v>137</v>
      </c>
      <c r="R92" s="14" t="s">
        <v>138</v>
      </c>
      <c r="S92" s="14" t="s">
        <v>139</v>
      </c>
      <c r="T92" s="14" t="s">
        <v>78</v>
      </c>
      <c r="U92" s="14" t="s">
        <v>117</v>
      </c>
      <c r="V92" s="15">
        <v>40725</v>
      </c>
      <c r="W92" s="15"/>
      <c r="X92" s="16" t="s">
        <v>74</v>
      </c>
      <c r="Y92" s="17"/>
      <c r="Z92" s="18"/>
      <c r="AA92" s="17"/>
      <c r="AB92" s="18"/>
      <c r="AC92" s="17"/>
      <c r="AD92" s="18"/>
      <c r="AE92" s="17"/>
      <c r="AF92" s="18"/>
      <c r="AG92" s="14" t="s">
        <v>74</v>
      </c>
      <c r="AH92" s="16" t="s">
        <v>74</v>
      </c>
    </row>
    <row r="93" spans="1:34" ht="58" x14ac:dyDescent="0.35">
      <c r="A93" s="14" t="s">
        <v>113</v>
      </c>
      <c r="B93" s="14" t="s">
        <v>62</v>
      </c>
      <c r="C93" s="15">
        <v>44852.580555555556</v>
      </c>
      <c r="D93" s="14" t="s">
        <v>63</v>
      </c>
      <c r="E93" s="16" t="s">
        <v>64</v>
      </c>
      <c r="F93" s="14" t="s">
        <v>65</v>
      </c>
      <c r="G93" s="16" t="s">
        <v>66</v>
      </c>
      <c r="H93" s="14" t="s">
        <v>284</v>
      </c>
      <c r="I93" s="16" t="s">
        <v>285</v>
      </c>
      <c r="J93" s="16" t="s">
        <v>286</v>
      </c>
      <c r="K93" s="16" t="s">
        <v>287</v>
      </c>
      <c r="L93" s="14" t="s">
        <v>294</v>
      </c>
      <c r="M93" s="16" t="s">
        <v>295</v>
      </c>
      <c r="N93" s="14" t="s">
        <v>111</v>
      </c>
      <c r="O93" s="16" t="s">
        <v>74</v>
      </c>
      <c r="P93" s="16" t="s">
        <v>74</v>
      </c>
      <c r="Q93" s="16" t="s">
        <v>137</v>
      </c>
      <c r="R93" s="14" t="s">
        <v>138</v>
      </c>
      <c r="S93" s="14" t="s">
        <v>139</v>
      </c>
      <c r="T93" s="14" t="s">
        <v>78</v>
      </c>
      <c r="U93" s="14" t="s">
        <v>117</v>
      </c>
      <c r="V93" s="15">
        <v>40725</v>
      </c>
      <c r="W93" s="15"/>
      <c r="X93" s="16" t="s">
        <v>74</v>
      </c>
      <c r="Y93" s="17"/>
      <c r="Z93" s="18"/>
      <c r="AA93" s="17"/>
      <c r="AB93" s="18"/>
      <c r="AC93" s="17"/>
      <c r="AD93" s="18"/>
      <c r="AE93" s="17"/>
      <c r="AF93" s="18"/>
      <c r="AG93" s="14" t="s">
        <v>74</v>
      </c>
      <c r="AH93" s="16" t="s">
        <v>74</v>
      </c>
    </row>
    <row r="94" spans="1:34" ht="58" x14ac:dyDescent="0.35">
      <c r="A94" s="14" t="s">
        <v>113</v>
      </c>
      <c r="B94" s="14" t="s">
        <v>62</v>
      </c>
      <c r="C94" s="15">
        <v>44852.493055555555</v>
      </c>
      <c r="D94" s="14" t="s">
        <v>63</v>
      </c>
      <c r="E94" s="16" t="s">
        <v>64</v>
      </c>
      <c r="F94" s="14" t="s">
        <v>65</v>
      </c>
      <c r="G94" s="16" t="s">
        <v>66</v>
      </c>
      <c r="H94" s="14" t="s">
        <v>284</v>
      </c>
      <c r="I94" s="16" t="s">
        <v>285</v>
      </c>
      <c r="J94" s="16" t="s">
        <v>286</v>
      </c>
      <c r="K94" s="16" t="s">
        <v>287</v>
      </c>
      <c r="L94" s="14" t="s">
        <v>288</v>
      </c>
      <c r="M94" s="16" t="s">
        <v>289</v>
      </c>
      <c r="N94" s="14" t="s">
        <v>73</v>
      </c>
      <c r="O94" s="16" t="s">
        <v>74</v>
      </c>
      <c r="P94" s="16" t="s">
        <v>74</v>
      </c>
      <c r="Q94" s="16" t="s">
        <v>140</v>
      </c>
      <c r="R94" s="14" t="s">
        <v>141</v>
      </c>
      <c r="S94" s="14" t="s">
        <v>142</v>
      </c>
      <c r="T94" s="14" t="s">
        <v>78</v>
      </c>
      <c r="U94" s="14" t="s">
        <v>117</v>
      </c>
      <c r="V94" s="15">
        <v>40725</v>
      </c>
      <c r="W94" s="15"/>
      <c r="X94" s="16" t="s">
        <v>74</v>
      </c>
      <c r="Y94" s="17"/>
      <c r="Z94" s="18"/>
      <c r="AA94" s="17"/>
      <c r="AB94" s="18"/>
      <c r="AC94" s="17"/>
      <c r="AD94" s="18"/>
      <c r="AE94" s="17"/>
      <c r="AF94" s="18"/>
      <c r="AG94" s="14" t="s">
        <v>74</v>
      </c>
      <c r="AH94" s="16" t="s">
        <v>74</v>
      </c>
    </row>
    <row r="95" spans="1:34" ht="58" x14ac:dyDescent="0.35">
      <c r="A95" s="14" t="s">
        <v>113</v>
      </c>
      <c r="B95" s="14" t="s">
        <v>62</v>
      </c>
      <c r="C95" s="15">
        <v>44852.580555555556</v>
      </c>
      <c r="D95" s="14" t="s">
        <v>63</v>
      </c>
      <c r="E95" s="16" t="s">
        <v>64</v>
      </c>
      <c r="F95" s="14" t="s">
        <v>65</v>
      </c>
      <c r="G95" s="16" t="s">
        <v>66</v>
      </c>
      <c r="H95" s="14" t="s">
        <v>284</v>
      </c>
      <c r="I95" s="16" t="s">
        <v>285</v>
      </c>
      <c r="J95" s="16" t="s">
        <v>286</v>
      </c>
      <c r="K95" s="16" t="s">
        <v>287</v>
      </c>
      <c r="L95" s="14" t="s">
        <v>294</v>
      </c>
      <c r="M95" s="16" t="s">
        <v>295</v>
      </c>
      <c r="N95" s="14" t="s">
        <v>111</v>
      </c>
      <c r="O95" s="16" t="s">
        <v>74</v>
      </c>
      <c r="P95" s="16" t="s">
        <v>74</v>
      </c>
      <c r="Q95" s="16" t="s">
        <v>140</v>
      </c>
      <c r="R95" s="14" t="s">
        <v>141</v>
      </c>
      <c r="S95" s="14" t="s">
        <v>142</v>
      </c>
      <c r="T95" s="14" t="s">
        <v>78</v>
      </c>
      <c r="U95" s="14" t="s">
        <v>117</v>
      </c>
      <c r="V95" s="15">
        <v>40725</v>
      </c>
      <c r="W95" s="15"/>
      <c r="X95" s="16" t="s">
        <v>74</v>
      </c>
      <c r="Y95" s="17"/>
      <c r="Z95" s="18"/>
      <c r="AA95" s="17"/>
      <c r="AB95" s="18"/>
      <c r="AC95" s="17"/>
      <c r="AD95" s="18"/>
      <c r="AE95" s="17"/>
      <c r="AF95" s="18"/>
      <c r="AG95" s="14" t="s">
        <v>74</v>
      </c>
      <c r="AH95" s="16" t="s">
        <v>74</v>
      </c>
    </row>
    <row r="96" spans="1:34" ht="58" x14ac:dyDescent="0.35">
      <c r="A96" s="14" t="s">
        <v>113</v>
      </c>
      <c r="B96" s="14" t="s">
        <v>62</v>
      </c>
      <c r="C96" s="15">
        <v>44852.57916666667</v>
      </c>
      <c r="D96" s="14" t="s">
        <v>63</v>
      </c>
      <c r="E96" s="16" t="s">
        <v>64</v>
      </c>
      <c r="F96" s="14" t="s">
        <v>65</v>
      </c>
      <c r="G96" s="16" t="s">
        <v>66</v>
      </c>
      <c r="H96" s="14" t="s">
        <v>284</v>
      </c>
      <c r="I96" s="16" t="s">
        <v>285</v>
      </c>
      <c r="J96" s="16" t="s">
        <v>286</v>
      </c>
      <c r="K96" s="16" t="s">
        <v>287</v>
      </c>
      <c r="L96" s="14" t="s">
        <v>288</v>
      </c>
      <c r="M96" s="16" t="s">
        <v>289</v>
      </c>
      <c r="N96" s="14" t="s">
        <v>73</v>
      </c>
      <c r="O96" s="16" t="s">
        <v>74</v>
      </c>
      <c r="P96" s="16" t="s">
        <v>74</v>
      </c>
      <c r="Q96" s="16" t="s">
        <v>143</v>
      </c>
      <c r="R96" s="14" t="s">
        <v>144</v>
      </c>
      <c r="S96" s="14" t="s">
        <v>77</v>
      </c>
      <c r="T96" s="14" t="s">
        <v>145</v>
      </c>
      <c r="U96" s="14" t="s">
        <v>79</v>
      </c>
      <c r="V96" s="15">
        <v>40725</v>
      </c>
      <c r="W96" s="15"/>
      <c r="X96" s="16" t="s">
        <v>74</v>
      </c>
      <c r="Y96" s="17"/>
      <c r="Z96" s="18"/>
      <c r="AA96" s="17"/>
      <c r="AB96" s="18"/>
      <c r="AC96" s="17"/>
      <c r="AD96" s="18"/>
      <c r="AE96" s="17"/>
      <c r="AF96" s="18"/>
      <c r="AG96" s="14" t="s">
        <v>74</v>
      </c>
      <c r="AH96" s="16" t="s">
        <v>74</v>
      </c>
    </row>
    <row r="97" spans="1:34" ht="58" x14ac:dyDescent="0.35">
      <c r="A97" s="14" t="s">
        <v>113</v>
      </c>
      <c r="B97" s="14" t="s">
        <v>62</v>
      </c>
      <c r="C97" s="15">
        <v>44852.614583333336</v>
      </c>
      <c r="D97" s="14" t="s">
        <v>63</v>
      </c>
      <c r="E97" s="16" t="s">
        <v>64</v>
      </c>
      <c r="F97" s="14" t="s">
        <v>65</v>
      </c>
      <c r="G97" s="16" t="s">
        <v>66</v>
      </c>
      <c r="H97" s="14" t="s">
        <v>284</v>
      </c>
      <c r="I97" s="16" t="s">
        <v>285</v>
      </c>
      <c r="J97" s="16" t="s">
        <v>286</v>
      </c>
      <c r="K97" s="16" t="s">
        <v>287</v>
      </c>
      <c r="L97" s="14" t="s">
        <v>294</v>
      </c>
      <c r="M97" s="16" t="s">
        <v>295</v>
      </c>
      <c r="N97" s="14" t="s">
        <v>111</v>
      </c>
      <c r="O97" s="16" t="s">
        <v>74</v>
      </c>
      <c r="P97" s="16" t="s">
        <v>74</v>
      </c>
      <c r="Q97" s="16" t="s">
        <v>143</v>
      </c>
      <c r="R97" s="14" t="s">
        <v>144</v>
      </c>
      <c r="S97" s="14" t="s">
        <v>77</v>
      </c>
      <c r="T97" s="14" t="s">
        <v>145</v>
      </c>
      <c r="U97" s="14" t="s">
        <v>79</v>
      </c>
      <c r="V97" s="15">
        <v>40725</v>
      </c>
      <c r="W97" s="15"/>
      <c r="X97" s="16" t="s">
        <v>74</v>
      </c>
      <c r="Y97" s="17"/>
      <c r="Z97" s="18"/>
      <c r="AA97" s="17"/>
      <c r="AB97" s="18"/>
      <c r="AC97" s="17"/>
      <c r="AD97" s="18"/>
      <c r="AE97" s="17"/>
      <c r="AF97" s="18"/>
      <c r="AG97" s="14" t="s">
        <v>74</v>
      </c>
      <c r="AH97" s="16" t="s">
        <v>74</v>
      </c>
    </row>
    <row r="98" spans="1:34" ht="58" x14ac:dyDescent="0.35">
      <c r="A98" s="14" t="s">
        <v>113</v>
      </c>
      <c r="B98" s="14" t="s">
        <v>62</v>
      </c>
      <c r="C98" s="15">
        <v>44852.57916666667</v>
      </c>
      <c r="D98" s="14" t="s">
        <v>63</v>
      </c>
      <c r="E98" s="16" t="s">
        <v>64</v>
      </c>
      <c r="F98" s="14" t="s">
        <v>65</v>
      </c>
      <c r="G98" s="16" t="s">
        <v>66</v>
      </c>
      <c r="H98" s="14" t="s">
        <v>284</v>
      </c>
      <c r="I98" s="16" t="s">
        <v>285</v>
      </c>
      <c r="J98" s="16" t="s">
        <v>286</v>
      </c>
      <c r="K98" s="16" t="s">
        <v>287</v>
      </c>
      <c r="L98" s="14" t="s">
        <v>288</v>
      </c>
      <c r="M98" s="16" t="s">
        <v>289</v>
      </c>
      <c r="N98" s="14" t="s">
        <v>73</v>
      </c>
      <c r="O98" s="16" t="s">
        <v>74</v>
      </c>
      <c r="P98" s="16" t="s">
        <v>74</v>
      </c>
      <c r="Q98" s="16" t="s">
        <v>153</v>
      </c>
      <c r="R98" s="14" t="s">
        <v>154</v>
      </c>
      <c r="S98" s="14" t="s">
        <v>120</v>
      </c>
      <c r="T98" s="14" t="s">
        <v>145</v>
      </c>
      <c r="U98" s="14" t="s">
        <v>79</v>
      </c>
      <c r="V98" s="15">
        <v>40725</v>
      </c>
      <c r="W98" s="15"/>
      <c r="X98" s="16" t="s">
        <v>74</v>
      </c>
      <c r="Y98" s="17"/>
      <c r="Z98" s="18"/>
      <c r="AA98" s="17"/>
      <c r="AB98" s="18"/>
      <c r="AC98" s="17"/>
      <c r="AD98" s="18"/>
      <c r="AE98" s="17"/>
      <c r="AF98" s="18"/>
      <c r="AG98" s="14" t="s">
        <v>74</v>
      </c>
      <c r="AH98" s="16" t="s">
        <v>74</v>
      </c>
    </row>
    <row r="99" spans="1:34" ht="58" x14ac:dyDescent="0.35">
      <c r="A99" s="14" t="s">
        <v>113</v>
      </c>
      <c r="B99" s="14" t="s">
        <v>62</v>
      </c>
      <c r="C99" s="15">
        <v>44852.614583333336</v>
      </c>
      <c r="D99" s="14" t="s">
        <v>63</v>
      </c>
      <c r="E99" s="16" t="s">
        <v>64</v>
      </c>
      <c r="F99" s="14" t="s">
        <v>65</v>
      </c>
      <c r="G99" s="16" t="s">
        <v>66</v>
      </c>
      <c r="H99" s="14" t="s">
        <v>284</v>
      </c>
      <c r="I99" s="16" t="s">
        <v>285</v>
      </c>
      <c r="J99" s="16" t="s">
        <v>286</v>
      </c>
      <c r="K99" s="16" t="s">
        <v>287</v>
      </c>
      <c r="L99" s="14" t="s">
        <v>294</v>
      </c>
      <c r="M99" s="16" t="s">
        <v>295</v>
      </c>
      <c r="N99" s="14" t="s">
        <v>111</v>
      </c>
      <c r="O99" s="16" t="s">
        <v>74</v>
      </c>
      <c r="P99" s="16" t="s">
        <v>74</v>
      </c>
      <c r="Q99" s="16" t="s">
        <v>153</v>
      </c>
      <c r="R99" s="14" t="s">
        <v>154</v>
      </c>
      <c r="S99" s="14" t="s">
        <v>120</v>
      </c>
      <c r="T99" s="14" t="s">
        <v>145</v>
      </c>
      <c r="U99" s="14" t="s">
        <v>79</v>
      </c>
      <c r="V99" s="15">
        <v>40725</v>
      </c>
      <c r="W99" s="15"/>
      <c r="X99" s="16" t="s">
        <v>74</v>
      </c>
      <c r="Y99" s="17"/>
      <c r="Z99" s="18"/>
      <c r="AA99" s="17"/>
      <c r="AB99" s="18"/>
      <c r="AC99" s="17"/>
      <c r="AD99" s="18"/>
      <c r="AE99" s="17"/>
      <c r="AF99" s="18"/>
      <c r="AG99" s="14" t="s">
        <v>74</v>
      </c>
      <c r="AH99" s="16" t="s">
        <v>74</v>
      </c>
    </row>
    <row r="100" spans="1:34" ht="58" x14ac:dyDescent="0.35">
      <c r="A100" s="14" t="s">
        <v>113</v>
      </c>
      <c r="B100" s="14" t="s">
        <v>116</v>
      </c>
      <c r="C100" s="15">
        <v>44854.718055555553</v>
      </c>
      <c r="D100" s="14" t="s">
        <v>63</v>
      </c>
      <c r="E100" s="16" t="s">
        <v>64</v>
      </c>
      <c r="F100" s="14" t="s">
        <v>65</v>
      </c>
      <c r="G100" s="16" t="s">
        <v>66</v>
      </c>
      <c r="H100" s="14" t="s">
        <v>284</v>
      </c>
      <c r="I100" s="16" t="s">
        <v>285</v>
      </c>
      <c r="J100" s="16" t="s">
        <v>286</v>
      </c>
      <c r="K100" s="16" t="s">
        <v>287</v>
      </c>
      <c r="L100" s="14" t="s">
        <v>288</v>
      </c>
      <c r="M100" s="16" t="s">
        <v>289</v>
      </c>
      <c r="N100" s="14" t="s">
        <v>73</v>
      </c>
      <c r="O100" s="16" t="s">
        <v>74</v>
      </c>
      <c r="P100" s="16" t="s">
        <v>74</v>
      </c>
      <c r="Q100" s="16" t="s">
        <v>164</v>
      </c>
      <c r="R100" s="14" t="s">
        <v>165</v>
      </c>
      <c r="S100" s="14" t="s">
        <v>120</v>
      </c>
      <c r="T100" s="14" t="s">
        <v>145</v>
      </c>
      <c r="U100" s="14" t="s">
        <v>79</v>
      </c>
      <c r="V100" s="15">
        <v>40725</v>
      </c>
      <c r="W100" s="15"/>
      <c r="X100" s="16" t="s">
        <v>398</v>
      </c>
      <c r="Y100" s="17" t="s">
        <v>399</v>
      </c>
      <c r="Z100" s="18" t="str">
        <f>VLOOKUP(Y100,'Axe 2 Règles de gestion'!$D$2:$F$125,3, FALSE)</f>
        <v>Rémunération : L'agent continue de percevoir sa rémunération.</v>
      </c>
      <c r="AA100" s="17" t="s">
        <v>400</v>
      </c>
      <c r="AB100" s="18" t="str">
        <f>VLOOKUP(AA100,'Axe 2 Règles de gestion'!$D$2:$F$125,3, FALSE)</f>
        <v>Carrière : la durée du congé compte pour les droits à avancement.</v>
      </c>
      <c r="AC100" s="17" t="s">
        <v>401</v>
      </c>
      <c r="AD100" s="18" t="str">
        <f>VLOOKUP(AC100,'Axe 2 Règles de gestion'!$D$2:$F$125,3, FALSE)</f>
        <v>Congés annuels : La durée du congé n'est pas imputée sur la durée du congé annuel.</v>
      </c>
      <c r="AE100" s="17"/>
      <c r="AF100" s="18"/>
      <c r="AG100" s="14" t="s">
        <v>74</v>
      </c>
      <c r="AH100" s="16" t="s">
        <v>74</v>
      </c>
    </row>
    <row r="101" spans="1:34" ht="58" x14ac:dyDescent="0.35">
      <c r="A101" s="14" t="s">
        <v>113</v>
      </c>
      <c r="B101" s="14" t="s">
        <v>62</v>
      </c>
      <c r="C101" s="15">
        <v>44852.614583333336</v>
      </c>
      <c r="D101" s="14" t="s">
        <v>63</v>
      </c>
      <c r="E101" s="16" t="s">
        <v>64</v>
      </c>
      <c r="F101" s="14" t="s">
        <v>65</v>
      </c>
      <c r="G101" s="16" t="s">
        <v>66</v>
      </c>
      <c r="H101" s="14" t="s">
        <v>284</v>
      </c>
      <c r="I101" s="16" t="s">
        <v>285</v>
      </c>
      <c r="J101" s="16" t="s">
        <v>286</v>
      </c>
      <c r="K101" s="16" t="s">
        <v>287</v>
      </c>
      <c r="L101" s="14" t="s">
        <v>294</v>
      </c>
      <c r="M101" s="16" t="s">
        <v>295</v>
      </c>
      <c r="N101" s="14" t="s">
        <v>111</v>
      </c>
      <c r="O101" s="16" t="s">
        <v>74</v>
      </c>
      <c r="P101" s="16" t="s">
        <v>74</v>
      </c>
      <c r="Q101" s="16" t="s">
        <v>164</v>
      </c>
      <c r="R101" s="14" t="s">
        <v>165</v>
      </c>
      <c r="S101" s="14" t="s">
        <v>120</v>
      </c>
      <c r="T101" s="14" t="s">
        <v>145</v>
      </c>
      <c r="U101" s="14" t="s">
        <v>79</v>
      </c>
      <c r="V101" s="15">
        <v>40725</v>
      </c>
      <c r="W101" s="15"/>
      <c r="X101" s="16" t="s">
        <v>74</v>
      </c>
      <c r="Y101" s="17"/>
      <c r="Z101" s="18"/>
      <c r="AA101" s="17"/>
      <c r="AB101" s="18"/>
      <c r="AC101" s="17"/>
      <c r="AD101" s="18"/>
      <c r="AE101" s="17"/>
      <c r="AF101" s="18"/>
      <c r="AG101" s="14" t="s">
        <v>74</v>
      </c>
      <c r="AH101" s="16" t="s">
        <v>74</v>
      </c>
    </row>
    <row r="102" spans="1:34" ht="58" x14ac:dyDescent="0.35">
      <c r="A102" s="14" t="s">
        <v>113</v>
      </c>
      <c r="B102" s="14" t="s">
        <v>62</v>
      </c>
      <c r="C102" s="15">
        <v>44852.57916666667</v>
      </c>
      <c r="D102" s="14" t="s">
        <v>63</v>
      </c>
      <c r="E102" s="16" t="s">
        <v>64</v>
      </c>
      <c r="F102" s="14" t="s">
        <v>65</v>
      </c>
      <c r="G102" s="16" t="s">
        <v>66</v>
      </c>
      <c r="H102" s="14" t="s">
        <v>284</v>
      </c>
      <c r="I102" s="16" t="s">
        <v>285</v>
      </c>
      <c r="J102" s="16" t="s">
        <v>286</v>
      </c>
      <c r="K102" s="16" t="s">
        <v>287</v>
      </c>
      <c r="L102" s="14" t="s">
        <v>288</v>
      </c>
      <c r="M102" s="16" t="s">
        <v>289</v>
      </c>
      <c r="N102" s="14" t="s">
        <v>73</v>
      </c>
      <c r="O102" s="16" t="s">
        <v>74</v>
      </c>
      <c r="P102" s="16" t="s">
        <v>74</v>
      </c>
      <c r="Q102" s="16" t="s">
        <v>166</v>
      </c>
      <c r="R102" s="14" t="s">
        <v>167</v>
      </c>
      <c r="S102" s="14" t="s">
        <v>120</v>
      </c>
      <c r="T102" s="14" t="s">
        <v>145</v>
      </c>
      <c r="U102" s="14" t="s">
        <v>117</v>
      </c>
      <c r="V102" s="15">
        <v>40725</v>
      </c>
      <c r="W102" s="15"/>
      <c r="X102" s="16" t="s">
        <v>74</v>
      </c>
      <c r="Y102" s="17"/>
      <c r="Z102" s="18"/>
      <c r="AA102" s="17"/>
      <c r="AB102" s="18"/>
      <c r="AC102" s="17"/>
      <c r="AD102" s="18"/>
      <c r="AE102" s="17"/>
      <c r="AF102" s="18"/>
      <c r="AG102" s="14" t="s">
        <v>74</v>
      </c>
      <c r="AH102" s="16" t="s">
        <v>74</v>
      </c>
    </row>
    <row r="103" spans="1:34" ht="58" x14ac:dyDescent="0.35">
      <c r="A103" s="14" t="s">
        <v>113</v>
      </c>
      <c r="B103" s="14" t="s">
        <v>62</v>
      </c>
      <c r="C103" s="15">
        <v>44852.614583333336</v>
      </c>
      <c r="D103" s="14" t="s">
        <v>63</v>
      </c>
      <c r="E103" s="16" t="s">
        <v>64</v>
      </c>
      <c r="F103" s="14" t="s">
        <v>65</v>
      </c>
      <c r="G103" s="16" t="s">
        <v>66</v>
      </c>
      <c r="H103" s="14" t="s">
        <v>284</v>
      </c>
      <c r="I103" s="16" t="s">
        <v>285</v>
      </c>
      <c r="J103" s="16" t="s">
        <v>286</v>
      </c>
      <c r="K103" s="16" t="s">
        <v>287</v>
      </c>
      <c r="L103" s="14" t="s">
        <v>294</v>
      </c>
      <c r="M103" s="16" t="s">
        <v>295</v>
      </c>
      <c r="N103" s="14" t="s">
        <v>111</v>
      </c>
      <c r="O103" s="16" t="s">
        <v>74</v>
      </c>
      <c r="P103" s="16" t="s">
        <v>74</v>
      </c>
      <c r="Q103" s="16" t="s">
        <v>166</v>
      </c>
      <c r="R103" s="14" t="s">
        <v>167</v>
      </c>
      <c r="S103" s="14" t="s">
        <v>120</v>
      </c>
      <c r="T103" s="14" t="s">
        <v>145</v>
      </c>
      <c r="U103" s="14" t="s">
        <v>117</v>
      </c>
      <c r="V103" s="15">
        <v>40725</v>
      </c>
      <c r="W103" s="15"/>
      <c r="X103" s="16" t="s">
        <v>74</v>
      </c>
      <c r="Y103" s="17"/>
      <c r="Z103" s="18"/>
      <c r="AA103" s="17"/>
      <c r="AB103" s="18"/>
      <c r="AC103" s="17"/>
      <c r="AD103" s="18"/>
      <c r="AE103" s="17"/>
      <c r="AF103" s="18"/>
      <c r="AG103" s="14" t="s">
        <v>74</v>
      </c>
      <c r="AH103" s="16" t="s">
        <v>74</v>
      </c>
    </row>
    <row r="104" spans="1:34" ht="58" x14ac:dyDescent="0.35">
      <c r="A104" s="14" t="s">
        <v>113</v>
      </c>
      <c r="B104" s="14" t="s">
        <v>62</v>
      </c>
      <c r="C104" s="15">
        <v>44852.57916666667</v>
      </c>
      <c r="D104" s="14" t="s">
        <v>63</v>
      </c>
      <c r="E104" s="16" t="s">
        <v>64</v>
      </c>
      <c r="F104" s="14" t="s">
        <v>65</v>
      </c>
      <c r="G104" s="16" t="s">
        <v>66</v>
      </c>
      <c r="H104" s="14" t="s">
        <v>284</v>
      </c>
      <c r="I104" s="16" t="s">
        <v>285</v>
      </c>
      <c r="J104" s="16" t="s">
        <v>286</v>
      </c>
      <c r="K104" s="16" t="s">
        <v>287</v>
      </c>
      <c r="L104" s="14" t="s">
        <v>288</v>
      </c>
      <c r="M104" s="16" t="s">
        <v>289</v>
      </c>
      <c r="N104" s="14" t="s">
        <v>73</v>
      </c>
      <c r="O104" s="16" t="s">
        <v>74</v>
      </c>
      <c r="P104" s="16" t="s">
        <v>74</v>
      </c>
      <c r="Q104" s="16" t="s">
        <v>168</v>
      </c>
      <c r="R104" s="14" t="s">
        <v>169</v>
      </c>
      <c r="S104" s="14" t="s">
        <v>120</v>
      </c>
      <c r="T104" s="14" t="s">
        <v>145</v>
      </c>
      <c r="U104" s="14" t="s">
        <v>79</v>
      </c>
      <c r="V104" s="15">
        <v>40725</v>
      </c>
      <c r="W104" s="15"/>
      <c r="X104" s="16" t="s">
        <v>74</v>
      </c>
      <c r="Y104" s="17"/>
      <c r="Z104" s="18"/>
      <c r="AA104" s="17"/>
      <c r="AB104" s="18"/>
      <c r="AC104" s="17"/>
      <c r="AD104" s="18"/>
      <c r="AE104" s="17"/>
      <c r="AF104" s="18"/>
      <c r="AG104" s="14" t="s">
        <v>74</v>
      </c>
      <c r="AH104" s="16" t="s">
        <v>74</v>
      </c>
    </row>
    <row r="105" spans="1:34" ht="58" x14ac:dyDescent="0.35">
      <c r="A105" s="14" t="s">
        <v>113</v>
      </c>
      <c r="B105" s="14" t="s">
        <v>62</v>
      </c>
      <c r="C105" s="15">
        <v>44852.614583333336</v>
      </c>
      <c r="D105" s="14" t="s">
        <v>63</v>
      </c>
      <c r="E105" s="16" t="s">
        <v>64</v>
      </c>
      <c r="F105" s="14" t="s">
        <v>65</v>
      </c>
      <c r="G105" s="16" t="s">
        <v>66</v>
      </c>
      <c r="H105" s="14" t="s">
        <v>284</v>
      </c>
      <c r="I105" s="16" t="s">
        <v>285</v>
      </c>
      <c r="J105" s="16" t="s">
        <v>286</v>
      </c>
      <c r="K105" s="16" t="s">
        <v>287</v>
      </c>
      <c r="L105" s="14" t="s">
        <v>294</v>
      </c>
      <c r="M105" s="16" t="s">
        <v>295</v>
      </c>
      <c r="N105" s="14" t="s">
        <v>111</v>
      </c>
      <c r="O105" s="16" t="s">
        <v>74</v>
      </c>
      <c r="P105" s="16" t="s">
        <v>74</v>
      </c>
      <c r="Q105" s="16" t="s">
        <v>168</v>
      </c>
      <c r="R105" s="14" t="s">
        <v>169</v>
      </c>
      <c r="S105" s="14" t="s">
        <v>120</v>
      </c>
      <c r="T105" s="14" t="s">
        <v>145</v>
      </c>
      <c r="U105" s="14" t="s">
        <v>79</v>
      </c>
      <c r="V105" s="15">
        <v>40725</v>
      </c>
      <c r="W105" s="15"/>
      <c r="X105" s="16" t="s">
        <v>74</v>
      </c>
      <c r="Y105" s="17"/>
      <c r="Z105" s="18"/>
      <c r="AA105" s="17"/>
      <c r="AB105" s="18"/>
      <c r="AC105" s="17"/>
      <c r="AD105" s="18"/>
      <c r="AE105" s="17"/>
      <c r="AF105" s="18"/>
      <c r="AG105" s="14" t="s">
        <v>74</v>
      </c>
      <c r="AH105" s="16" t="s">
        <v>74</v>
      </c>
    </row>
    <row r="106" spans="1:34" ht="58" x14ac:dyDescent="0.35">
      <c r="A106" s="14" t="s">
        <v>113</v>
      </c>
      <c r="B106" s="14" t="s">
        <v>116</v>
      </c>
      <c r="C106" s="15">
        <v>44854.71875</v>
      </c>
      <c r="D106" s="14" t="s">
        <v>63</v>
      </c>
      <c r="E106" s="16" t="s">
        <v>64</v>
      </c>
      <c r="F106" s="14" t="s">
        <v>65</v>
      </c>
      <c r="G106" s="16" t="s">
        <v>66</v>
      </c>
      <c r="H106" s="14" t="s">
        <v>308</v>
      </c>
      <c r="I106" s="16" t="s">
        <v>309</v>
      </c>
      <c r="J106" s="16" t="s">
        <v>310</v>
      </c>
      <c r="K106" s="16" t="s">
        <v>311</v>
      </c>
      <c r="L106" s="14" t="s">
        <v>312</v>
      </c>
      <c r="M106" s="16" t="s">
        <v>313</v>
      </c>
      <c r="N106" s="14" t="s">
        <v>73</v>
      </c>
      <c r="O106" s="16" t="s">
        <v>74</v>
      </c>
      <c r="P106" s="16" t="s">
        <v>74</v>
      </c>
      <c r="Q106" s="16" t="s">
        <v>75</v>
      </c>
      <c r="R106" s="14" t="s">
        <v>76</v>
      </c>
      <c r="S106" s="14" t="s">
        <v>77</v>
      </c>
      <c r="T106" s="14" t="s">
        <v>78</v>
      </c>
      <c r="U106" s="14" t="s">
        <v>79</v>
      </c>
      <c r="V106" s="15">
        <v>40725</v>
      </c>
      <c r="W106" s="15"/>
      <c r="X106" s="16" t="s">
        <v>402</v>
      </c>
      <c r="Y106" s="17" t="s">
        <v>403</v>
      </c>
      <c r="Z106" s="18" t="str">
        <f>VLOOKUP(Y106,'Axe 2 Règles de gestion'!$D$2:$F$125,3, FALSE)</f>
        <v>Rémunération : L'agent continue de percevoir son traitement.</v>
      </c>
      <c r="AA106" s="17" t="s">
        <v>404</v>
      </c>
      <c r="AB106" s="18" t="str">
        <f>VLOOKUP(AA106,'Axe 2 Règles de gestion'!$D$2:$F$125,3, FALSE)</f>
        <v>Congés annuels : La durée du congé n'est pas imputée sur la durée du congé annuel.</v>
      </c>
      <c r="AC106" s="17" t="s">
        <v>405</v>
      </c>
      <c r="AD106" s="18" t="str">
        <f>VLOOKUP(AC106,'Axe 2 Règles de gestion'!$D$2:$F$125,3, FALSE)</f>
        <v>Carrière : la durée du congé compte pour les droits à avancement.</v>
      </c>
      <c r="AE106" s="17"/>
      <c r="AF106" s="18"/>
      <c r="AG106" s="14" t="s">
        <v>74</v>
      </c>
      <c r="AH106" s="16" t="s">
        <v>74</v>
      </c>
    </row>
    <row r="107" spans="1:34" ht="58" x14ac:dyDescent="0.35">
      <c r="A107" s="14" t="s">
        <v>113</v>
      </c>
      <c r="B107" s="14" t="s">
        <v>62</v>
      </c>
      <c r="C107" s="15">
        <v>44852.622916666667</v>
      </c>
      <c r="D107" s="14" t="s">
        <v>63</v>
      </c>
      <c r="E107" s="16" t="s">
        <v>64</v>
      </c>
      <c r="F107" s="14" t="s">
        <v>65</v>
      </c>
      <c r="G107" s="16" t="s">
        <v>66</v>
      </c>
      <c r="H107" s="14" t="s">
        <v>308</v>
      </c>
      <c r="I107" s="16" t="s">
        <v>309</v>
      </c>
      <c r="J107" s="16" t="s">
        <v>310</v>
      </c>
      <c r="K107" s="16" t="s">
        <v>311</v>
      </c>
      <c r="L107" s="14" t="s">
        <v>319</v>
      </c>
      <c r="M107" s="16" t="s">
        <v>320</v>
      </c>
      <c r="N107" s="14" t="s">
        <v>111</v>
      </c>
      <c r="O107" s="16" t="s">
        <v>74</v>
      </c>
      <c r="P107" s="16" t="s">
        <v>74</v>
      </c>
      <c r="Q107" s="16" t="s">
        <v>75</v>
      </c>
      <c r="R107" s="14" t="s">
        <v>76</v>
      </c>
      <c r="S107" s="14" t="s">
        <v>77</v>
      </c>
      <c r="T107" s="14" t="s">
        <v>78</v>
      </c>
      <c r="U107" s="14" t="s">
        <v>79</v>
      </c>
      <c r="V107" s="15">
        <v>40725</v>
      </c>
      <c r="W107" s="15"/>
      <c r="X107" s="16" t="s">
        <v>74</v>
      </c>
      <c r="Y107" s="17"/>
      <c r="Z107" s="18"/>
      <c r="AA107" s="17"/>
      <c r="AB107" s="18"/>
      <c r="AC107" s="17"/>
      <c r="AD107" s="18"/>
      <c r="AE107" s="17"/>
      <c r="AF107" s="18"/>
      <c r="AG107" s="14" t="s">
        <v>74</v>
      </c>
      <c r="AH107" s="16" t="s">
        <v>74</v>
      </c>
    </row>
    <row r="108" spans="1:34" ht="58" x14ac:dyDescent="0.35">
      <c r="A108" s="14" t="s">
        <v>113</v>
      </c>
      <c r="B108" s="14" t="s">
        <v>62</v>
      </c>
      <c r="C108" s="15">
        <v>44886.494444444441</v>
      </c>
      <c r="D108" s="14" t="s">
        <v>63</v>
      </c>
      <c r="E108" s="16" t="s">
        <v>64</v>
      </c>
      <c r="F108" s="14" t="s">
        <v>65</v>
      </c>
      <c r="G108" s="16" t="s">
        <v>66</v>
      </c>
      <c r="H108" s="14" t="s">
        <v>308</v>
      </c>
      <c r="I108" s="16" t="s">
        <v>309</v>
      </c>
      <c r="J108" s="16" t="s">
        <v>310</v>
      </c>
      <c r="K108" s="16" t="s">
        <v>311</v>
      </c>
      <c r="L108" s="14" t="s">
        <v>312</v>
      </c>
      <c r="M108" s="16" t="s">
        <v>313</v>
      </c>
      <c r="N108" s="14" t="s">
        <v>73</v>
      </c>
      <c r="O108" s="16" t="s">
        <v>74</v>
      </c>
      <c r="P108" s="16" t="s">
        <v>74</v>
      </c>
      <c r="Q108" s="16" t="s">
        <v>114</v>
      </c>
      <c r="R108" s="14" t="s">
        <v>115</v>
      </c>
      <c r="S108" s="14" t="s">
        <v>116</v>
      </c>
      <c r="T108" s="14" t="s">
        <v>78</v>
      </c>
      <c r="U108" s="14" t="s">
        <v>117</v>
      </c>
      <c r="V108" s="15">
        <v>43831</v>
      </c>
      <c r="W108" s="15"/>
      <c r="X108" s="16" t="s">
        <v>74</v>
      </c>
      <c r="Y108" s="17"/>
      <c r="Z108" s="18"/>
      <c r="AA108" s="17"/>
      <c r="AB108" s="18"/>
      <c r="AC108" s="17"/>
      <c r="AD108" s="18"/>
      <c r="AE108" s="17"/>
      <c r="AF108" s="18"/>
      <c r="AG108" s="14" t="s">
        <v>74</v>
      </c>
      <c r="AH108" s="16" t="s">
        <v>74</v>
      </c>
    </row>
    <row r="109" spans="1:34" ht="58" x14ac:dyDescent="0.35">
      <c r="A109" s="14" t="s">
        <v>113</v>
      </c>
      <c r="B109" s="14" t="s">
        <v>62</v>
      </c>
      <c r="C109" s="15">
        <v>44886.494444444441</v>
      </c>
      <c r="D109" s="14" t="s">
        <v>63</v>
      </c>
      <c r="E109" s="16" t="s">
        <v>64</v>
      </c>
      <c r="F109" s="14" t="s">
        <v>65</v>
      </c>
      <c r="G109" s="16" t="s">
        <v>66</v>
      </c>
      <c r="H109" s="14" t="s">
        <v>308</v>
      </c>
      <c r="I109" s="16" t="s">
        <v>309</v>
      </c>
      <c r="J109" s="16" t="s">
        <v>310</v>
      </c>
      <c r="K109" s="16" t="s">
        <v>311</v>
      </c>
      <c r="L109" s="14" t="s">
        <v>319</v>
      </c>
      <c r="M109" s="16" t="s">
        <v>320</v>
      </c>
      <c r="N109" s="14" t="s">
        <v>111</v>
      </c>
      <c r="O109" s="16" t="s">
        <v>74</v>
      </c>
      <c r="P109" s="16" t="s">
        <v>74</v>
      </c>
      <c r="Q109" s="16" t="s">
        <v>114</v>
      </c>
      <c r="R109" s="14" t="s">
        <v>115</v>
      </c>
      <c r="S109" s="14" t="s">
        <v>116</v>
      </c>
      <c r="T109" s="14" t="s">
        <v>78</v>
      </c>
      <c r="U109" s="14" t="s">
        <v>117</v>
      </c>
      <c r="V109" s="15">
        <v>43831</v>
      </c>
      <c r="W109" s="15"/>
      <c r="X109" s="16" t="s">
        <v>74</v>
      </c>
      <c r="Y109" s="17"/>
      <c r="Z109" s="18"/>
      <c r="AA109" s="17"/>
      <c r="AB109" s="18"/>
      <c r="AC109" s="17"/>
      <c r="AD109" s="18"/>
      <c r="AE109" s="17"/>
      <c r="AF109" s="18"/>
      <c r="AG109" s="14" t="s">
        <v>74</v>
      </c>
      <c r="AH109" s="16" t="s">
        <v>74</v>
      </c>
    </row>
    <row r="110" spans="1:34" ht="58" x14ac:dyDescent="0.35">
      <c r="A110" s="14" t="s">
        <v>113</v>
      </c>
      <c r="B110" s="14" t="s">
        <v>62</v>
      </c>
      <c r="C110" s="15">
        <v>44852.615972222222</v>
      </c>
      <c r="D110" s="14" t="s">
        <v>63</v>
      </c>
      <c r="E110" s="16" t="s">
        <v>64</v>
      </c>
      <c r="F110" s="14" t="s">
        <v>65</v>
      </c>
      <c r="G110" s="16" t="s">
        <v>66</v>
      </c>
      <c r="H110" s="14" t="s">
        <v>308</v>
      </c>
      <c r="I110" s="16" t="s">
        <v>309</v>
      </c>
      <c r="J110" s="16" t="s">
        <v>310</v>
      </c>
      <c r="K110" s="16" t="s">
        <v>311</v>
      </c>
      <c r="L110" s="14" t="s">
        <v>312</v>
      </c>
      <c r="M110" s="16" t="s">
        <v>313</v>
      </c>
      <c r="N110" s="14" t="s">
        <v>73</v>
      </c>
      <c r="O110" s="16" t="s">
        <v>74</v>
      </c>
      <c r="P110" s="16" t="s">
        <v>74</v>
      </c>
      <c r="Q110" s="16" t="s">
        <v>118</v>
      </c>
      <c r="R110" s="14" t="s">
        <v>119</v>
      </c>
      <c r="S110" s="14" t="s">
        <v>120</v>
      </c>
      <c r="T110" s="14" t="s">
        <v>78</v>
      </c>
      <c r="U110" s="14" t="s">
        <v>117</v>
      </c>
      <c r="V110" s="15">
        <v>40725</v>
      </c>
      <c r="W110" s="15"/>
      <c r="X110" s="16" t="s">
        <v>74</v>
      </c>
      <c r="Y110" s="17"/>
      <c r="Z110" s="18"/>
      <c r="AA110" s="17"/>
      <c r="AB110" s="18"/>
      <c r="AC110" s="17"/>
      <c r="AD110" s="18"/>
      <c r="AE110" s="17"/>
      <c r="AF110" s="18"/>
      <c r="AG110" s="14" t="s">
        <v>74</v>
      </c>
      <c r="AH110" s="16" t="s">
        <v>74</v>
      </c>
    </row>
    <row r="111" spans="1:34" ht="58" x14ac:dyDescent="0.35">
      <c r="A111" s="14" t="s">
        <v>113</v>
      </c>
      <c r="B111" s="14" t="s">
        <v>62</v>
      </c>
      <c r="C111" s="15">
        <v>44852.622916666667</v>
      </c>
      <c r="D111" s="14" t="s">
        <v>63</v>
      </c>
      <c r="E111" s="16" t="s">
        <v>64</v>
      </c>
      <c r="F111" s="14" t="s">
        <v>65</v>
      </c>
      <c r="G111" s="16" t="s">
        <v>66</v>
      </c>
      <c r="H111" s="14" t="s">
        <v>308</v>
      </c>
      <c r="I111" s="16" t="s">
        <v>309</v>
      </c>
      <c r="J111" s="16" t="s">
        <v>310</v>
      </c>
      <c r="K111" s="16" t="s">
        <v>311</v>
      </c>
      <c r="L111" s="14" t="s">
        <v>319</v>
      </c>
      <c r="M111" s="16" t="s">
        <v>320</v>
      </c>
      <c r="N111" s="14" t="s">
        <v>111</v>
      </c>
      <c r="O111" s="16" t="s">
        <v>74</v>
      </c>
      <c r="P111" s="16" t="s">
        <v>74</v>
      </c>
      <c r="Q111" s="16" t="s">
        <v>118</v>
      </c>
      <c r="R111" s="14" t="s">
        <v>119</v>
      </c>
      <c r="S111" s="14" t="s">
        <v>120</v>
      </c>
      <c r="T111" s="14" t="s">
        <v>78</v>
      </c>
      <c r="U111" s="14" t="s">
        <v>117</v>
      </c>
      <c r="V111" s="15">
        <v>40725</v>
      </c>
      <c r="W111" s="15"/>
      <c r="X111" s="16" t="s">
        <v>74</v>
      </c>
      <c r="Y111" s="17"/>
      <c r="Z111" s="18"/>
      <c r="AA111" s="17"/>
      <c r="AB111" s="18"/>
      <c r="AC111" s="17"/>
      <c r="AD111" s="18"/>
      <c r="AE111" s="17"/>
      <c r="AF111" s="18"/>
      <c r="AG111" s="14" t="s">
        <v>74</v>
      </c>
      <c r="AH111" s="16" t="s">
        <v>74</v>
      </c>
    </row>
    <row r="112" spans="1:34" ht="58" x14ac:dyDescent="0.35">
      <c r="A112" s="14" t="s">
        <v>113</v>
      </c>
      <c r="B112" s="14" t="s">
        <v>62</v>
      </c>
      <c r="C112" s="15">
        <v>44852.615972222222</v>
      </c>
      <c r="D112" s="14" t="s">
        <v>63</v>
      </c>
      <c r="E112" s="16" t="s">
        <v>64</v>
      </c>
      <c r="F112" s="14" t="s">
        <v>65</v>
      </c>
      <c r="G112" s="16" t="s">
        <v>66</v>
      </c>
      <c r="H112" s="14" t="s">
        <v>308</v>
      </c>
      <c r="I112" s="16" t="s">
        <v>309</v>
      </c>
      <c r="J112" s="16" t="s">
        <v>310</v>
      </c>
      <c r="K112" s="16" t="s">
        <v>311</v>
      </c>
      <c r="L112" s="14" t="s">
        <v>312</v>
      </c>
      <c r="M112" s="16" t="s">
        <v>313</v>
      </c>
      <c r="N112" s="14" t="s">
        <v>73</v>
      </c>
      <c r="O112" s="16" t="s">
        <v>74</v>
      </c>
      <c r="P112" s="16" t="s">
        <v>74</v>
      </c>
      <c r="Q112" s="16" t="s">
        <v>137</v>
      </c>
      <c r="R112" s="14" t="s">
        <v>138</v>
      </c>
      <c r="S112" s="14" t="s">
        <v>139</v>
      </c>
      <c r="T112" s="14" t="s">
        <v>78</v>
      </c>
      <c r="U112" s="14" t="s">
        <v>117</v>
      </c>
      <c r="V112" s="15">
        <v>40725</v>
      </c>
      <c r="W112" s="15"/>
      <c r="X112" s="16" t="s">
        <v>74</v>
      </c>
      <c r="Y112" s="17"/>
      <c r="Z112" s="18"/>
      <c r="AA112" s="17"/>
      <c r="AB112" s="18"/>
      <c r="AC112" s="17"/>
      <c r="AD112" s="18"/>
      <c r="AE112" s="17"/>
      <c r="AF112" s="18"/>
      <c r="AG112" s="14" t="s">
        <v>74</v>
      </c>
      <c r="AH112" s="16" t="s">
        <v>74</v>
      </c>
    </row>
    <row r="113" spans="1:34" ht="58" x14ac:dyDescent="0.35">
      <c r="A113" s="14" t="s">
        <v>113</v>
      </c>
      <c r="B113" s="14" t="s">
        <v>62</v>
      </c>
      <c r="C113" s="15">
        <v>44852.622916666667</v>
      </c>
      <c r="D113" s="14" t="s">
        <v>63</v>
      </c>
      <c r="E113" s="16" t="s">
        <v>64</v>
      </c>
      <c r="F113" s="14" t="s">
        <v>65</v>
      </c>
      <c r="G113" s="16" t="s">
        <v>66</v>
      </c>
      <c r="H113" s="14" t="s">
        <v>308</v>
      </c>
      <c r="I113" s="16" t="s">
        <v>309</v>
      </c>
      <c r="J113" s="16" t="s">
        <v>310</v>
      </c>
      <c r="K113" s="16" t="s">
        <v>311</v>
      </c>
      <c r="L113" s="14" t="s">
        <v>319</v>
      </c>
      <c r="M113" s="16" t="s">
        <v>320</v>
      </c>
      <c r="N113" s="14" t="s">
        <v>111</v>
      </c>
      <c r="O113" s="16" t="s">
        <v>74</v>
      </c>
      <c r="P113" s="16" t="s">
        <v>74</v>
      </c>
      <c r="Q113" s="16" t="s">
        <v>137</v>
      </c>
      <c r="R113" s="14" t="s">
        <v>138</v>
      </c>
      <c r="S113" s="14" t="s">
        <v>139</v>
      </c>
      <c r="T113" s="14" t="s">
        <v>78</v>
      </c>
      <c r="U113" s="14" t="s">
        <v>117</v>
      </c>
      <c r="V113" s="15">
        <v>40725</v>
      </c>
      <c r="W113" s="15"/>
      <c r="X113" s="16" t="s">
        <v>74</v>
      </c>
      <c r="Y113" s="17"/>
      <c r="Z113" s="18"/>
      <c r="AA113" s="17"/>
      <c r="AB113" s="18"/>
      <c r="AC113" s="17"/>
      <c r="AD113" s="18"/>
      <c r="AE113" s="17"/>
      <c r="AF113" s="18"/>
      <c r="AG113" s="14" t="s">
        <v>74</v>
      </c>
      <c r="AH113" s="16" t="s">
        <v>74</v>
      </c>
    </row>
    <row r="114" spans="1:34" ht="58" x14ac:dyDescent="0.35">
      <c r="A114" s="14" t="s">
        <v>113</v>
      </c>
      <c r="B114" s="14" t="s">
        <v>62</v>
      </c>
      <c r="C114" s="15">
        <v>44852.615972222222</v>
      </c>
      <c r="D114" s="14" t="s">
        <v>63</v>
      </c>
      <c r="E114" s="16" t="s">
        <v>64</v>
      </c>
      <c r="F114" s="14" t="s">
        <v>65</v>
      </c>
      <c r="G114" s="16" t="s">
        <v>66</v>
      </c>
      <c r="H114" s="14" t="s">
        <v>308</v>
      </c>
      <c r="I114" s="16" t="s">
        <v>309</v>
      </c>
      <c r="J114" s="16" t="s">
        <v>310</v>
      </c>
      <c r="K114" s="16" t="s">
        <v>311</v>
      </c>
      <c r="L114" s="14" t="s">
        <v>312</v>
      </c>
      <c r="M114" s="16" t="s">
        <v>313</v>
      </c>
      <c r="N114" s="14" t="s">
        <v>73</v>
      </c>
      <c r="O114" s="16" t="s">
        <v>74</v>
      </c>
      <c r="P114" s="16" t="s">
        <v>74</v>
      </c>
      <c r="Q114" s="16" t="s">
        <v>140</v>
      </c>
      <c r="R114" s="14" t="s">
        <v>141</v>
      </c>
      <c r="S114" s="14" t="s">
        <v>142</v>
      </c>
      <c r="T114" s="14" t="s">
        <v>78</v>
      </c>
      <c r="U114" s="14" t="s">
        <v>117</v>
      </c>
      <c r="V114" s="15">
        <v>40725</v>
      </c>
      <c r="W114" s="15"/>
      <c r="X114" s="16" t="s">
        <v>74</v>
      </c>
      <c r="Y114" s="17"/>
      <c r="Z114" s="18"/>
      <c r="AA114" s="17"/>
      <c r="AB114" s="18"/>
      <c r="AC114" s="17"/>
      <c r="AD114" s="18"/>
      <c r="AE114" s="17"/>
      <c r="AF114" s="18"/>
      <c r="AG114" s="14" t="s">
        <v>74</v>
      </c>
      <c r="AH114" s="16" t="s">
        <v>74</v>
      </c>
    </row>
    <row r="115" spans="1:34" ht="58" x14ac:dyDescent="0.35">
      <c r="A115" s="14" t="s">
        <v>113</v>
      </c>
      <c r="B115" s="14" t="s">
        <v>62</v>
      </c>
      <c r="C115" s="15">
        <v>44852.622916666667</v>
      </c>
      <c r="D115" s="14" t="s">
        <v>63</v>
      </c>
      <c r="E115" s="16" t="s">
        <v>64</v>
      </c>
      <c r="F115" s="14" t="s">
        <v>65</v>
      </c>
      <c r="G115" s="16" t="s">
        <v>66</v>
      </c>
      <c r="H115" s="14" t="s">
        <v>308</v>
      </c>
      <c r="I115" s="16" t="s">
        <v>309</v>
      </c>
      <c r="J115" s="16" t="s">
        <v>310</v>
      </c>
      <c r="K115" s="16" t="s">
        <v>311</v>
      </c>
      <c r="L115" s="14" t="s">
        <v>319</v>
      </c>
      <c r="M115" s="16" t="s">
        <v>320</v>
      </c>
      <c r="N115" s="14" t="s">
        <v>111</v>
      </c>
      <c r="O115" s="16" t="s">
        <v>74</v>
      </c>
      <c r="P115" s="16" t="s">
        <v>74</v>
      </c>
      <c r="Q115" s="16" t="s">
        <v>140</v>
      </c>
      <c r="R115" s="14" t="s">
        <v>141</v>
      </c>
      <c r="S115" s="14" t="s">
        <v>142</v>
      </c>
      <c r="T115" s="14" t="s">
        <v>78</v>
      </c>
      <c r="U115" s="14" t="s">
        <v>117</v>
      </c>
      <c r="V115" s="15">
        <v>40725</v>
      </c>
      <c r="W115" s="15"/>
      <c r="X115" s="16" t="s">
        <v>74</v>
      </c>
      <c r="Y115" s="17"/>
      <c r="Z115" s="18"/>
      <c r="AA115" s="17"/>
      <c r="AB115" s="18"/>
      <c r="AC115" s="17"/>
      <c r="AD115" s="18"/>
      <c r="AE115" s="17"/>
      <c r="AF115" s="18"/>
      <c r="AG115" s="14" t="s">
        <v>74</v>
      </c>
      <c r="AH115" s="16" t="s">
        <v>74</v>
      </c>
    </row>
    <row r="116" spans="1:34" ht="58" x14ac:dyDescent="0.35">
      <c r="A116" s="14" t="s">
        <v>113</v>
      </c>
      <c r="B116" s="14" t="s">
        <v>116</v>
      </c>
      <c r="C116" s="15">
        <v>44890.638888888891</v>
      </c>
      <c r="D116" s="14" t="s">
        <v>63</v>
      </c>
      <c r="E116" s="16" t="s">
        <v>64</v>
      </c>
      <c r="F116" s="14" t="s">
        <v>65</v>
      </c>
      <c r="G116" s="16" t="s">
        <v>66</v>
      </c>
      <c r="H116" s="14" t="s">
        <v>308</v>
      </c>
      <c r="I116" s="16" t="s">
        <v>309</v>
      </c>
      <c r="J116" s="16" t="s">
        <v>310</v>
      </c>
      <c r="K116" s="16" t="s">
        <v>311</v>
      </c>
      <c r="L116" s="14" t="s">
        <v>312</v>
      </c>
      <c r="M116" s="16" t="s">
        <v>313</v>
      </c>
      <c r="N116" s="14" t="s">
        <v>73</v>
      </c>
      <c r="O116" s="16" t="s">
        <v>74</v>
      </c>
      <c r="P116" s="16" t="s">
        <v>74</v>
      </c>
      <c r="Q116" s="16" t="s">
        <v>143</v>
      </c>
      <c r="R116" s="14" t="s">
        <v>144</v>
      </c>
      <c r="S116" s="14" t="s">
        <v>77</v>
      </c>
      <c r="T116" s="14" t="s">
        <v>145</v>
      </c>
      <c r="U116" s="14" t="s">
        <v>79</v>
      </c>
      <c r="V116" s="15">
        <v>40725</v>
      </c>
      <c r="W116" s="15"/>
      <c r="X116" s="16" t="s">
        <v>74</v>
      </c>
      <c r="Y116" s="17"/>
      <c r="Z116" s="18"/>
      <c r="AA116" s="17"/>
      <c r="AB116" s="18"/>
      <c r="AC116" s="17"/>
      <c r="AD116" s="18"/>
      <c r="AE116" s="17"/>
      <c r="AF116" s="18"/>
      <c r="AG116" s="14" t="s">
        <v>74</v>
      </c>
      <c r="AH116" s="16" t="s">
        <v>74</v>
      </c>
    </row>
    <row r="117" spans="1:34" ht="58" x14ac:dyDescent="0.35">
      <c r="A117" s="14" t="s">
        <v>113</v>
      </c>
      <c r="B117" s="14" t="s">
        <v>62</v>
      </c>
      <c r="C117" s="15">
        <v>44852.625694444447</v>
      </c>
      <c r="D117" s="14" t="s">
        <v>63</v>
      </c>
      <c r="E117" s="16" t="s">
        <v>64</v>
      </c>
      <c r="F117" s="14" t="s">
        <v>65</v>
      </c>
      <c r="G117" s="16" t="s">
        <v>66</v>
      </c>
      <c r="H117" s="14" t="s">
        <v>308</v>
      </c>
      <c r="I117" s="16" t="s">
        <v>309</v>
      </c>
      <c r="J117" s="16" t="s">
        <v>310</v>
      </c>
      <c r="K117" s="16" t="s">
        <v>311</v>
      </c>
      <c r="L117" s="14" t="s">
        <v>319</v>
      </c>
      <c r="M117" s="16" t="s">
        <v>320</v>
      </c>
      <c r="N117" s="14" t="s">
        <v>111</v>
      </c>
      <c r="O117" s="16" t="s">
        <v>74</v>
      </c>
      <c r="P117" s="16" t="s">
        <v>74</v>
      </c>
      <c r="Q117" s="16" t="s">
        <v>143</v>
      </c>
      <c r="R117" s="14" t="s">
        <v>144</v>
      </c>
      <c r="S117" s="14" t="s">
        <v>77</v>
      </c>
      <c r="T117" s="14" t="s">
        <v>145</v>
      </c>
      <c r="U117" s="14" t="s">
        <v>79</v>
      </c>
      <c r="V117" s="15">
        <v>40725</v>
      </c>
      <c r="W117" s="15"/>
      <c r="X117" s="16" t="s">
        <v>74</v>
      </c>
      <c r="Y117" s="17"/>
      <c r="Z117" s="18"/>
      <c r="AA117" s="17"/>
      <c r="AB117" s="18"/>
      <c r="AC117" s="17"/>
      <c r="AD117" s="18"/>
      <c r="AE117" s="17"/>
      <c r="AF117" s="18"/>
      <c r="AG117" s="14" t="s">
        <v>74</v>
      </c>
      <c r="AH117" s="16" t="s">
        <v>74</v>
      </c>
    </row>
    <row r="118" spans="1:34" ht="58" x14ac:dyDescent="0.35">
      <c r="A118" s="14" t="s">
        <v>113</v>
      </c>
      <c r="B118" s="14" t="s">
        <v>116</v>
      </c>
      <c r="C118" s="15">
        <v>44890.638888888891</v>
      </c>
      <c r="D118" s="14" t="s">
        <v>63</v>
      </c>
      <c r="E118" s="16" t="s">
        <v>64</v>
      </c>
      <c r="F118" s="14" t="s">
        <v>65</v>
      </c>
      <c r="G118" s="16" t="s">
        <v>66</v>
      </c>
      <c r="H118" s="14" t="s">
        <v>308</v>
      </c>
      <c r="I118" s="16" t="s">
        <v>309</v>
      </c>
      <c r="J118" s="16" t="s">
        <v>310</v>
      </c>
      <c r="K118" s="16" t="s">
        <v>311</v>
      </c>
      <c r="L118" s="14" t="s">
        <v>312</v>
      </c>
      <c r="M118" s="16" t="s">
        <v>313</v>
      </c>
      <c r="N118" s="14" t="s">
        <v>73</v>
      </c>
      <c r="O118" s="16" t="s">
        <v>74</v>
      </c>
      <c r="P118" s="16" t="s">
        <v>74</v>
      </c>
      <c r="Q118" s="16" t="s">
        <v>153</v>
      </c>
      <c r="R118" s="14" t="s">
        <v>154</v>
      </c>
      <c r="S118" s="14" t="s">
        <v>120</v>
      </c>
      <c r="T118" s="14" t="s">
        <v>145</v>
      </c>
      <c r="U118" s="14" t="s">
        <v>79</v>
      </c>
      <c r="V118" s="15">
        <v>40725</v>
      </c>
      <c r="W118" s="15"/>
      <c r="X118" s="16" t="s">
        <v>74</v>
      </c>
      <c r="Y118" s="17"/>
      <c r="Z118" s="18"/>
      <c r="AA118" s="17"/>
      <c r="AB118" s="18"/>
      <c r="AC118" s="17"/>
      <c r="AD118" s="18"/>
      <c r="AE118" s="17"/>
      <c r="AF118" s="18"/>
      <c r="AG118" s="14" t="s">
        <v>74</v>
      </c>
      <c r="AH118" s="16" t="s">
        <v>74</v>
      </c>
    </row>
    <row r="119" spans="1:34" ht="58" x14ac:dyDescent="0.35">
      <c r="A119" s="14" t="s">
        <v>113</v>
      </c>
      <c r="B119" s="14" t="s">
        <v>62</v>
      </c>
      <c r="C119" s="15">
        <v>44852.625694444447</v>
      </c>
      <c r="D119" s="14" t="s">
        <v>63</v>
      </c>
      <c r="E119" s="16" t="s">
        <v>64</v>
      </c>
      <c r="F119" s="14" t="s">
        <v>65</v>
      </c>
      <c r="G119" s="16" t="s">
        <v>66</v>
      </c>
      <c r="H119" s="14" t="s">
        <v>308</v>
      </c>
      <c r="I119" s="16" t="s">
        <v>309</v>
      </c>
      <c r="J119" s="16" t="s">
        <v>310</v>
      </c>
      <c r="K119" s="16" t="s">
        <v>311</v>
      </c>
      <c r="L119" s="14" t="s">
        <v>319</v>
      </c>
      <c r="M119" s="16" t="s">
        <v>320</v>
      </c>
      <c r="N119" s="14" t="s">
        <v>111</v>
      </c>
      <c r="O119" s="16" t="s">
        <v>74</v>
      </c>
      <c r="P119" s="16" t="s">
        <v>74</v>
      </c>
      <c r="Q119" s="16" t="s">
        <v>153</v>
      </c>
      <c r="R119" s="14" t="s">
        <v>154</v>
      </c>
      <c r="S119" s="14" t="s">
        <v>120</v>
      </c>
      <c r="T119" s="14" t="s">
        <v>145</v>
      </c>
      <c r="U119" s="14" t="s">
        <v>79</v>
      </c>
      <c r="V119" s="15">
        <v>40725</v>
      </c>
      <c r="W119" s="15"/>
      <c r="X119" s="16" t="s">
        <v>74</v>
      </c>
      <c r="Y119" s="17"/>
      <c r="Z119" s="18"/>
      <c r="AA119" s="17"/>
      <c r="AB119" s="18"/>
      <c r="AC119" s="17"/>
      <c r="AD119" s="18"/>
      <c r="AE119" s="17"/>
      <c r="AF119" s="18"/>
      <c r="AG119" s="14" t="s">
        <v>74</v>
      </c>
      <c r="AH119" s="16" t="s">
        <v>74</v>
      </c>
    </row>
    <row r="120" spans="1:34" ht="58" x14ac:dyDescent="0.35">
      <c r="A120" s="14" t="s">
        <v>113</v>
      </c>
      <c r="B120" s="14" t="s">
        <v>62</v>
      </c>
      <c r="C120" s="15">
        <v>44852.620833333334</v>
      </c>
      <c r="D120" s="14" t="s">
        <v>63</v>
      </c>
      <c r="E120" s="16" t="s">
        <v>64</v>
      </c>
      <c r="F120" s="14" t="s">
        <v>65</v>
      </c>
      <c r="G120" s="16" t="s">
        <v>66</v>
      </c>
      <c r="H120" s="14" t="s">
        <v>308</v>
      </c>
      <c r="I120" s="16" t="s">
        <v>309</v>
      </c>
      <c r="J120" s="16" t="s">
        <v>310</v>
      </c>
      <c r="K120" s="16" t="s">
        <v>311</v>
      </c>
      <c r="L120" s="14" t="s">
        <v>312</v>
      </c>
      <c r="M120" s="16" t="s">
        <v>313</v>
      </c>
      <c r="N120" s="14" t="s">
        <v>73</v>
      </c>
      <c r="O120" s="16" t="s">
        <v>74</v>
      </c>
      <c r="P120" s="16" t="s">
        <v>74</v>
      </c>
      <c r="Q120" s="16" t="s">
        <v>164</v>
      </c>
      <c r="R120" s="14" t="s">
        <v>165</v>
      </c>
      <c r="S120" s="14" t="s">
        <v>120</v>
      </c>
      <c r="T120" s="14" t="s">
        <v>145</v>
      </c>
      <c r="U120" s="14" t="s">
        <v>117</v>
      </c>
      <c r="V120" s="15">
        <v>40725</v>
      </c>
      <c r="W120" s="15"/>
      <c r="X120" s="16" t="s">
        <v>74</v>
      </c>
      <c r="Y120" s="17"/>
      <c r="Z120" s="18"/>
      <c r="AA120" s="17"/>
      <c r="AB120" s="18"/>
      <c r="AC120" s="17"/>
      <c r="AD120" s="18"/>
      <c r="AE120" s="17"/>
      <c r="AF120" s="18"/>
      <c r="AG120" s="14" t="s">
        <v>74</v>
      </c>
      <c r="AH120" s="16" t="s">
        <v>74</v>
      </c>
    </row>
    <row r="121" spans="1:34" ht="58" x14ac:dyDescent="0.35">
      <c r="A121" s="14" t="s">
        <v>113</v>
      </c>
      <c r="B121" s="14" t="s">
        <v>62</v>
      </c>
      <c r="C121" s="15">
        <v>44852.625694444447</v>
      </c>
      <c r="D121" s="14" t="s">
        <v>63</v>
      </c>
      <c r="E121" s="16" t="s">
        <v>64</v>
      </c>
      <c r="F121" s="14" t="s">
        <v>65</v>
      </c>
      <c r="G121" s="16" t="s">
        <v>66</v>
      </c>
      <c r="H121" s="14" t="s">
        <v>308</v>
      </c>
      <c r="I121" s="16" t="s">
        <v>309</v>
      </c>
      <c r="J121" s="16" t="s">
        <v>310</v>
      </c>
      <c r="K121" s="16" t="s">
        <v>311</v>
      </c>
      <c r="L121" s="14" t="s">
        <v>319</v>
      </c>
      <c r="M121" s="16" t="s">
        <v>320</v>
      </c>
      <c r="N121" s="14" t="s">
        <v>111</v>
      </c>
      <c r="O121" s="16" t="s">
        <v>74</v>
      </c>
      <c r="P121" s="16" t="s">
        <v>74</v>
      </c>
      <c r="Q121" s="16" t="s">
        <v>164</v>
      </c>
      <c r="R121" s="14" t="s">
        <v>165</v>
      </c>
      <c r="S121" s="14" t="s">
        <v>120</v>
      </c>
      <c r="T121" s="14" t="s">
        <v>145</v>
      </c>
      <c r="U121" s="14" t="s">
        <v>117</v>
      </c>
      <c r="V121" s="15">
        <v>40725</v>
      </c>
      <c r="W121" s="15"/>
      <c r="X121" s="16" t="s">
        <v>74</v>
      </c>
      <c r="Y121" s="17"/>
      <c r="Z121" s="18"/>
      <c r="AA121" s="17"/>
      <c r="AB121" s="18"/>
      <c r="AC121" s="17"/>
      <c r="AD121" s="18"/>
      <c r="AE121" s="17"/>
      <c r="AF121" s="18"/>
      <c r="AG121" s="14" t="s">
        <v>74</v>
      </c>
      <c r="AH121" s="16" t="s">
        <v>74</v>
      </c>
    </row>
    <row r="122" spans="1:34" ht="58" x14ac:dyDescent="0.35">
      <c r="A122" s="14" t="s">
        <v>113</v>
      </c>
      <c r="B122" s="14" t="s">
        <v>62</v>
      </c>
      <c r="C122" s="15">
        <v>44852.620833333334</v>
      </c>
      <c r="D122" s="14" t="s">
        <v>63</v>
      </c>
      <c r="E122" s="16" t="s">
        <v>64</v>
      </c>
      <c r="F122" s="14" t="s">
        <v>65</v>
      </c>
      <c r="G122" s="16" t="s">
        <v>66</v>
      </c>
      <c r="H122" s="14" t="s">
        <v>308</v>
      </c>
      <c r="I122" s="16" t="s">
        <v>309</v>
      </c>
      <c r="J122" s="16" t="s">
        <v>310</v>
      </c>
      <c r="K122" s="16" t="s">
        <v>311</v>
      </c>
      <c r="L122" s="14" t="s">
        <v>312</v>
      </c>
      <c r="M122" s="16" t="s">
        <v>313</v>
      </c>
      <c r="N122" s="14" t="s">
        <v>73</v>
      </c>
      <c r="O122" s="16" t="s">
        <v>74</v>
      </c>
      <c r="P122" s="16" t="s">
        <v>74</v>
      </c>
      <c r="Q122" s="16" t="s">
        <v>166</v>
      </c>
      <c r="R122" s="14" t="s">
        <v>167</v>
      </c>
      <c r="S122" s="14" t="s">
        <v>120</v>
      </c>
      <c r="T122" s="14" t="s">
        <v>145</v>
      </c>
      <c r="U122" s="14" t="s">
        <v>117</v>
      </c>
      <c r="V122" s="15">
        <v>40725</v>
      </c>
      <c r="W122" s="15"/>
      <c r="X122" s="16" t="s">
        <v>74</v>
      </c>
      <c r="Y122" s="17"/>
      <c r="Z122" s="18"/>
      <c r="AA122" s="17"/>
      <c r="AB122" s="18"/>
      <c r="AC122" s="17"/>
      <c r="AD122" s="18"/>
      <c r="AE122" s="17"/>
      <c r="AF122" s="18"/>
      <c r="AG122" s="14" t="s">
        <v>74</v>
      </c>
      <c r="AH122" s="16" t="s">
        <v>74</v>
      </c>
    </row>
    <row r="123" spans="1:34" ht="58" x14ac:dyDescent="0.35">
      <c r="A123" s="14" t="s">
        <v>113</v>
      </c>
      <c r="B123" s="14" t="s">
        <v>62</v>
      </c>
      <c r="C123" s="15">
        <v>44852.625694444447</v>
      </c>
      <c r="D123" s="14" t="s">
        <v>63</v>
      </c>
      <c r="E123" s="16" t="s">
        <v>64</v>
      </c>
      <c r="F123" s="14" t="s">
        <v>65</v>
      </c>
      <c r="G123" s="16" t="s">
        <v>66</v>
      </c>
      <c r="H123" s="14" t="s">
        <v>308</v>
      </c>
      <c r="I123" s="16" t="s">
        <v>309</v>
      </c>
      <c r="J123" s="16" t="s">
        <v>310</v>
      </c>
      <c r="K123" s="16" t="s">
        <v>311</v>
      </c>
      <c r="L123" s="14" t="s">
        <v>319</v>
      </c>
      <c r="M123" s="16" t="s">
        <v>320</v>
      </c>
      <c r="N123" s="14" t="s">
        <v>111</v>
      </c>
      <c r="O123" s="16" t="s">
        <v>74</v>
      </c>
      <c r="P123" s="16" t="s">
        <v>74</v>
      </c>
      <c r="Q123" s="16" t="s">
        <v>166</v>
      </c>
      <c r="R123" s="14" t="s">
        <v>167</v>
      </c>
      <c r="S123" s="14" t="s">
        <v>120</v>
      </c>
      <c r="T123" s="14" t="s">
        <v>145</v>
      </c>
      <c r="U123" s="14" t="s">
        <v>117</v>
      </c>
      <c r="V123" s="15">
        <v>40725</v>
      </c>
      <c r="W123" s="15"/>
      <c r="X123" s="16" t="s">
        <v>74</v>
      </c>
      <c r="Y123" s="17"/>
      <c r="Z123" s="18"/>
      <c r="AA123" s="17"/>
      <c r="AB123" s="18"/>
      <c r="AC123" s="17"/>
      <c r="AD123" s="18"/>
      <c r="AE123" s="17"/>
      <c r="AF123" s="18"/>
      <c r="AG123" s="14" t="s">
        <v>74</v>
      </c>
      <c r="AH123" s="16" t="s">
        <v>74</v>
      </c>
    </row>
    <row r="124" spans="1:34" ht="58" x14ac:dyDescent="0.35">
      <c r="A124" s="14" t="s">
        <v>113</v>
      </c>
      <c r="B124" s="14" t="s">
        <v>62</v>
      </c>
      <c r="C124" s="15">
        <v>44852.620833333334</v>
      </c>
      <c r="D124" s="14" t="s">
        <v>63</v>
      </c>
      <c r="E124" s="16" t="s">
        <v>64</v>
      </c>
      <c r="F124" s="14" t="s">
        <v>65</v>
      </c>
      <c r="G124" s="16" t="s">
        <v>66</v>
      </c>
      <c r="H124" s="14" t="s">
        <v>308</v>
      </c>
      <c r="I124" s="16" t="s">
        <v>309</v>
      </c>
      <c r="J124" s="16" t="s">
        <v>310</v>
      </c>
      <c r="K124" s="16" t="s">
        <v>311</v>
      </c>
      <c r="L124" s="14" t="s">
        <v>312</v>
      </c>
      <c r="M124" s="16" t="s">
        <v>313</v>
      </c>
      <c r="N124" s="14" t="s">
        <v>73</v>
      </c>
      <c r="O124" s="16" t="s">
        <v>74</v>
      </c>
      <c r="P124" s="16" t="s">
        <v>74</v>
      </c>
      <c r="Q124" s="16" t="s">
        <v>168</v>
      </c>
      <c r="R124" s="14" t="s">
        <v>169</v>
      </c>
      <c r="S124" s="14" t="s">
        <v>120</v>
      </c>
      <c r="T124" s="14" t="s">
        <v>145</v>
      </c>
      <c r="U124" s="14" t="s">
        <v>79</v>
      </c>
      <c r="V124" s="15">
        <v>40725</v>
      </c>
      <c r="W124" s="15"/>
      <c r="X124" s="16" t="s">
        <v>74</v>
      </c>
      <c r="Y124" s="17"/>
      <c r="Z124" s="18"/>
      <c r="AA124" s="17"/>
      <c r="AB124" s="18"/>
      <c r="AC124" s="17"/>
      <c r="AD124" s="18"/>
      <c r="AE124" s="17"/>
      <c r="AF124" s="18"/>
      <c r="AG124" s="14" t="s">
        <v>74</v>
      </c>
      <c r="AH124" s="16" t="s">
        <v>74</v>
      </c>
    </row>
    <row r="125" spans="1:34" ht="58" x14ac:dyDescent="0.35">
      <c r="A125" s="14" t="s">
        <v>113</v>
      </c>
      <c r="B125" s="14" t="s">
        <v>62</v>
      </c>
      <c r="C125" s="15">
        <v>44852.625694444447</v>
      </c>
      <c r="D125" s="14" t="s">
        <v>63</v>
      </c>
      <c r="E125" s="16" t="s">
        <v>64</v>
      </c>
      <c r="F125" s="14" t="s">
        <v>65</v>
      </c>
      <c r="G125" s="16" t="s">
        <v>66</v>
      </c>
      <c r="H125" s="14" t="s">
        <v>308</v>
      </c>
      <c r="I125" s="16" t="s">
        <v>309</v>
      </c>
      <c r="J125" s="16" t="s">
        <v>310</v>
      </c>
      <c r="K125" s="16" t="s">
        <v>311</v>
      </c>
      <c r="L125" s="14" t="s">
        <v>319</v>
      </c>
      <c r="M125" s="16" t="s">
        <v>320</v>
      </c>
      <c r="N125" s="14" t="s">
        <v>111</v>
      </c>
      <c r="O125" s="16" t="s">
        <v>74</v>
      </c>
      <c r="P125" s="16" t="s">
        <v>74</v>
      </c>
      <c r="Q125" s="16" t="s">
        <v>168</v>
      </c>
      <c r="R125" s="14" t="s">
        <v>169</v>
      </c>
      <c r="S125" s="14" t="s">
        <v>120</v>
      </c>
      <c r="T125" s="14" t="s">
        <v>145</v>
      </c>
      <c r="U125" s="14" t="s">
        <v>79</v>
      </c>
      <c r="V125" s="15">
        <v>40725</v>
      </c>
      <c r="W125" s="15"/>
      <c r="X125" s="16" t="s">
        <v>74</v>
      </c>
      <c r="Y125" s="17"/>
      <c r="Z125" s="18"/>
      <c r="AA125" s="17"/>
      <c r="AB125" s="18"/>
      <c r="AC125" s="17"/>
      <c r="AD125" s="18"/>
      <c r="AE125" s="17"/>
      <c r="AF125" s="18"/>
      <c r="AG125" s="14" t="s">
        <v>74</v>
      </c>
      <c r="AH125" s="16" t="s">
        <v>74</v>
      </c>
    </row>
    <row r="126" spans="1:34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74</v>
      </c>
      <c r="K126" s="20" t="s">
        <v>74</v>
      </c>
      <c r="L126" s="20"/>
      <c r="M126" s="20"/>
      <c r="N126" s="20" t="s">
        <v>74</v>
      </c>
      <c r="O126" s="20" t="s">
        <v>74</v>
      </c>
      <c r="P126" s="20" t="s">
        <v>74</v>
      </c>
      <c r="Q126" s="20"/>
      <c r="R126" s="20"/>
      <c r="S126" s="19"/>
      <c r="T126" s="20"/>
      <c r="U126" s="19"/>
      <c r="V126" s="22"/>
      <c r="W126" s="22"/>
      <c r="X126" s="20"/>
      <c r="AG126" s="25"/>
      <c r="AH126" s="20"/>
    </row>
    <row r="127" spans="1:34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74</v>
      </c>
      <c r="K127" s="20" t="s">
        <v>74</v>
      </c>
      <c r="L127" s="20"/>
      <c r="M127" s="20"/>
      <c r="N127" s="20" t="s">
        <v>74</v>
      </c>
      <c r="O127" s="20" t="s">
        <v>74</v>
      </c>
      <c r="P127" s="20" t="s">
        <v>74</v>
      </c>
      <c r="Q127" s="20"/>
      <c r="R127" s="20"/>
      <c r="S127" s="19"/>
      <c r="T127" s="20"/>
      <c r="U127" s="19"/>
      <c r="V127" s="22"/>
      <c r="W127" s="22"/>
      <c r="X127" s="20"/>
      <c r="AG127" s="25"/>
      <c r="AH127" s="20"/>
    </row>
    <row r="128" spans="1:34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74</v>
      </c>
      <c r="K128" s="20" t="s">
        <v>74</v>
      </c>
      <c r="L128" s="20"/>
      <c r="M128" s="20"/>
      <c r="N128" s="20" t="s">
        <v>74</v>
      </c>
      <c r="O128" s="20" t="s">
        <v>74</v>
      </c>
      <c r="P128" s="20" t="s">
        <v>74</v>
      </c>
      <c r="Q128" s="20"/>
      <c r="R128" s="20"/>
      <c r="S128" s="19"/>
      <c r="T128" s="20"/>
      <c r="U128" s="19"/>
      <c r="V128" s="22"/>
      <c r="W128" s="22"/>
      <c r="X128" s="20"/>
      <c r="AG128" s="25"/>
      <c r="AH128" s="20"/>
    </row>
    <row r="129" spans="1:34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74</v>
      </c>
      <c r="K129" s="20" t="s">
        <v>74</v>
      </c>
      <c r="L129" s="20"/>
      <c r="M129" s="20"/>
      <c r="N129" s="20" t="s">
        <v>74</v>
      </c>
      <c r="O129" s="20" t="s">
        <v>74</v>
      </c>
      <c r="P129" s="20" t="s">
        <v>74</v>
      </c>
      <c r="Q129" s="20"/>
      <c r="R129" s="20"/>
      <c r="S129" s="19"/>
      <c r="T129" s="20"/>
      <c r="U129" s="19"/>
      <c r="V129" s="22"/>
      <c r="W129" s="22"/>
      <c r="X129" s="20"/>
      <c r="AG129" s="25"/>
      <c r="AH129" s="20"/>
    </row>
    <row r="130" spans="1:34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74</v>
      </c>
      <c r="K130" s="20" t="s">
        <v>74</v>
      </c>
      <c r="L130" s="20"/>
      <c r="M130" s="20"/>
      <c r="N130" s="20" t="s">
        <v>74</v>
      </c>
      <c r="O130" s="20" t="s">
        <v>74</v>
      </c>
      <c r="P130" s="20" t="s">
        <v>74</v>
      </c>
      <c r="Q130" s="20"/>
      <c r="R130" s="20"/>
      <c r="S130" s="19"/>
      <c r="T130" s="20"/>
      <c r="U130" s="19"/>
      <c r="V130" s="22"/>
      <c r="W130" s="22"/>
      <c r="X130" s="20"/>
      <c r="AG130" s="25"/>
      <c r="AH130" s="20"/>
    </row>
    <row r="131" spans="1:34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74</v>
      </c>
      <c r="K131" s="20" t="s">
        <v>74</v>
      </c>
      <c r="L131" s="20"/>
      <c r="M131" s="20"/>
      <c r="N131" s="20" t="s">
        <v>74</v>
      </c>
      <c r="O131" s="20" t="s">
        <v>74</v>
      </c>
      <c r="P131" s="20" t="s">
        <v>74</v>
      </c>
      <c r="Q131" s="20"/>
      <c r="R131" s="20"/>
      <c r="S131" s="19"/>
      <c r="T131" s="20"/>
      <c r="U131" s="19"/>
      <c r="V131" s="22"/>
      <c r="W131" s="22"/>
      <c r="X131" s="20"/>
      <c r="AG131" s="25"/>
      <c r="AH131" s="20"/>
    </row>
    <row r="132" spans="1:34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74</v>
      </c>
      <c r="K132" s="20" t="s">
        <v>74</v>
      </c>
      <c r="L132" s="20"/>
      <c r="M132" s="20"/>
      <c r="N132" s="20" t="s">
        <v>74</v>
      </c>
      <c r="O132" s="20" t="s">
        <v>74</v>
      </c>
      <c r="P132" s="20" t="s">
        <v>74</v>
      </c>
      <c r="Q132" s="20"/>
      <c r="R132" s="20"/>
      <c r="S132" s="19"/>
      <c r="T132" s="20"/>
      <c r="U132" s="19"/>
      <c r="V132" s="22"/>
      <c r="W132" s="22"/>
      <c r="X132" s="20"/>
      <c r="AG132" s="25"/>
      <c r="AH132" s="20"/>
    </row>
    <row r="133" spans="1:34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74</v>
      </c>
      <c r="K133" s="20" t="s">
        <v>74</v>
      </c>
      <c r="L133" s="20"/>
      <c r="M133" s="20"/>
      <c r="N133" s="20" t="s">
        <v>74</v>
      </c>
      <c r="O133" s="20" t="s">
        <v>74</v>
      </c>
      <c r="P133" s="20" t="s">
        <v>74</v>
      </c>
      <c r="Q133" s="20"/>
      <c r="R133" s="20"/>
      <c r="S133" s="19"/>
      <c r="T133" s="20"/>
      <c r="U133" s="19"/>
      <c r="V133" s="22"/>
      <c r="W133" s="22"/>
      <c r="X133" s="20"/>
      <c r="AG133" s="25"/>
      <c r="AH133" s="20"/>
    </row>
    <row r="134" spans="1:34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74</v>
      </c>
      <c r="K134" s="20" t="s">
        <v>74</v>
      </c>
      <c r="L134" s="20"/>
      <c r="M134" s="20"/>
      <c r="N134" s="20" t="s">
        <v>74</v>
      </c>
      <c r="O134" s="20" t="s">
        <v>74</v>
      </c>
      <c r="P134" s="20" t="s">
        <v>74</v>
      </c>
      <c r="Q134" s="20"/>
      <c r="R134" s="20"/>
      <c r="S134" s="19"/>
      <c r="T134" s="20"/>
      <c r="U134" s="19"/>
      <c r="V134" s="22"/>
      <c r="W134" s="22"/>
      <c r="X134" s="20"/>
      <c r="AG134" s="25"/>
      <c r="AH134" s="20"/>
    </row>
    <row r="135" spans="1:34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74</v>
      </c>
      <c r="K135" s="20" t="s">
        <v>74</v>
      </c>
      <c r="L135" s="20"/>
      <c r="M135" s="20"/>
      <c r="N135" s="20" t="s">
        <v>74</v>
      </c>
      <c r="O135" s="20" t="s">
        <v>74</v>
      </c>
      <c r="P135" s="20" t="s">
        <v>74</v>
      </c>
      <c r="Q135" s="20"/>
      <c r="R135" s="20"/>
      <c r="S135" s="19"/>
      <c r="T135" s="20"/>
      <c r="U135" s="19"/>
      <c r="V135" s="22"/>
      <c r="W135" s="22"/>
      <c r="X135" s="20"/>
      <c r="AG135" s="25"/>
      <c r="AH135" s="20"/>
    </row>
    <row r="136" spans="1:34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74</v>
      </c>
      <c r="K136" s="20" t="s">
        <v>74</v>
      </c>
      <c r="L136" s="20"/>
      <c r="M136" s="20"/>
      <c r="N136" s="20" t="s">
        <v>74</v>
      </c>
      <c r="O136" s="20" t="s">
        <v>74</v>
      </c>
      <c r="P136" s="20" t="s">
        <v>74</v>
      </c>
      <c r="Q136" s="20"/>
      <c r="R136" s="20"/>
      <c r="S136" s="19"/>
      <c r="T136" s="20"/>
      <c r="U136" s="19"/>
      <c r="V136" s="22"/>
      <c r="W136" s="22"/>
      <c r="X136" s="20"/>
      <c r="AG136" s="25"/>
      <c r="AH136" s="20"/>
    </row>
    <row r="137" spans="1:34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74</v>
      </c>
      <c r="K137" s="20" t="s">
        <v>74</v>
      </c>
      <c r="L137" s="20"/>
      <c r="M137" s="20"/>
      <c r="N137" s="20" t="s">
        <v>74</v>
      </c>
      <c r="O137" s="20" t="s">
        <v>74</v>
      </c>
      <c r="P137" s="20" t="s">
        <v>74</v>
      </c>
      <c r="Q137" s="20"/>
      <c r="R137" s="20"/>
      <c r="S137" s="19"/>
      <c r="T137" s="20"/>
      <c r="U137" s="19"/>
      <c r="V137" s="22"/>
      <c r="W137" s="22"/>
      <c r="X137" s="20"/>
      <c r="AG137" s="25"/>
      <c r="AH137" s="20"/>
    </row>
    <row r="138" spans="1:34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74</v>
      </c>
      <c r="K138" s="20" t="s">
        <v>74</v>
      </c>
      <c r="L138" s="20"/>
      <c r="M138" s="20"/>
      <c r="N138" s="20" t="s">
        <v>74</v>
      </c>
      <c r="O138" s="20" t="s">
        <v>74</v>
      </c>
      <c r="P138" s="20" t="s">
        <v>74</v>
      </c>
      <c r="Q138" s="20"/>
      <c r="R138" s="20"/>
      <c r="S138" s="19"/>
      <c r="T138" s="20"/>
      <c r="U138" s="19"/>
      <c r="V138" s="22"/>
      <c r="W138" s="22"/>
      <c r="X138" s="20"/>
      <c r="AG138" s="25"/>
      <c r="AH138" s="20"/>
    </row>
    <row r="139" spans="1:34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74</v>
      </c>
      <c r="K139" s="20" t="s">
        <v>74</v>
      </c>
      <c r="L139" s="20"/>
      <c r="M139" s="20"/>
      <c r="N139" s="20" t="s">
        <v>74</v>
      </c>
      <c r="O139" s="20" t="s">
        <v>74</v>
      </c>
      <c r="P139" s="20" t="s">
        <v>74</v>
      </c>
      <c r="Q139" s="20"/>
      <c r="R139" s="20"/>
      <c r="S139" s="19"/>
      <c r="T139" s="20"/>
      <c r="U139" s="19"/>
      <c r="V139" s="22"/>
      <c r="W139" s="22"/>
      <c r="X139" s="20"/>
      <c r="AG139" s="25"/>
      <c r="AH139" s="20"/>
    </row>
    <row r="140" spans="1:34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74</v>
      </c>
      <c r="K140" s="20" t="s">
        <v>74</v>
      </c>
      <c r="L140" s="20"/>
      <c r="M140" s="20"/>
      <c r="N140" s="20" t="s">
        <v>74</v>
      </c>
      <c r="O140" s="20" t="s">
        <v>74</v>
      </c>
      <c r="P140" s="20" t="s">
        <v>74</v>
      </c>
      <c r="Q140" s="20"/>
      <c r="R140" s="20"/>
      <c r="S140" s="19"/>
      <c r="T140" s="20"/>
      <c r="U140" s="19"/>
      <c r="V140" s="22"/>
      <c r="W140" s="22"/>
      <c r="X140" s="20"/>
      <c r="AG140" s="25"/>
      <c r="AH140" s="20"/>
    </row>
    <row r="141" spans="1:34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74</v>
      </c>
      <c r="K141" s="20" t="s">
        <v>74</v>
      </c>
      <c r="L141" s="20"/>
      <c r="M141" s="20"/>
      <c r="N141" s="20" t="s">
        <v>74</v>
      </c>
      <c r="O141" s="20" t="s">
        <v>74</v>
      </c>
      <c r="P141" s="20" t="s">
        <v>74</v>
      </c>
      <c r="Q141" s="20"/>
      <c r="R141" s="20"/>
      <c r="S141" s="19"/>
      <c r="T141" s="20"/>
      <c r="U141" s="19"/>
      <c r="V141" s="22"/>
      <c r="W141" s="22"/>
      <c r="X141" s="20"/>
      <c r="AG141" s="25"/>
      <c r="AH141" s="20"/>
    </row>
    <row r="142" spans="1:34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74</v>
      </c>
      <c r="K142" s="20" t="s">
        <v>74</v>
      </c>
      <c r="L142" s="20"/>
      <c r="M142" s="20"/>
      <c r="N142" s="20" t="s">
        <v>74</v>
      </c>
      <c r="O142" s="20" t="s">
        <v>74</v>
      </c>
      <c r="P142" s="20" t="s">
        <v>74</v>
      </c>
      <c r="Q142" s="20"/>
      <c r="R142" s="20"/>
      <c r="S142" s="19"/>
      <c r="T142" s="20"/>
      <c r="U142" s="19"/>
      <c r="V142" s="22"/>
      <c r="W142" s="22"/>
      <c r="X142" s="20"/>
      <c r="AG142" s="25"/>
      <c r="AH142" s="20"/>
    </row>
    <row r="143" spans="1:34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74</v>
      </c>
      <c r="K143" s="20" t="s">
        <v>74</v>
      </c>
      <c r="L143" s="20"/>
      <c r="M143" s="20"/>
      <c r="N143" s="20" t="s">
        <v>74</v>
      </c>
      <c r="O143" s="20" t="s">
        <v>74</v>
      </c>
      <c r="P143" s="20" t="s">
        <v>74</v>
      </c>
      <c r="Q143" s="20"/>
      <c r="R143" s="20"/>
      <c r="S143" s="19"/>
      <c r="T143" s="20"/>
      <c r="U143" s="19"/>
      <c r="V143" s="22"/>
      <c r="W143" s="22"/>
      <c r="X143" s="20"/>
      <c r="AG143" s="25"/>
      <c r="AH143" s="20"/>
    </row>
    <row r="144" spans="1:34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74</v>
      </c>
      <c r="K144" s="20" t="s">
        <v>74</v>
      </c>
      <c r="L144" s="20"/>
      <c r="M144" s="20"/>
      <c r="N144" s="20" t="s">
        <v>74</v>
      </c>
      <c r="O144" s="20" t="s">
        <v>74</v>
      </c>
      <c r="P144" s="20" t="s">
        <v>74</v>
      </c>
      <c r="Q144" s="20"/>
      <c r="R144" s="20"/>
      <c r="S144" s="19"/>
      <c r="T144" s="20"/>
      <c r="U144" s="19"/>
      <c r="V144" s="22"/>
      <c r="W144" s="22"/>
      <c r="X144" s="20"/>
      <c r="AG144" s="25"/>
      <c r="AH144" s="20"/>
    </row>
    <row r="145" spans="1:34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74</v>
      </c>
      <c r="K145" s="20" t="s">
        <v>74</v>
      </c>
      <c r="L145" s="20"/>
      <c r="M145" s="20"/>
      <c r="N145" s="20" t="s">
        <v>74</v>
      </c>
      <c r="O145" s="20" t="s">
        <v>74</v>
      </c>
      <c r="P145" s="20" t="s">
        <v>74</v>
      </c>
      <c r="Q145" s="20"/>
      <c r="R145" s="20"/>
      <c r="S145" s="19"/>
      <c r="T145" s="20"/>
      <c r="U145" s="19"/>
      <c r="V145" s="22"/>
      <c r="W145" s="22"/>
      <c r="X145" s="20"/>
      <c r="AG145" s="25"/>
      <c r="AH145" s="20"/>
    </row>
    <row r="146" spans="1:34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74</v>
      </c>
      <c r="K146" s="20" t="s">
        <v>74</v>
      </c>
      <c r="L146" s="20"/>
      <c r="M146" s="20"/>
      <c r="N146" s="20" t="s">
        <v>74</v>
      </c>
      <c r="O146" s="20" t="s">
        <v>74</v>
      </c>
      <c r="P146" s="20" t="s">
        <v>74</v>
      </c>
      <c r="Q146" s="20"/>
      <c r="R146" s="20"/>
      <c r="S146" s="19"/>
      <c r="T146" s="20"/>
      <c r="U146" s="19"/>
      <c r="V146" s="22"/>
      <c r="W146" s="22"/>
      <c r="X146" s="20"/>
      <c r="AG146" s="25"/>
      <c r="AH146" s="20"/>
    </row>
    <row r="147" spans="1:34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74</v>
      </c>
      <c r="K147" s="20" t="s">
        <v>74</v>
      </c>
      <c r="L147" s="20"/>
      <c r="M147" s="20"/>
      <c r="N147" s="20" t="s">
        <v>74</v>
      </c>
      <c r="O147" s="20" t="s">
        <v>74</v>
      </c>
      <c r="P147" s="20" t="s">
        <v>74</v>
      </c>
      <c r="Q147" s="20"/>
      <c r="R147" s="20"/>
      <c r="S147" s="19"/>
      <c r="T147" s="20"/>
      <c r="U147" s="19"/>
      <c r="V147" s="22"/>
      <c r="W147" s="22"/>
      <c r="X147" s="20"/>
      <c r="AG147" s="25"/>
      <c r="AH147" s="20"/>
    </row>
    <row r="148" spans="1:34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74</v>
      </c>
      <c r="K148" s="20" t="s">
        <v>74</v>
      </c>
      <c r="L148" s="20"/>
      <c r="M148" s="20"/>
      <c r="N148" s="20" t="s">
        <v>74</v>
      </c>
      <c r="O148" s="20" t="s">
        <v>74</v>
      </c>
      <c r="P148" s="20" t="s">
        <v>74</v>
      </c>
      <c r="Q148" s="20"/>
      <c r="R148" s="20"/>
      <c r="S148" s="19"/>
      <c r="T148" s="20"/>
      <c r="U148" s="19"/>
      <c r="V148" s="22"/>
      <c r="W148" s="22"/>
      <c r="X148" s="20"/>
      <c r="AG148" s="25"/>
      <c r="AH148" s="20"/>
    </row>
    <row r="149" spans="1:34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74</v>
      </c>
      <c r="K149" s="20" t="s">
        <v>74</v>
      </c>
      <c r="L149" s="20"/>
      <c r="M149" s="20"/>
      <c r="N149" s="20" t="s">
        <v>74</v>
      </c>
      <c r="O149" s="20" t="s">
        <v>74</v>
      </c>
      <c r="P149" s="20" t="s">
        <v>74</v>
      </c>
      <c r="Q149" s="20"/>
      <c r="R149" s="20"/>
      <c r="S149" s="19"/>
      <c r="T149" s="20"/>
      <c r="U149" s="19"/>
      <c r="V149" s="22"/>
      <c r="W149" s="22"/>
      <c r="X149" s="20"/>
      <c r="AG149" s="25"/>
      <c r="AH149" s="20"/>
    </row>
    <row r="150" spans="1:34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74</v>
      </c>
      <c r="K150" s="20" t="s">
        <v>74</v>
      </c>
      <c r="L150" s="20"/>
      <c r="M150" s="20"/>
      <c r="N150" s="20" t="s">
        <v>74</v>
      </c>
      <c r="O150" s="20" t="s">
        <v>74</v>
      </c>
      <c r="P150" s="20" t="s">
        <v>74</v>
      </c>
      <c r="Q150" s="20"/>
      <c r="R150" s="20"/>
      <c r="S150" s="19"/>
      <c r="T150" s="20"/>
      <c r="U150" s="19"/>
      <c r="V150" s="22"/>
      <c r="W150" s="22"/>
      <c r="X150" s="20"/>
      <c r="AG150" s="25"/>
      <c r="AH150" s="20"/>
    </row>
    <row r="151" spans="1:34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74</v>
      </c>
      <c r="K151" s="20" t="s">
        <v>74</v>
      </c>
      <c r="L151" s="20"/>
      <c r="M151" s="20"/>
      <c r="N151" s="20" t="s">
        <v>74</v>
      </c>
      <c r="O151" s="20" t="s">
        <v>74</v>
      </c>
      <c r="P151" s="20" t="s">
        <v>74</v>
      </c>
      <c r="Q151" s="20"/>
      <c r="R151" s="20"/>
      <c r="S151" s="19"/>
      <c r="T151" s="20"/>
      <c r="U151" s="19"/>
      <c r="V151" s="22"/>
      <c r="W151" s="22"/>
      <c r="X151" s="20"/>
      <c r="AG151" s="25"/>
      <c r="AH151" s="20"/>
    </row>
    <row r="152" spans="1:34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74</v>
      </c>
      <c r="K152" s="20" t="s">
        <v>74</v>
      </c>
      <c r="L152" s="20"/>
      <c r="M152" s="20"/>
      <c r="N152" s="20" t="s">
        <v>74</v>
      </c>
      <c r="O152" s="20" t="s">
        <v>74</v>
      </c>
      <c r="P152" s="20" t="s">
        <v>74</v>
      </c>
      <c r="Q152" s="20"/>
      <c r="R152" s="20"/>
      <c r="S152" s="19"/>
      <c r="T152" s="20"/>
      <c r="U152" s="19"/>
      <c r="V152" s="22"/>
      <c r="W152" s="22"/>
      <c r="X152" s="20"/>
      <c r="AG152" s="25"/>
      <c r="AH152" s="20"/>
    </row>
    <row r="153" spans="1:34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74</v>
      </c>
      <c r="K153" s="20" t="s">
        <v>74</v>
      </c>
      <c r="L153" s="20"/>
      <c r="M153" s="20"/>
      <c r="N153" s="20" t="s">
        <v>74</v>
      </c>
      <c r="O153" s="20" t="s">
        <v>74</v>
      </c>
      <c r="P153" s="20" t="s">
        <v>74</v>
      </c>
      <c r="Q153" s="20"/>
      <c r="R153" s="20"/>
      <c r="S153" s="19"/>
      <c r="T153" s="20"/>
      <c r="U153" s="19"/>
      <c r="V153" s="22"/>
      <c r="W153" s="22"/>
      <c r="X153" s="20"/>
      <c r="AG153" s="25"/>
      <c r="AH153" s="20"/>
    </row>
    <row r="154" spans="1:34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74</v>
      </c>
      <c r="K154" s="20" t="s">
        <v>74</v>
      </c>
      <c r="L154" s="20"/>
      <c r="M154" s="20"/>
      <c r="N154" s="20" t="s">
        <v>74</v>
      </c>
      <c r="O154" s="20" t="s">
        <v>74</v>
      </c>
      <c r="P154" s="20" t="s">
        <v>74</v>
      </c>
      <c r="Q154" s="20"/>
      <c r="R154" s="20"/>
      <c r="S154" s="19"/>
      <c r="T154" s="20"/>
      <c r="U154" s="19"/>
      <c r="V154" s="22"/>
      <c r="W154" s="22"/>
      <c r="X154" s="20"/>
      <c r="AG154" s="25"/>
      <c r="AH154" s="20"/>
    </row>
    <row r="155" spans="1:34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74</v>
      </c>
      <c r="K155" s="20" t="s">
        <v>74</v>
      </c>
      <c r="L155" s="20"/>
      <c r="M155" s="20"/>
      <c r="N155" s="20" t="s">
        <v>74</v>
      </c>
      <c r="O155" s="20" t="s">
        <v>74</v>
      </c>
      <c r="P155" s="20" t="s">
        <v>74</v>
      </c>
      <c r="Q155" s="20"/>
      <c r="R155" s="20"/>
      <c r="S155" s="19"/>
      <c r="T155" s="20"/>
      <c r="U155" s="19"/>
      <c r="V155" s="22"/>
      <c r="W155" s="22"/>
      <c r="X155" s="20"/>
      <c r="AG155" s="25"/>
      <c r="AH155" s="20"/>
    </row>
    <row r="156" spans="1:34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74</v>
      </c>
      <c r="K156" s="20" t="s">
        <v>74</v>
      </c>
      <c r="L156" s="20"/>
      <c r="M156" s="20"/>
      <c r="N156" s="20" t="s">
        <v>74</v>
      </c>
      <c r="O156" s="20" t="s">
        <v>74</v>
      </c>
      <c r="P156" s="20" t="s">
        <v>74</v>
      </c>
      <c r="Q156" s="20"/>
      <c r="R156" s="20"/>
      <c r="S156" s="19"/>
      <c r="T156" s="20"/>
      <c r="U156" s="19"/>
      <c r="V156" s="22"/>
      <c r="W156" s="22"/>
      <c r="X156" s="20"/>
      <c r="AG156" s="25"/>
      <c r="AH156" s="20"/>
    </row>
    <row r="157" spans="1:34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74</v>
      </c>
      <c r="K157" s="20" t="s">
        <v>74</v>
      </c>
      <c r="L157" s="20"/>
      <c r="M157" s="20"/>
      <c r="N157" s="20" t="s">
        <v>74</v>
      </c>
      <c r="O157" s="20" t="s">
        <v>74</v>
      </c>
      <c r="P157" s="20" t="s">
        <v>74</v>
      </c>
      <c r="Q157" s="20"/>
      <c r="R157" s="20"/>
      <c r="S157" s="19"/>
      <c r="T157" s="20"/>
      <c r="U157" s="19"/>
      <c r="V157" s="22"/>
      <c r="W157" s="22"/>
      <c r="X157" s="20"/>
      <c r="AG157" s="25"/>
      <c r="AH157" s="20"/>
    </row>
    <row r="158" spans="1:34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74</v>
      </c>
      <c r="K158" s="20" t="s">
        <v>74</v>
      </c>
      <c r="L158" s="20"/>
      <c r="M158" s="20"/>
      <c r="N158" s="20" t="s">
        <v>74</v>
      </c>
      <c r="O158" s="20" t="s">
        <v>74</v>
      </c>
      <c r="P158" s="20" t="s">
        <v>74</v>
      </c>
      <c r="Q158" s="20"/>
      <c r="R158" s="20"/>
      <c r="S158" s="19"/>
      <c r="T158" s="20"/>
      <c r="U158" s="19"/>
      <c r="V158" s="22"/>
      <c r="W158" s="22"/>
      <c r="X158" s="20"/>
      <c r="AG158" s="25"/>
      <c r="AH158" s="20"/>
    </row>
    <row r="159" spans="1:34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74</v>
      </c>
      <c r="K159" s="20" t="s">
        <v>74</v>
      </c>
      <c r="L159" s="20"/>
      <c r="M159" s="20"/>
      <c r="N159" s="20" t="s">
        <v>74</v>
      </c>
      <c r="O159" s="20" t="s">
        <v>74</v>
      </c>
      <c r="P159" s="20" t="s">
        <v>74</v>
      </c>
      <c r="Q159" s="20"/>
      <c r="R159" s="20"/>
      <c r="S159" s="19"/>
      <c r="T159" s="20"/>
      <c r="U159" s="19"/>
      <c r="V159" s="22"/>
      <c r="W159" s="22"/>
      <c r="X159" s="20"/>
      <c r="AG159" s="25"/>
      <c r="AH159" s="20"/>
    </row>
    <row r="160" spans="1:34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74</v>
      </c>
      <c r="K160" s="20" t="s">
        <v>74</v>
      </c>
      <c r="L160" s="20"/>
      <c r="M160" s="20"/>
      <c r="N160" s="20" t="s">
        <v>74</v>
      </c>
      <c r="O160" s="20" t="s">
        <v>74</v>
      </c>
      <c r="P160" s="20" t="s">
        <v>74</v>
      </c>
      <c r="Q160" s="20"/>
      <c r="R160" s="20"/>
      <c r="S160" s="19"/>
      <c r="T160" s="20"/>
      <c r="U160" s="19"/>
      <c r="V160" s="22"/>
      <c r="W160" s="22"/>
      <c r="X160" s="20"/>
      <c r="AG160" s="25"/>
      <c r="AH160" s="20"/>
    </row>
    <row r="161" spans="1:34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74</v>
      </c>
      <c r="K161" s="20" t="s">
        <v>74</v>
      </c>
      <c r="L161" s="20"/>
      <c r="M161" s="20"/>
      <c r="N161" s="20" t="s">
        <v>74</v>
      </c>
      <c r="O161" s="20" t="s">
        <v>74</v>
      </c>
      <c r="P161" s="20" t="s">
        <v>74</v>
      </c>
      <c r="Q161" s="20"/>
      <c r="R161" s="20"/>
      <c r="S161" s="19"/>
      <c r="T161" s="20"/>
      <c r="U161" s="19"/>
      <c r="V161" s="22"/>
      <c r="W161" s="22"/>
      <c r="X161" s="20"/>
      <c r="AG161" s="25"/>
      <c r="AH161" s="20"/>
    </row>
    <row r="162" spans="1:34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74</v>
      </c>
      <c r="K162" s="20" t="s">
        <v>74</v>
      </c>
      <c r="L162" s="20"/>
      <c r="M162" s="20"/>
      <c r="N162" s="20" t="s">
        <v>74</v>
      </c>
      <c r="O162" s="20" t="s">
        <v>74</v>
      </c>
      <c r="P162" s="20" t="s">
        <v>74</v>
      </c>
      <c r="Q162" s="20"/>
      <c r="R162" s="20"/>
      <c r="S162" s="19"/>
      <c r="T162" s="20"/>
      <c r="U162" s="19"/>
      <c r="V162" s="22"/>
      <c r="W162" s="22"/>
      <c r="X162" s="20"/>
      <c r="AG162" s="25"/>
      <c r="AH162" s="20"/>
    </row>
    <row r="163" spans="1:34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74</v>
      </c>
      <c r="K163" s="20" t="s">
        <v>74</v>
      </c>
      <c r="L163" s="20"/>
      <c r="M163" s="20"/>
      <c r="N163" s="20" t="s">
        <v>74</v>
      </c>
      <c r="O163" s="20" t="s">
        <v>74</v>
      </c>
      <c r="P163" s="20" t="s">
        <v>74</v>
      </c>
      <c r="Q163" s="20"/>
      <c r="R163" s="20"/>
      <c r="S163" s="19"/>
      <c r="T163" s="20"/>
      <c r="U163" s="19"/>
      <c r="V163" s="22"/>
      <c r="W163" s="22"/>
      <c r="X163" s="20"/>
      <c r="AG163" s="25"/>
      <c r="AH163" s="20"/>
    </row>
    <row r="164" spans="1:34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74</v>
      </c>
      <c r="K164" s="20" t="s">
        <v>74</v>
      </c>
      <c r="L164" s="20"/>
      <c r="M164" s="20"/>
      <c r="N164" s="20" t="s">
        <v>74</v>
      </c>
      <c r="O164" s="20" t="s">
        <v>74</v>
      </c>
      <c r="P164" s="20" t="s">
        <v>74</v>
      </c>
      <c r="Q164" s="20"/>
      <c r="R164" s="20"/>
      <c r="S164" s="19"/>
      <c r="T164" s="20"/>
      <c r="U164" s="19"/>
      <c r="V164" s="22"/>
      <c r="W164" s="22"/>
      <c r="X164" s="20"/>
      <c r="AG164" s="25"/>
      <c r="AH164" s="20"/>
    </row>
    <row r="165" spans="1:34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74</v>
      </c>
      <c r="K165" s="20" t="s">
        <v>74</v>
      </c>
      <c r="L165" s="20"/>
      <c r="M165" s="20"/>
      <c r="N165" s="20" t="s">
        <v>74</v>
      </c>
      <c r="O165" s="20" t="s">
        <v>74</v>
      </c>
      <c r="P165" s="20" t="s">
        <v>74</v>
      </c>
      <c r="Q165" s="20"/>
      <c r="R165" s="20"/>
      <c r="S165" s="19"/>
      <c r="T165" s="20"/>
      <c r="U165" s="19"/>
      <c r="V165" s="22"/>
      <c r="W165" s="22"/>
      <c r="X165" s="20"/>
      <c r="AG165" s="25"/>
      <c r="AH165" s="20"/>
    </row>
    <row r="166" spans="1:34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74</v>
      </c>
      <c r="K166" s="20" t="s">
        <v>74</v>
      </c>
      <c r="L166" s="20"/>
      <c r="M166" s="20"/>
      <c r="N166" s="20" t="s">
        <v>74</v>
      </c>
      <c r="O166" s="20" t="s">
        <v>74</v>
      </c>
      <c r="P166" s="20" t="s">
        <v>74</v>
      </c>
      <c r="Q166" s="20"/>
      <c r="R166" s="20"/>
      <c r="S166" s="19"/>
      <c r="T166" s="20"/>
      <c r="U166" s="19"/>
      <c r="V166" s="22"/>
      <c r="W166" s="22"/>
      <c r="X166" s="20"/>
      <c r="AG166" s="25"/>
      <c r="AH166" s="20"/>
    </row>
    <row r="167" spans="1:34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74</v>
      </c>
      <c r="K167" s="20" t="s">
        <v>74</v>
      </c>
      <c r="L167" s="20"/>
      <c r="M167" s="20"/>
      <c r="N167" s="20" t="s">
        <v>74</v>
      </c>
      <c r="O167" s="20" t="s">
        <v>74</v>
      </c>
      <c r="P167" s="20" t="s">
        <v>74</v>
      </c>
      <c r="Q167" s="20"/>
      <c r="R167" s="20"/>
      <c r="S167" s="19"/>
      <c r="T167" s="20"/>
      <c r="U167" s="19"/>
      <c r="V167" s="22"/>
      <c r="W167" s="22"/>
      <c r="X167" s="20"/>
      <c r="AG167" s="25"/>
      <c r="AH167" s="20"/>
    </row>
    <row r="168" spans="1:34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74</v>
      </c>
      <c r="K168" s="20" t="s">
        <v>74</v>
      </c>
      <c r="L168" s="20"/>
      <c r="M168" s="20"/>
      <c r="N168" s="20" t="s">
        <v>74</v>
      </c>
      <c r="O168" s="20" t="s">
        <v>74</v>
      </c>
      <c r="P168" s="20" t="s">
        <v>74</v>
      </c>
      <c r="Q168" s="20"/>
      <c r="R168" s="20"/>
      <c r="S168" s="19"/>
      <c r="T168" s="20"/>
      <c r="U168" s="19"/>
      <c r="V168" s="22"/>
      <c r="W168" s="22"/>
      <c r="X168" s="20"/>
      <c r="AG168" s="25"/>
      <c r="AH168" s="20"/>
    </row>
    <row r="169" spans="1:34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74</v>
      </c>
      <c r="K169" s="20" t="s">
        <v>74</v>
      </c>
      <c r="L169" s="20"/>
      <c r="M169" s="20"/>
      <c r="N169" s="20" t="s">
        <v>74</v>
      </c>
      <c r="O169" s="20" t="s">
        <v>74</v>
      </c>
      <c r="P169" s="20" t="s">
        <v>74</v>
      </c>
      <c r="Q169" s="20"/>
      <c r="R169" s="20"/>
      <c r="S169" s="19"/>
      <c r="T169" s="20"/>
      <c r="U169" s="19"/>
      <c r="V169" s="22"/>
      <c r="W169" s="22"/>
      <c r="X169" s="20"/>
      <c r="AG169" s="25"/>
      <c r="AH169" s="20"/>
    </row>
    <row r="170" spans="1:34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74</v>
      </c>
      <c r="K170" s="20" t="s">
        <v>74</v>
      </c>
      <c r="L170" s="20"/>
      <c r="M170" s="20"/>
      <c r="N170" s="20" t="s">
        <v>74</v>
      </c>
      <c r="O170" s="20" t="s">
        <v>74</v>
      </c>
      <c r="P170" s="20" t="s">
        <v>74</v>
      </c>
      <c r="Q170" s="20"/>
      <c r="R170" s="20"/>
      <c r="S170" s="19"/>
      <c r="T170" s="20"/>
      <c r="U170" s="19"/>
      <c r="V170" s="22"/>
      <c r="W170" s="22"/>
      <c r="X170" s="20"/>
      <c r="AG170" s="25"/>
      <c r="AH170" s="20"/>
    </row>
    <row r="171" spans="1:34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74</v>
      </c>
      <c r="K171" s="20" t="s">
        <v>74</v>
      </c>
      <c r="L171" s="20"/>
      <c r="M171" s="20"/>
      <c r="N171" s="20" t="s">
        <v>74</v>
      </c>
      <c r="O171" s="20" t="s">
        <v>74</v>
      </c>
      <c r="P171" s="20" t="s">
        <v>74</v>
      </c>
      <c r="Q171" s="20"/>
      <c r="R171" s="20"/>
      <c r="S171" s="19"/>
      <c r="T171" s="20"/>
      <c r="U171" s="19"/>
      <c r="V171" s="22"/>
      <c r="W171" s="22"/>
      <c r="X171" s="20"/>
      <c r="AG171" s="25"/>
      <c r="AH171" s="20"/>
    </row>
    <row r="172" spans="1:34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74</v>
      </c>
      <c r="K172" s="20" t="s">
        <v>74</v>
      </c>
      <c r="L172" s="20"/>
      <c r="M172" s="20"/>
      <c r="N172" s="20" t="s">
        <v>74</v>
      </c>
      <c r="O172" s="20" t="s">
        <v>74</v>
      </c>
      <c r="P172" s="20" t="s">
        <v>74</v>
      </c>
      <c r="Q172" s="20"/>
      <c r="R172" s="20"/>
      <c r="S172" s="19"/>
      <c r="T172" s="20"/>
      <c r="U172" s="19"/>
      <c r="V172" s="22"/>
      <c r="W172" s="22"/>
      <c r="X172" s="20"/>
      <c r="AG172" s="25"/>
      <c r="AH172" s="20"/>
    </row>
    <row r="173" spans="1:34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74</v>
      </c>
      <c r="K173" s="20" t="s">
        <v>74</v>
      </c>
      <c r="L173" s="20"/>
      <c r="M173" s="20"/>
      <c r="N173" s="20" t="s">
        <v>74</v>
      </c>
      <c r="O173" s="20" t="s">
        <v>74</v>
      </c>
      <c r="P173" s="20" t="s">
        <v>74</v>
      </c>
      <c r="Q173" s="20"/>
      <c r="R173" s="20"/>
      <c r="S173" s="19"/>
      <c r="T173" s="20"/>
      <c r="U173" s="19"/>
      <c r="V173" s="22"/>
      <c r="W173" s="22"/>
      <c r="X173" s="20"/>
      <c r="AG173" s="25"/>
      <c r="AH173" s="20"/>
    </row>
    <row r="174" spans="1:34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74</v>
      </c>
      <c r="K174" s="20" t="s">
        <v>74</v>
      </c>
      <c r="L174" s="20"/>
      <c r="M174" s="20"/>
      <c r="N174" s="20" t="s">
        <v>74</v>
      </c>
      <c r="O174" s="20" t="s">
        <v>74</v>
      </c>
      <c r="P174" s="20" t="s">
        <v>74</v>
      </c>
      <c r="Q174" s="20"/>
      <c r="R174" s="20"/>
      <c r="S174" s="19"/>
      <c r="T174" s="20"/>
      <c r="U174" s="19"/>
      <c r="V174" s="22"/>
      <c r="W174" s="22"/>
      <c r="X174" s="20"/>
      <c r="AG174" s="25"/>
      <c r="AH174" s="20"/>
    </row>
    <row r="175" spans="1:34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74</v>
      </c>
      <c r="K175" s="20" t="s">
        <v>74</v>
      </c>
      <c r="L175" s="20"/>
      <c r="M175" s="20"/>
      <c r="N175" s="20" t="s">
        <v>74</v>
      </c>
      <c r="O175" s="20" t="s">
        <v>74</v>
      </c>
      <c r="P175" s="20" t="s">
        <v>74</v>
      </c>
      <c r="Q175" s="20"/>
      <c r="R175" s="20"/>
      <c r="S175" s="19"/>
      <c r="T175" s="20"/>
      <c r="U175" s="19"/>
      <c r="V175" s="22"/>
      <c r="W175" s="22"/>
      <c r="X175" s="20"/>
      <c r="AG175" s="25"/>
      <c r="AH175" s="20"/>
    </row>
    <row r="176" spans="1:34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74</v>
      </c>
      <c r="K176" s="20" t="s">
        <v>74</v>
      </c>
      <c r="L176" s="20"/>
      <c r="M176" s="20"/>
      <c r="N176" s="20" t="s">
        <v>74</v>
      </c>
      <c r="O176" s="20" t="s">
        <v>74</v>
      </c>
      <c r="P176" s="20" t="s">
        <v>74</v>
      </c>
      <c r="Q176" s="20"/>
      <c r="R176" s="20"/>
      <c r="S176" s="19"/>
      <c r="T176" s="20"/>
      <c r="U176" s="19"/>
      <c r="V176" s="22"/>
      <c r="W176" s="22"/>
      <c r="X176" s="20"/>
      <c r="AG176" s="25"/>
      <c r="AH176" s="20"/>
    </row>
    <row r="177" spans="1:34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74</v>
      </c>
      <c r="K177" s="20" t="s">
        <v>74</v>
      </c>
      <c r="L177" s="20"/>
      <c r="M177" s="20"/>
      <c r="N177" s="20" t="s">
        <v>74</v>
      </c>
      <c r="O177" s="20" t="s">
        <v>74</v>
      </c>
      <c r="P177" s="20" t="s">
        <v>74</v>
      </c>
      <c r="Q177" s="20"/>
      <c r="R177" s="20"/>
      <c r="S177" s="19"/>
      <c r="T177" s="20"/>
      <c r="U177" s="19"/>
      <c r="V177" s="22"/>
      <c r="W177" s="22"/>
      <c r="X177" s="20"/>
      <c r="AG177" s="25"/>
      <c r="AH177" s="20"/>
    </row>
    <row r="178" spans="1:34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74</v>
      </c>
      <c r="K178" s="20" t="s">
        <v>74</v>
      </c>
      <c r="L178" s="20"/>
      <c r="M178" s="20"/>
      <c r="N178" s="20" t="s">
        <v>74</v>
      </c>
      <c r="O178" s="20" t="s">
        <v>74</v>
      </c>
      <c r="P178" s="20" t="s">
        <v>74</v>
      </c>
      <c r="Q178" s="20"/>
      <c r="R178" s="20"/>
      <c r="S178" s="19"/>
      <c r="T178" s="20"/>
      <c r="U178" s="19"/>
      <c r="V178" s="22"/>
      <c r="W178" s="22"/>
      <c r="X178" s="20"/>
      <c r="AG178" s="25"/>
      <c r="AH178" s="20"/>
    </row>
    <row r="179" spans="1:34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74</v>
      </c>
      <c r="K179" s="20" t="s">
        <v>74</v>
      </c>
      <c r="L179" s="20"/>
      <c r="M179" s="20"/>
      <c r="N179" s="20" t="s">
        <v>74</v>
      </c>
      <c r="O179" s="20" t="s">
        <v>74</v>
      </c>
      <c r="P179" s="20" t="s">
        <v>74</v>
      </c>
      <c r="Q179" s="20"/>
      <c r="R179" s="20"/>
      <c r="S179" s="19"/>
      <c r="T179" s="20"/>
      <c r="U179" s="19"/>
      <c r="V179" s="22"/>
      <c r="W179" s="22"/>
      <c r="X179" s="20"/>
      <c r="AG179" s="25"/>
      <c r="AH179" s="20"/>
    </row>
    <row r="180" spans="1:34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74</v>
      </c>
      <c r="K180" s="20" t="s">
        <v>74</v>
      </c>
      <c r="L180" s="20"/>
      <c r="M180" s="20"/>
      <c r="N180" s="20" t="s">
        <v>74</v>
      </c>
      <c r="O180" s="20" t="s">
        <v>74</v>
      </c>
      <c r="P180" s="20" t="s">
        <v>74</v>
      </c>
      <c r="Q180" s="20"/>
      <c r="R180" s="20"/>
      <c r="S180" s="19"/>
      <c r="T180" s="20"/>
      <c r="U180" s="19"/>
      <c r="V180" s="22"/>
      <c r="W180" s="22"/>
      <c r="X180" s="20"/>
      <c r="AG180" s="25"/>
      <c r="AH180" s="20"/>
    </row>
    <row r="181" spans="1:34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74</v>
      </c>
      <c r="K181" s="20" t="s">
        <v>74</v>
      </c>
      <c r="L181" s="20"/>
      <c r="M181" s="20"/>
      <c r="N181" s="20" t="s">
        <v>74</v>
      </c>
      <c r="O181" s="20" t="s">
        <v>74</v>
      </c>
      <c r="P181" s="20" t="s">
        <v>74</v>
      </c>
      <c r="Q181" s="20"/>
      <c r="R181" s="20"/>
      <c r="S181" s="19"/>
      <c r="T181" s="20"/>
      <c r="U181" s="19"/>
      <c r="V181" s="22"/>
      <c r="W181" s="22"/>
      <c r="X181" s="20"/>
      <c r="AG181" s="25"/>
      <c r="AH181" s="20"/>
    </row>
    <row r="182" spans="1:34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74</v>
      </c>
      <c r="K182" s="20" t="s">
        <v>74</v>
      </c>
      <c r="L182" s="20"/>
      <c r="M182" s="20"/>
      <c r="N182" s="20" t="s">
        <v>74</v>
      </c>
      <c r="O182" s="20" t="s">
        <v>74</v>
      </c>
      <c r="P182" s="20" t="s">
        <v>74</v>
      </c>
      <c r="Q182" s="20"/>
      <c r="R182" s="20"/>
      <c r="S182" s="19"/>
      <c r="T182" s="20"/>
      <c r="U182" s="19"/>
      <c r="V182" s="22"/>
      <c r="W182" s="22"/>
      <c r="X182" s="20"/>
      <c r="AG182" s="25"/>
      <c r="AH182" s="20"/>
    </row>
    <row r="183" spans="1:34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74</v>
      </c>
      <c r="K183" s="20" t="s">
        <v>74</v>
      </c>
      <c r="L183" s="20"/>
      <c r="M183" s="20"/>
      <c r="N183" s="20" t="s">
        <v>74</v>
      </c>
      <c r="O183" s="20" t="s">
        <v>74</v>
      </c>
      <c r="P183" s="20" t="s">
        <v>74</v>
      </c>
      <c r="Q183" s="20"/>
      <c r="R183" s="20"/>
      <c r="S183" s="19"/>
      <c r="T183" s="20"/>
      <c r="U183" s="19"/>
      <c r="V183" s="22"/>
      <c r="W183" s="22"/>
      <c r="X183" s="20"/>
      <c r="AG183" s="25"/>
      <c r="AH183" s="20"/>
    </row>
    <row r="184" spans="1:34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74</v>
      </c>
      <c r="K184" s="20" t="s">
        <v>74</v>
      </c>
      <c r="L184" s="20"/>
      <c r="M184" s="20"/>
      <c r="N184" s="20" t="s">
        <v>74</v>
      </c>
      <c r="O184" s="20" t="s">
        <v>74</v>
      </c>
      <c r="P184" s="20" t="s">
        <v>74</v>
      </c>
      <c r="Q184" s="20"/>
      <c r="R184" s="20"/>
      <c r="S184" s="19"/>
      <c r="T184" s="20"/>
      <c r="U184" s="19"/>
      <c r="V184" s="22"/>
      <c r="W184" s="22"/>
      <c r="X184" s="20"/>
      <c r="AG184" s="25"/>
      <c r="AH184" s="20"/>
    </row>
    <row r="185" spans="1:34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74</v>
      </c>
      <c r="K185" s="20" t="s">
        <v>74</v>
      </c>
      <c r="L185" s="20"/>
      <c r="M185" s="20"/>
      <c r="N185" s="20" t="s">
        <v>74</v>
      </c>
      <c r="O185" s="20" t="s">
        <v>74</v>
      </c>
      <c r="P185" s="20" t="s">
        <v>74</v>
      </c>
      <c r="Q185" s="20"/>
      <c r="R185" s="20"/>
      <c r="S185" s="19"/>
      <c r="T185" s="20"/>
      <c r="U185" s="19"/>
      <c r="V185" s="22"/>
      <c r="W185" s="22"/>
      <c r="X185" s="20"/>
      <c r="AG185" s="25"/>
      <c r="AH185" s="20"/>
    </row>
    <row r="186" spans="1:34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74</v>
      </c>
      <c r="K186" s="20" t="s">
        <v>74</v>
      </c>
      <c r="L186" s="20"/>
      <c r="M186" s="20"/>
      <c r="N186" s="20" t="s">
        <v>74</v>
      </c>
      <c r="O186" s="20" t="s">
        <v>74</v>
      </c>
      <c r="P186" s="20" t="s">
        <v>74</v>
      </c>
      <c r="Q186" s="20"/>
      <c r="R186" s="20"/>
      <c r="S186" s="19"/>
      <c r="T186" s="20"/>
      <c r="U186" s="19"/>
      <c r="V186" s="22"/>
      <c r="W186" s="22"/>
      <c r="X186" s="20"/>
      <c r="AG186" s="25"/>
      <c r="AH186" s="20"/>
    </row>
    <row r="187" spans="1:34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74</v>
      </c>
      <c r="K187" s="20" t="s">
        <v>74</v>
      </c>
      <c r="L187" s="20"/>
      <c r="M187" s="20"/>
      <c r="N187" s="20" t="s">
        <v>74</v>
      </c>
      <c r="O187" s="20" t="s">
        <v>74</v>
      </c>
      <c r="P187" s="20" t="s">
        <v>74</v>
      </c>
      <c r="Q187" s="20"/>
      <c r="R187" s="20"/>
      <c r="S187" s="19"/>
      <c r="T187" s="20"/>
      <c r="U187" s="19"/>
      <c r="V187" s="22"/>
      <c r="W187" s="22"/>
      <c r="X187" s="20"/>
      <c r="AG187" s="25"/>
      <c r="AH187" s="20"/>
    </row>
    <row r="188" spans="1:34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74</v>
      </c>
      <c r="K188" s="20" t="s">
        <v>74</v>
      </c>
      <c r="L188" s="20"/>
      <c r="M188" s="20"/>
      <c r="N188" s="20" t="s">
        <v>74</v>
      </c>
      <c r="O188" s="20" t="s">
        <v>74</v>
      </c>
      <c r="P188" s="20" t="s">
        <v>74</v>
      </c>
      <c r="Q188" s="20"/>
      <c r="R188" s="20"/>
      <c r="S188" s="19"/>
      <c r="T188" s="20"/>
      <c r="U188" s="19"/>
      <c r="V188" s="22"/>
      <c r="W188" s="22"/>
      <c r="X188" s="20"/>
      <c r="AG188" s="25"/>
      <c r="AH188" s="20"/>
    </row>
    <row r="189" spans="1:34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74</v>
      </c>
      <c r="K189" s="20" t="s">
        <v>74</v>
      </c>
      <c r="L189" s="20"/>
      <c r="M189" s="20"/>
      <c r="N189" s="20" t="s">
        <v>74</v>
      </c>
      <c r="O189" s="20" t="s">
        <v>74</v>
      </c>
      <c r="P189" s="20" t="s">
        <v>74</v>
      </c>
      <c r="Q189" s="20"/>
      <c r="R189" s="20"/>
      <c r="S189" s="19"/>
      <c r="T189" s="20"/>
      <c r="U189" s="19"/>
      <c r="V189" s="22"/>
      <c r="W189" s="22"/>
      <c r="X189" s="20"/>
      <c r="AG189" s="25"/>
      <c r="AH189" s="20"/>
    </row>
    <row r="190" spans="1:34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74</v>
      </c>
      <c r="K190" s="20" t="s">
        <v>74</v>
      </c>
      <c r="L190" s="20"/>
      <c r="M190" s="20"/>
      <c r="N190" s="20" t="s">
        <v>74</v>
      </c>
      <c r="O190" s="20" t="s">
        <v>74</v>
      </c>
      <c r="P190" s="20" t="s">
        <v>74</v>
      </c>
      <c r="Q190" s="20"/>
      <c r="R190" s="20"/>
      <c r="S190" s="19"/>
      <c r="T190" s="20"/>
      <c r="U190" s="19"/>
      <c r="V190" s="22"/>
      <c r="W190" s="22"/>
      <c r="X190" s="20"/>
      <c r="AG190" s="25"/>
      <c r="AH190" s="20"/>
    </row>
    <row r="191" spans="1:34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74</v>
      </c>
      <c r="K191" s="20" t="s">
        <v>74</v>
      </c>
      <c r="L191" s="20"/>
      <c r="M191" s="20"/>
      <c r="N191" s="20" t="s">
        <v>74</v>
      </c>
      <c r="O191" s="20" t="s">
        <v>74</v>
      </c>
      <c r="P191" s="20" t="s">
        <v>74</v>
      </c>
      <c r="Q191" s="20"/>
      <c r="R191" s="20"/>
      <c r="S191" s="19"/>
      <c r="T191" s="20"/>
      <c r="U191" s="19"/>
      <c r="V191" s="22"/>
      <c r="W191" s="22"/>
      <c r="X191" s="20"/>
      <c r="AG191" s="25"/>
      <c r="AH191" s="20"/>
    </row>
    <row r="192" spans="1:34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74</v>
      </c>
      <c r="K192" s="20" t="s">
        <v>74</v>
      </c>
      <c r="L192" s="20"/>
      <c r="M192" s="20"/>
      <c r="N192" s="20" t="s">
        <v>74</v>
      </c>
      <c r="O192" s="20" t="s">
        <v>74</v>
      </c>
      <c r="P192" s="20" t="s">
        <v>74</v>
      </c>
      <c r="Q192" s="20"/>
      <c r="R192" s="20"/>
      <c r="S192" s="19"/>
      <c r="T192" s="20"/>
      <c r="U192" s="19"/>
      <c r="V192" s="22"/>
      <c r="W192" s="22"/>
      <c r="X192" s="20"/>
      <c r="AG192" s="25"/>
      <c r="AH192" s="20"/>
    </row>
    <row r="193" spans="1:34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74</v>
      </c>
      <c r="K193" s="20" t="s">
        <v>74</v>
      </c>
      <c r="L193" s="20"/>
      <c r="M193" s="20"/>
      <c r="N193" s="20" t="s">
        <v>74</v>
      </c>
      <c r="O193" s="20" t="s">
        <v>74</v>
      </c>
      <c r="P193" s="20" t="s">
        <v>74</v>
      </c>
      <c r="Q193" s="20"/>
      <c r="R193" s="20"/>
      <c r="S193" s="19"/>
      <c r="T193" s="20"/>
      <c r="U193" s="19"/>
      <c r="V193" s="22"/>
      <c r="W193" s="22"/>
      <c r="X193" s="20"/>
      <c r="AG193" s="25"/>
      <c r="AH193" s="20"/>
    </row>
    <row r="194" spans="1:34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74</v>
      </c>
      <c r="K194" s="20" t="s">
        <v>74</v>
      </c>
      <c r="L194" s="20"/>
      <c r="M194" s="20"/>
      <c r="N194" s="20" t="s">
        <v>74</v>
      </c>
      <c r="O194" s="20" t="s">
        <v>74</v>
      </c>
      <c r="P194" s="20" t="s">
        <v>74</v>
      </c>
      <c r="Q194" s="20"/>
      <c r="R194" s="20"/>
      <c r="S194" s="19"/>
      <c r="T194" s="20"/>
      <c r="U194" s="19"/>
      <c r="V194" s="22"/>
      <c r="W194" s="22"/>
      <c r="X194" s="20"/>
      <c r="AG194" s="25"/>
      <c r="AH194" s="20"/>
    </row>
    <row r="195" spans="1:34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74</v>
      </c>
      <c r="K195" s="20" t="s">
        <v>74</v>
      </c>
      <c r="L195" s="20"/>
      <c r="M195" s="20"/>
      <c r="N195" s="20" t="s">
        <v>74</v>
      </c>
      <c r="O195" s="20" t="s">
        <v>74</v>
      </c>
      <c r="P195" s="20" t="s">
        <v>74</v>
      </c>
      <c r="Q195" s="20"/>
      <c r="R195" s="20"/>
      <c r="S195" s="19"/>
      <c r="T195" s="20"/>
      <c r="U195" s="19"/>
      <c r="V195" s="22"/>
      <c r="W195" s="22"/>
      <c r="X195" s="20"/>
      <c r="AG195" s="25"/>
      <c r="AH195" s="20"/>
    </row>
    <row r="196" spans="1:34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74</v>
      </c>
      <c r="K196" s="20" t="s">
        <v>74</v>
      </c>
      <c r="L196" s="20"/>
      <c r="M196" s="20"/>
      <c r="N196" s="20" t="s">
        <v>74</v>
      </c>
      <c r="O196" s="20" t="s">
        <v>74</v>
      </c>
      <c r="P196" s="20" t="s">
        <v>74</v>
      </c>
      <c r="Q196" s="20"/>
      <c r="R196" s="20"/>
      <c r="S196" s="19"/>
      <c r="T196" s="20"/>
      <c r="U196" s="19"/>
      <c r="V196" s="22"/>
      <c r="W196" s="22"/>
      <c r="X196" s="20"/>
      <c r="AG196" s="25"/>
      <c r="AH196" s="20"/>
    </row>
    <row r="197" spans="1:34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74</v>
      </c>
      <c r="K197" s="20" t="s">
        <v>74</v>
      </c>
      <c r="L197" s="20"/>
      <c r="M197" s="20"/>
      <c r="N197" s="20" t="s">
        <v>74</v>
      </c>
      <c r="O197" s="20" t="s">
        <v>74</v>
      </c>
      <c r="P197" s="20" t="s">
        <v>74</v>
      </c>
      <c r="Q197" s="20"/>
      <c r="R197" s="20"/>
      <c r="S197" s="19"/>
      <c r="T197" s="20"/>
      <c r="U197" s="19"/>
      <c r="V197" s="22"/>
      <c r="W197" s="22"/>
      <c r="X197" s="20"/>
      <c r="AG197" s="25"/>
      <c r="AH197" s="20"/>
    </row>
    <row r="198" spans="1:34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74</v>
      </c>
      <c r="K198" s="20" t="s">
        <v>74</v>
      </c>
      <c r="L198" s="20"/>
      <c r="M198" s="20"/>
      <c r="N198" s="20" t="s">
        <v>74</v>
      </c>
      <c r="O198" s="20" t="s">
        <v>74</v>
      </c>
      <c r="P198" s="20" t="s">
        <v>74</v>
      </c>
      <c r="Q198" s="20"/>
      <c r="R198" s="20"/>
      <c r="S198" s="19"/>
      <c r="T198" s="20"/>
      <c r="U198" s="19"/>
      <c r="V198" s="22"/>
      <c r="W198" s="22"/>
      <c r="X198" s="20"/>
      <c r="AG198" s="25"/>
      <c r="AH198" s="20"/>
    </row>
    <row r="199" spans="1:34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74</v>
      </c>
      <c r="K199" s="20" t="s">
        <v>74</v>
      </c>
      <c r="L199" s="20"/>
      <c r="M199" s="20"/>
      <c r="N199" s="20" t="s">
        <v>74</v>
      </c>
      <c r="O199" s="20" t="s">
        <v>74</v>
      </c>
      <c r="P199" s="20" t="s">
        <v>74</v>
      </c>
      <c r="Q199" s="20"/>
      <c r="R199" s="20"/>
      <c r="S199" s="19"/>
      <c r="T199" s="20"/>
      <c r="U199" s="19"/>
      <c r="V199" s="22"/>
      <c r="W199" s="22"/>
      <c r="X199" s="20"/>
      <c r="AG199" s="25"/>
      <c r="AH199" s="20"/>
    </row>
    <row r="200" spans="1:34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74</v>
      </c>
      <c r="K200" s="20" t="s">
        <v>74</v>
      </c>
      <c r="L200" s="20"/>
      <c r="M200" s="20"/>
      <c r="N200" s="20" t="s">
        <v>74</v>
      </c>
      <c r="O200" s="20" t="s">
        <v>74</v>
      </c>
      <c r="P200" s="20" t="s">
        <v>74</v>
      </c>
      <c r="Q200" s="20"/>
      <c r="R200" s="20"/>
      <c r="S200" s="19"/>
      <c r="T200" s="20"/>
      <c r="U200" s="19"/>
      <c r="V200" s="22"/>
      <c r="W200" s="22"/>
      <c r="X200" s="20"/>
      <c r="AG200" s="25"/>
      <c r="AH200" s="20"/>
    </row>
    <row r="201" spans="1:34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74</v>
      </c>
      <c r="K201" s="20" t="s">
        <v>74</v>
      </c>
      <c r="L201" s="20"/>
      <c r="M201" s="20"/>
      <c r="N201" s="20" t="s">
        <v>74</v>
      </c>
      <c r="O201" s="20" t="s">
        <v>74</v>
      </c>
      <c r="P201" s="20" t="s">
        <v>74</v>
      </c>
      <c r="Q201" s="20"/>
      <c r="R201" s="20"/>
      <c r="S201" s="19"/>
      <c r="T201" s="20"/>
      <c r="U201" s="19"/>
      <c r="V201" s="22"/>
      <c r="W201" s="22"/>
      <c r="X201" s="20"/>
      <c r="AG201" s="25"/>
      <c r="AH201" s="20"/>
    </row>
    <row r="202" spans="1:34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74</v>
      </c>
      <c r="K202" s="20" t="s">
        <v>74</v>
      </c>
      <c r="L202" s="20"/>
      <c r="M202" s="20"/>
      <c r="N202" s="20" t="s">
        <v>74</v>
      </c>
      <c r="O202" s="20" t="s">
        <v>74</v>
      </c>
      <c r="P202" s="20" t="s">
        <v>74</v>
      </c>
      <c r="Q202" s="20"/>
      <c r="R202" s="20"/>
      <c r="S202" s="19"/>
      <c r="T202" s="20"/>
      <c r="U202" s="19"/>
      <c r="V202" s="22"/>
      <c r="W202" s="22"/>
      <c r="X202" s="20"/>
      <c r="AG202" s="25"/>
      <c r="AH202" s="20"/>
    </row>
    <row r="203" spans="1:34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74</v>
      </c>
      <c r="K203" s="20" t="s">
        <v>74</v>
      </c>
      <c r="L203" s="20"/>
      <c r="M203" s="20"/>
      <c r="N203" s="20" t="s">
        <v>74</v>
      </c>
      <c r="O203" s="20" t="s">
        <v>74</v>
      </c>
      <c r="P203" s="20" t="s">
        <v>74</v>
      </c>
      <c r="Q203" s="20"/>
      <c r="R203" s="20"/>
      <c r="S203" s="19"/>
      <c r="T203" s="20"/>
      <c r="U203" s="19"/>
      <c r="V203" s="22"/>
      <c r="W203" s="22"/>
      <c r="X203" s="20"/>
      <c r="AG203" s="25"/>
      <c r="AH203" s="20"/>
    </row>
    <row r="204" spans="1:34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74</v>
      </c>
      <c r="K204" s="20" t="s">
        <v>74</v>
      </c>
      <c r="L204" s="20"/>
      <c r="M204" s="20"/>
      <c r="N204" s="20" t="s">
        <v>74</v>
      </c>
      <c r="O204" s="20" t="s">
        <v>74</v>
      </c>
      <c r="P204" s="20" t="s">
        <v>74</v>
      </c>
      <c r="Q204" s="20"/>
      <c r="R204" s="20"/>
      <c r="S204" s="19"/>
      <c r="T204" s="20"/>
      <c r="U204" s="19"/>
      <c r="V204" s="22"/>
      <c r="W204" s="22"/>
      <c r="X204" s="20"/>
      <c r="AG204" s="25"/>
      <c r="AH204" s="20"/>
    </row>
    <row r="205" spans="1:34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74</v>
      </c>
      <c r="K205" s="20" t="s">
        <v>74</v>
      </c>
      <c r="L205" s="20"/>
      <c r="M205" s="20"/>
      <c r="N205" s="20" t="s">
        <v>74</v>
      </c>
      <c r="O205" s="20" t="s">
        <v>74</v>
      </c>
      <c r="P205" s="20" t="s">
        <v>74</v>
      </c>
      <c r="Q205" s="20"/>
      <c r="R205" s="20"/>
      <c r="S205" s="19"/>
      <c r="T205" s="20"/>
      <c r="U205" s="19"/>
      <c r="V205" s="22"/>
      <c r="W205" s="22"/>
      <c r="X205" s="20"/>
      <c r="AG205" s="25"/>
      <c r="AH205" s="20"/>
    </row>
    <row r="206" spans="1:34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74</v>
      </c>
      <c r="K206" s="20" t="s">
        <v>74</v>
      </c>
      <c r="L206" s="20"/>
      <c r="M206" s="20"/>
      <c r="N206" s="20" t="s">
        <v>74</v>
      </c>
      <c r="O206" s="20" t="s">
        <v>74</v>
      </c>
      <c r="P206" s="20" t="s">
        <v>74</v>
      </c>
      <c r="Q206" s="20"/>
      <c r="R206" s="20"/>
      <c r="S206" s="19"/>
      <c r="T206" s="20"/>
      <c r="U206" s="19"/>
      <c r="V206" s="22"/>
      <c r="W206" s="22"/>
      <c r="X206" s="20"/>
      <c r="AG206" s="25"/>
      <c r="AH206" s="20"/>
    </row>
    <row r="207" spans="1:34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74</v>
      </c>
      <c r="K207" s="20" t="s">
        <v>74</v>
      </c>
      <c r="L207" s="20"/>
      <c r="M207" s="20"/>
      <c r="N207" s="20" t="s">
        <v>74</v>
      </c>
      <c r="O207" s="20" t="s">
        <v>74</v>
      </c>
      <c r="P207" s="20" t="s">
        <v>74</v>
      </c>
      <c r="Q207" s="20"/>
      <c r="R207" s="20"/>
      <c r="S207" s="19"/>
      <c r="T207" s="20"/>
      <c r="U207" s="19"/>
      <c r="V207" s="22"/>
      <c r="W207" s="22"/>
      <c r="X207" s="20"/>
      <c r="AG207" s="25"/>
      <c r="AH207" s="20"/>
    </row>
    <row r="208" spans="1:34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74</v>
      </c>
      <c r="K208" s="20" t="s">
        <v>74</v>
      </c>
      <c r="L208" s="20"/>
      <c r="M208" s="20"/>
      <c r="N208" s="20" t="s">
        <v>74</v>
      </c>
      <c r="O208" s="20" t="s">
        <v>74</v>
      </c>
      <c r="P208" s="20" t="s">
        <v>74</v>
      </c>
      <c r="Q208" s="20"/>
      <c r="R208" s="20"/>
      <c r="S208" s="19"/>
      <c r="T208" s="20"/>
      <c r="U208" s="19"/>
      <c r="V208" s="22"/>
      <c r="W208" s="22"/>
      <c r="X208" s="20"/>
      <c r="AG208" s="25"/>
      <c r="AH208" s="20"/>
    </row>
    <row r="209" spans="1:34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74</v>
      </c>
      <c r="K209" s="20" t="s">
        <v>74</v>
      </c>
      <c r="L209" s="20"/>
      <c r="M209" s="20"/>
      <c r="N209" s="20" t="s">
        <v>74</v>
      </c>
      <c r="O209" s="20" t="s">
        <v>74</v>
      </c>
      <c r="P209" s="20" t="s">
        <v>74</v>
      </c>
      <c r="Q209" s="20"/>
      <c r="R209" s="20"/>
      <c r="S209" s="19"/>
      <c r="T209" s="20"/>
      <c r="U209" s="19"/>
      <c r="V209" s="22"/>
      <c r="W209" s="22"/>
      <c r="X209" s="20"/>
      <c r="AG209" s="25"/>
      <c r="AH209" s="20"/>
    </row>
    <row r="210" spans="1:34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74</v>
      </c>
      <c r="K210" s="20" t="s">
        <v>74</v>
      </c>
      <c r="L210" s="20"/>
      <c r="M210" s="20"/>
      <c r="N210" s="20" t="s">
        <v>74</v>
      </c>
      <c r="O210" s="20" t="s">
        <v>74</v>
      </c>
      <c r="P210" s="20" t="s">
        <v>74</v>
      </c>
      <c r="Q210" s="20"/>
      <c r="R210" s="20"/>
      <c r="S210" s="19"/>
      <c r="T210" s="20"/>
      <c r="U210" s="19"/>
      <c r="V210" s="22"/>
      <c r="W210" s="22"/>
      <c r="X210" s="20"/>
      <c r="AG210" s="25"/>
      <c r="AH210" s="20"/>
    </row>
    <row r="211" spans="1:34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74</v>
      </c>
      <c r="K211" s="20" t="s">
        <v>74</v>
      </c>
      <c r="L211" s="20"/>
      <c r="M211" s="20"/>
      <c r="N211" s="20" t="s">
        <v>74</v>
      </c>
      <c r="O211" s="20" t="s">
        <v>74</v>
      </c>
      <c r="P211" s="20" t="s">
        <v>74</v>
      </c>
      <c r="Q211" s="20"/>
      <c r="R211" s="20"/>
      <c r="S211" s="19"/>
      <c r="T211" s="20"/>
      <c r="U211" s="19"/>
      <c r="V211" s="22"/>
      <c r="W211" s="22"/>
      <c r="X211" s="20"/>
      <c r="AG211" s="25"/>
      <c r="AH211" s="20"/>
    </row>
    <row r="212" spans="1:34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74</v>
      </c>
      <c r="K212" s="20" t="s">
        <v>74</v>
      </c>
      <c r="L212" s="20"/>
      <c r="M212" s="20"/>
      <c r="N212" s="20" t="s">
        <v>74</v>
      </c>
      <c r="O212" s="20" t="s">
        <v>74</v>
      </c>
      <c r="P212" s="20" t="s">
        <v>74</v>
      </c>
      <c r="Q212" s="20"/>
      <c r="R212" s="20"/>
      <c r="S212" s="19"/>
      <c r="T212" s="20"/>
      <c r="U212" s="19"/>
      <c r="V212" s="22"/>
      <c r="W212" s="22"/>
      <c r="X212" s="20"/>
      <c r="AG212" s="25"/>
      <c r="AH212" s="20"/>
    </row>
    <row r="213" spans="1:34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74</v>
      </c>
      <c r="K213" s="20" t="s">
        <v>74</v>
      </c>
      <c r="L213" s="20"/>
      <c r="M213" s="20"/>
      <c r="N213" s="20" t="s">
        <v>74</v>
      </c>
      <c r="O213" s="20" t="s">
        <v>74</v>
      </c>
      <c r="P213" s="20" t="s">
        <v>74</v>
      </c>
      <c r="Q213" s="20"/>
      <c r="R213" s="20"/>
      <c r="S213" s="19"/>
      <c r="T213" s="20"/>
      <c r="U213" s="19"/>
      <c r="V213" s="22"/>
      <c r="W213" s="22"/>
      <c r="X213" s="20"/>
      <c r="AG213" s="25"/>
      <c r="AH213" s="20"/>
    </row>
    <row r="214" spans="1:34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74</v>
      </c>
      <c r="K214" s="20" t="s">
        <v>74</v>
      </c>
      <c r="L214" s="20"/>
      <c r="M214" s="20"/>
      <c r="N214" s="20" t="s">
        <v>74</v>
      </c>
      <c r="O214" s="20" t="s">
        <v>74</v>
      </c>
      <c r="P214" s="20" t="s">
        <v>74</v>
      </c>
      <c r="Q214" s="20"/>
      <c r="R214" s="20"/>
      <c r="S214" s="19"/>
      <c r="T214" s="20"/>
      <c r="U214" s="19"/>
      <c r="V214" s="22"/>
      <c r="W214" s="22"/>
      <c r="X214" s="20"/>
      <c r="AG214" s="25"/>
      <c r="AH214" s="20"/>
    </row>
    <row r="215" spans="1:34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74</v>
      </c>
      <c r="K215" s="20" t="s">
        <v>74</v>
      </c>
      <c r="L215" s="20"/>
      <c r="M215" s="20"/>
      <c r="N215" s="20" t="s">
        <v>74</v>
      </c>
      <c r="O215" s="20" t="s">
        <v>74</v>
      </c>
      <c r="P215" s="20" t="s">
        <v>74</v>
      </c>
      <c r="Q215" s="20"/>
      <c r="R215" s="20"/>
      <c r="S215" s="19"/>
      <c r="T215" s="20"/>
      <c r="U215" s="19"/>
      <c r="V215" s="22"/>
      <c r="W215" s="22"/>
      <c r="X215" s="20"/>
      <c r="AG215" s="25"/>
      <c r="AH215" s="20"/>
    </row>
    <row r="216" spans="1:34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74</v>
      </c>
      <c r="K216" s="20" t="s">
        <v>74</v>
      </c>
      <c r="L216" s="20"/>
      <c r="M216" s="20"/>
      <c r="N216" s="20" t="s">
        <v>74</v>
      </c>
      <c r="O216" s="20" t="s">
        <v>74</v>
      </c>
      <c r="P216" s="20" t="s">
        <v>74</v>
      </c>
      <c r="Q216" s="20"/>
      <c r="R216" s="20"/>
      <c r="S216" s="19"/>
      <c r="T216" s="20"/>
      <c r="U216" s="19"/>
      <c r="V216" s="22"/>
      <c r="W216" s="22"/>
      <c r="X216" s="20"/>
      <c r="AG216" s="25"/>
      <c r="AH216" s="20"/>
    </row>
    <row r="217" spans="1:34" x14ac:dyDescent="0.3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74</v>
      </c>
      <c r="K217" s="20" t="s">
        <v>74</v>
      </c>
      <c r="L217" s="20"/>
      <c r="M217" s="20"/>
      <c r="N217" s="20" t="s">
        <v>74</v>
      </c>
      <c r="O217" s="20" t="s">
        <v>74</v>
      </c>
      <c r="P217" s="20" t="s">
        <v>74</v>
      </c>
      <c r="Q217" s="20"/>
      <c r="R217" s="20"/>
      <c r="S217" s="19"/>
      <c r="T217" s="20"/>
      <c r="U217" s="19"/>
      <c r="V217" s="22"/>
      <c r="W217" s="22"/>
      <c r="X217" s="20"/>
      <c r="AG217" s="25"/>
      <c r="AH217" s="20"/>
    </row>
    <row r="218" spans="1:34" x14ac:dyDescent="0.3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74</v>
      </c>
      <c r="K218" s="20" t="s">
        <v>74</v>
      </c>
      <c r="L218" s="20"/>
      <c r="M218" s="20"/>
      <c r="N218" s="20" t="s">
        <v>74</v>
      </c>
      <c r="O218" s="20" t="s">
        <v>74</v>
      </c>
      <c r="P218" s="20" t="s">
        <v>74</v>
      </c>
      <c r="Q218" s="20"/>
      <c r="R218" s="20"/>
      <c r="S218" s="19"/>
      <c r="T218" s="20"/>
      <c r="U218" s="19"/>
      <c r="V218" s="22"/>
      <c r="W218" s="22"/>
      <c r="X218" s="20"/>
      <c r="AG218" s="25"/>
      <c r="AH218" s="20"/>
    </row>
    <row r="219" spans="1:34" x14ac:dyDescent="0.3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74</v>
      </c>
      <c r="K219" s="20" t="s">
        <v>74</v>
      </c>
      <c r="L219" s="20"/>
      <c r="M219" s="20"/>
      <c r="N219" s="20" t="s">
        <v>74</v>
      </c>
      <c r="O219" s="20" t="s">
        <v>74</v>
      </c>
      <c r="P219" s="20" t="s">
        <v>74</v>
      </c>
      <c r="Q219" s="20"/>
      <c r="R219" s="20"/>
      <c r="S219" s="19"/>
      <c r="T219" s="20"/>
      <c r="U219" s="19"/>
      <c r="V219" s="22"/>
      <c r="W219" s="22"/>
      <c r="X219" s="20"/>
      <c r="AG219" s="25"/>
      <c r="AH219" s="20"/>
    </row>
    <row r="220" spans="1:34" x14ac:dyDescent="0.3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74</v>
      </c>
      <c r="K220" s="20" t="s">
        <v>74</v>
      </c>
      <c r="L220" s="20"/>
      <c r="M220" s="20"/>
      <c r="N220" s="20" t="s">
        <v>74</v>
      </c>
      <c r="O220" s="20" t="s">
        <v>74</v>
      </c>
      <c r="P220" s="20" t="s">
        <v>74</v>
      </c>
      <c r="Q220" s="20"/>
      <c r="R220" s="20"/>
      <c r="S220" s="19"/>
      <c r="T220" s="20"/>
      <c r="U220" s="19"/>
      <c r="V220" s="22"/>
      <c r="W220" s="22"/>
      <c r="X220" s="20"/>
      <c r="AG220" s="25"/>
      <c r="AH220" s="20"/>
    </row>
    <row r="221" spans="1:34" x14ac:dyDescent="0.3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74</v>
      </c>
      <c r="K221" s="20" t="s">
        <v>74</v>
      </c>
      <c r="L221" s="20"/>
      <c r="M221" s="20"/>
      <c r="N221" s="20" t="s">
        <v>74</v>
      </c>
      <c r="O221" s="20" t="s">
        <v>74</v>
      </c>
      <c r="P221" s="20" t="s">
        <v>74</v>
      </c>
      <c r="Q221" s="20"/>
      <c r="R221" s="20"/>
      <c r="S221" s="19"/>
      <c r="T221" s="20"/>
      <c r="U221" s="19"/>
      <c r="V221" s="22"/>
      <c r="W221" s="22"/>
      <c r="X221" s="20"/>
      <c r="AG221" s="25"/>
      <c r="AH221" s="20"/>
    </row>
    <row r="222" spans="1:34" x14ac:dyDescent="0.3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74</v>
      </c>
      <c r="K222" s="20" t="s">
        <v>74</v>
      </c>
      <c r="L222" s="20"/>
      <c r="M222" s="20"/>
      <c r="N222" s="20" t="s">
        <v>74</v>
      </c>
      <c r="O222" s="20" t="s">
        <v>74</v>
      </c>
      <c r="P222" s="20" t="s">
        <v>74</v>
      </c>
      <c r="Q222" s="20"/>
      <c r="R222" s="20"/>
      <c r="S222" s="19"/>
      <c r="T222" s="20"/>
      <c r="U222" s="19"/>
      <c r="V222" s="22"/>
      <c r="W222" s="22"/>
      <c r="X222" s="20"/>
      <c r="AG222" s="25"/>
      <c r="AH222" s="20"/>
    </row>
    <row r="223" spans="1:34" x14ac:dyDescent="0.3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74</v>
      </c>
      <c r="K223" s="20" t="s">
        <v>74</v>
      </c>
      <c r="L223" s="20"/>
      <c r="M223" s="20"/>
      <c r="N223" s="20" t="s">
        <v>74</v>
      </c>
      <c r="O223" s="20" t="s">
        <v>74</v>
      </c>
      <c r="P223" s="20" t="s">
        <v>74</v>
      </c>
      <c r="Q223" s="20"/>
      <c r="R223" s="20"/>
      <c r="S223" s="19"/>
      <c r="T223" s="20"/>
      <c r="U223" s="19"/>
      <c r="V223" s="22"/>
      <c r="W223" s="22"/>
      <c r="X223" s="20"/>
      <c r="AG223" s="25"/>
      <c r="AH223" s="20"/>
    </row>
    <row r="224" spans="1:34" x14ac:dyDescent="0.3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74</v>
      </c>
      <c r="K224" s="20" t="s">
        <v>74</v>
      </c>
      <c r="L224" s="20"/>
      <c r="M224" s="20"/>
      <c r="N224" s="20" t="s">
        <v>74</v>
      </c>
      <c r="O224" s="20" t="s">
        <v>74</v>
      </c>
      <c r="P224" s="20" t="s">
        <v>74</v>
      </c>
      <c r="Q224" s="20"/>
      <c r="R224" s="20"/>
      <c r="S224" s="19"/>
      <c r="T224" s="20"/>
      <c r="U224" s="19"/>
      <c r="V224" s="22"/>
      <c r="W224" s="22"/>
      <c r="X224" s="20"/>
      <c r="AG224" s="25"/>
      <c r="AH224" s="20"/>
    </row>
    <row r="225" spans="1:34" x14ac:dyDescent="0.3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74</v>
      </c>
      <c r="K225" s="20" t="s">
        <v>74</v>
      </c>
      <c r="L225" s="20"/>
      <c r="M225" s="20"/>
      <c r="N225" s="20" t="s">
        <v>74</v>
      </c>
      <c r="O225" s="20" t="s">
        <v>74</v>
      </c>
      <c r="P225" s="20" t="s">
        <v>74</v>
      </c>
      <c r="Q225" s="20"/>
      <c r="R225" s="20"/>
      <c r="S225" s="19"/>
      <c r="T225" s="20"/>
      <c r="U225" s="19"/>
      <c r="V225" s="22"/>
      <c r="W225" s="22"/>
      <c r="X225" s="20"/>
      <c r="AG225" s="25"/>
      <c r="AH225" s="20"/>
    </row>
    <row r="226" spans="1:34" x14ac:dyDescent="0.3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74</v>
      </c>
      <c r="K226" s="20" t="s">
        <v>74</v>
      </c>
      <c r="L226" s="20"/>
      <c r="M226" s="20"/>
      <c r="N226" s="20" t="s">
        <v>74</v>
      </c>
      <c r="O226" s="20" t="s">
        <v>74</v>
      </c>
      <c r="P226" s="20" t="s">
        <v>74</v>
      </c>
      <c r="Q226" s="20"/>
      <c r="R226" s="20"/>
      <c r="S226" s="19"/>
      <c r="T226" s="20"/>
      <c r="U226" s="19"/>
      <c r="V226" s="22"/>
      <c r="W226" s="22"/>
      <c r="X226" s="20"/>
      <c r="AG226" s="25"/>
      <c r="AH226" s="20"/>
    </row>
    <row r="227" spans="1:34" x14ac:dyDescent="0.3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74</v>
      </c>
      <c r="K227" s="20" t="s">
        <v>74</v>
      </c>
      <c r="L227" s="20"/>
      <c r="M227" s="20"/>
      <c r="N227" s="20" t="s">
        <v>74</v>
      </c>
      <c r="O227" s="20" t="s">
        <v>74</v>
      </c>
      <c r="P227" s="20" t="s">
        <v>74</v>
      </c>
      <c r="Q227" s="20"/>
      <c r="R227" s="20"/>
      <c r="S227" s="19"/>
      <c r="T227" s="20"/>
      <c r="U227" s="19"/>
      <c r="V227" s="22"/>
      <c r="W227" s="22"/>
      <c r="X227" s="20"/>
      <c r="AG227" s="25"/>
      <c r="AH227" s="20"/>
    </row>
    <row r="228" spans="1:34" x14ac:dyDescent="0.3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74</v>
      </c>
      <c r="K228" s="20" t="s">
        <v>74</v>
      </c>
      <c r="L228" s="20"/>
      <c r="M228" s="20"/>
      <c r="N228" s="20" t="s">
        <v>74</v>
      </c>
      <c r="O228" s="20" t="s">
        <v>74</v>
      </c>
      <c r="P228" s="20" t="s">
        <v>74</v>
      </c>
      <c r="Q228" s="20"/>
      <c r="R228" s="20"/>
      <c r="S228" s="19"/>
      <c r="T228" s="20"/>
      <c r="U228" s="19"/>
      <c r="V228" s="22"/>
      <c r="W228" s="22"/>
      <c r="X228" s="20"/>
      <c r="AG228" s="25"/>
      <c r="AH228" s="20"/>
    </row>
    <row r="229" spans="1:34" x14ac:dyDescent="0.3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74</v>
      </c>
      <c r="K229" s="20" t="s">
        <v>74</v>
      </c>
      <c r="L229" s="20"/>
      <c r="M229" s="20"/>
      <c r="N229" s="20" t="s">
        <v>74</v>
      </c>
      <c r="O229" s="20" t="s">
        <v>74</v>
      </c>
      <c r="P229" s="20" t="s">
        <v>74</v>
      </c>
      <c r="Q229" s="20"/>
      <c r="R229" s="20"/>
      <c r="S229" s="19"/>
      <c r="T229" s="20"/>
      <c r="U229" s="19"/>
      <c r="V229" s="22"/>
      <c r="W229" s="22"/>
      <c r="X229" s="20"/>
      <c r="AG229" s="25"/>
      <c r="AH229" s="20"/>
    </row>
    <row r="230" spans="1:34" x14ac:dyDescent="0.3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74</v>
      </c>
      <c r="K230" s="20" t="s">
        <v>74</v>
      </c>
      <c r="L230" s="20"/>
      <c r="M230" s="20"/>
      <c r="N230" s="20" t="s">
        <v>74</v>
      </c>
      <c r="O230" s="20" t="s">
        <v>74</v>
      </c>
      <c r="P230" s="20" t="s">
        <v>74</v>
      </c>
      <c r="Q230" s="20"/>
      <c r="R230" s="20"/>
      <c r="S230" s="19"/>
      <c r="T230" s="20"/>
      <c r="U230" s="19"/>
      <c r="V230" s="22"/>
      <c r="W230" s="22"/>
      <c r="X230" s="20"/>
      <c r="AG230" s="25"/>
      <c r="AH230" s="20"/>
    </row>
    <row r="231" spans="1:34" x14ac:dyDescent="0.3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74</v>
      </c>
      <c r="K231" s="20" t="s">
        <v>74</v>
      </c>
      <c r="L231" s="20"/>
      <c r="M231" s="20"/>
      <c r="N231" s="20" t="s">
        <v>74</v>
      </c>
      <c r="O231" s="20" t="s">
        <v>74</v>
      </c>
      <c r="P231" s="20" t="s">
        <v>74</v>
      </c>
      <c r="Q231" s="20"/>
      <c r="R231" s="20"/>
      <c r="S231" s="19"/>
      <c r="T231" s="20"/>
      <c r="U231" s="19"/>
      <c r="V231" s="22"/>
      <c r="W231" s="22"/>
      <c r="X231" s="20"/>
      <c r="AG231" s="25"/>
      <c r="AH231" s="20"/>
    </row>
    <row r="232" spans="1:34" x14ac:dyDescent="0.3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74</v>
      </c>
      <c r="K232" s="20" t="s">
        <v>74</v>
      </c>
      <c r="L232" s="20"/>
      <c r="M232" s="20"/>
      <c r="N232" s="20" t="s">
        <v>74</v>
      </c>
      <c r="O232" s="20" t="s">
        <v>74</v>
      </c>
      <c r="P232" s="20" t="s">
        <v>74</v>
      </c>
      <c r="Q232" s="20"/>
      <c r="R232" s="20"/>
      <c r="S232" s="19"/>
      <c r="T232" s="20"/>
      <c r="U232" s="19"/>
      <c r="V232" s="22"/>
      <c r="W232" s="22"/>
      <c r="X232" s="20"/>
      <c r="AG232" s="25"/>
      <c r="AH232" s="20"/>
    </row>
    <row r="233" spans="1:34" x14ac:dyDescent="0.3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74</v>
      </c>
      <c r="K233" s="20" t="s">
        <v>74</v>
      </c>
      <c r="L233" s="20"/>
      <c r="M233" s="20"/>
      <c r="N233" s="20" t="s">
        <v>74</v>
      </c>
      <c r="O233" s="20" t="s">
        <v>74</v>
      </c>
      <c r="P233" s="20" t="s">
        <v>74</v>
      </c>
      <c r="Q233" s="20"/>
      <c r="R233" s="20"/>
      <c r="S233" s="19"/>
      <c r="T233" s="20"/>
      <c r="U233" s="19"/>
      <c r="V233" s="22"/>
      <c r="W233" s="22"/>
      <c r="X233" s="20"/>
      <c r="AG233" s="25"/>
      <c r="AH233" s="20"/>
    </row>
    <row r="234" spans="1:34" x14ac:dyDescent="0.3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74</v>
      </c>
      <c r="K234" s="20" t="s">
        <v>74</v>
      </c>
      <c r="L234" s="20"/>
      <c r="M234" s="20"/>
      <c r="N234" s="20" t="s">
        <v>74</v>
      </c>
      <c r="O234" s="20" t="s">
        <v>74</v>
      </c>
      <c r="P234" s="20" t="s">
        <v>74</v>
      </c>
      <c r="Q234" s="20"/>
      <c r="R234" s="20"/>
      <c r="S234" s="19"/>
      <c r="T234" s="20"/>
      <c r="U234" s="19"/>
      <c r="V234" s="22"/>
      <c r="W234" s="22"/>
      <c r="X234" s="20"/>
      <c r="AG234" s="25"/>
      <c r="AH234" s="20"/>
    </row>
    <row r="235" spans="1:34" x14ac:dyDescent="0.3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74</v>
      </c>
      <c r="K235" s="20" t="s">
        <v>74</v>
      </c>
      <c r="L235" s="20"/>
      <c r="M235" s="20"/>
      <c r="N235" s="20" t="s">
        <v>74</v>
      </c>
      <c r="O235" s="20" t="s">
        <v>74</v>
      </c>
      <c r="P235" s="20" t="s">
        <v>74</v>
      </c>
      <c r="Q235" s="20"/>
      <c r="R235" s="20"/>
      <c r="S235" s="19"/>
      <c r="T235" s="20"/>
      <c r="U235" s="19"/>
      <c r="V235" s="22"/>
      <c r="W235" s="22"/>
      <c r="X235" s="20"/>
      <c r="AG235" s="25"/>
      <c r="AH235" s="20"/>
    </row>
    <row r="236" spans="1:34" x14ac:dyDescent="0.3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74</v>
      </c>
      <c r="K236" s="20" t="s">
        <v>74</v>
      </c>
      <c r="L236" s="20"/>
      <c r="M236" s="20"/>
      <c r="N236" s="20" t="s">
        <v>74</v>
      </c>
      <c r="O236" s="20" t="s">
        <v>74</v>
      </c>
      <c r="P236" s="20" t="s">
        <v>74</v>
      </c>
      <c r="Q236" s="20"/>
      <c r="R236" s="20"/>
      <c r="S236" s="19"/>
      <c r="T236" s="20"/>
      <c r="U236" s="19"/>
      <c r="V236" s="22"/>
      <c r="W236" s="22"/>
      <c r="X236" s="20"/>
      <c r="AG236" s="25"/>
      <c r="AH236" s="20"/>
    </row>
    <row r="237" spans="1:34" x14ac:dyDescent="0.3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74</v>
      </c>
      <c r="K237" s="20" t="s">
        <v>74</v>
      </c>
      <c r="L237" s="20"/>
      <c r="M237" s="20"/>
      <c r="N237" s="20" t="s">
        <v>74</v>
      </c>
      <c r="O237" s="20" t="s">
        <v>74</v>
      </c>
      <c r="P237" s="20" t="s">
        <v>74</v>
      </c>
      <c r="Q237" s="20"/>
      <c r="R237" s="20"/>
      <c r="S237" s="19"/>
      <c r="T237" s="20"/>
      <c r="U237" s="19"/>
      <c r="V237" s="22"/>
      <c r="W237" s="22"/>
      <c r="X237" s="20"/>
      <c r="AG237" s="25"/>
      <c r="AH237" s="20"/>
    </row>
    <row r="238" spans="1:34" x14ac:dyDescent="0.3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74</v>
      </c>
      <c r="K238" s="20" t="s">
        <v>74</v>
      </c>
      <c r="L238" s="20"/>
      <c r="M238" s="20"/>
      <c r="N238" s="20" t="s">
        <v>74</v>
      </c>
      <c r="O238" s="20" t="s">
        <v>74</v>
      </c>
      <c r="P238" s="20" t="s">
        <v>74</v>
      </c>
      <c r="Q238" s="20"/>
      <c r="R238" s="20"/>
      <c r="S238" s="19"/>
      <c r="T238" s="20"/>
      <c r="U238" s="19"/>
      <c r="V238" s="22"/>
      <c r="W238" s="22"/>
      <c r="X238" s="20"/>
      <c r="AG238" s="25"/>
      <c r="AH238" s="20"/>
    </row>
    <row r="239" spans="1:34" x14ac:dyDescent="0.3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74</v>
      </c>
      <c r="K239" s="20" t="s">
        <v>74</v>
      </c>
      <c r="L239" s="20"/>
      <c r="M239" s="20"/>
      <c r="N239" s="20" t="s">
        <v>74</v>
      </c>
      <c r="O239" s="20" t="s">
        <v>74</v>
      </c>
      <c r="P239" s="20" t="s">
        <v>74</v>
      </c>
      <c r="Q239" s="20"/>
      <c r="R239" s="20"/>
      <c r="S239" s="19"/>
      <c r="T239" s="20"/>
      <c r="U239" s="19"/>
      <c r="V239" s="22"/>
      <c r="W239" s="22"/>
      <c r="X239" s="20"/>
      <c r="AG239" s="25"/>
      <c r="AH239" s="20"/>
    </row>
    <row r="240" spans="1:34" x14ac:dyDescent="0.3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74</v>
      </c>
      <c r="K240" s="20" t="s">
        <v>74</v>
      </c>
      <c r="L240" s="20"/>
      <c r="M240" s="20"/>
      <c r="N240" s="20" t="s">
        <v>74</v>
      </c>
      <c r="O240" s="20" t="s">
        <v>74</v>
      </c>
      <c r="P240" s="20" t="s">
        <v>74</v>
      </c>
      <c r="Q240" s="20"/>
      <c r="R240" s="20"/>
      <c r="S240" s="19"/>
      <c r="T240" s="20"/>
      <c r="U240" s="19"/>
      <c r="V240" s="22"/>
      <c r="W240" s="22"/>
      <c r="X240" s="20"/>
      <c r="AG240" s="25"/>
      <c r="AH240" s="20"/>
    </row>
    <row r="241" spans="1:34" x14ac:dyDescent="0.3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74</v>
      </c>
      <c r="K241" s="20" t="s">
        <v>74</v>
      </c>
      <c r="L241" s="20"/>
      <c r="M241" s="20"/>
      <c r="N241" s="20" t="s">
        <v>74</v>
      </c>
      <c r="O241" s="20" t="s">
        <v>74</v>
      </c>
      <c r="P241" s="20" t="s">
        <v>74</v>
      </c>
      <c r="Q241" s="20"/>
      <c r="R241" s="20"/>
      <c r="S241" s="19"/>
      <c r="T241" s="20"/>
      <c r="U241" s="19"/>
      <c r="V241" s="22"/>
      <c r="W241" s="22"/>
      <c r="X241" s="20"/>
      <c r="AG241" s="25"/>
      <c r="AH241" s="20"/>
    </row>
    <row r="242" spans="1:34" x14ac:dyDescent="0.3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74</v>
      </c>
      <c r="K242" s="20" t="s">
        <v>74</v>
      </c>
      <c r="L242" s="20"/>
      <c r="M242" s="20"/>
      <c r="N242" s="20" t="s">
        <v>74</v>
      </c>
      <c r="O242" s="20" t="s">
        <v>74</v>
      </c>
      <c r="P242" s="20" t="s">
        <v>74</v>
      </c>
      <c r="Q242" s="20"/>
      <c r="R242" s="20"/>
      <c r="S242" s="19"/>
      <c r="T242" s="20"/>
      <c r="U242" s="19"/>
      <c r="V242" s="22"/>
      <c r="W242" s="22"/>
      <c r="X242" s="20"/>
      <c r="AG242" s="25"/>
      <c r="AH242" s="20"/>
    </row>
    <row r="243" spans="1:34" x14ac:dyDescent="0.3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74</v>
      </c>
      <c r="K243" s="20" t="s">
        <v>74</v>
      </c>
      <c r="L243" s="20"/>
      <c r="M243" s="20"/>
      <c r="N243" s="20" t="s">
        <v>74</v>
      </c>
      <c r="O243" s="20" t="s">
        <v>74</v>
      </c>
      <c r="P243" s="20" t="s">
        <v>74</v>
      </c>
      <c r="Q243" s="20"/>
      <c r="R243" s="20"/>
      <c r="S243" s="19"/>
      <c r="T243" s="20"/>
      <c r="U243" s="19"/>
      <c r="V243" s="22"/>
      <c r="W243" s="22"/>
      <c r="X243" s="20"/>
      <c r="AG243" s="25"/>
      <c r="AH243" s="20"/>
    </row>
    <row r="244" spans="1:34" x14ac:dyDescent="0.3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74</v>
      </c>
      <c r="K244" s="20" t="s">
        <v>74</v>
      </c>
      <c r="L244" s="20"/>
      <c r="M244" s="20"/>
      <c r="N244" s="20" t="s">
        <v>74</v>
      </c>
      <c r="O244" s="20" t="s">
        <v>74</v>
      </c>
      <c r="P244" s="20" t="s">
        <v>74</v>
      </c>
      <c r="Q244" s="20"/>
      <c r="R244" s="20"/>
      <c r="S244" s="19"/>
      <c r="T244" s="20"/>
      <c r="U244" s="19"/>
      <c r="V244" s="22"/>
      <c r="W244" s="22"/>
      <c r="X244" s="20"/>
      <c r="AG244" s="25"/>
      <c r="AH244" s="20"/>
    </row>
    <row r="245" spans="1:34" x14ac:dyDescent="0.3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74</v>
      </c>
      <c r="K245" s="20" t="s">
        <v>74</v>
      </c>
      <c r="L245" s="20"/>
      <c r="M245" s="20"/>
      <c r="N245" s="20" t="s">
        <v>74</v>
      </c>
      <c r="O245" s="20" t="s">
        <v>74</v>
      </c>
      <c r="P245" s="20" t="s">
        <v>74</v>
      </c>
      <c r="Q245" s="20"/>
      <c r="R245" s="20"/>
      <c r="S245" s="19"/>
      <c r="T245" s="20"/>
      <c r="U245" s="19"/>
      <c r="V245" s="22"/>
      <c r="W245" s="22"/>
      <c r="X245" s="20"/>
      <c r="AG245" s="25"/>
      <c r="AH245" s="20"/>
    </row>
    <row r="246" spans="1:34" x14ac:dyDescent="0.3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74</v>
      </c>
      <c r="K246" s="20" t="s">
        <v>74</v>
      </c>
      <c r="L246" s="20"/>
      <c r="M246" s="20"/>
      <c r="N246" s="20" t="s">
        <v>74</v>
      </c>
      <c r="O246" s="20" t="s">
        <v>74</v>
      </c>
      <c r="P246" s="20" t="s">
        <v>74</v>
      </c>
      <c r="Q246" s="20"/>
      <c r="R246" s="20"/>
      <c r="S246" s="19"/>
      <c r="T246" s="20"/>
      <c r="U246" s="19"/>
      <c r="V246" s="22"/>
      <c r="W246" s="22"/>
      <c r="X246" s="20"/>
      <c r="AG246" s="25"/>
      <c r="AH246" s="20"/>
    </row>
    <row r="247" spans="1:34" x14ac:dyDescent="0.3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74</v>
      </c>
      <c r="K247" s="20" t="s">
        <v>74</v>
      </c>
      <c r="L247" s="20"/>
      <c r="M247" s="20"/>
      <c r="N247" s="20" t="s">
        <v>74</v>
      </c>
      <c r="O247" s="20" t="s">
        <v>74</v>
      </c>
      <c r="P247" s="20" t="s">
        <v>74</v>
      </c>
      <c r="Q247" s="20"/>
      <c r="R247" s="20"/>
      <c r="S247" s="19"/>
      <c r="T247" s="20"/>
      <c r="U247" s="19"/>
      <c r="V247" s="22"/>
      <c r="W247" s="22"/>
      <c r="X247" s="20"/>
      <c r="AG247" s="25"/>
      <c r="AH247" s="20"/>
    </row>
    <row r="248" spans="1:34" x14ac:dyDescent="0.3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74</v>
      </c>
      <c r="K248" s="20" t="s">
        <v>74</v>
      </c>
      <c r="L248" s="20"/>
      <c r="M248" s="20"/>
      <c r="N248" s="20" t="s">
        <v>74</v>
      </c>
      <c r="O248" s="20" t="s">
        <v>74</v>
      </c>
      <c r="P248" s="20" t="s">
        <v>74</v>
      </c>
      <c r="Q248" s="20"/>
      <c r="R248" s="20"/>
      <c r="S248" s="19"/>
      <c r="T248" s="20"/>
      <c r="U248" s="19"/>
      <c r="V248" s="22"/>
      <c r="W248" s="22"/>
      <c r="X248" s="20"/>
      <c r="AG248" s="25"/>
      <c r="AH248" s="20"/>
    </row>
    <row r="249" spans="1:34" x14ac:dyDescent="0.3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74</v>
      </c>
      <c r="K249" s="20" t="s">
        <v>74</v>
      </c>
      <c r="L249" s="20"/>
      <c r="M249" s="20"/>
      <c r="N249" s="20" t="s">
        <v>74</v>
      </c>
      <c r="O249" s="20" t="s">
        <v>74</v>
      </c>
      <c r="P249" s="20" t="s">
        <v>74</v>
      </c>
      <c r="Q249" s="20"/>
      <c r="R249" s="20"/>
      <c r="S249" s="19"/>
      <c r="T249" s="20"/>
      <c r="U249" s="19"/>
      <c r="V249" s="22"/>
      <c r="W249" s="22"/>
      <c r="X249" s="20"/>
      <c r="AG249" s="25"/>
      <c r="AH249" s="20"/>
    </row>
    <row r="250" spans="1:34" x14ac:dyDescent="0.3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74</v>
      </c>
      <c r="K250" s="20" t="s">
        <v>74</v>
      </c>
      <c r="L250" s="20"/>
      <c r="M250" s="20"/>
      <c r="N250" s="20" t="s">
        <v>74</v>
      </c>
      <c r="O250" s="20" t="s">
        <v>74</v>
      </c>
      <c r="P250" s="20" t="s">
        <v>74</v>
      </c>
      <c r="Q250" s="20"/>
      <c r="R250" s="20"/>
      <c r="S250" s="19"/>
      <c r="T250" s="20"/>
      <c r="U250" s="19"/>
      <c r="V250" s="22"/>
      <c r="W250" s="22"/>
      <c r="X250" s="20"/>
      <c r="AG250" s="25"/>
      <c r="AH250" s="20"/>
    </row>
    <row r="251" spans="1:34" x14ac:dyDescent="0.3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74</v>
      </c>
      <c r="K251" s="20" t="s">
        <v>74</v>
      </c>
      <c r="L251" s="20"/>
      <c r="M251" s="20"/>
      <c r="N251" s="20" t="s">
        <v>74</v>
      </c>
      <c r="O251" s="20" t="s">
        <v>74</v>
      </c>
      <c r="P251" s="20" t="s">
        <v>74</v>
      </c>
      <c r="Q251" s="20"/>
      <c r="R251" s="20"/>
      <c r="S251" s="19"/>
      <c r="T251" s="20"/>
      <c r="U251" s="19"/>
      <c r="V251" s="22"/>
      <c r="W251" s="22"/>
      <c r="X251" s="20"/>
      <c r="AG251" s="25"/>
      <c r="AH251" s="20"/>
    </row>
    <row r="252" spans="1:34" x14ac:dyDescent="0.3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74</v>
      </c>
      <c r="K252" s="20" t="s">
        <v>74</v>
      </c>
      <c r="L252" s="20"/>
      <c r="M252" s="20"/>
      <c r="N252" s="20" t="s">
        <v>74</v>
      </c>
      <c r="O252" s="20" t="s">
        <v>74</v>
      </c>
      <c r="P252" s="20" t="s">
        <v>74</v>
      </c>
      <c r="Q252" s="20"/>
      <c r="R252" s="20"/>
      <c r="S252" s="19"/>
      <c r="T252" s="20"/>
      <c r="U252" s="19"/>
      <c r="V252" s="22"/>
      <c r="W252" s="22"/>
      <c r="X252" s="20"/>
      <c r="AG252" s="25"/>
      <c r="AH252" s="20"/>
    </row>
    <row r="253" spans="1:34" x14ac:dyDescent="0.3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74</v>
      </c>
      <c r="K253" s="20" t="s">
        <v>74</v>
      </c>
      <c r="L253" s="20"/>
      <c r="M253" s="20"/>
      <c r="N253" s="20" t="s">
        <v>74</v>
      </c>
      <c r="O253" s="20" t="s">
        <v>74</v>
      </c>
      <c r="P253" s="20" t="s">
        <v>74</v>
      </c>
      <c r="Q253" s="20"/>
      <c r="R253" s="20"/>
      <c r="S253" s="19"/>
      <c r="T253" s="20"/>
      <c r="U253" s="19"/>
      <c r="V253" s="22"/>
      <c r="W253" s="22"/>
      <c r="X253" s="20"/>
      <c r="AG253" s="25"/>
      <c r="AH253" s="20"/>
    </row>
    <row r="254" spans="1:34" x14ac:dyDescent="0.3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74</v>
      </c>
      <c r="K254" s="20" t="s">
        <v>74</v>
      </c>
      <c r="L254" s="20"/>
      <c r="M254" s="20"/>
      <c r="N254" s="20" t="s">
        <v>74</v>
      </c>
      <c r="O254" s="20" t="s">
        <v>74</v>
      </c>
      <c r="P254" s="20" t="s">
        <v>74</v>
      </c>
      <c r="Q254" s="20"/>
      <c r="R254" s="20"/>
      <c r="S254" s="19"/>
      <c r="T254" s="20"/>
      <c r="U254" s="19"/>
      <c r="V254" s="22"/>
      <c r="W254" s="22"/>
      <c r="X254" s="20"/>
      <c r="AG254" s="25"/>
      <c r="AH254" s="20"/>
    </row>
    <row r="255" spans="1:34" x14ac:dyDescent="0.3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74</v>
      </c>
      <c r="K255" s="20" t="s">
        <v>74</v>
      </c>
      <c r="L255" s="20"/>
      <c r="M255" s="20"/>
      <c r="N255" s="20" t="s">
        <v>74</v>
      </c>
      <c r="O255" s="20" t="s">
        <v>74</v>
      </c>
      <c r="P255" s="20" t="s">
        <v>74</v>
      </c>
      <c r="Q255" s="20"/>
      <c r="R255" s="20"/>
      <c r="S255" s="19"/>
      <c r="T255" s="20"/>
      <c r="U255" s="19"/>
      <c r="V255" s="22"/>
      <c r="W255" s="22"/>
      <c r="X255" s="20"/>
      <c r="AG255" s="25"/>
      <c r="AH255" s="20"/>
    </row>
    <row r="256" spans="1:34" x14ac:dyDescent="0.3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74</v>
      </c>
      <c r="K256" s="20" t="s">
        <v>74</v>
      </c>
      <c r="L256" s="20"/>
      <c r="M256" s="20"/>
      <c r="N256" s="20" t="s">
        <v>74</v>
      </c>
      <c r="O256" s="20" t="s">
        <v>74</v>
      </c>
      <c r="P256" s="20" t="s">
        <v>74</v>
      </c>
      <c r="Q256" s="20"/>
      <c r="R256" s="20"/>
      <c r="S256" s="19"/>
      <c r="T256" s="20"/>
      <c r="U256" s="19"/>
      <c r="V256" s="22"/>
      <c r="W256" s="22"/>
      <c r="X256" s="20"/>
      <c r="AG256" s="25"/>
      <c r="AH256" s="20"/>
    </row>
    <row r="257" spans="1:34" x14ac:dyDescent="0.3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74</v>
      </c>
      <c r="K257" s="20" t="s">
        <v>74</v>
      </c>
      <c r="L257" s="20"/>
      <c r="M257" s="20"/>
      <c r="N257" s="20" t="s">
        <v>74</v>
      </c>
      <c r="O257" s="20" t="s">
        <v>74</v>
      </c>
      <c r="P257" s="20" t="s">
        <v>74</v>
      </c>
      <c r="Q257" s="20"/>
      <c r="R257" s="20"/>
      <c r="S257" s="19"/>
      <c r="T257" s="20"/>
      <c r="U257" s="19"/>
      <c r="V257" s="22"/>
      <c r="W257" s="22"/>
      <c r="X257" s="20"/>
      <c r="AG257" s="25"/>
      <c r="AH257" s="20"/>
    </row>
    <row r="258" spans="1:34" x14ac:dyDescent="0.3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74</v>
      </c>
      <c r="K258" s="20" t="s">
        <v>74</v>
      </c>
      <c r="L258" s="20"/>
      <c r="M258" s="20"/>
      <c r="N258" s="20" t="s">
        <v>74</v>
      </c>
      <c r="O258" s="20" t="s">
        <v>74</v>
      </c>
      <c r="P258" s="20" t="s">
        <v>74</v>
      </c>
      <c r="Q258" s="20"/>
      <c r="R258" s="20"/>
      <c r="S258" s="19"/>
      <c r="T258" s="20"/>
      <c r="U258" s="19"/>
      <c r="V258" s="22"/>
      <c r="W258" s="22"/>
      <c r="X258" s="20"/>
      <c r="AG258" s="25"/>
      <c r="AH258" s="20"/>
    </row>
    <row r="259" spans="1:34" x14ac:dyDescent="0.3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74</v>
      </c>
      <c r="K259" s="20" t="s">
        <v>74</v>
      </c>
      <c r="L259" s="20"/>
      <c r="M259" s="20"/>
      <c r="N259" s="20" t="s">
        <v>74</v>
      </c>
      <c r="O259" s="20" t="s">
        <v>74</v>
      </c>
      <c r="P259" s="20" t="s">
        <v>74</v>
      </c>
      <c r="Q259" s="20"/>
      <c r="R259" s="20"/>
      <c r="S259" s="19"/>
      <c r="T259" s="20"/>
      <c r="U259" s="19"/>
      <c r="V259" s="22"/>
      <c r="W259" s="22"/>
      <c r="X259" s="20"/>
      <c r="AG259" s="25"/>
      <c r="AH259" s="20"/>
    </row>
    <row r="260" spans="1:34" x14ac:dyDescent="0.3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74</v>
      </c>
      <c r="K260" s="20" t="s">
        <v>74</v>
      </c>
      <c r="L260" s="20"/>
      <c r="M260" s="20"/>
      <c r="N260" s="20" t="s">
        <v>74</v>
      </c>
      <c r="O260" s="20" t="s">
        <v>74</v>
      </c>
      <c r="P260" s="20" t="s">
        <v>74</v>
      </c>
      <c r="Q260" s="20"/>
      <c r="R260" s="20"/>
      <c r="S260" s="19"/>
      <c r="T260" s="20"/>
      <c r="U260" s="19"/>
      <c r="V260" s="22"/>
      <c r="W260" s="22"/>
      <c r="X260" s="20"/>
      <c r="AG260" s="25"/>
      <c r="AH260" s="20"/>
    </row>
    <row r="261" spans="1:34" x14ac:dyDescent="0.3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74</v>
      </c>
      <c r="K261" s="20" t="s">
        <v>74</v>
      </c>
      <c r="L261" s="20"/>
      <c r="M261" s="20"/>
      <c r="N261" s="20" t="s">
        <v>74</v>
      </c>
      <c r="O261" s="20" t="s">
        <v>74</v>
      </c>
      <c r="P261" s="20" t="s">
        <v>74</v>
      </c>
      <c r="Q261" s="20"/>
      <c r="R261" s="20"/>
      <c r="S261" s="19"/>
      <c r="T261" s="20"/>
      <c r="U261" s="19"/>
      <c r="V261" s="22"/>
      <c r="W261" s="22"/>
      <c r="X261" s="20"/>
      <c r="AG261" s="25"/>
      <c r="AH261" s="20"/>
    </row>
    <row r="262" spans="1:34" x14ac:dyDescent="0.3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74</v>
      </c>
      <c r="K262" s="20" t="s">
        <v>74</v>
      </c>
      <c r="L262" s="20"/>
      <c r="M262" s="20"/>
      <c r="N262" s="20" t="s">
        <v>74</v>
      </c>
      <c r="O262" s="20" t="s">
        <v>74</v>
      </c>
      <c r="P262" s="20" t="s">
        <v>74</v>
      </c>
      <c r="Q262" s="20"/>
      <c r="R262" s="20"/>
      <c r="S262" s="19"/>
      <c r="T262" s="20"/>
      <c r="U262" s="19"/>
      <c r="V262" s="22"/>
      <c r="W262" s="22"/>
      <c r="X262" s="20"/>
      <c r="AG262" s="25"/>
      <c r="AH262" s="20"/>
    </row>
    <row r="263" spans="1:34" x14ac:dyDescent="0.3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74</v>
      </c>
      <c r="K263" s="20" t="s">
        <v>74</v>
      </c>
      <c r="L263" s="20"/>
      <c r="M263" s="20"/>
      <c r="N263" s="20" t="s">
        <v>74</v>
      </c>
      <c r="O263" s="20" t="s">
        <v>74</v>
      </c>
      <c r="P263" s="20" t="s">
        <v>74</v>
      </c>
      <c r="Q263" s="20"/>
      <c r="R263" s="20"/>
      <c r="S263" s="19"/>
      <c r="T263" s="20"/>
      <c r="U263" s="19"/>
      <c r="V263" s="22"/>
      <c r="W263" s="22"/>
      <c r="X263" s="20"/>
      <c r="AG263" s="25"/>
      <c r="AH263" s="20"/>
    </row>
    <row r="264" spans="1:34" x14ac:dyDescent="0.3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74</v>
      </c>
      <c r="K264" s="20" t="s">
        <v>74</v>
      </c>
      <c r="L264" s="20"/>
      <c r="M264" s="20"/>
      <c r="N264" s="20" t="s">
        <v>74</v>
      </c>
      <c r="O264" s="20" t="s">
        <v>74</v>
      </c>
      <c r="P264" s="20" t="s">
        <v>74</v>
      </c>
      <c r="Q264" s="20"/>
      <c r="R264" s="20"/>
      <c r="S264" s="19"/>
      <c r="T264" s="20"/>
      <c r="U264" s="19"/>
      <c r="V264" s="22"/>
      <c r="W264" s="22"/>
      <c r="X264" s="20"/>
      <c r="AG264" s="25"/>
      <c r="AH264" s="20"/>
    </row>
    <row r="265" spans="1:34" x14ac:dyDescent="0.3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74</v>
      </c>
      <c r="K265" s="20" t="s">
        <v>74</v>
      </c>
      <c r="L265" s="20"/>
      <c r="M265" s="20"/>
      <c r="N265" s="20" t="s">
        <v>74</v>
      </c>
      <c r="O265" s="20" t="s">
        <v>74</v>
      </c>
      <c r="P265" s="20" t="s">
        <v>74</v>
      </c>
      <c r="Q265" s="20"/>
      <c r="R265" s="20"/>
      <c r="S265" s="19"/>
      <c r="T265" s="20"/>
      <c r="U265" s="19"/>
      <c r="V265" s="22"/>
      <c r="W265" s="22"/>
      <c r="X265" s="20"/>
      <c r="AG265" s="25"/>
      <c r="AH265" s="20"/>
    </row>
    <row r="266" spans="1:34" x14ac:dyDescent="0.3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74</v>
      </c>
      <c r="K266" s="20" t="s">
        <v>74</v>
      </c>
      <c r="L266" s="20"/>
      <c r="M266" s="20"/>
      <c r="N266" s="20" t="s">
        <v>74</v>
      </c>
      <c r="O266" s="20" t="s">
        <v>74</v>
      </c>
      <c r="P266" s="20" t="s">
        <v>74</v>
      </c>
      <c r="Q266" s="20"/>
      <c r="R266" s="20"/>
      <c r="S266" s="19"/>
      <c r="T266" s="20"/>
      <c r="U266" s="19"/>
      <c r="V266" s="22"/>
      <c r="W266" s="22"/>
      <c r="X266" s="20"/>
      <c r="AG266" s="25"/>
      <c r="AH266" s="20"/>
    </row>
    <row r="267" spans="1:34" x14ac:dyDescent="0.3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74</v>
      </c>
      <c r="K267" s="20" t="s">
        <v>74</v>
      </c>
      <c r="L267" s="20"/>
      <c r="M267" s="20"/>
      <c r="N267" s="20" t="s">
        <v>74</v>
      </c>
      <c r="O267" s="20" t="s">
        <v>74</v>
      </c>
      <c r="P267" s="20" t="s">
        <v>74</v>
      </c>
      <c r="Q267" s="20"/>
      <c r="R267" s="20"/>
      <c r="S267" s="19"/>
      <c r="T267" s="20"/>
      <c r="U267" s="19"/>
      <c r="V267" s="22"/>
      <c r="W267" s="22"/>
      <c r="X267" s="20"/>
      <c r="AG267" s="25"/>
      <c r="AH267" s="20"/>
    </row>
    <row r="268" spans="1:34" x14ac:dyDescent="0.3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74</v>
      </c>
      <c r="K268" s="20" t="s">
        <v>74</v>
      </c>
      <c r="L268" s="20"/>
      <c r="M268" s="20"/>
      <c r="N268" s="20" t="s">
        <v>74</v>
      </c>
      <c r="O268" s="20" t="s">
        <v>74</v>
      </c>
      <c r="P268" s="20" t="s">
        <v>74</v>
      </c>
      <c r="Q268" s="20"/>
      <c r="R268" s="20"/>
      <c r="S268" s="19"/>
      <c r="T268" s="20"/>
      <c r="U268" s="19"/>
      <c r="V268" s="22"/>
      <c r="W268" s="22"/>
      <c r="X268" s="20"/>
      <c r="AG268" s="25"/>
      <c r="AH268" s="20"/>
    </row>
    <row r="269" spans="1:34" x14ac:dyDescent="0.3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74</v>
      </c>
      <c r="K269" s="20" t="s">
        <v>74</v>
      </c>
      <c r="L269" s="20"/>
      <c r="M269" s="20"/>
      <c r="N269" s="20" t="s">
        <v>74</v>
      </c>
      <c r="O269" s="20" t="s">
        <v>74</v>
      </c>
      <c r="P269" s="20" t="s">
        <v>74</v>
      </c>
      <c r="Q269" s="20"/>
      <c r="R269" s="20"/>
      <c r="S269" s="19"/>
      <c r="T269" s="20"/>
      <c r="U269" s="19"/>
      <c r="V269" s="22"/>
      <c r="W269" s="22"/>
      <c r="X269" s="20"/>
      <c r="AG269" s="25"/>
      <c r="AH269" s="20"/>
    </row>
    <row r="270" spans="1:34" x14ac:dyDescent="0.3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74</v>
      </c>
      <c r="K270" s="20" t="s">
        <v>74</v>
      </c>
      <c r="L270" s="20"/>
      <c r="M270" s="20"/>
      <c r="N270" s="20" t="s">
        <v>74</v>
      </c>
      <c r="O270" s="20" t="s">
        <v>74</v>
      </c>
      <c r="P270" s="20" t="s">
        <v>74</v>
      </c>
      <c r="Q270" s="20"/>
      <c r="R270" s="20"/>
      <c r="S270" s="19"/>
      <c r="T270" s="20"/>
      <c r="U270" s="19"/>
      <c r="V270" s="22"/>
      <c r="W270" s="22"/>
      <c r="X270" s="20"/>
      <c r="AG270" s="25"/>
      <c r="AH270" s="20"/>
    </row>
    <row r="271" spans="1:34" x14ac:dyDescent="0.3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74</v>
      </c>
      <c r="K271" s="20" t="s">
        <v>74</v>
      </c>
      <c r="L271" s="20"/>
      <c r="M271" s="20"/>
      <c r="N271" s="20" t="s">
        <v>74</v>
      </c>
      <c r="O271" s="20" t="s">
        <v>74</v>
      </c>
      <c r="P271" s="20" t="s">
        <v>74</v>
      </c>
      <c r="Q271" s="20"/>
      <c r="R271" s="20"/>
      <c r="S271" s="19"/>
      <c r="T271" s="20"/>
      <c r="U271" s="19"/>
      <c r="V271" s="22"/>
      <c r="W271" s="22"/>
      <c r="X271" s="20"/>
      <c r="AG271" s="25"/>
      <c r="AH271" s="20"/>
    </row>
    <row r="272" spans="1:34" x14ac:dyDescent="0.3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74</v>
      </c>
      <c r="K272" s="20" t="s">
        <v>74</v>
      </c>
      <c r="L272" s="20"/>
      <c r="M272" s="20"/>
      <c r="N272" s="20" t="s">
        <v>74</v>
      </c>
      <c r="O272" s="20" t="s">
        <v>74</v>
      </c>
      <c r="P272" s="20" t="s">
        <v>74</v>
      </c>
      <c r="Q272" s="20"/>
      <c r="R272" s="20"/>
      <c r="S272" s="19"/>
      <c r="T272" s="20"/>
      <c r="U272" s="19"/>
      <c r="V272" s="22"/>
      <c r="W272" s="22"/>
      <c r="X272" s="20"/>
      <c r="AG272" s="25"/>
      <c r="AH272" s="20"/>
    </row>
    <row r="273" spans="1:34" x14ac:dyDescent="0.3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74</v>
      </c>
      <c r="K273" s="20" t="s">
        <v>74</v>
      </c>
      <c r="L273" s="20"/>
      <c r="M273" s="20"/>
      <c r="N273" s="20" t="s">
        <v>74</v>
      </c>
      <c r="O273" s="20" t="s">
        <v>74</v>
      </c>
      <c r="P273" s="20" t="s">
        <v>74</v>
      </c>
      <c r="Q273" s="20"/>
      <c r="R273" s="20"/>
      <c r="S273" s="19"/>
      <c r="T273" s="20"/>
      <c r="U273" s="19"/>
      <c r="V273" s="22"/>
      <c r="W273" s="22"/>
      <c r="X273" s="20"/>
      <c r="AG273" s="25"/>
      <c r="AH273" s="20"/>
    </row>
    <row r="274" spans="1:34" x14ac:dyDescent="0.3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74</v>
      </c>
      <c r="K274" s="20" t="s">
        <v>74</v>
      </c>
      <c r="L274" s="20"/>
      <c r="M274" s="20"/>
      <c r="N274" s="20" t="s">
        <v>74</v>
      </c>
      <c r="O274" s="20" t="s">
        <v>74</v>
      </c>
      <c r="P274" s="20" t="s">
        <v>74</v>
      </c>
      <c r="Q274" s="20"/>
      <c r="R274" s="20"/>
      <c r="S274" s="19"/>
      <c r="T274" s="20"/>
      <c r="U274" s="19"/>
      <c r="V274" s="22"/>
      <c r="W274" s="22"/>
      <c r="X274" s="20"/>
      <c r="AG274" s="25"/>
      <c r="AH274" s="20"/>
    </row>
    <row r="275" spans="1:34" x14ac:dyDescent="0.3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74</v>
      </c>
      <c r="K275" s="20" t="s">
        <v>74</v>
      </c>
      <c r="L275" s="20"/>
      <c r="M275" s="20"/>
      <c r="N275" s="20" t="s">
        <v>74</v>
      </c>
      <c r="O275" s="20" t="s">
        <v>74</v>
      </c>
      <c r="P275" s="20" t="s">
        <v>74</v>
      </c>
      <c r="Q275" s="20"/>
      <c r="R275" s="20"/>
      <c r="S275" s="19"/>
      <c r="T275" s="20"/>
      <c r="U275" s="19"/>
      <c r="V275" s="22"/>
      <c r="W275" s="22"/>
      <c r="X275" s="20"/>
      <c r="AG275" s="25"/>
      <c r="AH275" s="20"/>
    </row>
    <row r="276" spans="1:34" x14ac:dyDescent="0.3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74</v>
      </c>
      <c r="K276" s="20" t="s">
        <v>74</v>
      </c>
      <c r="L276" s="20"/>
      <c r="M276" s="20"/>
      <c r="N276" s="20" t="s">
        <v>74</v>
      </c>
      <c r="O276" s="20" t="s">
        <v>74</v>
      </c>
      <c r="P276" s="20" t="s">
        <v>74</v>
      </c>
      <c r="Q276" s="20"/>
      <c r="R276" s="20"/>
      <c r="S276" s="19"/>
      <c r="T276" s="20"/>
      <c r="U276" s="19"/>
      <c r="V276" s="22"/>
      <c r="W276" s="22"/>
      <c r="X276" s="20"/>
      <c r="AG276" s="25"/>
      <c r="AH276" s="20"/>
    </row>
    <row r="277" spans="1:34" x14ac:dyDescent="0.3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74</v>
      </c>
      <c r="K277" s="20" t="s">
        <v>74</v>
      </c>
      <c r="L277" s="20"/>
      <c r="M277" s="20"/>
      <c r="N277" s="20" t="s">
        <v>74</v>
      </c>
      <c r="O277" s="20" t="s">
        <v>74</v>
      </c>
      <c r="P277" s="20" t="s">
        <v>74</v>
      </c>
      <c r="Q277" s="20"/>
      <c r="R277" s="20"/>
      <c r="S277" s="19"/>
      <c r="T277" s="20"/>
      <c r="U277" s="19"/>
      <c r="V277" s="22"/>
      <c r="W277" s="22"/>
      <c r="X277" s="20"/>
      <c r="AG277" s="25"/>
      <c r="AH277" s="20"/>
    </row>
    <row r="278" spans="1:34" x14ac:dyDescent="0.3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74</v>
      </c>
      <c r="K278" s="20" t="s">
        <v>74</v>
      </c>
      <c r="L278" s="20"/>
      <c r="M278" s="20"/>
      <c r="N278" s="20" t="s">
        <v>74</v>
      </c>
      <c r="O278" s="20" t="s">
        <v>74</v>
      </c>
      <c r="P278" s="20" t="s">
        <v>74</v>
      </c>
      <c r="Q278" s="20"/>
      <c r="R278" s="20"/>
      <c r="S278" s="19"/>
      <c r="T278" s="20"/>
      <c r="U278" s="19"/>
      <c r="V278" s="22"/>
      <c r="W278" s="22"/>
      <c r="X278" s="20"/>
      <c r="AG278" s="25"/>
      <c r="AH278" s="20"/>
    </row>
    <row r="279" spans="1:34" x14ac:dyDescent="0.3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74</v>
      </c>
      <c r="K279" s="20" t="s">
        <v>74</v>
      </c>
      <c r="L279" s="20"/>
      <c r="M279" s="20"/>
      <c r="N279" s="20" t="s">
        <v>74</v>
      </c>
      <c r="O279" s="20" t="s">
        <v>74</v>
      </c>
      <c r="P279" s="20" t="s">
        <v>74</v>
      </c>
      <c r="Q279" s="20"/>
      <c r="R279" s="20"/>
      <c r="S279" s="19"/>
      <c r="T279" s="20"/>
      <c r="U279" s="19"/>
      <c r="V279" s="22"/>
      <c r="W279" s="22"/>
      <c r="X279" s="20"/>
      <c r="AG279" s="25"/>
      <c r="AH279" s="20"/>
    </row>
    <row r="280" spans="1:34" x14ac:dyDescent="0.3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74</v>
      </c>
      <c r="K280" s="20" t="s">
        <v>74</v>
      </c>
      <c r="L280" s="20"/>
      <c r="M280" s="20"/>
      <c r="N280" s="20" t="s">
        <v>74</v>
      </c>
      <c r="O280" s="20" t="s">
        <v>74</v>
      </c>
      <c r="P280" s="20" t="s">
        <v>74</v>
      </c>
      <c r="Q280" s="20"/>
      <c r="R280" s="20"/>
      <c r="S280" s="19"/>
      <c r="T280" s="20"/>
      <c r="U280" s="19"/>
      <c r="V280" s="22"/>
      <c r="W280" s="22"/>
      <c r="X280" s="20"/>
      <c r="AG280" s="25"/>
      <c r="AH280" s="20"/>
    </row>
    <row r="281" spans="1:34" x14ac:dyDescent="0.3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74</v>
      </c>
      <c r="K281" s="20" t="s">
        <v>74</v>
      </c>
      <c r="L281" s="20"/>
      <c r="M281" s="20"/>
      <c r="N281" s="20" t="s">
        <v>74</v>
      </c>
      <c r="O281" s="20" t="s">
        <v>74</v>
      </c>
      <c r="P281" s="20" t="s">
        <v>74</v>
      </c>
      <c r="Q281" s="20"/>
      <c r="R281" s="20"/>
      <c r="S281" s="19"/>
      <c r="T281" s="20"/>
      <c r="U281" s="19"/>
      <c r="V281" s="22"/>
      <c r="W281" s="22"/>
      <c r="X281" s="20"/>
      <c r="AG281" s="25"/>
      <c r="AH281" s="20"/>
    </row>
    <row r="282" spans="1:34" x14ac:dyDescent="0.3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74</v>
      </c>
      <c r="K282" s="20" t="s">
        <v>74</v>
      </c>
      <c r="L282" s="20"/>
      <c r="M282" s="20"/>
      <c r="N282" s="20" t="s">
        <v>74</v>
      </c>
      <c r="O282" s="20" t="s">
        <v>74</v>
      </c>
      <c r="P282" s="20" t="s">
        <v>74</v>
      </c>
      <c r="Q282" s="20"/>
      <c r="R282" s="20"/>
      <c r="S282" s="19"/>
      <c r="T282" s="20"/>
      <c r="U282" s="19"/>
      <c r="V282" s="22"/>
      <c r="W282" s="22"/>
      <c r="X282" s="20"/>
      <c r="AG282" s="25"/>
      <c r="AH282" s="20"/>
    </row>
    <row r="283" spans="1:34" x14ac:dyDescent="0.3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74</v>
      </c>
      <c r="K283" s="20" t="s">
        <v>74</v>
      </c>
      <c r="L283" s="20"/>
      <c r="M283" s="20"/>
      <c r="N283" s="20" t="s">
        <v>74</v>
      </c>
      <c r="O283" s="20" t="s">
        <v>74</v>
      </c>
      <c r="P283" s="20" t="s">
        <v>74</v>
      </c>
      <c r="Q283" s="20"/>
      <c r="R283" s="20"/>
      <c r="S283" s="19"/>
      <c r="T283" s="20"/>
      <c r="U283" s="19"/>
      <c r="V283" s="22"/>
      <c r="W283" s="22"/>
      <c r="X283" s="20"/>
      <c r="AG283" s="25"/>
      <c r="AH283" s="20"/>
    </row>
    <row r="284" spans="1:34" x14ac:dyDescent="0.3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74</v>
      </c>
      <c r="K284" s="20" t="s">
        <v>74</v>
      </c>
      <c r="L284" s="20"/>
      <c r="M284" s="20"/>
      <c r="N284" s="20" t="s">
        <v>74</v>
      </c>
      <c r="O284" s="20" t="s">
        <v>74</v>
      </c>
      <c r="P284" s="20" t="s">
        <v>74</v>
      </c>
      <c r="Q284" s="20"/>
      <c r="R284" s="20"/>
      <c r="S284" s="19"/>
      <c r="T284" s="20"/>
      <c r="U284" s="19"/>
      <c r="V284" s="22"/>
      <c r="W284" s="22"/>
      <c r="X284" s="20"/>
      <c r="AG284" s="25"/>
      <c r="AH284" s="20"/>
    </row>
    <row r="285" spans="1:34" x14ac:dyDescent="0.3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74</v>
      </c>
      <c r="K285" s="20" t="s">
        <v>74</v>
      </c>
      <c r="L285" s="20"/>
      <c r="M285" s="20"/>
      <c r="N285" s="20" t="s">
        <v>74</v>
      </c>
      <c r="O285" s="20" t="s">
        <v>74</v>
      </c>
      <c r="P285" s="20" t="s">
        <v>74</v>
      </c>
      <c r="Q285" s="20"/>
      <c r="R285" s="20"/>
      <c r="S285" s="19"/>
      <c r="T285" s="20"/>
      <c r="U285" s="19"/>
      <c r="V285" s="22"/>
      <c r="W285" s="22"/>
      <c r="X285" s="20"/>
      <c r="AG285" s="25"/>
      <c r="AH285" s="20"/>
    </row>
    <row r="286" spans="1:34" x14ac:dyDescent="0.3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74</v>
      </c>
      <c r="K286" s="20" t="s">
        <v>74</v>
      </c>
      <c r="L286" s="20"/>
      <c r="M286" s="20"/>
      <c r="N286" s="20" t="s">
        <v>74</v>
      </c>
      <c r="O286" s="20" t="s">
        <v>74</v>
      </c>
      <c r="P286" s="20" t="s">
        <v>74</v>
      </c>
      <c r="Q286" s="20"/>
      <c r="R286" s="20"/>
      <c r="S286" s="19"/>
      <c r="T286" s="20"/>
      <c r="U286" s="19"/>
      <c r="V286" s="22"/>
      <c r="W286" s="22"/>
      <c r="X286" s="20"/>
      <c r="AG286" s="25"/>
      <c r="AH286" s="20"/>
    </row>
    <row r="287" spans="1:34" x14ac:dyDescent="0.3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74</v>
      </c>
      <c r="K287" s="20" t="s">
        <v>74</v>
      </c>
      <c r="L287" s="20"/>
      <c r="M287" s="20"/>
      <c r="N287" s="20" t="s">
        <v>74</v>
      </c>
      <c r="O287" s="20" t="s">
        <v>74</v>
      </c>
      <c r="P287" s="20" t="s">
        <v>74</v>
      </c>
      <c r="Q287" s="20"/>
      <c r="R287" s="20"/>
      <c r="S287" s="19"/>
      <c r="T287" s="20"/>
      <c r="U287" s="19"/>
      <c r="V287" s="22"/>
      <c r="W287" s="22"/>
      <c r="X287" s="20"/>
      <c r="AG287" s="25"/>
      <c r="AH287" s="20"/>
    </row>
    <row r="288" spans="1:34" x14ac:dyDescent="0.3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74</v>
      </c>
      <c r="K288" s="20" t="s">
        <v>74</v>
      </c>
      <c r="L288" s="20"/>
      <c r="M288" s="20"/>
      <c r="N288" s="20" t="s">
        <v>74</v>
      </c>
      <c r="O288" s="20" t="s">
        <v>74</v>
      </c>
      <c r="P288" s="20" t="s">
        <v>74</v>
      </c>
      <c r="Q288" s="20"/>
      <c r="R288" s="20"/>
      <c r="S288" s="19"/>
      <c r="T288" s="20"/>
      <c r="U288" s="19"/>
      <c r="V288" s="22"/>
      <c r="W288" s="22"/>
      <c r="X288" s="20"/>
      <c r="AG288" s="25"/>
      <c r="AH288" s="20"/>
    </row>
    <row r="289" spans="1:34" x14ac:dyDescent="0.3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74</v>
      </c>
      <c r="K289" s="20" t="s">
        <v>74</v>
      </c>
      <c r="L289" s="20"/>
      <c r="M289" s="20"/>
      <c r="N289" s="20" t="s">
        <v>74</v>
      </c>
      <c r="O289" s="20" t="s">
        <v>74</v>
      </c>
      <c r="P289" s="20" t="s">
        <v>74</v>
      </c>
      <c r="Q289" s="20"/>
      <c r="R289" s="20"/>
      <c r="S289" s="19"/>
      <c r="T289" s="20"/>
      <c r="U289" s="19"/>
      <c r="V289" s="22"/>
      <c r="W289" s="22"/>
      <c r="X289" s="20"/>
      <c r="AG289" s="25"/>
      <c r="AH289" s="20"/>
    </row>
    <row r="290" spans="1:34" x14ac:dyDescent="0.3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74</v>
      </c>
      <c r="K290" s="20" t="s">
        <v>74</v>
      </c>
      <c r="L290" s="20"/>
      <c r="M290" s="20"/>
      <c r="N290" s="20" t="s">
        <v>74</v>
      </c>
      <c r="O290" s="20" t="s">
        <v>74</v>
      </c>
      <c r="P290" s="20" t="s">
        <v>74</v>
      </c>
      <c r="Q290" s="20"/>
      <c r="R290" s="20"/>
      <c r="S290" s="19"/>
      <c r="T290" s="20"/>
      <c r="U290" s="19"/>
      <c r="V290" s="22"/>
      <c r="W290" s="22"/>
      <c r="X290" s="20"/>
      <c r="AG290" s="25"/>
      <c r="AH290" s="20"/>
    </row>
    <row r="291" spans="1:34" x14ac:dyDescent="0.3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74</v>
      </c>
      <c r="K291" s="20" t="s">
        <v>74</v>
      </c>
      <c r="L291" s="20"/>
      <c r="M291" s="20"/>
      <c r="N291" s="20" t="s">
        <v>74</v>
      </c>
      <c r="O291" s="20" t="s">
        <v>74</v>
      </c>
      <c r="P291" s="20" t="s">
        <v>74</v>
      </c>
      <c r="Q291" s="20"/>
      <c r="R291" s="20"/>
      <c r="S291" s="19"/>
      <c r="T291" s="20"/>
      <c r="U291" s="19"/>
      <c r="V291" s="22"/>
      <c r="W291" s="22"/>
      <c r="X291" s="20"/>
      <c r="AG291" s="25"/>
      <c r="AH291" s="20"/>
    </row>
    <row r="292" spans="1:34" x14ac:dyDescent="0.3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74</v>
      </c>
      <c r="K292" s="20" t="s">
        <v>74</v>
      </c>
      <c r="L292" s="20"/>
      <c r="M292" s="20"/>
      <c r="N292" s="20" t="s">
        <v>74</v>
      </c>
      <c r="O292" s="20" t="s">
        <v>74</v>
      </c>
      <c r="P292" s="20" t="s">
        <v>74</v>
      </c>
      <c r="Q292" s="20"/>
      <c r="R292" s="20"/>
      <c r="S292" s="19"/>
      <c r="T292" s="20"/>
      <c r="U292" s="19"/>
      <c r="V292" s="22"/>
      <c r="W292" s="22"/>
      <c r="X292" s="20"/>
      <c r="AG292" s="25"/>
      <c r="AH292" s="20"/>
    </row>
    <row r="293" spans="1:34" x14ac:dyDescent="0.3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74</v>
      </c>
      <c r="K293" s="20" t="s">
        <v>74</v>
      </c>
      <c r="L293" s="20"/>
      <c r="M293" s="20"/>
      <c r="N293" s="20" t="s">
        <v>74</v>
      </c>
      <c r="O293" s="20" t="s">
        <v>74</v>
      </c>
      <c r="P293" s="20" t="s">
        <v>74</v>
      </c>
      <c r="Q293" s="20"/>
      <c r="R293" s="20"/>
      <c r="S293" s="19"/>
      <c r="T293" s="20"/>
      <c r="U293" s="19"/>
      <c r="V293" s="22"/>
      <c r="W293" s="22"/>
      <c r="X293" s="20"/>
      <c r="AG293" s="25"/>
      <c r="AH293" s="20"/>
    </row>
    <row r="294" spans="1:34" x14ac:dyDescent="0.3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74</v>
      </c>
      <c r="K294" s="20" t="s">
        <v>74</v>
      </c>
      <c r="L294" s="20"/>
      <c r="M294" s="20"/>
      <c r="N294" s="20" t="s">
        <v>74</v>
      </c>
      <c r="O294" s="20" t="s">
        <v>74</v>
      </c>
      <c r="P294" s="20" t="s">
        <v>74</v>
      </c>
      <c r="Q294" s="20"/>
      <c r="R294" s="20"/>
      <c r="S294" s="19"/>
      <c r="T294" s="20"/>
      <c r="U294" s="19"/>
      <c r="V294" s="22"/>
      <c r="W294" s="22"/>
      <c r="X294" s="20"/>
      <c r="AG294" s="25"/>
      <c r="AH294" s="20"/>
    </row>
    <row r="295" spans="1:34" x14ac:dyDescent="0.3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74</v>
      </c>
      <c r="K295" s="20" t="s">
        <v>74</v>
      </c>
      <c r="L295" s="20"/>
      <c r="M295" s="20"/>
      <c r="N295" s="20" t="s">
        <v>74</v>
      </c>
      <c r="O295" s="20" t="s">
        <v>74</v>
      </c>
      <c r="P295" s="20" t="s">
        <v>74</v>
      </c>
      <c r="Q295" s="20"/>
      <c r="R295" s="20"/>
      <c r="S295" s="19"/>
      <c r="T295" s="20"/>
      <c r="U295" s="19"/>
      <c r="V295" s="22"/>
      <c r="W295" s="22"/>
      <c r="X295" s="20"/>
      <c r="AG295" s="25"/>
      <c r="AH295" s="20"/>
    </row>
    <row r="296" spans="1:34" x14ac:dyDescent="0.3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74</v>
      </c>
      <c r="K296" s="20" t="s">
        <v>74</v>
      </c>
      <c r="L296" s="20"/>
      <c r="M296" s="20"/>
      <c r="N296" s="20" t="s">
        <v>74</v>
      </c>
      <c r="O296" s="20" t="s">
        <v>74</v>
      </c>
      <c r="P296" s="20" t="s">
        <v>74</v>
      </c>
      <c r="Q296" s="20"/>
      <c r="R296" s="20"/>
      <c r="S296" s="19"/>
      <c r="T296" s="20"/>
      <c r="U296" s="19"/>
      <c r="V296" s="22"/>
      <c r="W296" s="22"/>
      <c r="X296" s="20"/>
      <c r="AG296" s="25"/>
      <c r="AH296" s="20"/>
    </row>
    <row r="297" spans="1:34" x14ac:dyDescent="0.3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74</v>
      </c>
      <c r="K297" s="20" t="s">
        <v>74</v>
      </c>
      <c r="L297" s="20"/>
      <c r="M297" s="20"/>
      <c r="N297" s="20" t="s">
        <v>74</v>
      </c>
      <c r="O297" s="20" t="s">
        <v>74</v>
      </c>
      <c r="P297" s="20" t="s">
        <v>74</v>
      </c>
      <c r="Q297" s="20"/>
      <c r="R297" s="20"/>
      <c r="S297" s="19"/>
      <c r="T297" s="20"/>
      <c r="U297" s="19"/>
      <c r="V297" s="22"/>
      <c r="W297" s="22"/>
      <c r="X297" s="20"/>
      <c r="AG297" s="25"/>
      <c r="AH297" s="20"/>
    </row>
    <row r="298" spans="1:34" x14ac:dyDescent="0.3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74</v>
      </c>
      <c r="K298" s="20" t="s">
        <v>74</v>
      </c>
      <c r="L298" s="20"/>
      <c r="M298" s="20"/>
      <c r="N298" s="20" t="s">
        <v>74</v>
      </c>
      <c r="O298" s="20" t="s">
        <v>74</v>
      </c>
      <c r="P298" s="20" t="s">
        <v>74</v>
      </c>
      <c r="Q298" s="20"/>
      <c r="R298" s="20"/>
      <c r="S298" s="19"/>
      <c r="T298" s="20"/>
      <c r="U298" s="19"/>
      <c r="V298" s="22"/>
      <c r="W298" s="22"/>
      <c r="X298" s="20"/>
      <c r="AG298" s="25"/>
      <c r="AH298" s="20"/>
    </row>
    <row r="299" spans="1:34" x14ac:dyDescent="0.3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74</v>
      </c>
      <c r="K299" s="20" t="s">
        <v>74</v>
      </c>
      <c r="L299" s="20"/>
      <c r="M299" s="20"/>
      <c r="N299" s="20" t="s">
        <v>74</v>
      </c>
      <c r="O299" s="20" t="s">
        <v>74</v>
      </c>
      <c r="P299" s="20" t="s">
        <v>74</v>
      </c>
      <c r="Q299" s="20"/>
      <c r="R299" s="20"/>
      <c r="S299" s="19"/>
      <c r="T299" s="20"/>
      <c r="U299" s="19"/>
      <c r="V299" s="22"/>
      <c r="W299" s="22"/>
      <c r="X299" s="20"/>
      <c r="AG299" s="25"/>
      <c r="AH299" s="20"/>
    </row>
    <row r="300" spans="1:34" x14ac:dyDescent="0.3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74</v>
      </c>
      <c r="K300" s="20" t="s">
        <v>74</v>
      </c>
      <c r="L300" s="20"/>
      <c r="M300" s="20"/>
      <c r="N300" s="20" t="s">
        <v>74</v>
      </c>
      <c r="O300" s="20" t="s">
        <v>74</v>
      </c>
      <c r="P300" s="20" t="s">
        <v>74</v>
      </c>
      <c r="Q300" s="20"/>
      <c r="R300" s="20"/>
      <c r="S300" s="19"/>
      <c r="T300" s="20"/>
      <c r="U300" s="19"/>
      <c r="V300" s="22"/>
      <c r="W300" s="22"/>
      <c r="X300" s="20"/>
      <c r="AG300" s="25"/>
      <c r="AH300" s="20"/>
    </row>
    <row r="301" spans="1:34" x14ac:dyDescent="0.3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74</v>
      </c>
      <c r="K301" s="20" t="s">
        <v>74</v>
      </c>
      <c r="L301" s="20"/>
      <c r="M301" s="20"/>
      <c r="N301" s="20" t="s">
        <v>74</v>
      </c>
      <c r="O301" s="20" t="s">
        <v>74</v>
      </c>
      <c r="P301" s="20" t="s">
        <v>74</v>
      </c>
      <c r="Q301" s="20"/>
      <c r="R301" s="20"/>
      <c r="S301" s="19"/>
      <c r="T301" s="20"/>
      <c r="U301" s="19"/>
      <c r="V301" s="22"/>
      <c r="W301" s="22"/>
      <c r="X301" s="20"/>
      <c r="AG301" s="25"/>
      <c r="AH301" s="20"/>
    </row>
    <row r="302" spans="1:34" x14ac:dyDescent="0.3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74</v>
      </c>
      <c r="K302" s="20" t="s">
        <v>74</v>
      </c>
      <c r="L302" s="20"/>
      <c r="M302" s="20"/>
      <c r="N302" s="20" t="s">
        <v>74</v>
      </c>
      <c r="O302" s="20" t="s">
        <v>74</v>
      </c>
      <c r="P302" s="20" t="s">
        <v>74</v>
      </c>
      <c r="Q302" s="20"/>
      <c r="R302" s="20"/>
      <c r="S302" s="19"/>
      <c r="T302" s="20"/>
      <c r="U302" s="19"/>
      <c r="V302" s="22"/>
      <c r="W302" s="22"/>
      <c r="X302" s="20"/>
      <c r="AG302" s="25"/>
      <c r="AH302" s="20"/>
    </row>
    <row r="303" spans="1:34" x14ac:dyDescent="0.3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74</v>
      </c>
      <c r="K303" s="20" t="s">
        <v>74</v>
      </c>
      <c r="L303" s="20"/>
      <c r="M303" s="20"/>
      <c r="N303" s="20" t="s">
        <v>74</v>
      </c>
      <c r="O303" s="20" t="s">
        <v>74</v>
      </c>
      <c r="P303" s="20" t="s">
        <v>74</v>
      </c>
      <c r="Q303" s="20"/>
      <c r="R303" s="20"/>
      <c r="S303" s="19"/>
      <c r="T303" s="20"/>
      <c r="U303" s="19"/>
      <c r="V303" s="22"/>
      <c r="W303" s="22"/>
      <c r="X303" s="20"/>
      <c r="AG303" s="25"/>
      <c r="AH303" s="20"/>
    </row>
    <row r="304" spans="1:34" x14ac:dyDescent="0.3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74</v>
      </c>
      <c r="K304" s="20" t="s">
        <v>74</v>
      </c>
      <c r="L304" s="20"/>
      <c r="M304" s="20"/>
      <c r="N304" s="20" t="s">
        <v>74</v>
      </c>
      <c r="O304" s="20" t="s">
        <v>74</v>
      </c>
      <c r="P304" s="20" t="s">
        <v>74</v>
      </c>
      <c r="Q304" s="20"/>
      <c r="R304" s="20"/>
      <c r="S304" s="19"/>
      <c r="T304" s="20"/>
      <c r="U304" s="19"/>
      <c r="V304" s="22"/>
      <c r="W304" s="22"/>
      <c r="X304" s="20"/>
      <c r="AG304" s="25"/>
      <c r="AH304" s="20"/>
    </row>
    <row r="305" spans="1:34" x14ac:dyDescent="0.3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74</v>
      </c>
      <c r="K305" s="20" t="s">
        <v>74</v>
      </c>
      <c r="L305" s="20"/>
      <c r="M305" s="20"/>
      <c r="N305" s="20" t="s">
        <v>74</v>
      </c>
      <c r="O305" s="20" t="s">
        <v>74</v>
      </c>
      <c r="P305" s="20" t="s">
        <v>74</v>
      </c>
      <c r="Q305" s="20"/>
      <c r="R305" s="20"/>
      <c r="S305" s="19"/>
      <c r="T305" s="20"/>
      <c r="U305" s="19"/>
      <c r="V305" s="22"/>
      <c r="W305" s="22"/>
      <c r="X305" s="20"/>
      <c r="AG305" s="25"/>
      <c r="AH305" s="20"/>
    </row>
    <row r="306" spans="1:34" x14ac:dyDescent="0.3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74</v>
      </c>
      <c r="K306" s="20" t="s">
        <v>74</v>
      </c>
      <c r="L306" s="20"/>
      <c r="M306" s="20"/>
      <c r="N306" s="20" t="s">
        <v>74</v>
      </c>
      <c r="O306" s="20" t="s">
        <v>74</v>
      </c>
      <c r="P306" s="20" t="s">
        <v>74</v>
      </c>
      <c r="Q306" s="20"/>
      <c r="R306" s="20"/>
      <c r="S306" s="19"/>
      <c r="T306" s="20"/>
      <c r="U306" s="19"/>
      <c r="V306" s="22"/>
      <c r="W306" s="22"/>
      <c r="X306" s="20"/>
      <c r="AG306" s="25"/>
      <c r="AH306" s="20"/>
    </row>
    <row r="307" spans="1:34" x14ac:dyDescent="0.3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74</v>
      </c>
      <c r="K307" s="20" t="s">
        <v>74</v>
      </c>
      <c r="L307" s="20"/>
      <c r="M307" s="20"/>
      <c r="N307" s="20" t="s">
        <v>74</v>
      </c>
      <c r="O307" s="20" t="s">
        <v>74</v>
      </c>
      <c r="P307" s="20" t="s">
        <v>74</v>
      </c>
      <c r="Q307" s="20"/>
      <c r="R307" s="20"/>
      <c r="S307" s="19"/>
      <c r="T307" s="20"/>
      <c r="U307" s="19"/>
      <c r="V307" s="22"/>
      <c r="W307" s="22"/>
      <c r="X307" s="20"/>
      <c r="AG307" s="25"/>
      <c r="AH307" s="20"/>
    </row>
    <row r="308" spans="1:34" x14ac:dyDescent="0.3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74</v>
      </c>
      <c r="K308" s="20" t="s">
        <v>74</v>
      </c>
      <c r="L308" s="20"/>
      <c r="M308" s="20"/>
      <c r="N308" s="20" t="s">
        <v>74</v>
      </c>
      <c r="O308" s="20" t="s">
        <v>74</v>
      </c>
      <c r="P308" s="20" t="s">
        <v>74</v>
      </c>
      <c r="Q308" s="20"/>
      <c r="R308" s="20"/>
      <c r="S308" s="19"/>
      <c r="T308" s="20"/>
      <c r="U308" s="19"/>
      <c r="V308" s="22"/>
      <c r="W308" s="22"/>
      <c r="X308" s="20"/>
      <c r="AG308" s="25"/>
      <c r="AH308" s="20"/>
    </row>
    <row r="309" spans="1:34" x14ac:dyDescent="0.3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74</v>
      </c>
      <c r="K309" s="20" t="s">
        <v>74</v>
      </c>
      <c r="L309" s="20"/>
      <c r="M309" s="20"/>
      <c r="N309" s="20" t="s">
        <v>74</v>
      </c>
      <c r="O309" s="20" t="s">
        <v>74</v>
      </c>
      <c r="P309" s="20" t="s">
        <v>74</v>
      </c>
      <c r="Q309" s="20"/>
      <c r="R309" s="20"/>
      <c r="S309" s="19"/>
      <c r="T309" s="20"/>
      <c r="U309" s="19"/>
      <c r="V309" s="22"/>
      <c r="W309" s="22"/>
      <c r="X309" s="20"/>
      <c r="AG309" s="25"/>
      <c r="AH309" s="20"/>
    </row>
    <row r="310" spans="1:34" x14ac:dyDescent="0.3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74</v>
      </c>
      <c r="K310" s="20" t="s">
        <v>74</v>
      </c>
      <c r="L310" s="20"/>
      <c r="M310" s="20"/>
      <c r="N310" s="20" t="s">
        <v>74</v>
      </c>
      <c r="O310" s="20" t="s">
        <v>74</v>
      </c>
      <c r="P310" s="20" t="s">
        <v>74</v>
      </c>
      <c r="Q310" s="20"/>
      <c r="R310" s="20"/>
      <c r="S310" s="19"/>
      <c r="T310" s="20"/>
      <c r="U310" s="19"/>
      <c r="V310" s="22"/>
      <c r="W310" s="22"/>
      <c r="X310" s="20"/>
      <c r="AG310" s="25"/>
      <c r="AH310" s="20"/>
    </row>
    <row r="311" spans="1:34" x14ac:dyDescent="0.3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74</v>
      </c>
      <c r="K311" s="20" t="s">
        <v>74</v>
      </c>
      <c r="L311" s="20"/>
      <c r="M311" s="20"/>
      <c r="N311" s="20" t="s">
        <v>74</v>
      </c>
      <c r="O311" s="20" t="s">
        <v>74</v>
      </c>
      <c r="P311" s="20" t="s">
        <v>74</v>
      </c>
      <c r="Q311" s="20"/>
      <c r="R311" s="20"/>
      <c r="S311" s="19"/>
      <c r="T311" s="20"/>
      <c r="U311" s="19"/>
      <c r="V311" s="22"/>
      <c r="W311" s="22"/>
      <c r="X311" s="20"/>
      <c r="AG311" s="25"/>
      <c r="AH311" s="20"/>
    </row>
    <row r="312" spans="1:34" x14ac:dyDescent="0.3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74</v>
      </c>
      <c r="K312" s="20" t="s">
        <v>74</v>
      </c>
      <c r="L312" s="20"/>
      <c r="M312" s="20"/>
      <c r="N312" s="20" t="s">
        <v>74</v>
      </c>
      <c r="O312" s="20" t="s">
        <v>74</v>
      </c>
      <c r="P312" s="20" t="s">
        <v>74</v>
      </c>
      <c r="Q312" s="20"/>
      <c r="R312" s="20"/>
      <c r="S312" s="19"/>
      <c r="T312" s="20"/>
      <c r="U312" s="19"/>
      <c r="V312" s="22"/>
      <c r="W312" s="22"/>
      <c r="X312" s="20"/>
      <c r="AG312" s="25"/>
      <c r="AH312" s="20"/>
    </row>
    <row r="313" spans="1:34" x14ac:dyDescent="0.3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74</v>
      </c>
      <c r="K313" s="20" t="s">
        <v>74</v>
      </c>
      <c r="L313" s="20"/>
      <c r="M313" s="20"/>
      <c r="N313" s="20" t="s">
        <v>74</v>
      </c>
      <c r="O313" s="20" t="s">
        <v>74</v>
      </c>
      <c r="P313" s="20" t="s">
        <v>74</v>
      </c>
      <c r="Q313" s="20"/>
      <c r="R313" s="20"/>
      <c r="S313" s="19"/>
      <c r="T313" s="20"/>
      <c r="U313" s="19"/>
      <c r="V313" s="22"/>
      <c r="W313" s="22"/>
      <c r="X313" s="20"/>
      <c r="AG313" s="25"/>
      <c r="AH313" s="20"/>
    </row>
    <row r="314" spans="1:34" x14ac:dyDescent="0.3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74</v>
      </c>
      <c r="K314" s="20" t="s">
        <v>74</v>
      </c>
      <c r="L314" s="20"/>
      <c r="M314" s="20"/>
      <c r="N314" s="20" t="s">
        <v>74</v>
      </c>
      <c r="O314" s="20" t="s">
        <v>74</v>
      </c>
      <c r="P314" s="20" t="s">
        <v>74</v>
      </c>
      <c r="Q314" s="20"/>
      <c r="R314" s="20"/>
      <c r="S314" s="19"/>
      <c r="T314" s="20"/>
      <c r="U314" s="19"/>
      <c r="V314" s="22"/>
      <c r="W314" s="22"/>
      <c r="X314" s="20"/>
      <c r="AG314" s="25"/>
      <c r="AH314" s="20"/>
    </row>
    <row r="315" spans="1:34" x14ac:dyDescent="0.3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74</v>
      </c>
      <c r="K315" s="20" t="s">
        <v>74</v>
      </c>
      <c r="L315" s="20"/>
      <c r="M315" s="20"/>
      <c r="N315" s="20" t="s">
        <v>74</v>
      </c>
      <c r="O315" s="20" t="s">
        <v>74</v>
      </c>
      <c r="P315" s="20" t="s">
        <v>74</v>
      </c>
      <c r="Q315" s="20"/>
      <c r="R315" s="20"/>
      <c r="S315" s="19"/>
      <c r="T315" s="20"/>
      <c r="U315" s="19"/>
      <c r="V315" s="22"/>
      <c r="W315" s="22"/>
      <c r="X315" s="20"/>
      <c r="AG315" s="25"/>
      <c r="AH315" s="20"/>
    </row>
    <row r="316" spans="1:34" x14ac:dyDescent="0.3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74</v>
      </c>
      <c r="K316" s="20" t="s">
        <v>74</v>
      </c>
      <c r="L316" s="20"/>
      <c r="M316" s="20"/>
      <c r="N316" s="20" t="s">
        <v>74</v>
      </c>
      <c r="O316" s="20" t="s">
        <v>74</v>
      </c>
      <c r="P316" s="20" t="s">
        <v>74</v>
      </c>
      <c r="Q316" s="20"/>
      <c r="R316" s="20"/>
      <c r="S316" s="19"/>
      <c r="T316" s="20"/>
      <c r="U316" s="19"/>
      <c r="V316" s="22"/>
      <c r="W316" s="22"/>
      <c r="X316" s="20"/>
      <c r="AG316" s="25"/>
      <c r="AH316" s="20"/>
    </row>
    <row r="317" spans="1:34" x14ac:dyDescent="0.3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74</v>
      </c>
      <c r="K317" s="20" t="s">
        <v>74</v>
      </c>
      <c r="L317" s="20"/>
      <c r="M317" s="20"/>
      <c r="N317" s="20" t="s">
        <v>74</v>
      </c>
      <c r="O317" s="20" t="s">
        <v>74</v>
      </c>
      <c r="P317" s="20" t="s">
        <v>74</v>
      </c>
      <c r="Q317" s="20"/>
      <c r="R317" s="20"/>
      <c r="S317" s="19"/>
      <c r="T317" s="20"/>
      <c r="U317" s="19"/>
      <c r="V317" s="22"/>
      <c r="W317" s="22"/>
      <c r="X317" s="20"/>
      <c r="AG317" s="25"/>
      <c r="AH317" s="20"/>
    </row>
    <row r="318" spans="1:34" x14ac:dyDescent="0.3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74</v>
      </c>
      <c r="K318" s="20" t="s">
        <v>74</v>
      </c>
      <c r="L318" s="20"/>
      <c r="M318" s="20"/>
      <c r="N318" s="20" t="s">
        <v>74</v>
      </c>
      <c r="O318" s="20" t="s">
        <v>74</v>
      </c>
      <c r="P318" s="20" t="s">
        <v>74</v>
      </c>
      <c r="Q318" s="20"/>
      <c r="R318" s="20"/>
      <c r="S318" s="19"/>
      <c r="T318" s="20"/>
      <c r="U318" s="19"/>
      <c r="V318" s="22"/>
      <c r="W318" s="22"/>
      <c r="X318" s="20"/>
      <c r="AG318" s="25"/>
      <c r="AH318" s="20"/>
    </row>
    <row r="319" spans="1:34" x14ac:dyDescent="0.3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74</v>
      </c>
      <c r="K319" s="20" t="s">
        <v>74</v>
      </c>
      <c r="L319" s="20"/>
      <c r="M319" s="20"/>
      <c r="N319" s="20" t="s">
        <v>74</v>
      </c>
      <c r="O319" s="20" t="s">
        <v>74</v>
      </c>
      <c r="P319" s="20" t="s">
        <v>74</v>
      </c>
      <c r="Q319" s="20"/>
      <c r="R319" s="20"/>
      <c r="S319" s="19"/>
      <c r="T319" s="20"/>
      <c r="U319" s="19"/>
      <c r="V319" s="22"/>
      <c r="W319" s="22"/>
      <c r="X319" s="20"/>
      <c r="AG319" s="25"/>
      <c r="AH319" s="20"/>
    </row>
    <row r="320" spans="1:34" x14ac:dyDescent="0.3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74</v>
      </c>
      <c r="K320" s="20" t="s">
        <v>74</v>
      </c>
      <c r="L320" s="20"/>
      <c r="M320" s="20"/>
      <c r="N320" s="20" t="s">
        <v>74</v>
      </c>
      <c r="O320" s="20" t="s">
        <v>74</v>
      </c>
      <c r="P320" s="20" t="s">
        <v>74</v>
      </c>
      <c r="Q320" s="20"/>
      <c r="R320" s="20"/>
      <c r="S320" s="19"/>
      <c r="T320" s="20"/>
      <c r="U320" s="19"/>
      <c r="V320" s="22"/>
      <c r="W320" s="22"/>
      <c r="X320" s="20"/>
      <c r="AG320" s="25"/>
      <c r="AH320" s="20"/>
    </row>
    <row r="321" spans="1:34" x14ac:dyDescent="0.3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74</v>
      </c>
      <c r="K321" s="20" t="s">
        <v>74</v>
      </c>
      <c r="L321" s="20"/>
      <c r="M321" s="20"/>
      <c r="N321" s="20" t="s">
        <v>74</v>
      </c>
      <c r="O321" s="20" t="s">
        <v>74</v>
      </c>
      <c r="P321" s="20" t="s">
        <v>74</v>
      </c>
      <c r="Q321" s="20"/>
      <c r="R321" s="20"/>
      <c r="S321" s="19"/>
      <c r="T321" s="20"/>
      <c r="U321" s="19"/>
      <c r="V321" s="22"/>
      <c r="W321" s="22"/>
      <c r="X321" s="20"/>
      <c r="AG321" s="25"/>
      <c r="AH321" s="20"/>
    </row>
    <row r="322" spans="1:34" x14ac:dyDescent="0.3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74</v>
      </c>
      <c r="K322" s="20" t="s">
        <v>74</v>
      </c>
      <c r="L322" s="20"/>
      <c r="M322" s="20"/>
      <c r="N322" s="20" t="s">
        <v>74</v>
      </c>
      <c r="O322" s="20" t="s">
        <v>74</v>
      </c>
      <c r="P322" s="20" t="s">
        <v>74</v>
      </c>
      <c r="Q322" s="20"/>
      <c r="R322" s="20"/>
      <c r="S322" s="19"/>
      <c r="T322" s="20"/>
      <c r="U322" s="19"/>
      <c r="V322" s="22"/>
      <c r="W322" s="22"/>
      <c r="X322" s="20"/>
      <c r="AG322" s="25"/>
      <c r="AH322" s="20"/>
    </row>
    <row r="323" spans="1:34" x14ac:dyDescent="0.3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74</v>
      </c>
      <c r="K323" s="20" t="s">
        <v>74</v>
      </c>
      <c r="L323" s="20"/>
      <c r="M323" s="20"/>
      <c r="N323" s="20" t="s">
        <v>74</v>
      </c>
      <c r="O323" s="20" t="s">
        <v>74</v>
      </c>
      <c r="P323" s="20" t="s">
        <v>74</v>
      </c>
      <c r="Q323" s="20"/>
      <c r="R323" s="20"/>
      <c r="S323" s="19"/>
      <c r="T323" s="20"/>
      <c r="U323" s="19"/>
      <c r="V323" s="22"/>
      <c r="W323" s="22"/>
      <c r="X323" s="20"/>
      <c r="AG323" s="25"/>
      <c r="AH323" s="20"/>
    </row>
    <row r="324" spans="1:34" x14ac:dyDescent="0.3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74</v>
      </c>
      <c r="K324" s="20" t="s">
        <v>74</v>
      </c>
      <c r="L324" s="20"/>
      <c r="M324" s="20"/>
      <c r="N324" s="20" t="s">
        <v>74</v>
      </c>
      <c r="O324" s="20" t="s">
        <v>74</v>
      </c>
      <c r="P324" s="20" t="s">
        <v>74</v>
      </c>
      <c r="Q324" s="20"/>
      <c r="R324" s="20"/>
      <c r="S324" s="19"/>
      <c r="T324" s="20"/>
      <c r="U324" s="19"/>
      <c r="V324" s="22"/>
      <c r="W324" s="22"/>
      <c r="X324" s="20"/>
      <c r="AG324" s="25"/>
      <c r="AH324" s="20"/>
    </row>
    <row r="325" spans="1:34" x14ac:dyDescent="0.3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74</v>
      </c>
      <c r="K325" s="20" t="s">
        <v>74</v>
      </c>
      <c r="L325" s="20"/>
      <c r="M325" s="20"/>
      <c r="N325" s="20" t="s">
        <v>74</v>
      </c>
      <c r="O325" s="20" t="s">
        <v>74</v>
      </c>
      <c r="P325" s="20" t="s">
        <v>74</v>
      </c>
      <c r="Q325" s="20"/>
      <c r="R325" s="20"/>
      <c r="S325" s="19"/>
      <c r="T325" s="20"/>
      <c r="U325" s="19"/>
      <c r="V325" s="22"/>
      <c r="W325" s="22"/>
      <c r="X325" s="20"/>
      <c r="AG325" s="25"/>
      <c r="AH325" s="20"/>
    </row>
    <row r="326" spans="1:34" x14ac:dyDescent="0.3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74</v>
      </c>
      <c r="K326" s="20" t="s">
        <v>74</v>
      </c>
      <c r="L326" s="20"/>
      <c r="M326" s="20"/>
      <c r="N326" s="20" t="s">
        <v>74</v>
      </c>
      <c r="O326" s="20" t="s">
        <v>74</v>
      </c>
      <c r="P326" s="20" t="s">
        <v>74</v>
      </c>
      <c r="Q326" s="20"/>
      <c r="R326" s="20"/>
      <c r="S326" s="19"/>
      <c r="T326" s="20"/>
      <c r="U326" s="19"/>
      <c r="V326" s="22"/>
      <c r="W326" s="22"/>
      <c r="X326" s="20"/>
      <c r="AG326" s="25"/>
      <c r="AH326" s="20"/>
    </row>
    <row r="327" spans="1:34" x14ac:dyDescent="0.3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74</v>
      </c>
      <c r="K327" s="20" t="s">
        <v>74</v>
      </c>
      <c r="L327" s="20"/>
      <c r="M327" s="20"/>
      <c r="N327" s="20" t="s">
        <v>74</v>
      </c>
      <c r="O327" s="20" t="s">
        <v>74</v>
      </c>
      <c r="P327" s="20" t="s">
        <v>74</v>
      </c>
      <c r="Q327" s="20"/>
      <c r="R327" s="20"/>
      <c r="S327" s="19"/>
      <c r="T327" s="20"/>
      <c r="U327" s="19"/>
      <c r="V327" s="22"/>
      <c r="W327" s="22"/>
      <c r="X327" s="20"/>
      <c r="AG327" s="25"/>
      <c r="AH327" s="20"/>
    </row>
    <row r="328" spans="1:34" x14ac:dyDescent="0.3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74</v>
      </c>
      <c r="K328" s="20" t="s">
        <v>74</v>
      </c>
      <c r="L328" s="20"/>
      <c r="M328" s="20"/>
      <c r="N328" s="20" t="s">
        <v>74</v>
      </c>
      <c r="O328" s="20" t="s">
        <v>74</v>
      </c>
      <c r="P328" s="20" t="s">
        <v>74</v>
      </c>
      <c r="Q328" s="20"/>
      <c r="R328" s="20"/>
      <c r="S328" s="19"/>
      <c r="T328" s="20"/>
      <c r="U328" s="19"/>
      <c r="V328" s="22"/>
      <c r="W328" s="22"/>
      <c r="X328" s="20"/>
      <c r="AG328" s="25"/>
      <c r="AH328" s="20"/>
    </row>
    <row r="329" spans="1:34" x14ac:dyDescent="0.3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74</v>
      </c>
      <c r="K329" s="20" t="s">
        <v>74</v>
      </c>
      <c r="L329" s="20"/>
      <c r="M329" s="20"/>
      <c r="N329" s="20" t="s">
        <v>74</v>
      </c>
      <c r="O329" s="20" t="s">
        <v>74</v>
      </c>
      <c r="P329" s="20" t="s">
        <v>74</v>
      </c>
      <c r="Q329" s="20"/>
      <c r="R329" s="20"/>
      <c r="S329" s="19"/>
      <c r="T329" s="20"/>
      <c r="U329" s="19"/>
      <c r="V329" s="22"/>
      <c r="W329" s="22"/>
      <c r="X329" s="20"/>
      <c r="AG329" s="25"/>
      <c r="AH329" s="20"/>
    </row>
    <row r="330" spans="1:34" x14ac:dyDescent="0.3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74</v>
      </c>
      <c r="K330" s="20" t="s">
        <v>74</v>
      </c>
      <c r="L330" s="20"/>
      <c r="M330" s="20"/>
      <c r="N330" s="20" t="s">
        <v>74</v>
      </c>
      <c r="O330" s="20" t="s">
        <v>74</v>
      </c>
      <c r="P330" s="20" t="s">
        <v>74</v>
      </c>
      <c r="Q330" s="20"/>
      <c r="R330" s="20"/>
      <c r="S330" s="19"/>
      <c r="T330" s="20"/>
      <c r="U330" s="19"/>
      <c r="V330" s="22"/>
      <c r="W330" s="22"/>
      <c r="X330" s="20"/>
      <c r="AG330" s="25"/>
      <c r="AH330" s="20"/>
    </row>
    <row r="331" spans="1:34" x14ac:dyDescent="0.3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74</v>
      </c>
      <c r="K331" s="20" t="s">
        <v>74</v>
      </c>
      <c r="L331" s="20"/>
      <c r="M331" s="20"/>
      <c r="N331" s="20" t="s">
        <v>74</v>
      </c>
      <c r="O331" s="20" t="s">
        <v>74</v>
      </c>
      <c r="P331" s="20" t="s">
        <v>74</v>
      </c>
      <c r="Q331" s="20"/>
      <c r="R331" s="20"/>
      <c r="S331" s="19"/>
      <c r="T331" s="20"/>
      <c r="U331" s="19"/>
      <c r="V331" s="22"/>
      <c r="W331" s="22"/>
      <c r="X331" s="20"/>
      <c r="AG331" s="25"/>
      <c r="AH331" s="20"/>
    </row>
    <row r="332" spans="1:34" x14ac:dyDescent="0.3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74</v>
      </c>
      <c r="K332" s="20" t="s">
        <v>74</v>
      </c>
      <c r="L332" s="20"/>
      <c r="M332" s="20"/>
      <c r="N332" s="20" t="s">
        <v>74</v>
      </c>
      <c r="O332" s="20" t="s">
        <v>74</v>
      </c>
      <c r="P332" s="20" t="s">
        <v>74</v>
      </c>
      <c r="Q332" s="20"/>
      <c r="R332" s="20"/>
      <c r="S332" s="19"/>
      <c r="T332" s="20"/>
      <c r="U332" s="19"/>
      <c r="V332" s="22"/>
      <c r="W332" s="22"/>
      <c r="X332" s="20"/>
      <c r="AG332" s="25"/>
      <c r="AH332" s="20"/>
    </row>
    <row r="333" spans="1:34" x14ac:dyDescent="0.3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74</v>
      </c>
      <c r="K333" s="20" t="s">
        <v>74</v>
      </c>
      <c r="L333" s="20"/>
      <c r="M333" s="20"/>
      <c r="N333" s="20" t="s">
        <v>74</v>
      </c>
      <c r="O333" s="20" t="s">
        <v>74</v>
      </c>
      <c r="P333" s="20" t="s">
        <v>74</v>
      </c>
      <c r="Q333" s="20"/>
      <c r="R333" s="20"/>
      <c r="S333" s="19"/>
      <c r="T333" s="20"/>
      <c r="U333" s="19"/>
      <c r="V333" s="22"/>
      <c r="W333" s="22"/>
      <c r="X333" s="20"/>
      <c r="AG333" s="25"/>
      <c r="AH333" s="20"/>
    </row>
    <row r="334" spans="1:34" x14ac:dyDescent="0.3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74</v>
      </c>
      <c r="K334" s="20" t="s">
        <v>74</v>
      </c>
      <c r="L334" s="20"/>
      <c r="M334" s="20"/>
      <c r="N334" s="20" t="s">
        <v>74</v>
      </c>
      <c r="O334" s="20" t="s">
        <v>74</v>
      </c>
      <c r="P334" s="20" t="s">
        <v>74</v>
      </c>
      <c r="Q334" s="20"/>
      <c r="R334" s="20"/>
      <c r="S334" s="19"/>
      <c r="T334" s="20"/>
      <c r="U334" s="19"/>
      <c r="V334" s="22"/>
      <c r="W334" s="22"/>
      <c r="X334" s="20"/>
      <c r="AG334" s="25"/>
      <c r="AH334" s="20"/>
    </row>
    <row r="335" spans="1:34" x14ac:dyDescent="0.3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74</v>
      </c>
      <c r="K335" s="20" t="s">
        <v>74</v>
      </c>
      <c r="L335" s="20"/>
      <c r="M335" s="20"/>
      <c r="N335" s="20" t="s">
        <v>74</v>
      </c>
      <c r="O335" s="20" t="s">
        <v>74</v>
      </c>
      <c r="P335" s="20" t="s">
        <v>74</v>
      </c>
      <c r="Q335" s="20"/>
      <c r="R335" s="20"/>
      <c r="S335" s="19"/>
      <c r="T335" s="20"/>
      <c r="U335" s="19"/>
      <c r="V335" s="22"/>
      <c r="W335" s="22"/>
      <c r="X335" s="20"/>
      <c r="AG335" s="25"/>
      <c r="AH335" s="20"/>
    </row>
    <row r="336" spans="1:34" x14ac:dyDescent="0.3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74</v>
      </c>
      <c r="K336" s="20" t="s">
        <v>74</v>
      </c>
      <c r="L336" s="20"/>
      <c r="M336" s="20"/>
      <c r="N336" s="20" t="s">
        <v>74</v>
      </c>
      <c r="O336" s="20" t="s">
        <v>74</v>
      </c>
      <c r="P336" s="20" t="s">
        <v>74</v>
      </c>
      <c r="Q336" s="20"/>
      <c r="R336" s="20"/>
      <c r="S336" s="19"/>
      <c r="T336" s="20"/>
      <c r="U336" s="19"/>
      <c r="V336" s="22"/>
      <c r="W336" s="22"/>
      <c r="X336" s="20"/>
      <c r="AG336" s="25"/>
      <c r="AH336" s="20"/>
    </row>
    <row r="337" spans="1:34" x14ac:dyDescent="0.3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74</v>
      </c>
      <c r="K337" s="20" t="s">
        <v>74</v>
      </c>
      <c r="L337" s="20"/>
      <c r="M337" s="20"/>
      <c r="N337" s="20" t="s">
        <v>74</v>
      </c>
      <c r="O337" s="20" t="s">
        <v>74</v>
      </c>
      <c r="P337" s="20" t="s">
        <v>74</v>
      </c>
      <c r="Q337" s="20"/>
      <c r="R337" s="20"/>
      <c r="S337" s="19"/>
      <c r="T337" s="20"/>
      <c r="U337" s="19"/>
      <c r="V337" s="22"/>
      <c r="W337" s="22"/>
      <c r="X337" s="20"/>
      <c r="AG337" s="25"/>
      <c r="AH337" s="20"/>
    </row>
    <row r="338" spans="1:34" x14ac:dyDescent="0.3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74</v>
      </c>
      <c r="K338" s="20" t="s">
        <v>74</v>
      </c>
      <c r="L338" s="20"/>
      <c r="M338" s="20"/>
      <c r="N338" s="20" t="s">
        <v>74</v>
      </c>
      <c r="O338" s="20" t="s">
        <v>74</v>
      </c>
      <c r="P338" s="20" t="s">
        <v>74</v>
      </c>
      <c r="Q338" s="20"/>
      <c r="R338" s="20"/>
      <c r="S338" s="19"/>
      <c r="T338" s="20"/>
      <c r="U338" s="19"/>
      <c r="V338" s="22"/>
      <c r="W338" s="22"/>
      <c r="X338" s="20"/>
      <c r="AG338" s="25"/>
      <c r="AH338" s="20"/>
    </row>
    <row r="339" spans="1:34" x14ac:dyDescent="0.3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74</v>
      </c>
      <c r="K339" s="20" t="s">
        <v>74</v>
      </c>
      <c r="L339" s="20"/>
      <c r="M339" s="20"/>
      <c r="N339" s="20" t="s">
        <v>74</v>
      </c>
      <c r="O339" s="20" t="s">
        <v>74</v>
      </c>
      <c r="P339" s="20" t="s">
        <v>74</v>
      </c>
      <c r="Q339" s="20"/>
      <c r="R339" s="20"/>
      <c r="S339" s="19"/>
      <c r="T339" s="20"/>
      <c r="U339" s="19"/>
      <c r="V339" s="22"/>
      <c r="W339" s="22"/>
      <c r="X339" s="20"/>
      <c r="AG339" s="25"/>
      <c r="AH339" s="20"/>
    </row>
    <row r="340" spans="1:34" x14ac:dyDescent="0.3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74</v>
      </c>
      <c r="K340" s="20" t="s">
        <v>74</v>
      </c>
      <c r="L340" s="20"/>
      <c r="M340" s="20"/>
      <c r="N340" s="20" t="s">
        <v>74</v>
      </c>
      <c r="O340" s="20" t="s">
        <v>74</v>
      </c>
      <c r="P340" s="20" t="s">
        <v>74</v>
      </c>
      <c r="Q340" s="20"/>
      <c r="R340" s="20"/>
      <c r="S340" s="19"/>
      <c r="T340" s="20"/>
      <c r="U340" s="19"/>
      <c r="V340" s="22"/>
      <c r="W340" s="22"/>
      <c r="X340" s="20"/>
      <c r="AG340" s="25"/>
      <c r="AH340" s="20"/>
    </row>
    <row r="341" spans="1:34" x14ac:dyDescent="0.3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74</v>
      </c>
      <c r="K341" s="20" t="s">
        <v>74</v>
      </c>
      <c r="L341" s="20"/>
      <c r="M341" s="20"/>
      <c r="N341" s="20" t="s">
        <v>74</v>
      </c>
      <c r="O341" s="20" t="s">
        <v>74</v>
      </c>
      <c r="P341" s="20" t="s">
        <v>74</v>
      </c>
      <c r="Q341" s="20"/>
      <c r="R341" s="20"/>
      <c r="S341" s="19"/>
      <c r="T341" s="20"/>
      <c r="U341" s="19"/>
      <c r="V341" s="22"/>
      <c r="W341" s="22"/>
      <c r="X341" s="20"/>
      <c r="AG341" s="25"/>
      <c r="AH341" s="20"/>
    </row>
    <row r="342" spans="1:34" x14ac:dyDescent="0.3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74</v>
      </c>
      <c r="K342" s="20" t="s">
        <v>74</v>
      </c>
      <c r="L342" s="20"/>
      <c r="M342" s="20"/>
      <c r="N342" s="20" t="s">
        <v>74</v>
      </c>
      <c r="O342" s="20" t="s">
        <v>74</v>
      </c>
      <c r="P342" s="20" t="s">
        <v>74</v>
      </c>
      <c r="Q342" s="20"/>
      <c r="R342" s="20"/>
      <c r="S342" s="19"/>
      <c r="T342" s="20"/>
      <c r="U342" s="19"/>
      <c r="V342" s="22"/>
      <c r="W342" s="22"/>
      <c r="X342" s="20"/>
      <c r="AG342" s="25"/>
      <c r="AH342" s="20"/>
    </row>
    <row r="343" spans="1:34" x14ac:dyDescent="0.3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74</v>
      </c>
      <c r="K343" s="20" t="s">
        <v>74</v>
      </c>
      <c r="L343" s="20"/>
      <c r="M343" s="20"/>
      <c r="N343" s="20" t="s">
        <v>74</v>
      </c>
      <c r="O343" s="20" t="s">
        <v>74</v>
      </c>
      <c r="P343" s="20" t="s">
        <v>74</v>
      </c>
      <c r="Q343" s="20"/>
      <c r="R343" s="20"/>
      <c r="S343" s="19"/>
      <c r="T343" s="20"/>
      <c r="U343" s="19"/>
      <c r="V343" s="22"/>
      <c r="W343" s="22"/>
      <c r="X343" s="20"/>
      <c r="AG343" s="25"/>
      <c r="AH343" s="20"/>
    </row>
    <row r="344" spans="1:34" x14ac:dyDescent="0.3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74</v>
      </c>
      <c r="K344" s="20" t="s">
        <v>74</v>
      </c>
      <c r="L344" s="20"/>
      <c r="M344" s="20"/>
      <c r="N344" s="20" t="s">
        <v>74</v>
      </c>
      <c r="O344" s="20" t="s">
        <v>74</v>
      </c>
      <c r="P344" s="20" t="s">
        <v>74</v>
      </c>
      <c r="Q344" s="20"/>
      <c r="R344" s="20"/>
      <c r="S344" s="19"/>
      <c r="T344" s="20"/>
      <c r="U344" s="19"/>
      <c r="V344" s="22"/>
      <c r="W344" s="22"/>
      <c r="X344" s="20"/>
      <c r="AG344" s="25"/>
      <c r="AH344" s="20"/>
    </row>
    <row r="345" spans="1:34" x14ac:dyDescent="0.3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74</v>
      </c>
      <c r="K345" s="20" t="s">
        <v>74</v>
      </c>
      <c r="L345" s="20"/>
      <c r="M345" s="20"/>
      <c r="N345" s="20" t="s">
        <v>74</v>
      </c>
      <c r="O345" s="20" t="s">
        <v>74</v>
      </c>
      <c r="P345" s="20" t="s">
        <v>74</v>
      </c>
      <c r="Q345" s="20"/>
      <c r="R345" s="20"/>
      <c r="S345" s="19"/>
      <c r="T345" s="20"/>
      <c r="U345" s="19"/>
      <c r="V345" s="22"/>
      <c r="W345" s="22"/>
      <c r="X345" s="20"/>
      <c r="AG345" s="25"/>
      <c r="AH345" s="20"/>
    </row>
    <row r="346" spans="1:34" x14ac:dyDescent="0.3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74</v>
      </c>
      <c r="K346" s="20" t="s">
        <v>74</v>
      </c>
      <c r="L346" s="20"/>
      <c r="M346" s="20"/>
      <c r="N346" s="20" t="s">
        <v>74</v>
      </c>
      <c r="O346" s="20" t="s">
        <v>74</v>
      </c>
      <c r="P346" s="20" t="s">
        <v>74</v>
      </c>
      <c r="Q346" s="20"/>
      <c r="R346" s="20"/>
      <c r="S346" s="19"/>
      <c r="T346" s="20"/>
      <c r="U346" s="19"/>
      <c r="V346" s="22"/>
      <c r="W346" s="22"/>
      <c r="X346" s="20"/>
      <c r="AG346" s="25"/>
      <c r="AH346" s="20"/>
    </row>
    <row r="347" spans="1:34" x14ac:dyDescent="0.3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74</v>
      </c>
      <c r="K347" s="20" t="s">
        <v>74</v>
      </c>
      <c r="L347" s="20"/>
      <c r="M347" s="20"/>
      <c r="N347" s="20" t="s">
        <v>74</v>
      </c>
      <c r="O347" s="20" t="s">
        <v>74</v>
      </c>
      <c r="P347" s="20" t="s">
        <v>74</v>
      </c>
      <c r="Q347" s="20"/>
      <c r="R347" s="20"/>
      <c r="S347" s="19"/>
      <c r="T347" s="20"/>
      <c r="U347" s="19"/>
      <c r="V347" s="22"/>
      <c r="W347" s="22"/>
      <c r="X347" s="20"/>
      <c r="AG347" s="25"/>
      <c r="AH347" s="20"/>
    </row>
    <row r="348" spans="1:34" x14ac:dyDescent="0.3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74</v>
      </c>
      <c r="K348" s="20" t="s">
        <v>74</v>
      </c>
      <c r="L348" s="20"/>
      <c r="M348" s="20"/>
      <c r="N348" s="20" t="s">
        <v>74</v>
      </c>
      <c r="O348" s="20" t="s">
        <v>74</v>
      </c>
      <c r="P348" s="20" t="s">
        <v>74</v>
      </c>
      <c r="Q348" s="20"/>
      <c r="R348" s="20"/>
      <c r="S348" s="19"/>
      <c r="T348" s="20"/>
      <c r="U348" s="19"/>
      <c r="V348" s="22"/>
      <c r="W348" s="22"/>
      <c r="X348" s="20"/>
      <c r="AG348" s="25"/>
      <c r="AH348" s="20"/>
    </row>
    <row r="349" spans="1:34" x14ac:dyDescent="0.3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74</v>
      </c>
      <c r="K349" s="20" t="s">
        <v>74</v>
      </c>
      <c r="L349" s="20"/>
      <c r="M349" s="20"/>
      <c r="N349" s="20" t="s">
        <v>74</v>
      </c>
      <c r="O349" s="20" t="s">
        <v>74</v>
      </c>
      <c r="P349" s="20" t="s">
        <v>74</v>
      </c>
      <c r="Q349" s="20"/>
      <c r="R349" s="20"/>
      <c r="S349" s="19"/>
      <c r="T349" s="20"/>
      <c r="U349" s="19"/>
      <c r="V349" s="22"/>
      <c r="W349" s="22"/>
      <c r="X349" s="20"/>
      <c r="AG349" s="25"/>
      <c r="AH349" s="20"/>
    </row>
    <row r="350" spans="1:34" x14ac:dyDescent="0.3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74</v>
      </c>
      <c r="K350" s="20" t="s">
        <v>74</v>
      </c>
      <c r="L350" s="20"/>
      <c r="M350" s="20"/>
      <c r="N350" s="20" t="s">
        <v>74</v>
      </c>
      <c r="O350" s="20" t="s">
        <v>74</v>
      </c>
      <c r="P350" s="20" t="s">
        <v>74</v>
      </c>
      <c r="Q350" s="20"/>
      <c r="R350" s="20"/>
      <c r="S350" s="19"/>
      <c r="T350" s="20"/>
      <c r="U350" s="19"/>
      <c r="V350" s="22"/>
      <c r="W350" s="22"/>
      <c r="X350" s="20"/>
      <c r="AG350" s="25"/>
      <c r="AH350" s="20"/>
    </row>
    <row r="351" spans="1:34" x14ac:dyDescent="0.3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74</v>
      </c>
      <c r="K351" s="20" t="s">
        <v>74</v>
      </c>
      <c r="L351" s="20"/>
      <c r="M351" s="20"/>
      <c r="N351" s="20" t="s">
        <v>74</v>
      </c>
      <c r="O351" s="20" t="s">
        <v>74</v>
      </c>
      <c r="P351" s="20" t="s">
        <v>74</v>
      </c>
      <c r="Q351" s="20"/>
      <c r="R351" s="20"/>
      <c r="S351" s="19"/>
      <c r="T351" s="20"/>
      <c r="U351" s="19"/>
      <c r="V351" s="22"/>
      <c r="W351" s="22"/>
      <c r="X351" s="20"/>
      <c r="AG351" s="25"/>
      <c r="AH351" s="20"/>
    </row>
    <row r="352" spans="1:34" x14ac:dyDescent="0.3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74</v>
      </c>
      <c r="K352" s="20" t="s">
        <v>74</v>
      </c>
      <c r="L352" s="20"/>
      <c r="M352" s="20"/>
      <c r="N352" s="20" t="s">
        <v>74</v>
      </c>
      <c r="O352" s="20" t="s">
        <v>74</v>
      </c>
      <c r="P352" s="20" t="s">
        <v>74</v>
      </c>
      <c r="Q352" s="20"/>
      <c r="R352" s="20"/>
      <c r="S352" s="19"/>
      <c r="T352" s="20"/>
      <c r="U352" s="19"/>
      <c r="V352" s="22"/>
      <c r="W352" s="22"/>
      <c r="X352" s="20"/>
      <c r="AG352" s="25"/>
      <c r="AH352" s="20"/>
    </row>
    <row r="353" spans="1:34" x14ac:dyDescent="0.3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74</v>
      </c>
      <c r="K353" s="20" t="s">
        <v>74</v>
      </c>
      <c r="L353" s="20"/>
      <c r="M353" s="20"/>
      <c r="N353" s="20" t="s">
        <v>74</v>
      </c>
      <c r="O353" s="20" t="s">
        <v>74</v>
      </c>
      <c r="P353" s="20" t="s">
        <v>74</v>
      </c>
      <c r="Q353" s="20"/>
      <c r="R353" s="20"/>
      <c r="S353" s="19"/>
      <c r="T353" s="20"/>
      <c r="U353" s="19"/>
      <c r="V353" s="22"/>
      <c r="W353" s="22"/>
      <c r="X353" s="20"/>
      <c r="AG353" s="25"/>
      <c r="AH353" s="20"/>
    </row>
    <row r="354" spans="1:34" x14ac:dyDescent="0.3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74</v>
      </c>
      <c r="K354" s="20" t="s">
        <v>74</v>
      </c>
      <c r="L354" s="20"/>
      <c r="M354" s="20"/>
      <c r="N354" s="20" t="s">
        <v>74</v>
      </c>
      <c r="O354" s="20" t="s">
        <v>74</v>
      </c>
      <c r="P354" s="20" t="s">
        <v>74</v>
      </c>
      <c r="Q354" s="20"/>
      <c r="R354" s="20"/>
      <c r="S354" s="19"/>
      <c r="T354" s="20"/>
      <c r="U354" s="19"/>
      <c r="V354" s="22"/>
      <c r="W354" s="22"/>
      <c r="X354" s="20"/>
      <c r="AG354" s="25"/>
      <c r="AH354" s="20"/>
    </row>
    <row r="355" spans="1:34" x14ac:dyDescent="0.3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74</v>
      </c>
      <c r="K355" s="20" t="s">
        <v>74</v>
      </c>
      <c r="L355" s="20"/>
      <c r="M355" s="20"/>
      <c r="N355" s="20" t="s">
        <v>74</v>
      </c>
      <c r="O355" s="20" t="s">
        <v>74</v>
      </c>
      <c r="P355" s="20" t="s">
        <v>74</v>
      </c>
      <c r="Q355" s="20"/>
      <c r="R355" s="20"/>
      <c r="S355" s="19"/>
      <c r="T355" s="20"/>
      <c r="U355" s="19"/>
      <c r="V355" s="22"/>
      <c r="W355" s="22"/>
      <c r="X355" s="20"/>
      <c r="AG355" s="25"/>
      <c r="AH355" s="20"/>
    </row>
    <row r="356" spans="1:34" x14ac:dyDescent="0.35">
      <c r="A356" s="19"/>
      <c r="B356" s="20"/>
      <c r="C356" s="21"/>
      <c r="D356" s="19"/>
      <c r="E356" s="20"/>
      <c r="F356" s="19"/>
      <c r="G356" s="20"/>
      <c r="H356" s="19"/>
      <c r="I356" s="20"/>
      <c r="J356" s="20" t="s">
        <v>74</v>
      </c>
      <c r="K356" s="20" t="s">
        <v>74</v>
      </c>
      <c r="L356" s="20"/>
      <c r="M356" s="20"/>
      <c r="N356" s="20" t="s">
        <v>74</v>
      </c>
      <c r="O356" s="20" t="s">
        <v>74</v>
      </c>
      <c r="P356" s="20" t="s">
        <v>74</v>
      </c>
      <c r="Q356" s="20"/>
      <c r="R356" s="20"/>
      <c r="S356" s="19"/>
      <c r="T356" s="20"/>
      <c r="U356" s="19"/>
      <c r="V356" s="22"/>
      <c r="W356" s="22"/>
      <c r="X356" s="20"/>
      <c r="AG356" s="25"/>
      <c r="AH356" s="20"/>
    </row>
    <row r="357" spans="1:34" x14ac:dyDescent="0.35">
      <c r="A357" s="19"/>
      <c r="B357" s="20"/>
      <c r="C357" s="21"/>
      <c r="D357" s="19"/>
      <c r="E357" s="20"/>
      <c r="F357" s="19"/>
      <c r="G357" s="20"/>
      <c r="H357" s="19"/>
      <c r="I357" s="20"/>
      <c r="J357" s="20" t="s">
        <v>74</v>
      </c>
      <c r="K357" s="20" t="s">
        <v>74</v>
      </c>
      <c r="L357" s="20"/>
      <c r="M357" s="20"/>
      <c r="N357" s="20" t="s">
        <v>74</v>
      </c>
      <c r="O357" s="20" t="s">
        <v>74</v>
      </c>
      <c r="P357" s="20" t="s">
        <v>74</v>
      </c>
      <c r="Q357" s="20"/>
      <c r="R357" s="20"/>
      <c r="S357" s="19"/>
      <c r="T357" s="20"/>
      <c r="U357" s="19"/>
      <c r="V357" s="22"/>
      <c r="W357" s="22"/>
      <c r="X357" s="20"/>
      <c r="AG357" s="25"/>
      <c r="AH357" s="20"/>
    </row>
    <row r="358" spans="1:34" x14ac:dyDescent="0.35">
      <c r="A358" s="19"/>
      <c r="B358" s="20"/>
      <c r="C358" s="21"/>
      <c r="D358" s="19"/>
      <c r="E358" s="20"/>
      <c r="F358" s="19"/>
      <c r="G358" s="20"/>
      <c r="H358" s="19"/>
      <c r="I358" s="20"/>
      <c r="J358" s="20" t="s">
        <v>74</v>
      </c>
      <c r="K358" s="20" t="s">
        <v>74</v>
      </c>
      <c r="L358" s="20"/>
      <c r="M358" s="20"/>
      <c r="N358" s="20" t="s">
        <v>74</v>
      </c>
      <c r="O358" s="20" t="s">
        <v>74</v>
      </c>
      <c r="P358" s="20" t="s">
        <v>74</v>
      </c>
      <c r="Q358" s="20"/>
      <c r="R358" s="20"/>
      <c r="S358" s="19"/>
      <c r="T358" s="20"/>
      <c r="U358" s="19"/>
      <c r="V358" s="22"/>
      <c r="W358" s="22"/>
      <c r="X358" s="20"/>
      <c r="AG358" s="25"/>
      <c r="AH358" s="20"/>
    </row>
    <row r="359" spans="1:34" x14ac:dyDescent="0.35">
      <c r="A359" s="19"/>
      <c r="B359" s="20"/>
      <c r="C359" s="21"/>
      <c r="D359" s="19"/>
      <c r="E359" s="20"/>
      <c r="F359" s="19"/>
      <c r="G359" s="20"/>
      <c r="H359" s="19"/>
      <c r="I359" s="20"/>
      <c r="J359" s="20" t="s">
        <v>74</v>
      </c>
      <c r="K359" s="20" t="s">
        <v>74</v>
      </c>
      <c r="L359" s="20"/>
      <c r="M359" s="20"/>
      <c r="N359" s="20" t="s">
        <v>74</v>
      </c>
      <c r="O359" s="20" t="s">
        <v>74</v>
      </c>
      <c r="P359" s="20" t="s">
        <v>74</v>
      </c>
      <c r="Q359" s="20"/>
      <c r="R359" s="20"/>
      <c r="S359" s="19"/>
      <c r="T359" s="20"/>
      <c r="U359" s="19"/>
      <c r="V359" s="22"/>
      <c r="W359" s="22"/>
      <c r="X359" s="20"/>
      <c r="AG359" s="25"/>
      <c r="AH359" s="20"/>
    </row>
    <row r="360" spans="1:34" x14ac:dyDescent="0.35">
      <c r="A360" s="19"/>
      <c r="B360" s="20"/>
      <c r="C360" s="21"/>
      <c r="D360" s="19"/>
      <c r="E360" s="20"/>
      <c r="F360" s="19"/>
      <c r="G360" s="20"/>
      <c r="H360" s="19"/>
      <c r="I360" s="20"/>
      <c r="J360" s="20" t="s">
        <v>74</v>
      </c>
      <c r="K360" s="20" t="s">
        <v>74</v>
      </c>
      <c r="L360" s="20"/>
      <c r="M360" s="20"/>
      <c r="N360" s="20" t="s">
        <v>74</v>
      </c>
      <c r="O360" s="20" t="s">
        <v>74</v>
      </c>
      <c r="P360" s="20" t="s">
        <v>74</v>
      </c>
      <c r="Q360" s="20"/>
      <c r="R360" s="20"/>
      <c r="S360" s="19"/>
      <c r="T360" s="20"/>
      <c r="U360" s="19"/>
      <c r="V360" s="22"/>
      <c r="W360" s="22"/>
      <c r="X360" s="20"/>
      <c r="AG360" s="25"/>
      <c r="AH360" s="20"/>
    </row>
    <row r="361" spans="1:34" x14ac:dyDescent="0.35">
      <c r="A361" s="19"/>
      <c r="B361" s="20"/>
      <c r="C361" s="21"/>
      <c r="D361" s="19"/>
      <c r="E361" s="20"/>
      <c r="F361" s="19"/>
      <c r="G361" s="20"/>
      <c r="H361" s="19"/>
      <c r="I361" s="20"/>
      <c r="J361" s="20" t="s">
        <v>74</v>
      </c>
      <c r="K361" s="20" t="s">
        <v>74</v>
      </c>
      <c r="L361" s="20"/>
      <c r="M361" s="20"/>
      <c r="N361" s="20" t="s">
        <v>74</v>
      </c>
      <c r="O361" s="20" t="s">
        <v>74</v>
      </c>
      <c r="P361" s="20" t="s">
        <v>74</v>
      </c>
      <c r="Q361" s="20"/>
      <c r="R361" s="20"/>
      <c r="S361" s="19"/>
      <c r="T361" s="20"/>
      <c r="U361" s="19"/>
      <c r="V361" s="22"/>
      <c r="W361" s="22"/>
      <c r="X361" s="20"/>
      <c r="AG361" s="25"/>
      <c r="AH361" s="20"/>
    </row>
    <row r="362" spans="1:34" x14ac:dyDescent="0.35">
      <c r="A362" s="19"/>
      <c r="B362" s="20"/>
      <c r="C362" s="21"/>
      <c r="D362" s="19"/>
      <c r="E362" s="20"/>
      <c r="F362" s="19"/>
      <c r="G362" s="20"/>
      <c r="H362" s="19"/>
      <c r="I362" s="20"/>
      <c r="J362" s="20" t="s">
        <v>74</v>
      </c>
      <c r="K362" s="20" t="s">
        <v>74</v>
      </c>
      <c r="L362" s="20"/>
      <c r="M362" s="20"/>
      <c r="N362" s="20" t="s">
        <v>74</v>
      </c>
      <c r="O362" s="20" t="s">
        <v>74</v>
      </c>
      <c r="P362" s="20" t="s">
        <v>74</v>
      </c>
      <c r="Q362" s="20"/>
      <c r="R362" s="20"/>
      <c r="S362" s="19"/>
      <c r="T362" s="20"/>
      <c r="U362" s="19"/>
      <c r="V362" s="22"/>
      <c r="W362" s="22"/>
      <c r="X362" s="20"/>
      <c r="AG362" s="25"/>
      <c r="AH362" s="20"/>
    </row>
    <row r="363" spans="1:34" x14ac:dyDescent="0.35">
      <c r="A363" s="19"/>
      <c r="B363" s="20"/>
      <c r="C363" s="21"/>
      <c r="D363" s="19"/>
      <c r="E363" s="20"/>
      <c r="F363" s="19"/>
      <c r="G363" s="20"/>
      <c r="H363" s="19"/>
      <c r="I363" s="20"/>
      <c r="J363" s="20" t="s">
        <v>74</v>
      </c>
      <c r="K363" s="20" t="s">
        <v>74</v>
      </c>
      <c r="L363" s="20"/>
      <c r="M363" s="20"/>
      <c r="N363" s="20" t="s">
        <v>74</v>
      </c>
      <c r="O363" s="20" t="s">
        <v>74</v>
      </c>
      <c r="P363" s="20" t="s">
        <v>74</v>
      </c>
      <c r="Q363" s="20"/>
      <c r="R363" s="20"/>
      <c r="S363" s="19"/>
      <c r="T363" s="20"/>
      <c r="U363" s="19"/>
      <c r="V363" s="22"/>
      <c r="W363" s="22"/>
      <c r="X363" s="20"/>
      <c r="AG363" s="25"/>
      <c r="AH363" s="20"/>
    </row>
    <row r="364" spans="1:34" x14ac:dyDescent="0.35">
      <c r="A364" s="19"/>
      <c r="B364" s="20"/>
      <c r="C364" s="21"/>
      <c r="D364" s="19"/>
      <c r="E364" s="20"/>
      <c r="F364" s="19"/>
      <c r="G364" s="20"/>
      <c r="H364" s="19"/>
      <c r="I364" s="20"/>
      <c r="J364" s="20" t="s">
        <v>74</v>
      </c>
      <c r="K364" s="20" t="s">
        <v>74</v>
      </c>
      <c r="L364" s="20"/>
      <c r="M364" s="20"/>
      <c r="N364" s="20" t="s">
        <v>74</v>
      </c>
      <c r="O364" s="20" t="s">
        <v>74</v>
      </c>
      <c r="P364" s="20" t="s">
        <v>74</v>
      </c>
      <c r="Q364" s="20"/>
      <c r="R364" s="20"/>
      <c r="S364" s="19"/>
      <c r="T364" s="20"/>
      <c r="U364" s="19"/>
      <c r="V364" s="22"/>
      <c r="W364" s="22"/>
      <c r="X364" s="20"/>
      <c r="AG364" s="25"/>
      <c r="AH364" s="20"/>
    </row>
    <row r="365" spans="1:34" x14ac:dyDescent="0.35">
      <c r="A365" s="19"/>
      <c r="B365" s="20"/>
      <c r="C365" s="21"/>
      <c r="D365" s="19"/>
      <c r="E365" s="20"/>
      <c r="F365" s="19"/>
      <c r="G365" s="20"/>
      <c r="H365" s="19"/>
      <c r="I365" s="20"/>
      <c r="J365" s="20" t="s">
        <v>74</v>
      </c>
      <c r="K365" s="20" t="s">
        <v>74</v>
      </c>
      <c r="L365" s="20"/>
      <c r="M365" s="20"/>
      <c r="N365" s="20" t="s">
        <v>74</v>
      </c>
      <c r="O365" s="20" t="s">
        <v>74</v>
      </c>
      <c r="P365" s="20" t="s">
        <v>74</v>
      </c>
      <c r="Q365" s="20"/>
      <c r="R365" s="20"/>
      <c r="S365" s="19"/>
      <c r="T365" s="20"/>
      <c r="U365" s="19"/>
      <c r="V365" s="22"/>
      <c r="W365" s="22"/>
      <c r="X365" s="20"/>
      <c r="AG365" s="25"/>
      <c r="AH365" s="20"/>
    </row>
    <row r="366" spans="1:34" x14ac:dyDescent="0.35">
      <c r="A366" s="19"/>
      <c r="B366" s="20"/>
      <c r="C366" s="21"/>
      <c r="D366" s="19"/>
      <c r="E366" s="20"/>
      <c r="F366" s="19"/>
      <c r="G366" s="20"/>
      <c r="H366" s="19"/>
      <c r="I366" s="20"/>
      <c r="J366" s="20" t="s">
        <v>74</v>
      </c>
      <c r="K366" s="20" t="s">
        <v>74</v>
      </c>
      <c r="L366" s="20"/>
      <c r="M366" s="20"/>
      <c r="N366" s="20" t="s">
        <v>74</v>
      </c>
      <c r="O366" s="20" t="s">
        <v>74</v>
      </c>
      <c r="P366" s="20" t="s">
        <v>74</v>
      </c>
      <c r="Q366" s="20"/>
      <c r="R366" s="20"/>
      <c r="S366" s="19"/>
      <c r="T366" s="20"/>
      <c r="U366" s="19"/>
      <c r="V366" s="22"/>
      <c r="W366" s="22"/>
      <c r="X366" s="20"/>
      <c r="AG366" s="25"/>
      <c r="AH366" s="20"/>
    </row>
    <row r="367" spans="1:34" x14ac:dyDescent="0.35">
      <c r="A367" s="19"/>
      <c r="B367" s="20"/>
      <c r="C367" s="21"/>
      <c r="D367" s="19"/>
      <c r="E367" s="20"/>
      <c r="F367" s="19"/>
      <c r="G367" s="20"/>
      <c r="H367" s="19"/>
      <c r="I367" s="20"/>
      <c r="J367" s="20" t="s">
        <v>74</v>
      </c>
      <c r="K367" s="20" t="s">
        <v>74</v>
      </c>
      <c r="L367" s="20"/>
      <c r="M367" s="20"/>
      <c r="N367" s="20" t="s">
        <v>74</v>
      </c>
      <c r="O367" s="20" t="s">
        <v>74</v>
      </c>
      <c r="P367" s="20" t="s">
        <v>74</v>
      </c>
      <c r="Q367" s="20"/>
      <c r="R367" s="20"/>
      <c r="S367" s="19"/>
      <c r="T367" s="20"/>
      <c r="U367" s="19"/>
      <c r="V367" s="22"/>
      <c r="W367" s="22"/>
      <c r="X367" s="20"/>
      <c r="AG367" s="25"/>
      <c r="AH367" s="20"/>
    </row>
    <row r="368" spans="1:34" x14ac:dyDescent="0.35">
      <c r="A368" s="19"/>
      <c r="B368" s="20"/>
      <c r="C368" s="21"/>
      <c r="D368" s="19"/>
      <c r="E368" s="20"/>
      <c r="F368" s="19"/>
      <c r="G368" s="20"/>
      <c r="H368" s="19"/>
      <c r="I368" s="20"/>
      <c r="J368" s="20" t="s">
        <v>74</v>
      </c>
      <c r="K368" s="20" t="s">
        <v>74</v>
      </c>
      <c r="L368" s="20"/>
      <c r="M368" s="20"/>
      <c r="N368" s="20" t="s">
        <v>74</v>
      </c>
      <c r="O368" s="20" t="s">
        <v>74</v>
      </c>
      <c r="P368" s="20" t="s">
        <v>74</v>
      </c>
      <c r="Q368" s="20"/>
      <c r="R368" s="20"/>
      <c r="S368" s="19"/>
      <c r="T368" s="20"/>
      <c r="U368" s="19"/>
      <c r="V368" s="22"/>
      <c r="W368" s="22"/>
      <c r="X368" s="20"/>
      <c r="AG368" s="25"/>
      <c r="AH368" s="20"/>
    </row>
    <row r="369" spans="1:34" x14ac:dyDescent="0.35">
      <c r="A369" s="19"/>
      <c r="B369" s="20"/>
      <c r="C369" s="21"/>
      <c r="D369" s="19"/>
      <c r="E369" s="20"/>
      <c r="F369" s="19"/>
      <c r="G369" s="20"/>
      <c r="H369" s="19"/>
      <c r="I369" s="20"/>
      <c r="J369" s="20" t="s">
        <v>74</v>
      </c>
      <c r="K369" s="20" t="s">
        <v>74</v>
      </c>
      <c r="L369" s="20"/>
      <c r="M369" s="20"/>
      <c r="N369" s="20" t="s">
        <v>74</v>
      </c>
      <c r="O369" s="20" t="s">
        <v>74</v>
      </c>
      <c r="P369" s="20" t="s">
        <v>74</v>
      </c>
      <c r="Q369" s="20"/>
      <c r="R369" s="20"/>
      <c r="S369" s="19"/>
      <c r="T369" s="20"/>
      <c r="U369" s="19"/>
      <c r="V369" s="22"/>
      <c r="W369" s="22"/>
      <c r="X369" s="20"/>
      <c r="AG369" s="25"/>
      <c r="AH369" s="20"/>
    </row>
    <row r="370" spans="1:34" x14ac:dyDescent="0.35">
      <c r="A370" s="19"/>
      <c r="B370" s="20"/>
      <c r="C370" s="21"/>
      <c r="D370" s="19"/>
      <c r="E370" s="20"/>
      <c r="F370" s="19"/>
      <c r="G370" s="20"/>
      <c r="H370" s="19"/>
      <c r="I370" s="20"/>
      <c r="J370" s="20" t="s">
        <v>74</v>
      </c>
      <c r="K370" s="20" t="s">
        <v>74</v>
      </c>
      <c r="L370" s="20"/>
      <c r="M370" s="20"/>
      <c r="N370" s="20" t="s">
        <v>74</v>
      </c>
      <c r="O370" s="20" t="s">
        <v>74</v>
      </c>
      <c r="P370" s="20" t="s">
        <v>74</v>
      </c>
      <c r="Q370" s="20"/>
      <c r="R370" s="20"/>
      <c r="S370" s="19"/>
      <c r="T370" s="20"/>
      <c r="U370" s="19"/>
      <c r="V370" s="22"/>
      <c r="W370" s="22"/>
      <c r="X370" s="20"/>
      <c r="AG370" s="25"/>
      <c r="AH370" s="20"/>
    </row>
    <row r="371" spans="1:34" x14ac:dyDescent="0.35">
      <c r="A371" s="19"/>
      <c r="B371" s="20"/>
      <c r="C371" s="21"/>
      <c r="D371" s="19"/>
      <c r="E371" s="20"/>
      <c r="F371" s="19"/>
      <c r="G371" s="20"/>
      <c r="H371" s="19"/>
      <c r="I371" s="20"/>
      <c r="J371" s="20" t="s">
        <v>74</v>
      </c>
      <c r="K371" s="20" t="s">
        <v>74</v>
      </c>
      <c r="L371" s="20"/>
      <c r="M371" s="20"/>
      <c r="N371" s="20" t="s">
        <v>74</v>
      </c>
      <c r="O371" s="20" t="s">
        <v>74</v>
      </c>
      <c r="P371" s="20" t="s">
        <v>74</v>
      </c>
      <c r="Q371" s="20"/>
      <c r="R371" s="20"/>
      <c r="S371" s="19"/>
      <c r="T371" s="20"/>
      <c r="U371" s="19"/>
      <c r="V371" s="22"/>
      <c r="W371" s="22"/>
      <c r="X371" s="20"/>
      <c r="AG371" s="25"/>
      <c r="AH371" s="20"/>
    </row>
    <row r="372" spans="1:34" x14ac:dyDescent="0.35">
      <c r="A372" s="19"/>
      <c r="B372" s="20"/>
      <c r="C372" s="21"/>
      <c r="D372" s="19"/>
      <c r="E372" s="20"/>
      <c r="F372" s="19"/>
      <c r="G372" s="20"/>
      <c r="H372" s="19"/>
      <c r="I372" s="20"/>
      <c r="J372" s="20" t="s">
        <v>74</v>
      </c>
      <c r="K372" s="20" t="s">
        <v>74</v>
      </c>
      <c r="L372" s="20"/>
      <c r="M372" s="20"/>
      <c r="N372" s="20" t="s">
        <v>74</v>
      </c>
      <c r="O372" s="20" t="s">
        <v>74</v>
      </c>
      <c r="P372" s="20" t="s">
        <v>74</v>
      </c>
      <c r="Q372" s="20"/>
      <c r="R372" s="20"/>
      <c r="S372" s="19"/>
      <c r="T372" s="20"/>
      <c r="U372" s="19"/>
      <c r="V372" s="22"/>
      <c r="W372" s="22"/>
      <c r="X372" s="20"/>
      <c r="AG372" s="25"/>
      <c r="AH372" s="20"/>
    </row>
    <row r="373" spans="1:34" x14ac:dyDescent="0.35">
      <c r="A373" s="19"/>
      <c r="B373" s="20"/>
      <c r="C373" s="21"/>
      <c r="D373" s="19"/>
      <c r="E373" s="20"/>
      <c r="F373" s="19"/>
      <c r="G373" s="20"/>
      <c r="H373" s="19"/>
      <c r="I373" s="20"/>
      <c r="J373" s="20" t="s">
        <v>74</v>
      </c>
      <c r="K373" s="20" t="s">
        <v>74</v>
      </c>
      <c r="L373" s="20"/>
      <c r="M373" s="20"/>
      <c r="N373" s="20" t="s">
        <v>74</v>
      </c>
      <c r="O373" s="20" t="s">
        <v>74</v>
      </c>
      <c r="P373" s="20" t="s">
        <v>74</v>
      </c>
      <c r="Q373" s="20"/>
      <c r="R373" s="20"/>
      <c r="S373" s="19"/>
      <c r="T373" s="20"/>
      <c r="U373" s="19"/>
      <c r="V373" s="22"/>
      <c r="W373" s="22"/>
      <c r="X373" s="20"/>
      <c r="AG373" s="25"/>
      <c r="AH373" s="20"/>
    </row>
    <row r="374" spans="1:34" x14ac:dyDescent="0.35">
      <c r="A374" s="19"/>
      <c r="B374" s="20"/>
      <c r="C374" s="21"/>
      <c r="D374" s="19"/>
      <c r="E374" s="20"/>
      <c r="F374" s="19"/>
      <c r="G374" s="20"/>
      <c r="H374" s="19"/>
      <c r="I374" s="20"/>
      <c r="J374" s="20" t="s">
        <v>74</v>
      </c>
      <c r="K374" s="20" t="s">
        <v>74</v>
      </c>
      <c r="L374" s="20"/>
      <c r="M374" s="20"/>
      <c r="N374" s="20" t="s">
        <v>74</v>
      </c>
      <c r="O374" s="20" t="s">
        <v>74</v>
      </c>
      <c r="P374" s="20" t="s">
        <v>74</v>
      </c>
      <c r="Q374" s="20"/>
      <c r="R374" s="20"/>
      <c r="S374" s="19"/>
      <c r="T374" s="20"/>
      <c r="U374" s="19"/>
      <c r="V374" s="22"/>
      <c r="W374" s="22"/>
      <c r="X374" s="20"/>
      <c r="AG374" s="25"/>
      <c r="AH374" s="20"/>
    </row>
    <row r="375" spans="1:34" x14ac:dyDescent="0.35">
      <c r="A375" s="19"/>
      <c r="B375" s="20"/>
      <c r="C375" s="21"/>
      <c r="D375" s="19"/>
      <c r="E375" s="20"/>
      <c r="F375" s="19"/>
      <c r="G375" s="20"/>
      <c r="H375" s="19"/>
      <c r="I375" s="20"/>
      <c r="J375" s="20" t="s">
        <v>74</v>
      </c>
      <c r="K375" s="20" t="s">
        <v>74</v>
      </c>
      <c r="L375" s="20"/>
      <c r="M375" s="20"/>
      <c r="N375" s="20" t="s">
        <v>74</v>
      </c>
      <c r="O375" s="20" t="s">
        <v>74</v>
      </c>
      <c r="P375" s="20" t="s">
        <v>74</v>
      </c>
      <c r="Q375" s="20"/>
      <c r="R375" s="20"/>
      <c r="S375" s="19"/>
      <c r="T375" s="20"/>
      <c r="U375" s="19"/>
      <c r="V375" s="22"/>
      <c r="W375" s="22"/>
      <c r="X375" s="20"/>
      <c r="AG375" s="25"/>
      <c r="AH375" s="20"/>
    </row>
    <row r="376" spans="1:34" x14ac:dyDescent="0.35">
      <c r="A376" s="19"/>
      <c r="B376" s="20"/>
      <c r="C376" s="21"/>
      <c r="D376" s="19"/>
      <c r="E376" s="20"/>
      <c r="F376" s="19"/>
      <c r="G376" s="20"/>
      <c r="H376" s="19"/>
      <c r="I376" s="20"/>
      <c r="J376" s="20" t="s">
        <v>74</v>
      </c>
      <c r="K376" s="20" t="s">
        <v>74</v>
      </c>
      <c r="L376" s="20"/>
      <c r="M376" s="20"/>
      <c r="N376" s="20" t="s">
        <v>74</v>
      </c>
      <c r="O376" s="20" t="s">
        <v>74</v>
      </c>
      <c r="P376" s="20" t="s">
        <v>74</v>
      </c>
      <c r="Q376" s="20"/>
      <c r="R376" s="20"/>
      <c r="S376" s="19"/>
      <c r="T376" s="20"/>
      <c r="U376" s="19"/>
      <c r="V376" s="22"/>
      <c r="W376" s="22"/>
      <c r="X376" s="20"/>
      <c r="AG376" s="25"/>
      <c r="AH376" s="20"/>
    </row>
    <row r="377" spans="1:34" x14ac:dyDescent="0.35">
      <c r="A377" s="19"/>
      <c r="B377" s="20"/>
      <c r="C377" s="21"/>
      <c r="D377" s="19"/>
      <c r="E377" s="20"/>
      <c r="F377" s="19"/>
      <c r="G377" s="20"/>
      <c r="H377" s="19"/>
      <c r="I377" s="20"/>
      <c r="J377" s="20" t="s">
        <v>74</v>
      </c>
      <c r="K377" s="20" t="s">
        <v>74</v>
      </c>
      <c r="L377" s="20"/>
      <c r="M377" s="20"/>
      <c r="N377" s="20" t="s">
        <v>74</v>
      </c>
      <c r="O377" s="20" t="s">
        <v>74</v>
      </c>
      <c r="P377" s="20" t="s">
        <v>74</v>
      </c>
      <c r="Q377" s="20"/>
      <c r="R377" s="20"/>
      <c r="S377" s="19"/>
      <c r="T377" s="20"/>
      <c r="U377" s="19"/>
      <c r="V377" s="22"/>
      <c r="W377" s="22"/>
      <c r="X377" s="20"/>
      <c r="AG377" s="25"/>
      <c r="AH377" s="20"/>
    </row>
    <row r="378" spans="1:34" x14ac:dyDescent="0.35">
      <c r="A378" s="19"/>
      <c r="B378" s="20"/>
      <c r="C378" s="21"/>
      <c r="D378" s="19"/>
      <c r="E378" s="20"/>
      <c r="F378" s="19"/>
      <c r="G378" s="20"/>
      <c r="H378" s="19"/>
      <c r="I378" s="20"/>
      <c r="J378" s="20" t="s">
        <v>74</v>
      </c>
      <c r="K378" s="20" t="s">
        <v>74</v>
      </c>
      <c r="L378" s="20"/>
      <c r="M378" s="20"/>
      <c r="N378" s="20" t="s">
        <v>74</v>
      </c>
      <c r="O378" s="20" t="s">
        <v>74</v>
      </c>
      <c r="P378" s="20" t="s">
        <v>74</v>
      </c>
      <c r="Q378" s="20"/>
      <c r="R378" s="20"/>
      <c r="S378" s="19"/>
      <c r="T378" s="20"/>
      <c r="U378" s="19"/>
      <c r="V378" s="22"/>
      <c r="W378" s="22"/>
      <c r="X378" s="20"/>
      <c r="AG378" s="25"/>
      <c r="AH378" s="20"/>
    </row>
    <row r="379" spans="1:34" x14ac:dyDescent="0.35">
      <c r="A379" s="19"/>
      <c r="B379" s="20"/>
      <c r="C379" s="21"/>
      <c r="D379" s="19"/>
      <c r="E379" s="20"/>
      <c r="F379" s="19"/>
      <c r="G379" s="20"/>
      <c r="H379" s="19"/>
      <c r="I379" s="20"/>
      <c r="J379" s="20" t="s">
        <v>74</v>
      </c>
      <c r="K379" s="20" t="s">
        <v>74</v>
      </c>
      <c r="L379" s="20"/>
      <c r="M379" s="20"/>
      <c r="N379" s="20" t="s">
        <v>74</v>
      </c>
      <c r="O379" s="20" t="s">
        <v>74</v>
      </c>
      <c r="P379" s="20" t="s">
        <v>74</v>
      </c>
      <c r="Q379" s="20"/>
      <c r="R379" s="20"/>
      <c r="S379" s="19"/>
      <c r="T379" s="20"/>
      <c r="U379" s="19"/>
      <c r="V379" s="22"/>
      <c r="W379" s="22"/>
      <c r="X379" s="20"/>
      <c r="AG379" s="25"/>
      <c r="AH379" s="20"/>
    </row>
    <row r="380" spans="1:34" x14ac:dyDescent="0.35">
      <c r="A380" s="19"/>
      <c r="B380" s="20"/>
      <c r="C380" s="21"/>
      <c r="D380" s="19"/>
      <c r="E380" s="20"/>
      <c r="F380" s="19"/>
      <c r="G380" s="20"/>
      <c r="H380" s="19"/>
      <c r="I380" s="20"/>
      <c r="J380" s="20" t="s">
        <v>74</v>
      </c>
      <c r="K380" s="20" t="s">
        <v>74</v>
      </c>
      <c r="L380" s="20"/>
      <c r="M380" s="20"/>
      <c r="N380" s="20" t="s">
        <v>74</v>
      </c>
      <c r="O380" s="20" t="s">
        <v>74</v>
      </c>
      <c r="P380" s="20" t="s">
        <v>74</v>
      </c>
      <c r="Q380" s="20"/>
      <c r="R380" s="20"/>
      <c r="S380" s="19"/>
      <c r="T380" s="20"/>
      <c r="U380" s="19"/>
      <c r="V380" s="22"/>
      <c r="W380" s="22"/>
      <c r="X380" s="20"/>
      <c r="AG380" s="25"/>
      <c r="AH380" s="20"/>
    </row>
    <row r="381" spans="1:34" x14ac:dyDescent="0.35">
      <c r="A381" s="19"/>
      <c r="B381" s="20"/>
      <c r="C381" s="21"/>
      <c r="D381" s="19"/>
      <c r="E381" s="20"/>
      <c r="F381" s="19"/>
      <c r="G381" s="20"/>
      <c r="H381" s="19"/>
      <c r="I381" s="20"/>
      <c r="J381" s="20" t="s">
        <v>74</v>
      </c>
      <c r="K381" s="20" t="s">
        <v>74</v>
      </c>
      <c r="L381" s="20"/>
      <c r="M381" s="20"/>
      <c r="N381" s="20" t="s">
        <v>74</v>
      </c>
      <c r="O381" s="20" t="s">
        <v>74</v>
      </c>
      <c r="P381" s="20" t="s">
        <v>74</v>
      </c>
      <c r="Q381" s="20"/>
      <c r="R381" s="20"/>
      <c r="S381" s="19"/>
      <c r="T381" s="20"/>
      <c r="U381" s="19"/>
      <c r="V381" s="22"/>
      <c r="W381" s="22"/>
      <c r="X381" s="20"/>
      <c r="AG381" s="25"/>
      <c r="AH381" s="20"/>
    </row>
    <row r="382" spans="1:34" x14ac:dyDescent="0.35">
      <c r="A382" s="19"/>
      <c r="B382" s="20"/>
      <c r="C382" s="21"/>
      <c r="D382" s="19"/>
      <c r="E382" s="20"/>
      <c r="F382" s="19"/>
      <c r="G382" s="20"/>
      <c r="H382" s="19"/>
      <c r="I382" s="20"/>
      <c r="J382" s="20" t="s">
        <v>74</v>
      </c>
      <c r="K382" s="20" t="s">
        <v>74</v>
      </c>
      <c r="L382" s="20"/>
      <c r="M382" s="20"/>
      <c r="N382" s="20" t="s">
        <v>74</v>
      </c>
      <c r="O382" s="20" t="s">
        <v>74</v>
      </c>
      <c r="P382" s="20" t="s">
        <v>74</v>
      </c>
      <c r="Q382" s="20"/>
      <c r="R382" s="20"/>
      <c r="S382" s="19"/>
      <c r="T382" s="20"/>
      <c r="U382" s="19"/>
      <c r="V382" s="22"/>
      <c r="W382" s="22"/>
      <c r="X382" s="20"/>
      <c r="AG382" s="25"/>
      <c r="AH382" s="20"/>
    </row>
    <row r="383" spans="1:34" x14ac:dyDescent="0.35">
      <c r="A383" s="19"/>
      <c r="B383" s="20"/>
      <c r="C383" s="21"/>
      <c r="D383" s="19"/>
      <c r="E383" s="20"/>
      <c r="F383" s="19"/>
      <c r="G383" s="20"/>
      <c r="H383" s="19"/>
      <c r="I383" s="20"/>
      <c r="J383" s="20" t="s">
        <v>74</v>
      </c>
      <c r="K383" s="20" t="s">
        <v>74</v>
      </c>
      <c r="L383" s="20"/>
      <c r="M383" s="20"/>
      <c r="N383" s="20" t="s">
        <v>74</v>
      </c>
      <c r="O383" s="20" t="s">
        <v>74</v>
      </c>
      <c r="P383" s="20" t="s">
        <v>74</v>
      </c>
      <c r="Q383" s="20"/>
      <c r="R383" s="20"/>
      <c r="S383" s="19"/>
      <c r="T383" s="20"/>
      <c r="U383" s="19"/>
      <c r="V383" s="22"/>
      <c r="W383" s="22"/>
      <c r="X383" s="20"/>
      <c r="AG383" s="25"/>
      <c r="AH383" s="20"/>
    </row>
    <row r="384" spans="1:34" x14ac:dyDescent="0.35">
      <c r="A384" s="19"/>
      <c r="B384" s="20"/>
      <c r="C384" s="21"/>
      <c r="D384" s="19"/>
      <c r="E384" s="20"/>
      <c r="F384" s="19"/>
      <c r="G384" s="20"/>
      <c r="H384" s="19"/>
      <c r="I384" s="20"/>
      <c r="J384" s="20" t="s">
        <v>74</v>
      </c>
      <c r="K384" s="20" t="s">
        <v>74</v>
      </c>
      <c r="L384" s="20"/>
      <c r="M384" s="20"/>
      <c r="N384" s="20" t="s">
        <v>74</v>
      </c>
      <c r="O384" s="20" t="s">
        <v>74</v>
      </c>
      <c r="P384" s="20" t="s">
        <v>74</v>
      </c>
      <c r="Q384" s="20"/>
      <c r="R384" s="20"/>
      <c r="S384" s="19"/>
      <c r="T384" s="20"/>
      <c r="U384" s="19"/>
      <c r="V384" s="22"/>
      <c r="W384" s="22"/>
      <c r="X384" s="20"/>
      <c r="AG384" s="25"/>
      <c r="AH384" s="20"/>
    </row>
    <row r="385" spans="1:34" x14ac:dyDescent="0.35">
      <c r="A385" s="19"/>
      <c r="B385" s="20"/>
      <c r="C385" s="21"/>
      <c r="D385" s="19"/>
      <c r="E385" s="20"/>
      <c r="F385" s="19"/>
      <c r="G385" s="20"/>
      <c r="H385" s="19"/>
      <c r="I385" s="20"/>
      <c r="J385" s="20" t="s">
        <v>74</v>
      </c>
      <c r="K385" s="20" t="s">
        <v>74</v>
      </c>
      <c r="L385" s="20"/>
      <c r="M385" s="20"/>
      <c r="N385" s="20" t="s">
        <v>74</v>
      </c>
      <c r="O385" s="20" t="s">
        <v>74</v>
      </c>
      <c r="P385" s="20" t="s">
        <v>74</v>
      </c>
      <c r="Q385" s="20"/>
      <c r="R385" s="20"/>
      <c r="S385" s="19"/>
      <c r="T385" s="20"/>
      <c r="U385" s="19"/>
      <c r="V385" s="22"/>
      <c r="W385" s="22"/>
      <c r="X385" s="20"/>
      <c r="AG385" s="25"/>
      <c r="AH385" s="20"/>
    </row>
    <row r="386" spans="1:34" x14ac:dyDescent="0.35">
      <c r="A386" s="19"/>
      <c r="B386" s="20"/>
      <c r="C386" s="21"/>
      <c r="D386" s="19"/>
      <c r="E386" s="20"/>
      <c r="F386" s="19"/>
      <c r="G386" s="20"/>
      <c r="H386" s="19"/>
      <c r="I386" s="20"/>
      <c r="J386" s="20" t="s">
        <v>74</v>
      </c>
      <c r="K386" s="20" t="s">
        <v>74</v>
      </c>
      <c r="L386" s="20"/>
      <c r="M386" s="20"/>
      <c r="N386" s="20" t="s">
        <v>74</v>
      </c>
      <c r="O386" s="20" t="s">
        <v>74</v>
      </c>
      <c r="P386" s="20" t="s">
        <v>74</v>
      </c>
      <c r="Q386" s="20"/>
      <c r="R386" s="20"/>
      <c r="S386" s="19"/>
      <c r="T386" s="20"/>
      <c r="U386" s="19"/>
      <c r="V386" s="22"/>
      <c r="W386" s="22"/>
      <c r="X386" s="20"/>
      <c r="AG386" s="25"/>
      <c r="AH386" s="20"/>
    </row>
    <row r="387" spans="1:34" x14ac:dyDescent="0.35">
      <c r="A387" s="19"/>
      <c r="B387" s="20"/>
      <c r="C387" s="21"/>
      <c r="D387" s="19"/>
      <c r="E387" s="20"/>
      <c r="F387" s="19"/>
      <c r="G387" s="20"/>
      <c r="H387" s="19"/>
      <c r="I387" s="20"/>
      <c r="J387" s="20" t="s">
        <v>74</v>
      </c>
      <c r="K387" s="20" t="s">
        <v>74</v>
      </c>
      <c r="L387" s="20"/>
      <c r="M387" s="20"/>
      <c r="N387" s="20" t="s">
        <v>74</v>
      </c>
      <c r="O387" s="20" t="s">
        <v>74</v>
      </c>
      <c r="P387" s="20" t="s">
        <v>74</v>
      </c>
      <c r="Q387" s="20"/>
      <c r="R387" s="20"/>
      <c r="S387" s="19"/>
      <c r="T387" s="20"/>
      <c r="U387" s="19"/>
      <c r="V387" s="22"/>
      <c r="W387" s="22"/>
      <c r="X387" s="20"/>
      <c r="AG387" s="25"/>
      <c r="AH387" s="20"/>
    </row>
    <row r="388" spans="1:34" x14ac:dyDescent="0.35">
      <c r="A388" s="19"/>
      <c r="B388" s="20"/>
      <c r="C388" s="21"/>
      <c r="D388" s="19"/>
      <c r="E388" s="20"/>
      <c r="F388" s="19"/>
      <c r="G388" s="20"/>
      <c r="H388" s="19"/>
      <c r="I388" s="20"/>
      <c r="J388" s="20" t="s">
        <v>74</v>
      </c>
      <c r="K388" s="20" t="s">
        <v>74</v>
      </c>
      <c r="L388" s="20"/>
      <c r="M388" s="20"/>
      <c r="N388" s="20" t="s">
        <v>74</v>
      </c>
      <c r="O388" s="20" t="s">
        <v>74</v>
      </c>
      <c r="P388" s="20" t="s">
        <v>74</v>
      </c>
      <c r="Q388" s="20"/>
      <c r="R388" s="20"/>
      <c r="S388" s="19"/>
      <c r="T388" s="20"/>
      <c r="U388" s="19"/>
      <c r="V388" s="22"/>
      <c r="W388" s="22"/>
      <c r="X388" s="20"/>
      <c r="AG388" s="25"/>
      <c r="AH388" s="20"/>
    </row>
    <row r="389" spans="1:34" x14ac:dyDescent="0.35">
      <c r="A389" s="19"/>
      <c r="B389" s="20"/>
      <c r="C389" s="21"/>
      <c r="D389" s="19"/>
      <c r="E389" s="20"/>
      <c r="F389" s="19"/>
      <c r="G389" s="20"/>
      <c r="H389" s="19"/>
      <c r="I389" s="20"/>
      <c r="J389" s="20" t="s">
        <v>74</v>
      </c>
      <c r="K389" s="20" t="s">
        <v>74</v>
      </c>
      <c r="L389" s="20"/>
      <c r="M389" s="20"/>
      <c r="N389" s="20" t="s">
        <v>74</v>
      </c>
      <c r="O389" s="20" t="s">
        <v>74</v>
      </c>
      <c r="P389" s="20" t="s">
        <v>74</v>
      </c>
      <c r="Q389" s="20"/>
      <c r="R389" s="20"/>
      <c r="S389" s="19"/>
      <c r="T389" s="20"/>
      <c r="U389" s="19"/>
      <c r="V389" s="22"/>
      <c r="W389" s="22"/>
      <c r="X389" s="20"/>
      <c r="AG389" s="25"/>
      <c r="AH389" s="20"/>
    </row>
    <row r="390" spans="1:34" x14ac:dyDescent="0.35">
      <c r="A390" s="19"/>
      <c r="B390" s="20"/>
      <c r="C390" s="21"/>
      <c r="D390" s="19"/>
      <c r="E390" s="20"/>
      <c r="F390" s="19"/>
      <c r="G390" s="20"/>
      <c r="H390" s="19"/>
      <c r="I390" s="20"/>
      <c r="J390" s="20" t="s">
        <v>74</v>
      </c>
      <c r="K390" s="20" t="s">
        <v>74</v>
      </c>
      <c r="L390" s="20"/>
      <c r="M390" s="20"/>
      <c r="N390" s="20" t="s">
        <v>74</v>
      </c>
      <c r="O390" s="20" t="s">
        <v>74</v>
      </c>
      <c r="P390" s="20" t="s">
        <v>74</v>
      </c>
      <c r="Q390" s="20"/>
      <c r="R390" s="20"/>
      <c r="S390" s="19"/>
      <c r="T390" s="20"/>
      <c r="U390" s="19"/>
      <c r="V390" s="22"/>
      <c r="W390" s="22"/>
      <c r="X390" s="20"/>
      <c r="AG390" s="25"/>
      <c r="AH390" s="20"/>
    </row>
    <row r="391" spans="1:34" x14ac:dyDescent="0.35">
      <c r="A391" s="19"/>
      <c r="B391" s="20"/>
      <c r="C391" s="21"/>
      <c r="D391" s="19"/>
      <c r="E391" s="20"/>
      <c r="F391" s="19"/>
      <c r="G391" s="20"/>
      <c r="H391" s="19"/>
      <c r="I391" s="20"/>
      <c r="J391" s="20" t="s">
        <v>74</v>
      </c>
      <c r="K391" s="20" t="s">
        <v>74</v>
      </c>
      <c r="L391" s="20"/>
      <c r="M391" s="20"/>
      <c r="N391" s="20" t="s">
        <v>74</v>
      </c>
      <c r="O391" s="20" t="s">
        <v>74</v>
      </c>
      <c r="P391" s="20" t="s">
        <v>74</v>
      </c>
      <c r="Q391" s="20"/>
      <c r="R391" s="20"/>
      <c r="S391" s="19"/>
      <c r="T391" s="20"/>
      <c r="U391" s="19"/>
      <c r="V391" s="22"/>
      <c r="W391" s="22"/>
      <c r="X391" s="20"/>
      <c r="AG391" s="25"/>
      <c r="AH391" s="20"/>
    </row>
    <row r="392" spans="1:34" x14ac:dyDescent="0.35">
      <c r="A392" s="19"/>
      <c r="B392" s="20"/>
      <c r="C392" s="21"/>
      <c r="D392" s="19"/>
      <c r="E392" s="20"/>
      <c r="F392" s="19"/>
      <c r="G392" s="20"/>
      <c r="H392" s="19"/>
      <c r="I392" s="20"/>
      <c r="J392" s="20" t="s">
        <v>74</v>
      </c>
      <c r="K392" s="20" t="s">
        <v>74</v>
      </c>
      <c r="L392" s="20"/>
      <c r="M392" s="20"/>
      <c r="N392" s="20" t="s">
        <v>74</v>
      </c>
      <c r="O392" s="20" t="s">
        <v>74</v>
      </c>
      <c r="P392" s="20" t="s">
        <v>74</v>
      </c>
      <c r="Q392" s="20"/>
      <c r="R392" s="20"/>
      <c r="S392" s="19"/>
      <c r="T392" s="20"/>
      <c r="U392" s="19"/>
      <c r="V392" s="22"/>
      <c r="W392" s="22"/>
      <c r="X392" s="20"/>
      <c r="AG392" s="25"/>
      <c r="AH392" s="20"/>
    </row>
    <row r="393" spans="1:34" x14ac:dyDescent="0.35">
      <c r="A393" s="19"/>
      <c r="B393" s="20"/>
      <c r="C393" s="21"/>
      <c r="D393" s="19"/>
      <c r="E393" s="20"/>
      <c r="F393" s="19"/>
      <c r="G393" s="20"/>
      <c r="H393" s="19"/>
      <c r="I393" s="20"/>
      <c r="J393" s="20" t="s">
        <v>74</v>
      </c>
      <c r="K393" s="20" t="s">
        <v>74</v>
      </c>
      <c r="L393" s="20"/>
      <c r="M393" s="20"/>
      <c r="N393" s="20" t="s">
        <v>74</v>
      </c>
      <c r="O393" s="20" t="s">
        <v>74</v>
      </c>
      <c r="P393" s="20" t="s">
        <v>74</v>
      </c>
      <c r="Q393" s="20"/>
      <c r="R393" s="20"/>
      <c r="S393" s="19"/>
      <c r="T393" s="20"/>
      <c r="U393" s="19"/>
      <c r="V393" s="22"/>
      <c r="W393" s="22"/>
      <c r="X393" s="20"/>
      <c r="AG393" s="25"/>
      <c r="AH393" s="20"/>
    </row>
    <row r="394" spans="1:34" x14ac:dyDescent="0.35">
      <c r="A394" s="19"/>
      <c r="B394" s="20"/>
      <c r="C394" s="21"/>
      <c r="D394" s="19"/>
      <c r="E394" s="20"/>
      <c r="F394" s="19"/>
      <c r="G394" s="20"/>
      <c r="H394" s="19"/>
      <c r="I394" s="20"/>
      <c r="J394" s="20" t="s">
        <v>74</v>
      </c>
      <c r="K394" s="20" t="s">
        <v>74</v>
      </c>
      <c r="L394" s="20"/>
      <c r="M394" s="20"/>
      <c r="N394" s="20" t="s">
        <v>74</v>
      </c>
      <c r="O394" s="20" t="s">
        <v>74</v>
      </c>
      <c r="P394" s="20" t="s">
        <v>74</v>
      </c>
      <c r="Q394" s="20"/>
      <c r="R394" s="20"/>
      <c r="S394" s="19"/>
      <c r="T394" s="20"/>
      <c r="U394" s="19"/>
      <c r="V394" s="22"/>
      <c r="W394" s="22"/>
      <c r="X394" s="20"/>
      <c r="AG394" s="25"/>
      <c r="AH394" s="20"/>
    </row>
    <row r="395" spans="1:34" x14ac:dyDescent="0.35">
      <c r="A395" s="19"/>
      <c r="B395" s="20"/>
      <c r="C395" s="21"/>
      <c r="D395" s="19"/>
      <c r="E395" s="20"/>
      <c r="F395" s="19"/>
      <c r="G395" s="20"/>
      <c r="H395" s="19"/>
      <c r="I395" s="20"/>
      <c r="J395" s="20" t="s">
        <v>74</v>
      </c>
      <c r="K395" s="20" t="s">
        <v>74</v>
      </c>
      <c r="L395" s="20"/>
      <c r="M395" s="20"/>
      <c r="N395" s="20" t="s">
        <v>74</v>
      </c>
      <c r="O395" s="20" t="s">
        <v>74</v>
      </c>
      <c r="P395" s="20" t="s">
        <v>74</v>
      </c>
      <c r="Q395" s="20"/>
      <c r="R395" s="20"/>
      <c r="S395" s="19"/>
      <c r="T395" s="20"/>
      <c r="U395" s="19"/>
      <c r="V395" s="22"/>
      <c r="W395" s="22"/>
      <c r="X395" s="20"/>
      <c r="AG395" s="25"/>
      <c r="AH395" s="20"/>
    </row>
    <row r="396" spans="1:34" x14ac:dyDescent="0.35">
      <c r="A396" s="19"/>
      <c r="B396" s="20"/>
      <c r="C396" s="21"/>
      <c r="D396" s="19"/>
      <c r="E396" s="20"/>
      <c r="F396" s="19"/>
      <c r="G396" s="20"/>
      <c r="H396" s="19"/>
      <c r="I396" s="20"/>
      <c r="J396" s="20" t="s">
        <v>74</v>
      </c>
      <c r="K396" s="20" t="s">
        <v>74</v>
      </c>
      <c r="L396" s="20"/>
      <c r="M396" s="20"/>
      <c r="N396" s="20" t="s">
        <v>74</v>
      </c>
      <c r="O396" s="20" t="s">
        <v>74</v>
      </c>
      <c r="P396" s="20" t="s">
        <v>74</v>
      </c>
      <c r="Q396" s="20"/>
      <c r="R396" s="20"/>
      <c r="S396" s="19"/>
      <c r="T396" s="20"/>
      <c r="U396" s="19"/>
      <c r="V396" s="22"/>
      <c r="W396" s="22"/>
      <c r="X396" s="20"/>
      <c r="AG396" s="25"/>
      <c r="AH396" s="20"/>
    </row>
    <row r="397" spans="1:34" x14ac:dyDescent="0.35">
      <c r="A397" s="19"/>
      <c r="B397" s="20"/>
      <c r="C397" s="21"/>
      <c r="D397" s="19"/>
      <c r="E397" s="20"/>
      <c r="F397" s="19"/>
      <c r="G397" s="20"/>
      <c r="H397" s="19"/>
      <c r="I397" s="20"/>
      <c r="J397" s="20" t="s">
        <v>74</v>
      </c>
      <c r="K397" s="20" t="s">
        <v>74</v>
      </c>
      <c r="L397" s="20"/>
      <c r="M397" s="20"/>
      <c r="N397" s="20" t="s">
        <v>74</v>
      </c>
      <c r="O397" s="20" t="s">
        <v>74</v>
      </c>
      <c r="P397" s="20" t="s">
        <v>74</v>
      </c>
      <c r="Q397" s="20"/>
      <c r="R397" s="20"/>
      <c r="S397" s="19"/>
      <c r="T397" s="20"/>
      <c r="U397" s="19"/>
      <c r="V397" s="22"/>
      <c r="W397" s="22"/>
      <c r="X397" s="20"/>
      <c r="AG397" s="25"/>
      <c r="AH397" s="20"/>
    </row>
    <row r="398" spans="1:34" x14ac:dyDescent="0.35">
      <c r="A398" s="19"/>
      <c r="B398" s="20"/>
      <c r="C398" s="21"/>
      <c r="D398" s="19"/>
      <c r="E398" s="20"/>
      <c r="F398" s="19"/>
      <c r="G398" s="20"/>
      <c r="H398" s="19"/>
      <c r="I398" s="20"/>
      <c r="J398" s="20" t="s">
        <v>74</v>
      </c>
      <c r="K398" s="20" t="s">
        <v>74</v>
      </c>
      <c r="L398" s="20"/>
      <c r="M398" s="20"/>
      <c r="N398" s="20" t="s">
        <v>74</v>
      </c>
      <c r="O398" s="20" t="s">
        <v>74</v>
      </c>
      <c r="P398" s="20" t="s">
        <v>74</v>
      </c>
      <c r="Q398" s="20"/>
      <c r="R398" s="20"/>
      <c r="S398" s="19"/>
      <c r="T398" s="20"/>
      <c r="U398" s="19"/>
      <c r="V398" s="22"/>
      <c r="W398" s="22"/>
      <c r="X398" s="20"/>
      <c r="AG398" s="25"/>
      <c r="AH398" s="20"/>
    </row>
    <row r="399" spans="1:34" x14ac:dyDescent="0.35">
      <c r="A399" s="19"/>
      <c r="B399" s="20"/>
      <c r="C399" s="21"/>
      <c r="D399" s="19"/>
      <c r="E399" s="20"/>
      <c r="F399" s="19"/>
      <c r="G399" s="20"/>
      <c r="H399" s="19"/>
      <c r="I399" s="20"/>
      <c r="J399" s="20" t="s">
        <v>74</v>
      </c>
      <c r="K399" s="20" t="s">
        <v>74</v>
      </c>
      <c r="L399" s="20"/>
      <c r="M399" s="20"/>
      <c r="N399" s="20" t="s">
        <v>74</v>
      </c>
      <c r="O399" s="20" t="s">
        <v>74</v>
      </c>
      <c r="P399" s="20" t="s">
        <v>74</v>
      </c>
      <c r="Q399" s="20"/>
      <c r="R399" s="20"/>
      <c r="S399" s="19"/>
      <c r="T399" s="20"/>
      <c r="U399" s="19"/>
      <c r="V399" s="22"/>
      <c r="W399" s="22"/>
      <c r="X399" s="20"/>
      <c r="AG399" s="25"/>
      <c r="AH399" s="20"/>
    </row>
    <row r="400" spans="1:34" x14ac:dyDescent="0.35">
      <c r="A400" s="19"/>
      <c r="B400" s="20"/>
      <c r="C400" s="21"/>
      <c r="D400" s="19"/>
      <c r="E400" s="20"/>
      <c r="F400" s="19"/>
      <c r="G400" s="20"/>
      <c r="H400" s="19"/>
      <c r="I400" s="20"/>
      <c r="J400" s="20" t="s">
        <v>74</v>
      </c>
      <c r="K400" s="20" t="s">
        <v>74</v>
      </c>
      <c r="L400" s="20"/>
      <c r="M400" s="20"/>
      <c r="N400" s="20" t="s">
        <v>74</v>
      </c>
      <c r="O400" s="20" t="s">
        <v>74</v>
      </c>
      <c r="P400" s="20" t="s">
        <v>74</v>
      </c>
      <c r="Q400" s="20"/>
      <c r="R400" s="20"/>
      <c r="S400" s="19"/>
      <c r="T400" s="20"/>
      <c r="U400" s="19"/>
      <c r="V400" s="22"/>
      <c r="W400" s="22"/>
      <c r="X400" s="20"/>
      <c r="AG400" s="25"/>
      <c r="AH400" s="20"/>
    </row>
    <row r="401" spans="1:34" x14ac:dyDescent="0.35">
      <c r="A401" s="19"/>
      <c r="B401" s="20"/>
      <c r="C401" s="21"/>
      <c r="D401" s="19"/>
      <c r="E401" s="20"/>
      <c r="F401" s="19"/>
      <c r="G401" s="20"/>
      <c r="H401" s="19"/>
      <c r="I401" s="20"/>
      <c r="J401" s="20" t="s">
        <v>74</v>
      </c>
      <c r="K401" s="20" t="s">
        <v>74</v>
      </c>
      <c r="L401" s="20"/>
      <c r="M401" s="20"/>
      <c r="N401" s="20" t="s">
        <v>74</v>
      </c>
      <c r="O401" s="20" t="s">
        <v>74</v>
      </c>
      <c r="P401" s="20" t="s">
        <v>74</v>
      </c>
      <c r="Q401" s="20"/>
      <c r="R401" s="20"/>
      <c r="S401" s="19"/>
      <c r="T401" s="20"/>
      <c r="U401" s="19"/>
      <c r="V401" s="22"/>
      <c r="W401" s="22"/>
      <c r="X401" s="20"/>
      <c r="AG401" s="25"/>
      <c r="AH401" s="20"/>
    </row>
    <row r="402" spans="1:34" x14ac:dyDescent="0.35">
      <c r="A402" s="19"/>
      <c r="B402" s="20"/>
      <c r="C402" s="21"/>
      <c r="D402" s="19"/>
      <c r="E402" s="20"/>
      <c r="F402" s="19"/>
      <c r="G402" s="20"/>
      <c r="H402" s="19"/>
      <c r="I402" s="20"/>
      <c r="J402" s="20" t="s">
        <v>74</v>
      </c>
      <c r="K402" s="20" t="s">
        <v>74</v>
      </c>
      <c r="L402" s="20"/>
      <c r="M402" s="20"/>
      <c r="N402" s="20" t="s">
        <v>74</v>
      </c>
      <c r="O402" s="20" t="s">
        <v>74</v>
      </c>
      <c r="P402" s="20" t="s">
        <v>74</v>
      </c>
      <c r="Q402" s="20"/>
      <c r="R402" s="20"/>
      <c r="S402" s="19"/>
      <c r="T402" s="20"/>
      <c r="U402" s="19"/>
      <c r="V402" s="22"/>
      <c r="W402" s="22"/>
      <c r="X402" s="20"/>
      <c r="AG402" s="25"/>
      <c r="AH402" s="20"/>
    </row>
    <row r="403" spans="1:34" x14ac:dyDescent="0.35">
      <c r="A403" s="19"/>
      <c r="B403" s="20"/>
      <c r="C403" s="21"/>
      <c r="D403" s="19"/>
      <c r="E403" s="20"/>
      <c r="F403" s="19"/>
      <c r="G403" s="20"/>
      <c r="H403" s="19"/>
      <c r="I403" s="20"/>
      <c r="J403" s="20" t="s">
        <v>74</v>
      </c>
      <c r="K403" s="20" t="s">
        <v>74</v>
      </c>
      <c r="L403" s="20"/>
      <c r="M403" s="20"/>
      <c r="N403" s="20" t="s">
        <v>74</v>
      </c>
      <c r="O403" s="20" t="s">
        <v>74</v>
      </c>
      <c r="P403" s="20" t="s">
        <v>74</v>
      </c>
      <c r="Q403" s="20"/>
      <c r="R403" s="20"/>
      <c r="S403" s="19"/>
      <c r="T403" s="20"/>
      <c r="U403" s="19"/>
      <c r="V403" s="22"/>
      <c r="W403" s="22"/>
      <c r="X403" s="20"/>
      <c r="AG403" s="25"/>
      <c r="AH403" s="20"/>
    </row>
    <row r="404" spans="1:34" x14ac:dyDescent="0.35">
      <c r="A404" s="19"/>
      <c r="B404" s="20"/>
      <c r="C404" s="21"/>
      <c r="D404" s="19"/>
      <c r="E404" s="20"/>
      <c r="F404" s="19"/>
      <c r="G404" s="20"/>
      <c r="H404" s="19"/>
      <c r="I404" s="20"/>
      <c r="J404" s="20" t="s">
        <v>74</v>
      </c>
      <c r="K404" s="20" t="s">
        <v>74</v>
      </c>
      <c r="L404" s="20"/>
      <c r="M404" s="20"/>
      <c r="N404" s="20" t="s">
        <v>74</v>
      </c>
      <c r="O404" s="20" t="s">
        <v>74</v>
      </c>
      <c r="P404" s="20" t="s">
        <v>74</v>
      </c>
      <c r="Q404" s="20"/>
      <c r="R404" s="20"/>
      <c r="S404" s="19"/>
      <c r="T404" s="20"/>
      <c r="U404" s="19"/>
      <c r="V404" s="22"/>
      <c r="W404" s="22"/>
      <c r="X404" s="20"/>
      <c r="AG404" s="25"/>
      <c r="AH404" s="20"/>
    </row>
    <row r="405" spans="1:34" x14ac:dyDescent="0.35">
      <c r="A405" s="19"/>
      <c r="B405" s="20"/>
      <c r="C405" s="21"/>
      <c r="D405" s="19"/>
      <c r="E405" s="20"/>
      <c r="F405" s="19"/>
      <c r="G405" s="20"/>
      <c r="H405" s="19"/>
      <c r="I405" s="20"/>
      <c r="J405" s="20" t="s">
        <v>74</v>
      </c>
      <c r="K405" s="20" t="s">
        <v>74</v>
      </c>
      <c r="L405" s="20"/>
      <c r="M405" s="20"/>
      <c r="N405" s="20" t="s">
        <v>74</v>
      </c>
      <c r="O405" s="20" t="s">
        <v>74</v>
      </c>
      <c r="P405" s="20" t="s">
        <v>74</v>
      </c>
      <c r="Q405" s="20"/>
      <c r="R405" s="20"/>
      <c r="S405" s="19"/>
      <c r="T405" s="20"/>
      <c r="U405" s="19"/>
      <c r="V405" s="22"/>
      <c r="W405" s="22"/>
      <c r="X405" s="20"/>
      <c r="AG405" s="25"/>
      <c r="AH405" s="20"/>
    </row>
    <row r="406" spans="1:34" x14ac:dyDescent="0.35">
      <c r="A406" s="19"/>
      <c r="B406" s="20"/>
      <c r="C406" s="21"/>
      <c r="D406" s="19"/>
      <c r="E406" s="20"/>
      <c r="F406" s="19"/>
      <c r="G406" s="20"/>
      <c r="H406" s="19"/>
      <c r="I406" s="20"/>
      <c r="J406" s="20" t="s">
        <v>74</v>
      </c>
      <c r="K406" s="20" t="s">
        <v>74</v>
      </c>
      <c r="L406" s="20"/>
      <c r="M406" s="20"/>
      <c r="N406" s="20" t="s">
        <v>74</v>
      </c>
      <c r="O406" s="20" t="s">
        <v>74</v>
      </c>
      <c r="P406" s="20" t="s">
        <v>74</v>
      </c>
      <c r="Q406" s="20"/>
      <c r="R406" s="20"/>
      <c r="S406" s="19"/>
      <c r="T406" s="20"/>
      <c r="U406" s="19"/>
      <c r="V406" s="22"/>
      <c r="W406" s="22"/>
      <c r="X406" s="20"/>
      <c r="AG406" s="25"/>
      <c r="AH406" s="20"/>
    </row>
    <row r="407" spans="1:34" x14ac:dyDescent="0.35">
      <c r="A407" s="19"/>
      <c r="B407" s="20"/>
      <c r="C407" s="21"/>
      <c r="D407" s="19"/>
      <c r="E407" s="20"/>
      <c r="F407" s="19"/>
      <c r="G407" s="20"/>
      <c r="H407" s="19"/>
      <c r="I407" s="20"/>
      <c r="J407" s="20" t="s">
        <v>74</v>
      </c>
      <c r="K407" s="20" t="s">
        <v>74</v>
      </c>
      <c r="L407" s="20"/>
      <c r="M407" s="20"/>
      <c r="N407" s="20" t="s">
        <v>74</v>
      </c>
      <c r="O407" s="20" t="s">
        <v>74</v>
      </c>
      <c r="P407" s="20" t="s">
        <v>74</v>
      </c>
      <c r="Q407" s="20"/>
      <c r="R407" s="20"/>
      <c r="S407" s="19"/>
      <c r="T407" s="20"/>
      <c r="U407" s="19"/>
      <c r="V407" s="22"/>
      <c r="W407" s="22"/>
      <c r="X407" s="20"/>
      <c r="AG407" s="25"/>
      <c r="AH407" s="20"/>
    </row>
    <row r="408" spans="1:34" x14ac:dyDescent="0.35">
      <c r="A408" s="19"/>
      <c r="B408" s="20"/>
      <c r="C408" s="21"/>
      <c r="D408" s="19"/>
      <c r="E408" s="20"/>
      <c r="F408" s="19"/>
      <c r="G408" s="20"/>
      <c r="H408" s="19"/>
      <c r="I408" s="20"/>
      <c r="J408" s="20" t="s">
        <v>74</v>
      </c>
      <c r="K408" s="20" t="s">
        <v>74</v>
      </c>
      <c r="L408" s="20"/>
      <c r="M408" s="20"/>
      <c r="N408" s="20" t="s">
        <v>74</v>
      </c>
      <c r="O408" s="20" t="s">
        <v>74</v>
      </c>
      <c r="P408" s="20" t="s">
        <v>74</v>
      </c>
      <c r="Q408" s="20"/>
      <c r="R408" s="20"/>
      <c r="S408" s="19"/>
      <c r="T408" s="20"/>
      <c r="U408" s="19"/>
      <c r="V408" s="22"/>
      <c r="W408" s="22"/>
      <c r="X408" s="20"/>
      <c r="AG408" s="25"/>
      <c r="AH408" s="20"/>
    </row>
    <row r="409" spans="1:34" x14ac:dyDescent="0.35">
      <c r="A409" s="19"/>
      <c r="B409" s="20"/>
      <c r="C409" s="21"/>
      <c r="D409" s="19"/>
      <c r="E409" s="20"/>
      <c r="F409" s="19"/>
      <c r="G409" s="20"/>
      <c r="H409" s="19"/>
      <c r="I409" s="20"/>
      <c r="J409" s="20" t="s">
        <v>74</v>
      </c>
      <c r="K409" s="20" t="s">
        <v>74</v>
      </c>
      <c r="L409" s="20"/>
      <c r="M409" s="20"/>
      <c r="N409" s="20" t="s">
        <v>74</v>
      </c>
      <c r="O409" s="20" t="s">
        <v>74</v>
      </c>
      <c r="P409" s="20" t="s">
        <v>74</v>
      </c>
      <c r="Q409" s="20"/>
      <c r="R409" s="20"/>
      <c r="S409" s="19"/>
      <c r="T409" s="20"/>
      <c r="U409" s="19"/>
      <c r="V409" s="22"/>
      <c r="W409" s="22"/>
      <c r="X409" s="20"/>
      <c r="AG409" s="25"/>
      <c r="AH409" s="20"/>
    </row>
    <row r="410" spans="1:34" x14ac:dyDescent="0.35">
      <c r="A410" s="19"/>
      <c r="B410" s="20"/>
      <c r="C410" s="21"/>
      <c r="D410" s="19"/>
      <c r="E410" s="20"/>
      <c r="F410" s="19"/>
      <c r="G410" s="20"/>
      <c r="H410" s="19"/>
      <c r="I410" s="20"/>
      <c r="J410" s="20" t="s">
        <v>74</v>
      </c>
      <c r="K410" s="20" t="s">
        <v>74</v>
      </c>
      <c r="L410" s="20"/>
      <c r="M410" s="20"/>
      <c r="N410" s="20" t="s">
        <v>74</v>
      </c>
      <c r="O410" s="20" t="s">
        <v>74</v>
      </c>
      <c r="P410" s="20" t="s">
        <v>74</v>
      </c>
      <c r="Q410" s="20"/>
      <c r="R410" s="20"/>
      <c r="S410" s="19"/>
      <c r="T410" s="20"/>
      <c r="U410" s="19"/>
      <c r="V410" s="22"/>
      <c r="W410" s="22"/>
      <c r="X410" s="20"/>
      <c r="AG410" s="25"/>
      <c r="AH410" s="20"/>
    </row>
    <row r="411" spans="1:34" x14ac:dyDescent="0.35">
      <c r="A411" s="19"/>
      <c r="B411" s="20"/>
      <c r="C411" s="21"/>
      <c r="D411" s="19"/>
      <c r="E411" s="20"/>
      <c r="F411" s="19"/>
      <c r="G411" s="20"/>
      <c r="H411" s="19"/>
      <c r="I411" s="20"/>
      <c r="J411" s="20" t="s">
        <v>74</v>
      </c>
      <c r="K411" s="20" t="s">
        <v>74</v>
      </c>
      <c r="L411" s="20"/>
      <c r="M411" s="20"/>
      <c r="N411" s="20" t="s">
        <v>74</v>
      </c>
      <c r="O411" s="20" t="s">
        <v>74</v>
      </c>
      <c r="P411" s="20" t="s">
        <v>74</v>
      </c>
      <c r="Q411" s="20"/>
      <c r="R411" s="20"/>
      <c r="S411" s="19"/>
      <c r="T411" s="20"/>
      <c r="U411" s="19"/>
      <c r="V411" s="22"/>
      <c r="W411" s="22"/>
      <c r="X411" s="20"/>
      <c r="AG411" s="25"/>
      <c r="AH411" s="20"/>
    </row>
    <row r="412" spans="1:34" x14ac:dyDescent="0.35">
      <c r="A412" s="19"/>
      <c r="B412" s="20"/>
      <c r="C412" s="21"/>
      <c r="D412" s="19"/>
      <c r="E412" s="20"/>
      <c r="F412" s="19"/>
      <c r="G412" s="20"/>
      <c r="H412" s="19"/>
      <c r="I412" s="20"/>
      <c r="J412" s="20" t="s">
        <v>74</v>
      </c>
      <c r="K412" s="20" t="s">
        <v>74</v>
      </c>
      <c r="L412" s="20"/>
      <c r="M412" s="20"/>
      <c r="N412" s="20" t="s">
        <v>74</v>
      </c>
      <c r="O412" s="20" t="s">
        <v>74</v>
      </c>
      <c r="P412" s="20" t="s">
        <v>74</v>
      </c>
      <c r="Q412" s="20"/>
      <c r="R412" s="20"/>
      <c r="S412" s="19"/>
      <c r="T412" s="20"/>
      <c r="U412" s="19"/>
      <c r="V412" s="22"/>
      <c r="W412" s="22"/>
      <c r="X412" s="20"/>
      <c r="AG412" s="25"/>
      <c r="AH412" s="20"/>
    </row>
    <row r="413" spans="1:34" x14ac:dyDescent="0.35">
      <c r="A413" s="19"/>
      <c r="B413" s="20"/>
      <c r="C413" s="21"/>
      <c r="D413" s="19"/>
      <c r="E413" s="20"/>
      <c r="F413" s="19"/>
      <c r="G413" s="20"/>
      <c r="H413" s="19"/>
      <c r="I413" s="20"/>
      <c r="J413" s="20" t="s">
        <v>74</v>
      </c>
      <c r="K413" s="20" t="s">
        <v>74</v>
      </c>
      <c r="L413" s="20"/>
      <c r="M413" s="20"/>
      <c r="N413" s="20" t="s">
        <v>74</v>
      </c>
      <c r="O413" s="20" t="s">
        <v>74</v>
      </c>
      <c r="P413" s="20" t="s">
        <v>74</v>
      </c>
      <c r="Q413" s="20"/>
      <c r="R413" s="20"/>
      <c r="S413" s="19"/>
      <c r="T413" s="20"/>
      <c r="U413" s="19"/>
      <c r="V413" s="22"/>
      <c r="W413" s="22"/>
      <c r="X413" s="20"/>
      <c r="AG413" s="25"/>
      <c r="AH413" s="20"/>
    </row>
    <row r="414" spans="1:34" x14ac:dyDescent="0.35">
      <c r="A414" s="19"/>
      <c r="B414" s="20"/>
      <c r="C414" s="21"/>
      <c r="D414" s="19"/>
      <c r="E414" s="20"/>
      <c r="F414" s="19"/>
      <c r="G414" s="20"/>
      <c r="H414" s="19"/>
      <c r="I414" s="20"/>
      <c r="J414" s="20" t="s">
        <v>74</v>
      </c>
      <c r="K414" s="20" t="s">
        <v>74</v>
      </c>
      <c r="L414" s="20"/>
      <c r="M414" s="20"/>
      <c r="N414" s="20" t="s">
        <v>74</v>
      </c>
      <c r="O414" s="20" t="s">
        <v>74</v>
      </c>
      <c r="P414" s="20" t="s">
        <v>74</v>
      </c>
      <c r="Q414" s="20"/>
      <c r="R414" s="20"/>
      <c r="S414" s="19"/>
      <c r="T414" s="20"/>
      <c r="U414" s="19"/>
      <c r="V414" s="22"/>
      <c r="W414" s="22"/>
      <c r="X414" s="20"/>
      <c r="AG414" s="25"/>
      <c r="AH414" s="20"/>
    </row>
    <row r="415" spans="1:34" x14ac:dyDescent="0.35">
      <c r="A415" s="19"/>
      <c r="B415" s="20"/>
      <c r="C415" s="21"/>
      <c r="D415" s="19"/>
      <c r="E415" s="20"/>
      <c r="F415" s="19"/>
      <c r="G415" s="20"/>
      <c r="H415" s="19"/>
      <c r="I415" s="20"/>
      <c r="J415" s="20" t="s">
        <v>74</v>
      </c>
      <c r="K415" s="20" t="s">
        <v>74</v>
      </c>
      <c r="L415" s="20"/>
      <c r="M415" s="20"/>
      <c r="N415" s="20" t="s">
        <v>74</v>
      </c>
      <c r="O415" s="20" t="s">
        <v>74</v>
      </c>
      <c r="P415" s="20" t="s">
        <v>74</v>
      </c>
      <c r="Q415" s="20"/>
      <c r="R415" s="20"/>
      <c r="S415" s="19"/>
      <c r="T415" s="20"/>
      <c r="U415" s="19"/>
      <c r="V415" s="22"/>
      <c r="W415" s="22"/>
      <c r="X415" s="20"/>
      <c r="AG415" s="25"/>
      <c r="AH415" s="20"/>
    </row>
    <row r="416" spans="1:34" x14ac:dyDescent="0.35">
      <c r="A416" s="19"/>
      <c r="B416" s="20"/>
      <c r="C416" s="21"/>
      <c r="D416" s="19"/>
      <c r="E416" s="20"/>
      <c r="F416" s="19"/>
      <c r="G416" s="20"/>
      <c r="H416" s="19"/>
      <c r="I416" s="20"/>
      <c r="J416" s="20" t="s">
        <v>74</v>
      </c>
      <c r="K416" s="20" t="s">
        <v>74</v>
      </c>
      <c r="L416" s="20"/>
      <c r="M416" s="20"/>
      <c r="N416" s="20" t="s">
        <v>74</v>
      </c>
      <c r="O416" s="20" t="s">
        <v>74</v>
      </c>
      <c r="P416" s="20" t="s">
        <v>74</v>
      </c>
      <c r="Q416" s="20"/>
      <c r="R416" s="20"/>
      <c r="S416" s="19"/>
      <c r="T416" s="20"/>
      <c r="U416" s="19"/>
      <c r="V416" s="22"/>
      <c r="W416" s="22"/>
      <c r="X416" s="20"/>
      <c r="AG416" s="25"/>
      <c r="AH416" s="20"/>
    </row>
    <row r="417" spans="1:34" x14ac:dyDescent="0.35">
      <c r="A417" s="19"/>
      <c r="B417" s="20"/>
      <c r="C417" s="21"/>
      <c r="D417" s="19"/>
      <c r="E417" s="20"/>
      <c r="F417" s="19"/>
      <c r="G417" s="20"/>
      <c r="H417" s="19"/>
      <c r="I417" s="20"/>
      <c r="J417" s="20" t="s">
        <v>74</v>
      </c>
      <c r="K417" s="20" t="s">
        <v>74</v>
      </c>
      <c r="L417" s="20"/>
      <c r="M417" s="20"/>
      <c r="N417" s="20" t="s">
        <v>74</v>
      </c>
      <c r="O417" s="20" t="s">
        <v>74</v>
      </c>
      <c r="P417" s="20" t="s">
        <v>74</v>
      </c>
      <c r="Q417" s="20"/>
      <c r="R417" s="20"/>
      <c r="S417" s="19"/>
      <c r="T417" s="20"/>
      <c r="U417" s="19"/>
      <c r="V417" s="22"/>
      <c r="W417" s="22"/>
      <c r="X417" s="20"/>
      <c r="AG417" s="25"/>
      <c r="AH417" s="20"/>
    </row>
    <row r="418" spans="1:34" x14ac:dyDescent="0.35">
      <c r="A418" s="19"/>
      <c r="B418" s="20"/>
      <c r="C418" s="21"/>
      <c r="D418" s="19"/>
      <c r="E418" s="20"/>
      <c r="F418" s="19"/>
      <c r="G418" s="20"/>
      <c r="H418" s="19"/>
      <c r="I418" s="20"/>
      <c r="J418" s="20" t="s">
        <v>74</v>
      </c>
      <c r="K418" s="20" t="s">
        <v>74</v>
      </c>
      <c r="L418" s="20"/>
      <c r="M418" s="20"/>
      <c r="N418" s="20" t="s">
        <v>74</v>
      </c>
      <c r="O418" s="20" t="s">
        <v>74</v>
      </c>
      <c r="P418" s="20" t="s">
        <v>74</v>
      </c>
      <c r="Q418" s="20"/>
      <c r="R418" s="20"/>
      <c r="S418" s="19"/>
      <c r="T418" s="20"/>
      <c r="U418" s="19"/>
      <c r="V418" s="22"/>
      <c r="W418" s="22"/>
      <c r="X418" s="20"/>
      <c r="AG418" s="25"/>
      <c r="AH418" s="20"/>
    </row>
    <row r="419" spans="1:34" x14ac:dyDescent="0.35">
      <c r="A419" s="19"/>
      <c r="B419" s="20"/>
      <c r="C419" s="21"/>
      <c r="D419" s="19"/>
      <c r="E419" s="20"/>
      <c r="F419" s="19"/>
      <c r="G419" s="20"/>
      <c r="H419" s="19"/>
      <c r="I419" s="20"/>
      <c r="J419" s="20" t="s">
        <v>74</v>
      </c>
      <c r="K419" s="20" t="s">
        <v>74</v>
      </c>
      <c r="L419" s="20"/>
      <c r="M419" s="20"/>
      <c r="N419" s="20" t="s">
        <v>74</v>
      </c>
      <c r="O419" s="20" t="s">
        <v>74</v>
      </c>
      <c r="P419" s="20" t="s">
        <v>74</v>
      </c>
      <c r="Q419" s="20"/>
      <c r="R419" s="20"/>
      <c r="S419" s="19"/>
      <c r="T419" s="20"/>
      <c r="U419" s="19"/>
      <c r="V419" s="22"/>
      <c r="W419" s="22"/>
      <c r="X419" s="20"/>
      <c r="AG419" s="25"/>
      <c r="AH419" s="20"/>
    </row>
    <row r="420" spans="1:34" x14ac:dyDescent="0.35">
      <c r="A420" s="19"/>
      <c r="B420" s="20"/>
      <c r="C420" s="21"/>
      <c r="D420" s="19"/>
      <c r="E420" s="20"/>
      <c r="F420" s="19"/>
      <c r="G420" s="20"/>
      <c r="H420" s="19"/>
      <c r="I420" s="20"/>
      <c r="J420" s="20" t="s">
        <v>74</v>
      </c>
      <c r="K420" s="20" t="s">
        <v>74</v>
      </c>
      <c r="L420" s="20"/>
      <c r="M420" s="20"/>
      <c r="N420" s="20" t="s">
        <v>74</v>
      </c>
      <c r="O420" s="20" t="s">
        <v>74</v>
      </c>
      <c r="P420" s="20" t="s">
        <v>74</v>
      </c>
      <c r="Q420" s="20"/>
      <c r="R420" s="20"/>
      <c r="S420" s="19"/>
      <c r="T420" s="20"/>
      <c r="U420" s="19"/>
      <c r="V420" s="22"/>
      <c r="W420" s="22"/>
      <c r="X420" s="20"/>
      <c r="AG420" s="25"/>
      <c r="AH420" s="20"/>
    </row>
    <row r="421" spans="1:34" x14ac:dyDescent="0.35">
      <c r="A421" s="19"/>
      <c r="B421" s="20"/>
      <c r="C421" s="21"/>
      <c r="D421" s="19"/>
      <c r="E421" s="20"/>
      <c r="F421" s="19"/>
      <c r="G421" s="20"/>
      <c r="H421" s="19"/>
      <c r="I421" s="20"/>
      <c r="J421" s="20" t="s">
        <v>74</v>
      </c>
      <c r="K421" s="20" t="s">
        <v>74</v>
      </c>
      <c r="L421" s="20"/>
      <c r="M421" s="20"/>
      <c r="N421" s="20" t="s">
        <v>74</v>
      </c>
      <c r="O421" s="20" t="s">
        <v>74</v>
      </c>
      <c r="P421" s="20" t="s">
        <v>74</v>
      </c>
      <c r="Q421" s="20"/>
      <c r="R421" s="20"/>
      <c r="S421" s="19"/>
      <c r="T421" s="20"/>
      <c r="U421" s="19"/>
      <c r="V421" s="22"/>
      <c r="W421" s="22"/>
      <c r="X421" s="20"/>
      <c r="AG421" s="25"/>
      <c r="AH421" s="20"/>
    </row>
    <row r="422" spans="1:34" x14ac:dyDescent="0.35">
      <c r="A422" s="19"/>
      <c r="B422" s="20"/>
      <c r="C422" s="21"/>
      <c r="D422" s="19"/>
      <c r="E422" s="20"/>
      <c r="F422" s="19"/>
      <c r="G422" s="20"/>
      <c r="H422" s="19"/>
      <c r="I422" s="20"/>
      <c r="J422" s="20" t="s">
        <v>74</v>
      </c>
      <c r="K422" s="20" t="s">
        <v>74</v>
      </c>
      <c r="L422" s="20"/>
      <c r="M422" s="20"/>
      <c r="N422" s="20" t="s">
        <v>74</v>
      </c>
      <c r="O422" s="20" t="s">
        <v>74</v>
      </c>
      <c r="P422" s="20" t="s">
        <v>74</v>
      </c>
      <c r="Q422" s="20"/>
      <c r="R422" s="20"/>
      <c r="S422" s="19"/>
      <c r="T422" s="20"/>
      <c r="U422" s="19"/>
      <c r="V422" s="22"/>
      <c r="W422" s="22"/>
      <c r="X422" s="20"/>
      <c r="AG422" s="25"/>
      <c r="AH422" s="20"/>
    </row>
    <row r="423" spans="1:34" x14ac:dyDescent="0.35">
      <c r="A423" s="19"/>
      <c r="B423" s="20"/>
      <c r="C423" s="21"/>
      <c r="D423" s="19"/>
      <c r="E423" s="20"/>
      <c r="F423" s="19"/>
      <c r="G423" s="20"/>
      <c r="H423" s="19"/>
      <c r="I423" s="20"/>
      <c r="J423" s="20" t="s">
        <v>74</v>
      </c>
      <c r="K423" s="20" t="s">
        <v>74</v>
      </c>
      <c r="L423" s="20"/>
      <c r="M423" s="20"/>
      <c r="N423" s="20" t="s">
        <v>74</v>
      </c>
      <c r="O423" s="20" t="s">
        <v>74</v>
      </c>
      <c r="P423" s="20" t="s">
        <v>74</v>
      </c>
      <c r="Q423" s="20"/>
      <c r="R423" s="20"/>
      <c r="S423" s="19"/>
      <c r="T423" s="20"/>
      <c r="U423" s="19"/>
      <c r="V423" s="22"/>
      <c r="W423" s="22"/>
      <c r="X423" s="20"/>
      <c r="AG423" s="25"/>
      <c r="AH423" s="20"/>
    </row>
    <row r="424" spans="1:34" x14ac:dyDescent="0.35">
      <c r="A424" s="19"/>
      <c r="B424" s="20"/>
      <c r="C424" s="21"/>
      <c r="D424" s="19"/>
      <c r="E424" s="20"/>
      <c r="F424" s="19"/>
      <c r="G424" s="20"/>
      <c r="H424" s="19"/>
      <c r="I424" s="20"/>
      <c r="J424" s="20" t="s">
        <v>74</v>
      </c>
      <c r="K424" s="20" t="s">
        <v>74</v>
      </c>
      <c r="L424" s="20"/>
      <c r="M424" s="20"/>
      <c r="N424" s="20" t="s">
        <v>74</v>
      </c>
      <c r="O424" s="20" t="s">
        <v>74</v>
      </c>
      <c r="P424" s="20" t="s">
        <v>74</v>
      </c>
      <c r="Q424" s="20"/>
      <c r="R424" s="20"/>
      <c r="S424" s="19"/>
      <c r="T424" s="20"/>
      <c r="U424" s="19"/>
      <c r="V424" s="22"/>
      <c r="W424" s="22"/>
      <c r="X424" s="20"/>
      <c r="AG424" s="25"/>
      <c r="AH424" s="20"/>
    </row>
    <row r="425" spans="1:34" x14ac:dyDescent="0.35">
      <c r="A425" s="19"/>
      <c r="B425" s="20"/>
      <c r="C425" s="21"/>
      <c r="D425" s="19"/>
      <c r="E425" s="20"/>
      <c r="F425" s="19"/>
      <c r="G425" s="20"/>
      <c r="H425" s="19"/>
      <c r="I425" s="20"/>
      <c r="J425" s="20" t="s">
        <v>74</v>
      </c>
      <c r="K425" s="20" t="s">
        <v>74</v>
      </c>
      <c r="L425" s="20"/>
      <c r="M425" s="20"/>
      <c r="N425" s="20" t="s">
        <v>74</v>
      </c>
      <c r="O425" s="20" t="s">
        <v>74</v>
      </c>
      <c r="P425" s="20" t="s">
        <v>74</v>
      </c>
      <c r="Q425" s="20"/>
      <c r="R425" s="20"/>
      <c r="S425" s="19"/>
      <c r="T425" s="20"/>
      <c r="U425" s="19"/>
      <c r="V425" s="22"/>
      <c r="W425" s="22"/>
      <c r="X425" s="20"/>
      <c r="AG425" s="25"/>
      <c r="AH425" s="20"/>
    </row>
    <row r="426" spans="1:34" x14ac:dyDescent="0.35">
      <c r="A426" s="19"/>
      <c r="B426" s="20"/>
      <c r="C426" s="21"/>
      <c r="D426" s="19"/>
      <c r="E426" s="20"/>
      <c r="F426" s="19"/>
      <c r="G426" s="20"/>
      <c r="H426" s="19"/>
      <c r="I426" s="20"/>
      <c r="J426" s="20" t="s">
        <v>74</v>
      </c>
      <c r="K426" s="20" t="s">
        <v>74</v>
      </c>
      <c r="L426" s="20"/>
      <c r="M426" s="20"/>
      <c r="N426" s="20" t="s">
        <v>74</v>
      </c>
      <c r="O426" s="20" t="s">
        <v>74</v>
      </c>
      <c r="P426" s="20" t="s">
        <v>74</v>
      </c>
      <c r="Q426" s="20"/>
      <c r="R426" s="20"/>
      <c r="S426" s="19"/>
      <c r="T426" s="20"/>
      <c r="U426" s="19"/>
      <c r="V426" s="22"/>
      <c r="W426" s="22"/>
      <c r="X426" s="20"/>
      <c r="AG426" s="25"/>
      <c r="AH426" s="20"/>
    </row>
    <row r="427" spans="1:34" x14ac:dyDescent="0.35">
      <c r="A427" s="19"/>
      <c r="B427" s="20"/>
      <c r="C427" s="21"/>
      <c r="D427" s="19"/>
      <c r="E427" s="20"/>
      <c r="F427" s="19"/>
      <c r="G427" s="20"/>
      <c r="H427" s="19"/>
      <c r="I427" s="20"/>
      <c r="J427" s="20" t="s">
        <v>74</v>
      </c>
      <c r="K427" s="20" t="s">
        <v>74</v>
      </c>
      <c r="L427" s="20"/>
      <c r="M427" s="20"/>
      <c r="N427" s="20" t="s">
        <v>74</v>
      </c>
      <c r="O427" s="20" t="s">
        <v>74</v>
      </c>
      <c r="P427" s="20" t="s">
        <v>74</v>
      </c>
      <c r="Q427" s="20"/>
      <c r="R427" s="20"/>
      <c r="S427" s="19"/>
      <c r="T427" s="20"/>
      <c r="U427" s="19"/>
      <c r="V427" s="22"/>
      <c r="W427" s="22"/>
      <c r="X427" s="20"/>
      <c r="AG427" s="25"/>
      <c r="AH427" s="20"/>
    </row>
    <row r="428" spans="1:34" x14ac:dyDescent="0.35">
      <c r="A428" s="19"/>
      <c r="B428" s="20"/>
      <c r="C428" s="21"/>
      <c r="D428" s="19"/>
      <c r="E428" s="20"/>
      <c r="F428" s="19"/>
      <c r="G428" s="20"/>
      <c r="H428" s="19"/>
      <c r="I428" s="20"/>
      <c r="J428" s="20" t="s">
        <v>74</v>
      </c>
      <c r="K428" s="20" t="s">
        <v>74</v>
      </c>
      <c r="L428" s="20"/>
      <c r="M428" s="20"/>
      <c r="N428" s="20" t="s">
        <v>74</v>
      </c>
      <c r="O428" s="20" t="s">
        <v>74</v>
      </c>
      <c r="P428" s="20" t="s">
        <v>74</v>
      </c>
      <c r="Q428" s="20"/>
      <c r="R428" s="20"/>
      <c r="S428" s="19"/>
      <c r="T428" s="20"/>
      <c r="U428" s="19"/>
      <c r="V428" s="22"/>
      <c r="W428" s="22"/>
      <c r="X428" s="20"/>
      <c r="AG428" s="25"/>
      <c r="AH428" s="20"/>
    </row>
    <row r="429" spans="1:34" x14ac:dyDescent="0.35">
      <c r="A429" s="19"/>
      <c r="B429" s="20"/>
      <c r="C429" s="21"/>
      <c r="D429" s="19"/>
      <c r="E429" s="20"/>
      <c r="F429" s="19"/>
      <c r="G429" s="20"/>
      <c r="H429" s="19"/>
      <c r="I429" s="20"/>
      <c r="J429" s="20" t="s">
        <v>74</v>
      </c>
      <c r="K429" s="20" t="s">
        <v>74</v>
      </c>
      <c r="L429" s="20"/>
      <c r="M429" s="20"/>
      <c r="N429" s="20" t="s">
        <v>74</v>
      </c>
      <c r="O429" s="20" t="s">
        <v>74</v>
      </c>
      <c r="P429" s="20" t="s">
        <v>74</v>
      </c>
      <c r="Q429" s="20"/>
      <c r="R429" s="20"/>
      <c r="S429" s="19"/>
      <c r="T429" s="20"/>
      <c r="U429" s="19"/>
      <c r="V429" s="22"/>
      <c r="W429" s="22"/>
      <c r="X429" s="20"/>
      <c r="AG429" s="25"/>
      <c r="AH429" s="20"/>
    </row>
    <row r="430" spans="1:34" x14ac:dyDescent="0.35">
      <c r="A430" s="19"/>
      <c r="B430" s="20"/>
      <c r="C430" s="21"/>
      <c r="D430" s="19"/>
      <c r="E430" s="20"/>
      <c r="F430" s="19"/>
      <c r="G430" s="20"/>
      <c r="H430" s="19"/>
      <c r="I430" s="20"/>
      <c r="J430" s="20" t="s">
        <v>74</v>
      </c>
      <c r="K430" s="20" t="s">
        <v>74</v>
      </c>
      <c r="L430" s="20"/>
      <c r="M430" s="20"/>
      <c r="N430" s="20" t="s">
        <v>74</v>
      </c>
      <c r="O430" s="20" t="s">
        <v>74</v>
      </c>
      <c r="P430" s="20" t="s">
        <v>74</v>
      </c>
      <c r="Q430" s="20"/>
      <c r="R430" s="20"/>
      <c r="S430" s="19"/>
      <c r="T430" s="20"/>
      <c r="U430" s="19"/>
      <c r="V430" s="22"/>
      <c r="W430" s="22"/>
      <c r="X430" s="20"/>
      <c r="AG430" s="25"/>
      <c r="AH430" s="20"/>
    </row>
    <row r="431" spans="1:34" x14ac:dyDescent="0.35">
      <c r="A431" s="19"/>
      <c r="B431" s="20"/>
      <c r="C431" s="21"/>
      <c r="D431" s="19"/>
      <c r="E431" s="20"/>
      <c r="F431" s="19"/>
      <c r="G431" s="20"/>
      <c r="H431" s="19"/>
      <c r="I431" s="20"/>
      <c r="J431" s="20" t="s">
        <v>74</v>
      </c>
      <c r="K431" s="20" t="s">
        <v>74</v>
      </c>
      <c r="L431" s="20"/>
      <c r="M431" s="20"/>
      <c r="N431" s="20" t="s">
        <v>74</v>
      </c>
      <c r="O431" s="20" t="s">
        <v>74</v>
      </c>
      <c r="P431" s="20" t="s">
        <v>74</v>
      </c>
      <c r="Q431" s="20"/>
      <c r="R431" s="20"/>
      <c r="S431" s="19"/>
      <c r="T431" s="20"/>
      <c r="U431" s="19"/>
      <c r="V431" s="22"/>
      <c r="W431" s="22"/>
      <c r="X431" s="20"/>
      <c r="AG431" s="25"/>
      <c r="AH431" s="20"/>
    </row>
    <row r="432" spans="1:34" x14ac:dyDescent="0.35">
      <c r="A432" s="19"/>
      <c r="B432" s="20"/>
      <c r="C432" s="21"/>
      <c r="D432" s="19"/>
      <c r="E432" s="20"/>
      <c r="F432" s="19"/>
      <c r="G432" s="20"/>
      <c r="H432" s="19"/>
      <c r="I432" s="20"/>
      <c r="J432" s="20" t="s">
        <v>74</v>
      </c>
      <c r="K432" s="20" t="s">
        <v>74</v>
      </c>
      <c r="L432" s="20"/>
      <c r="M432" s="20"/>
      <c r="N432" s="20" t="s">
        <v>74</v>
      </c>
      <c r="O432" s="20" t="s">
        <v>74</v>
      </c>
      <c r="P432" s="20" t="s">
        <v>74</v>
      </c>
      <c r="Q432" s="20"/>
      <c r="R432" s="20"/>
      <c r="S432" s="19"/>
      <c r="T432" s="20"/>
      <c r="U432" s="19"/>
      <c r="V432" s="22"/>
      <c r="W432" s="22"/>
      <c r="X432" s="20"/>
      <c r="AG432" s="25"/>
      <c r="AH432" s="20"/>
    </row>
    <row r="433" spans="1:34" x14ac:dyDescent="0.35">
      <c r="A433" s="19"/>
      <c r="B433" s="20"/>
      <c r="C433" s="21"/>
      <c r="D433" s="19"/>
      <c r="E433" s="20"/>
      <c r="F433" s="19"/>
      <c r="G433" s="20"/>
      <c r="H433" s="19"/>
      <c r="I433" s="20"/>
      <c r="J433" s="20" t="s">
        <v>74</v>
      </c>
      <c r="K433" s="20" t="s">
        <v>74</v>
      </c>
      <c r="L433" s="20"/>
      <c r="M433" s="20"/>
      <c r="N433" s="20" t="s">
        <v>74</v>
      </c>
      <c r="O433" s="20" t="s">
        <v>74</v>
      </c>
      <c r="P433" s="20" t="s">
        <v>74</v>
      </c>
      <c r="Q433" s="20"/>
      <c r="R433" s="20"/>
      <c r="S433" s="19"/>
      <c r="T433" s="20"/>
      <c r="U433" s="19"/>
      <c r="V433" s="22"/>
      <c r="W433" s="22"/>
      <c r="X433" s="20"/>
      <c r="AG433" s="25"/>
      <c r="AH433" s="20"/>
    </row>
    <row r="434" spans="1:34" x14ac:dyDescent="0.35">
      <c r="A434" s="19"/>
      <c r="B434" s="20"/>
      <c r="C434" s="21"/>
      <c r="D434" s="19"/>
      <c r="E434" s="20"/>
      <c r="F434" s="19"/>
      <c r="G434" s="20"/>
      <c r="H434" s="19"/>
      <c r="I434" s="20"/>
      <c r="J434" s="20" t="s">
        <v>74</v>
      </c>
      <c r="K434" s="20" t="s">
        <v>74</v>
      </c>
      <c r="L434" s="20"/>
      <c r="M434" s="20"/>
      <c r="N434" s="20" t="s">
        <v>74</v>
      </c>
      <c r="O434" s="20" t="s">
        <v>74</v>
      </c>
      <c r="P434" s="20" t="s">
        <v>74</v>
      </c>
      <c r="Q434" s="20"/>
      <c r="R434" s="20"/>
      <c r="S434" s="19"/>
      <c r="T434" s="20"/>
      <c r="U434" s="19"/>
      <c r="V434" s="22"/>
      <c r="W434" s="22"/>
      <c r="X434" s="20"/>
      <c r="AG434" s="25"/>
      <c r="AH434" s="20"/>
    </row>
    <row r="435" spans="1:34" x14ac:dyDescent="0.35">
      <c r="A435" s="19"/>
      <c r="B435" s="20"/>
      <c r="C435" s="21"/>
      <c r="D435" s="19"/>
      <c r="E435" s="20"/>
      <c r="F435" s="19"/>
      <c r="G435" s="20"/>
      <c r="H435" s="19"/>
      <c r="I435" s="20"/>
      <c r="J435" s="20" t="s">
        <v>74</v>
      </c>
      <c r="K435" s="20" t="s">
        <v>74</v>
      </c>
      <c r="L435" s="20"/>
      <c r="M435" s="20"/>
      <c r="N435" s="20" t="s">
        <v>74</v>
      </c>
      <c r="O435" s="20" t="s">
        <v>74</v>
      </c>
      <c r="P435" s="20" t="s">
        <v>74</v>
      </c>
      <c r="Q435" s="20"/>
      <c r="R435" s="20"/>
      <c r="S435" s="19"/>
      <c r="T435" s="20"/>
      <c r="U435" s="19"/>
      <c r="V435" s="22"/>
      <c r="W435" s="22"/>
      <c r="X435" s="20"/>
      <c r="AG435" s="25"/>
      <c r="AH435" s="20"/>
    </row>
    <row r="436" spans="1:34" x14ac:dyDescent="0.35">
      <c r="A436" s="19"/>
      <c r="B436" s="20"/>
      <c r="C436" s="21"/>
      <c r="D436" s="19"/>
      <c r="E436" s="20"/>
      <c r="F436" s="19"/>
      <c r="G436" s="20"/>
      <c r="H436" s="19"/>
      <c r="I436" s="20"/>
      <c r="J436" s="20" t="s">
        <v>74</v>
      </c>
      <c r="K436" s="20" t="s">
        <v>74</v>
      </c>
      <c r="L436" s="20"/>
      <c r="M436" s="20"/>
      <c r="N436" s="20" t="s">
        <v>74</v>
      </c>
      <c r="O436" s="20" t="s">
        <v>74</v>
      </c>
      <c r="P436" s="20" t="s">
        <v>74</v>
      </c>
      <c r="Q436" s="20"/>
      <c r="R436" s="20"/>
      <c r="S436" s="19"/>
      <c r="T436" s="20"/>
      <c r="U436" s="19"/>
      <c r="V436" s="22"/>
      <c r="W436" s="22"/>
      <c r="X436" s="20"/>
      <c r="AG436" s="25"/>
      <c r="AH436" s="20"/>
    </row>
    <row r="437" spans="1:34" x14ac:dyDescent="0.35">
      <c r="A437" s="19"/>
      <c r="B437" s="20"/>
      <c r="C437" s="21"/>
      <c r="D437" s="19"/>
      <c r="E437" s="20"/>
      <c r="F437" s="19"/>
      <c r="G437" s="20"/>
      <c r="H437" s="19"/>
      <c r="I437" s="20"/>
      <c r="J437" s="20" t="s">
        <v>74</v>
      </c>
      <c r="K437" s="20" t="s">
        <v>74</v>
      </c>
      <c r="L437" s="20"/>
      <c r="M437" s="20"/>
      <c r="N437" s="20" t="s">
        <v>74</v>
      </c>
      <c r="O437" s="20" t="s">
        <v>74</v>
      </c>
      <c r="P437" s="20" t="s">
        <v>74</v>
      </c>
      <c r="Q437" s="20"/>
      <c r="R437" s="20"/>
      <c r="S437" s="19"/>
      <c r="T437" s="20"/>
      <c r="U437" s="19"/>
      <c r="V437" s="22"/>
      <c r="W437" s="22"/>
      <c r="X437" s="20"/>
      <c r="AG437" s="25"/>
      <c r="AH437" s="20"/>
    </row>
    <row r="438" spans="1:34" x14ac:dyDescent="0.35">
      <c r="A438" s="19"/>
      <c r="B438" s="20"/>
      <c r="C438" s="21"/>
      <c r="D438" s="19"/>
      <c r="E438" s="20"/>
      <c r="F438" s="19"/>
      <c r="G438" s="20"/>
      <c r="H438" s="19"/>
      <c r="I438" s="20"/>
      <c r="J438" s="20" t="s">
        <v>74</v>
      </c>
      <c r="K438" s="20" t="s">
        <v>74</v>
      </c>
      <c r="L438" s="20"/>
      <c r="M438" s="20"/>
      <c r="N438" s="20" t="s">
        <v>74</v>
      </c>
      <c r="O438" s="20" t="s">
        <v>74</v>
      </c>
      <c r="P438" s="20" t="s">
        <v>74</v>
      </c>
      <c r="Q438" s="20"/>
      <c r="R438" s="20"/>
      <c r="S438" s="19"/>
      <c r="T438" s="20"/>
      <c r="U438" s="19"/>
      <c r="V438" s="22"/>
      <c r="W438" s="22"/>
      <c r="X438" s="20"/>
      <c r="AG438" s="25"/>
      <c r="AH438" s="20"/>
    </row>
    <row r="439" spans="1:34" x14ac:dyDescent="0.35">
      <c r="A439" s="19"/>
      <c r="B439" s="20"/>
      <c r="C439" s="21"/>
      <c r="D439" s="19"/>
      <c r="E439" s="20"/>
      <c r="F439" s="19"/>
      <c r="G439" s="20"/>
      <c r="H439" s="19"/>
      <c r="I439" s="20"/>
      <c r="J439" s="20" t="s">
        <v>74</v>
      </c>
      <c r="K439" s="20" t="s">
        <v>74</v>
      </c>
      <c r="L439" s="20"/>
      <c r="M439" s="20"/>
      <c r="N439" s="20" t="s">
        <v>74</v>
      </c>
      <c r="O439" s="20" t="s">
        <v>74</v>
      </c>
      <c r="P439" s="20" t="s">
        <v>74</v>
      </c>
      <c r="Q439" s="20"/>
      <c r="R439" s="20"/>
      <c r="S439" s="19"/>
      <c r="T439" s="20"/>
      <c r="U439" s="19"/>
      <c r="V439" s="22"/>
      <c r="W439" s="22"/>
      <c r="X439" s="20"/>
      <c r="AG439" s="25"/>
      <c r="AH439" s="20"/>
    </row>
    <row r="440" spans="1:34" x14ac:dyDescent="0.35">
      <c r="A440" s="19"/>
      <c r="B440" s="20"/>
      <c r="C440" s="21"/>
      <c r="D440" s="19"/>
      <c r="E440" s="20"/>
      <c r="F440" s="19"/>
      <c r="G440" s="20"/>
      <c r="H440" s="19"/>
      <c r="I440" s="20"/>
      <c r="J440" s="20" t="s">
        <v>74</v>
      </c>
      <c r="K440" s="20" t="s">
        <v>74</v>
      </c>
      <c r="L440" s="20"/>
      <c r="M440" s="20"/>
      <c r="N440" s="20" t="s">
        <v>74</v>
      </c>
      <c r="O440" s="20" t="s">
        <v>74</v>
      </c>
      <c r="P440" s="20" t="s">
        <v>74</v>
      </c>
      <c r="Q440" s="20"/>
      <c r="R440" s="20"/>
      <c r="S440" s="19"/>
      <c r="T440" s="20"/>
      <c r="U440" s="19"/>
      <c r="V440" s="22"/>
      <c r="W440" s="22"/>
      <c r="X440" s="20"/>
      <c r="AG440" s="25"/>
      <c r="AH440" s="20"/>
    </row>
    <row r="441" spans="1:34" x14ac:dyDescent="0.35">
      <c r="A441" s="19"/>
      <c r="B441" s="20"/>
      <c r="C441" s="21"/>
      <c r="D441" s="19"/>
      <c r="E441" s="20"/>
      <c r="F441" s="19"/>
      <c r="G441" s="20"/>
      <c r="H441" s="19"/>
      <c r="I441" s="20"/>
      <c r="J441" s="20" t="s">
        <v>74</v>
      </c>
      <c r="K441" s="20" t="s">
        <v>74</v>
      </c>
      <c r="L441" s="20"/>
      <c r="M441" s="20"/>
      <c r="N441" s="20" t="s">
        <v>74</v>
      </c>
      <c r="O441" s="20" t="s">
        <v>74</v>
      </c>
      <c r="P441" s="20" t="s">
        <v>74</v>
      </c>
      <c r="Q441" s="20"/>
      <c r="R441" s="20"/>
      <c r="S441" s="19"/>
      <c r="T441" s="20"/>
      <c r="U441" s="19"/>
      <c r="V441" s="22"/>
      <c r="W441" s="22"/>
      <c r="X441" s="20"/>
      <c r="AG441" s="25"/>
      <c r="AH441" s="20"/>
    </row>
    <row r="442" spans="1:34" x14ac:dyDescent="0.35">
      <c r="A442" s="19"/>
      <c r="B442" s="20"/>
      <c r="C442" s="21"/>
      <c r="D442" s="19"/>
      <c r="E442" s="20"/>
      <c r="F442" s="19"/>
      <c r="G442" s="20"/>
      <c r="H442" s="19"/>
      <c r="I442" s="20"/>
      <c r="J442" s="20" t="s">
        <v>74</v>
      </c>
      <c r="K442" s="20" t="s">
        <v>74</v>
      </c>
      <c r="L442" s="20"/>
      <c r="M442" s="20"/>
      <c r="N442" s="20" t="s">
        <v>74</v>
      </c>
      <c r="O442" s="20" t="s">
        <v>74</v>
      </c>
      <c r="P442" s="20" t="s">
        <v>74</v>
      </c>
      <c r="Q442" s="20"/>
      <c r="R442" s="20"/>
      <c r="S442" s="19"/>
      <c r="T442" s="20"/>
      <c r="U442" s="19"/>
      <c r="V442" s="22"/>
      <c r="W442" s="22"/>
      <c r="X442" s="20"/>
      <c r="AG442" s="25"/>
      <c r="AH442" s="20"/>
    </row>
    <row r="443" spans="1:34" x14ac:dyDescent="0.35">
      <c r="A443" s="19"/>
      <c r="B443" s="20"/>
      <c r="C443" s="21"/>
      <c r="D443" s="19"/>
      <c r="E443" s="20"/>
      <c r="F443" s="19"/>
      <c r="G443" s="20"/>
      <c r="H443" s="19"/>
      <c r="I443" s="20"/>
      <c r="J443" s="20" t="s">
        <v>74</v>
      </c>
      <c r="K443" s="20" t="s">
        <v>74</v>
      </c>
      <c r="L443" s="20"/>
      <c r="M443" s="20"/>
      <c r="N443" s="20" t="s">
        <v>74</v>
      </c>
      <c r="O443" s="20" t="s">
        <v>74</v>
      </c>
      <c r="P443" s="20" t="s">
        <v>74</v>
      </c>
      <c r="Q443" s="20"/>
      <c r="R443" s="20"/>
      <c r="S443" s="19"/>
      <c r="T443" s="20"/>
      <c r="U443" s="19"/>
      <c r="V443" s="22"/>
      <c r="W443" s="22"/>
      <c r="X443" s="20"/>
      <c r="AG443" s="25"/>
      <c r="AH443" s="20"/>
    </row>
    <row r="444" spans="1:34" x14ac:dyDescent="0.35">
      <c r="A444" s="19"/>
      <c r="B444" s="20"/>
      <c r="C444" s="21"/>
      <c r="D444" s="19"/>
      <c r="E444" s="20"/>
      <c r="F444" s="19"/>
      <c r="G444" s="20"/>
      <c r="H444" s="19"/>
      <c r="I444" s="20"/>
      <c r="J444" s="20" t="s">
        <v>74</v>
      </c>
      <c r="K444" s="20" t="s">
        <v>74</v>
      </c>
      <c r="L444" s="20"/>
      <c r="M444" s="20"/>
      <c r="N444" s="20" t="s">
        <v>74</v>
      </c>
      <c r="O444" s="20" t="s">
        <v>74</v>
      </c>
      <c r="P444" s="20" t="s">
        <v>74</v>
      </c>
      <c r="Q444" s="20"/>
      <c r="R444" s="20"/>
      <c r="S444" s="19"/>
      <c r="T444" s="20"/>
      <c r="U444" s="19"/>
      <c r="V444" s="22"/>
      <c r="W444" s="22"/>
      <c r="X444" s="20"/>
      <c r="AG444" s="25"/>
      <c r="AH444" s="20"/>
    </row>
    <row r="445" spans="1:34" x14ac:dyDescent="0.35">
      <c r="A445" s="19"/>
      <c r="B445" s="20"/>
      <c r="C445" s="21"/>
      <c r="D445" s="19"/>
      <c r="E445" s="20"/>
      <c r="F445" s="19"/>
      <c r="G445" s="20"/>
      <c r="H445" s="19"/>
      <c r="I445" s="20"/>
      <c r="J445" s="20" t="s">
        <v>74</v>
      </c>
      <c r="K445" s="20" t="s">
        <v>74</v>
      </c>
      <c r="L445" s="20"/>
      <c r="M445" s="20"/>
      <c r="N445" s="20" t="s">
        <v>74</v>
      </c>
      <c r="O445" s="20" t="s">
        <v>74</v>
      </c>
      <c r="P445" s="20" t="s">
        <v>74</v>
      </c>
      <c r="Q445" s="20"/>
      <c r="R445" s="20"/>
      <c r="S445" s="19"/>
      <c r="T445" s="20"/>
      <c r="U445" s="19"/>
      <c r="V445" s="22"/>
      <c r="W445" s="22"/>
      <c r="X445" s="20"/>
      <c r="AG445" s="25"/>
      <c r="AH445" s="20"/>
    </row>
    <row r="446" spans="1:34" x14ac:dyDescent="0.35">
      <c r="A446" s="19"/>
      <c r="B446" s="20"/>
      <c r="C446" s="21"/>
      <c r="D446" s="19"/>
      <c r="E446" s="20"/>
      <c r="F446" s="19"/>
      <c r="G446" s="20"/>
      <c r="H446" s="19"/>
      <c r="I446" s="20"/>
      <c r="J446" s="20" t="s">
        <v>74</v>
      </c>
      <c r="K446" s="20" t="s">
        <v>74</v>
      </c>
      <c r="L446" s="20"/>
      <c r="M446" s="20"/>
      <c r="N446" s="20" t="s">
        <v>74</v>
      </c>
      <c r="O446" s="20" t="s">
        <v>74</v>
      </c>
      <c r="P446" s="20" t="s">
        <v>74</v>
      </c>
      <c r="Q446" s="20"/>
      <c r="R446" s="20"/>
      <c r="S446" s="19"/>
      <c r="T446" s="20"/>
      <c r="U446" s="19"/>
      <c r="V446" s="22"/>
      <c r="W446" s="22"/>
      <c r="X446" s="20"/>
      <c r="AG446" s="25"/>
      <c r="AH446" s="20"/>
    </row>
    <row r="447" spans="1:34" x14ac:dyDescent="0.35">
      <c r="A447" s="19"/>
      <c r="B447" s="20"/>
      <c r="C447" s="21"/>
      <c r="D447" s="19"/>
      <c r="E447" s="20"/>
      <c r="F447" s="19"/>
      <c r="G447" s="20"/>
      <c r="H447" s="19"/>
      <c r="I447" s="20"/>
      <c r="J447" s="20" t="s">
        <v>74</v>
      </c>
      <c r="K447" s="20" t="s">
        <v>74</v>
      </c>
      <c r="L447" s="20"/>
      <c r="M447" s="20"/>
      <c r="N447" s="20" t="s">
        <v>74</v>
      </c>
      <c r="O447" s="20" t="s">
        <v>74</v>
      </c>
      <c r="P447" s="20" t="s">
        <v>74</v>
      </c>
      <c r="Q447" s="20"/>
      <c r="R447" s="20"/>
      <c r="S447" s="19"/>
      <c r="T447" s="20"/>
      <c r="U447" s="19"/>
      <c r="V447" s="22"/>
      <c r="W447" s="22"/>
      <c r="X447" s="20"/>
      <c r="AG447" s="25"/>
      <c r="AH447" s="20"/>
    </row>
    <row r="448" spans="1:34" x14ac:dyDescent="0.35">
      <c r="A448" s="19"/>
      <c r="B448" s="20"/>
      <c r="C448" s="21"/>
      <c r="D448" s="19"/>
      <c r="E448" s="20"/>
      <c r="F448" s="19"/>
      <c r="G448" s="20"/>
      <c r="H448" s="19"/>
      <c r="I448" s="20"/>
      <c r="J448" s="20" t="s">
        <v>74</v>
      </c>
      <c r="K448" s="20" t="s">
        <v>74</v>
      </c>
      <c r="L448" s="20"/>
      <c r="M448" s="20"/>
      <c r="N448" s="20" t="s">
        <v>74</v>
      </c>
      <c r="O448" s="20" t="s">
        <v>74</v>
      </c>
      <c r="P448" s="20" t="s">
        <v>74</v>
      </c>
      <c r="Q448" s="20"/>
      <c r="R448" s="20"/>
      <c r="S448" s="19"/>
      <c r="T448" s="20"/>
      <c r="U448" s="19"/>
      <c r="V448" s="22"/>
      <c r="W448" s="22"/>
      <c r="X448" s="20"/>
      <c r="AG448" s="25"/>
      <c r="AH448" s="20"/>
    </row>
    <row r="449" spans="1:34" x14ac:dyDescent="0.35">
      <c r="A449" s="19"/>
      <c r="B449" s="20"/>
      <c r="C449" s="21"/>
      <c r="D449" s="19"/>
      <c r="E449" s="20"/>
      <c r="F449" s="19"/>
      <c r="G449" s="20"/>
      <c r="H449" s="19"/>
      <c r="I449" s="20"/>
      <c r="J449" s="20" t="s">
        <v>74</v>
      </c>
      <c r="K449" s="20" t="s">
        <v>74</v>
      </c>
      <c r="L449" s="20"/>
      <c r="M449" s="20"/>
      <c r="N449" s="20" t="s">
        <v>74</v>
      </c>
      <c r="O449" s="20" t="s">
        <v>74</v>
      </c>
      <c r="P449" s="20" t="s">
        <v>74</v>
      </c>
      <c r="Q449" s="20"/>
      <c r="R449" s="20"/>
      <c r="S449" s="19"/>
      <c r="T449" s="20"/>
      <c r="U449" s="19"/>
      <c r="V449" s="22"/>
      <c r="W449" s="22"/>
      <c r="X449" s="20"/>
      <c r="AG449" s="25"/>
      <c r="AH449" s="20"/>
    </row>
    <row r="450" spans="1:34" x14ac:dyDescent="0.35">
      <c r="A450" s="19"/>
      <c r="B450" s="20"/>
      <c r="C450" s="21"/>
      <c r="D450" s="19"/>
      <c r="E450" s="20"/>
      <c r="F450" s="19"/>
      <c r="G450" s="20"/>
      <c r="H450" s="19"/>
      <c r="I450" s="20"/>
      <c r="J450" s="20" t="s">
        <v>74</v>
      </c>
      <c r="K450" s="20" t="s">
        <v>74</v>
      </c>
      <c r="L450" s="20"/>
      <c r="M450" s="20"/>
      <c r="N450" s="20" t="s">
        <v>74</v>
      </c>
      <c r="O450" s="20" t="s">
        <v>74</v>
      </c>
      <c r="P450" s="20" t="s">
        <v>74</v>
      </c>
      <c r="Q450" s="20"/>
      <c r="R450" s="20"/>
      <c r="S450" s="19"/>
      <c r="T450" s="20"/>
      <c r="U450" s="19"/>
      <c r="V450" s="22"/>
      <c r="W450" s="22"/>
      <c r="X450" s="20"/>
      <c r="AG450" s="25"/>
      <c r="AH450" s="20"/>
    </row>
    <row r="451" spans="1:34" x14ac:dyDescent="0.35">
      <c r="A451" s="19"/>
      <c r="B451" s="20"/>
      <c r="C451" s="21"/>
      <c r="D451" s="19"/>
      <c r="E451" s="20"/>
      <c r="F451" s="19"/>
      <c r="G451" s="20"/>
      <c r="H451" s="19"/>
      <c r="I451" s="20"/>
      <c r="J451" s="20" t="s">
        <v>74</v>
      </c>
      <c r="K451" s="20" t="s">
        <v>74</v>
      </c>
      <c r="L451" s="20"/>
      <c r="M451" s="20"/>
      <c r="N451" s="20" t="s">
        <v>74</v>
      </c>
      <c r="O451" s="20" t="s">
        <v>74</v>
      </c>
      <c r="P451" s="20" t="s">
        <v>74</v>
      </c>
      <c r="Q451" s="20"/>
      <c r="R451" s="20"/>
      <c r="S451" s="19"/>
      <c r="T451" s="20"/>
      <c r="U451" s="19"/>
      <c r="V451" s="22"/>
      <c r="W451" s="22"/>
      <c r="X451" s="20"/>
      <c r="AG451" s="25"/>
      <c r="AH451" s="20"/>
    </row>
    <row r="452" spans="1:34" x14ac:dyDescent="0.35">
      <c r="A452" s="19"/>
      <c r="B452" s="20"/>
      <c r="C452" s="21"/>
      <c r="D452" s="19"/>
      <c r="E452" s="20"/>
      <c r="F452" s="19"/>
      <c r="G452" s="20"/>
      <c r="H452" s="19"/>
      <c r="I452" s="20"/>
      <c r="J452" s="20" t="s">
        <v>74</v>
      </c>
      <c r="K452" s="20" t="s">
        <v>74</v>
      </c>
      <c r="L452" s="20"/>
      <c r="M452" s="20"/>
      <c r="N452" s="20" t="s">
        <v>74</v>
      </c>
      <c r="O452" s="20" t="s">
        <v>74</v>
      </c>
      <c r="P452" s="20" t="s">
        <v>74</v>
      </c>
      <c r="Q452" s="20"/>
      <c r="R452" s="20"/>
      <c r="S452" s="19"/>
      <c r="T452" s="20"/>
      <c r="U452" s="19"/>
      <c r="V452" s="22"/>
      <c r="W452" s="22"/>
      <c r="X452" s="20"/>
      <c r="AG452" s="25"/>
      <c r="AH452" s="20"/>
    </row>
    <row r="453" spans="1:34" x14ac:dyDescent="0.35">
      <c r="A453" s="19"/>
      <c r="B453" s="20"/>
      <c r="C453" s="21"/>
      <c r="D453" s="19"/>
      <c r="E453" s="20"/>
      <c r="F453" s="19"/>
      <c r="G453" s="20"/>
      <c r="H453" s="19"/>
      <c r="I453" s="20"/>
      <c r="J453" s="20" t="s">
        <v>74</v>
      </c>
      <c r="K453" s="20" t="s">
        <v>74</v>
      </c>
      <c r="L453" s="20"/>
      <c r="M453" s="20"/>
      <c r="N453" s="20" t="s">
        <v>74</v>
      </c>
      <c r="O453" s="20" t="s">
        <v>74</v>
      </c>
      <c r="P453" s="20" t="s">
        <v>74</v>
      </c>
      <c r="Q453" s="20"/>
      <c r="R453" s="20"/>
      <c r="S453" s="19"/>
      <c r="T453" s="20"/>
      <c r="U453" s="19"/>
      <c r="V453" s="22"/>
      <c r="W453" s="22"/>
      <c r="X453" s="20"/>
      <c r="AG453" s="25"/>
      <c r="AH453" s="20"/>
    </row>
    <row r="454" spans="1:34" x14ac:dyDescent="0.35">
      <c r="A454" s="19"/>
      <c r="B454" s="20"/>
      <c r="C454" s="21"/>
      <c r="D454" s="19"/>
      <c r="E454" s="20"/>
      <c r="F454" s="19"/>
      <c r="G454" s="20"/>
      <c r="H454" s="19"/>
      <c r="I454" s="20"/>
      <c r="J454" s="20" t="s">
        <v>74</v>
      </c>
      <c r="K454" s="20" t="s">
        <v>74</v>
      </c>
      <c r="L454" s="20"/>
      <c r="M454" s="20"/>
      <c r="N454" s="20" t="s">
        <v>74</v>
      </c>
      <c r="O454" s="20" t="s">
        <v>74</v>
      </c>
      <c r="P454" s="20" t="s">
        <v>74</v>
      </c>
      <c r="Q454" s="20"/>
      <c r="R454" s="20"/>
      <c r="S454" s="19"/>
      <c r="T454" s="20"/>
      <c r="U454" s="19"/>
      <c r="V454" s="22"/>
      <c r="W454" s="22"/>
      <c r="X454" s="20"/>
      <c r="AG454" s="25"/>
      <c r="AH454" s="20"/>
    </row>
    <row r="455" spans="1:34" x14ac:dyDescent="0.35">
      <c r="A455" s="19"/>
      <c r="B455" s="20"/>
      <c r="C455" s="21"/>
      <c r="D455" s="19"/>
      <c r="E455" s="20"/>
      <c r="F455" s="19"/>
      <c r="G455" s="20"/>
      <c r="H455" s="19"/>
      <c r="I455" s="20"/>
      <c r="J455" s="20" t="s">
        <v>74</v>
      </c>
      <c r="K455" s="20" t="s">
        <v>74</v>
      </c>
      <c r="L455" s="20"/>
      <c r="M455" s="20"/>
      <c r="N455" s="20" t="s">
        <v>74</v>
      </c>
      <c r="O455" s="20" t="s">
        <v>74</v>
      </c>
      <c r="P455" s="20" t="s">
        <v>74</v>
      </c>
      <c r="Q455" s="20"/>
      <c r="R455" s="20"/>
      <c r="S455" s="19"/>
      <c r="T455" s="20"/>
      <c r="U455" s="19"/>
      <c r="V455" s="22"/>
      <c r="W455" s="22"/>
      <c r="X455" s="20"/>
      <c r="AG455" s="25"/>
      <c r="AH455" s="20"/>
    </row>
    <row r="456" spans="1:34" x14ac:dyDescent="0.35">
      <c r="A456" s="19"/>
      <c r="B456" s="20"/>
      <c r="C456" s="21"/>
      <c r="D456" s="19"/>
      <c r="E456" s="20"/>
      <c r="F456" s="19"/>
      <c r="G456" s="20"/>
      <c r="H456" s="19"/>
      <c r="I456" s="20"/>
      <c r="J456" s="20" t="s">
        <v>74</v>
      </c>
      <c r="K456" s="20" t="s">
        <v>74</v>
      </c>
      <c r="L456" s="20"/>
      <c r="M456" s="20"/>
      <c r="N456" s="20" t="s">
        <v>74</v>
      </c>
      <c r="O456" s="20" t="s">
        <v>74</v>
      </c>
      <c r="P456" s="20" t="s">
        <v>74</v>
      </c>
      <c r="Q456" s="20"/>
      <c r="R456" s="20"/>
      <c r="S456" s="19"/>
      <c r="T456" s="20"/>
      <c r="U456" s="19"/>
      <c r="V456" s="22"/>
      <c r="W456" s="22"/>
      <c r="X456" s="20"/>
      <c r="AG456" s="25"/>
      <c r="AH456" s="20"/>
    </row>
    <row r="457" spans="1:34" x14ac:dyDescent="0.35">
      <c r="A457" s="19"/>
      <c r="B457" s="20"/>
      <c r="C457" s="21"/>
      <c r="D457" s="19"/>
      <c r="E457" s="20"/>
      <c r="F457" s="19"/>
      <c r="G457" s="20"/>
      <c r="H457" s="19"/>
      <c r="I457" s="20"/>
      <c r="J457" s="20" t="s">
        <v>74</v>
      </c>
      <c r="K457" s="20" t="s">
        <v>74</v>
      </c>
      <c r="L457" s="20"/>
      <c r="M457" s="20"/>
      <c r="N457" s="20" t="s">
        <v>74</v>
      </c>
      <c r="O457" s="20" t="s">
        <v>74</v>
      </c>
      <c r="P457" s="20" t="s">
        <v>74</v>
      </c>
      <c r="Q457" s="20"/>
      <c r="R457" s="20"/>
      <c r="S457" s="19"/>
      <c r="T457" s="20"/>
      <c r="U457" s="19"/>
      <c r="V457" s="22"/>
      <c r="W457" s="22"/>
      <c r="X457" s="20"/>
      <c r="AG457" s="25"/>
      <c r="AH457" s="20"/>
    </row>
    <row r="458" spans="1:34" x14ac:dyDescent="0.35">
      <c r="A458" s="19"/>
      <c r="B458" s="20"/>
      <c r="C458" s="21"/>
      <c r="D458" s="19"/>
      <c r="E458" s="20"/>
      <c r="F458" s="19"/>
      <c r="G458" s="20"/>
      <c r="H458" s="19"/>
      <c r="I458" s="20"/>
      <c r="J458" s="20" t="s">
        <v>74</v>
      </c>
      <c r="K458" s="20" t="s">
        <v>74</v>
      </c>
      <c r="L458" s="20"/>
      <c r="M458" s="20"/>
      <c r="N458" s="20" t="s">
        <v>74</v>
      </c>
      <c r="O458" s="20" t="s">
        <v>74</v>
      </c>
      <c r="P458" s="20" t="s">
        <v>74</v>
      </c>
      <c r="Q458" s="20"/>
      <c r="R458" s="20"/>
      <c r="S458" s="19"/>
      <c r="T458" s="20"/>
      <c r="U458" s="19"/>
      <c r="V458" s="22"/>
      <c r="W458" s="22"/>
      <c r="X458" s="20"/>
      <c r="AG458" s="25"/>
      <c r="AH458" s="20"/>
    </row>
    <row r="459" spans="1:34" x14ac:dyDescent="0.35">
      <c r="A459" s="19"/>
      <c r="B459" s="20"/>
      <c r="C459" s="21"/>
      <c r="D459" s="19"/>
      <c r="E459" s="20"/>
      <c r="F459" s="19"/>
      <c r="G459" s="20"/>
      <c r="H459" s="19"/>
      <c r="I459" s="20"/>
      <c r="J459" s="20" t="s">
        <v>74</v>
      </c>
      <c r="K459" s="20" t="s">
        <v>74</v>
      </c>
      <c r="L459" s="20"/>
      <c r="M459" s="20"/>
      <c r="N459" s="20" t="s">
        <v>74</v>
      </c>
      <c r="O459" s="20" t="s">
        <v>74</v>
      </c>
      <c r="P459" s="20" t="s">
        <v>74</v>
      </c>
      <c r="Q459" s="20"/>
      <c r="R459" s="20"/>
      <c r="S459" s="19"/>
      <c r="T459" s="20"/>
      <c r="U459" s="19"/>
      <c r="V459" s="22"/>
      <c r="W459" s="22"/>
      <c r="X459" s="20"/>
      <c r="AG459" s="25"/>
      <c r="AH459" s="20"/>
    </row>
    <row r="460" spans="1:34" x14ac:dyDescent="0.35">
      <c r="A460" s="19"/>
      <c r="B460" s="20"/>
      <c r="C460" s="21"/>
      <c r="D460" s="19"/>
      <c r="E460" s="20"/>
      <c r="F460" s="19"/>
      <c r="G460" s="20"/>
      <c r="H460" s="19"/>
      <c r="I460" s="20"/>
      <c r="J460" s="20" t="s">
        <v>74</v>
      </c>
      <c r="K460" s="20" t="s">
        <v>74</v>
      </c>
      <c r="L460" s="20"/>
      <c r="M460" s="20"/>
      <c r="N460" s="20" t="s">
        <v>74</v>
      </c>
      <c r="O460" s="20" t="s">
        <v>74</v>
      </c>
      <c r="P460" s="20" t="s">
        <v>74</v>
      </c>
      <c r="Q460" s="20"/>
      <c r="R460" s="20"/>
      <c r="S460" s="19"/>
      <c r="T460" s="20"/>
      <c r="U460" s="19"/>
      <c r="V460" s="22"/>
      <c r="W460" s="22"/>
      <c r="X460" s="20"/>
      <c r="AG460" s="25"/>
      <c r="AH460" s="20"/>
    </row>
    <row r="461" spans="1:34" x14ac:dyDescent="0.35">
      <c r="A461" s="19"/>
      <c r="B461" s="20"/>
      <c r="C461" s="21"/>
      <c r="D461" s="19"/>
      <c r="E461" s="20"/>
      <c r="F461" s="19"/>
      <c r="G461" s="20"/>
      <c r="H461" s="19"/>
      <c r="I461" s="20"/>
      <c r="J461" s="20" t="s">
        <v>74</v>
      </c>
      <c r="K461" s="20" t="s">
        <v>74</v>
      </c>
      <c r="L461" s="20"/>
      <c r="M461" s="20"/>
      <c r="N461" s="20" t="s">
        <v>74</v>
      </c>
      <c r="O461" s="20" t="s">
        <v>74</v>
      </c>
      <c r="P461" s="20" t="s">
        <v>74</v>
      </c>
      <c r="Q461" s="20"/>
      <c r="R461" s="20"/>
      <c r="S461" s="19"/>
      <c r="T461" s="20"/>
      <c r="U461" s="19"/>
      <c r="V461" s="22"/>
      <c r="W461" s="22"/>
      <c r="X461" s="20"/>
      <c r="AG461" s="25"/>
      <c r="AH461" s="20"/>
    </row>
    <row r="462" spans="1:34" x14ac:dyDescent="0.35">
      <c r="A462" s="19"/>
      <c r="B462" s="20"/>
      <c r="C462" s="21"/>
      <c r="D462" s="19"/>
      <c r="E462" s="20"/>
      <c r="F462" s="19"/>
      <c r="G462" s="20"/>
      <c r="H462" s="19"/>
      <c r="I462" s="20"/>
      <c r="J462" s="20" t="s">
        <v>74</v>
      </c>
      <c r="K462" s="20" t="s">
        <v>74</v>
      </c>
      <c r="L462" s="20"/>
      <c r="M462" s="20"/>
      <c r="N462" s="20" t="s">
        <v>74</v>
      </c>
      <c r="O462" s="20" t="s">
        <v>74</v>
      </c>
      <c r="P462" s="20" t="s">
        <v>74</v>
      </c>
      <c r="Q462" s="20"/>
      <c r="R462" s="20"/>
      <c r="S462" s="19"/>
      <c r="T462" s="20"/>
      <c r="U462" s="19"/>
      <c r="V462" s="22"/>
      <c r="W462" s="22"/>
      <c r="X462" s="20"/>
      <c r="AG462" s="25"/>
      <c r="AH462" s="20"/>
    </row>
    <row r="463" spans="1:34" x14ac:dyDescent="0.35">
      <c r="A463" s="19"/>
      <c r="B463" s="20"/>
      <c r="C463" s="21"/>
      <c r="D463" s="19"/>
      <c r="E463" s="20"/>
      <c r="F463" s="19"/>
      <c r="G463" s="20"/>
      <c r="H463" s="19"/>
      <c r="I463" s="20"/>
      <c r="J463" s="20" t="s">
        <v>74</v>
      </c>
      <c r="K463" s="20" t="s">
        <v>74</v>
      </c>
      <c r="L463" s="20"/>
      <c r="M463" s="20"/>
      <c r="N463" s="20" t="s">
        <v>74</v>
      </c>
      <c r="O463" s="20" t="s">
        <v>74</v>
      </c>
      <c r="P463" s="20" t="s">
        <v>74</v>
      </c>
      <c r="Q463" s="20"/>
      <c r="R463" s="20"/>
      <c r="S463" s="19"/>
      <c r="T463" s="20"/>
      <c r="U463" s="19"/>
      <c r="V463" s="22"/>
      <c r="W463" s="22"/>
      <c r="X463" s="20"/>
      <c r="AG463" s="25"/>
      <c r="AH463" s="20"/>
    </row>
    <row r="464" spans="1:34" x14ac:dyDescent="0.35">
      <c r="A464" s="19"/>
      <c r="B464" s="20"/>
      <c r="C464" s="21"/>
      <c r="D464" s="19"/>
      <c r="E464" s="20"/>
      <c r="F464" s="19"/>
      <c r="G464" s="20"/>
      <c r="H464" s="19"/>
      <c r="I464" s="20"/>
      <c r="J464" s="20" t="s">
        <v>74</v>
      </c>
      <c r="K464" s="20" t="s">
        <v>74</v>
      </c>
      <c r="L464" s="20"/>
      <c r="M464" s="20"/>
      <c r="N464" s="20" t="s">
        <v>74</v>
      </c>
      <c r="O464" s="20" t="s">
        <v>74</v>
      </c>
      <c r="P464" s="20" t="s">
        <v>74</v>
      </c>
      <c r="Q464" s="20"/>
      <c r="R464" s="20"/>
      <c r="S464" s="19"/>
      <c r="T464" s="20"/>
      <c r="U464" s="19"/>
      <c r="V464" s="22"/>
      <c r="W464" s="22"/>
      <c r="X464" s="20"/>
      <c r="AG464" s="25"/>
      <c r="AH464" s="20"/>
    </row>
    <row r="465" spans="1:34" x14ac:dyDescent="0.35">
      <c r="A465" s="19"/>
      <c r="B465" s="20"/>
      <c r="C465" s="21"/>
      <c r="D465" s="19"/>
      <c r="E465" s="20"/>
      <c r="F465" s="19"/>
      <c r="G465" s="20"/>
      <c r="H465" s="19"/>
      <c r="I465" s="20"/>
      <c r="J465" s="20" t="s">
        <v>74</v>
      </c>
      <c r="K465" s="20" t="s">
        <v>74</v>
      </c>
      <c r="L465" s="20"/>
      <c r="M465" s="20"/>
      <c r="N465" s="20" t="s">
        <v>74</v>
      </c>
      <c r="O465" s="20" t="s">
        <v>74</v>
      </c>
      <c r="P465" s="20" t="s">
        <v>74</v>
      </c>
      <c r="Q465" s="20"/>
      <c r="R465" s="20"/>
      <c r="S465" s="19"/>
      <c r="T465" s="20"/>
      <c r="U465" s="19"/>
      <c r="V465" s="22"/>
      <c r="W465" s="22"/>
      <c r="X465" s="20"/>
      <c r="AG465" s="25"/>
      <c r="AH465" s="20"/>
    </row>
    <row r="466" spans="1:34" x14ac:dyDescent="0.35">
      <c r="A466" s="19"/>
      <c r="B466" s="20"/>
      <c r="C466" s="21"/>
      <c r="D466" s="19"/>
      <c r="E466" s="20"/>
      <c r="F466" s="19"/>
      <c r="G466" s="20"/>
      <c r="H466" s="19"/>
      <c r="I466" s="20"/>
      <c r="J466" s="20" t="s">
        <v>74</v>
      </c>
      <c r="K466" s="20" t="s">
        <v>74</v>
      </c>
      <c r="L466" s="20"/>
      <c r="M466" s="20"/>
      <c r="N466" s="20" t="s">
        <v>74</v>
      </c>
      <c r="O466" s="20" t="s">
        <v>74</v>
      </c>
      <c r="P466" s="20" t="s">
        <v>74</v>
      </c>
      <c r="Q466" s="20"/>
      <c r="R466" s="20"/>
      <c r="S466" s="19"/>
      <c r="T466" s="20"/>
      <c r="U466" s="19"/>
      <c r="V466" s="22"/>
      <c r="W466" s="22"/>
      <c r="X466" s="20"/>
      <c r="AG466" s="25"/>
      <c r="AH466" s="20"/>
    </row>
    <row r="467" spans="1:34" x14ac:dyDescent="0.35">
      <c r="A467" s="19"/>
      <c r="B467" s="20"/>
      <c r="C467" s="21"/>
      <c r="D467" s="19"/>
      <c r="E467" s="20"/>
      <c r="F467" s="19"/>
      <c r="G467" s="20"/>
      <c r="H467" s="19"/>
      <c r="I467" s="20"/>
      <c r="J467" s="20" t="s">
        <v>74</v>
      </c>
      <c r="K467" s="20" t="s">
        <v>74</v>
      </c>
      <c r="L467" s="20"/>
      <c r="M467" s="20"/>
      <c r="N467" s="20" t="s">
        <v>74</v>
      </c>
      <c r="O467" s="20" t="s">
        <v>74</v>
      </c>
      <c r="P467" s="20" t="s">
        <v>74</v>
      </c>
      <c r="Q467" s="20"/>
      <c r="R467" s="20"/>
      <c r="S467" s="19"/>
      <c r="T467" s="20"/>
      <c r="U467" s="19"/>
      <c r="V467" s="22"/>
      <c r="W467" s="22"/>
      <c r="X467" s="20"/>
      <c r="AG467" s="25"/>
      <c r="AH467" s="20"/>
    </row>
  </sheetData>
  <autoFilter ref="A1:OJ1" xr:uid="{77631940-A2FB-493B-959F-20BED57F638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C5A1-9A57-4128-ACF9-724B403CD7B4}">
  <dimension ref="A1:AO12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406</v>
      </c>
      <c r="X1" s="10" t="s">
        <v>407</v>
      </c>
      <c r="Y1" s="10" t="s">
        <v>408</v>
      </c>
      <c r="Z1" s="10" t="s">
        <v>409</v>
      </c>
      <c r="AA1" s="10" t="s">
        <v>410</v>
      </c>
      <c r="AB1" s="10" t="s">
        <v>411</v>
      </c>
      <c r="AC1" s="10" t="s">
        <v>412</v>
      </c>
      <c r="AD1" s="10" t="s">
        <v>413</v>
      </c>
      <c r="AE1" s="10" t="s">
        <v>414</v>
      </c>
      <c r="AF1" s="10" t="s">
        <v>415</v>
      </c>
      <c r="AG1" s="10" t="s">
        <v>416</v>
      </c>
      <c r="AH1" s="10" t="s">
        <v>417</v>
      </c>
      <c r="AI1" s="10" t="s">
        <v>418</v>
      </c>
      <c r="AJ1" s="10" t="s">
        <v>419</v>
      </c>
      <c r="AK1" s="10" t="s">
        <v>420</v>
      </c>
      <c r="AL1" s="10" t="s">
        <v>421</v>
      </c>
      <c r="AM1" s="10" t="s">
        <v>422</v>
      </c>
      <c r="AN1" s="10" t="s">
        <v>59</v>
      </c>
      <c r="AO1" s="10" t="s">
        <v>60</v>
      </c>
    </row>
    <row r="2" spans="1:41" ht="58" x14ac:dyDescent="0.35">
      <c r="A2" s="14" t="s">
        <v>61</v>
      </c>
      <c r="B2" s="14" t="s">
        <v>62</v>
      </c>
      <c r="C2" s="15">
        <v>44510.504861111112</v>
      </c>
      <c r="D2" s="14" t="s">
        <v>63</v>
      </c>
      <c r="E2" s="16" t="s">
        <v>64</v>
      </c>
      <c r="F2" s="14" t="s">
        <v>65</v>
      </c>
      <c r="G2" s="16" t="s">
        <v>66</v>
      </c>
      <c r="H2" s="14" t="s">
        <v>67</v>
      </c>
      <c r="I2" s="16" t="s">
        <v>68</v>
      </c>
      <c r="J2" s="16" t="s">
        <v>69</v>
      </c>
      <c r="K2" s="16" t="s">
        <v>70</v>
      </c>
      <c r="L2" s="14" t="s">
        <v>71</v>
      </c>
      <c r="M2" s="16" t="s">
        <v>72</v>
      </c>
      <c r="N2" s="14" t="s">
        <v>73</v>
      </c>
      <c r="O2" s="16" t="s">
        <v>74</v>
      </c>
      <c r="P2" s="16" t="s">
        <v>74</v>
      </c>
      <c r="Q2" s="16" t="s">
        <v>75</v>
      </c>
      <c r="R2" s="14" t="s">
        <v>76</v>
      </c>
      <c r="S2" s="14" t="s">
        <v>78</v>
      </c>
      <c r="T2" s="14" t="s">
        <v>79</v>
      </c>
      <c r="U2" s="15">
        <v>44478</v>
      </c>
      <c r="V2" s="15"/>
      <c r="W2" s="16"/>
      <c r="X2" s="16" t="s">
        <v>74</v>
      </c>
      <c r="Y2" s="14" t="s">
        <v>74</v>
      </c>
      <c r="Z2" s="16" t="s">
        <v>74</v>
      </c>
      <c r="AA2" s="16" t="s">
        <v>74</v>
      </c>
      <c r="AB2" s="16" t="s">
        <v>74</v>
      </c>
      <c r="AC2" s="14" t="s">
        <v>74</v>
      </c>
      <c r="AD2" s="16" t="s">
        <v>74</v>
      </c>
      <c r="AE2" s="16" t="s">
        <v>74</v>
      </c>
      <c r="AF2" s="16" t="s">
        <v>74</v>
      </c>
      <c r="AG2" s="14" t="s">
        <v>74</v>
      </c>
      <c r="AH2" s="16" t="s">
        <v>74</v>
      </c>
      <c r="AI2" s="16" t="s">
        <v>74</v>
      </c>
      <c r="AJ2" s="16" t="s">
        <v>74</v>
      </c>
      <c r="AK2" s="14" t="s">
        <v>74</v>
      </c>
      <c r="AL2" s="16" t="s">
        <v>74</v>
      </c>
      <c r="AM2" s="16" t="s">
        <v>74</v>
      </c>
      <c r="AN2" s="14" t="s">
        <v>74</v>
      </c>
      <c r="AO2" s="14" t="s">
        <v>74</v>
      </c>
    </row>
    <row r="3" spans="1:41" ht="43.5" x14ac:dyDescent="0.35">
      <c r="A3" s="14" t="s">
        <v>61</v>
      </c>
      <c r="B3" s="14" t="s">
        <v>62</v>
      </c>
      <c r="C3" s="15">
        <v>44510.482638888891</v>
      </c>
      <c r="D3" s="14" t="s">
        <v>63</v>
      </c>
      <c r="E3" s="16" t="s">
        <v>64</v>
      </c>
      <c r="F3" s="14" t="s">
        <v>65</v>
      </c>
      <c r="G3" s="16" t="s">
        <v>66</v>
      </c>
      <c r="H3" s="14" t="s">
        <v>67</v>
      </c>
      <c r="I3" s="16" t="s">
        <v>68</v>
      </c>
      <c r="J3" s="16" t="s">
        <v>69</v>
      </c>
      <c r="K3" s="16" t="s">
        <v>70</v>
      </c>
      <c r="L3" s="14" t="s">
        <v>109</v>
      </c>
      <c r="M3" s="16" t="s">
        <v>110</v>
      </c>
      <c r="N3" s="14" t="s">
        <v>111</v>
      </c>
      <c r="O3" s="16" t="s">
        <v>74</v>
      </c>
      <c r="P3" s="16" t="s">
        <v>74</v>
      </c>
      <c r="Q3" s="16" t="s">
        <v>75</v>
      </c>
      <c r="R3" s="14" t="s">
        <v>76</v>
      </c>
      <c r="S3" s="14" t="s">
        <v>78</v>
      </c>
      <c r="T3" s="14" t="s">
        <v>79</v>
      </c>
      <c r="U3" s="15">
        <v>44478</v>
      </c>
      <c r="V3" s="15"/>
      <c r="W3" s="16"/>
      <c r="X3" s="16" t="s">
        <v>74</v>
      </c>
      <c r="Y3" s="14" t="s">
        <v>74</v>
      </c>
      <c r="Z3" s="16" t="s">
        <v>74</v>
      </c>
      <c r="AA3" s="16" t="s">
        <v>74</v>
      </c>
      <c r="AB3" s="16" t="s">
        <v>74</v>
      </c>
      <c r="AC3" s="14" t="s">
        <v>74</v>
      </c>
      <c r="AD3" s="16" t="s">
        <v>74</v>
      </c>
      <c r="AE3" s="16" t="s">
        <v>74</v>
      </c>
      <c r="AF3" s="16" t="s">
        <v>74</v>
      </c>
      <c r="AG3" s="14" t="s">
        <v>74</v>
      </c>
      <c r="AH3" s="16" t="s">
        <v>74</v>
      </c>
      <c r="AI3" s="16" t="s">
        <v>74</v>
      </c>
      <c r="AJ3" s="16" t="s">
        <v>74</v>
      </c>
      <c r="AK3" s="14" t="s">
        <v>74</v>
      </c>
      <c r="AL3" s="16" t="s">
        <v>74</v>
      </c>
      <c r="AM3" s="16" t="s">
        <v>74</v>
      </c>
      <c r="AN3" s="14" t="s">
        <v>74</v>
      </c>
      <c r="AO3" s="14" t="s">
        <v>74</v>
      </c>
    </row>
    <row r="4" spans="1:41" ht="58" x14ac:dyDescent="0.35">
      <c r="A4" s="14" t="s">
        <v>113</v>
      </c>
      <c r="B4" s="14" t="s">
        <v>62</v>
      </c>
      <c r="C4" s="15">
        <v>44886.494444444441</v>
      </c>
      <c r="D4" s="14" t="s">
        <v>63</v>
      </c>
      <c r="E4" s="16" t="s">
        <v>64</v>
      </c>
      <c r="F4" s="14" t="s">
        <v>65</v>
      </c>
      <c r="G4" s="16" t="s">
        <v>66</v>
      </c>
      <c r="H4" s="14" t="s">
        <v>67</v>
      </c>
      <c r="I4" s="16" t="s">
        <v>68</v>
      </c>
      <c r="J4" s="16" t="s">
        <v>69</v>
      </c>
      <c r="K4" s="16" t="s">
        <v>70</v>
      </c>
      <c r="L4" s="14" t="s">
        <v>71</v>
      </c>
      <c r="M4" s="16" t="s">
        <v>72</v>
      </c>
      <c r="N4" s="14" t="s">
        <v>73</v>
      </c>
      <c r="O4" s="16" t="s">
        <v>74</v>
      </c>
      <c r="P4" s="16" t="s">
        <v>74</v>
      </c>
      <c r="Q4" s="16" t="s">
        <v>114</v>
      </c>
      <c r="R4" s="14" t="s">
        <v>115</v>
      </c>
      <c r="S4" s="14" t="s">
        <v>78</v>
      </c>
      <c r="T4" s="14" t="s">
        <v>117</v>
      </c>
      <c r="U4" s="15">
        <v>44478</v>
      </c>
      <c r="V4" s="15"/>
      <c r="W4" s="16"/>
      <c r="X4" s="16" t="s">
        <v>74</v>
      </c>
      <c r="Y4" s="14" t="s">
        <v>74</v>
      </c>
      <c r="Z4" s="16" t="s">
        <v>74</v>
      </c>
      <c r="AA4" s="16" t="s">
        <v>74</v>
      </c>
      <c r="AB4" s="16" t="s">
        <v>74</v>
      </c>
      <c r="AC4" s="14" t="s">
        <v>74</v>
      </c>
      <c r="AD4" s="16" t="s">
        <v>74</v>
      </c>
      <c r="AE4" s="16" t="s">
        <v>74</v>
      </c>
      <c r="AF4" s="16" t="s">
        <v>74</v>
      </c>
      <c r="AG4" s="14" t="s">
        <v>74</v>
      </c>
      <c r="AH4" s="16" t="s">
        <v>74</v>
      </c>
      <c r="AI4" s="16" t="s">
        <v>74</v>
      </c>
      <c r="AJ4" s="16" t="s">
        <v>74</v>
      </c>
      <c r="AK4" s="14" t="s">
        <v>74</v>
      </c>
      <c r="AL4" s="16" t="s">
        <v>74</v>
      </c>
      <c r="AM4" s="16" t="s">
        <v>74</v>
      </c>
      <c r="AN4" s="14" t="s">
        <v>74</v>
      </c>
      <c r="AO4" s="14" t="s">
        <v>74</v>
      </c>
    </row>
    <row r="5" spans="1:41" ht="43.5" x14ac:dyDescent="0.35">
      <c r="A5" s="14" t="s">
        <v>113</v>
      </c>
      <c r="B5" s="14" t="s">
        <v>62</v>
      </c>
      <c r="C5" s="15">
        <v>44886.494444444441</v>
      </c>
      <c r="D5" s="14" t="s">
        <v>63</v>
      </c>
      <c r="E5" s="16" t="s">
        <v>64</v>
      </c>
      <c r="F5" s="14" t="s">
        <v>65</v>
      </c>
      <c r="G5" s="16" t="s">
        <v>66</v>
      </c>
      <c r="H5" s="14" t="s">
        <v>67</v>
      </c>
      <c r="I5" s="16" t="s">
        <v>68</v>
      </c>
      <c r="J5" s="16" t="s">
        <v>69</v>
      </c>
      <c r="K5" s="16" t="s">
        <v>70</v>
      </c>
      <c r="L5" s="14" t="s">
        <v>109</v>
      </c>
      <c r="M5" s="16" t="s">
        <v>110</v>
      </c>
      <c r="N5" s="14" t="s">
        <v>111</v>
      </c>
      <c r="O5" s="16" t="s">
        <v>74</v>
      </c>
      <c r="P5" s="16" t="s">
        <v>74</v>
      </c>
      <c r="Q5" s="16" t="s">
        <v>114</v>
      </c>
      <c r="R5" s="14" t="s">
        <v>115</v>
      </c>
      <c r="S5" s="14" t="s">
        <v>78</v>
      </c>
      <c r="T5" s="14" t="s">
        <v>117</v>
      </c>
      <c r="U5" s="15">
        <v>44478</v>
      </c>
      <c r="V5" s="15"/>
      <c r="W5" s="16"/>
      <c r="X5" s="16" t="s">
        <v>74</v>
      </c>
      <c r="Y5" s="14" t="s">
        <v>74</v>
      </c>
      <c r="Z5" s="16" t="s">
        <v>74</v>
      </c>
      <c r="AA5" s="16" t="s">
        <v>74</v>
      </c>
      <c r="AB5" s="16" t="s">
        <v>74</v>
      </c>
      <c r="AC5" s="14" t="s">
        <v>74</v>
      </c>
      <c r="AD5" s="16" t="s">
        <v>74</v>
      </c>
      <c r="AE5" s="16" t="s">
        <v>74</v>
      </c>
      <c r="AF5" s="16" t="s">
        <v>74</v>
      </c>
      <c r="AG5" s="14" t="s">
        <v>74</v>
      </c>
      <c r="AH5" s="16" t="s">
        <v>74</v>
      </c>
      <c r="AI5" s="16" t="s">
        <v>74</v>
      </c>
      <c r="AJ5" s="16" t="s">
        <v>74</v>
      </c>
      <c r="AK5" s="14" t="s">
        <v>74</v>
      </c>
      <c r="AL5" s="16" t="s">
        <v>74</v>
      </c>
      <c r="AM5" s="16" t="s">
        <v>74</v>
      </c>
      <c r="AN5" s="14" t="s">
        <v>74</v>
      </c>
      <c r="AO5" s="14" t="s">
        <v>74</v>
      </c>
    </row>
    <row r="6" spans="1:41" ht="58" x14ac:dyDescent="0.35">
      <c r="A6" s="14" t="s">
        <v>113</v>
      </c>
      <c r="B6" s="14" t="s">
        <v>116</v>
      </c>
      <c r="C6" s="15">
        <v>44834.609722222223</v>
      </c>
      <c r="D6" s="14" t="s">
        <v>63</v>
      </c>
      <c r="E6" s="16" t="s">
        <v>64</v>
      </c>
      <c r="F6" s="14" t="s">
        <v>65</v>
      </c>
      <c r="G6" s="16" t="s">
        <v>66</v>
      </c>
      <c r="H6" s="14" t="s">
        <v>67</v>
      </c>
      <c r="I6" s="16" t="s">
        <v>68</v>
      </c>
      <c r="J6" s="16" t="s">
        <v>69</v>
      </c>
      <c r="K6" s="16" t="s">
        <v>70</v>
      </c>
      <c r="L6" s="14" t="s">
        <v>71</v>
      </c>
      <c r="M6" s="16" t="s">
        <v>72</v>
      </c>
      <c r="N6" s="14" t="s">
        <v>73</v>
      </c>
      <c r="O6" s="16" t="s">
        <v>74</v>
      </c>
      <c r="P6" s="16" t="s">
        <v>74</v>
      </c>
      <c r="Q6" s="16" t="s">
        <v>118</v>
      </c>
      <c r="R6" s="14" t="s">
        <v>119</v>
      </c>
      <c r="S6" s="14" t="s">
        <v>78</v>
      </c>
      <c r="T6" s="14" t="s">
        <v>117</v>
      </c>
      <c r="U6" s="15">
        <v>44478</v>
      </c>
      <c r="V6" s="15">
        <v>44677</v>
      </c>
      <c r="W6" s="16"/>
      <c r="X6" s="16" t="s">
        <v>74</v>
      </c>
      <c r="Y6" s="14" t="s">
        <v>74</v>
      </c>
      <c r="Z6" s="16" t="s">
        <v>74</v>
      </c>
      <c r="AA6" s="16" t="s">
        <v>74</v>
      </c>
      <c r="AB6" s="16" t="s">
        <v>74</v>
      </c>
      <c r="AC6" s="14" t="s">
        <v>74</v>
      </c>
      <c r="AD6" s="16" t="s">
        <v>74</v>
      </c>
      <c r="AE6" s="16" t="s">
        <v>74</v>
      </c>
      <c r="AF6" s="16" t="s">
        <v>74</v>
      </c>
      <c r="AG6" s="14" t="s">
        <v>74</v>
      </c>
      <c r="AH6" s="16" t="s">
        <v>74</v>
      </c>
      <c r="AI6" s="16" t="s">
        <v>74</v>
      </c>
      <c r="AJ6" s="16" t="s">
        <v>74</v>
      </c>
      <c r="AK6" s="14" t="s">
        <v>74</v>
      </c>
      <c r="AL6" s="16" t="s">
        <v>74</v>
      </c>
      <c r="AM6" s="16" t="s">
        <v>74</v>
      </c>
      <c r="AN6" s="14" t="s">
        <v>74</v>
      </c>
      <c r="AO6" s="14" t="s">
        <v>74</v>
      </c>
    </row>
    <row r="7" spans="1:41" ht="58" x14ac:dyDescent="0.35">
      <c r="A7" s="14" t="s">
        <v>113</v>
      </c>
      <c r="B7" s="14" t="s">
        <v>62</v>
      </c>
      <c r="C7" s="15">
        <v>44834.61041666667</v>
      </c>
      <c r="D7" s="14" t="s">
        <v>63</v>
      </c>
      <c r="E7" s="16" t="s">
        <v>64</v>
      </c>
      <c r="F7" s="14" t="s">
        <v>65</v>
      </c>
      <c r="G7" s="16" t="s">
        <v>66</v>
      </c>
      <c r="H7" s="14" t="s">
        <v>67</v>
      </c>
      <c r="I7" s="16" t="s">
        <v>68</v>
      </c>
      <c r="J7" s="16" t="s">
        <v>69</v>
      </c>
      <c r="K7" s="16" t="s">
        <v>70</v>
      </c>
      <c r="L7" s="14" t="s">
        <v>71</v>
      </c>
      <c r="M7" s="16" t="s">
        <v>72</v>
      </c>
      <c r="N7" s="14" t="s">
        <v>73</v>
      </c>
      <c r="O7" s="16" t="s">
        <v>74</v>
      </c>
      <c r="P7" s="16" t="s">
        <v>74</v>
      </c>
      <c r="Q7" s="16" t="s">
        <v>118</v>
      </c>
      <c r="R7" s="14" t="s">
        <v>119</v>
      </c>
      <c r="S7" s="14" t="s">
        <v>78</v>
      </c>
      <c r="T7" s="14" t="s">
        <v>79</v>
      </c>
      <c r="U7" s="15" t="s">
        <v>423</v>
      </c>
      <c r="V7" s="15"/>
      <c r="W7" s="16"/>
      <c r="X7" s="16" t="s">
        <v>74</v>
      </c>
      <c r="Y7" s="14" t="s">
        <v>74</v>
      </c>
      <c r="Z7" s="16" t="s">
        <v>74</v>
      </c>
      <c r="AA7" s="16" t="s">
        <v>74</v>
      </c>
      <c r="AB7" s="16" t="s">
        <v>74</v>
      </c>
      <c r="AC7" s="14" t="s">
        <v>74</v>
      </c>
      <c r="AD7" s="16" t="s">
        <v>74</v>
      </c>
      <c r="AE7" s="16" t="s">
        <v>74</v>
      </c>
      <c r="AF7" s="16" t="s">
        <v>74</v>
      </c>
      <c r="AG7" s="14" t="s">
        <v>74</v>
      </c>
      <c r="AH7" s="16" t="s">
        <v>74</v>
      </c>
      <c r="AI7" s="16" t="s">
        <v>74</v>
      </c>
      <c r="AJ7" s="16" t="s">
        <v>74</v>
      </c>
      <c r="AK7" s="14" t="s">
        <v>74</v>
      </c>
      <c r="AL7" s="16" t="s">
        <v>74</v>
      </c>
      <c r="AM7" s="16" t="s">
        <v>74</v>
      </c>
      <c r="AN7" s="14" t="s">
        <v>74</v>
      </c>
      <c r="AO7" s="14" t="s">
        <v>74</v>
      </c>
    </row>
    <row r="8" spans="1:41" ht="43.5" x14ac:dyDescent="0.35">
      <c r="A8" s="14" t="s">
        <v>113</v>
      </c>
      <c r="B8" s="14" t="s">
        <v>116</v>
      </c>
      <c r="C8" s="15">
        <v>44839.352777777778</v>
      </c>
      <c r="D8" s="14" t="s">
        <v>63</v>
      </c>
      <c r="E8" s="16" t="s">
        <v>64</v>
      </c>
      <c r="F8" s="14" t="s">
        <v>65</v>
      </c>
      <c r="G8" s="16" t="s">
        <v>66</v>
      </c>
      <c r="H8" s="14" t="s">
        <v>67</v>
      </c>
      <c r="I8" s="16" t="s">
        <v>68</v>
      </c>
      <c r="J8" s="16" t="s">
        <v>69</v>
      </c>
      <c r="K8" s="16" t="s">
        <v>70</v>
      </c>
      <c r="L8" s="14" t="s">
        <v>109</v>
      </c>
      <c r="M8" s="16" t="s">
        <v>110</v>
      </c>
      <c r="N8" s="14" t="s">
        <v>111</v>
      </c>
      <c r="O8" s="16" t="s">
        <v>74</v>
      </c>
      <c r="P8" s="16" t="s">
        <v>74</v>
      </c>
      <c r="Q8" s="16" t="s">
        <v>118</v>
      </c>
      <c r="R8" s="14" t="s">
        <v>119</v>
      </c>
      <c r="S8" s="14" t="s">
        <v>78</v>
      </c>
      <c r="T8" s="14" t="s">
        <v>117</v>
      </c>
      <c r="U8" s="15">
        <v>44478</v>
      </c>
      <c r="V8" s="15">
        <v>44677</v>
      </c>
      <c r="W8" s="16"/>
      <c r="X8" s="16" t="s">
        <v>74</v>
      </c>
      <c r="Y8" s="14" t="s">
        <v>74</v>
      </c>
      <c r="Z8" s="16" t="s">
        <v>74</v>
      </c>
      <c r="AA8" s="16" t="s">
        <v>74</v>
      </c>
      <c r="AB8" s="16" t="s">
        <v>74</v>
      </c>
      <c r="AC8" s="14" t="s">
        <v>74</v>
      </c>
      <c r="AD8" s="16" t="s">
        <v>74</v>
      </c>
      <c r="AE8" s="16" t="s">
        <v>74</v>
      </c>
      <c r="AF8" s="16" t="s">
        <v>74</v>
      </c>
      <c r="AG8" s="14" t="s">
        <v>74</v>
      </c>
      <c r="AH8" s="16" t="s">
        <v>74</v>
      </c>
      <c r="AI8" s="16" t="s">
        <v>74</v>
      </c>
      <c r="AJ8" s="16" t="s">
        <v>74</v>
      </c>
      <c r="AK8" s="14" t="s">
        <v>74</v>
      </c>
      <c r="AL8" s="16" t="s">
        <v>74</v>
      </c>
      <c r="AM8" s="16" t="s">
        <v>74</v>
      </c>
      <c r="AN8" s="14" t="s">
        <v>74</v>
      </c>
      <c r="AO8" s="14" t="s">
        <v>74</v>
      </c>
    </row>
    <row r="9" spans="1:41" ht="43.5" x14ac:dyDescent="0.35">
      <c r="A9" s="14" t="s">
        <v>113</v>
      </c>
      <c r="B9" s="14" t="s">
        <v>62</v>
      </c>
      <c r="C9" s="15">
        <v>44839.353472222225</v>
      </c>
      <c r="D9" s="14" t="s">
        <v>63</v>
      </c>
      <c r="E9" s="16" t="s">
        <v>64</v>
      </c>
      <c r="F9" s="14" t="s">
        <v>65</v>
      </c>
      <c r="G9" s="16" t="s">
        <v>66</v>
      </c>
      <c r="H9" s="14" t="s">
        <v>67</v>
      </c>
      <c r="I9" s="16" t="s">
        <v>68</v>
      </c>
      <c r="J9" s="16" t="s">
        <v>69</v>
      </c>
      <c r="K9" s="16" t="s">
        <v>70</v>
      </c>
      <c r="L9" s="14" t="s">
        <v>109</v>
      </c>
      <c r="M9" s="16" t="s">
        <v>110</v>
      </c>
      <c r="N9" s="14" t="s">
        <v>111</v>
      </c>
      <c r="O9" s="16" t="s">
        <v>74</v>
      </c>
      <c r="P9" s="16" t="s">
        <v>74</v>
      </c>
      <c r="Q9" s="16" t="s">
        <v>118</v>
      </c>
      <c r="R9" s="14" t="s">
        <v>119</v>
      </c>
      <c r="S9" s="14" t="s">
        <v>78</v>
      </c>
      <c r="T9" s="14" t="s">
        <v>79</v>
      </c>
      <c r="U9" s="15" t="s">
        <v>423</v>
      </c>
      <c r="V9" s="15"/>
      <c r="W9" s="16"/>
      <c r="X9" s="16" t="s">
        <v>74</v>
      </c>
      <c r="Y9" s="14" t="s">
        <v>74</v>
      </c>
      <c r="Z9" s="16" t="s">
        <v>74</v>
      </c>
      <c r="AA9" s="16" t="s">
        <v>74</v>
      </c>
      <c r="AB9" s="16" t="s">
        <v>74</v>
      </c>
      <c r="AC9" s="14" t="s">
        <v>74</v>
      </c>
      <c r="AD9" s="16" t="s">
        <v>74</v>
      </c>
      <c r="AE9" s="16" t="s">
        <v>74</v>
      </c>
      <c r="AF9" s="16" t="s">
        <v>74</v>
      </c>
      <c r="AG9" s="14" t="s">
        <v>74</v>
      </c>
      <c r="AH9" s="16" t="s">
        <v>74</v>
      </c>
      <c r="AI9" s="16" t="s">
        <v>74</v>
      </c>
      <c r="AJ9" s="16" t="s">
        <v>74</v>
      </c>
      <c r="AK9" s="14" t="s">
        <v>74</v>
      </c>
      <c r="AL9" s="16" t="s">
        <v>74</v>
      </c>
      <c r="AM9" s="16" t="s">
        <v>74</v>
      </c>
      <c r="AN9" s="14" t="s">
        <v>74</v>
      </c>
      <c r="AO9" s="14" t="s">
        <v>74</v>
      </c>
    </row>
    <row r="10" spans="1:41" ht="58" x14ac:dyDescent="0.35">
      <c r="A10" s="14" t="s">
        <v>61</v>
      </c>
      <c r="B10" s="14" t="s">
        <v>62</v>
      </c>
      <c r="C10" s="15">
        <v>44510.48333333333</v>
      </c>
      <c r="D10" s="14" t="s">
        <v>63</v>
      </c>
      <c r="E10" s="16" t="s">
        <v>64</v>
      </c>
      <c r="F10" s="14" t="s">
        <v>65</v>
      </c>
      <c r="G10" s="16" t="s">
        <v>66</v>
      </c>
      <c r="H10" s="14" t="s">
        <v>67</v>
      </c>
      <c r="I10" s="16" t="s">
        <v>68</v>
      </c>
      <c r="J10" s="16" t="s">
        <v>69</v>
      </c>
      <c r="K10" s="16" t="s">
        <v>70</v>
      </c>
      <c r="L10" s="14" t="s">
        <v>71</v>
      </c>
      <c r="M10" s="16" t="s">
        <v>72</v>
      </c>
      <c r="N10" s="14" t="s">
        <v>73</v>
      </c>
      <c r="O10" s="16" t="s">
        <v>74</v>
      </c>
      <c r="P10" s="16" t="s">
        <v>74</v>
      </c>
      <c r="Q10" s="16" t="s">
        <v>137</v>
      </c>
      <c r="R10" s="14" t="s">
        <v>138</v>
      </c>
      <c r="S10" s="14" t="s">
        <v>78</v>
      </c>
      <c r="T10" s="14" t="s">
        <v>117</v>
      </c>
      <c r="U10" s="15">
        <v>44478</v>
      </c>
      <c r="V10" s="15"/>
      <c r="W10" s="16"/>
      <c r="X10" s="16" t="s">
        <v>74</v>
      </c>
      <c r="Y10" s="14" t="s">
        <v>74</v>
      </c>
      <c r="Z10" s="16" t="s">
        <v>74</v>
      </c>
      <c r="AA10" s="16" t="s">
        <v>74</v>
      </c>
      <c r="AB10" s="16" t="s">
        <v>74</v>
      </c>
      <c r="AC10" s="14" t="s">
        <v>74</v>
      </c>
      <c r="AD10" s="16" t="s">
        <v>74</v>
      </c>
      <c r="AE10" s="16" t="s">
        <v>74</v>
      </c>
      <c r="AF10" s="16" t="s">
        <v>74</v>
      </c>
      <c r="AG10" s="14" t="s">
        <v>74</v>
      </c>
      <c r="AH10" s="16" t="s">
        <v>74</v>
      </c>
      <c r="AI10" s="16" t="s">
        <v>74</v>
      </c>
      <c r="AJ10" s="16" t="s">
        <v>74</v>
      </c>
      <c r="AK10" s="14" t="s">
        <v>74</v>
      </c>
      <c r="AL10" s="16" t="s">
        <v>74</v>
      </c>
      <c r="AM10" s="16" t="s">
        <v>74</v>
      </c>
      <c r="AN10" s="14" t="s">
        <v>74</v>
      </c>
      <c r="AO10" s="14" t="s">
        <v>74</v>
      </c>
    </row>
    <row r="11" spans="1:41" ht="43.5" x14ac:dyDescent="0.35">
      <c r="A11" s="14" t="s">
        <v>61</v>
      </c>
      <c r="B11" s="14" t="s">
        <v>62</v>
      </c>
      <c r="C11" s="15">
        <v>44510.482638888891</v>
      </c>
      <c r="D11" s="14" t="s">
        <v>63</v>
      </c>
      <c r="E11" s="16" t="s">
        <v>64</v>
      </c>
      <c r="F11" s="14" t="s">
        <v>65</v>
      </c>
      <c r="G11" s="16" t="s">
        <v>66</v>
      </c>
      <c r="H11" s="14" t="s">
        <v>67</v>
      </c>
      <c r="I11" s="16" t="s">
        <v>68</v>
      </c>
      <c r="J11" s="16" t="s">
        <v>69</v>
      </c>
      <c r="K11" s="16" t="s">
        <v>70</v>
      </c>
      <c r="L11" s="14" t="s">
        <v>109</v>
      </c>
      <c r="M11" s="16" t="s">
        <v>110</v>
      </c>
      <c r="N11" s="14" t="s">
        <v>111</v>
      </c>
      <c r="O11" s="16" t="s">
        <v>74</v>
      </c>
      <c r="P11" s="16" t="s">
        <v>74</v>
      </c>
      <c r="Q11" s="16" t="s">
        <v>137</v>
      </c>
      <c r="R11" s="14" t="s">
        <v>138</v>
      </c>
      <c r="S11" s="14" t="s">
        <v>78</v>
      </c>
      <c r="T11" s="14" t="s">
        <v>117</v>
      </c>
      <c r="U11" s="15">
        <v>44478</v>
      </c>
      <c r="V11" s="15"/>
      <c r="W11" s="16"/>
      <c r="X11" s="16" t="s">
        <v>74</v>
      </c>
      <c r="Y11" s="14" t="s">
        <v>74</v>
      </c>
      <c r="Z11" s="16" t="s">
        <v>74</v>
      </c>
      <c r="AA11" s="16" t="s">
        <v>74</v>
      </c>
      <c r="AB11" s="16" t="s">
        <v>74</v>
      </c>
      <c r="AC11" s="14" t="s">
        <v>74</v>
      </c>
      <c r="AD11" s="16" t="s">
        <v>74</v>
      </c>
      <c r="AE11" s="16" t="s">
        <v>74</v>
      </c>
      <c r="AF11" s="16" t="s">
        <v>74</v>
      </c>
      <c r="AG11" s="14" t="s">
        <v>74</v>
      </c>
      <c r="AH11" s="16" t="s">
        <v>74</v>
      </c>
      <c r="AI11" s="16" t="s">
        <v>74</v>
      </c>
      <c r="AJ11" s="16" t="s">
        <v>74</v>
      </c>
      <c r="AK11" s="14" t="s">
        <v>74</v>
      </c>
      <c r="AL11" s="16" t="s">
        <v>74</v>
      </c>
      <c r="AM11" s="16" t="s">
        <v>74</v>
      </c>
      <c r="AN11" s="14" t="s">
        <v>74</v>
      </c>
      <c r="AO11" s="14" t="s">
        <v>74</v>
      </c>
    </row>
    <row r="12" spans="1:41" ht="58" x14ac:dyDescent="0.35">
      <c r="A12" s="14" t="s">
        <v>61</v>
      </c>
      <c r="B12" s="14" t="s">
        <v>62</v>
      </c>
      <c r="C12" s="15">
        <v>44510.48333333333</v>
      </c>
      <c r="D12" s="14" t="s">
        <v>63</v>
      </c>
      <c r="E12" s="16" t="s">
        <v>64</v>
      </c>
      <c r="F12" s="14" t="s">
        <v>65</v>
      </c>
      <c r="G12" s="16" t="s">
        <v>66</v>
      </c>
      <c r="H12" s="14" t="s">
        <v>67</v>
      </c>
      <c r="I12" s="16" t="s">
        <v>68</v>
      </c>
      <c r="J12" s="16" t="s">
        <v>69</v>
      </c>
      <c r="K12" s="16" t="s">
        <v>70</v>
      </c>
      <c r="L12" s="14" t="s">
        <v>71</v>
      </c>
      <c r="M12" s="16" t="s">
        <v>72</v>
      </c>
      <c r="N12" s="14" t="s">
        <v>73</v>
      </c>
      <c r="O12" s="16" t="s">
        <v>74</v>
      </c>
      <c r="P12" s="16" t="s">
        <v>74</v>
      </c>
      <c r="Q12" s="16" t="s">
        <v>140</v>
      </c>
      <c r="R12" s="14" t="s">
        <v>141</v>
      </c>
      <c r="S12" s="14" t="s">
        <v>78</v>
      </c>
      <c r="T12" s="14" t="s">
        <v>117</v>
      </c>
      <c r="U12" s="15">
        <v>44478</v>
      </c>
      <c r="V12" s="15"/>
      <c r="W12" s="16"/>
      <c r="X12" s="16" t="s">
        <v>74</v>
      </c>
      <c r="Y12" s="14" t="s">
        <v>74</v>
      </c>
      <c r="Z12" s="16" t="s">
        <v>74</v>
      </c>
      <c r="AA12" s="16" t="s">
        <v>74</v>
      </c>
      <c r="AB12" s="16" t="s">
        <v>74</v>
      </c>
      <c r="AC12" s="14" t="s">
        <v>74</v>
      </c>
      <c r="AD12" s="16" t="s">
        <v>74</v>
      </c>
      <c r="AE12" s="16" t="s">
        <v>74</v>
      </c>
      <c r="AF12" s="16" t="s">
        <v>74</v>
      </c>
      <c r="AG12" s="14" t="s">
        <v>74</v>
      </c>
      <c r="AH12" s="16" t="s">
        <v>74</v>
      </c>
      <c r="AI12" s="16" t="s">
        <v>74</v>
      </c>
      <c r="AJ12" s="16" t="s">
        <v>74</v>
      </c>
      <c r="AK12" s="14" t="s">
        <v>74</v>
      </c>
      <c r="AL12" s="16" t="s">
        <v>74</v>
      </c>
      <c r="AM12" s="16" t="s">
        <v>74</v>
      </c>
      <c r="AN12" s="14" t="s">
        <v>74</v>
      </c>
      <c r="AO12" s="14" t="s">
        <v>74</v>
      </c>
    </row>
    <row r="13" spans="1:41" ht="43.5" x14ac:dyDescent="0.35">
      <c r="A13" s="14" t="s">
        <v>61</v>
      </c>
      <c r="B13" s="14" t="s">
        <v>62</v>
      </c>
      <c r="C13" s="15">
        <v>44510.482638888891</v>
      </c>
      <c r="D13" s="14" t="s">
        <v>63</v>
      </c>
      <c r="E13" s="16" t="s">
        <v>64</v>
      </c>
      <c r="F13" s="14" t="s">
        <v>65</v>
      </c>
      <c r="G13" s="16" t="s">
        <v>66</v>
      </c>
      <c r="H13" s="14" t="s">
        <v>67</v>
      </c>
      <c r="I13" s="16" t="s">
        <v>68</v>
      </c>
      <c r="J13" s="16" t="s">
        <v>69</v>
      </c>
      <c r="K13" s="16" t="s">
        <v>70</v>
      </c>
      <c r="L13" s="14" t="s">
        <v>109</v>
      </c>
      <c r="M13" s="16" t="s">
        <v>110</v>
      </c>
      <c r="N13" s="14" t="s">
        <v>111</v>
      </c>
      <c r="O13" s="16" t="s">
        <v>74</v>
      </c>
      <c r="P13" s="16" t="s">
        <v>74</v>
      </c>
      <c r="Q13" s="16" t="s">
        <v>140</v>
      </c>
      <c r="R13" s="14" t="s">
        <v>141</v>
      </c>
      <c r="S13" s="14" t="s">
        <v>78</v>
      </c>
      <c r="T13" s="14" t="s">
        <v>117</v>
      </c>
      <c r="U13" s="15">
        <v>44478</v>
      </c>
      <c r="V13" s="15"/>
      <c r="W13" s="16"/>
      <c r="X13" s="16" t="s">
        <v>74</v>
      </c>
      <c r="Y13" s="14" t="s">
        <v>74</v>
      </c>
      <c r="Z13" s="16" t="s">
        <v>74</v>
      </c>
      <c r="AA13" s="16" t="s">
        <v>74</v>
      </c>
      <c r="AB13" s="16" t="s">
        <v>74</v>
      </c>
      <c r="AC13" s="14" t="s">
        <v>74</v>
      </c>
      <c r="AD13" s="16" t="s">
        <v>74</v>
      </c>
      <c r="AE13" s="16" t="s">
        <v>74</v>
      </c>
      <c r="AF13" s="16" t="s">
        <v>74</v>
      </c>
      <c r="AG13" s="14" t="s">
        <v>74</v>
      </c>
      <c r="AH13" s="16" t="s">
        <v>74</v>
      </c>
      <c r="AI13" s="16" t="s">
        <v>74</v>
      </c>
      <c r="AJ13" s="16" t="s">
        <v>74</v>
      </c>
      <c r="AK13" s="14" t="s">
        <v>74</v>
      </c>
      <c r="AL13" s="16" t="s">
        <v>74</v>
      </c>
      <c r="AM13" s="16" t="s">
        <v>74</v>
      </c>
      <c r="AN13" s="14" t="s">
        <v>74</v>
      </c>
      <c r="AO13" s="14" t="s">
        <v>74</v>
      </c>
    </row>
    <row r="14" spans="1:41" ht="58" x14ac:dyDescent="0.35">
      <c r="A14" s="14" t="s">
        <v>61</v>
      </c>
      <c r="B14" s="14" t="s">
        <v>62</v>
      </c>
      <c r="C14" s="15">
        <v>44510.484027777777</v>
      </c>
      <c r="D14" s="14" t="s">
        <v>63</v>
      </c>
      <c r="E14" s="16" t="s">
        <v>64</v>
      </c>
      <c r="F14" s="14" t="s">
        <v>65</v>
      </c>
      <c r="G14" s="16" t="s">
        <v>66</v>
      </c>
      <c r="H14" s="14" t="s">
        <v>67</v>
      </c>
      <c r="I14" s="16" t="s">
        <v>68</v>
      </c>
      <c r="J14" s="16" t="s">
        <v>69</v>
      </c>
      <c r="K14" s="16" t="s">
        <v>70</v>
      </c>
      <c r="L14" s="14" t="s">
        <v>71</v>
      </c>
      <c r="M14" s="16" t="s">
        <v>72</v>
      </c>
      <c r="N14" s="14" t="s">
        <v>73</v>
      </c>
      <c r="O14" s="16" t="s">
        <v>74</v>
      </c>
      <c r="P14" s="16" t="s">
        <v>74</v>
      </c>
      <c r="Q14" s="16" t="s">
        <v>143</v>
      </c>
      <c r="R14" s="14" t="s">
        <v>144</v>
      </c>
      <c r="S14" s="14" t="s">
        <v>145</v>
      </c>
      <c r="T14" s="14" t="s">
        <v>79</v>
      </c>
      <c r="U14" s="15">
        <v>44478</v>
      </c>
      <c r="V14" s="15"/>
      <c r="W14" s="16"/>
      <c r="X14" s="16" t="s">
        <v>74</v>
      </c>
      <c r="Y14" s="14" t="s">
        <v>74</v>
      </c>
      <c r="Z14" s="16" t="s">
        <v>74</v>
      </c>
      <c r="AA14" s="16" t="s">
        <v>74</v>
      </c>
      <c r="AB14" s="16" t="s">
        <v>74</v>
      </c>
      <c r="AC14" s="14" t="s">
        <v>74</v>
      </c>
      <c r="AD14" s="16" t="s">
        <v>74</v>
      </c>
      <c r="AE14" s="16" t="s">
        <v>74</v>
      </c>
      <c r="AF14" s="16" t="s">
        <v>74</v>
      </c>
      <c r="AG14" s="14" t="s">
        <v>74</v>
      </c>
      <c r="AH14" s="16" t="s">
        <v>74</v>
      </c>
      <c r="AI14" s="16" t="s">
        <v>74</v>
      </c>
      <c r="AJ14" s="16" t="s">
        <v>74</v>
      </c>
      <c r="AK14" s="14" t="s">
        <v>74</v>
      </c>
      <c r="AL14" s="16" t="s">
        <v>74</v>
      </c>
      <c r="AM14" s="16" t="s">
        <v>74</v>
      </c>
      <c r="AN14" s="14" t="s">
        <v>74</v>
      </c>
      <c r="AO14" s="14" t="s">
        <v>74</v>
      </c>
    </row>
    <row r="15" spans="1:41" ht="43.5" x14ac:dyDescent="0.35">
      <c r="A15" s="14" t="s">
        <v>61</v>
      </c>
      <c r="B15" s="14" t="s">
        <v>62</v>
      </c>
      <c r="C15" s="15">
        <v>44510.484027777777</v>
      </c>
      <c r="D15" s="14" t="s">
        <v>63</v>
      </c>
      <c r="E15" s="16" t="s">
        <v>64</v>
      </c>
      <c r="F15" s="14" t="s">
        <v>65</v>
      </c>
      <c r="G15" s="16" t="s">
        <v>66</v>
      </c>
      <c r="H15" s="14" t="s">
        <v>67</v>
      </c>
      <c r="I15" s="16" t="s">
        <v>68</v>
      </c>
      <c r="J15" s="16" t="s">
        <v>69</v>
      </c>
      <c r="K15" s="16" t="s">
        <v>70</v>
      </c>
      <c r="L15" s="14" t="s">
        <v>109</v>
      </c>
      <c r="M15" s="16" t="s">
        <v>110</v>
      </c>
      <c r="N15" s="14" t="s">
        <v>111</v>
      </c>
      <c r="O15" s="16" t="s">
        <v>74</v>
      </c>
      <c r="P15" s="16" t="s">
        <v>74</v>
      </c>
      <c r="Q15" s="16" t="s">
        <v>143</v>
      </c>
      <c r="R15" s="14" t="s">
        <v>144</v>
      </c>
      <c r="S15" s="14" t="s">
        <v>145</v>
      </c>
      <c r="T15" s="14" t="s">
        <v>79</v>
      </c>
      <c r="U15" s="15">
        <v>44478</v>
      </c>
      <c r="V15" s="15"/>
      <c r="W15" s="16"/>
      <c r="X15" s="16" t="s">
        <v>74</v>
      </c>
      <c r="Y15" s="14" t="s">
        <v>74</v>
      </c>
      <c r="Z15" s="16" t="s">
        <v>74</v>
      </c>
      <c r="AA15" s="16" t="s">
        <v>74</v>
      </c>
      <c r="AB15" s="16" t="s">
        <v>74</v>
      </c>
      <c r="AC15" s="14" t="s">
        <v>74</v>
      </c>
      <c r="AD15" s="16" t="s">
        <v>74</v>
      </c>
      <c r="AE15" s="16" t="s">
        <v>74</v>
      </c>
      <c r="AF15" s="16" t="s">
        <v>74</v>
      </c>
      <c r="AG15" s="14" t="s">
        <v>74</v>
      </c>
      <c r="AH15" s="16" t="s">
        <v>74</v>
      </c>
      <c r="AI15" s="16" t="s">
        <v>74</v>
      </c>
      <c r="AJ15" s="16" t="s">
        <v>74</v>
      </c>
      <c r="AK15" s="14" t="s">
        <v>74</v>
      </c>
      <c r="AL15" s="16" t="s">
        <v>74</v>
      </c>
      <c r="AM15" s="16" t="s">
        <v>74</v>
      </c>
      <c r="AN15" s="14" t="s">
        <v>74</v>
      </c>
      <c r="AO15" s="14" t="s">
        <v>74</v>
      </c>
    </row>
    <row r="16" spans="1:41" ht="58" x14ac:dyDescent="0.35">
      <c r="A16" s="14" t="s">
        <v>61</v>
      </c>
      <c r="B16" s="14" t="s">
        <v>62</v>
      </c>
      <c r="C16" s="15">
        <v>44510.484027777777</v>
      </c>
      <c r="D16" s="14" t="s">
        <v>63</v>
      </c>
      <c r="E16" s="16" t="s">
        <v>64</v>
      </c>
      <c r="F16" s="14" t="s">
        <v>65</v>
      </c>
      <c r="G16" s="16" t="s">
        <v>66</v>
      </c>
      <c r="H16" s="14" t="s">
        <v>67</v>
      </c>
      <c r="I16" s="16" t="s">
        <v>68</v>
      </c>
      <c r="J16" s="16" t="s">
        <v>69</v>
      </c>
      <c r="K16" s="16" t="s">
        <v>70</v>
      </c>
      <c r="L16" s="14" t="s">
        <v>71</v>
      </c>
      <c r="M16" s="16" t="s">
        <v>72</v>
      </c>
      <c r="N16" s="14" t="s">
        <v>73</v>
      </c>
      <c r="O16" s="16" t="s">
        <v>74</v>
      </c>
      <c r="P16" s="16" t="s">
        <v>74</v>
      </c>
      <c r="Q16" s="16" t="s">
        <v>153</v>
      </c>
      <c r="R16" s="14" t="s">
        <v>154</v>
      </c>
      <c r="S16" s="14" t="s">
        <v>145</v>
      </c>
      <c r="T16" s="14" t="s">
        <v>79</v>
      </c>
      <c r="U16" s="15">
        <v>44478</v>
      </c>
      <c r="V16" s="15"/>
      <c r="W16" s="16"/>
      <c r="X16" s="16" t="s">
        <v>74</v>
      </c>
      <c r="Y16" s="14" t="s">
        <v>74</v>
      </c>
      <c r="Z16" s="16" t="s">
        <v>74</v>
      </c>
      <c r="AA16" s="16" t="s">
        <v>74</v>
      </c>
      <c r="AB16" s="16" t="s">
        <v>74</v>
      </c>
      <c r="AC16" s="14" t="s">
        <v>74</v>
      </c>
      <c r="AD16" s="16" t="s">
        <v>74</v>
      </c>
      <c r="AE16" s="16" t="s">
        <v>74</v>
      </c>
      <c r="AF16" s="16" t="s">
        <v>74</v>
      </c>
      <c r="AG16" s="14" t="s">
        <v>74</v>
      </c>
      <c r="AH16" s="16" t="s">
        <v>74</v>
      </c>
      <c r="AI16" s="16" t="s">
        <v>74</v>
      </c>
      <c r="AJ16" s="16" t="s">
        <v>74</v>
      </c>
      <c r="AK16" s="14" t="s">
        <v>74</v>
      </c>
      <c r="AL16" s="16" t="s">
        <v>74</v>
      </c>
      <c r="AM16" s="16" t="s">
        <v>74</v>
      </c>
      <c r="AN16" s="14" t="s">
        <v>74</v>
      </c>
      <c r="AO16" s="14" t="s">
        <v>74</v>
      </c>
    </row>
    <row r="17" spans="1:41" ht="43.5" x14ac:dyDescent="0.35">
      <c r="A17" s="14" t="s">
        <v>61</v>
      </c>
      <c r="B17" s="14" t="s">
        <v>62</v>
      </c>
      <c r="C17" s="15">
        <v>44510.484722222223</v>
      </c>
      <c r="D17" s="14" t="s">
        <v>63</v>
      </c>
      <c r="E17" s="16" t="s">
        <v>64</v>
      </c>
      <c r="F17" s="14" t="s">
        <v>65</v>
      </c>
      <c r="G17" s="16" t="s">
        <v>66</v>
      </c>
      <c r="H17" s="14" t="s">
        <v>67</v>
      </c>
      <c r="I17" s="16" t="s">
        <v>68</v>
      </c>
      <c r="J17" s="16" t="s">
        <v>69</v>
      </c>
      <c r="K17" s="16" t="s">
        <v>70</v>
      </c>
      <c r="L17" s="14" t="s">
        <v>109</v>
      </c>
      <c r="M17" s="16" t="s">
        <v>110</v>
      </c>
      <c r="N17" s="14" t="s">
        <v>111</v>
      </c>
      <c r="O17" s="16" t="s">
        <v>74</v>
      </c>
      <c r="P17" s="16" t="s">
        <v>74</v>
      </c>
      <c r="Q17" s="16" t="s">
        <v>153</v>
      </c>
      <c r="R17" s="14" t="s">
        <v>154</v>
      </c>
      <c r="S17" s="14" t="s">
        <v>145</v>
      </c>
      <c r="T17" s="14" t="s">
        <v>79</v>
      </c>
      <c r="U17" s="15">
        <v>44478</v>
      </c>
      <c r="V17" s="15"/>
      <c r="W17" s="16"/>
      <c r="X17" s="16" t="s">
        <v>74</v>
      </c>
      <c r="Y17" s="14" t="s">
        <v>74</v>
      </c>
      <c r="Z17" s="16" t="s">
        <v>74</v>
      </c>
      <c r="AA17" s="16" t="s">
        <v>74</v>
      </c>
      <c r="AB17" s="16" t="s">
        <v>74</v>
      </c>
      <c r="AC17" s="14" t="s">
        <v>74</v>
      </c>
      <c r="AD17" s="16" t="s">
        <v>74</v>
      </c>
      <c r="AE17" s="16" t="s">
        <v>74</v>
      </c>
      <c r="AF17" s="16" t="s">
        <v>74</v>
      </c>
      <c r="AG17" s="14" t="s">
        <v>74</v>
      </c>
      <c r="AH17" s="16" t="s">
        <v>74</v>
      </c>
      <c r="AI17" s="16" t="s">
        <v>74</v>
      </c>
      <c r="AJ17" s="16" t="s">
        <v>74</v>
      </c>
      <c r="AK17" s="14" t="s">
        <v>74</v>
      </c>
      <c r="AL17" s="16" t="s">
        <v>74</v>
      </c>
      <c r="AM17" s="16" t="s">
        <v>74</v>
      </c>
      <c r="AN17" s="14" t="s">
        <v>74</v>
      </c>
      <c r="AO17" s="14" t="s">
        <v>74</v>
      </c>
    </row>
    <row r="18" spans="1:41" ht="58" x14ac:dyDescent="0.35">
      <c r="A18" s="14" t="s">
        <v>113</v>
      </c>
      <c r="B18" s="14" t="s">
        <v>62</v>
      </c>
      <c r="C18" s="15">
        <v>44834.61041666667</v>
      </c>
      <c r="D18" s="14" t="s">
        <v>63</v>
      </c>
      <c r="E18" s="16" t="s">
        <v>64</v>
      </c>
      <c r="F18" s="14" t="s">
        <v>65</v>
      </c>
      <c r="G18" s="16" t="s">
        <v>66</v>
      </c>
      <c r="H18" s="14" t="s">
        <v>67</v>
      </c>
      <c r="I18" s="16" t="s">
        <v>68</v>
      </c>
      <c r="J18" s="16" t="s">
        <v>69</v>
      </c>
      <c r="K18" s="16" t="s">
        <v>70</v>
      </c>
      <c r="L18" s="14" t="s">
        <v>71</v>
      </c>
      <c r="M18" s="16" t="s">
        <v>72</v>
      </c>
      <c r="N18" s="14" t="s">
        <v>73</v>
      </c>
      <c r="O18" s="16" t="s">
        <v>74</v>
      </c>
      <c r="P18" s="16" t="s">
        <v>74</v>
      </c>
      <c r="Q18" s="16" t="s">
        <v>162</v>
      </c>
      <c r="R18" s="14" t="s">
        <v>163</v>
      </c>
      <c r="S18" s="14" t="s">
        <v>145</v>
      </c>
      <c r="T18" s="14" t="s">
        <v>117</v>
      </c>
      <c r="U18" s="15" t="s">
        <v>423</v>
      </c>
      <c r="V18" s="15"/>
      <c r="W18" s="16"/>
      <c r="X18" s="16" t="s">
        <v>74</v>
      </c>
      <c r="Y18" s="14" t="s">
        <v>74</v>
      </c>
      <c r="Z18" s="16" t="s">
        <v>74</v>
      </c>
      <c r="AA18" s="16" t="s">
        <v>74</v>
      </c>
      <c r="AB18" s="16" t="s">
        <v>74</v>
      </c>
      <c r="AC18" s="14" t="s">
        <v>74</v>
      </c>
      <c r="AD18" s="16" t="s">
        <v>74</v>
      </c>
      <c r="AE18" s="16" t="s">
        <v>74</v>
      </c>
      <c r="AF18" s="16" t="s">
        <v>74</v>
      </c>
      <c r="AG18" s="14" t="s">
        <v>74</v>
      </c>
      <c r="AH18" s="16" t="s">
        <v>74</v>
      </c>
      <c r="AI18" s="16" t="s">
        <v>74</v>
      </c>
      <c r="AJ18" s="16" t="s">
        <v>74</v>
      </c>
      <c r="AK18" s="14" t="s">
        <v>74</v>
      </c>
      <c r="AL18" s="16" t="s">
        <v>74</v>
      </c>
      <c r="AM18" s="16" t="s">
        <v>74</v>
      </c>
      <c r="AN18" s="14" t="s">
        <v>74</v>
      </c>
      <c r="AO18" s="14" t="s">
        <v>74</v>
      </c>
    </row>
    <row r="19" spans="1:41" ht="43.5" x14ac:dyDescent="0.35">
      <c r="A19" s="14" t="s">
        <v>113</v>
      </c>
      <c r="B19" s="14" t="s">
        <v>62</v>
      </c>
      <c r="C19" s="15">
        <v>44839.354861111111</v>
      </c>
      <c r="D19" s="14" t="s">
        <v>63</v>
      </c>
      <c r="E19" s="16" t="s">
        <v>64</v>
      </c>
      <c r="F19" s="14" t="s">
        <v>65</v>
      </c>
      <c r="G19" s="16" t="s">
        <v>66</v>
      </c>
      <c r="H19" s="14" t="s">
        <v>67</v>
      </c>
      <c r="I19" s="16" t="s">
        <v>68</v>
      </c>
      <c r="J19" s="16" t="s">
        <v>69</v>
      </c>
      <c r="K19" s="16" t="s">
        <v>70</v>
      </c>
      <c r="L19" s="14" t="s">
        <v>109</v>
      </c>
      <c r="M19" s="16" t="s">
        <v>110</v>
      </c>
      <c r="N19" s="14" t="s">
        <v>111</v>
      </c>
      <c r="O19" s="16" t="s">
        <v>74</v>
      </c>
      <c r="P19" s="16" t="s">
        <v>74</v>
      </c>
      <c r="Q19" s="16" t="s">
        <v>162</v>
      </c>
      <c r="R19" s="14" t="s">
        <v>163</v>
      </c>
      <c r="S19" s="14" t="s">
        <v>145</v>
      </c>
      <c r="T19" s="14" t="s">
        <v>117</v>
      </c>
      <c r="U19" s="15" t="s">
        <v>423</v>
      </c>
      <c r="V19" s="15"/>
      <c r="W19" s="16"/>
      <c r="X19" s="16" t="s">
        <v>74</v>
      </c>
      <c r="Y19" s="14" t="s">
        <v>74</v>
      </c>
      <c r="Z19" s="16" t="s">
        <v>74</v>
      </c>
      <c r="AA19" s="16" t="s">
        <v>74</v>
      </c>
      <c r="AB19" s="16" t="s">
        <v>74</v>
      </c>
      <c r="AC19" s="14" t="s">
        <v>74</v>
      </c>
      <c r="AD19" s="16" t="s">
        <v>74</v>
      </c>
      <c r="AE19" s="16" t="s">
        <v>74</v>
      </c>
      <c r="AF19" s="16" t="s">
        <v>74</v>
      </c>
      <c r="AG19" s="14" t="s">
        <v>74</v>
      </c>
      <c r="AH19" s="16" t="s">
        <v>74</v>
      </c>
      <c r="AI19" s="16" t="s">
        <v>74</v>
      </c>
      <c r="AJ19" s="16" t="s">
        <v>74</v>
      </c>
      <c r="AK19" s="14" t="s">
        <v>74</v>
      </c>
      <c r="AL19" s="16" t="s">
        <v>74</v>
      </c>
      <c r="AM19" s="16" t="s">
        <v>74</v>
      </c>
      <c r="AN19" s="14" t="s">
        <v>74</v>
      </c>
      <c r="AO19" s="14" t="s">
        <v>74</v>
      </c>
    </row>
    <row r="20" spans="1:41" ht="58" x14ac:dyDescent="0.35">
      <c r="A20" s="14" t="s">
        <v>113</v>
      </c>
      <c r="B20" s="14" t="s">
        <v>62</v>
      </c>
      <c r="C20" s="15">
        <v>44834.611111111109</v>
      </c>
      <c r="D20" s="14" t="s">
        <v>63</v>
      </c>
      <c r="E20" s="16" t="s">
        <v>64</v>
      </c>
      <c r="F20" s="14" t="s">
        <v>65</v>
      </c>
      <c r="G20" s="16" t="s">
        <v>66</v>
      </c>
      <c r="H20" s="14" t="s">
        <v>67</v>
      </c>
      <c r="I20" s="16" t="s">
        <v>68</v>
      </c>
      <c r="J20" s="16" t="s">
        <v>69</v>
      </c>
      <c r="K20" s="16" t="s">
        <v>70</v>
      </c>
      <c r="L20" s="14" t="s">
        <v>71</v>
      </c>
      <c r="M20" s="16" t="s">
        <v>72</v>
      </c>
      <c r="N20" s="14" t="s">
        <v>73</v>
      </c>
      <c r="O20" s="16" t="s">
        <v>74</v>
      </c>
      <c r="P20" s="16" t="s">
        <v>74</v>
      </c>
      <c r="Q20" s="16" t="s">
        <v>164</v>
      </c>
      <c r="R20" s="14" t="s">
        <v>165</v>
      </c>
      <c r="S20" s="14" t="s">
        <v>145</v>
      </c>
      <c r="T20" s="14" t="s">
        <v>117</v>
      </c>
      <c r="U20" s="15" t="s">
        <v>423</v>
      </c>
      <c r="V20" s="15"/>
      <c r="W20" s="16"/>
      <c r="X20" s="16" t="s">
        <v>74</v>
      </c>
      <c r="Y20" s="14" t="s">
        <v>74</v>
      </c>
      <c r="Z20" s="16" t="s">
        <v>74</v>
      </c>
      <c r="AA20" s="16" t="s">
        <v>74</v>
      </c>
      <c r="AB20" s="16" t="s">
        <v>74</v>
      </c>
      <c r="AC20" s="14" t="s">
        <v>74</v>
      </c>
      <c r="AD20" s="16" t="s">
        <v>74</v>
      </c>
      <c r="AE20" s="16" t="s">
        <v>74</v>
      </c>
      <c r="AF20" s="16" t="s">
        <v>74</v>
      </c>
      <c r="AG20" s="14" t="s">
        <v>74</v>
      </c>
      <c r="AH20" s="16" t="s">
        <v>74</v>
      </c>
      <c r="AI20" s="16" t="s">
        <v>74</v>
      </c>
      <c r="AJ20" s="16" t="s">
        <v>74</v>
      </c>
      <c r="AK20" s="14" t="s">
        <v>74</v>
      </c>
      <c r="AL20" s="16" t="s">
        <v>74</v>
      </c>
      <c r="AM20" s="16" t="s">
        <v>74</v>
      </c>
      <c r="AN20" s="14" t="s">
        <v>74</v>
      </c>
      <c r="AO20" s="14" t="s">
        <v>74</v>
      </c>
    </row>
    <row r="21" spans="1:41" ht="43.5" x14ac:dyDescent="0.35">
      <c r="A21" s="14" t="s">
        <v>113</v>
      </c>
      <c r="B21" s="14" t="s">
        <v>62</v>
      </c>
      <c r="C21" s="15">
        <v>44839.354861111111</v>
      </c>
      <c r="D21" s="14" t="s">
        <v>63</v>
      </c>
      <c r="E21" s="16" t="s">
        <v>64</v>
      </c>
      <c r="F21" s="14" t="s">
        <v>65</v>
      </c>
      <c r="G21" s="16" t="s">
        <v>66</v>
      </c>
      <c r="H21" s="14" t="s">
        <v>67</v>
      </c>
      <c r="I21" s="16" t="s">
        <v>68</v>
      </c>
      <c r="J21" s="16" t="s">
        <v>69</v>
      </c>
      <c r="K21" s="16" t="s">
        <v>70</v>
      </c>
      <c r="L21" s="14" t="s">
        <v>109</v>
      </c>
      <c r="M21" s="16" t="s">
        <v>110</v>
      </c>
      <c r="N21" s="14" t="s">
        <v>111</v>
      </c>
      <c r="O21" s="16" t="s">
        <v>74</v>
      </c>
      <c r="P21" s="16" t="s">
        <v>74</v>
      </c>
      <c r="Q21" s="16" t="s">
        <v>164</v>
      </c>
      <c r="R21" s="14" t="s">
        <v>165</v>
      </c>
      <c r="S21" s="14" t="s">
        <v>145</v>
      </c>
      <c r="T21" s="14" t="s">
        <v>117</v>
      </c>
      <c r="U21" s="15" t="s">
        <v>423</v>
      </c>
      <c r="V21" s="15"/>
      <c r="W21" s="16"/>
      <c r="X21" s="16" t="s">
        <v>74</v>
      </c>
      <c r="Y21" s="14" t="s">
        <v>74</v>
      </c>
      <c r="Z21" s="16" t="s">
        <v>74</v>
      </c>
      <c r="AA21" s="16" t="s">
        <v>74</v>
      </c>
      <c r="AB21" s="16" t="s">
        <v>74</v>
      </c>
      <c r="AC21" s="14" t="s">
        <v>74</v>
      </c>
      <c r="AD21" s="16" t="s">
        <v>74</v>
      </c>
      <c r="AE21" s="16" t="s">
        <v>74</v>
      </c>
      <c r="AF21" s="16" t="s">
        <v>74</v>
      </c>
      <c r="AG21" s="14" t="s">
        <v>74</v>
      </c>
      <c r="AH21" s="16" t="s">
        <v>74</v>
      </c>
      <c r="AI21" s="16" t="s">
        <v>74</v>
      </c>
      <c r="AJ21" s="16" t="s">
        <v>74</v>
      </c>
      <c r="AK21" s="14" t="s">
        <v>74</v>
      </c>
      <c r="AL21" s="16" t="s">
        <v>74</v>
      </c>
      <c r="AM21" s="16" t="s">
        <v>74</v>
      </c>
      <c r="AN21" s="14" t="s">
        <v>74</v>
      </c>
      <c r="AO21" s="14" t="s">
        <v>74</v>
      </c>
    </row>
    <row r="22" spans="1:41" ht="58" x14ac:dyDescent="0.35">
      <c r="A22" s="14" t="s">
        <v>113</v>
      </c>
      <c r="B22" s="14" t="s">
        <v>62</v>
      </c>
      <c r="C22" s="15">
        <v>44834.611111111109</v>
      </c>
      <c r="D22" s="14" t="s">
        <v>63</v>
      </c>
      <c r="E22" s="16" t="s">
        <v>64</v>
      </c>
      <c r="F22" s="14" t="s">
        <v>65</v>
      </c>
      <c r="G22" s="16" t="s">
        <v>66</v>
      </c>
      <c r="H22" s="14" t="s">
        <v>67</v>
      </c>
      <c r="I22" s="16" t="s">
        <v>68</v>
      </c>
      <c r="J22" s="16" t="s">
        <v>69</v>
      </c>
      <c r="K22" s="16" t="s">
        <v>70</v>
      </c>
      <c r="L22" s="14" t="s">
        <v>71</v>
      </c>
      <c r="M22" s="16" t="s">
        <v>72</v>
      </c>
      <c r="N22" s="14" t="s">
        <v>73</v>
      </c>
      <c r="O22" s="16" t="s">
        <v>74</v>
      </c>
      <c r="P22" s="16" t="s">
        <v>74</v>
      </c>
      <c r="Q22" s="16" t="s">
        <v>166</v>
      </c>
      <c r="R22" s="14" t="s">
        <v>167</v>
      </c>
      <c r="S22" s="14" t="s">
        <v>145</v>
      </c>
      <c r="T22" s="14" t="s">
        <v>117</v>
      </c>
      <c r="U22" s="15" t="s">
        <v>423</v>
      </c>
      <c r="V22" s="15"/>
      <c r="W22" s="16"/>
      <c r="X22" s="16" t="s">
        <v>74</v>
      </c>
      <c r="Y22" s="14" t="s">
        <v>74</v>
      </c>
      <c r="Z22" s="16" t="s">
        <v>74</v>
      </c>
      <c r="AA22" s="16" t="s">
        <v>74</v>
      </c>
      <c r="AB22" s="16" t="s">
        <v>74</v>
      </c>
      <c r="AC22" s="14" t="s">
        <v>74</v>
      </c>
      <c r="AD22" s="16" t="s">
        <v>74</v>
      </c>
      <c r="AE22" s="16" t="s">
        <v>74</v>
      </c>
      <c r="AF22" s="16" t="s">
        <v>74</v>
      </c>
      <c r="AG22" s="14" t="s">
        <v>74</v>
      </c>
      <c r="AH22" s="16" t="s">
        <v>74</v>
      </c>
      <c r="AI22" s="16" t="s">
        <v>74</v>
      </c>
      <c r="AJ22" s="16" t="s">
        <v>74</v>
      </c>
      <c r="AK22" s="14" t="s">
        <v>74</v>
      </c>
      <c r="AL22" s="16" t="s">
        <v>74</v>
      </c>
      <c r="AM22" s="16" t="s">
        <v>74</v>
      </c>
      <c r="AN22" s="14" t="s">
        <v>74</v>
      </c>
      <c r="AO22" s="14" t="s">
        <v>74</v>
      </c>
    </row>
    <row r="23" spans="1:41" ht="58" x14ac:dyDescent="0.35">
      <c r="A23" s="14" t="s">
        <v>113</v>
      </c>
      <c r="B23" s="14" t="s">
        <v>62</v>
      </c>
      <c r="C23" s="15">
        <v>44839.356249999997</v>
      </c>
      <c r="D23" s="14" t="s">
        <v>63</v>
      </c>
      <c r="E23" s="16" t="s">
        <v>64</v>
      </c>
      <c r="F23" s="14" t="s">
        <v>65</v>
      </c>
      <c r="G23" s="16" t="s">
        <v>66</v>
      </c>
      <c r="H23" s="14" t="s">
        <v>67</v>
      </c>
      <c r="I23" s="16" t="s">
        <v>68</v>
      </c>
      <c r="J23" s="16" t="s">
        <v>69</v>
      </c>
      <c r="K23" s="16" t="s">
        <v>70</v>
      </c>
      <c r="L23" s="14" t="s">
        <v>109</v>
      </c>
      <c r="M23" s="16" t="s">
        <v>110</v>
      </c>
      <c r="N23" s="14" t="s">
        <v>111</v>
      </c>
      <c r="O23" s="16" t="s">
        <v>74</v>
      </c>
      <c r="P23" s="16" t="s">
        <v>74</v>
      </c>
      <c r="Q23" s="16" t="s">
        <v>166</v>
      </c>
      <c r="R23" s="14" t="s">
        <v>167</v>
      </c>
      <c r="S23" s="14" t="s">
        <v>145</v>
      </c>
      <c r="T23" s="14" t="s">
        <v>117</v>
      </c>
      <c r="U23" s="15" t="s">
        <v>423</v>
      </c>
      <c r="V23" s="15"/>
      <c r="W23" s="16"/>
      <c r="X23" s="16" t="s">
        <v>74</v>
      </c>
      <c r="Y23" s="14" t="s">
        <v>74</v>
      </c>
      <c r="Z23" s="16" t="s">
        <v>74</v>
      </c>
      <c r="AA23" s="16" t="s">
        <v>74</v>
      </c>
      <c r="AB23" s="16" t="s">
        <v>74</v>
      </c>
      <c r="AC23" s="14" t="s">
        <v>74</v>
      </c>
      <c r="AD23" s="16" t="s">
        <v>74</v>
      </c>
      <c r="AE23" s="16" t="s">
        <v>74</v>
      </c>
      <c r="AF23" s="16" t="s">
        <v>74</v>
      </c>
      <c r="AG23" s="14" t="s">
        <v>74</v>
      </c>
      <c r="AH23" s="16" t="s">
        <v>74</v>
      </c>
      <c r="AI23" s="16" t="s">
        <v>74</v>
      </c>
      <c r="AJ23" s="16" t="s">
        <v>74</v>
      </c>
      <c r="AK23" s="14" t="s">
        <v>74</v>
      </c>
      <c r="AL23" s="16" t="s">
        <v>74</v>
      </c>
      <c r="AM23" s="16" t="s">
        <v>74</v>
      </c>
      <c r="AN23" s="14" t="s">
        <v>74</v>
      </c>
      <c r="AO23" s="14" t="s">
        <v>74</v>
      </c>
    </row>
    <row r="24" spans="1:41" ht="58" x14ac:dyDescent="0.35">
      <c r="A24" s="14" t="s">
        <v>61</v>
      </c>
      <c r="B24" s="14" t="s">
        <v>62</v>
      </c>
      <c r="C24" s="15">
        <v>44510.484027777777</v>
      </c>
      <c r="D24" s="14" t="s">
        <v>63</v>
      </c>
      <c r="E24" s="16" t="s">
        <v>64</v>
      </c>
      <c r="F24" s="14" t="s">
        <v>65</v>
      </c>
      <c r="G24" s="16" t="s">
        <v>66</v>
      </c>
      <c r="H24" s="14" t="s">
        <v>67</v>
      </c>
      <c r="I24" s="16" t="s">
        <v>68</v>
      </c>
      <c r="J24" s="16" t="s">
        <v>69</v>
      </c>
      <c r="K24" s="16" t="s">
        <v>70</v>
      </c>
      <c r="L24" s="14" t="s">
        <v>71</v>
      </c>
      <c r="M24" s="16" t="s">
        <v>72</v>
      </c>
      <c r="N24" s="14" t="s">
        <v>73</v>
      </c>
      <c r="O24" s="16" t="s">
        <v>74</v>
      </c>
      <c r="P24" s="16" t="s">
        <v>74</v>
      </c>
      <c r="Q24" s="16" t="s">
        <v>168</v>
      </c>
      <c r="R24" s="14" t="s">
        <v>169</v>
      </c>
      <c r="S24" s="14" t="s">
        <v>145</v>
      </c>
      <c r="T24" s="14" t="s">
        <v>79</v>
      </c>
      <c r="U24" s="15">
        <v>44478</v>
      </c>
      <c r="V24" s="15"/>
      <c r="W24" s="16"/>
      <c r="X24" s="16" t="s">
        <v>74</v>
      </c>
      <c r="Y24" s="14" t="s">
        <v>74</v>
      </c>
      <c r="Z24" s="16" t="s">
        <v>74</v>
      </c>
      <c r="AA24" s="16" t="s">
        <v>74</v>
      </c>
      <c r="AB24" s="16" t="s">
        <v>74</v>
      </c>
      <c r="AC24" s="14" t="s">
        <v>74</v>
      </c>
      <c r="AD24" s="16" t="s">
        <v>74</v>
      </c>
      <c r="AE24" s="16" t="s">
        <v>74</v>
      </c>
      <c r="AF24" s="16" t="s">
        <v>74</v>
      </c>
      <c r="AG24" s="14" t="s">
        <v>74</v>
      </c>
      <c r="AH24" s="16" t="s">
        <v>74</v>
      </c>
      <c r="AI24" s="16" t="s">
        <v>74</v>
      </c>
      <c r="AJ24" s="16" t="s">
        <v>74</v>
      </c>
      <c r="AK24" s="14" t="s">
        <v>74</v>
      </c>
      <c r="AL24" s="16" t="s">
        <v>74</v>
      </c>
      <c r="AM24" s="16" t="s">
        <v>74</v>
      </c>
      <c r="AN24" s="14" t="s">
        <v>74</v>
      </c>
      <c r="AO24" s="14" t="s">
        <v>74</v>
      </c>
    </row>
    <row r="25" spans="1:41" ht="58" x14ac:dyDescent="0.35">
      <c r="A25" s="14" t="s">
        <v>61</v>
      </c>
      <c r="B25" s="14" t="s">
        <v>62</v>
      </c>
      <c r="C25" s="15">
        <v>44839.387499999997</v>
      </c>
      <c r="D25" s="14" t="s">
        <v>63</v>
      </c>
      <c r="E25" s="16" t="s">
        <v>64</v>
      </c>
      <c r="F25" s="14" t="s">
        <v>65</v>
      </c>
      <c r="G25" s="16" t="s">
        <v>66</v>
      </c>
      <c r="H25" s="14" t="s">
        <v>67</v>
      </c>
      <c r="I25" s="16" t="s">
        <v>68</v>
      </c>
      <c r="J25" s="16" t="s">
        <v>69</v>
      </c>
      <c r="K25" s="16" t="s">
        <v>70</v>
      </c>
      <c r="L25" s="14" t="s">
        <v>109</v>
      </c>
      <c r="M25" s="16" t="s">
        <v>110</v>
      </c>
      <c r="N25" s="14" t="s">
        <v>111</v>
      </c>
      <c r="O25" s="16" t="s">
        <v>74</v>
      </c>
      <c r="P25" s="16" t="s">
        <v>74</v>
      </c>
      <c r="Q25" s="16" t="s">
        <v>168</v>
      </c>
      <c r="R25" s="14" t="s">
        <v>169</v>
      </c>
      <c r="S25" s="14" t="s">
        <v>145</v>
      </c>
      <c r="T25" s="14" t="s">
        <v>79</v>
      </c>
      <c r="U25" s="15">
        <v>44478</v>
      </c>
      <c r="V25" s="15"/>
      <c r="W25" s="16"/>
      <c r="X25" s="16" t="s">
        <v>74</v>
      </c>
      <c r="Y25" s="14" t="s">
        <v>74</v>
      </c>
      <c r="Z25" s="16" t="s">
        <v>74</v>
      </c>
      <c r="AA25" s="16" t="s">
        <v>74</v>
      </c>
      <c r="AB25" s="16" t="s">
        <v>74</v>
      </c>
      <c r="AC25" s="14" t="s">
        <v>74</v>
      </c>
      <c r="AD25" s="16" t="s">
        <v>74</v>
      </c>
      <c r="AE25" s="16" t="s">
        <v>74</v>
      </c>
      <c r="AF25" s="16" t="s">
        <v>74</v>
      </c>
      <c r="AG25" s="14" t="s">
        <v>74</v>
      </c>
      <c r="AH25" s="16" t="s">
        <v>74</v>
      </c>
      <c r="AI25" s="16" t="s">
        <v>74</v>
      </c>
      <c r="AJ25" s="16" t="s">
        <v>74</v>
      </c>
      <c r="AK25" s="14" t="s">
        <v>74</v>
      </c>
      <c r="AL25" s="16" t="s">
        <v>74</v>
      </c>
      <c r="AM25" s="16" t="s">
        <v>74</v>
      </c>
      <c r="AN25" s="14" t="s">
        <v>74</v>
      </c>
      <c r="AO25" s="14" t="s">
        <v>74</v>
      </c>
    </row>
    <row r="26" spans="1:41" ht="43.5" x14ac:dyDescent="0.35">
      <c r="A26" s="14" t="s">
        <v>113</v>
      </c>
      <c r="B26" s="14" t="s">
        <v>62</v>
      </c>
      <c r="C26" s="15">
        <v>44852.402777777781</v>
      </c>
      <c r="D26" s="14" t="s">
        <v>63</v>
      </c>
      <c r="E26" s="16" t="s">
        <v>64</v>
      </c>
      <c r="F26" s="14" t="s">
        <v>65</v>
      </c>
      <c r="G26" s="16" t="s">
        <v>66</v>
      </c>
      <c r="H26" s="14" t="s">
        <v>177</v>
      </c>
      <c r="I26" s="16" t="s">
        <v>178</v>
      </c>
      <c r="J26" s="16" t="s">
        <v>179</v>
      </c>
      <c r="K26" s="16" t="s">
        <v>180</v>
      </c>
      <c r="L26" s="14" t="s">
        <v>181</v>
      </c>
      <c r="M26" s="16" t="s">
        <v>182</v>
      </c>
      <c r="N26" s="14" t="s">
        <v>73</v>
      </c>
      <c r="O26" s="16" t="s">
        <v>74</v>
      </c>
      <c r="P26" s="16" t="s">
        <v>74</v>
      </c>
      <c r="Q26" s="16" t="s">
        <v>75</v>
      </c>
      <c r="R26" s="14" t="s">
        <v>76</v>
      </c>
      <c r="S26" s="14" t="s">
        <v>78</v>
      </c>
      <c r="T26" s="14" t="s">
        <v>79</v>
      </c>
      <c r="U26" s="15">
        <v>40550</v>
      </c>
      <c r="V26" s="15"/>
      <c r="W26" s="16"/>
      <c r="X26" s="16" t="s">
        <v>74</v>
      </c>
      <c r="Y26" s="14" t="s">
        <v>74</v>
      </c>
      <c r="Z26" s="16" t="s">
        <v>74</v>
      </c>
      <c r="AA26" s="16" t="s">
        <v>74</v>
      </c>
      <c r="AB26" s="16" t="s">
        <v>74</v>
      </c>
      <c r="AC26" s="14" t="s">
        <v>74</v>
      </c>
      <c r="AD26" s="16" t="s">
        <v>74</v>
      </c>
      <c r="AE26" s="16" t="s">
        <v>74</v>
      </c>
      <c r="AF26" s="16" t="s">
        <v>74</v>
      </c>
      <c r="AG26" s="14" t="s">
        <v>74</v>
      </c>
      <c r="AH26" s="16" t="s">
        <v>74</v>
      </c>
      <c r="AI26" s="16" t="s">
        <v>74</v>
      </c>
      <c r="AJ26" s="16" t="s">
        <v>74</v>
      </c>
      <c r="AK26" s="14" t="s">
        <v>74</v>
      </c>
      <c r="AL26" s="16" t="s">
        <v>74</v>
      </c>
      <c r="AM26" s="16" t="s">
        <v>74</v>
      </c>
      <c r="AN26" s="14" t="s">
        <v>74</v>
      </c>
      <c r="AO26" s="14" t="s">
        <v>74</v>
      </c>
    </row>
    <row r="27" spans="1:41" ht="43.5" x14ac:dyDescent="0.35">
      <c r="A27" s="14" t="s">
        <v>113</v>
      </c>
      <c r="B27" s="14" t="s">
        <v>62</v>
      </c>
      <c r="C27" s="15">
        <v>44852.463888888888</v>
      </c>
      <c r="D27" s="14" t="s">
        <v>63</v>
      </c>
      <c r="E27" s="16" t="s">
        <v>64</v>
      </c>
      <c r="F27" s="14" t="s">
        <v>65</v>
      </c>
      <c r="G27" s="16" t="s">
        <v>66</v>
      </c>
      <c r="H27" s="14" t="s">
        <v>177</v>
      </c>
      <c r="I27" s="16" t="s">
        <v>178</v>
      </c>
      <c r="J27" s="16" t="s">
        <v>179</v>
      </c>
      <c r="K27" s="16" t="s">
        <v>180</v>
      </c>
      <c r="L27" s="14" t="s">
        <v>191</v>
      </c>
      <c r="M27" s="16" t="s">
        <v>192</v>
      </c>
      <c r="N27" s="14" t="s">
        <v>111</v>
      </c>
      <c r="O27" s="16" t="s">
        <v>74</v>
      </c>
      <c r="P27" s="16" t="s">
        <v>74</v>
      </c>
      <c r="Q27" s="16" t="s">
        <v>75</v>
      </c>
      <c r="R27" s="14" t="s">
        <v>76</v>
      </c>
      <c r="S27" s="14" t="s">
        <v>78</v>
      </c>
      <c r="T27" s="14" t="s">
        <v>79</v>
      </c>
      <c r="U27" s="15">
        <v>40550</v>
      </c>
      <c r="V27" s="15"/>
      <c r="W27" s="16"/>
      <c r="X27" s="16" t="s">
        <v>74</v>
      </c>
      <c r="Y27" s="14" t="s">
        <v>74</v>
      </c>
      <c r="Z27" s="16" t="s">
        <v>74</v>
      </c>
      <c r="AA27" s="16" t="s">
        <v>74</v>
      </c>
      <c r="AB27" s="16" t="s">
        <v>74</v>
      </c>
      <c r="AC27" s="14" t="s">
        <v>74</v>
      </c>
      <c r="AD27" s="16" t="s">
        <v>74</v>
      </c>
      <c r="AE27" s="16" t="s">
        <v>74</v>
      </c>
      <c r="AF27" s="16" t="s">
        <v>74</v>
      </c>
      <c r="AG27" s="14" t="s">
        <v>74</v>
      </c>
      <c r="AH27" s="16" t="s">
        <v>74</v>
      </c>
      <c r="AI27" s="16" t="s">
        <v>74</v>
      </c>
      <c r="AJ27" s="16" t="s">
        <v>74</v>
      </c>
      <c r="AK27" s="14" t="s">
        <v>74</v>
      </c>
      <c r="AL27" s="16" t="s">
        <v>74</v>
      </c>
      <c r="AM27" s="16" t="s">
        <v>74</v>
      </c>
      <c r="AN27" s="14" t="s">
        <v>74</v>
      </c>
      <c r="AO27" s="14" t="s">
        <v>74</v>
      </c>
    </row>
    <row r="28" spans="1:41" ht="43.5" x14ac:dyDescent="0.35">
      <c r="A28" s="14" t="s">
        <v>113</v>
      </c>
      <c r="B28" s="14" t="s">
        <v>62</v>
      </c>
      <c r="C28" s="15">
        <v>44886.494444444441</v>
      </c>
      <c r="D28" s="14" t="s">
        <v>63</v>
      </c>
      <c r="E28" s="16" t="s">
        <v>64</v>
      </c>
      <c r="F28" s="14" t="s">
        <v>65</v>
      </c>
      <c r="G28" s="16" t="s">
        <v>66</v>
      </c>
      <c r="H28" s="14" t="s">
        <v>177</v>
      </c>
      <c r="I28" s="16" t="s">
        <v>178</v>
      </c>
      <c r="J28" s="16" t="s">
        <v>179</v>
      </c>
      <c r="K28" s="16" t="s">
        <v>180</v>
      </c>
      <c r="L28" s="14" t="s">
        <v>181</v>
      </c>
      <c r="M28" s="16" t="s">
        <v>182</v>
      </c>
      <c r="N28" s="14" t="s">
        <v>73</v>
      </c>
      <c r="O28" s="16" t="s">
        <v>74</v>
      </c>
      <c r="P28" s="16" t="s">
        <v>74</v>
      </c>
      <c r="Q28" s="16" t="s">
        <v>114</v>
      </c>
      <c r="R28" s="14" t="s">
        <v>115</v>
      </c>
      <c r="S28" s="14" t="s">
        <v>78</v>
      </c>
      <c r="T28" s="14" t="s">
        <v>117</v>
      </c>
      <c r="U28" s="15">
        <v>43831</v>
      </c>
      <c r="V28" s="15"/>
      <c r="W28" s="16"/>
      <c r="X28" s="16" t="s">
        <v>74</v>
      </c>
      <c r="Y28" s="14" t="s">
        <v>74</v>
      </c>
      <c r="Z28" s="16" t="s">
        <v>74</v>
      </c>
      <c r="AA28" s="16" t="s">
        <v>74</v>
      </c>
      <c r="AB28" s="16" t="s">
        <v>74</v>
      </c>
      <c r="AC28" s="14" t="s">
        <v>74</v>
      </c>
      <c r="AD28" s="16" t="s">
        <v>74</v>
      </c>
      <c r="AE28" s="16" t="s">
        <v>74</v>
      </c>
      <c r="AF28" s="16" t="s">
        <v>74</v>
      </c>
      <c r="AG28" s="14" t="s">
        <v>74</v>
      </c>
      <c r="AH28" s="16" t="s">
        <v>74</v>
      </c>
      <c r="AI28" s="16" t="s">
        <v>74</v>
      </c>
      <c r="AJ28" s="16" t="s">
        <v>74</v>
      </c>
      <c r="AK28" s="14" t="s">
        <v>74</v>
      </c>
      <c r="AL28" s="16" t="s">
        <v>74</v>
      </c>
      <c r="AM28" s="16" t="s">
        <v>74</v>
      </c>
      <c r="AN28" s="14" t="s">
        <v>74</v>
      </c>
      <c r="AO28" s="14" t="s">
        <v>74</v>
      </c>
    </row>
    <row r="29" spans="1:41" ht="43.5" x14ac:dyDescent="0.35">
      <c r="A29" s="14" t="s">
        <v>113</v>
      </c>
      <c r="B29" s="14" t="s">
        <v>62</v>
      </c>
      <c r="C29" s="15">
        <v>44886.494444444441</v>
      </c>
      <c r="D29" s="14" t="s">
        <v>63</v>
      </c>
      <c r="E29" s="16" t="s">
        <v>64</v>
      </c>
      <c r="F29" s="14" t="s">
        <v>65</v>
      </c>
      <c r="G29" s="16" t="s">
        <v>66</v>
      </c>
      <c r="H29" s="14" t="s">
        <v>177</v>
      </c>
      <c r="I29" s="16" t="s">
        <v>178</v>
      </c>
      <c r="J29" s="16" t="s">
        <v>179</v>
      </c>
      <c r="K29" s="16" t="s">
        <v>180</v>
      </c>
      <c r="L29" s="14" t="s">
        <v>191</v>
      </c>
      <c r="M29" s="16" t="s">
        <v>192</v>
      </c>
      <c r="N29" s="14" t="s">
        <v>111</v>
      </c>
      <c r="O29" s="16" t="s">
        <v>74</v>
      </c>
      <c r="P29" s="16" t="s">
        <v>74</v>
      </c>
      <c r="Q29" s="16" t="s">
        <v>114</v>
      </c>
      <c r="R29" s="14" t="s">
        <v>115</v>
      </c>
      <c r="S29" s="14" t="s">
        <v>78</v>
      </c>
      <c r="T29" s="14" t="s">
        <v>117</v>
      </c>
      <c r="U29" s="15">
        <v>43831</v>
      </c>
      <c r="V29" s="15"/>
      <c r="W29" s="16"/>
      <c r="X29" s="16" t="s">
        <v>74</v>
      </c>
      <c r="Y29" s="14" t="s">
        <v>74</v>
      </c>
      <c r="Z29" s="16" t="s">
        <v>74</v>
      </c>
      <c r="AA29" s="16" t="s">
        <v>74</v>
      </c>
      <c r="AB29" s="16" t="s">
        <v>74</v>
      </c>
      <c r="AC29" s="14" t="s">
        <v>74</v>
      </c>
      <c r="AD29" s="16" t="s">
        <v>74</v>
      </c>
      <c r="AE29" s="16" t="s">
        <v>74</v>
      </c>
      <c r="AF29" s="16" t="s">
        <v>74</v>
      </c>
      <c r="AG29" s="14" t="s">
        <v>74</v>
      </c>
      <c r="AH29" s="16" t="s">
        <v>74</v>
      </c>
      <c r="AI29" s="16" t="s">
        <v>74</v>
      </c>
      <c r="AJ29" s="16" t="s">
        <v>74</v>
      </c>
      <c r="AK29" s="14" t="s">
        <v>74</v>
      </c>
      <c r="AL29" s="16" t="s">
        <v>74</v>
      </c>
      <c r="AM29" s="16" t="s">
        <v>74</v>
      </c>
      <c r="AN29" s="14" t="s">
        <v>74</v>
      </c>
      <c r="AO29" s="14" t="s">
        <v>74</v>
      </c>
    </row>
    <row r="30" spans="1:41" ht="43.5" x14ac:dyDescent="0.35">
      <c r="A30" s="14" t="s">
        <v>113</v>
      </c>
      <c r="B30" s="14" t="s">
        <v>116</v>
      </c>
      <c r="C30" s="15">
        <v>44855.435416666667</v>
      </c>
      <c r="D30" s="14" t="s">
        <v>63</v>
      </c>
      <c r="E30" s="16" t="s">
        <v>64</v>
      </c>
      <c r="F30" s="14" t="s">
        <v>65</v>
      </c>
      <c r="G30" s="16" t="s">
        <v>66</v>
      </c>
      <c r="H30" s="14" t="s">
        <v>177</v>
      </c>
      <c r="I30" s="16" t="s">
        <v>178</v>
      </c>
      <c r="J30" s="16" t="s">
        <v>179</v>
      </c>
      <c r="K30" s="16" t="s">
        <v>180</v>
      </c>
      <c r="L30" s="14" t="s">
        <v>181</v>
      </c>
      <c r="M30" s="16" t="s">
        <v>182</v>
      </c>
      <c r="N30" s="14" t="s">
        <v>73</v>
      </c>
      <c r="O30" s="16" t="s">
        <v>74</v>
      </c>
      <c r="P30" s="16" t="s">
        <v>74</v>
      </c>
      <c r="Q30" s="16" t="s">
        <v>118</v>
      </c>
      <c r="R30" s="14" t="s">
        <v>119</v>
      </c>
      <c r="S30" s="14" t="s">
        <v>78</v>
      </c>
      <c r="T30" s="14" t="s">
        <v>79</v>
      </c>
      <c r="U30" s="15">
        <v>40550</v>
      </c>
      <c r="V30" s="15"/>
      <c r="W30" s="16"/>
      <c r="X30" s="16" t="s">
        <v>74</v>
      </c>
      <c r="Y30" s="14" t="s">
        <v>74</v>
      </c>
      <c r="Z30" s="16" t="s">
        <v>74</v>
      </c>
      <c r="AA30" s="16" t="s">
        <v>74</v>
      </c>
      <c r="AB30" s="16" t="s">
        <v>74</v>
      </c>
      <c r="AC30" s="14" t="s">
        <v>74</v>
      </c>
      <c r="AD30" s="16" t="s">
        <v>74</v>
      </c>
      <c r="AE30" s="16" t="s">
        <v>74</v>
      </c>
      <c r="AF30" s="16" t="s">
        <v>74</v>
      </c>
      <c r="AG30" s="14" t="s">
        <v>74</v>
      </c>
      <c r="AH30" s="16" t="s">
        <v>74</v>
      </c>
      <c r="AI30" s="16" t="s">
        <v>74</v>
      </c>
      <c r="AJ30" s="16" t="s">
        <v>74</v>
      </c>
      <c r="AK30" s="14" t="s">
        <v>74</v>
      </c>
      <c r="AL30" s="16" t="s">
        <v>74</v>
      </c>
      <c r="AM30" s="16" t="s">
        <v>74</v>
      </c>
      <c r="AN30" s="14" t="s">
        <v>74</v>
      </c>
      <c r="AO30" s="14" t="s">
        <v>74</v>
      </c>
    </row>
    <row r="31" spans="1:41" ht="43.5" x14ac:dyDescent="0.35">
      <c r="A31" s="14" t="s">
        <v>113</v>
      </c>
      <c r="B31" s="14" t="s">
        <v>62</v>
      </c>
      <c r="C31" s="15">
        <v>44852.463888888888</v>
      </c>
      <c r="D31" s="14" t="s">
        <v>63</v>
      </c>
      <c r="E31" s="16" t="s">
        <v>64</v>
      </c>
      <c r="F31" s="14" t="s">
        <v>65</v>
      </c>
      <c r="G31" s="16" t="s">
        <v>66</v>
      </c>
      <c r="H31" s="14" t="s">
        <v>177</v>
      </c>
      <c r="I31" s="16" t="s">
        <v>178</v>
      </c>
      <c r="J31" s="16" t="s">
        <v>179</v>
      </c>
      <c r="K31" s="16" t="s">
        <v>180</v>
      </c>
      <c r="L31" s="14" t="s">
        <v>191</v>
      </c>
      <c r="M31" s="16" t="s">
        <v>192</v>
      </c>
      <c r="N31" s="14" t="s">
        <v>111</v>
      </c>
      <c r="O31" s="16" t="s">
        <v>74</v>
      </c>
      <c r="P31" s="16" t="s">
        <v>74</v>
      </c>
      <c r="Q31" s="16" t="s">
        <v>118</v>
      </c>
      <c r="R31" s="14" t="s">
        <v>119</v>
      </c>
      <c r="S31" s="14" t="s">
        <v>78</v>
      </c>
      <c r="T31" s="14" t="s">
        <v>79</v>
      </c>
      <c r="U31" s="15">
        <v>40550</v>
      </c>
      <c r="V31" s="15"/>
      <c r="W31" s="16"/>
      <c r="X31" s="16" t="s">
        <v>74</v>
      </c>
      <c r="Y31" s="14" t="s">
        <v>74</v>
      </c>
      <c r="Z31" s="16" t="s">
        <v>74</v>
      </c>
      <c r="AA31" s="16" t="s">
        <v>74</v>
      </c>
      <c r="AB31" s="16" t="s">
        <v>74</v>
      </c>
      <c r="AC31" s="14" t="s">
        <v>74</v>
      </c>
      <c r="AD31" s="16" t="s">
        <v>74</v>
      </c>
      <c r="AE31" s="16" t="s">
        <v>74</v>
      </c>
      <c r="AF31" s="16" t="s">
        <v>74</v>
      </c>
      <c r="AG31" s="14" t="s">
        <v>74</v>
      </c>
      <c r="AH31" s="16" t="s">
        <v>74</v>
      </c>
      <c r="AI31" s="16" t="s">
        <v>74</v>
      </c>
      <c r="AJ31" s="16" t="s">
        <v>74</v>
      </c>
      <c r="AK31" s="14" t="s">
        <v>74</v>
      </c>
      <c r="AL31" s="16" t="s">
        <v>74</v>
      </c>
      <c r="AM31" s="16" t="s">
        <v>74</v>
      </c>
      <c r="AN31" s="14" t="s">
        <v>74</v>
      </c>
      <c r="AO31" s="14" t="s">
        <v>74</v>
      </c>
    </row>
    <row r="32" spans="1:41" ht="43.5" x14ac:dyDescent="0.35">
      <c r="A32" s="14" t="s">
        <v>197</v>
      </c>
      <c r="B32" s="14" t="s">
        <v>116</v>
      </c>
      <c r="C32" s="15">
        <v>45993.65902777778</v>
      </c>
      <c r="D32" s="14" t="s">
        <v>63</v>
      </c>
      <c r="E32" s="16" t="s">
        <v>64</v>
      </c>
      <c r="F32" s="14" t="s">
        <v>65</v>
      </c>
      <c r="G32" s="16" t="s">
        <v>66</v>
      </c>
      <c r="H32" s="14" t="s">
        <v>177</v>
      </c>
      <c r="I32" s="16" t="s">
        <v>178</v>
      </c>
      <c r="J32" s="16" t="s">
        <v>179</v>
      </c>
      <c r="K32" s="16" t="s">
        <v>180</v>
      </c>
      <c r="L32" s="14" t="s">
        <v>181</v>
      </c>
      <c r="M32" s="16" t="s">
        <v>182</v>
      </c>
      <c r="N32" s="14" t="s">
        <v>73</v>
      </c>
      <c r="O32" s="16" t="s">
        <v>74</v>
      </c>
      <c r="P32" s="16" t="s">
        <v>74</v>
      </c>
      <c r="Q32" s="16" t="s">
        <v>137</v>
      </c>
      <c r="R32" s="14" t="s">
        <v>138</v>
      </c>
      <c r="S32" s="14" t="s">
        <v>78</v>
      </c>
      <c r="T32" s="14" t="s">
        <v>79</v>
      </c>
      <c r="U32" s="15">
        <v>40550</v>
      </c>
      <c r="V32" s="15"/>
      <c r="W32" s="16"/>
      <c r="X32" s="16" t="s">
        <v>74</v>
      </c>
      <c r="Y32" s="14" t="s">
        <v>74</v>
      </c>
      <c r="Z32" s="16" t="s">
        <v>74</v>
      </c>
      <c r="AA32" s="16" t="s">
        <v>74</v>
      </c>
      <c r="AB32" s="16" t="s">
        <v>74</v>
      </c>
      <c r="AC32" s="14" t="s">
        <v>74</v>
      </c>
      <c r="AD32" s="16" t="s">
        <v>74</v>
      </c>
      <c r="AE32" s="16" t="s">
        <v>74</v>
      </c>
      <c r="AF32" s="16" t="s">
        <v>74</v>
      </c>
      <c r="AG32" s="14" t="s">
        <v>74</v>
      </c>
      <c r="AH32" s="16" t="s">
        <v>74</v>
      </c>
      <c r="AI32" s="16" t="s">
        <v>74</v>
      </c>
      <c r="AJ32" s="16" t="s">
        <v>74</v>
      </c>
      <c r="AK32" s="14" t="s">
        <v>74</v>
      </c>
      <c r="AL32" s="16" t="s">
        <v>74</v>
      </c>
      <c r="AM32" s="16" t="s">
        <v>74</v>
      </c>
      <c r="AN32" s="14" t="s">
        <v>74</v>
      </c>
      <c r="AO32" s="14" t="s">
        <v>74</v>
      </c>
    </row>
    <row r="33" spans="1:41" ht="43.5" x14ac:dyDescent="0.35">
      <c r="A33" s="14" t="s">
        <v>197</v>
      </c>
      <c r="B33" s="14" t="s">
        <v>116</v>
      </c>
      <c r="C33" s="15">
        <v>45994.498611111114</v>
      </c>
      <c r="D33" s="14" t="s">
        <v>63</v>
      </c>
      <c r="E33" s="16" t="s">
        <v>64</v>
      </c>
      <c r="F33" s="14" t="s">
        <v>65</v>
      </c>
      <c r="G33" s="16" t="s">
        <v>66</v>
      </c>
      <c r="H33" s="14" t="s">
        <v>177</v>
      </c>
      <c r="I33" s="16" t="s">
        <v>178</v>
      </c>
      <c r="J33" s="16" t="s">
        <v>179</v>
      </c>
      <c r="K33" s="16" t="s">
        <v>180</v>
      </c>
      <c r="L33" s="14" t="s">
        <v>191</v>
      </c>
      <c r="M33" s="16" t="s">
        <v>192</v>
      </c>
      <c r="N33" s="14" t="s">
        <v>111</v>
      </c>
      <c r="O33" s="16" t="s">
        <v>74</v>
      </c>
      <c r="P33" s="16" t="s">
        <v>74</v>
      </c>
      <c r="Q33" s="16" t="s">
        <v>137</v>
      </c>
      <c r="R33" s="14" t="s">
        <v>138</v>
      </c>
      <c r="S33" s="14" t="s">
        <v>78</v>
      </c>
      <c r="T33" s="14" t="s">
        <v>79</v>
      </c>
      <c r="U33" s="15">
        <v>40550</v>
      </c>
      <c r="V33" s="15"/>
      <c r="W33" s="16"/>
      <c r="X33" s="16" t="s">
        <v>74</v>
      </c>
      <c r="Y33" s="14" t="s">
        <v>74</v>
      </c>
      <c r="Z33" s="16" t="s">
        <v>74</v>
      </c>
      <c r="AA33" s="16" t="s">
        <v>74</v>
      </c>
      <c r="AB33" s="16" t="s">
        <v>74</v>
      </c>
      <c r="AC33" s="14" t="s">
        <v>74</v>
      </c>
      <c r="AD33" s="16" t="s">
        <v>74</v>
      </c>
      <c r="AE33" s="16" t="s">
        <v>74</v>
      </c>
      <c r="AF33" s="16" t="s">
        <v>74</v>
      </c>
      <c r="AG33" s="14" t="s">
        <v>74</v>
      </c>
      <c r="AH33" s="16" t="s">
        <v>74</v>
      </c>
      <c r="AI33" s="16" t="s">
        <v>74</v>
      </c>
      <c r="AJ33" s="16" t="s">
        <v>74</v>
      </c>
      <c r="AK33" s="14" t="s">
        <v>74</v>
      </c>
      <c r="AL33" s="16" t="s">
        <v>74</v>
      </c>
      <c r="AM33" s="16" t="s">
        <v>74</v>
      </c>
      <c r="AN33" s="14" t="s">
        <v>74</v>
      </c>
      <c r="AO33" s="14" t="s">
        <v>74</v>
      </c>
    </row>
    <row r="34" spans="1:41" ht="43.5" x14ac:dyDescent="0.35">
      <c r="A34" s="14" t="s">
        <v>113</v>
      </c>
      <c r="B34" s="14" t="s">
        <v>116</v>
      </c>
      <c r="C34" s="15">
        <v>44855.598611111112</v>
      </c>
      <c r="D34" s="14" t="s">
        <v>63</v>
      </c>
      <c r="E34" s="16" t="s">
        <v>64</v>
      </c>
      <c r="F34" s="14" t="s">
        <v>65</v>
      </c>
      <c r="G34" s="16" t="s">
        <v>66</v>
      </c>
      <c r="H34" s="14" t="s">
        <v>177</v>
      </c>
      <c r="I34" s="16" t="s">
        <v>178</v>
      </c>
      <c r="J34" s="16" t="s">
        <v>179</v>
      </c>
      <c r="K34" s="16" t="s">
        <v>180</v>
      </c>
      <c r="L34" s="14" t="s">
        <v>181</v>
      </c>
      <c r="M34" s="16" t="s">
        <v>182</v>
      </c>
      <c r="N34" s="14" t="s">
        <v>73</v>
      </c>
      <c r="O34" s="16" t="s">
        <v>74</v>
      </c>
      <c r="P34" s="16" t="s">
        <v>74</v>
      </c>
      <c r="Q34" s="16" t="s">
        <v>140</v>
      </c>
      <c r="R34" s="14" t="s">
        <v>141</v>
      </c>
      <c r="S34" s="14" t="s">
        <v>78</v>
      </c>
      <c r="T34" s="14" t="s">
        <v>79</v>
      </c>
      <c r="U34" s="15">
        <v>40550</v>
      </c>
      <c r="V34" s="15"/>
      <c r="W34" s="16"/>
      <c r="X34" s="16" t="s">
        <v>74</v>
      </c>
      <c r="Y34" s="14" t="s">
        <v>74</v>
      </c>
      <c r="Z34" s="16" t="s">
        <v>74</v>
      </c>
      <c r="AA34" s="16" t="s">
        <v>74</v>
      </c>
      <c r="AB34" s="16" t="s">
        <v>74</v>
      </c>
      <c r="AC34" s="14" t="s">
        <v>74</v>
      </c>
      <c r="AD34" s="16" t="s">
        <v>74</v>
      </c>
      <c r="AE34" s="16" t="s">
        <v>74</v>
      </c>
      <c r="AF34" s="16" t="s">
        <v>74</v>
      </c>
      <c r="AG34" s="14" t="s">
        <v>74</v>
      </c>
      <c r="AH34" s="16" t="s">
        <v>74</v>
      </c>
      <c r="AI34" s="16" t="s">
        <v>74</v>
      </c>
      <c r="AJ34" s="16" t="s">
        <v>74</v>
      </c>
      <c r="AK34" s="14" t="s">
        <v>74</v>
      </c>
      <c r="AL34" s="16" t="s">
        <v>74</v>
      </c>
      <c r="AM34" s="16" t="s">
        <v>74</v>
      </c>
      <c r="AN34" s="14" t="s">
        <v>74</v>
      </c>
      <c r="AO34" s="14" t="s">
        <v>74</v>
      </c>
    </row>
    <row r="35" spans="1:41" ht="43.5" x14ac:dyDescent="0.35">
      <c r="A35" s="14" t="s">
        <v>113</v>
      </c>
      <c r="B35" s="14" t="s">
        <v>62</v>
      </c>
      <c r="C35" s="15">
        <v>44852.464583333334</v>
      </c>
      <c r="D35" s="14" t="s">
        <v>63</v>
      </c>
      <c r="E35" s="16" t="s">
        <v>64</v>
      </c>
      <c r="F35" s="14" t="s">
        <v>65</v>
      </c>
      <c r="G35" s="16" t="s">
        <v>66</v>
      </c>
      <c r="H35" s="14" t="s">
        <v>177</v>
      </c>
      <c r="I35" s="16" t="s">
        <v>178</v>
      </c>
      <c r="J35" s="16" t="s">
        <v>179</v>
      </c>
      <c r="K35" s="16" t="s">
        <v>180</v>
      </c>
      <c r="L35" s="14" t="s">
        <v>191</v>
      </c>
      <c r="M35" s="16" t="s">
        <v>192</v>
      </c>
      <c r="N35" s="14" t="s">
        <v>111</v>
      </c>
      <c r="O35" s="16" t="s">
        <v>74</v>
      </c>
      <c r="P35" s="16" t="s">
        <v>74</v>
      </c>
      <c r="Q35" s="16" t="s">
        <v>140</v>
      </c>
      <c r="R35" s="14" t="s">
        <v>141</v>
      </c>
      <c r="S35" s="14" t="s">
        <v>78</v>
      </c>
      <c r="T35" s="14" t="s">
        <v>79</v>
      </c>
      <c r="U35" s="15">
        <v>40550</v>
      </c>
      <c r="V35" s="15"/>
      <c r="W35" s="16"/>
      <c r="X35" s="16" t="s">
        <v>74</v>
      </c>
      <c r="Y35" s="14" t="s">
        <v>74</v>
      </c>
      <c r="Z35" s="16" t="s">
        <v>74</v>
      </c>
      <c r="AA35" s="16" t="s">
        <v>74</v>
      </c>
      <c r="AB35" s="16" t="s">
        <v>74</v>
      </c>
      <c r="AC35" s="14" t="s">
        <v>74</v>
      </c>
      <c r="AD35" s="16" t="s">
        <v>74</v>
      </c>
      <c r="AE35" s="16" t="s">
        <v>74</v>
      </c>
      <c r="AF35" s="16" t="s">
        <v>74</v>
      </c>
      <c r="AG35" s="14" t="s">
        <v>74</v>
      </c>
      <c r="AH35" s="16" t="s">
        <v>74</v>
      </c>
      <c r="AI35" s="16" t="s">
        <v>74</v>
      </c>
      <c r="AJ35" s="16" t="s">
        <v>74</v>
      </c>
      <c r="AK35" s="14" t="s">
        <v>74</v>
      </c>
      <c r="AL35" s="16" t="s">
        <v>74</v>
      </c>
      <c r="AM35" s="16" t="s">
        <v>74</v>
      </c>
      <c r="AN35" s="14" t="s">
        <v>74</v>
      </c>
      <c r="AO35" s="14" t="s">
        <v>74</v>
      </c>
    </row>
    <row r="36" spans="1:41" ht="43.5" x14ac:dyDescent="0.35">
      <c r="A36" s="14" t="s">
        <v>113</v>
      </c>
      <c r="B36" s="14" t="s">
        <v>62</v>
      </c>
      <c r="C36" s="15">
        <v>44852.462500000001</v>
      </c>
      <c r="D36" s="14" t="s">
        <v>63</v>
      </c>
      <c r="E36" s="16" t="s">
        <v>64</v>
      </c>
      <c r="F36" s="14" t="s">
        <v>65</v>
      </c>
      <c r="G36" s="16" t="s">
        <v>66</v>
      </c>
      <c r="H36" s="14" t="s">
        <v>177</v>
      </c>
      <c r="I36" s="16" t="s">
        <v>178</v>
      </c>
      <c r="J36" s="16" t="s">
        <v>179</v>
      </c>
      <c r="K36" s="16" t="s">
        <v>180</v>
      </c>
      <c r="L36" s="14" t="s">
        <v>181</v>
      </c>
      <c r="M36" s="16" t="s">
        <v>182</v>
      </c>
      <c r="N36" s="14" t="s">
        <v>73</v>
      </c>
      <c r="O36" s="16" t="s">
        <v>74</v>
      </c>
      <c r="P36" s="16" t="s">
        <v>74</v>
      </c>
      <c r="Q36" s="16" t="s">
        <v>143</v>
      </c>
      <c r="R36" s="14" t="s">
        <v>144</v>
      </c>
      <c r="S36" s="14" t="s">
        <v>145</v>
      </c>
      <c r="T36" s="14" t="s">
        <v>79</v>
      </c>
      <c r="U36" s="15">
        <v>40550</v>
      </c>
      <c r="V36" s="15"/>
      <c r="W36" s="16"/>
      <c r="X36" s="16" t="s">
        <v>74</v>
      </c>
      <c r="Y36" s="14" t="s">
        <v>74</v>
      </c>
      <c r="Z36" s="16" t="s">
        <v>74</v>
      </c>
      <c r="AA36" s="16" t="s">
        <v>74</v>
      </c>
      <c r="AB36" s="16" t="s">
        <v>74</v>
      </c>
      <c r="AC36" s="14" t="s">
        <v>74</v>
      </c>
      <c r="AD36" s="16" t="s">
        <v>74</v>
      </c>
      <c r="AE36" s="16" t="s">
        <v>74</v>
      </c>
      <c r="AF36" s="16" t="s">
        <v>74</v>
      </c>
      <c r="AG36" s="14" t="s">
        <v>74</v>
      </c>
      <c r="AH36" s="16" t="s">
        <v>74</v>
      </c>
      <c r="AI36" s="16" t="s">
        <v>74</v>
      </c>
      <c r="AJ36" s="16" t="s">
        <v>74</v>
      </c>
      <c r="AK36" s="14" t="s">
        <v>74</v>
      </c>
      <c r="AL36" s="16" t="s">
        <v>74</v>
      </c>
      <c r="AM36" s="16" t="s">
        <v>74</v>
      </c>
      <c r="AN36" s="14" t="s">
        <v>74</v>
      </c>
      <c r="AO36" s="14" t="s">
        <v>74</v>
      </c>
    </row>
    <row r="37" spans="1:41" ht="43.5" x14ac:dyDescent="0.35">
      <c r="A37" s="14" t="s">
        <v>113</v>
      </c>
      <c r="B37" s="14" t="s">
        <v>62</v>
      </c>
      <c r="C37" s="15">
        <v>44852.466666666667</v>
      </c>
      <c r="D37" s="14" t="s">
        <v>63</v>
      </c>
      <c r="E37" s="16" t="s">
        <v>64</v>
      </c>
      <c r="F37" s="14" t="s">
        <v>65</v>
      </c>
      <c r="G37" s="16" t="s">
        <v>66</v>
      </c>
      <c r="H37" s="14" t="s">
        <v>177</v>
      </c>
      <c r="I37" s="16" t="s">
        <v>178</v>
      </c>
      <c r="J37" s="16" t="s">
        <v>179</v>
      </c>
      <c r="K37" s="16" t="s">
        <v>180</v>
      </c>
      <c r="L37" s="14" t="s">
        <v>191</v>
      </c>
      <c r="M37" s="16" t="s">
        <v>192</v>
      </c>
      <c r="N37" s="14" t="s">
        <v>111</v>
      </c>
      <c r="O37" s="16" t="s">
        <v>74</v>
      </c>
      <c r="P37" s="16" t="s">
        <v>74</v>
      </c>
      <c r="Q37" s="16" t="s">
        <v>143</v>
      </c>
      <c r="R37" s="14" t="s">
        <v>144</v>
      </c>
      <c r="S37" s="14" t="s">
        <v>145</v>
      </c>
      <c r="T37" s="14" t="s">
        <v>79</v>
      </c>
      <c r="U37" s="15">
        <v>40550</v>
      </c>
      <c r="V37" s="15"/>
      <c r="W37" s="16"/>
      <c r="X37" s="16" t="s">
        <v>74</v>
      </c>
      <c r="Y37" s="14" t="s">
        <v>74</v>
      </c>
      <c r="Z37" s="16" t="s">
        <v>74</v>
      </c>
      <c r="AA37" s="16" t="s">
        <v>74</v>
      </c>
      <c r="AB37" s="16" t="s">
        <v>74</v>
      </c>
      <c r="AC37" s="14" t="s">
        <v>74</v>
      </c>
      <c r="AD37" s="16" t="s">
        <v>74</v>
      </c>
      <c r="AE37" s="16" t="s">
        <v>74</v>
      </c>
      <c r="AF37" s="16" t="s">
        <v>74</v>
      </c>
      <c r="AG37" s="14" t="s">
        <v>74</v>
      </c>
      <c r="AH37" s="16" t="s">
        <v>74</v>
      </c>
      <c r="AI37" s="16" t="s">
        <v>74</v>
      </c>
      <c r="AJ37" s="16" t="s">
        <v>74</v>
      </c>
      <c r="AK37" s="14" t="s">
        <v>74</v>
      </c>
      <c r="AL37" s="16" t="s">
        <v>74</v>
      </c>
      <c r="AM37" s="16" t="s">
        <v>74</v>
      </c>
      <c r="AN37" s="14" t="s">
        <v>74</v>
      </c>
      <c r="AO37" s="14" t="s">
        <v>74</v>
      </c>
    </row>
    <row r="38" spans="1:41" ht="43.5" x14ac:dyDescent="0.35">
      <c r="A38" s="14" t="s">
        <v>113</v>
      </c>
      <c r="B38" s="14" t="s">
        <v>62</v>
      </c>
      <c r="C38" s="15">
        <v>44852.462500000001</v>
      </c>
      <c r="D38" s="14" t="s">
        <v>63</v>
      </c>
      <c r="E38" s="16" t="s">
        <v>64</v>
      </c>
      <c r="F38" s="14" t="s">
        <v>65</v>
      </c>
      <c r="G38" s="16" t="s">
        <v>66</v>
      </c>
      <c r="H38" s="14" t="s">
        <v>177</v>
      </c>
      <c r="I38" s="16" t="s">
        <v>178</v>
      </c>
      <c r="J38" s="16" t="s">
        <v>179</v>
      </c>
      <c r="K38" s="16" t="s">
        <v>180</v>
      </c>
      <c r="L38" s="14" t="s">
        <v>181</v>
      </c>
      <c r="M38" s="16" t="s">
        <v>182</v>
      </c>
      <c r="N38" s="14" t="s">
        <v>73</v>
      </c>
      <c r="O38" s="16" t="s">
        <v>74</v>
      </c>
      <c r="P38" s="16" t="s">
        <v>74</v>
      </c>
      <c r="Q38" s="16" t="s">
        <v>153</v>
      </c>
      <c r="R38" s="14" t="s">
        <v>154</v>
      </c>
      <c r="S38" s="14" t="s">
        <v>145</v>
      </c>
      <c r="T38" s="14" t="s">
        <v>79</v>
      </c>
      <c r="U38" s="15">
        <v>40550</v>
      </c>
      <c r="V38" s="15"/>
      <c r="W38" s="16"/>
      <c r="X38" s="16" t="s">
        <v>74</v>
      </c>
      <c r="Y38" s="14" t="s">
        <v>74</v>
      </c>
      <c r="Z38" s="16" t="s">
        <v>74</v>
      </c>
      <c r="AA38" s="16" t="s">
        <v>74</v>
      </c>
      <c r="AB38" s="16" t="s">
        <v>74</v>
      </c>
      <c r="AC38" s="14" t="s">
        <v>74</v>
      </c>
      <c r="AD38" s="16" t="s">
        <v>74</v>
      </c>
      <c r="AE38" s="16" t="s">
        <v>74</v>
      </c>
      <c r="AF38" s="16" t="s">
        <v>74</v>
      </c>
      <c r="AG38" s="14" t="s">
        <v>74</v>
      </c>
      <c r="AH38" s="16" t="s">
        <v>74</v>
      </c>
      <c r="AI38" s="16" t="s">
        <v>74</v>
      </c>
      <c r="AJ38" s="16" t="s">
        <v>74</v>
      </c>
      <c r="AK38" s="14" t="s">
        <v>74</v>
      </c>
      <c r="AL38" s="16" t="s">
        <v>74</v>
      </c>
      <c r="AM38" s="16" t="s">
        <v>74</v>
      </c>
      <c r="AN38" s="14" t="s">
        <v>74</v>
      </c>
      <c r="AO38" s="14" t="s">
        <v>74</v>
      </c>
    </row>
    <row r="39" spans="1:41" ht="43.5" x14ac:dyDescent="0.35">
      <c r="A39" s="14" t="s">
        <v>113</v>
      </c>
      <c r="B39" s="14" t="s">
        <v>62</v>
      </c>
      <c r="C39" s="15">
        <v>44852.466666666667</v>
      </c>
      <c r="D39" s="14" t="s">
        <v>63</v>
      </c>
      <c r="E39" s="16" t="s">
        <v>64</v>
      </c>
      <c r="F39" s="14" t="s">
        <v>65</v>
      </c>
      <c r="G39" s="16" t="s">
        <v>66</v>
      </c>
      <c r="H39" s="14" t="s">
        <v>177</v>
      </c>
      <c r="I39" s="16" t="s">
        <v>178</v>
      </c>
      <c r="J39" s="16" t="s">
        <v>179</v>
      </c>
      <c r="K39" s="16" t="s">
        <v>180</v>
      </c>
      <c r="L39" s="14" t="s">
        <v>191</v>
      </c>
      <c r="M39" s="16" t="s">
        <v>192</v>
      </c>
      <c r="N39" s="14" t="s">
        <v>111</v>
      </c>
      <c r="O39" s="16" t="s">
        <v>74</v>
      </c>
      <c r="P39" s="16" t="s">
        <v>74</v>
      </c>
      <c r="Q39" s="16" t="s">
        <v>153</v>
      </c>
      <c r="R39" s="14" t="s">
        <v>154</v>
      </c>
      <c r="S39" s="14" t="s">
        <v>145</v>
      </c>
      <c r="T39" s="14" t="s">
        <v>79</v>
      </c>
      <c r="U39" s="15">
        <v>40550</v>
      </c>
      <c r="V39" s="15"/>
      <c r="W39" s="16"/>
      <c r="X39" s="16" t="s">
        <v>74</v>
      </c>
      <c r="Y39" s="14" t="s">
        <v>74</v>
      </c>
      <c r="Z39" s="16" t="s">
        <v>74</v>
      </c>
      <c r="AA39" s="16" t="s">
        <v>74</v>
      </c>
      <c r="AB39" s="16" t="s">
        <v>74</v>
      </c>
      <c r="AC39" s="14" t="s">
        <v>74</v>
      </c>
      <c r="AD39" s="16" t="s">
        <v>74</v>
      </c>
      <c r="AE39" s="16" t="s">
        <v>74</v>
      </c>
      <c r="AF39" s="16" t="s">
        <v>74</v>
      </c>
      <c r="AG39" s="14" t="s">
        <v>74</v>
      </c>
      <c r="AH39" s="16" t="s">
        <v>74</v>
      </c>
      <c r="AI39" s="16" t="s">
        <v>74</v>
      </c>
      <c r="AJ39" s="16" t="s">
        <v>74</v>
      </c>
      <c r="AK39" s="14" t="s">
        <v>74</v>
      </c>
      <c r="AL39" s="16" t="s">
        <v>74</v>
      </c>
      <c r="AM39" s="16" t="s">
        <v>74</v>
      </c>
      <c r="AN39" s="14" t="s">
        <v>74</v>
      </c>
      <c r="AO39" s="14" t="s">
        <v>74</v>
      </c>
    </row>
    <row r="40" spans="1:41" ht="43.5" x14ac:dyDescent="0.35">
      <c r="A40" s="14" t="s">
        <v>113</v>
      </c>
      <c r="B40" s="14" t="s">
        <v>116</v>
      </c>
      <c r="C40" s="15">
        <v>44854.574999999997</v>
      </c>
      <c r="D40" s="14" t="s">
        <v>63</v>
      </c>
      <c r="E40" s="16" t="s">
        <v>64</v>
      </c>
      <c r="F40" s="14" t="s">
        <v>65</v>
      </c>
      <c r="G40" s="16" t="s">
        <v>66</v>
      </c>
      <c r="H40" s="14" t="s">
        <v>177</v>
      </c>
      <c r="I40" s="16" t="s">
        <v>178</v>
      </c>
      <c r="J40" s="16" t="s">
        <v>179</v>
      </c>
      <c r="K40" s="16" t="s">
        <v>180</v>
      </c>
      <c r="L40" s="14" t="s">
        <v>181</v>
      </c>
      <c r="M40" s="16" t="s">
        <v>182</v>
      </c>
      <c r="N40" s="14" t="s">
        <v>73</v>
      </c>
      <c r="O40" s="16" t="s">
        <v>74</v>
      </c>
      <c r="P40" s="16" t="s">
        <v>74</v>
      </c>
      <c r="Q40" s="16" t="s">
        <v>164</v>
      </c>
      <c r="R40" s="14" t="s">
        <v>165</v>
      </c>
      <c r="S40" s="14" t="s">
        <v>145</v>
      </c>
      <c r="T40" s="14" t="s">
        <v>79</v>
      </c>
      <c r="U40" s="15">
        <v>40550</v>
      </c>
      <c r="V40" s="15"/>
      <c r="W40" s="16"/>
      <c r="X40" s="16" t="s">
        <v>74</v>
      </c>
      <c r="Y40" s="14" t="s">
        <v>74</v>
      </c>
      <c r="Z40" s="16" t="s">
        <v>74</v>
      </c>
      <c r="AA40" s="16" t="s">
        <v>74</v>
      </c>
      <c r="AB40" s="16" t="s">
        <v>74</v>
      </c>
      <c r="AC40" s="14" t="s">
        <v>74</v>
      </c>
      <c r="AD40" s="16" t="s">
        <v>74</v>
      </c>
      <c r="AE40" s="16" t="s">
        <v>74</v>
      </c>
      <c r="AF40" s="16" t="s">
        <v>74</v>
      </c>
      <c r="AG40" s="14" t="s">
        <v>74</v>
      </c>
      <c r="AH40" s="16" t="s">
        <v>74</v>
      </c>
      <c r="AI40" s="16" t="s">
        <v>74</v>
      </c>
      <c r="AJ40" s="16" t="s">
        <v>74</v>
      </c>
      <c r="AK40" s="14" t="s">
        <v>74</v>
      </c>
      <c r="AL40" s="16" t="s">
        <v>74</v>
      </c>
      <c r="AM40" s="16" t="s">
        <v>74</v>
      </c>
      <c r="AN40" s="14" t="s">
        <v>74</v>
      </c>
      <c r="AO40" s="14" t="s">
        <v>74</v>
      </c>
    </row>
    <row r="41" spans="1:41" ht="43.5" x14ac:dyDescent="0.35">
      <c r="A41" s="14" t="s">
        <v>113</v>
      </c>
      <c r="B41" s="14" t="s">
        <v>62</v>
      </c>
      <c r="C41" s="15">
        <v>44852.466666666667</v>
      </c>
      <c r="D41" s="14" t="s">
        <v>63</v>
      </c>
      <c r="E41" s="16" t="s">
        <v>64</v>
      </c>
      <c r="F41" s="14" t="s">
        <v>65</v>
      </c>
      <c r="G41" s="16" t="s">
        <v>66</v>
      </c>
      <c r="H41" s="14" t="s">
        <v>177</v>
      </c>
      <c r="I41" s="16" t="s">
        <v>178</v>
      </c>
      <c r="J41" s="16" t="s">
        <v>179</v>
      </c>
      <c r="K41" s="16" t="s">
        <v>180</v>
      </c>
      <c r="L41" s="14" t="s">
        <v>191</v>
      </c>
      <c r="M41" s="16" t="s">
        <v>192</v>
      </c>
      <c r="N41" s="14" t="s">
        <v>111</v>
      </c>
      <c r="O41" s="16" t="s">
        <v>74</v>
      </c>
      <c r="P41" s="16" t="s">
        <v>74</v>
      </c>
      <c r="Q41" s="16" t="s">
        <v>164</v>
      </c>
      <c r="R41" s="14" t="s">
        <v>165</v>
      </c>
      <c r="S41" s="14" t="s">
        <v>145</v>
      </c>
      <c r="T41" s="14" t="s">
        <v>79</v>
      </c>
      <c r="U41" s="15">
        <v>40550</v>
      </c>
      <c r="V41" s="15"/>
      <c r="W41" s="16"/>
      <c r="X41" s="16" t="s">
        <v>74</v>
      </c>
      <c r="Y41" s="14" t="s">
        <v>74</v>
      </c>
      <c r="Z41" s="16" t="s">
        <v>74</v>
      </c>
      <c r="AA41" s="16" t="s">
        <v>74</v>
      </c>
      <c r="AB41" s="16" t="s">
        <v>74</v>
      </c>
      <c r="AC41" s="14" t="s">
        <v>74</v>
      </c>
      <c r="AD41" s="16" t="s">
        <v>74</v>
      </c>
      <c r="AE41" s="16" t="s">
        <v>74</v>
      </c>
      <c r="AF41" s="16" t="s">
        <v>74</v>
      </c>
      <c r="AG41" s="14" t="s">
        <v>74</v>
      </c>
      <c r="AH41" s="16" t="s">
        <v>74</v>
      </c>
      <c r="AI41" s="16" t="s">
        <v>74</v>
      </c>
      <c r="AJ41" s="16" t="s">
        <v>74</v>
      </c>
      <c r="AK41" s="14" t="s">
        <v>74</v>
      </c>
      <c r="AL41" s="16" t="s">
        <v>74</v>
      </c>
      <c r="AM41" s="16" t="s">
        <v>74</v>
      </c>
      <c r="AN41" s="14" t="s">
        <v>74</v>
      </c>
      <c r="AO41" s="14" t="s">
        <v>74</v>
      </c>
    </row>
    <row r="42" spans="1:41" ht="58" x14ac:dyDescent="0.35">
      <c r="A42" s="14" t="s">
        <v>197</v>
      </c>
      <c r="B42" s="14" t="s">
        <v>116</v>
      </c>
      <c r="C42" s="15">
        <v>45993.658333333333</v>
      </c>
      <c r="D42" s="14" t="s">
        <v>63</v>
      </c>
      <c r="E42" s="16" t="s">
        <v>64</v>
      </c>
      <c r="F42" s="14" t="s">
        <v>65</v>
      </c>
      <c r="G42" s="16" t="s">
        <v>66</v>
      </c>
      <c r="H42" s="14" t="s">
        <v>177</v>
      </c>
      <c r="I42" s="16" t="s">
        <v>178</v>
      </c>
      <c r="J42" s="16" t="s">
        <v>179</v>
      </c>
      <c r="K42" s="16" t="s">
        <v>180</v>
      </c>
      <c r="L42" s="14" t="s">
        <v>181</v>
      </c>
      <c r="M42" s="16" t="s">
        <v>182</v>
      </c>
      <c r="N42" s="14" t="s">
        <v>73</v>
      </c>
      <c r="O42" s="16" t="s">
        <v>74</v>
      </c>
      <c r="P42" s="16" t="s">
        <v>74</v>
      </c>
      <c r="Q42" s="16" t="s">
        <v>166</v>
      </c>
      <c r="R42" s="14" t="s">
        <v>167</v>
      </c>
      <c r="S42" s="14" t="s">
        <v>145</v>
      </c>
      <c r="T42" s="14" t="s">
        <v>79</v>
      </c>
      <c r="U42" s="15">
        <v>40550</v>
      </c>
      <c r="V42" s="15"/>
      <c r="W42" s="16"/>
      <c r="X42" s="16" t="s">
        <v>74</v>
      </c>
      <c r="Y42" s="14" t="s">
        <v>74</v>
      </c>
      <c r="Z42" s="16" t="s">
        <v>74</v>
      </c>
      <c r="AA42" s="16" t="s">
        <v>74</v>
      </c>
      <c r="AB42" s="16" t="s">
        <v>74</v>
      </c>
      <c r="AC42" s="14" t="s">
        <v>74</v>
      </c>
      <c r="AD42" s="16" t="s">
        <v>74</v>
      </c>
      <c r="AE42" s="16" t="s">
        <v>74</v>
      </c>
      <c r="AF42" s="16" t="s">
        <v>74</v>
      </c>
      <c r="AG42" s="14" t="s">
        <v>74</v>
      </c>
      <c r="AH42" s="16" t="s">
        <v>74</v>
      </c>
      <c r="AI42" s="16" t="s">
        <v>74</v>
      </c>
      <c r="AJ42" s="16" t="s">
        <v>74</v>
      </c>
      <c r="AK42" s="14" t="s">
        <v>74</v>
      </c>
      <c r="AL42" s="16" t="s">
        <v>74</v>
      </c>
      <c r="AM42" s="16" t="s">
        <v>74</v>
      </c>
      <c r="AN42" s="14" t="s">
        <v>74</v>
      </c>
      <c r="AO42" s="14" t="s">
        <v>74</v>
      </c>
    </row>
    <row r="43" spans="1:41" ht="58" x14ac:dyDescent="0.35">
      <c r="A43" s="14" t="s">
        <v>197</v>
      </c>
      <c r="B43" s="14" t="s">
        <v>116</v>
      </c>
      <c r="C43" s="15">
        <v>45994.498611111114</v>
      </c>
      <c r="D43" s="14" t="s">
        <v>63</v>
      </c>
      <c r="E43" s="16" t="s">
        <v>64</v>
      </c>
      <c r="F43" s="14" t="s">
        <v>65</v>
      </c>
      <c r="G43" s="16" t="s">
        <v>66</v>
      </c>
      <c r="H43" s="14" t="s">
        <v>177</v>
      </c>
      <c r="I43" s="16" t="s">
        <v>178</v>
      </c>
      <c r="J43" s="16" t="s">
        <v>179</v>
      </c>
      <c r="K43" s="16" t="s">
        <v>180</v>
      </c>
      <c r="L43" s="14" t="s">
        <v>191</v>
      </c>
      <c r="M43" s="16" t="s">
        <v>192</v>
      </c>
      <c r="N43" s="14" t="s">
        <v>111</v>
      </c>
      <c r="O43" s="16" t="s">
        <v>74</v>
      </c>
      <c r="P43" s="16" t="s">
        <v>74</v>
      </c>
      <c r="Q43" s="16" t="s">
        <v>166</v>
      </c>
      <c r="R43" s="14" t="s">
        <v>167</v>
      </c>
      <c r="S43" s="14" t="s">
        <v>145</v>
      </c>
      <c r="T43" s="14" t="s">
        <v>79</v>
      </c>
      <c r="U43" s="15">
        <v>40550</v>
      </c>
      <c r="V43" s="15"/>
      <c r="W43" s="16"/>
      <c r="X43" s="16" t="s">
        <v>74</v>
      </c>
      <c r="Y43" s="14" t="s">
        <v>74</v>
      </c>
      <c r="Z43" s="16" t="s">
        <v>74</v>
      </c>
      <c r="AA43" s="16" t="s">
        <v>74</v>
      </c>
      <c r="AB43" s="16" t="s">
        <v>74</v>
      </c>
      <c r="AC43" s="14" t="s">
        <v>74</v>
      </c>
      <c r="AD43" s="16" t="s">
        <v>74</v>
      </c>
      <c r="AE43" s="16" t="s">
        <v>74</v>
      </c>
      <c r="AF43" s="16" t="s">
        <v>74</v>
      </c>
      <c r="AG43" s="14" t="s">
        <v>74</v>
      </c>
      <c r="AH43" s="16" t="s">
        <v>74</v>
      </c>
      <c r="AI43" s="16" t="s">
        <v>74</v>
      </c>
      <c r="AJ43" s="16" t="s">
        <v>74</v>
      </c>
      <c r="AK43" s="14" t="s">
        <v>74</v>
      </c>
      <c r="AL43" s="16" t="s">
        <v>74</v>
      </c>
      <c r="AM43" s="16" t="s">
        <v>74</v>
      </c>
      <c r="AN43" s="14" t="s">
        <v>74</v>
      </c>
      <c r="AO43" s="14" t="s">
        <v>74</v>
      </c>
    </row>
    <row r="44" spans="1:41" ht="58" x14ac:dyDescent="0.35">
      <c r="A44" s="14" t="s">
        <v>113</v>
      </c>
      <c r="B44" s="14" t="s">
        <v>62</v>
      </c>
      <c r="C44" s="15">
        <v>44852.462500000001</v>
      </c>
      <c r="D44" s="14" t="s">
        <v>63</v>
      </c>
      <c r="E44" s="16" t="s">
        <v>64</v>
      </c>
      <c r="F44" s="14" t="s">
        <v>65</v>
      </c>
      <c r="G44" s="16" t="s">
        <v>66</v>
      </c>
      <c r="H44" s="14" t="s">
        <v>177</v>
      </c>
      <c r="I44" s="16" t="s">
        <v>178</v>
      </c>
      <c r="J44" s="16" t="s">
        <v>179</v>
      </c>
      <c r="K44" s="16" t="s">
        <v>180</v>
      </c>
      <c r="L44" s="14" t="s">
        <v>181</v>
      </c>
      <c r="M44" s="16" t="s">
        <v>182</v>
      </c>
      <c r="N44" s="14" t="s">
        <v>73</v>
      </c>
      <c r="O44" s="16" t="s">
        <v>74</v>
      </c>
      <c r="P44" s="16" t="s">
        <v>74</v>
      </c>
      <c r="Q44" s="16" t="s">
        <v>168</v>
      </c>
      <c r="R44" s="14" t="s">
        <v>169</v>
      </c>
      <c r="S44" s="14" t="s">
        <v>145</v>
      </c>
      <c r="T44" s="14" t="s">
        <v>79</v>
      </c>
      <c r="U44" s="15">
        <v>40550</v>
      </c>
      <c r="V44" s="15"/>
      <c r="W44" s="16"/>
      <c r="X44" s="16" t="s">
        <v>74</v>
      </c>
      <c r="Y44" s="14" t="s">
        <v>74</v>
      </c>
      <c r="Z44" s="16" t="s">
        <v>74</v>
      </c>
      <c r="AA44" s="16" t="s">
        <v>74</v>
      </c>
      <c r="AB44" s="16" t="s">
        <v>74</v>
      </c>
      <c r="AC44" s="14" t="s">
        <v>74</v>
      </c>
      <c r="AD44" s="16" t="s">
        <v>74</v>
      </c>
      <c r="AE44" s="16" t="s">
        <v>74</v>
      </c>
      <c r="AF44" s="16" t="s">
        <v>74</v>
      </c>
      <c r="AG44" s="14" t="s">
        <v>74</v>
      </c>
      <c r="AH44" s="16" t="s">
        <v>74</v>
      </c>
      <c r="AI44" s="16" t="s">
        <v>74</v>
      </c>
      <c r="AJ44" s="16" t="s">
        <v>74</v>
      </c>
      <c r="AK44" s="14" t="s">
        <v>74</v>
      </c>
      <c r="AL44" s="16" t="s">
        <v>74</v>
      </c>
      <c r="AM44" s="16" t="s">
        <v>74</v>
      </c>
      <c r="AN44" s="14" t="s">
        <v>74</v>
      </c>
      <c r="AO44" s="14" t="s">
        <v>74</v>
      </c>
    </row>
    <row r="45" spans="1:41" ht="58" x14ac:dyDescent="0.35">
      <c r="A45" s="14" t="s">
        <v>113</v>
      </c>
      <c r="B45" s="14" t="s">
        <v>62</v>
      </c>
      <c r="C45" s="15">
        <v>44852.466666666667</v>
      </c>
      <c r="D45" s="14" t="s">
        <v>63</v>
      </c>
      <c r="E45" s="16" t="s">
        <v>64</v>
      </c>
      <c r="F45" s="14" t="s">
        <v>65</v>
      </c>
      <c r="G45" s="16" t="s">
        <v>66</v>
      </c>
      <c r="H45" s="14" t="s">
        <v>177</v>
      </c>
      <c r="I45" s="16" t="s">
        <v>178</v>
      </c>
      <c r="J45" s="16" t="s">
        <v>179</v>
      </c>
      <c r="K45" s="16" t="s">
        <v>180</v>
      </c>
      <c r="L45" s="14" t="s">
        <v>191</v>
      </c>
      <c r="M45" s="16" t="s">
        <v>192</v>
      </c>
      <c r="N45" s="14" t="s">
        <v>111</v>
      </c>
      <c r="O45" s="16" t="s">
        <v>74</v>
      </c>
      <c r="P45" s="16" t="s">
        <v>74</v>
      </c>
      <c r="Q45" s="16" t="s">
        <v>168</v>
      </c>
      <c r="R45" s="14" t="s">
        <v>169</v>
      </c>
      <c r="S45" s="14" t="s">
        <v>145</v>
      </c>
      <c r="T45" s="14" t="s">
        <v>79</v>
      </c>
      <c r="U45" s="15">
        <v>40550</v>
      </c>
      <c r="V45" s="15"/>
      <c r="W45" s="16"/>
      <c r="X45" s="16" t="s">
        <v>74</v>
      </c>
      <c r="Y45" s="14" t="s">
        <v>74</v>
      </c>
      <c r="Z45" s="16" t="s">
        <v>74</v>
      </c>
      <c r="AA45" s="16" t="s">
        <v>74</v>
      </c>
      <c r="AB45" s="16" t="s">
        <v>74</v>
      </c>
      <c r="AC45" s="14" t="s">
        <v>74</v>
      </c>
      <c r="AD45" s="16" t="s">
        <v>74</v>
      </c>
      <c r="AE45" s="16" t="s">
        <v>74</v>
      </c>
      <c r="AF45" s="16" t="s">
        <v>74</v>
      </c>
      <c r="AG45" s="14" t="s">
        <v>74</v>
      </c>
      <c r="AH45" s="16" t="s">
        <v>74</v>
      </c>
      <c r="AI45" s="16" t="s">
        <v>74</v>
      </c>
      <c r="AJ45" s="16" t="s">
        <v>74</v>
      </c>
      <c r="AK45" s="14" t="s">
        <v>74</v>
      </c>
      <c r="AL45" s="16" t="s">
        <v>74</v>
      </c>
      <c r="AM45" s="16" t="s">
        <v>74</v>
      </c>
      <c r="AN45" s="14" t="s">
        <v>74</v>
      </c>
      <c r="AO45" s="14" t="s">
        <v>74</v>
      </c>
    </row>
    <row r="46" spans="1:41" ht="58" x14ac:dyDescent="0.35">
      <c r="A46" s="14" t="s">
        <v>113</v>
      </c>
      <c r="B46" s="14" t="s">
        <v>62</v>
      </c>
      <c r="C46" s="15">
        <v>44861.636805555558</v>
      </c>
      <c r="D46" s="14" t="s">
        <v>63</v>
      </c>
      <c r="E46" s="16" t="s">
        <v>64</v>
      </c>
      <c r="F46" s="14" t="s">
        <v>65</v>
      </c>
      <c r="G46" s="16" t="s">
        <v>66</v>
      </c>
      <c r="H46" s="14" t="s">
        <v>228</v>
      </c>
      <c r="I46" s="16" t="s">
        <v>229</v>
      </c>
      <c r="J46" s="16" t="s">
        <v>230</v>
      </c>
      <c r="K46" s="16" t="s">
        <v>231</v>
      </c>
      <c r="L46" s="14" t="s">
        <v>232</v>
      </c>
      <c r="M46" s="16" t="s">
        <v>233</v>
      </c>
      <c r="N46" s="14" t="s">
        <v>73</v>
      </c>
      <c r="O46" s="16" t="s">
        <v>74</v>
      </c>
      <c r="P46" s="16" t="s">
        <v>74</v>
      </c>
      <c r="Q46" s="16" t="s">
        <v>75</v>
      </c>
      <c r="R46" s="14" t="s">
        <v>76</v>
      </c>
      <c r="S46" s="14" t="s">
        <v>78</v>
      </c>
      <c r="T46" s="14" t="s">
        <v>79</v>
      </c>
      <c r="U46" s="15">
        <v>40550</v>
      </c>
      <c r="V46" s="15"/>
      <c r="W46" s="16"/>
      <c r="X46" s="16" t="s">
        <v>74</v>
      </c>
      <c r="Y46" s="14" t="s">
        <v>74</v>
      </c>
      <c r="Z46" s="16" t="s">
        <v>74</v>
      </c>
      <c r="AA46" s="16" t="s">
        <v>74</v>
      </c>
      <c r="AB46" s="16" t="s">
        <v>74</v>
      </c>
      <c r="AC46" s="14" t="s">
        <v>74</v>
      </c>
      <c r="AD46" s="16" t="s">
        <v>74</v>
      </c>
      <c r="AE46" s="16" t="s">
        <v>74</v>
      </c>
      <c r="AF46" s="16" t="s">
        <v>74</v>
      </c>
      <c r="AG46" s="14" t="s">
        <v>74</v>
      </c>
      <c r="AH46" s="16" t="s">
        <v>74</v>
      </c>
      <c r="AI46" s="16" t="s">
        <v>74</v>
      </c>
      <c r="AJ46" s="16" t="s">
        <v>74</v>
      </c>
      <c r="AK46" s="14" t="s">
        <v>74</v>
      </c>
      <c r="AL46" s="16" t="s">
        <v>74</v>
      </c>
      <c r="AM46" s="16" t="s">
        <v>74</v>
      </c>
      <c r="AN46" s="14" t="s">
        <v>74</v>
      </c>
      <c r="AO46" s="14" t="s">
        <v>74</v>
      </c>
    </row>
    <row r="47" spans="1:41" ht="58" x14ac:dyDescent="0.35">
      <c r="A47" s="14" t="s">
        <v>113</v>
      </c>
      <c r="B47" s="14" t="s">
        <v>62</v>
      </c>
      <c r="C47" s="15">
        <v>44852.474999999999</v>
      </c>
      <c r="D47" s="14" t="s">
        <v>63</v>
      </c>
      <c r="E47" s="16" t="s">
        <v>64</v>
      </c>
      <c r="F47" s="14" t="s">
        <v>65</v>
      </c>
      <c r="G47" s="16" t="s">
        <v>66</v>
      </c>
      <c r="H47" s="14" t="s">
        <v>228</v>
      </c>
      <c r="I47" s="16" t="s">
        <v>229</v>
      </c>
      <c r="J47" s="16" t="s">
        <v>230</v>
      </c>
      <c r="K47" s="16" t="s">
        <v>231</v>
      </c>
      <c r="L47" s="14" t="s">
        <v>234</v>
      </c>
      <c r="M47" s="16" t="s">
        <v>235</v>
      </c>
      <c r="N47" s="14" t="s">
        <v>111</v>
      </c>
      <c r="O47" s="16" t="s">
        <v>74</v>
      </c>
      <c r="P47" s="16" t="s">
        <v>74</v>
      </c>
      <c r="Q47" s="16" t="s">
        <v>75</v>
      </c>
      <c r="R47" s="14" t="s">
        <v>76</v>
      </c>
      <c r="S47" s="14" t="s">
        <v>78</v>
      </c>
      <c r="T47" s="14" t="s">
        <v>79</v>
      </c>
      <c r="U47" s="15">
        <v>40550</v>
      </c>
      <c r="V47" s="15"/>
      <c r="W47" s="16"/>
      <c r="X47" s="16" t="s">
        <v>74</v>
      </c>
      <c r="Y47" s="14" t="s">
        <v>74</v>
      </c>
      <c r="Z47" s="16" t="s">
        <v>74</v>
      </c>
      <c r="AA47" s="16" t="s">
        <v>74</v>
      </c>
      <c r="AB47" s="16" t="s">
        <v>74</v>
      </c>
      <c r="AC47" s="14" t="s">
        <v>74</v>
      </c>
      <c r="AD47" s="16" t="s">
        <v>74</v>
      </c>
      <c r="AE47" s="16" t="s">
        <v>74</v>
      </c>
      <c r="AF47" s="16" t="s">
        <v>74</v>
      </c>
      <c r="AG47" s="14" t="s">
        <v>74</v>
      </c>
      <c r="AH47" s="16" t="s">
        <v>74</v>
      </c>
      <c r="AI47" s="16" t="s">
        <v>74</v>
      </c>
      <c r="AJ47" s="16" t="s">
        <v>74</v>
      </c>
      <c r="AK47" s="14" t="s">
        <v>74</v>
      </c>
      <c r="AL47" s="16" t="s">
        <v>74</v>
      </c>
      <c r="AM47" s="16" t="s">
        <v>74</v>
      </c>
      <c r="AN47" s="14" t="s">
        <v>74</v>
      </c>
      <c r="AO47" s="14" t="s">
        <v>74</v>
      </c>
    </row>
    <row r="48" spans="1:41" ht="58" x14ac:dyDescent="0.35">
      <c r="A48" s="14" t="s">
        <v>113</v>
      </c>
      <c r="B48" s="14" t="s">
        <v>62</v>
      </c>
      <c r="C48" s="15">
        <v>44886.494444444441</v>
      </c>
      <c r="D48" s="14" t="s">
        <v>63</v>
      </c>
      <c r="E48" s="16" t="s">
        <v>64</v>
      </c>
      <c r="F48" s="14" t="s">
        <v>65</v>
      </c>
      <c r="G48" s="16" t="s">
        <v>66</v>
      </c>
      <c r="H48" s="14" t="s">
        <v>228</v>
      </c>
      <c r="I48" s="16" t="s">
        <v>229</v>
      </c>
      <c r="J48" s="16" t="s">
        <v>230</v>
      </c>
      <c r="K48" s="16" t="s">
        <v>231</v>
      </c>
      <c r="L48" s="14" t="s">
        <v>232</v>
      </c>
      <c r="M48" s="16" t="s">
        <v>233</v>
      </c>
      <c r="N48" s="14" t="s">
        <v>73</v>
      </c>
      <c r="O48" s="16" t="s">
        <v>74</v>
      </c>
      <c r="P48" s="16" t="s">
        <v>74</v>
      </c>
      <c r="Q48" s="16" t="s">
        <v>114</v>
      </c>
      <c r="R48" s="14" t="s">
        <v>115</v>
      </c>
      <c r="S48" s="14" t="s">
        <v>78</v>
      </c>
      <c r="T48" s="14" t="s">
        <v>117</v>
      </c>
      <c r="U48" s="15">
        <v>43831</v>
      </c>
      <c r="V48" s="15"/>
      <c r="W48" s="16"/>
      <c r="X48" s="16" t="s">
        <v>74</v>
      </c>
      <c r="Y48" s="14" t="s">
        <v>74</v>
      </c>
      <c r="Z48" s="16" t="s">
        <v>74</v>
      </c>
      <c r="AA48" s="16" t="s">
        <v>74</v>
      </c>
      <c r="AB48" s="16" t="s">
        <v>74</v>
      </c>
      <c r="AC48" s="14" t="s">
        <v>74</v>
      </c>
      <c r="AD48" s="16" t="s">
        <v>74</v>
      </c>
      <c r="AE48" s="16" t="s">
        <v>74</v>
      </c>
      <c r="AF48" s="16" t="s">
        <v>74</v>
      </c>
      <c r="AG48" s="14" t="s">
        <v>74</v>
      </c>
      <c r="AH48" s="16" t="s">
        <v>74</v>
      </c>
      <c r="AI48" s="16" t="s">
        <v>74</v>
      </c>
      <c r="AJ48" s="16" t="s">
        <v>74</v>
      </c>
      <c r="AK48" s="14" t="s">
        <v>74</v>
      </c>
      <c r="AL48" s="16" t="s">
        <v>74</v>
      </c>
      <c r="AM48" s="16" t="s">
        <v>74</v>
      </c>
      <c r="AN48" s="14" t="s">
        <v>74</v>
      </c>
      <c r="AO48" s="14" t="s">
        <v>74</v>
      </c>
    </row>
    <row r="49" spans="1:41" ht="58" x14ac:dyDescent="0.35">
      <c r="A49" s="14" t="s">
        <v>113</v>
      </c>
      <c r="B49" s="14" t="s">
        <v>62</v>
      </c>
      <c r="C49" s="15">
        <v>44886.494444444441</v>
      </c>
      <c r="D49" s="14" t="s">
        <v>63</v>
      </c>
      <c r="E49" s="16" t="s">
        <v>64</v>
      </c>
      <c r="F49" s="14" t="s">
        <v>65</v>
      </c>
      <c r="G49" s="16" t="s">
        <v>66</v>
      </c>
      <c r="H49" s="14" t="s">
        <v>228</v>
      </c>
      <c r="I49" s="16" t="s">
        <v>229</v>
      </c>
      <c r="J49" s="16" t="s">
        <v>230</v>
      </c>
      <c r="K49" s="16" t="s">
        <v>231</v>
      </c>
      <c r="L49" s="14" t="s">
        <v>234</v>
      </c>
      <c r="M49" s="16" t="s">
        <v>235</v>
      </c>
      <c r="N49" s="14" t="s">
        <v>111</v>
      </c>
      <c r="O49" s="16" t="s">
        <v>74</v>
      </c>
      <c r="P49" s="16" t="s">
        <v>74</v>
      </c>
      <c r="Q49" s="16" t="s">
        <v>114</v>
      </c>
      <c r="R49" s="14" t="s">
        <v>115</v>
      </c>
      <c r="S49" s="14" t="s">
        <v>78</v>
      </c>
      <c r="T49" s="14" t="s">
        <v>117</v>
      </c>
      <c r="U49" s="15">
        <v>43831</v>
      </c>
      <c r="V49" s="15"/>
      <c r="W49" s="16"/>
      <c r="X49" s="16" t="s">
        <v>74</v>
      </c>
      <c r="Y49" s="14" t="s">
        <v>74</v>
      </c>
      <c r="Z49" s="16" t="s">
        <v>74</v>
      </c>
      <c r="AA49" s="16" t="s">
        <v>74</v>
      </c>
      <c r="AB49" s="16" t="s">
        <v>74</v>
      </c>
      <c r="AC49" s="14" t="s">
        <v>74</v>
      </c>
      <c r="AD49" s="16" t="s">
        <v>74</v>
      </c>
      <c r="AE49" s="16" t="s">
        <v>74</v>
      </c>
      <c r="AF49" s="16" t="s">
        <v>74</v>
      </c>
      <c r="AG49" s="14" t="s">
        <v>74</v>
      </c>
      <c r="AH49" s="16" t="s">
        <v>74</v>
      </c>
      <c r="AI49" s="16" t="s">
        <v>74</v>
      </c>
      <c r="AJ49" s="16" t="s">
        <v>74</v>
      </c>
      <c r="AK49" s="14" t="s">
        <v>74</v>
      </c>
      <c r="AL49" s="16" t="s">
        <v>74</v>
      </c>
      <c r="AM49" s="16" t="s">
        <v>74</v>
      </c>
      <c r="AN49" s="14" t="s">
        <v>74</v>
      </c>
      <c r="AO49" s="14" t="s">
        <v>74</v>
      </c>
    </row>
    <row r="50" spans="1:41" ht="58" x14ac:dyDescent="0.35">
      <c r="A50" s="14" t="s">
        <v>113</v>
      </c>
      <c r="B50" s="14" t="s">
        <v>62</v>
      </c>
      <c r="C50" s="15">
        <v>44861.634027777778</v>
      </c>
      <c r="D50" s="14" t="s">
        <v>63</v>
      </c>
      <c r="E50" s="16" t="s">
        <v>64</v>
      </c>
      <c r="F50" s="14" t="s">
        <v>65</v>
      </c>
      <c r="G50" s="16" t="s">
        <v>66</v>
      </c>
      <c r="H50" s="14" t="s">
        <v>228</v>
      </c>
      <c r="I50" s="16" t="s">
        <v>229</v>
      </c>
      <c r="J50" s="16" t="s">
        <v>230</v>
      </c>
      <c r="K50" s="16" t="s">
        <v>231</v>
      </c>
      <c r="L50" s="14" t="s">
        <v>232</v>
      </c>
      <c r="M50" s="16" t="s">
        <v>233</v>
      </c>
      <c r="N50" s="14" t="s">
        <v>73</v>
      </c>
      <c r="O50" s="16" t="s">
        <v>74</v>
      </c>
      <c r="P50" s="16" t="s">
        <v>74</v>
      </c>
      <c r="Q50" s="16" t="s">
        <v>118</v>
      </c>
      <c r="R50" s="14" t="s">
        <v>119</v>
      </c>
      <c r="S50" s="14" t="s">
        <v>78</v>
      </c>
      <c r="T50" s="14" t="s">
        <v>79</v>
      </c>
      <c r="U50" s="15">
        <v>40550</v>
      </c>
      <c r="V50" s="15"/>
      <c r="W50" s="16"/>
      <c r="X50" s="16" t="s">
        <v>74</v>
      </c>
      <c r="Y50" s="14" t="s">
        <v>74</v>
      </c>
      <c r="Z50" s="16" t="s">
        <v>74</v>
      </c>
      <c r="AA50" s="16" t="s">
        <v>74</v>
      </c>
      <c r="AB50" s="16" t="s">
        <v>74</v>
      </c>
      <c r="AC50" s="14" t="s">
        <v>74</v>
      </c>
      <c r="AD50" s="16" t="s">
        <v>74</v>
      </c>
      <c r="AE50" s="16" t="s">
        <v>74</v>
      </c>
      <c r="AF50" s="16" t="s">
        <v>74</v>
      </c>
      <c r="AG50" s="14" t="s">
        <v>74</v>
      </c>
      <c r="AH50" s="16" t="s">
        <v>74</v>
      </c>
      <c r="AI50" s="16" t="s">
        <v>74</v>
      </c>
      <c r="AJ50" s="16" t="s">
        <v>74</v>
      </c>
      <c r="AK50" s="14" t="s">
        <v>74</v>
      </c>
      <c r="AL50" s="16" t="s">
        <v>74</v>
      </c>
      <c r="AM50" s="16" t="s">
        <v>74</v>
      </c>
      <c r="AN50" s="14" t="s">
        <v>74</v>
      </c>
      <c r="AO50" s="14" t="s">
        <v>74</v>
      </c>
    </row>
    <row r="51" spans="1:41" ht="58" x14ac:dyDescent="0.35">
      <c r="A51" s="14" t="s">
        <v>113</v>
      </c>
      <c r="B51" s="14" t="s">
        <v>62</v>
      </c>
      <c r="C51" s="15">
        <v>44852.474999999999</v>
      </c>
      <c r="D51" s="14" t="s">
        <v>63</v>
      </c>
      <c r="E51" s="16" t="s">
        <v>64</v>
      </c>
      <c r="F51" s="14" t="s">
        <v>65</v>
      </c>
      <c r="G51" s="16" t="s">
        <v>66</v>
      </c>
      <c r="H51" s="14" t="s">
        <v>228</v>
      </c>
      <c r="I51" s="16" t="s">
        <v>229</v>
      </c>
      <c r="J51" s="16" t="s">
        <v>230</v>
      </c>
      <c r="K51" s="16" t="s">
        <v>231</v>
      </c>
      <c r="L51" s="14" t="s">
        <v>234</v>
      </c>
      <c r="M51" s="16" t="s">
        <v>235</v>
      </c>
      <c r="N51" s="14" t="s">
        <v>111</v>
      </c>
      <c r="O51" s="16" t="s">
        <v>74</v>
      </c>
      <c r="P51" s="16" t="s">
        <v>74</v>
      </c>
      <c r="Q51" s="16" t="s">
        <v>118</v>
      </c>
      <c r="R51" s="14" t="s">
        <v>119</v>
      </c>
      <c r="S51" s="14" t="s">
        <v>78</v>
      </c>
      <c r="T51" s="14" t="s">
        <v>79</v>
      </c>
      <c r="U51" s="15">
        <v>40550</v>
      </c>
      <c r="V51" s="15"/>
      <c r="W51" s="16"/>
      <c r="X51" s="16" t="s">
        <v>74</v>
      </c>
      <c r="Y51" s="14" t="s">
        <v>74</v>
      </c>
      <c r="Z51" s="16" t="s">
        <v>74</v>
      </c>
      <c r="AA51" s="16" t="s">
        <v>74</v>
      </c>
      <c r="AB51" s="16" t="s">
        <v>74</v>
      </c>
      <c r="AC51" s="14" t="s">
        <v>74</v>
      </c>
      <c r="AD51" s="16" t="s">
        <v>74</v>
      </c>
      <c r="AE51" s="16" t="s">
        <v>74</v>
      </c>
      <c r="AF51" s="16" t="s">
        <v>74</v>
      </c>
      <c r="AG51" s="14" t="s">
        <v>74</v>
      </c>
      <c r="AH51" s="16" t="s">
        <v>74</v>
      </c>
      <c r="AI51" s="16" t="s">
        <v>74</v>
      </c>
      <c r="AJ51" s="16" t="s">
        <v>74</v>
      </c>
      <c r="AK51" s="14" t="s">
        <v>74</v>
      </c>
      <c r="AL51" s="16" t="s">
        <v>74</v>
      </c>
      <c r="AM51" s="16" t="s">
        <v>74</v>
      </c>
      <c r="AN51" s="14" t="s">
        <v>74</v>
      </c>
      <c r="AO51" s="14" t="s">
        <v>74</v>
      </c>
    </row>
    <row r="52" spans="1:41" ht="58" x14ac:dyDescent="0.35">
      <c r="A52" s="14" t="s">
        <v>113</v>
      </c>
      <c r="B52" s="14" t="s">
        <v>62</v>
      </c>
      <c r="C52" s="15">
        <v>44861.637499999997</v>
      </c>
      <c r="D52" s="14" t="s">
        <v>63</v>
      </c>
      <c r="E52" s="16" t="s">
        <v>64</v>
      </c>
      <c r="F52" s="14" t="s">
        <v>65</v>
      </c>
      <c r="G52" s="16" t="s">
        <v>66</v>
      </c>
      <c r="H52" s="14" t="s">
        <v>228</v>
      </c>
      <c r="I52" s="16" t="s">
        <v>229</v>
      </c>
      <c r="J52" s="16" t="s">
        <v>230</v>
      </c>
      <c r="K52" s="16" t="s">
        <v>231</v>
      </c>
      <c r="L52" s="14" t="s">
        <v>232</v>
      </c>
      <c r="M52" s="16" t="s">
        <v>233</v>
      </c>
      <c r="N52" s="14" t="s">
        <v>73</v>
      </c>
      <c r="O52" s="16" t="s">
        <v>74</v>
      </c>
      <c r="P52" s="16" t="s">
        <v>74</v>
      </c>
      <c r="Q52" s="16" t="s">
        <v>137</v>
      </c>
      <c r="R52" s="14" t="s">
        <v>138</v>
      </c>
      <c r="S52" s="14" t="s">
        <v>78</v>
      </c>
      <c r="T52" s="14" t="s">
        <v>117</v>
      </c>
      <c r="U52" s="15">
        <v>40550</v>
      </c>
      <c r="V52" s="15"/>
      <c r="W52" s="16"/>
      <c r="X52" s="16" t="s">
        <v>74</v>
      </c>
      <c r="Y52" s="14" t="s">
        <v>74</v>
      </c>
      <c r="Z52" s="16" t="s">
        <v>74</v>
      </c>
      <c r="AA52" s="16" t="s">
        <v>74</v>
      </c>
      <c r="AB52" s="16" t="s">
        <v>74</v>
      </c>
      <c r="AC52" s="14" t="s">
        <v>74</v>
      </c>
      <c r="AD52" s="16" t="s">
        <v>74</v>
      </c>
      <c r="AE52" s="16" t="s">
        <v>74</v>
      </c>
      <c r="AF52" s="16" t="s">
        <v>74</v>
      </c>
      <c r="AG52" s="14" t="s">
        <v>74</v>
      </c>
      <c r="AH52" s="16" t="s">
        <v>74</v>
      </c>
      <c r="AI52" s="16" t="s">
        <v>74</v>
      </c>
      <c r="AJ52" s="16" t="s">
        <v>74</v>
      </c>
      <c r="AK52" s="14" t="s">
        <v>74</v>
      </c>
      <c r="AL52" s="16" t="s">
        <v>74</v>
      </c>
      <c r="AM52" s="16" t="s">
        <v>74</v>
      </c>
      <c r="AN52" s="14" t="s">
        <v>74</v>
      </c>
      <c r="AO52" s="14" t="s">
        <v>74</v>
      </c>
    </row>
    <row r="53" spans="1:41" ht="58" x14ac:dyDescent="0.35">
      <c r="A53" s="14" t="s">
        <v>113</v>
      </c>
      <c r="B53" s="14" t="s">
        <v>62</v>
      </c>
      <c r="C53" s="15">
        <v>44852.474999999999</v>
      </c>
      <c r="D53" s="14" t="s">
        <v>63</v>
      </c>
      <c r="E53" s="16" t="s">
        <v>64</v>
      </c>
      <c r="F53" s="14" t="s">
        <v>65</v>
      </c>
      <c r="G53" s="16" t="s">
        <v>66</v>
      </c>
      <c r="H53" s="14" t="s">
        <v>228</v>
      </c>
      <c r="I53" s="16" t="s">
        <v>229</v>
      </c>
      <c r="J53" s="16" t="s">
        <v>230</v>
      </c>
      <c r="K53" s="16" t="s">
        <v>231</v>
      </c>
      <c r="L53" s="14" t="s">
        <v>234</v>
      </c>
      <c r="M53" s="16" t="s">
        <v>235</v>
      </c>
      <c r="N53" s="14" t="s">
        <v>111</v>
      </c>
      <c r="O53" s="16" t="s">
        <v>74</v>
      </c>
      <c r="P53" s="16" t="s">
        <v>74</v>
      </c>
      <c r="Q53" s="16" t="s">
        <v>137</v>
      </c>
      <c r="R53" s="14" t="s">
        <v>138</v>
      </c>
      <c r="S53" s="14" t="s">
        <v>78</v>
      </c>
      <c r="T53" s="14" t="s">
        <v>117</v>
      </c>
      <c r="U53" s="15">
        <v>40550</v>
      </c>
      <c r="V53" s="15"/>
      <c r="W53" s="16"/>
      <c r="X53" s="16" t="s">
        <v>74</v>
      </c>
      <c r="Y53" s="14" t="s">
        <v>74</v>
      </c>
      <c r="Z53" s="16" t="s">
        <v>74</v>
      </c>
      <c r="AA53" s="16" t="s">
        <v>74</v>
      </c>
      <c r="AB53" s="16" t="s">
        <v>74</v>
      </c>
      <c r="AC53" s="14" t="s">
        <v>74</v>
      </c>
      <c r="AD53" s="16" t="s">
        <v>74</v>
      </c>
      <c r="AE53" s="16" t="s">
        <v>74</v>
      </c>
      <c r="AF53" s="16" t="s">
        <v>74</v>
      </c>
      <c r="AG53" s="14" t="s">
        <v>74</v>
      </c>
      <c r="AH53" s="16" t="s">
        <v>74</v>
      </c>
      <c r="AI53" s="16" t="s">
        <v>74</v>
      </c>
      <c r="AJ53" s="16" t="s">
        <v>74</v>
      </c>
      <c r="AK53" s="14" t="s">
        <v>74</v>
      </c>
      <c r="AL53" s="16" t="s">
        <v>74</v>
      </c>
      <c r="AM53" s="16" t="s">
        <v>74</v>
      </c>
      <c r="AN53" s="14" t="s">
        <v>74</v>
      </c>
      <c r="AO53" s="14" t="s">
        <v>74</v>
      </c>
    </row>
    <row r="54" spans="1:41" ht="58" x14ac:dyDescent="0.35">
      <c r="A54" s="14" t="s">
        <v>113</v>
      </c>
      <c r="B54" s="14" t="s">
        <v>62</v>
      </c>
      <c r="C54" s="15">
        <v>44861.638194444444</v>
      </c>
      <c r="D54" s="14" t="s">
        <v>63</v>
      </c>
      <c r="E54" s="16" t="s">
        <v>64</v>
      </c>
      <c r="F54" s="14" t="s">
        <v>65</v>
      </c>
      <c r="G54" s="16" t="s">
        <v>66</v>
      </c>
      <c r="H54" s="14" t="s">
        <v>228</v>
      </c>
      <c r="I54" s="16" t="s">
        <v>229</v>
      </c>
      <c r="J54" s="16" t="s">
        <v>230</v>
      </c>
      <c r="K54" s="16" t="s">
        <v>231</v>
      </c>
      <c r="L54" s="14" t="s">
        <v>232</v>
      </c>
      <c r="M54" s="16" t="s">
        <v>233</v>
      </c>
      <c r="N54" s="14" t="s">
        <v>73</v>
      </c>
      <c r="O54" s="16" t="s">
        <v>74</v>
      </c>
      <c r="P54" s="16" t="s">
        <v>74</v>
      </c>
      <c r="Q54" s="16" t="s">
        <v>140</v>
      </c>
      <c r="R54" s="14" t="s">
        <v>141</v>
      </c>
      <c r="S54" s="14" t="s">
        <v>78</v>
      </c>
      <c r="T54" s="14" t="s">
        <v>79</v>
      </c>
      <c r="U54" s="15">
        <v>40550</v>
      </c>
      <c r="V54" s="15"/>
      <c r="W54" s="16"/>
      <c r="X54" s="16" t="s">
        <v>74</v>
      </c>
      <c r="Y54" s="14" t="s">
        <v>74</v>
      </c>
      <c r="Z54" s="16" t="s">
        <v>74</v>
      </c>
      <c r="AA54" s="16" t="s">
        <v>74</v>
      </c>
      <c r="AB54" s="16" t="s">
        <v>74</v>
      </c>
      <c r="AC54" s="14" t="s">
        <v>74</v>
      </c>
      <c r="AD54" s="16" t="s">
        <v>74</v>
      </c>
      <c r="AE54" s="16" t="s">
        <v>74</v>
      </c>
      <c r="AF54" s="16" t="s">
        <v>74</v>
      </c>
      <c r="AG54" s="14" t="s">
        <v>74</v>
      </c>
      <c r="AH54" s="16" t="s">
        <v>74</v>
      </c>
      <c r="AI54" s="16" t="s">
        <v>74</v>
      </c>
      <c r="AJ54" s="16" t="s">
        <v>74</v>
      </c>
      <c r="AK54" s="14" t="s">
        <v>74</v>
      </c>
      <c r="AL54" s="16" t="s">
        <v>74</v>
      </c>
      <c r="AM54" s="16" t="s">
        <v>74</v>
      </c>
      <c r="AN54" s="14" t="s">
        <v>74</v>
      </c>
      <c r="AO54" s="14" t="s">
        <v>74</v>
      </c>
    </row>
    <row r="55" spans="1:41" ht="58" x14ac:dyDescent="0.35">
      <c r="A55" s="14" t="s">
        <v>113</v>
      </c>
      <c r="B55" s="14" t="s">
        <v>62</v>
      </c>
      <c r="C55" s="15">
        <v>44852.474999999999</v>
      </c>
      <c r="D55" s="14" t="s">
        <v>63</v>
      </c>
      <c r="E55" s="16" t="s">
        <v>64</v>
      </c>
      <c r="F55" s="14" t="s">
        <v>65</v>
      </c>
      <c r="G55" s="16" t="s">
        <v>66</v>
      </c>
      <c r="H55" s="14" t="s">
        <v>228</v>
      </c>
      <c r="I55" s="16" t="s">
        <v>229</v>
      </c>
      <c r="J55" s="16" t="s">
        <v>230</v>
      </c>
      <c r="K55" s="16" t="s">
        <v>231</v>
      </c>
      <c r="L55" s="14" t="s">
        <v>234</v>
      </c>
      <c r="M55" s="16" t="s">
        <v>235</v>
      </c>
      <c r="N55" s="14" t="s">
        <v>111</v>
      </c>
      <c r="O55" s="16" t="s">
        <v>74</v>
      </c>
      <c r="P55" s="16" t="s">
        <v>74</v>
      </c>
      <c r="Q55" s="16" t="s">
        <v>140</v>
      </c>
      <c r="R55" s="14" t="s">
        <v>141</v>
      </c>
      <c r="S55" s="14" t="s">
        <v>78</v>
      </c>
      <c r="T55" s="14" t="s">
        <v>79</v>
      </c>
      <c r="U55" s="15">
        <v>40550</v>
      </c>
      <c r="V55" s="15"/>
      <c r="W55" s="16"/>
      <c r="X55" s="16" t="s">
        <v>74</v>
      </c>
      <c r="Y55" s="14" t="s">
        <v>74</v>
      </c>
      <c r="Z55" s="16" t="s">
        <v>74</v>
      </c>
      <c r="AA55" s="16" t="s">
        <v>74</v>
      </c>
      <c r="AB55" s="16" t="s">
        <v>74</v>
      </c>
      <c r="AC55" s="14" t="s">
        <v>74</v>
      </c>
      <c r="AD55" s="16" t="s">
        <v>74</v>
      </c>
      <c r="AE55" s="16" t="s">
        <v>74</v>
      </c>
      <c r="AF55" s="16" t="s">
        <v>74</v>
      </c>
      <c r="AG55" s="14" t="s">
        <v>74</v>
      </c>
      <c r="AH55" s="16" t="s">
        <v>74</v>
      </c>
      <c r="AI55" s="16" t="s">
        <v>74</v>
      </c>
      <c r="AJ55" s="16" t="s">
        <v>74</v>
      </c>
      <c r="AK55" s="14" t="s">
        <v>74</v>
      </c>
      <c r="AL55" s="16" t="s">
        <v>74</v>
      </c>
      <c r="AM55" s="16" t="s">
        <v>74</v>
      </c>
      <c r="AN55" s="14" t="s">
        <v>74</v>
      </c>
      <c r="AO55" s="14" t="s">
        <v>74</v>
      </c>
    </row>
    <row r="56" spans="1:41" ht="58" x14ac:dyDescent="0.35">
      <c r="A56" s="14" t="s">
        <v>113</v>
      </c>
      <c r="B56" s="14" t="s">
        <v>62</v>
      </c>
      <c r="C56" s="15">
        <v>44861.634027777778</v>
      </c>
      <c r="D56" s="14" t="s">
        <v>63</v>
      </c>
      <c r="E56" s="16" t="s">
        <v>64</v>
      </c>
      <c r="F56" s="14" t="s">
        <v>65</v>
      </c>
      <c r="G56" s="16" t="s">
        <v>66</v>
      </c>
      <c r="H56" s="14" t="s">
        <v>228</v>
      </c>
      <c r="I56" s="16" t="s">
        <v>229</v>
      </c>
      <c r="J56" s="16" t="s">
        <v>230</v>
      </c>
      <c r="K56" s="16" t="s">
        <v>231</v>
      </c>
      <c r="L56" s="14" t="s">
        <v>232</v>
      </c>
      <c r="M56" s="16" t="s">
        <v>233</v>
      </c>
      <c r="N56" s="14" t="s">
        <v>73</v>
      </c>
      <c r="O56" s="16" t="s">
        <v>74</v>
      </c>
      <c r="P56" s="16" t="s">
        <v>74</v>
      </c>
      <c r="Q56" s="16" t="s">
        <v>143</v>
      </c>
      <c r="R56" s="14" t="s">
        <v>144</v>
      </c>
      <c r="S56" s="14" t="s">
        <v>145</v>
      </c>
      <c r="T56" s="14" t="s">
        <v>79</v>
      </c>
      <c r="U56" s="15">
        <v>40550</v>
      </c>
      <c r="V56" s="15"/>
      <c r="W56" s="16"/>
      <c r="X56" s="16" t="s">
        <v>74</v>
      </c>
      <c r="Y56" s="14" t="s">
        <v>74</v>
      </c>
      <c r="Z56" s="16" t="s">
        <v>74</v>
      </c>
      <c r="AA56" s="16" t="s">
        <v>74</v>
      </c>
      <c r="AB56" s="16" t="s">
        <v>74</v>
      </c>
      <c r="AC56" s="14" t="s">
        <v>74</v>
      </c>
      <c r="AD56" s="16" t="s">
        <v>74</v>
      </c>
      <c r="AE56" s="16" t="s">
        <v>424</v>
      </c>
      <c r="AF56" s="16" t="s">
        <v>74</v>
      </c>
      <c r="AG56" s="14" t="s">
        <v>74</v>
      </c>
      <c r="AH56" s="16" t="s">
        <v>74</v>
      </c>
      <c r="AI56" s="16" t="s">
        <v>74</v>
      </c>
      <c r="AJ56" s="16" t="s">
        <v>74</v>
      </c>
      <c r="AK56" s="14" t="s">
        <v>74</v>
      </c>
      <c r="AL56" s="16" t="s">
        <v>74</v>
      </c>
      <c r="AM56" s="16" t="s">
        <v>74</v>
      </c>
      <c r="AN56" s="14" t="s">
        <v>74</v>
      </c>
      <c r="AO56" s="14" t="s">
        <v>74</v>
      </c>
    </row>
    <row r="57" spans="1:41" ht="58" x14ac:dyDescent="0.35">
      <c r="A57" s="14" t="s">
        <v>113</v>
      </c>
      <c r="B57" s="14" t="s">
        <v>62</v>
      </c>
      <c r="C57" s="15">
        <v>44852.474999999999</v>
      </c>
      <c r="D57" s="14" t="s">
        <v>63</v>
      </c>
      <c r="E57" s="16" t="s">
        <v>64</v>
      </c>
      <c r="F57" s="14" t="s">
        <v>65</v>
      </c>
      <c r="G57" s="16" t="s">
        <v>66</v>
      </c>
      <c r="H57" s="14" t="s">
        <v>228</v>
      </c>
      <c r="I57" s="16" t="s">
        <v>229</v>
      </c>
      <c r="J57" s="16" t="s">
        <v>230</v>
      </c>
      <c r="K57" s="16" t="s">
        <v>231</v>
      </c>
      <c r="L57" s="14" t="s">
        <v>234</v>
      </c>
      <c r="M57" s="16" t="s">
        <v>235</v>
      </c>
      <c r="N57" s="14" t="s">
        <v>111</v>
      </c>
      <c r="O57" s="16" t="s">
        <v>74</v>
      </c>
      <c r="P57" s="16" t="s">
        <v>74</v>
      </c>
      <c r="Q57" s="16" t="s">
        <v>143</v>
      </c>
      <c r="R57" s="14" t="s">
        <v>144</v>
      </c>
      <c r="S57" s="14" t="s">
        <v>145</v>
      </c>
      <c r="T57" s="14" t="s">
        <v>79</v>
      </c>
      <c r="U57" s="15">
        <v>40550</v>
      </c>
      <c r="V57" s="15"/>
      <c r="W57" s="16"/>
      <c r="X57" s="16" t="s">
        <v>74</v>
      </c>
      <c r="Y57" s="14" t="s">
        <v>74</v>
      </c>
      <c r="Z57" s="16" t="s">
        <v>74</v>
      </c>
      <c r="AA57" s="16" t="s">
        <v>74</v>
      </c>
      <c r="AB57" s="16" t="s">
        <v>74</v>
      </c>
      <c r="AC57" s="14" t="s">
        <v>74</v>
      </c>
      <c r="AD57" s="16" t="s">
        <v>74</v>
      </c>
      <c r="AE57" s="16" t="s">
        <v>74</v>
      </c>
      <c r="AF57" s="16" t="s">
        <v>74</v>
      </c>
      <c r="AG57" s="14" t="s">
        <v>74</v>
      </c>
      <c r="AH57" s="16" t="s">
        <v>74</v>
      </c>
      <c r="AI57" s="16" t="s">
        <v>74</v>
      </c>
      <c r="AJ57" s="16" t="s">
        <v>74</v>
      </c>
      <c r="AK57" s="14" t="s">
        <v>74</v>
      </c>
      <c r="AL57" s="16" t="s">
        <v>74</v>
      </c>
      <c r="AM57" s="16" t="s">
        <v>74</v>
      </c>
      <c r="AN57" s="14" t="s">
        <v>74</v>
      </c>
      <c r="AO57" s="14" t="s">
        <v>74</v>
      </c>
    </row>
    <row r="58" spans="1:41" ht="58" x14ac:dyDescent="0.35">
      <c r="A58" s="14" t="s">
        <v>113</v>
      </c>
      <c r="B58" s="14" t="s">
        <v>62</v>
      </c>
      <c r="C58" s="15">
        <v>44861.634027777778</v>
      </c>
      <c r="D58" s="14" t="s">
        <v>63</v>
      </c>
      <c r="E58" s="16" t="s">
        <v>64</v>
      </c>
      <c r="F58" s="14" t="s">
        <v>65</v>
      </c>
      <c r="G58" s="16" t="s">
        <v>66</v>
      </c>
      <c r="H58" s="14" t="s">
        <v>228</v>
      </c>
      <c r="I58" s="16" t="s">
        <v>229</v>
      </c>
      <c r="J58" s="16" t="s">
        <v>230</v>
      </c>
      <c r="K58" s="16" t="s">
        <v>231</v>
      </c>
      <c r="L58" s="14" t="s">
        <v>232</v>
      </c>
      <c r="M58" s="16" t="s">
        <v>233</v>
      </c>
      <c r="N58" s="14" t="s">
        <v>73</v>
      </c>
      <c r="O58" s="16" t="s">
        <v>74</v>
      </c>
      <c r="P58" s="16" t="s">
        <v>74</v>
      </c>
      <c r="Q58" s="16" t="s">
        <v>153</v>
      </c>
      <c r="R58" s="14" t="s">
        <v>154</v>
      </c>
      <c r="S58" s="14" t="s">
        <v>145</v>
      </c>
      <c r="T58" s="14" t="s">
        <v>79</v>
      </c>
      <c r="U58" s="15">
        <v>40550</v>
      </c>
      <c r="V58" s="15"/>
      <c r="W58" s="16"/>
      <c r="X58" s="16" t="s">
        <v>74</v>
      </c>
      <c r="Y58" s="14" t="s">
        <v>74</v>
      </c>
      <c r="Z58" s="16" t="s">
        <v>74</v>
      </c>
      <c r="AA58" s="16" t="s">
        <v>74</v>
      </c>
      <c r="AB58" s="16" t="s">
        <v>74</v>
      </c>
      <c r="AC58" s="14" t="s">
        <v>74</v>
      </c>
      <c r="AD58" s="16" t="s">
        <v>74</v>
      </c>
      <c r="AE58" s="16" t="s">
        <v>424</v>
      </c>
      <c r="AF58" s="16" t="s">
        <v>74</v>
      </c>
      <c r="AG58" s="14" t="s">
        <v>74</v>
      </c>
      <c r="AH58" s="16" t="s">
        <v>74</v>
      </c>
      <c r="AI58" s="16" t="s">
        <v>74</v>
      </c>
      <c r="AJ58" s="16" t="s">
        <v>74</v>
      </c>
      <c r="AK58" s="14" t="s">
        <v>74</v>
      </c>
      <c r="AL58" s="16" t="s">
        <v>74</v>
      </c>
      <c r="AM58" s="16" t="s">
        <v>74</v>
      </c>
      <c r="AN58" s="14" t="s">
        <v>74</v>
      </c>
      <c r="AO58" s="14" t="s">
        <v>74</v>
      </c>
    </row>
    <row r="59" spans="1:41" ht="58" x14ac:dyDescent="0.35">
      <c r="A59" s="14" t="s">
        <v>113</v>
      </c>
      <c r="B59" s="14" t="s">
        <v>62</v>
      </c>
      <c r="C59" s="15">
        <v>44852.474999999999</v>
      </c>
      <c r="D59" s="14" t="s">
        <v>63</v>
      </c>
      <c r="E59" s="16" t="s">
        <v>64</v>
      </c>
      <c r="F59" s="14" t="s">
        <v>65</v>
      </c>
      <c r="G59" s="16" t="s">
        <v>66</v>
      </c>
      <c r="H59" s="14" t="s">
        <v>228</v>
      </c>
      <c r="I59" s="16" t="s">
        <v>229</v>
      </c>
      <c r="J59" s="16" t="s">
        <v>230</v>
      </c>
      <c r="K59" s="16" t="s">
        <v>231</v>
      </c>
      <c r="L59" s="14" t="s">
        <v>234</v>
      </c>
      <c r="M59" s="16" t="s">
        <v>235</v>
      </c>
      <c r="N59" s="14" t="s">
        <v>111</v>
      </c>
      <c r="O59" s="16" t="s">
        <v>74</v>
      </c>
      <c r="P59" s="16" t="s">
        <v>74</v>
      </c>
      <c r="Q59" s="16" t="s">
        <v>153</v>
      </c>
      <c r="R59" s="14" t="s">
        <v>154</v>
      </c>
      <c r="S59" s="14" t="s">
        <v>145</v>
      </c>
      <c r="T59" s="14" t="s">
        <v>79</v>
      </c>
      <c r="U59" s="15">
        <v>40550</v>
      </c>
      <c r="V59" s="15"/>
      <c r="W59" s="16"/>
      <c r="X59" s="16" t="s">
        <v>74</v>
      </c>
      <c r="Y59" s="14" t="s">
        <v>74</v>
      </c>
      <c r="Z59" s="16" t="s">
        <v>74</v>
      </c>
      <c r="AA59" s="16" t="s">
        <v>74</v>
      </c>
      <c r="AB59" s="16" t="s">
        <v>74</v>
      </c>
      <c r="AC59" s="14" t="s">
        <v>74</v>
      </c>
      <c r="AD59" s="16" t="s">
        <v>74</v>
      </c>
      <c r="AE59" s="16" t="s">
        <v>74</v>
      </c>
      <c r="AF59" s="16" t="s">
        <v>74</v>
      </c>
      <c r="AG59" s="14" t="s">
        <v>74</v>
      </c>
      <c r="AH59" s="16" t="s">
        <v>74</v>
      </c>
      <c r="AI59" s="16" t="s">
        <v>74</v>
      </c>
      <c r="AJ59" s="16" t="s">
        <v>74</v>
      </c>
      <c r="AK59" s="14" t="s">
        <v>74</v>
      </c>
      <c r="AL59" s="16" t="s">
        <v>74</v>
      </c>
      <c r="AM59" s="16" t="s">
        <v>74</v>
      </c>
      <c r="AN59" s="14" t="s">
        <v>74</v>
      </c>
      <c r="AO59" s="14" t="s">
        <v>74</v>
      </c>
    </row>
    <row r="60" spans="1:41" ht="58" x14ac:dyDescent="0.35">
      <c r="A60" s="14" t="s">
        <v>113</v>
      </c>
      <c r="B60" s="14" t="s">
        <v>116</v>
      </c>
      <c r="C60" s="15">
        <v>44873.637499999997</v>
      </c>
      <c r="D60" s="14" t="s">
        <v>63</v>
      </c>
      <c r="E60" s="16" t="s">
        <v>64</v>
      </c>
      <c r="F60" s="14" t="s">
        <v>65</v>
      </c>
      <c r="G60" s="16" t="s">
        <v>66</v>
      </c>
      <c r="H60" s="14" t="s">
        <v>228</v>
      </c>
      <c r="I60" s="16" t="s">
        <v>229</v>
      </c>
      <c r="J60" s="16" t="s">
        <v>230</v>
      </c>
      <c r="K60" s="16" t="s">
        <v>231</v>
      </c>
      <c r="L60" s="14" t="s">
        <v>232</v>
      </c>
      <c r="M60" s="16" t="s">
        <v>233</v>
      </c>
      <c r="N60" s="14" t="s">
        <v>73</v>
      </c>
      <c r="O60" s="16" t="s">
        <v>74</v>
      </c>
      <c r="P60" s="16" t="s">
        <v>74</v>
      </c>
      <c r="Q60" s="16" t="s">
        <v>164</v>
      </c>
      <c r="R60" s="14" t="s">
        <v>165</v>
      </c>
      <c r="S60" s="14" t="s">
        <v>145</v>
      </c>
      <c r="T60" s="14" t="s">
        <v>79</v>
      </c>
      <c r="U60" s="15">
        <v>40550</v>
      </c>
      <c r="V60" s="15"/>
      <c r="W60" s="16"/>
      <c r="X60" s="16" t="s">
        <v>74</v>
      </c>
      <c r="Y60" s="14" t="s">
        <v>74</v>
      </c>
      <c r="Z60" s="16" t="s">
        <v>74</v>
      </c>
      <c r="AA60" s="16" t="s">
        <v>74</v>
      </c>
      <c r="AB60" s="16" t="s">
        <v>74</v>
      </c>
      <c r="AC60" s="14" t="s">
        <v>74</v>
      </c>
      <c r="AD60" s="16" t="s">
        <v>74</v>
      </c>
      <c r="AE60" s="16" t="s">
        <v>424</v>
      </c>
      <c r="AF60" s="16" t="s">
        <v>74</v>
      </c>
      <c r="AG60" s="14" t="s">
        <v>74</v>
      </c>
      <c r="AH60" s="16" t="s">
        <v>74</v>
      </c>
      <c r="AI60" s="16" t="s">
        <v>74</v>
      </c>
      <c r="AJ60" s="16" t="s">
        <v>74</v>
      </c>
      <c r="AK60" s="14" t="s">
        <v>74</v>
      </c>
      <c r="AL60" s="16" t="s">
        <v>74</v>
      </c>
      <c r="AM60" s="16" t="s">
        <v>74</v>
      </c>
      <c r="AN60" s="14" t="s">
        <v>74</v>
      </c>
      <c r="AO60" s="14" t="s">
        <v>74</v>
      </c>
    </row>
    <row r="61" spans="1:41" ht="58" x14ac:dyDescent="0.35">
      <c r="A61" s="14" t="s">
        <v>113</v>
      </c>
      <c r="B61" s="14" t="s">
        <v>62</v>
      </c>
      <c r="C61" s="15">
        <v>44852.474999999999</v>
      </c>
      <c r="D61" s="14" t="s">
        <v>63</v>
      </c>
      <c r="E61" s="16" t="s">
        <v>64</v>
      </c>
      <c r="F61" s="14" t="s">
        <v>65</v>
      </c>
      <c r="G61" s="16" t="s">
        <v>66</v>
      </c>
      <c r="H61" s="14" t="s">
        <v>228</v>
      </c>
      <c r="I61" s="16" t="s">
        <v>229</v>
      </c>
      <c r="J61" s="16" t="s">
        <v>230</v>
      </c>
      <c r="K61" s="16" t="s">
        <v>231</v>
      </c>
      <c r="L61" s="14" t="s">
        <v>234</v>
      </c>
      <c r="M61" s="16" t="s">
        <v>235</v>
      </c>
      <c r="N61" s="14" t="s">
        <v>111</v>
      </c>
      <c r="O61" s="16" t="s">
        <v>74</v>
      </c>
      <c r="P61" s="16" t="s">
        <v>74</v>
      </c>
      <c r="Q61" s="16" t="s">
        <v>164</v>
      </c>
      <c r="R61" s="14" t="s">
        <v>165</v>
      </c>
      <c r="S61" s="14" t="s">
        <v>145</v>
      </c>
      <c r="T61" s="14" t="s">
        <v>79</v>
      </c>
      <c r="U61" s="15">
        <v>40550</v>
      </c>
      <c r="V61" s="15"/>
      <c r="W61" s="16"/>
      <c r="X61" s="16" t="s">
        <v>74</v>
      </c>
      <c r="Y61" s="14" t="s">
        <v>74</v>
      </c>
      <c r="Z61" s="16" t="s">
        <v>74</v>
      </c>
      <c r="AA61" s="16" t="s">
        <v>74</v>
      </c>
      <c r="AB61" s="16" t="s">
        <v>74</v>
      </c>
      <c r="AC61" s="14" t="s">
        <v>74</v>
      </c>
      <c r="AD61" s="16" t="s">
        <v>74</v>
      </c>
      <c r="AE61" s="16" t="s">
        <v>74</v>
      </c>
      <c r="AF61" s="16" t="s">
        <v>74</v>
      </c>
      <c r="AG61" s="14" t="s">
        <v>74</v>
      </c>
      <c r="AH61" s="16" t="s">
        <v>74</v>
      </c>
      <c r="AI61" s="16" t="s">
        <v>74</v>
      </c>
      <c r="AJ61" s="16" t="s">
        <v>74</v>
      </c>
      <c r="AK61" s="14" t="s">
        <v>74</v>
      </c>
      <c r="AL61" s="16" t="s">
        <v>74</v>
      </c>
      <c r="AM61" s="16" t="s">
        <v>74</v>
      </c>
      <c r="AN61" s="14" t="s">
        <v>74</v>
      </c>
      <c r="AO61" s="14" t="s">
        <v>74</v>
      </c>
    </row>
    <row r="62" spans="1:41" ht="58" x14ac:dyDescent="0.35">
      <c r="A62" s="14" t="s">
        <v>113</v>
      </c>
      <c r="B62" s="14" t="s">
        <v>62</v>
      </c>
      <c r="C62" s="15">
        <v>44861.634027777778</v>
      </c>
      <c r="D62" s="14" t="s">
        <v>63</v>
      </c>
      <c r="E62" s="16" t="s">
        <v>64</v>
      </c>
      <c r="F62" s="14" t="s">
        <v>65</v>
      </c>
      <c r="G62" s="16" t="s">
        <v>66</v>
      </c>
      <c r="H62" s="14" t="s">
        <v>228</v>
      </c>
      <c r="I62" s="16" t="s">
        <v>229</v>
      </c>
      <c r="J62" s="16" t="s">
        <v>230</v>
      </c>
      <c r="K62" s="16" t="s">
        <v>231</v>
      </c>
      <c r="L62" s="14" t="s">
        <v>232</v>
      </c>
      <c r="M62" s="16" t="s">
        <v>233</v>
      </c>
      <c r="N62" s="14" t="s">
        <v>73</v>
      </c>
      <c r="O62" s="16" t="s">
        <v>74</v>
      </c>
      <c r="P62" s="16" t="s">
        <v>74</v>
      </c>
      <c r="Q62" s="16" t="s">
        <v>166</v>
      </c>
      <c r="R62" s="14" t="s">
        <v>167</v>
      </c>
      <c r="S62" s="14" t="s">
        <v>145</v>
      </c>
      <c r="T62" s="14" t="s">
        <v>117</v>
      </c>
      <c r="U62" s="15">
        <v>40550</v>
      </c>
      <c r="V62" s="15"/>
      <c r="W62" s="16"/>
      <c r="X62" s="16" t="s">
        <v>74</v>
      </c>
      <c r="Y62" s="14" t="s">
        <v>74</v>
      </c>
      <c r="Z62" s="16" t="s">
        <v>74</v>
      </c>
      <c r="AA62" s="16" t="s">
        <v>74</v>
      </c>
      <c r="AB62" s="16" t="s">
        <v>74</v>
      </c>
      <c r="AC62" s="14" t="s">
        <v>74</v>
      </c>
      <c r="AD62" s="16" t="s">
        <v>74</v>
      </c>
      <c r="AE62" s="16" t="s">
        <v>424</v>
      </c>
      <c r="AF62" s="16" t="s">
        <v>74</v>
      </c>
      <c r="AG62" s="14" t="s">
        <v>74</v>
      </c>
      <c r="AH62" s="16" t="s">
        <v>74</v>
      </c>
      <c r="AI62" s="16" t="s">
        <v>74</v>
      </c>
      <c r="AJ62" s="16" t="s">
        <v>74</v>
      </c>
      <c r="AK62" s="14" t="s">
        <v>74</v>
      </c>
      <c r="AL62" s="16" t="s">
        <v>74</v>
      </c>
      <c r="AM62" s="16" t="s">
        <v>74</v>
      </c>
      <c r="AN62" s="14" t="s">
        <v>74</v>
      </c>
      <c r="AO62" s="14" t="s">
        <v>74</v>
      </c>
    </row>
    <row r="63" spans="1:41" ht="58" x14ac:dyDescent="0.35">
      <c r="A63" s="14" t="s">
        <v>113</v>
      </c>
      <c r="B63" s="14" t="s">
        <v>62</v>
      </c>
      <c r="C63" s="15">
        <v>44852.474999999999</v>
      </c>
      <c r="D63" s="14" t="s">
        <v>63</v>
      </c>
      <c r="E63" s="16" t="s">
        <v>64</v>
      </c>
      <c r="F63" s="14" t="s">
        <v>65</v>
      </c>
      <c r="G63" s="16" t="s">
        <v>66</v>
      </c>
      <c r="H63" s="14" t="s">
        <v>228</v>
      </c>
      <c r="I63" s="16" t="s">
        <v>229</v>
      </c>
      <c r="J63" s="16" t="s">
        <v>230</v>
      </c>
      <c r="K63" s="16" t="s">
        <v>231</v>
      </c>
      <c r="L63" s="14" t="s">
        <v>234</v>
      </c>
      <c r="M63" s="16" t="s">
        <v>235</v>
      </c>
      <c r="N63" s="14" t="s">
        <v>111</v>
      </c>
      <c r="O63" s="16" t="s">
        <v>74</v>
      </c>
      <c r="P63" s="16" t="s">
        <v>74</v>
      </c>
      <c r="Q63" s="16" t="s">
        <v>166</v>
      </c>
      <c r="R63" s="14" t="s">
        <v>167</v>
      </c>
      <c r="S63" s="14" t="s">
        <v>145</v>
      </c>
      <c r="T63" s="14" t="s">
        <v>117</v>
      </c>
      <c r="U63" s="15">
        <v>40550</v>
      </c>
      <c r="V63" s="15"/>
      <c r="W63" s="16"/>
      <c r="X63" s="16" t="s">
        <v>74</v>
      </c>
      <c r="Y63" s="14" t="s">
        <v>74</v>
      </c>
      <c r="Z63" s="16" t="s">
        <v>74</v>
      </c>
      <c r="AA63" s="16" t="s">
        <v>74</v>
      </c>
      <c r="AB63" s="16" t="s">
        <v>74</v>
      </c>
      <c r="AC63" s="14" t="s">
        <v>74</v>
      </c>
      <c r="AD63" s="16" t="s">
        <v>74</v>
      </c>
      <c r="AE63" s="16" t="s">
        <v>74</v>
      </c>
      <c r="AF63" s="16" t="s">
        <v>74</v>
      </c>
      <c r="AG63" s="14" t="s">
        <v>74</v>
      </c>
      <c r="AH63" s="16" t="s">
        <v>74</v>
      </c>
      <c r="AI63" s="16" t="s">
        <v>74</v>
      </c>
      <c r="AJ63" s="16" t="s">
        <v>74</v>
      </c>
      <c r="AK63" s="14" t="s">
        <v>74</v>
      </c>
      <c r="AL63" s="16" t="s">
        <v>74</v>
      </c>
      <c r="AM63" s="16" t="s">
        <v>74</v>
      </c>
      <c r="AN63" s="14" t="s">
        <v>74</v>
      </c>
      <c r="AO63" s="14" t="s">
        <v>74</v>
      </c>
    </row>
    <row r="64" spans="1:41" ht="58" x14ac:dyDescent="0.35">
      <c r="A64" s="14" t="s">
        <v>113</v>
      </c>
      <c r="B64" s="14" t="s">
        <v>62</v>
      </c>
      <c r="C64" s="15">
        <v>44861.634027777778</v>
      </c>
      <c r="D64" s="14" t="s">
        <v>63</v>
      </c>
      <c r="E64" s="16" t="s">
        <v>64</v>
      </c>
      <c r="F64" s="14" t="s">
        <v>65</v>
      </c>
      <c r="G64" s="16" t="s">
        <v>66</v>
      </c>
      <c r="H64" s="14" t="s">
        <v>228</v>
      </c>
      <c r="I64" s="16" t="s">
        <v>229</v>
      </c>
      <c r="J64" s="16" t="s">
        <v>230</v>
      </c>
      <c r="K64" s="16" t="s">
        <v>231</v>
      </c>
      <c r="L64" s="14" t="s">
        <v>232</v>
      </c>
      <c r="M64" s="16" t="s">
        <v>233</v>
      </c>
      <c r="N64" s="14" t="s">
        <v>73</v>
      </c>
      <c r="O64" s="16" t="s">
        <v>74</v>
      </c>
      <c r="P64" s="16" t="s">
        <v>74</v>
      </c>
      <c r="Q64" s="16" t="s">
        <v>168</v>
      </c>
      <c r="R64" s="14" t="s">
        <v>169</v>
      </c>
      <c r="S64" s="14" t="s">
        <v>145</v>
      </c>
      <c r="T64" s="14" t="s">
        <v>79</v>
      </c>
      <c r="U64" s="15">
        <v>40550</v>
      </c>
      <c r="V64" s="15"/>
      <c r="W64" s="16"/>
      <c r="X64" s="16" t="s">
        <v>74</v>
      </c>
      <c r="Y64" s="14" t="s">
        <v>74</v>
      </c>
      <c r="Z64" s="16" t="s">
        <v>74</v>
      </c>
      <c r="AA64" s="16" t="s">
        <v>74</v>
      </c>
      <c r="AB64" s="16" t="s">
        <v>74</v>
      </c>
      <c r="AC64" s="14" t="s">
        <v>74</v>
      </c>
      <c r="AD64" s="16" t="s">
        <v>74</v>
      </c>
      <c r="AE64" s="16" t="s">
        <v>424</v>
      </c>
      <c r="AF64" s="16" t="s">
        <v>74</v>
      </c>
      <c r="AG64" s="14" t="s">
        <v>74</v>
      </c>
      <c r="AH64" s="16" t="s">
        <v>74</v>
      </c>
      <c r="AI64" s="16" t="s">
        <v>74</v>
      </c>
      <c r="AJ64" s="16" t="s">
        <v>74</v>
      </c>
      <c r="AK64" s="14" t="s">
        <v>74</v>
      </c>
      <c r="AL64" s="16" t="s">
        <v>74</v>
      </c>
      <c r="AM64" s="16" t="s">
        <v>74</v>
      </c>
      <c r="AN64" s="14" t="s">
        <v>74</v>
      </c>
      <c r="AO64" s="14" t="s">
        <v>74</v>
      </c>
    </row>
    <row r="65" spans="1:41" ht="58" x14ac:dyDescent="0.35">
      <c r="A65" s="14" t="s">
        <v>113</v>
      </c>
      <c r="B65" s="14" t="s">
        <v>62</v>
      </c>
      <c r="C65" s="15">
        <v>44852.474999999999</v>
      </c>
      <c r="D65" s="14" t="s">
        <v>63</v>
      </c>
      <c r="E65" s="16" t="s">
        <v>64</v>
      </c>
      <c r="F65" s="14" t="s">
        <v>65</v>
      </c>
      <c r="G65" s="16" t="s">
        <v>66</v>
      </c>
      <c r="H65" s="14" t="s">
        <v>228</v>
      </c>
      <c r="I65" s="16" t="s">
        <v>229</v>
      </c>
      <c r="J65" s="16" t="s">
        <v>230</v>
      </c>
      <c r="K65" s="16" t="s">
        <v>231</v>
      </c>
      <c r="L65" s="14" t="s">
        <v>234</v>
      </c>
      <c r="M65" s="16" t="s">
        <v>235</v>
      </c>
      <c r="N65" s="14" t="s">
        <v>111</v>
      </c>
      <c r="O65" s="16" t="s">
        <v>74</v>
      </c>
      <c r="P65" s="16" t="s">
        <v>74</v>
      </c>
      <c r="Q65" s="16" t="s">
        <v>168</v>
      </c>
      <c r="R65" s="14" t="s">
        <v>169</v>
      </c>
      <c r="S65" s="14" t="s">
        <v>145</v>
      </c>
      <c r="T65" s="14" t="s">
        <v>79</v>
      </c>
      <c r="U65" s="15">
        <v>40550</v>
      </c>
      <c r="V65" s="15"/>
      <c r="W65" s="16"/>
      <c r="X65" s="16" t="s">
        <v>74</v>
      </c>
      <c r="Y65" s="14" t="s">
        <v>74</v>
      </c>
      <c r="Z65" s="16" t="s">
        <v>74</v>
      </c>
      <c r="AA65" s="16" t="s">
        <v>74</v>
      </c>
      <c r="AB65" s="16" t="s">
        <v>74</v>
      </c>
      <c r="AC65" s="14" t="s">
        <v>74</v>
      </c>
      <c r="AD65" s="16" t="s">
        <v>74</v>
      </c>
      <c r="AE65" s="16" t="s">
        <v>74</v>
      </c>
      <c r="AF65" s="16" t="s">
        <v>74</v>
      </c>
      <c r="AG65" s="14" t="s">
        <v>74</v>
      </c>
      <c r="AH65" s="16" t="s">
        <v>74</v>
      </c>
      <c r="AI65" s="16" t="s">
        <v>74</v>
      </c>
      <c r="AJ65" s="16" t="s">
        <v>74</v>
      </c>
      <c r="AK65" s="14" t="s">
        <v>74</v>
      </c>
      <c r="AL65" s="16" t="s">
        <v>74</v>
      </c>
      <c r="AM65" s="16" t="s">
        <v>74</v>
      </c>
      <c r="AN65" s="14" t="s">
        <v>74</v>
      </c>
      <c r="AO65" s="14" t="s">
        <v>74</v>
      </c>
    </row>
    <row r="66" spans="1:41" ht="58" x14ac:dyDescent="0.35">
      <c r="A66" s="14" t="s">
        <v>113</v>
      </c>
      <c r="B66" s="14" t="s">
        <v>116</v>
      </c>
      <c r="C66" s="15">
        <v>44854.579861111109</v>
      </c>
      <c r="D66" s="14" t="s">
        <v>63</v>
      </c>
      <c r="E66" s="16" t="s">
        <v>64</v>
      </c>
      <c r="F66" s="14" t="s">
        <v>65</v>
      </c>
      <c r="G66" s="16" t="s">
        <v>66</v>
      </c>
      <c r="H66" s="14" t="s">
        <v>255</v>
      </c>
      <c r="I66" s="16" t="s">
        <v>256</v>
      </c>
      <c r="J66" s="16" t="s">
        <v>257</v>
      </c>
      <c r="K66" s="16" t="s">
        <v>258</v>
      </c>
      <c r="L66" s="14" t="s">
        <v>259</v>
      </c>
      <c r="M66" s="16" t="s">
        <v>260</v>
      </c>
      <c r="N66" s="14" t="s">
        <v>73</v>
      </c>
      <c r="O66" s="16" t="s">
        <v>74</v>
      </c>
      <c r="P66" s="16" t="s">
        <v>74</v>
      </c>
      <c r="Q66" s="16" t="s">
        <v>75</v>
      </c>
      <c r="R66" s="14" t="s">
        <v>76</v>
      </c>
      <c r="S66" s="14" t="s">
        <v>78</v>
      </c>
      <c r="T66" s="14" t="s">
        <v>79</v>
      </c>
      <c r="U66" s="15">
        <v>40550</v>
      </c>
      <c r="V66" s="15"/>
      <c r="W66" s="16"/>
      <c r="X66" s="16" t="s">
        <v>74</v>
      </c>
      <c r="Y66" s="14" t="s">
        <v>74</v>
      </c>
      <c r="Z66" s="16" t="s">
        <v>74</v>
      </c>
      <c r="AA66" s="16" t="s">
        <v>74</v>
      </c>
      <c r="AB66" s="16" t="s">
        <v>74</v>
      </c>
      <c r="AC66" s="14" t="s">
        <v>74</v>
      </c>
      <c r="AD66" s="16" t="s">
        <v>74</v>
      </c>
      <c r="AE66" s="16" t="s">
        <v>74</v>
      </c>
      <c r="AF66" s="16" t="s">
        <v>74</v>
      </c>
      <c r="AG66" s="14" t="s">
        <v>74</v>
      </c>
      <c r="AH66" s="16" t="s">
        <v>74</v>
      </c>
      <c r="AI66" s="16" t="s">
        <v>74</v>
      </c>
      <c r="AJ66" s="16" t="s">
        <v>74</v>
      </c>
      <c r="AK66" s="14" t="s">
        <v>74</v>
      </c>
      <c r="AL66" s="16" t="s">
        <v>74</v>
      </c>
      <c r="AM66" s="16" t="s">
        <v>74</v>
      </c>
      <c r="AN66" s="14" t="s">
        <v>74</v>
      </c>
      <c r="AO66" s="14" t="s">
        <v>74</v>
      </c>
    </row>
    <row r="67" spans="1:41" ht="58" x14ac:dyDescent="0.35">
      <c r="A67" s="14" t="s">
        <v>113</v>
      </c>
      <c r="B67" s="14" t="s">
        <v>62</v>
      </c>
      <c r="C67" s="15">
        <v>44852.486111111109</v>
      </c>
      <c r="D67" s="14" t="s">
        <v>63</v>
      </c>
      <c r="E67" s="16" t="s">
        <v>64</v>
      </c>
      <c r="F67" s="14" t="s">
        <v>65</v>
      </c>
      <c r="G67" s="16" t="s">
        <v>66</v>
      </c>
      <c r="H67" s="14" t="s">
        <v>255</v>
      </c>
      <c r="I67" s="16" t="s">
        <v>256</v>
      </c>
      <c r="J67" s="16" t="s">
        <v>257</v>
      </c>
      <c r="K67" s="16" t="s">
        <v>258</v>
      </c>
      <c r="L67" s="14" t="s">
        <v>266</v>
      </c>
      <c r="M67" s="16" t="s">
        <v>267</v>
      </c>
      <c r="N67" s="14" t="s">
        <v>111</v>
      </c>
      <c r="O67" s="16" t="s">
        <v>74</v>
      </c>
      <c r="P67" s="16" t="s">
        <v>74</v>
      </c>
      <c r="Q67" s="16" t="s">
        <v>75</v>
      </c>
      <c r="R67" s="14" t="s">
        <v>76</v>
      </c>
      <c r="S67" s="14" t="s">
        <v>78</v>
      </c>
      <c r="T67" s="14" t="s">
        <v>79</v>
      </c>
      <c r="U67" s="15">
        <v>40550</v>
      </c>
      <c r="V67" s="15"/>
      <c r="W67" s="16"/>
      <c r="X67" s="16" t="s">
        <v>74</v>
      </c>
      <c r="Y67" s="14" t="s">
        <v>74</v>
      </c>
      <c r="Z67" s="16" t="s">
        <v>74</v>
      </c>
      <c r="AA67" s="16" t="s">
        <v>74</v>
      </c>
      <c r="AB67" s="16" t="s">
        <v>74</v>
      </c>
      <c r="AC67" s="14" t="s">
        <v>74</v>
      </c>
      <c r="AD67" s="16" t="s">
        <v>74</v>
      </c>
      <c r="AE67" s="16" t="s">
        <v>74</v>
      </c>
      <c r="AF67" s="16" t="s">
        <v>74</v>
      </c>
      <c r="AG67" s="14" t="s">
        <v>74</v>
      </c>
      <c r="AH67" s="16" t="s">
        <v>74</v>
      </c>
      <c r="AI67" s="16" t="s">
        <v>74</v>
      </c>
      <c r="AJ67" s="16" t="s">
        <v>74</v>
      </c>
      <c r="AK67" s="14" t="s">
        <v>74</v>
      </c>
      <c r="AL67" s="16" t="s">
        <v>74</v>
      </c>
      <c r="AM67" s="16" t="s">
        <v>74</v>
      </c>
      <c r="AN67" s="14" t="s">
        <v>74</v>
      </c>
      <c r="AO67" s="14" t="s">
        <v>74</v>
      </c>
    </row>
    <row r="68" spans="1:41" ht="58" x14ac:dyDescent="0.35">
      <c r="A68" s="14" t="s">
        <v>113</v>
      </c>
      <c r="B68" s="14" t="s">
        <v>62</v>
      </c>
      <c r="C68" s="15">
        <v>44886.494444444441</v>
      </c>
      <c r="D68" s="14" t="s">
        <v>63</v>
      </c>
      <c r="E68" s="16" t="s">
        <v>64</v>
      </c>
      <c r="F68" s="14" t="s">
        <v>65</v>
      </c>
      <c r="G68" s="16" t="s">
        <v>66</v>
      </c>
      <c r="H68" s="14" t="s">
        <v>255</v>
      </c>
      <c r="I68" s="16" t="s">
        <v>256</v>
      </c>
      <c r="J68" s="16" t="s">
        <v>257</v>
      </c>
      <c r="K68" s="16" t="s">
        <v>258</v>
      </c>
      <c r="L68" s="14" t="s">
        <v>259</v>
      </c>
      <c r="M68" s="16" t="s">
        <v>260</v>
      </c>
      <c r="N68" s="14" t="s">
        <v>73</v>
      </c>
      <c r="O68" s="16" t="s">
        <v>74</v>
      </c>
      <c r="P68" s="16" t="s">
        <v>74</v>
      </c>
      <c r="Q68" s="16" t="s">
        <v>114</v>
      </c>
      <c r="R68" s="14" t="s">
        <v>115</v>
      </c>
      <c r="S68" s="14" t="s">
        <v>78</v>
      </c>
      <c r="T68" s="14" t="s">
        <v>117</v>
      </c>
      <c r="U68" s="15">
        <v>43831</v>
      </c>
      <c r="V68" s="15"/>
      <c r="W68" s="16"/>
      <c r="X68" s="16" t="s">
        <v>74</v>
      </c>
      <c r="Y68" s="14" t="s">
        <v>74</v>
      </c>
      <c r="Z68" s="16" t="s">
        <v>74</v>
      </c>
      <c r="AA68" s="16" t="s">
        <v>74</v>
      </c>
      <c r="AB68" s="16" t="s">
        <v>74</v>
      </c>
      <c r="AC68" s="14" t="s">
        <v>74</v>
      </c>
      <c r="AD68" s="16" t="s">
        <v>74</v>
      </c>
      <c r="AE68" s="16" t="s">
        <v>74</v>
      </c>
      <c r="AF68" s="16" t="s">
        <v>74</v>
      </c>
      <c r="AG68" s="14" t="s">
        <v>74</v>
      </c>
      <c r="AH68" s="16" t="s">
        <v>74</v>
      </c>
      <c r="AI68" s="16" t="s">
        <v>74</v>
      </c>
      <c r="AJ68" s="16" t="s">
        <v>74</v>
      </c>
      <c r="AK68" s="14" t="s">
        <v>74</v>
      </c>
      <c r="AL68" s="16" t="s">
        <v>74</v>
      </c>
      <c r="AM68" s="16" t="s">
        <v>74</v>
      </c>
      <c r="AN68" s="14" t="s">
        <v>74</v>
      </c>
      <c r="AO68" s="14" t="s">
        <v>74</v>
      </c>
    </row>
    <row r="69" spans="1:41" ht="58" x14ac:dyDescent="0.35">
      <c r="A69" s="14" t="s">
        <v>113</v>
      </c>
      <c r="B69" s="14" t="s">
        <v>62</v>
      </c>
      <c r="C69" s="15">
        <v>44886.494444444441</v>
      </c>
      <c r="D69" s="14" t="s">
        <v>63</v>
      </c>
      <c r="E69" s="16" t="s">
        <v>64</v>
      </c>
      <c r="F69" s="14" t="s">
        <v>65</v>
      </c>
      <c r="G69" s="16" t="s">
        <v>66</v>
      </c>
      <c r="H69" s="14" t="s">
        <v>255</v>
      </c>
      <c r="I69" s="16" t="s">
        <v>256</v>
      </c>
      <c r="J69" s="16" t="s">
        <v>257</v>
      </c>
      <c r="K69" s="16" t="s">
        <v>258</v>
      </c>
      <c r="L69" s="14" t="s">
        <v>266</v>
      </c>
      <c r="M69" s="16" t="s">
        <v>267</v>
      </c>
      <c r="N69" s="14" t="s">
        <v>111</v>
      </c>
      <c r="O69" s="16" t="s">
        <v>74</v>
      </c>
      <c r="P69" s="16" t="s">
        <v>74</v>
      </c>
      <c r="Q69" s="16" t="s">
        <v>114</v>
      </c>
      <c r="R69" s="14" t="s">
        <v>115</v>
      </c>
      <c r="S69" s="14" t="s">
        <v>78</v>
      </c>
      <c r="T69" s="14" t="s">
        <v>117</v>
      </c>
      <c r="U69" s="15">
        <v>43831</v>
      </c>
      <c r="V69" s="15"/>
      <c r="W69" s="16"/>
      <c r="X69" s="16" t="s">
        <v>74</v>
      </c>
      <c r="Y69" s="14" t="s">
        <v>74</v>
      </c>
      <c r="Z69" s="16" t="s">
        <v>74</v>
      </c>
      <c r="AA69" s="16" t="s">
        <v>74</v>
      </c>
      <c r="AB69" s="16" t="s">
        <v>74</v>
      </c>
      <c r="AC69" s="14" t="s">
        <v>74</v>
      </c>
      <c r="AD69" s="16" t="s">
        <v>74</v>
      </c>
      <c r="AE69" s="16" t="s">
        <v>74</v>
      </c>
      <c r="AF69" s="16" t="s">
        <v>74</v>
      </c>
      <c r="AG69" s="14" t="s">
        <v>74</v>
      </c>
      <c r="AH69" s="16" t="s">
        <v>74</v>
      </c>
      <c r="AI69" s="16" t="s">
        <v>74</v>
      </c>
      <c r="AJ69" s="16" t="s">
        <v>74</v>
      </c>
      <c r="AK69" s="14" t="s">
        <v>74</v>
      </c>
      <c r="AL69" s="16" t="s">
        <v>74</v>
      </c>
      <c r="AM69" s="16" t="s">
        <v>74</v>
      </c>
      <c r="AN69" s="14" t="s">
        <v>74</v>
      </c>
      <c r="AO69" s="14" t="s">
        <v>74</v>
      </c>
    </row>
    <row r="70" spans="1:41" ht="58" x14ac:dyDescent="0.35">
      <c r="A70" s="14" t="s">
        <v>113</v>
      </c>
      <c r="B70" s="14" t="s">
        <v>116</v>
      </c>
      <c r="C70" s="15">
        <v>44854.579861111109</v>
      </c>
      <c r="D70" s="14" t="s">
        <v>63</v>
      </c>
      <c r="E70" s="16" t="s">
        <v>64</v>
      </c>
      <c r="F70" s="14" t="s">
        <v>65</v>
      </c>
      <c r="G70" s="16" t="s">
        <v>66</v>
      </c>
      <c r="H70" s="14" t="s">
        <v>255</v>
      </c>
      <c r="I70" s="16" t="s">
        <v>256</v>
      </c>
      <c r="J70" s="16" t="s">
        <v>257</v>
      </c>
      <c r="K70" s="16" t="s">
        <v>258</v>
      </c>
      <c r="L70" s="14" t="s">
        <v>259</v>
      </c>
      <c r="M70" s="16" t="s">
        <v>260</v>
      </c>
      <c r="N70" s="14" t="s">
        <v>73</v>
      </c>
      <c r="O70" s="16" t="s">
        <v>74</v>
      </c>
      <c r="P70" s="16" t="s">
        <v>74</v>
      </c>
      <c r="Q70" s="16" t="s">
        <v>118</v>
      </c>
      <c r="R70" s="14" t="s">
        <v>119</v>
      </c>
      <c r="S70" s="14" t="s">
        <v>78</v>
      </c>
      <c r="T70" s="14" t="s">
        <v>79</v>
      </c>
      <c r="U70" s="15">
        <v>40550</v>
      </c>
      <c r="V70" s="15"/>
      <c r="W70" s="16"/>
      <c r="X70" s="16" t="s">
        <v>74</v>
      </c>
      <c r="Y70" s="14" t="s">
        <v>74</v>
      </c>
      <c r="Z70" s="16" t="s">
        <v>74</v>
      </c>
      <c r="AA70" s="16" t="s">
        <v>74</v>
      </c>
      <c r="AB70" s="16" t="s">
        <v>74</v>
      </c>
      <c r="AC70" s="14" t="s">
        <v>74</v>
      </c>
      <c r="AD70" s="16" t="s">
        <v>74</v>
      </c>
      <c r="AE70" s="16" t="s">
        <v>74</v>
      </c>
      <c r="AF70" s="16" t="s">
        <v>74</v>
      </c>
      <c r="AG70" s="14" t="s">
        <v>74</v>
      </c>
      <c r="AH70" s="16" t="s">
        <v>74</v>
      </c>
      <c r="AI70" s="16" t="s">
        <v>74</v>
      </c>
      <c r="AJ70" s="16" t="s">
        <v>74</v>
      </c>
      <c r="AK70" s="14" t="s">
        <v>74</v>
      </c>
      <c r="AL70" s="16" t="s">
        <v>74</v>
      </c>
      <c r="AM70" s="16" t="s">
        <v>74</v>
      </c>
      <c r="AN70" s="14" t="s">
        <v>74</v>
      </c>
      <c r="AO70" s="14" t="s">
        <v>74</v>
      </c>
    </row>
    <row r="71" spans="1:41" ht="58" x14ac:dyDescent="0.35">
      <c r="A71" s="14" t="s">
        <v>113</v>
      </c>
      <c r="B71" s="14" t="s">
        <v>62</v>
      </c>
      <c r="C71" s="15">
        <v>44852.486111111109</v>
      </c>
      <c r="D71" s="14" t="s">
        <v>63</v>
      </c>
      <c r="E71" s="16" t="s">
        <v>64</v>
      </c>
      <c r="F71" s="14" t="s">
        <v>65</v>
      </c>
      <c r="G71" s="16" t="s">
        <v>66</v>
      </c>
      <c r="H71" s="14" t="s">
        <v>255</v>
      </c>
      <c r="I71" s="16" t="s">
        <v>256</v>
      </c>
      <c r="J71" s="16" t="s">
        <v>257</v>
      </c>
      <c r="K71" s="16" t="s">
        <v>258</v>
      </c>
      <c r="L71" s="14" t="s">
        <v>266</v>
      </c>
      <c r="M71" s="16" t="s">
        <v>267</v>
      </c>
      <c r="N71" s="14" t="s">
        <v>111</v>
      </c>
      <c r="O71" s="16" t="s">
        <v>74</v>
      </c>
      <c r="P71" s="16" t="s">
        <v>74</v>
      </c>
      <c r="Q71" s="16" t="s">
        <v>118</v>
      </c>
      <c r="R71" s="14" t="s">
        <v>119</v>
      </c>
      <c r="S71" s="14" t="s">
        <v>78</v>
      </c>
      <c r="T71" s="14" t="s">
        <v>79</v>
      </c>
      <c r="U71" s="15">
        <v>40550</v>
      </c>
      <c r="V71" s="15"/>
      <c r="W71" s="16"/>
      <c r="X71" s="16" t="s">
        <v>74</v>
      </c>
      <c r="Y71" s="14" t="s">
        <v>74</v>
      </c>
      <c r="Z71" s="16" t="s">
        <v>74</v>
      </c>
      <c r="AA71" s="16" t="s">
        <v>74</v>
      </c>
      <c r="AB71" s="16" t="s">
        <v>74</v>
      </c>
      <c r="AC71" s="14" t="s">
        <v>74</v>
      </c>
      <c r="AD71" s="16" t="s">
        <v>74</v>
      </c>
      <c r="AE71" s="16" t="s">
        <v>74</v>
      </c>
      <c r="AF71" s="16" t="s">
        <v>74</v>
      </c>
      <c r="AG71" s="14" t="s">
        <v>74</v>
      </c>
      <c r="AH71" s="16" t="s">
        <v>74</v>
      </c>
      <c r="AI71" s="16" t="s">
        <v>74</v>
      </c>
      <c r="AJ71" s="16" t="s">
        <v>74</v>
      </c>
      <c r="AK71" s="14" t="s">
        <v>74</v>
      </c>
      <c r="AL71" s="16" t="s">
        <v>74</v>
      </c>
      <c r="AM71" s="16" t="s">
        <v>74</v>
      </c>
      <c r="AN71" s="14" t="s">
        <v>74</v>
      </c>
      <c r="AO71" s="14" t="s">
        <v>74</v>
      </c>
    </row>
    <row r="72" spans="1:41" ht="58" x14ac:dyDescent="0.35">
      <c r="A72" s="14" t="s">
        <v>113</v>
      </c>
      <c r="B72" s="14" t="s">
        <v>62</v>
      </c>
      <c r="C72" s="15">
        <v>44852.482638888891</v>
      </c>
      <c r="D72" s="14" t="s">
        <v>63</v>
      </c>
      <c r="E72" s="16" t="s">
        <v>64</v>
      </c>
      <c r="F72" s="14" t="s">
        <v>65</v>
      </c>
      <c r="G72" s="16" t="s">
        <v>66</v>
      </c>
      <c r="H72" s="14" t="s">
        <v>255</v>
      </c>
      <c r="I72" s="16" t="s">
        <v>256</v>
      </c>
      <c r="J72" s="16" t="s">
        <v>257</v>
      </c>
      <c r="K72" s="16" t="s">
        <v>258</v>
      </c>
      <c r="L72" s="14" t="s">
        <v>259</v>
      </c>
      <c r="M72" s="16" t="s">
        <v>260</v>
      </c>
      <c r="N72" s="14" t="s">
        <v>73</v>
      </c>
      <c r="O72" s="16" t="s">
        <v>74</v>
      </c>
      <c r="P72" s="16" t="s">
        <v>74</v>
      </c>
      <c r="Q72" s="16" t="s">
        <v>137</v>
      </c>
      <c r="R72" s="14" t="s">
        <v>138</v>
      </c>
      <c r="S72" s="14" t="s">
        <v>78</v>
      </c>
      <c r="T72" s="14" t="s">
        <v>117</v>
      </c>
      <c r="U72" s="15">
        <v>40550</v>
      </c>
      <c r="V72" s="15"/>
      <c r="W72" s="16"/>
      <c r="X72" s="16" t="s">
        <v>74</v>
      </c>
      <c r="Y72" s="14" t="s">
        <v>74</v>
      </c>
      <c r="Z72" s="16" t="s">
        <v>74</v>
      </c>
      <c r="AA72" s="16" t="s">
        <v>74</v>
      </c>
      <c r="AB72" s="16" t="s">
        <v>74</v>
      </c>
      <c r="AC72" s="14" t="s">
        <v>74</v>
      </c>
      <c r="AD72" s="16" t="s">
        <v>74</v>
      </c>
      <c r="AE72" s="16" t="s">
        <v>74</v>
      </c>
      <c r="AF72" s="16" t="s">
        <v>74</v>
      </c>
      <c r="AG72" s="14" t="s">
        <v>74</v>
      </c>
      <c r="AH72" s="16" t="s">
        <v>74</v>
      </c>
      <c r="AI72" s="16" t="s">
        <v>74</v>
      </c>
      <c r="AJ72" s="16" t="s">
        <v>74</v>
      </c>
      <c r="AK72" s="14" t="s">
        <v>74</v>
      </c>
      <c r="AL72" s="16" t="s">
        <v>74</v>
      </c>
      <c r="AM72" s="16" t="s">
        <v>74</v>
      </c>
      <c r="AN72" s="14" t="s">
        <v>74</v>
      </c>
      <c r="AO72" s="14" t="s">
        <v>74</v>
      </c>
    </row>
    <row r="73" spans="1:41" ht="58" x14ac:dyDescent="0.35">
      <c r="A73" s="14" t="s">
        <v>113</v>
      </c>
      <c r="B73" s="14" t="s">
        <v>62</v>
      </c>
      <c r="C73" s="15">
        <v>44852.486111111109</v>
      </c>
      <c r="D73" s="14" t="s">
        <v>63</v>
      </c>
      <c r="E73" s="16" t="s">
        <v>64</v>
      </c>
      <c r="F73" s="14" t="s">
        <v>65</v>
      </c>
      <c r="G73" s="16" t="s">
        <v>66</v>
      </c>
      <c r="H73" s="14" t="s">
        <v>255</v>
      </c>
      <c r="I73" s="16" t="s">
        <v>256</v>
      </c>
      <c r="J73" s="16" t="s">
        <v>257</v>
      </c>
      <c r="K73" s="16" t="s">
        <v>258</v>
      </c>
      <c r="L73" s="14" t="s">
        <v>266</v>
      </c>
      <c r="M73" s="16" t="s">
        <v>267</v>
      </c>
      <c r="N73" s="14" t="s">
        <v>111</v>
      </c>
      <c r="O73" s="16" t="s">
        <v>74</v>
      </c>
      <c r="P73" s="16" t="s">
        <v>74</v>
      </c>
      <c r="Q73" s="16" t="s">
        <v>137</v>
      </c>
      <c r="R73" s="14" t="s">
        <v>138</v>
      </c>
      <c r="S73" s="14" t="s">
        <v>78</v>
      </c>
      <c r="T73" s="14" t="s">
        <v>117</v>
      </c>
      <c r="U73" s="15">
        <v>40550</v>
      </c>
      <c r="V73" s="15"/>
      <c r="W73" s="16"/>
      <c r="X73" s="16" t="s">
        <v>74</v>
      </c>
      <c r="Y73" s="14" t="s">
        <v>74</v>
      </c>
      <c r="Z73" s="16" t="s">
        <v>74</v>
      </c>
      <c r="AA73" s="16" t="s">
        <v>74</v>
      </c>
      <c r="AB73" s="16" t="s">
        <v>74</v>
      </c>
      <c r="AC73" s="14" t="s">
        <v>74</v>
      </c>
      <c r="AD73" s="16" t="s">
        <v>74</v>
      </c>
      <c r="AE73" s="16" t="s">
        <v>74</v>
      </c>
      <c r="AF73" s="16" t="s">
        <v>74</v>
      </c>
      <c r="AG73" s="14" t="s">
        <v>74</v>
      </c>
      <c r="AH73" s="16" t="s">
        <v>74</v>
      </c>
      <c r="AI73" s="16" t="s">
        <v>74</v>
      </c>
      <c r="AJ73" s="16" t="s">
        <v>74</v>
      </c>
      <c r="AK73" s="14" t="s">
        <v>74</v>
      </c>
      <c r="AL73" s="16" t="s">
        <v>74</v>
      </c>
      <c r="AM73" s="16" t="s">
        <v>74</v>
      </c>
      <c r="AN73" s="14" t="s">
        <v>74</v>
      </c>
      <c r="AO73" s="14" t="s">
        <v>74</v>
      </c>
    </row>
    <row r="74" spans="1:41" ht="58" x14ac:dyDescent="0.35">
      <c r="A74" s="14" t="s">
        <v>113</v>
      </c>
      <c r="B74" s="14" t="s">
        <v>116</v>
      </c>
      <c r="C74" s="15">
        <v>44854.579861111109</v>
      </c>
      <c r="D74" s="14" t="s">
        <v>63</v>
      </c>
      <c r="E74" s="16" t="s">
        <v>64</v>
      </c>
      <c r="F74" s="14" t="s">
        <v>65</v>
      </c>
      <c r="G74" s="16" t="s">
        <v>66</v>
      </c>
      <c r="H74" s="14" t="s">
        <v>255</v>
      </c>
      <c r="I74" s="16" t="s">
        <v>256</v>
      </c>
      <c r="J74" s="16" t="s">
        <v>257</v>
      </c>
      <c r="K74" s="16" t="s">
        <v>258</v>
      </c>
      <c r="L74" s="14" t="s">
        <v>259</v>
      </c>
      <c r="M74" s="16" t="s">
        <v>260</v>
      </c>
      <c r="N74" s="14" t="s">
        <v>73</v>
      </c>
      <c r="O74" s="16" t="s">
        <v>74</v>
      </c>
      <c r="P74" s="16" t="s">
        <v>74</v>
      </c>
      <c r="Q74" s="16" t="s">
        <v>140</v>
      </c>
      <c r="R74" s="14" t="s">
        <v>141</v>
      </c>
      <c r="S74" s="14" t="s">
        <v>78</v>
      </c>
      <c r="T74" s="14" t="s">
        <v>79</v>
      </c>
      <c r="U74" s="15">
        <v>40550</v>
      </c>
      <c r="V74" s="15"/>
      <c r="W74" s="16"/>
      <c r="X74" s="16" t="s">
        <v>74</v>
      </c>
      <c r="Y74" s="14" t="s">
        <v>74</v>
      </c>
      <c r="Z74" s="16" t="s">
        <v>74</v>
      </c>
      <c r="AA74" s="16" t="s">
        <v>74</v>
      </c>
      <c r="AB74" s="16" t="s">
        <v>74</v>
      </c>
      <c r="AC74" s="14" t="s">
        <v>74</v>
      </c>
      <c r="AD74" s="16" t="s">
        <v>74</v>
      </c>
      <c r="AE74" s="16" t="s">
        <v>74</v>
      </c>
      <c r="AF74" s="16" t="s">
        <v>74</v>
      </c>
      <c r="AG74" s="14" t="s">
        <v>74</v>
      </c>
      <c r="AH74" s="16" t="s">
        <v>74</v>
      </c>
      <c r="AI74" s="16" t="s">
        <v>74</v>
      </c>
      <c r="AJ74" s="16" t="s">
        <v>74</v>
      </c>
      <c r="AK74" s="14" t="s">
        <v>74</v>
      </c>
      <c r="AL74" s="16" t="s">
        <v>74</v>
      </c>
      <c r="AM74" s="16" t="s">
        <v>74</v>
      </c>
      <c r="AN74" s="14" t="s">
        <v>74</v>
      </c>
      <c r="AO74" s="14" t="s">
        <v>74</v>
      </c>
    </row>
    <row r="75" spans="1:41" ht="58" x14ac:dyDescent="0.35">
      <c r="A75" s="14" t="s">
        <v>113</v>
      </c>
      <c r="B75" s="14" t="s">
        <v>62</v>
      </c>
      <c r="C75" s="15">
        <v>44852.486111111109</v>
      </c>
      <c r="D75" s="14" t="s">
        <v>63</v>
      </c>
      <c r="E75" s="16" t="s">
        <v>64</v>
      </c>
      <c r="F75" s="14" t="s">
        <v>65</v>
      </c>
      <c r="G75" s="16" t="s">
        <v>66</v>
      </c>
      <c r="H75" s="14" t="s">
        <v>255</v>
      </c>
      <c r="I75" s="16" t="s">
        <v>256</v>
      </c>
      <c r="J75" s="16" t="s">
        <v>257</v>
      </c>
      <c r="K75" s="16" t="s">
        <v>258</v>
      </c>
      <c r="L75" s="14" t="s">
        <v>266</v>
      </c>
      <c r="M75" s="16" t="s">
        <v>267</v>
      </c>
      <c r="N75" s="14" t="s">
        <v>111</v>
      </c>
      <c r="O75" s="16" t="s">
        <v>74</v>
      </c>
      <c r="P75" s="16" t="s">
        <v>74</v>
      </c>
      <c r="Q75" s="16" t="s">
        <v>140</v>
      </c>
      <c r="R75" s="14" t="s">
        <v>141</v>
      </c>
      <c r="S75" s="14" t="s">
        <v>78</v>
      </c>
      <c r="T75" s="14" t="s">
        <v>79</v>
      </c>
      <c r="U75" s="15">
        <v>40550</v>
      </c>
      <c r="V75" s="15"/>
      <c r="W75" s="16"/>
      <c r="X75" s="16" t="s">
        <v>74</v>
      </c>
      <c r="Y75" s="14" t="s">
        <v>74</v>
      </c>
      <c r="Z75" s="16" t="s">
        <v>74</v>
      </c>
      <c r="AA75" s="16" t="s">
        <v>74</v>
      </c>
      <c r="AB75" s="16" t="s">
        <v>74</v>
      </c>
      <c r="AC75" s="14" t="s">
        <v>74</v>
      </c>
      <c r="AD75" s="16" t="s">
        <v>74</v>
      </c>
      <c r="AE75" s="16" t="s">
        <v>74</v>
      </c>
      <c r="AF75" s="16" t="s">
        <v>74</v>
      </c>
      <c r="AG75" s="14" t="s">
        <v>74</v>
      </c>
      <c r="AH75" s="16" t="s">
        <v>74</v>
      </c>
      <c r="AI75" s="16" t="s">
        <v>74</v>
      </c>
      <c r="AJ75" s="16" t="s">
        <v>74</v>
      </c>
      <c r="AK75" s="14" t="s">
        <v>74</v>
      </c>
      <c r="AL75" s="16" t="s">
        <v>74</v>
      </c>
      <c r="AM75" s="16" t="s">
        <v>74</v>
      </c>
      <c r="AN75" s="14" t="s">
        <v>74</v>
      </c>
      <c r="AO75" s="14" t="s">
        <v>74</v>
      </c>
    </row>
    <row r="76" spans="1:41" ht="58" x14ac:dyDescent="0.35">
      <c r="A76" s="14" t="s">
        <v>113</v>
      </c>
      <c r="B76" s="14" t="s">
        <v>62</v>
      </c>
      <c r="C76" s="15">
        <v>44852.482638888891</v>
      </c>
      <c r="D76" s="14" t="s">
        <v>63</v>
      </c>
      <c r="E76" s="16" t="s">
        <v>64</v>
      </c>
      <c r="F76" s="14" t="s">
        <v>65</v>
      </c>
      <c r="G76" s="16" t="s">
        <v>66</v>
      </c>
      <c r="H76" s="14" t="s">
        <v>255</v>
      </c>
      <c r="I76" s="16" t="s">
        <v>256</v>
      </c>
      <c r="J76" s="16" t="s">
        <v>257</v>
      </c>
      <c r="K76" s="16" t="s">
        <v>258</v>
      </c>
      <c r="L76" s="14" t="s">
        <v>259</v>
      </c>
      <c r="M76" s="16" t="s">
        <v>260</v>
      </c>
      <c r="N76" s="14" t="s">
        <v>73</v>
      </c>
      <c r="O76" s="16" t="s">
        <v>74</v>
      </c>
      <c r="P76" s="16" t="s">
        <v>74</v>
      </c>
      <c r="Q76" s="16" t="s">
        <v>143</v>
      </c>
      <c r="R76" s="14" t="s">
        <v>144</v>
      </c>
      <c r="S76" s="14" t="s">
        <v>145</v>
      </c>
      <c r="T76" s="14" t="s">
        <v>79</v>
      </c>
      <c r="U76" s="15">
        <v>40550</v>
      </c>
      <c r="V76" s="15"/>
      <c r="W76" s="16"/>
      <c r="X76" s="16" t="s">
        <v>74</v>
      </c>
      <c r="Y76" s="14" t="s">
        <v>74</v>
      </c>
      <c r="Z76" s="16" t="s">
        <v>74</v>
      </c>
      <c r="AA76" s="16" t="s">
        <v>74</v>
      </c>
      <c r="AB76" s="16" t="s">
        <v>74</v>
      </c>
      <c r="AC76" s="14" t="s">
        <v>74</v>
      </c>
      <c r="AD76" s="16" t="s">
        <v>74</v>
      </c>
      <c r="AE76" s="16" t="s">
        <v>74</v>
      </c>
      <c r="AF76" s="16" t="s">
        <v>74</v>
      </c>
      <c r="AG76" s="14" t="s">
        <v>74</v>
      </c>
      <c r="AH76" s="16" t="s">
        <v>74</v>
      </c>
      <c r="AI76" s="16" t="s">
        <v>74</v>
      </c>
      <c r="AJ76" s="16" t="s">
        <v>74</v>
      </c>
      <c r="AK76" s="14" t="s">
        <v>74</v>
      </c>
      <c r="AL76" s="16" t="s">
        <v>74</v>
      </c>
      <c r="AM76" s="16" t="s">
        <v>74</v>
      </c>
      <c r="AN76" s="14" t="s">
        <v>74</v>
      </c>
      <c r="AO76" s="14" t="s">
        <v>74</v>
      </c>
    </row>
    <row r="77" spans="1:41" ht="58" x14ac:dyDescent="0.35">
      <c r="A77" s="14" t="s">
        <v>113</v>
      </c>
      <c r="B77" s="14" t="s">
        <v>62</v>
      </c>
      <c r="C77" s="15">
        <v>44852.486111111109</v>
      </c>
      <c r="D77" s="14" t="s">
        <v>63</v>
      </c>
      <c r="E77" s="16" t="s">
        <v>64</v>
      </c>
      <c r="F77" s="14" t="s">
        <v>65</v>
      </c>
      <c r="G77" s="16" t="s">
        <v>66</v>
      </c>
      <c r="H77" s="14" t="s">
        <v>255</v>
      </c>
      <c r="I77" s="16" t="s">
        <v>256</v>
      </c>
      <c r="J77" s="16" t="s">
        <v>257</v>
      </c>
      <c r="K77" s="16" t="s">
        <v>258</v>
      </c>
      <c r="L77" s="14" t="s">
        <v>266</v>
      </c>
      <c r="M77" s="16" t="s">
        <v>267</v>
      </c>
      <c r="N77" s="14" t="s">
        <v>111</v>
      </c>
      <c r="O77" s="16" t="s">
        <v>74</v>
      </c>
      <c r="P77" s="16" t="s">
        <v>74</v>
      </c>
      <c r="Q77" s="16" t="s">
        <v>143</v>
      </c>
      <c r="R77" s="14" t="s">
        <v>144</v>
      </c>
      <c r="S77" s="14" t="s">
        <v>145</v>
      </c>
      <c r="T77" s="14" t="s">
        <v>79</v>
      </c>
      <c r="U77" s="15">
        <v>40550</v>
      </c>
      <c r="V77" s="15"/>
      <c r="W77" s="16"/>
      <c r="X77" s="16" t="s">
        <v>74</v>
      </c>
      <c r="Y77" s="14" t="s">
        <v>74</v>
      </c>
      <c r="Z77" s="16" t="s">
        <v>74</v>
      </c>
      <c r="AA77" s="16" t="s">
        <v>74</v>
      </c>
      <c r="AB77" s="16" t="s">
        <v>74</v>
      </c>
      <c r="AC77" s="14" t="s">
        <v>74</v>
      </c>
      <c r="AD77" s="16" t="s">
        <v>74</v>
      </c>
      <c r="AE77" s="16" t="s">
        <v>74</v>
      </c>
      <c r="AF77" s="16" t="s">
        <v>74</v>
      </c>
      <c r="AG77" s="14" t="s">
        <v>74</v>
      </c>
      <c r="AH77" s="16" t="s">
        <v>74</v>
      </c>
      <c r="AI77" s="16" t="s">
        <v>74</v>
      </c>
      <c r="AJ77" s="16" t="s">
        <v>74</v>
      </c>
      <c r="AK77" s="14" t="s">
        <v>74</v>
      </c>
      <c r="AL77" s="16" t="s">
        <v>74</v>
      </c>
      <c r="AM77" s="16" t="s">
        <v>74</v>
      </c>
      <c r="AN77" s="14" t="s">
        <v>74</v>
      </c>
      <c r="AO77" s="14" t="s">
        <v>74</v>
      </c>
    </row>
    <row r="78" spans="1:41" ht="58" x14ac:dyDescent="0.35">
      <c r="A78" s="14" t="s">
        <v>113</v>
      </c>
      <c r="B78" s="14" t="s">
        <v>62</v>
      </c>
      <c r="C78" s="15">
        <v>44852.482638888891</v>
      </c>
      <c r="D78" s="14" t="s">
        <v>63</v>
      </c>
      <c r="E78" s="16" t="s">
        <v>64</v>
      </c>
      <c r="F78" s="14" t="s">
        <v>65</v>
      </c>
      <c r="G78" s="16" t="s">
        <v>66</v>
      </c>
      <c r="H78" s="14" t="s">
        <v>255</v>
      </c>
      <c r="I78" s="16" t="s">
        <v>256</v>
      </c>
      <c r="J78" s="16" t="s">
        <v>257</v>
      </c>
      <c r="K78" s="16" t="s">
        <v>258</v>
      </c>
      <c r="L78" s="14" t="s">
        <v>259</v>
      </c>
      <c r="M78" s="16" t="s">
        <v>260</v>
      </c>
      <c r="N78" s="14" t="s">
        <v>73</v>
      </c>
      <c r="O78" s="16" t="s">
        <v>74</v>
      </c>
      <c r="P78" s="16" t="s">
        <v>74</v>
      </c>
      <c r="Q78" s="16" t="s">
        <v>153</v>
      </c>
      <c r="R78" s="14" t="s">
        <v>154</v>
      </c>
      <c r="S78" s="14" t="s">
        <v>145</v>
      </c>
      <c r="T78" s="14" t="s">
        <v>79</v>
      </c>
      <c r="U78" s="15">
        <v>40550</v>
      </c>
      <c r="V78" s="15"/>
      <c r="W78" s="16"/>
      <c r="X78" s="16" t="s">
        <v>74</v>
      </c>
      <c r="Y78" s="14" t="s">
        <v>74</v>
      </c>
      <c r="Z78" s="16" t="s">
        <v>74</v>
      </c>
      <c r="AA78" s="16" t="s">
        <v>74</v>
      </c>
      <c r="AB78" s="16" t="s">
        <v>74</v>
      </c>
      <c r="AC78" s="14" t="s">
        <v>74</v>
      </c>
      <c r="AD78" s="16" t="s">
        <v>74</v>
      </c>
      <c r="AE78" s="16" t="s">
        <v>74</v>
      </c>
      <c r="AF78" s="16" t="s">
        <v>74</v>
      </c>
      <c r="AG78" s="14" t="s">
        <v>74</v>
      </c>
      <c r="AH78" s="16" t="s">
        <v>74</v>
      </c>
      <c r="AI78" s="16" t="s">
        <v>74</v>
      </c>
      <c r="AJ78" s="16" t="s">
        <v>74</v>
      </c>
      <c r="AK78" s="14" t="s">
        <v>74</v>
      </c>
      <c r="AL78" s="16" t="s">
        <v>74</v>
      </c>
      <c r="AM78" s="16" t="s">
        <v>74</v>
      </c>
      <c r="AN78" s="14" t="s">
        <v>74</v>
      </c>
      <c r="AO78" s="14" t="s">
        <v>74</v>
      </c>
    </row>
    <row r="79" spans="1:41" ht="58" x14ac:dyDescent="0.35">
      <c r="A79" s="14" t="s">
        <v>113</v>
      </c>
      <c r="B79" s="14" t="s">
        <v>62</v>
      </c>
      <c r="C79" s="15">
        <v>44852.486111111109</v>
      </c>
      <c r="D79" s="14" t="s">
        <v>63</v>
      </c>
      <c r="E79" s="16" t="s">
        <v>64</v>
      </c>
      <c r="F79" s="14" t="s">
        <v>65</v>
      </c>
      <c r="G79" s="16" t="s">
        <v>66</v>
      </c>
      <c r="H79" s="14" t="s">
        <v>255</v>
      </c>
      <c r="I79" s="16" t="s">
        <v>256</v>
      </c>
      <c r="J79" s="16" t="s">
        <v>257</v>
      </c>
      <c r="K79" s="16" t="s">
        <v>258</v>
      </c>
      <c r="L79" s="14" t="s">
        <v>266</v>
      </c>
      <c r="M79" s="16" t="s">
        <v>267</v>
      </c>
      <c r="N79" s="14" t="s">
        <v>111</v>
      </c>
      <c r="O79" s="16" t="s">
        <v>74</v>
      </c>
      <c r="P79" s="16" t="s">
        <v>74</v>
      </c>
      <c r="Q79" s="16" t="s">
        <v>153</v>
      </c>
      <c r="R79" s="14" t="s">
        <v>154</v>
      </c>
      <c r="S79" s="14" t="s">
        <v>145</v>
      </c>
      <c r="T79" s="14" t="s">
        <v>79</v>
      </c>
      <c r="U79" s="15">
        <v>40550</v>
      </c>
      <c r="V79" s="15"/>
      <c r="W79" s="16"/>
      <c r="X79" s="16" t="s">
        <v>74</v>
      </c>
      <c r="Y79" s="14" t="s">
        <v>74</v>
      </c>
      <c r="Z79" s="16" t="s">
        <v>74</v>
      </c>
      <c r="AA79" s="16" t="s">
        <v>74</v>
      </c>
      <c r="AB79" s="16" t="s">
        <v>74</v>
      </c>
      <c r="AC79" s="14" t="s">
        <v>74</v>
      </c>
      <c r="AD79" s="16" t="s">
        <v>74</v>
      </c>
      <c r="AE79" s="16" t="s">
        <v>74</v>
      </c>
      <c r="AF79" s="16" t="s">
        <v>74</v>
      </c>
      <c r="AG79" s="14" t="s">
        <v>74</v>
      </c>
      <c r="AH79" s="16" t="s">
        <v>74</v>
      </c>
      <c r="AI79" s="16" t="s">
        <v>74</v>
      </c>
      <c r="AJ79" s="16" t="s">
        <v>74</v>
      </c>
      <c r="AK79" s="14" t="s">
        <v>74</v>
      </c>
      <c r="AL79" s="16" t="s">
        <v>74</v>
      </c>
      <c r="AM79" s="16" t="s">
        <v>74</v>
      </c>
      <c r="AN79" s="14" t="s">
        <v>74</v>
      </c>
      <c r="AO79" s="14" t="s">
        <v>74</v>
      </c>
    </row>
    <row r="80" spans="1:41" ht="58" x14ac:dyDescent="0.35">
      <c r="A80" s="14" t="s">
        <v>113</v>
      </c>
      <c r="B80" s="14" t="s">
        <v>116</v>
      </c>
      <c r="C80" s="15">
        <v>44854.662499999999</v>
      </c>
      <c r="D80" s="14" t="s">
        <v>63</v>
      </c>
      <c r="E80" s="16" t="s">
        <v>64</v>
      </c>
      <c r="F80" s="14" t="s">
        <v>65</v>
      </c>
      <c r="G80" s="16" t="s">
        <v>66</v>
      </c>
      <c r="H80" s="14" t="s">
        <v>255</v>
      </c>
      <c r="I80" s="16" t="s">
        <v>256</v>
      </c>
      <c r="J80" s="16" t="s">
        <v>257</v>
      </c>
      <c r="K80" s="16" t="s">
        <v>258</v>
      </c>
      <c r="L80" s="14" t="s">
        <v>259</v>
      </c>
      <c r="M80" s="16" t="s">
        <v>260</v>
      </c>
      <c r="N80" s="14" t="s">
        <v>73</v>
      </c>
      <c r="O80" s="16" t="s">
        <v>74</v>
      </c>
      <c r="P80" s="16" t="s">
        <v>74</v>
      </c>
      <c r="Q80" s="16" t="s">
        <v>164</v>
      </c>
      <c r="R80" s="14" t="s">
        <v>165</v>
      </c>
      <c r="S80" s="14" t="s">
        <v>145</v>
      </c>
      <c r="T80" s="14" t="s">
        <v>79</v>
      </c>
      <c r="U80" s="15">
        <v>40550</v>
      </c>
      <c r="V80" s="15"/>
      <c r="W80" s="16"/>
      <c r="X80" s="16" t="s">
        <v>74</v>
      </c>
      <c r="Y80" s="14" t="s">
        <v>74</v>
      </c>
      <c r="Z80" s="16" t="s">
        <v>74</v>
      </c>
      <c r="AA80" s="16" t="s">
        <v>74</v>
      </c>
      <c r="AB80" s="16" t="s">
        <v>74</v>
      </c>
      <c r="AC80" s="14" t="s">
        <v>74</v>
      </c>
      <c r="AD80" s="16" t="s">
        <v>74</v>
      </c>
      <c r="AE80" s="16" t="s">
        <v>74</v>
      </c>
      <c r="AF80" s="16" t="s">
        <v>74</v>
      </c>
      <c r="AG80" s="14" t="s">
        <v>74</v>
      </c>
      <c r="AH80" s="16" t="s">
        <v>74</v>
      </c>
      <c r="AI80" s="16" t="s">
        <v>74</v>
      </c>
      <c r="AJ80" s="16" t="s">
        <v>74</v>
      </c>
      <c r="AK80" s="14" t="s">
        <v>74</v>
      </c>
      <c r="AL80" s="16" t="s">
        <v>74</v>
      </c>
      <c r="AM80" s="16" t="s">
        <v>74</v>
      </c>
      <c r="AN80" s="14" t="s">
        <v>74</v>
      </c>
      <c r="AO80" s="14" t="s">
        <v>74</v>
      </c>
    </row>
    <row r="81" spans="1:41" ht="58" x14ac:dyDescent="0.35">
      <c r="A81" s="14" t="s">
        <v>113</v>
      </c>
      <c r="B81" s="14" t="s">
        <v>62</v>
      </c>
      <c r="C81" s="15">
        <v>44852.486111111109</v>
      </c>
      <c r="D81" s="14" t="s">
        <v>63</v>
      </c>
      <c r="E81" s="16" t="s">
        <v>64</v>
      </c>
      <c r="F81" s="14" t="s">
        <v>65</v>
      </c>
      <c r="G81" s="16" t="s">
        <v>66</v>
      </c>
      <c r="H81" s="14" t="s">
        <v>255</v>
      </c>
      <c r="I81" s="16" t="s">
        <v>256</v>
      </c>
      <c r="J81" s="16" t="s">
        <v>257</v>
      </c>
      <c r="K81" s="16" t="s">
        <v>258</v>
      </c>
      <c r="L81" s="14" t="s">
        <v>266</v>
      </c>
      <c r="M81" s="16" t="s">
        <v>267</v>
      </c>
      <c r="N81" s="14" t="s">
        <v>111</v>
      </c>
      <c r="O81" s="16" t="s">
        <v>74</v>
      </c>
      <c r="P81" s="16" t="s">
        <v>74</v>
      </c>
      <c r="Q81" s="16" t="s">
        <v>164</v>
      </c>
      <c r="R81" s="14" t="s">
        <v>165</v>
      </c>
      <c r="S81" s="14" t="s">
        <v>145</v>
      </c>
      <c r="T81" s="14" t="s">
        <v>79</v>
      </c>
      <c r="U81" s="15">
        <v>40550</v>
      </c>
      <c r="V81" s="15"/>
      <c r="W81" s="16"/>
      <c r="X81" s="16" t="s">
        <v>74</v>
      </c>
      <c r="Y81" s="14" t="s">
        <v>74</v>
      </c>
      <c r="Z81" s="16" t="s">
        <v>74</v>
      </c>
      <c r="AA81" s="16" t="s">
        <v>74</v>
      </c>
      <c r="AB81" s="16" t="s">
        <v>74</v>
      </c>
      <c r="AC81" s="14" t="s">
        <v>74</v>
      </c>
      <c r="AD81" s="16" t="s">
        <v>74</v>
      </c>
      <c r="AE81" s="16" t="s">
        <v>74</v>
      </c>
      <c r="AF81" s="16" t="s">
        <v>74</v>
      </c>
      <c r="AG81" s="14" t="s">
        <v>74</v>
      </c>
      <c r="AH81" s="16" t="s">
        <v>74</v>
      </c>
      <c r="AI81" s="16" t="s">
        <v>74</v>
      </c>
      <c r="AJ81" s="16" t="s">
        <v>74</v>
      </c>
      <c r="AK81" s="14" t="s">
        <v>74</v>
      </c>
      <c r="AL81" s="16" t="s">
        <v>74</v>
      </c>
      <c r="AM81" s="16" t="s">
        <v>74</v>
      </c>
      <c r="AN81" s="14" t="s">
        <v>74</v>
      </c>
      <c r="AO81" s="14" t="s">
        <v>74</v>
      </c>
    </row>
    <row r="82" spans="1:41" ht="58" x14ac:dyDescent="0.35">
      <c r="A82" s="14" t="s">
        <v>113</v>
      </c>
      <c r="B82" s="14" t="s">
        <v>62</v>
      </c>
      <c r="C82" s="15">
        <v>44852.482638888891</v>
      </c>
      <c r="D82" s="14" t="s">
        <v>63</v>
      </c>
      <c r="E82" s="16" t="s">
        <v>64</v>
      </c>
      <c r="F82" s="14" t="s">
        <v>65</v>
      </c>
      <c r="G82" s="16" t="s">
        <v>66</v>
      </c>
      <c r="H82" s="14" t="s">
        <v>255</v>
      </c>
      <c r="I82" s="16" t="s">
        <v>256</v>
      </c>
      <c r="J82" s="16" t="s">
        <v>257</v>
      </c>
      <c r="K82" s="16" t="s">
        <v>258</v>
      </c>
      <c r="L82" s="14" t="s">
        <v>259</v>
      </c>
      <c r="M82" s="16" t="s">
        <v>260</v>
      </c>
      <c r="N82" s="14" t="s">
        <v>73</v>
      </c>
      <c r="O82" s="16" t="s">
        <v>74</v>
      </c>
      <c r="P82" s="16" t="s">
        <v>74</v>
      </c>
      <c r="Q82" s="16" t="s">
        <v>166</v>
      </c>
      <c r="R82" s="14" t="s">
        <v>167</v>
      </c>
      <c r="S82" s="14" t="s">
        <v>145</v>
      </c>
      <c r="T82" s="14" t="s">
        <v>117</v>
      </c>
      <c r="U82" s="15">
        <v>40550</v>
      </c>
      <c r="V82" s="15"/>
      <c r="W82" s="16"/>
      <c r="X82" s="16" t="s">
        <v>74</v>
      </c>
      <c r="Y82" s="14" t="s">
        <v>74</v>
      </c>
      <c r="Z82" s="16" t="s">
        <v>74</v>
      </c>
      <c r="AA82" s="16" t="s">
        <v>74</v>
      </c>
      <c r="AB82" s="16" t="s">
        <v>74</v>
      </c>
      <c r="AC82" s="14" t="s">
        <v>74</v>
      </c>
      <c r="AD82" s="16" t="s">
        <v>74</v>
      </c>
      <c r="AE82" s="16" t="s">
        <v>74</v>
      </c>
      <c r="AF82" s="16" t="s">
        <v>74</v>
      </c>
      <c r="AG82" s="14" t="s">
        <v>74</v>
      </c>
      <c r="AH82" s="16" t="s">
        <v>74</v>
      </c>
      <c r="AI82" s="16" t="s">
        <v>74</v>
      </c>
      <c r="AJ82" s="16" t="s">
        <v>74</v>
      </c>
      <c r="AK82" s="14" t="s">
        <v>74</v>
      </c>
      <c r="AL82" s="16" t="s">
        <v>74</v>
      </c>
      <c r="AM82" s="16" t="s">
        <v>74</v>
      </c>
      <c r="AN82" s="14" t="s">
        <v>74</v>
      </c>
      <c r="AO82" s="14" t="s">
        <v>74</v>
      </c>
    </row>
    <row r="83" spans="1:41" ht="58" x14ac:dyDescent="0.35">
      <c r="A83" s="14" t="s">
        <v>113</v>
      </c>
      <c r="B83" s="14" t="s">
        <v>62</v>
      </c>
      <c r="C83" s="15">
        <v>44852.486111111109</v>
      </c>
      <c r="D83" s="14" t="s">
        <v>63</v>
      </c>
      <c r="E83" s="16" t="s">
        <v>64</v>
      </c>
      <c r="F83" s="14" t="s">
        <v>65</v>
      </c>
      <c r="G83" s="16" t="s">
        <v>66</v>
      </c>
      <c r="H83" s="14" t="s">
        <v>255</v>
      </c>
      <c r="I83" s="16" t="s">
        <v>256</v>
      </c>
      <c r="J83" s="16" t="s">
        <v>257</v>
      </c>
      <c r="K83" s="16" t="s">
        <v>258</v>
      </c>
      <c r="L83" s="14" t="s">
        <v>266</v>
      </c>
      <c r="M83" s="16" t="s">
        <v>267</v>
      </c>
      <c r="N83" s="14" t="s">
        <v>111</v>
      </c>
      <c r="O83" s="16" t="s">
        <v>74</v>
      </c>
      <c r="P83" s="16" t="s">
        <v>74</v>
      </c>
      <c r="Q83" s="16" t="s">
        <v>166</v>
      </c>
      <c r="R83" s="14" t="s">
        <v>167</v>
      </c>
      <c r="S83" s="14" t="s">
        <v>145</v>
      </c>
      <c r="T83" s="14" t="s">
        <v>117</v>
      </c>
      <c r="U83" s="15">
        <v>40550</v>
      </c>
      <c r="V83" s="15"/>
      <c r="W83" s="16"/>
      <c r="X83" s="16" t="s">
        <v>74</v>
      </c>
      <c r="Y83" s="14" t="s">
        <v>74</v>
      </c>
      <c r="Z83" s="16" t="s">
        <v>74</v>
      </c>
      <c r="AA83" s="16" t="s">
        <v>74</v>
      </c>
      <c r="AB83" s="16" t="s">
        <v>74</v>
      </c>
      <c r="AC83" s="14" t="s">
        <v>74</v>
      </c>
      <c r="AD83" s="16" t="s">
        <v>74</v>
      </c>
      <c r="AE83" s="16" t="s">
        <v>74</v>
      </c>
      <c r="AF83" s="16" t="s">
        <v>74</v>
      </c>
      <c r="AG83" s="14" t="s">
        <v>74</v>
      </c>
      <c r="AH83" s="16" t="s">
        <v>74</v>
      </c>
      <c r="AI83" s="16" t="s">
        <v>74</v>
      </c>
      <c r="AJ83" s="16" t="s">
        <v>74</v>
      </c>
      <c r="AK83" s="14" t="s">
        <v>74</v>
      </c>
      <c r="AL83" s="16" t="s">
        <v>74</v>
      </c>
      <c r="AM83" s="16" t="s">
        <v>74</v>
      </c>
      <c r="AN83" s="14" t="s">
        <v>74</v>
      </c>
      <c r="AO83" s="14" t="s">
        <v>74</v>
      </c>
    </row>
    <row r="84" spans="1:41" ht="58" x14ac:dyDescent="0.35">
      <c r="A84" s="14" t="s">
        <v>113</v>
      </c>
      <c r="B84" s="14" t="s">
        <v>62</v>
      </c>
      <c r="C84" s="15">
        <v>44852.482638888891</v>
      </c>
      <c r="D84" s="14" t="s">
        <v>63</v>
      </c>
      <c r="E84" s="16" t="s">
        <v>64</v>
      </c>
      <c r="F84" s="14" t="s">
        <v>65</v>
      </c>
      <c r="G84" s="16" t="s">
        <v>66</v>
      </c>
      <c r="H84" s="14" t="s">
        <v>255</v>
      </c>
      <c r="I84" s="16" t="s">
        <v>256</v>
      </c>
      <c r="J84" s="16" t="s">
        <v>257</v>
      </c>
      <c r="K84" s="16" t="s">
        <v>258</v>
      </c>
      <c r="L84" s="14" t="s">
        <v>259</v>
      </c>
      <c r="M84" s="16" t="s">
        <v>260</v>
      </c>
      <c r="N84" s="14" t="s">
        <v>73</v>
      </c>
      <c r="O84" s="16" t="s">
        <v>74</v>
      </c>
      <c r="P84" s="16" t="s">
        <v>74</v>
      </c>
      <c r="Q84" s="16" t="s">
        <v>168</v>
      </c>
      <c r="R84" s="14" t="s">
        <v>169</v>
      </c>
      <c r="S84" s="14" t="s">
        <v>145</v>
      </c>
      <c r="T84" s="14" t="s">
        <v>79</v>
      </c>
      <c r="U84" s="15">
        <v>40550</v>
      </c>
      <c r="V84" s="15"/>
      <c r="W84" s="16"/>
      <c r="X84" s="16" t="s">
        <v>74</v>
      </c>
      <c r="Y84" s="14" t="s">
        <v>74</v>
      </c>
      <c r="Z84" s="16" t="s">
        <v>74</v>
      </c>
      <c r="AA84" s="16" t="s">
        <v>74</v>
      </c>
      <c r="AB84" s="16" t="s">
        <v>74</v>
      </c>
      <c r="AC84" s="14" t="s">
        <v>74</v>
      </c>
      <c r="AD84" s="16" t="s">
        <v>74</v>
      </c>
      <c r="AE84" s="16" t="s">
        <v>74</v>
      </c>
      <c r="AF84" s="16" t="s">
        <v>74</v>
      </c>
      <c r="AG84" s="14" t="s">
        <v>74</v>
      </c>
      <c r="AH84" s="16" t="s">
        <v>74</v>
      </c>
      <c r="AI84" s="16" t="s">
        <v>74</v>
      </c>
      <c r="AJ84" s="16" t="s">
        <v>74</v>
      </c>
      <c r="AK84" s="14" t="s">
        <v>74</v>
      </c>
      <c r="AL84" s="16" t="s">
        <v>74</v>
      </c>
      <c r="AM84" s="16" t="s">
        <v>74</v>
      </c>
      <c r="AN84" s="14" t="s">
        <v>74</v>
      </c>
      <c r="AO84" s="14" t="s">
        <v>74</v>
      </c>
    </row>
    <row r="85" spans="1:41" ht="58" x14ac:dyDescent="0.35">
      <c r="A85" s="14" t="s">
        <v>113</v>
      </c>
      <c r="B85" s="14" t="s">
        <v>62</v>
      </c>
      <c r="C85" s="15">
        <v>44852.486111111109</v>
      </c>
      <c r="D85" s="14" t="s">
        <v>63</v>
      </c>
      <c r="E85" s="16" t="s">
        <v>64</v>
      </c>
      <c r="F85" s="14" t="s">
        <v>65</v>
      </c>
      <c r="G85" s="16" t="s">
        <v>66</v>
      </c>
      <c r="H85" s="14" t="s">
        <v>255</v>
      </c>
      <c r="I85" s="16" t="s">
        <v>256</v>
      </c>
      <c r="J85" s="16" t="s">
        <v>257</v>
      </c>
      <c r="K85" s="16" t="s">
        <v>258</v>
      </c>
      <c r="L85" s="14" t="s">
        <v>266</v>
      </c>
      <c r="M85" s="16" t="s">
        <v>267</v>
      </c>
      <c r="N85" s="14" t="s">
        <v>111</v>
      </c>
      <c r="O85" s="16" t="s">
        <v>74</v>
      </c>
      <c r="P85" s="16" t="s">
        <v>74</v>
      </c>
      <c r="Q85" s="16" t="s">
        <v>168</v>
      </c>
      <c r="R85" s="14" t="s">
        <v>169</v>
      </c>
      <c r="S85" s="14" t="s">
        <v>145</v>
      </c>
      <c r="T85" s="14" t="s">
        <v>79</v>
      </c>
      <c r="U85" s="15">
        <v>40550</v>
      </c>
      <c r="V85" s="15"/>
      <c r="W85" s="16"/>
      <c r="X85" s="16" t="s">
        <v>74</v>
      </c>
      <c r="Y85" s="14" t="s">
        <v>74</v>
      </c>
      <c r="Z85" s="16" t="s">
        <v>74</v>
      </c>
      <c r="AA85" s="16" t="s">
        <v>74</v>
      </c>
      <c r="AB85" s="16" t="s">
        <v>74</v>
      </c>
      <c r="AC85" s="14" t="s">
        <v>74</v>
      </c>
      <c r="AD85" s="16" t="s">
        <v>74</v>
      </c>
      <c r="AE85" s="16" t="s">
        <v>74</v>
      </c>
      <c r="AF85" s="16" t="s">
        <v>74</v>
      </c>
      <c r="AG85" s="14" t="s">
        <v>74</v>
      </c>
      <c r="AH85" s="16" t="s">
        <v>74</v>
      </c>
      <c r="AI85" s="16" t="s">
        <v>74</v>
      </c>
      <c r="AJ85" s="16" t="s">
        <v>74</v>
      </c>
      <c r="AK85" s="14" t="s">
        <v>74</v>
      </c>
      <c r="AL85" s="16" t="s">
        <v>74</v>
      </c>
      <c r="AM85" s="16" t="s">
        <v>74</v>
      </c>
      <c r="AN85" s="14" t="s">
        <v>74</v>
      </c>
      <c r="AO85" s="14" t="s">
        <v>74</v>
      </c>
    </row>
    <row r="86" spans="1:41" ht="58" x14ac:dyDescent="0.35">
      <c r="A86" s="14" t="s">
        <v>113</v>
      </c>
      <c r="B86" s="14" t="s">
        <v>116</v>
      </c>
      <c r="C86" s="15">
        <v>44855.473611111112</v>
      </c>
      <c r="D86" s="14" t="s">
        <v>63</v>
      </c>
      <c r="E86" s="16" t="s">
        <v>64</v>
      </c>
      <c r="F86" s="14" t="s">
        <v>65</v>
      </c>
      <c r="G86" s="16" t="s">
        <v>66</v>
      </c>
      <c r="H86" s="14" t="s">
        <v>284</v>
      </c>
      <c r="I86" s="16" t="s">
        <v>285</v>
      </c>
      <c r="J86" s="16" t="s">
        <v>286</v>
      </c>
      <c r="K86" s="16" t="s">
        <v>287</v>
      </c>
      <c r="L86" s="14" t="s">
        <v>288</v>
      </c>
      <c r="M86" s="16" t="s">
        <v>289</v>
      </c>
      <c r="N86" s="14" t="s">
        <v>73</v>
      </c>
      <c r="O86" s="16" t="s">
        <v>74</v>
      </c>
      <c r="P86" s="16" t="s">
        <v>74</v>
      </c>
      <c r="Q86" s="16" t="s">
        <v>75</v>
      </c>
      <c r="R86" s="14" t="s">
        <v>76</v>
      </c>
      <c r="S86" s="14" t="s">
        <v>78</v>
      </c>
      <c r="T86" s="14" t="s">
        <v>79</v>
      </c>
      <c r="U86" s="15">
        <v>40550</v>
      </c>
      <c r="V86" s="15"/>
      <c r="W86" s="16"/>
      <c r="X86" s="16" t="s">
        <v>74</v>
      </c>
      <c r="Y86" s="14" t="s">
        <v>74</v>
      </c>
      <c r="Z86" s="16" t="s">
        <v>74</v>
      </c>
      <c r="AA86" s="16" t="s">
        <v>74</v>
      </c>
      <c r="AB86" s="16" t="s">
        <v>74</v>
      </c>
      <c r="AC86" s="14" t="s">
        <v>74</v>
      </c>
      <c r="AD86" s="16" t="s">
        <v>74</v>
      </c>
      <c r="AE86" s="16" t="s">
        <v>74</v>
      </c>
      <c r="AF86" s="16" t="s">
        <v>74</v>
      </c>
      <c r="AG86" s="14" t="s">
        <v>74</v>
      </c>
      <c r="AH86" s="16" t="s">
        <v>74</v>
      </c>
      <c r="AI86" s="16" t="s">
        <v>74</v>
      </c>
      <c r="AJ86" s="16" t="s">
        <v>74</v>
      </c>
      <c r="AK86" s="14" t="s">
        <v>74</v>
      </c>
      <c r="AL86" s="16" t="s">
        <v>74</v>
      </c>
      <c r="AM86" s="16" t="s">
        <v>74</v>
      </c>
      <c r="AN86" s="14" t="s">
        <v>74</v>
      </c>
      <c r="AO86" s="14" t="s">
        <v>74</v>
      </c>
    </row>
    <row r="87" spans="1:41" ht="58" x14ac:dyDescent="0.35">
      <c r="A87" s="14" t="s">
        <v>113</v>
      </c>
      <c r="B87" s="14" t="s">
        <v>62</v>
      </c>
      <c r="C87" s="15">
        <v>44852.579861111109</v>
      </c>
      <c r="D87" s="14" t="s">
        <v>63</v>
      </c>
      <c r="E87" s="16" t="s">
        <v>64</v>
      </c>
      <c r="F87" s="14" t="s">
        <v>65</v>
      </c>
      <c r="G87" s="16" t="s">
        <v>66</v>
      </c>
      <c r="H87" s="14" t="s">
        <v>284</v>
      </c>
      <c r="I87" s="16" t="s">
        <v>285</v>
      </c>
      <c r="J87" s="16" t="s">
        <v>286</v>
      </c>
      <c r="K87" s="16" t="s">
        <v>287</v>
      </c>
      <c r="L87" s="14" t="s">
        <v>294</v>
      </c>
      <c r="M87" s="16" t="s">
        <v>295</v>
      </c>
      <c r="N87" s="14" t="s">
        <v>111</v>
      </c>
      <c r="O87" s="16" t="s">
        <v>74</v>
      </c>
      <c r="P87" s="16" t="s">
        <v>74</v>
      </c>
      <c r="Q87" s="16" t="s">
        <v>75</v>
      </c>
      <c r="R87" s="14" t="s">
        <v>76</v>
      </c>
      <c r="S87" s="14" t="s">
        <v>78</v>
      </c>
      <c r="T87" s="14" t="s">
        <v>79</v>
      </c>
      <c r="U87" s="15">
        <v>40550</v>
      </c>
      <c r="V87" s="15"/>
      <c r="W87" s="16"/>
      <c r="X87" s="16" t="s">
        <v>74</v>
      </c>
      <c r="Y87" s="14" t="s">
        <v>74</v>
      </c>
      <c r="Z87" s="16" t="s">
        <v>74</v>
      </c>
      <c r="AA87" s="16" t="s">
        <v>74</v>
      </c>
      <c r="AB87" s="16" t="s">
        <v>74</v>
      </c>
      <c r="AC87" s="14" t="s">
        <v>74</v>
      </c>
      <c r="AD87" s="16" t="s">
        <v>74</v>
      </c>
      <c r="AE87" s="16" t="s">
        <v>74</v>
      </c>
      <c r="AF87" s="16" t="s">
        <v>74</v>
      </c>
      <c r="AG87" s="14" t="s">
        <v>74</v>
      </c>
      <c r="AH87" s="16" t="s">
        <v>74</v>
      </c>
      <c r="AI87" s="16" t="s">
        <v>74</v>
      </c>
      <c r="AJ87" s="16" t="s">
        <v>74</v>
      </c>
      <c r="AK87" s="14" t="s">
        <v>74</v>
      </c>
      <c r="AL87" s="16" t="s">
        <v>74</v>
      </c>
      <c r="AM87" s="16" t="s">
        <v>74</v>
      </c>
      <c r="AN87" s="14" t="s">
        <v>74</v>
      </c>
      <c r="AO87" s="14" t="s">
        <v>74</v>
      </c>
    </row>
    <row r="88" spans="1:41" ht="58" x14ac:dyDescent="0.35">
      <c r="A88" s="14" t="s">
        <v>113</v>
      </c>
      <c r="B88" s="14" t="s">
        <v>62</v>
      </c>
      <c r="C88" s="15">
        <v>44886.494444444441</v>
      </c>
      <c r="D88" s="14" t="s">
        <v>63</v>
      </c>
      <c r="E88" s="16" t="s">
        <v>64</v>
      </c>
      <c r="F88" s="14" t="s">
        <v>65</v>
      </c>
      <c r="G88" s="16" t="s">
        <v>66</v>
      </c>
      <c r="H88" s="14" t="s">
        <v>284</v>
      </c>
      <c r="I88" s="16" t="s">
        <v>285</v>
      </c>
      <c r="J88" s="16" t="s">
        <v>286</v>
      </c>
      <c r="K88" s="16" t="s">
        <v>287</v>
      </c>
      <c r="L88" s="14" t="s">
        <v>288</v>
      </c>
      <c r="M88" s="16" t="s">
        <v>289</v>
      </c>
      <c r="N88" s="14" t="s">
        <v>73</v>
      </c>
      <c r="O88" s="16" t="s">
        <v>74</v>
      </c>
      <c r="P88" s="16" t="s">
        <v>74</v>
      </c>
      <c r="Q88" s="16" t="s">
        <v>114</v>
      </c>
      <c r="R88" s="14" t="s">
        <v>115</v>
      </c>
      <c r="S88" s="14" t="s">
        <v>78</v>
      </c>
      <c r="T88" s="14" t="s">
        <v>117</v>
      </c>
      <c r="U88" s="15">
        <v>43831</v>
      </c>
      <c r="V88" s="15"/>
      <c r="W88" s="16"/>
      <c r="X88" s="16" t="s">
        <v>74</v>
      </c>
      <c r="Y88" s="14" t="s">
        <v>74</v>
      </c>
      <c r="Z88" s="16" t="s">
        <v>74</v>
      </c>
      <c r="AA88" s="16" t="s">
        <v>74</v>
      </c>
      <c r="AB88" s="16" t="s">
        <v>74</v>
      </c>
      <c r="AC88" s="14" t="s">
        <v>74</v>
      </c>
      <c r="AD88" s="16" t="s">
        <v>74</v>
      </c>
      <c r="AE88" s="16" t="s">
        <v>74</v>
      </c>
      <c r="AF88" s="16" t="s">
        <v>74</v>
      </c>
      <c r="AG88" s="14" t="s">
        <v>74</v>
      </c>
      <c r="AH88" s="16" t="s">
        <v>74</v>
      </c>
      <c r="AI88" s="16" t="s">
        <v>74</v>
      </c>
      <c r="AJ88" s="16" t="s">
        <v>74</v>
      </c>
      <c r="AK88" s="14" t="s">
        <v>74</v>
      </c>
      <c r="AL88" s="16" t="s">
        <v>74</v>
      </c>
      <c r="AM88" s="16" t="s">
        <v>74</v>
      </c>
      <c r="AN88" s="14" t="s">
        <v>74</v>
      </c>
      <c r="AO88" s="14" t="s">
        <v>74</v>
      </c>
    </row>
    <row r="89" spans="1:41" ht="58" x14ac:dyDescent="0.35">
      <c r="A89" s="14" t="s">
        <v>113</v>
      </c>
      <c r="B89" s="14" t="s">
        <v>62</v>
      </c>
      <c r="C89" s="15">
        <v>44886.494444444441</v>
      </c>
      <c r="D89" s="14" t="s">
        <v>63</v>
      </c>
      <c r="E89" s="16" t="s">
        <v>64</v>
      </c>
      <c r="F89" s="14" t="s">
        <v>65</v>
      </c>
      <c r="G89" s="16" t="s">
        <v>66</v>
      </c>
      <c r="H89" s="14" t="s">
        <v>284</v>
      </c>
      <c r="I89" s="16" t="s">
        <v>285</v>
      </c>
      <c r="J89" s="16" t="s">
        <v>286</v>
      </c>
      <c r="K89" s="16" t="s">
        <v>287</v>
      </c>
      <c r="L89" s="14" t="s">
        <v>294</v>
      </c>
      <c r="M89" s="16" t="s">
        <v>295</v>
      </c>
      <c r="N89" s="14" t="s">
        <v>111</v>
      </c>
      <c r="O89" s="16" t="s">
        <v>74</v>
      </c>
      <c r="P89" s="16" t="s">
        <v>74</v>
      </c>
      <c r="Q89" s="16" t="s">
        <v>114</v>
      </c>
      <c r="R89" s="14" t="s">
        <v>115</v>
      </c>
      <c r="S89" s="14" t="s">
        <v>78</v>
      </c>
      <c r="T89" s="14" t="s">
        <v>117</v>
      </c>
      <c r="U89" s="15">
        <v>43831</v>
      </c>
      <c r="V89" s="15"/>
      <c r="W89" s="16"/>
      <c r="X89" s="16" t="s">
        <v>74</v>
      </c>
      <c r="Y89" s="14" t="s">
        <v>74</v>
      </c>
      <c r="Z89" s="16" t="s">
        <v>74</v>
      </c>
      <c r="AA89" s="16" t="s">
        <v>74</v>
      </c>
      <c r="AB89" s="16" t="s">
        <v>74</v>
      </c>
      <c r="AC89" s="14" t="s">
        <v>74</v>
      </c>
      <c r="AD89" s="16" t="s">
        <v>74</v>
      </c>
      <c r="AE89" s="16" t="s">
        <v>74</v>
      </c>
      <c r="AF89" s="16" t="s">
        <v>74</v>
      </c>
      <c r="AG89" s="14" t="s">
        <v>74</v>
      </c>
      <c r="AH89" s="16" t="s">
        <v>74</v>
      </c>
      <c r="AI89" s="16" t="s">
        <v>74</v>
      </c>
      <c r="AJ89" s="16" t="s">
        <v>74</v>
      </c>
      <c r="AK89" s="14" t="s">
        <v>74</v>
      </c>
      <c r="AL89" s="16" t="s">
        <v>74</v>
      </c>
      <c r="AM89" s="16" t="s">
        <v>74</v>
      </c>
      <c r="AN89" s="14" t="s">
        <v>74</v>
      </c>
      <c r="AO89" s="14" t="s">
        <v>74</v>
      </c>
    </row>
    <row r="90" spans="1:41" ht="58" x14ac:dyDescent="0.35">
      <c r="A90" s="14" t="s">
        <v>113</v>
      </c>
      <c r="B90" s="14" t="s">
        <v>116</v>
      </c>
      <c r="C90" s="15">
        <v>44855.473611111112</v>
      </c>
      <c r="D90" s="14" t="s">
        <v>63</v>
      </c>
      <c r="E90" s="16" t="s">
        <v>64</v>
      </c>
      <c r="F90" s="14" t="s">
        <v>65</v>
      </c>
      <c r="G90" s="16" t="s">
        <v>66</v>
      </c>
      <c r="H90" s="14" t="s">
        <v>284</v>
      </c>
      <c r="I90" s="16" t="s">
        <v>285</v>
      </c>
      <c r="J90" s="16" t="s">
        <v>286</v>
      </c>
      <c r="K90" s="16" t="s">
        <v>287</v>
      </c>
      <c r="L90" s="14" t="s">
        <v>288</v>
      </c>
      <c r="M90" s="16" t="s">
        <v>289</v>
      </c>
      <c r="N90" s="14" t="s">
        <v>73</v>
      </c>
      <c r="O90" s="16" t="s">
        <v>74</v>
      </c>
      <c r="P90" s="16" t="s">
        <v>74</v>
      </c>
      <c r="Q90" s="16" t="s">
        <v>118</v>
      </c>
      <c r="R90" s="14" t="s">
        <v>119</v>
      </c>
      <c r="S90" s="14" t="s">
        <v>78</v>
      </c>
      <c r="T90" s="14" t="s">
        <v>79</v>
      </c>
      <c r="U90" s="15">
        <v>40550</v>
      </c>
      <c r="V90" s="15"/>
      <c r="W90" s="16"/>
      <c r="X90" s="16" t="s">
        <v>74</v>
      </c>
      <c r="Y90" s="14" t="s">
        <v>74</v>
      </c>
      <c r="Z90" s="16" t="s">
        <v>74</v>
      </c>
      <c r="AA90" s="16" t="s">
        <v>74</v>
      </c>
      <c r="AB90" s="16" t="s">
        <v>74</v>
      </c>
      <c r="AC90" s="14" t="s">
        <v>74</v>
      </c>
      <c r="AD90" s="16" t="s">
        <v>74</v>
      </c>
      <c r="AE90" s="16" t="s">
        <v>74</v>
      </c>
      <c r="AF90" s="16" t="s">
        <v>74</v>
      </c>
      <c r="AG90" s="14" t="s">
        <v>74</v>
      </c>
      <c r="AH90" s="16" t="s">
        <v>74</v>
      </c>
      <c r="AI90" s="16" t="s">
        <v>74</v>
      </c>
      <c r="AJ90" s="16" t="s">
        <v>74</v>
      </c>
      <c r="AK90" s="14" t="s">
        <v>74</v>
      </c>
      <c r="AL90" s="16" t="s">
        <v>74</v>
      </c>
      <c r="AM90" s="16" t="s">
        <v>74</v>
      </c>
      <c r="AN90" s="14" t="s">
        <v>74</v>
      </c>
      <c r="AO90" s="14" t="s">
        <v>74</v>
      </c>
    </row>
    <row r="91" spans="1:41" ht="58" x14ac:dyDescent="0.35">
      <c r="A91" s="14" t="s">
        <v>113</v>
      </c>
      <c r="B91" s="14" t="s">
        <v>62</v>
      </c>
      <c r="C91" s="15">
        <v>44852.579861111109</v>
      </c>
      <c r="D91" s="14" t="s">
        <v>63</v>
      </c>
      <c r="E91" s="16" t="s">
        <v>64</v>
      </c>
      <c r="F91" s="14" t="s">
        <v>65</v>
      </c>
      <c r="G91" s="16" t="s">
        <v>66</v>
      </c>
      <c r="H91" s="14" t="s">
        <v>284</v>
      </c>
      <c r="I91" s="16" t="s">
        <v>285</v>
      </c>
      <c r="J91" s="16" t="s">
        <v>286</v>
      </c>
      <c r="K91" s="16" t="s">
        <v>287</v>
      </c>
      <c r="L91" s="14" t="s">
        <v>294</v>
      </c>
      <c r="M91" s="16" t="s">
        <v>295</v>
      </c>
      <c r="N91" s="14" t="s">
        <v>111</v>
      </c>
      <c r="O91" s="16" t="s">
        <v>74</v>
      </c>
      <c r="P91" s="16" t="s">
        <v>74</v>
      </c>
      <c r="Q91" s="16" t="s">
        <v>118</v>
      </c>
      <c r="R91" s="14" t="s">
        <v>119</v>
      </c>
      <c r="S91" s="14" t="s">
        <v>78</v>
      </c>
      <c r="T91" s="14" t="s">
        <v>79</v>
      </c>
      <c r="U91" s="15">
        <v>40550</v>
      </c>
      <c r="V91" s="15"/>
      <c r="W91" s="16"/>
      <c r="X91" s="16" t="s">
        <v>74</v>
      </c>
      <c r="Y91" s="14" t="s">
        <v>74</v>
      </c>
      <c r="Z91" s="16" t="s">
        <v>74</v>
      </c>
      <c r="AA91" s="16" t="s">
        <v>74</v>
      </c>
      <c r="AB91" s="16" t="s">
        <v>74</v>
      </c>
      <c r="AC91" s="14" t="s">
        <v>74</v>
      </c>
      <c r="AD91" s="16" t="s">
        <v>74</v>
      </c>
      <c r="AE91" s="16" t="s">
        <v>74</v>
      </c>
      <c r="AF91" s="16" t="s">
        <v>74</v>
      </c>
      <c r="AG91" s="14" t="s">
        <v>74</v>
      </c>
      <c r="AH91" s="16" t="s">
        <v>74</v>
      </c>
      <c r="AI91" s="16" t="s">
        <v>74</v>
      </c>
      <c r="AJ91" s="16" t="s">
        <v>74</v>
      </c>
      <c r="AK91" s="14" t="s">
        <v>74</v>
      </c>
      <c r="AL91" s="16" t="s">
        <v>74</v>
      </c>
      <c r="AM91" s="16" t="s">
        <v>74</v>
      </c>
      <c r="AN91" s="14" t="s">
        <v>74</v>
      </c>
      <c r="AO91" s="14" t="s">
        <v>74</v>
      </c>
    </row>
    <row r="92" spans="1:41" ht="58" x14ac:dyDescent="0.35">
      <c r="A92" s="14" t="s">
        <v>113</v>
      </c>
      <c r="B92" s="14" t="s">
        <v>62</v>
      </c>
      <c r="C92" s="15">
        <v>44852.493055555555</v>
      </c>
      <c r="D92" s="14" t="s">
        <v>63</v>
      </c>
      <c r="E92" s="16" t="s">
        <v>64</v>
      </c>
      <c r="F92" s="14" t="s">
        <v>65</v>
      </c>
      <c r="G92" s="16" t="s">
        <v>66</v>
      </c>
      <c r="H92" s="14" t="s">
        <v>284</v>
      </c>
      <c r="I92" s="16" t="s">
        <v>285</v>
      </c>
      <c r="J92" s="16" t="s">
        <v>286</v>
      </c>
      <c r="K92" s="16" t="s">
        <v>287</v>
      </c>
      <c r="L92" s="14" t="s">
        <v>288</v>
      </c>
      <c r="M92" s="16" t="s">
        <v>289</v>
      </c>
      <c r="N92" s="14" t="s">
        <v>73</v>
      </c>
      <c r="O92" s="16" t="s">
        <v>74</v>
      </c>
      <c r="P92" s="16" t="s">
        <v>74</v>
      </c>
      <c r="Q92" s="16" t="s">
        <v>137</v>
      </c>
      <c r="R92" s="14" t="s">
        <v>138</v>
      </c>
      <c r="S92" s="14" t="s">
        <v>78</v>
      </c>
      <c r="T92" s="14" t="s">
        <v>117</v>
      </c>
      <c r="U92" s="15">
        <v>40550</v>
      </c>
      <c r="V92" s="15"/>
      <c r="W92" s="16"/>
      <c r="X92" s="16" t="s">
        <v>74</v>
      </c>
      <c r="Y92" s="14" t="s">
        <v>74</v>
      </c>
      <c r="Z92" s="16" t="s">
        <v>74</v>
      </c>
      <c r="AA92" s="16" t="s">
        <v>74</v>
      </c>
      <c r="AB92" s="16" t="s">
        <v>74</v>
      </c>
      <c r="AC92" s="14" t="s">
        <v>74</v>
      </c>
      <c r="AD92" s="16" t="s">
        <v>74</v>
      </c>
      <c r="AE92" s="16" t="s">
        <v>74</v>
      </c>
      <c r="AF92" s="16" t="s">
        <v>74</v>
      </c>
      <c r="AG92" s="14" t="s">
        <v>74</v>
      </c>
      <c r="AH92" s="16" t="s">
        <v>74</v>
      </c>
      <c r="AI92" s="16" t="s">
        <v>74</v>
      </c>
      <c r="AJ92" s="16" t="s">
        <v>74</v>
      </c>
      <c r="AK92" s="14" t="s">
        <v>74</v>
      </c>
      <c r="AL92" s="16" t="s">
        <v>74</v>
      </c>
      <c r="AM92" s="16" t="s">
        <v>74</v>
      </c>
      <c r="AN92" s="14" t="s">
        <v>74</v>
      </c>
      <c r="AO92" s="14" t="s">
        <v>74</v>
      </c>
    </row>
    <row r="93" spans="1:41" ht="58" x14ac:dyDescent="0.35">
      <c r="A93" s="14" t="s">
        <v>113</v>
      </c>
      <c r="B93" s="14" t="s">
        <v>62</v>
      </c>
      <c r="C93" s="15">
        <v>44852.580555555556</v>
      </c>
      <c r="D93" s="14" t="s">
        <v>63</v>
      </c>
      <c r="E93" s="16" t="s">
        <v>64</v>
      </c>
      <c r="F93" s="14" t="s">
        <v>65</v>
      </c>
      <c r="G93" s="16" t="s">
        <v>66</v>
      </c>
      <c r="H93" s="14" t="s">
        <v>284</v>
      </c>
      <c r="I93" s="16" t="s">
        <v>285</v>
      </c>
      <c r="J93" s="16" t="s">
        <v>286</v>
      </c>
      <c r="K93" s="16" t="s">
        <v>287</v>
      </c>
      <c r="L93" s="14" t="s">
        <v>294</v>
      </c>
      <c r="M93" s="16" t="s">
        <v>295</v>
      </c>
      <c r="N93" s="14" t="s">
        <v>111</v>
      </c>
      <c r="O93" s="16" t="s">
        <v>74</v>
      </c>
      <c r="P93" s="16" t="s">
        <v>74</v>
      </c>
      <c r="Q93" s="16" t="s">
        <v>137</v>
      </c>
      <c r="R93" s="14" t="s">
        <v>138</v>
      </c>
      <c r="S93" s="14" t="s">
        <v>78</v>
      </c>
      <c r="T93" s="14" t="s">
        <v>117</v>
      </c>
      <c r="U93" s="15">
        <v>40550</v>
      </c>
      <c r="V93" s="15"/>
      <c r="W93" s="16"/>
      <c r="X93" s="16" t="s">
        <v>74</v>
      </c>
      <c r="Y93" s="14" t="s">
        <v>74</v>
      </c>
      <c r="Z93" s="16" t="s">
        <v>74</v>
      </c>
      <c r="AA93" s="16" t="s">
        <v>74</v>
      </c>
      <c r="AB93" s="16" t="s">
        <v>74</v>
      </c>
      <c r="AC93" s="14" t="s">
        <v>74</v>
      </c>
      <c r="AD93" s="16" t="s">
        <v>74</v>
      </c>
      <c r="AE93" s="16" t="s">
        <v>74</v>
      </c>
      <c r="AF93" s="16" t="s">
        <v>74</v>
      </c>
      <c r="AG93" s="14" t="s">
        <v>74</v>
      </c>
      <c r="AH93" s="16" t="s">
        <v>74</v>
      </c>
      <c r="AI93" s="16" t="s">
        <v>74</v>
      </c>
      <c r="AJ93" s="16" t="s">
        <v>74</v>
      </c>
      <c r="AK93" s="14" t="s">
        <v>74</v>
      </c>
      <c r="AL93" s="16" t="s">
        <v>74</v>
      </c>
      <c r="AM93" s="16" t="s">
        <v>74</v>
      </c>
      <c r="AN93" s="14" t="s">
        <v>74</v>
      </c>
      <c r="AO93" s="14" t="s">
        <v>74</v>
      </c>
    </row>
    <row r="94" spans="1:41" ht="58" x14ac:dyDescent="0.35">
      <c r="A94" s="14" t="s">
        <v>113</v>
      </c>
      <c r="B94" s="14" t="s">
        <v>62</v>
      </c>
      <c r="C94" s="15">
        <v>44852.493055555555</v>
      </c>
      <c r="D94" s="14" t="s">
        <v>63</v>
      </c>
      <c r="E94" s="16" t="s">
        <v>64</v>
      </c>
      <c r="F94" s="14" t="s">
        <v>65</v>
      </c>
      <c r="G94" s="16" t="s">
        <v>66</v>
      </c>
      <c r="H94" s="14" t="s">
        <v>284</v>
      </c>
      <c r="I94" s="16" t="s">
        <v>285</v>
      </c>
      <c r="J94" s="16" t="s">
        <v>286</v>
      </c>
      <c r="K94" s="16" t="s">
        <v>287</v>
      </c>
      <c r="L94" s="14" t="s">
        <v>288</v>
      </c>
      <c r="M94" s="16" t="s">
        <v>289</v>
      </c>
      <c r="N94" s="14" t="s">
        <v>73</v>
      </c>
      <c r="O94" s="16" t="s">
        <v>74</v>
      </c>
      <c r="P94" s="16" t="s">
        <v>74</v>
      </c>
      <c r="Q94" s="16" t="s">
        <v>140</v>
      </c>
      <c r="R94" s="14" t="s">
        <v>141</v>
      </c>
      <c r="S94" s="14" t="s">
        <v>78</v>
      </c>
      <c r="T94" s="14" t="s">
        <v>117</v>
      </c>
      <c r="U94" s="15">
        <v>40550</v>
      </c>
      <c r="V94" s="15"/>
      <c r="W94" s="16"/>
      <c r="X94" s="16" t="s">
        <v>74</v>
      </c>
      <c r="Y94" s="14" t="s">
        <v>74</v>
      </c>
      <c r="Z94" s="16" t="s">
        <v>74</v>
      </c>
      <c r="AA94" s="16" t="s">
        <v>74</v>
      </c>
      <c r="AB94" s="16" t="s">
        <v>74</v>
      </c>
      <c r="AC94" s="14" t="s">
        <v>74</v>
      </c>
      <c r="AD94" s="16" t="s">
        <v>74</v>
      </c>
      <c r="AE94" s="16" t="s">
        <v>74</v>
      </c>
      <c r="AF94" s="16" t="s">
        <v>74</v>
      </c>
      <c r="AG94" s="14" t="s">
        <v>74</v>
      </c>
      <c r="AH94" s="16" t="s">
        <v>74</v>
      </c>
      <c r="AI94" s="16" t="s">
        <v>74</v>
      </c>
      <c r="AJ94" s="16" t="s">
        <v>74</v>
      </c>
      <c r="AK94" s="14" t="s">
        <v>74</v>
      </c>
      <c r="AL94" s="16" t="s">
        <v>74</v>
      </c>
      <c r="AM94" s="16" t="s">
        <v>74</v>
      </c>
      <c r="AN94" s="14" t="s">
        <v>74</v>
      </c>
      <c r="AO94" s="14" t="s">
        <v>74</v>
      </c>
    </row>
    <row r="95" spans="1:41" ht="58" x14ac:dyDescent="0.35">
      <c r="A95" s="14" t="s">
        <v>113</v>
      </c>
      <c r="B95" s="14" t="s">
        <v>62</v>
      </c>
      <c r="C95" s="15">
        <v>44852.580555555556</v>
      </c>
      <c r="D95" s="14" t="s">
        <v>63</v>
      </c>
      <c r="E95" s="16" t="s">
        <v>64</v>
      </c>
      <c r="F95" s="14" t="s">
        <v>65</v>
      </c>
      <c r="G95" s="16" t="s">
        <v>66</v>
      </c>
      <c r="H95" s="14" t="s">
        <v>284</v>
      </c>
      <c r="I95" s="16" t="s">
        <v>285</v>
      </c>
      <c r="J95" s="16" t="s">
        <v>286</v>
      </c>
      <c r="K95" s="16" t="s">
        <v>287</v>
      </c>
      <c r="L95" s="14" t="s">
        <v>294</v>
      </c>
      <c r="M95" s="16" t="s">
        <v>295</v>
      </c>
      <c r="N95" s="14" t="s">
        <v>111</v>
      </c>
      <c r="O95" s="16" t="s">
        <v>74</v>
      </c>
      <c r="P95" s="16" t="s">
        <v>74</v>
      </c>
      <c r="Q95" s="16" t="s">
        <v>140</v>
      </c>
      <c r="R95" s="14" t="s">
        <v>141</v>
      </c>
      <c r="S95" s="14" t="s">
        <v>78</v>
      </c>
      <c r="T95" s="14" t="s">
        <v>117</v>
      </c>
      <c r="U95" s="15">
        <v>40550</v>
      </c>
      <c r="V95" s="15"/>
      <c r="W95" s="16"/>
      <c r="X95" s="16" t="s">
        <v>74</v>
      </c>
      <c r="Y95" s="14" t="s">
        <v>74</v>
      </c>
      <c r="Z95" s="16" t="s">
        <v>74</v>
      </c>
      <c r="AA95" s="16" t="s">
        <v>74</v>
      </c>
      <c r="AB95" s="16" t="s">
        <v>74</v>
      </c>
      <c r="AC95" s="14" t="s">
        <v>74</v>
      </c>
      <c r="AD95" s="16" t="s">
        <v>74</v>
      </c>
      <c r="AE95" s="16" t="s">
        <v>74</v>
      </c>
      <c r="AF95" s="16" t="s">
        <v>74</v>
      </c>
      <c r="AG95" s="14" t="s">
        <v>74</v>
      </c>
      <c r="AH95" s="16" t="s">
        <v>74</v>
      </c>
      <c r="AI95" s="16" t="s">
        <v>74</v>
      </c>
      <c r="AJ95" s="16" t="s">
        <v>74</v>
      </c>
      <c r="AK95" s="14" t="s">
        <v>74</v>
      </c>
      <c r="AL95" s="16" t="s">
        <v>74</v>
      </c>
      <c r="AM95" s="16" t="s">
        <v>74</v>
      </c>
      <c r="AN95" s="14" t="s">
        <v>74</v>
      </c>
      <c r="AO95" s="14" t="s">
        <v>74</v>
      </c>
    </row>
    <row r="96" spans="1:41" ht="58" x14ac:dyDescent="0.35">
      <c r="A96" s="14" t="s">
        <v>113</v>
      </c>
      <c r="B96" s="14" t="s">
        <v>62</v>
      </c>
      <c r="C96" s="15">
        <v>44852.57916666667</v>
      </c>
      <c r="D96" s="14" t="s">
        <v>63</v>
      </c>
      <c r="E96" s="16" t="s">
        <v>64</v>
      </c>
      <c r="F96" s="14" t="s">
        <v>65</v>
      </c>
      <c r="G96" s="16" t="s">
        <v>66</v>
      </c>
      <c r="H96" s="14" t="s">
        <v>284</v>
      </c>
      <c r="I96" s="16" t="s">
        <v>285</v>
      </c>
      <c r="J96" s="16" t="s">
        <v>286</v>
      </c>
      <c r="K96" s="16" t="s">
        <v>287</v>
      </c>
      <c r="L96" s="14" t="s">
        <v>288</v>
      </c>
      <c r="M96" s="16" t="s">
        <v>289</v>
      </c>
      <c r="N96" s="14" t="s">
        <v>73</v>
      </c>
      <c r="O96" s="16" t="s">
        <v>74</v>
      </c>
      <c r="P96" s="16" t="s">
        <v>74</v>
      </c>
      <c r="Q96" s="16" t="s">
        <v>143</v>
      </c>
      <c r="R96" s="14" t="s">
        <v>144</v>
      </c>
      <c r="S96" s="14" t="s">
        <v>145</v>
      </c>
      <c r="T96" s="14" t="s">
        <v>79</v>
      </c>
      <c r="U96" s="15">
        <v>40550</v>
      </c>
      <c r="V96" s="15"/>
      <c r="W96" s="16"/>
      <c r="X96" s="16" t="s">
        <v>74</v>
      </c>
      <c r="Y96" s="14" t="s">
        <v>74</v>
      </c>
      <c r="Z96" s="16" t="s">
        <v>74</v>
      </c>
      <c r="AA96" s="16" t="s">
        <v>74</v>
      </c>
      <c r="AB96" s="16" t="s">
        <v>74</v>
      </c>
      <c r="AC96" s="14" t="s">
        <v>74</v>
      </c>
      <c r="AD96" s="16" t="s">
        <v>74</v>
      </c>
      <c r="AE96" s="16" t="s">
        <v>74</v>
      </c>
      <c r="AF96" s="16" t="s">
        <v>74</v>
      </c>
      <c r="AG96" s="14" t="s">
        <v>74</v>
      </c>
      <c r="AH96" s="16" t="s">
        <v>74</v>
      </c>
      <c r="AI96" s="16" t="s">
        <v>74</v>
      </c>
      <c r="AJ96" s="16" t="s">
        <v>74</v>
      </c>
      <c r="AK96" s="14" t="s">
        <v>74</v>
      </c>
      <c r="AL96" s="16" t="s">
        <v>74</v>
      </c>
      <c r="AM96" s="16" t="s">
        <v>74</v>
      </c>
      <c r="AN96" s="14" t="s">
        <v>74</v>
      </c>
      <c r="AO96" s="14" t="s">
        <v>74</v>
      </c>
    </row>
    <row r="97" spans="1:41" ht="58" x14ac:dyDescent="0.35">
      <c r="A97" s="14" t="s">
        <v>113</v>
      </c>
      <c r="B97" s="14" t="s">
        <v>62</v>
      </c>
      <c r="C97" s="15">
        <v>44852.614583333336</v>
      </c>
      <c r="D97" s="14" t="s">
        <v>63</v>
      </c>
      <c r="E97" s="16" t="s">
        <v>64</v>
      </c>
      <c r="F97" s="14" t="s">
        <v>65</v>
      </c>
      <c r="G97" s="16" t="s">
        <v>66</v>
      </c>
      <c r="H97" s="14" t="s">
        <v>284</v>
      </c>
      <c r="I97" s="16" t="s">
        <v>285</v>
      </c>
      <c r="J97" s="16" t="s">
        <v>286</v>
      </c>
      <c r="K97" s="16" t="s">
        <v>287</v>
      </c>
      <c r="L97" s="14" t="s">
        <v>294</v>
      </c>
      <c r="M97" s="16" t="s">
        <v>295</v>
      </c>
      <c r="N97" s="14" t="s">
        <v>111</v>
      </c>
      <c r="O97" s="16" t="s">
        <v>74</v>
      </c>
      <c r="P97" s="16" t="s">
        <v>74</v>
      </c>
      <c r="Q97" s="16" t="s">
        <v>143</v>
      </c>
      <c r="R97" s="14" t="s">
        <v>144</v>
      </c>
      <c r="S97" s="14" t="s">
        <v>145</v>
      </c>
      <c r="T97" s="14" t="s">
        <v>79</v>
      </c>
      <c r="U97" s="15">
        <v>40550</v>
      </c>
      <c r="V97" s="15"/>
      <c r="W97" s="16"/>
      <c r="X97" s="16" t="s">
        <v>74</v>
      </c>
      <c r="Y97" s="14" t="s">
        <v>74</v>
      </c>
      <c r="Z97" s="16" t="s">
        <v>74</v>
      </c>
      <c r="AA97" s="16" t="s">
        <v>74</v>
      </c>
      <c r="AB97" s="16" t="s">
        <v>74</v>
      </c>
      <c r="AC97" s="14" t="s">
        <v>74</v>
      </c>
      <c r="AD97" s="16" t="s">
        <v>74</v>
      </c>
      <c r="AE97" s="16" t="s">
        <v>74</v>
      </c>
      <c r="AF97" s="16" t="s">
        <v>74</v>
      </c>
      <c r="AG97" s="14" t="s">
        <v>74</v>
      </c>
      <c r="AH97" s="16" t="s">
        <v>74</v>
      </c>
      <c r="AI97" s="16" t="s">
        <v>74</v>
      </c>
      <c r="AJ97" s="16" t="s">
        <v>74</v>
      </c>
      <c r="AK97" s="14" t="s">
        <v>74</v>
      </c>
      <c r="AL97" s="16" t="s">
        <v>74</v>
      </c>
      <c r="AM97" s="16" t="s">
        <v>74</v>
      </c>
      <c r="AN97" s="14" t="s">
        <v>74</v>
      </c>
      <c r="AO97" s="14" t="s">
        <v>74</v>
      </c>
    </row>
    <row r="98" spans="1:41" ht="58" x14ac:dyDescent="0.35">
      <c r="A98" s="14" t="s">
        <v>113</v>
      </c>
      <c r="B98" s="14" t="s">
        <v>62</v>
      </c>
      <c r="C98" s="15">
        <v>44852.57916666667</v>
      </c>
      <c r="D98" s="14" t="s">
        <v>63</v>
      </c>
      <c r="E98" s="16" t="s">
        <v>64</v>
      </c>
      <c r="F98" s="14" t="s">
        <v>65</v>
      </c>
      <c r="G98" s="16" t="s">
        <v>66</v>
      </c>
      <c r="H98" s="14" t="s">
        <v>284</v>
      </c>
      <c r="I98" s="16" t="s">
        <v>285</v>
      </c>
      <c r="J98" s="16" t="s">
        <v>286</v>
      </c>
      <c r="K98" s="16" t="s">
        <v>287</v>
      </c>
      <c r="L98" s="14" t="s">
        <v>288</v>
      </c>
      <c r="M98" s="16" t="s">
        <v>289</v>
      </c>
      <c r="N98" s="14" t="s">
        <v>73</v>
      </c>
      <c r="O98" s="16" t="s">
        <v>74</v>
      </c>
      <c r="P98" s="16" t="s">
        <v>74</v>
      </c>
      <c r="Q98" s="16" t="s">
        <v>153</v>
      </c>
      <c r="R98" s="14" t="s">
        <v>154</v>
      </c>
      <c r="S98" s="14" t="s">
        <v>145</v>
      </c>
      <c r="T98" s="14" t="s">
        <v>79</v>
      </c>
      <c r="U98" s="15">
        <v>40550</v>
      </c>
      <c r="V98" s="15"/>
      <c r="W98" s="16"/>
      <c r="X98" s="16" t="s">
        <v>74</v>
      </c>
      <c r="Y98" s="14" t="s">
        <v>74</v>
      </c>
      <c r="Z98" s="16" t="s">
        <v>74</v>
      </c>
      <c r="AA98" s="16" t="s">
        <v>74</v>
      </c>
      <c r="AB98" s="16" t="s">
        <v>74</v>
      </c>
      <c r="AC98" s="14" t="s">
        <v>74</v>
      </c>
      <c r="AD98" s="16" t="s">
        <v>74</v>
      </c>
      <c r="AE98" s="16" t="s">
        <v>74</v>
      </c>
      <c r="AF98" s="16" t="s">
        <v>74</v>
      </c>
      <c r="AG98" s="14" t="s">
        <v>74</v>
      </c>
      <c r="AH98" s="16" t="s">
        <v>74</v>
      </c>
      <c r="AI98" s="16" t="s">
        <v>74</v>
      </c>
      <c r="AJ98" s="16" t="s">
        <v>74</v>
      </c>
      <c r="AK98" s="14" t="s">
        <v>74</v>
      </c>
      <c r="AL98" s="16" t="s">
        <v>74</v>
      </c>
      <c r="AM98" s="16" t="s">
        <v>74</v>
      </c>
      <c r="AN98" s="14" t="s">
        <v>74</v>
      </c>
      <c r="AO98" s="14" t="s">
        <v>74</v>
      </c>
    </row>
    <row r="99" spans="1:41" ht="58" x14ac:dyDescent="0.35">
      <c r="A99" s="14" t="s">
        <v>113</v>
      </c>
      <c r="B99" s="14" t="s">
        <v>62</v>
      </c>
      <c r="C99" s="15">
        <v>44852.614583333336</v>
      </c>
      <c r="D99" s="14" t="s">
        <v>63</v>
      </c>
      <c r="E99" s="16" t="s">
        <v>64</v>
      </c>
      <c r="F99" s="14" t="s">
        <v>65</v>
      </c>
      <c r="G99" s="16" t="s">
        <v>66</v>
      </c>
      <c r="H99" s="14" t="s">
        <v>284</v>
      </c>
      <c r="I99" s="16" t="s">
        <v>285</v>
      </c>
      <c r="J99" s="16" t="s">
        <v>286</v>
      </c>
      <c r="K99" s="16" t="s">
        <v>287</v>
      </c>
      <c r="L99" s="14" t="s">
        <v>294</v>
      </c>
      <c r="M99" s="16" t="s">
        <v>295</v>
      </c>
      <c r="N99" s="14" t="s">
        <v>111</v>
      </c>
      <c r="O99" s="16" t="s">
        <v>74</v>
      </c>
      <c r="P99" s="16" t="s">
        <v>74</v>
      </c>
      <c r="Q99" s="16" t="s">
        <v>153</v>
      </c>
      <c r="R99" s="14" t="s">
        <v>154</v>
      </c>
      <c r="S99" s="14" t="s">
        <v>145</v>
      </c>
      <c r="T99" s="14" t="s">
        <v>79</v>
      </c>
      <c r="U99" s="15">
        <v>40550</v>
      </c>
      <c r="V99" s="15"/>
      <c r="W99" s="16"/>
      <c r="X99" s="16" t="s">
        <v>74</v>
      </c>
      <c r="Y99" s="14" t="s">
        <v>74</v>
      </c>
      <c r="Z99" s="16" t="s">
        <v>74</v>
      </c>
      <c r="AA99" s="16" t="s">
        <v>74</v>
      </c>
      <c r="AB99" s="16" t="s">
        <v>74</v>
      </c>
      <c r="AC99" s="14" t="s">
        <v>74</v>
      </c>
      <c r="AD99" s="16" t="s">
        <v>74</v>
      </c>
      <c r="AE99" s="16" t="s">
        <v>74</v>
      </c>
      <c r="AF99" s="16" t="s">
        <v>74</v>
      </c>
      <c r="AG99" s="14" t="s">
        <v>74</v>
      </c>
      <c r="AH99" s="16" t="s">
        <v>74</v>
      </c>
      <c r="AI99" s="16" t="s">
        <v>74</v>
      </c>
      <c r="AJ99" s="16" t="s">
        <v>74</v>
      </c>
      <c r="AK99" s="14" t="s">
        <v>74</v>
      </c>
      <c r="AL99" s="16" t="s">
        <v>74</v>
      </c>
      <c r="AM99" s="16" t="s">
        <v>74</v>
      </c>
      <c r="AN99" s="14" t="s">
        <v>74</v>
      </c>
      <c r="AO99" s="14" t="s">
        <v>74</v>
      </c>
    </row>
    <row r="100" spans="1:41" ht="58" x14ac:dyDescent="0.35">
      <c r="A100" s="14" t="s">
        <v>113</v>
      </c>
      <c r="B100" s="14" t="s">
        <v>116</v>
      </c>
      <c r="C100" s="15">
        <v>44854.718055555553</v>
      </c>
      <c r="D100" s="14" t="s">
        <v>63</v>
      </c>
      <c r="E100" s="16" t="s">
        <v>64</v>
      </c>
      <c r="F100" s="14" t="s">
        <v>65</v>
      </c>
      <c r="G100" s="16" t="s">
        <v>66</v>
      </c>
      <c r="H100" s="14" t="s">
        <v>284</v>
      </c>
      <c r="I100" s="16" t="s">
        <v>285</v>
      </c>
      <c r="J100" s="16" t="s">
        <v>286</v>
      </c>
      <c r="K100" s="16" t="s">
        <v>287</v>
      </c>
      <c r="L100" s="14" t="s">
        <v>288</v>
      </c>
      <c r="M100" s="16" t="s">
        <v>289</v>
      </c>
      <c r="N100" s="14" t="s">
        <v>73</v>
      </c>
      <c r="O100" s="16" t="s">
        <v>74</v>
      </c>
      <c r="P100" s="16" t="s">
        <v>74</v>
      </c>
      <c r="Q100" s="16" t="s">
        <v>164</v>
      </c>
      <c r="R100" s="14" t="s">
        <v>165</v>
      </c>
      <c r="S100" s="14" t="s">
        <v>145</v>
      </c>
      <c r="T100" s="14" t="s">
        <v>79</v>
      </c>
      <c r="U100" s="15">
        <v>40550</v>
      </c>
      <c r="V100" s="15"/>
      <c r="W100" s="16"/>
      <c r="X100" s="16" t="s">
        <v>74</v>
      </c>
      <c r="Y100" s="14" t="s">
        <v>74</v>
      </c>
      <c r="Z100" s="16" t="s">
        <v>74</v>
      </c>
      <c r="AA100" s="16" t="s">
        <v>74</v>
      </c>
      <c r="AB100" s="16" t="s">
        <v>74</v>
      </c>
      <c r="AC100" s="14" t="s">
        <v>74</v>
      </c>
      <c r="AD100" s="16" t="s">
        <v>74</v>
      </c>
      <c r="AE100" s="16" t="s">
        <v>74</v>
      </c>
      <c r="AF100" s="16" t="s">
        <v>74</v>
      </c>
      <c r="AG100" s="14" t="s">
        <v>74</v>
      </c>
      <c r="AH100" s="16" t="s">
        <v>74</v>
      </c>
      <c r="AI100" s="16" t="s">
        <v>74</v>
      </c>
      <c r="AJ100" s="16" t="s">
        <v>74</v>
      </c>
      <c r="AK100" s="14" t="s">
        <v>74</v>
      </c>
      <c r="AL100" s="16" t="s">
        <v>74</v>
      </c>
      <c r="AM100" s="16" t="s">
        <v>74</v>
      </c>
      <c r="AN100" s="14" t="s">
        <v>74</v>
      </c>
      <c r="AO100" s="14" t="s">
        <v>74</v>
      </c>
    </row>
    <row r="101" spans="1:41" ht="58" x14ac:dyDescent="0.35">
      <c r="A101" s="14" t="s">
        <v>113</v>
      </c>
      <c r="B101" s="14" t="s">
        <v>62</v>
      </c>
      <c r="C101" s="15">
        <v>44852.614583333336</v>
      </c>
      <c r="D101" s="14" t="s">
        <v>63</v>
      </c>
      <c r="E101" s="16" t="s">
        <v>64</v>
      </c>
      <c r="F101" s="14" t="s">
        <v>65</v>
      </c>
      <c r="G101" s="16" t="s">
        <v>66</v>
      </c>
      <c r="H101" s="14" t="s">
        <v>284</v>
      </c>
      <c r="I101" s="16" t="s">
        <v>285</v>
      </c>
      <c r="J101" s="16" t="s">
        <v>286</v>
      </c>
      <c r="K101" s="16" t="s">
        <v>287</v>
      </c>
      <c r="L101" s="14" t="s">
        <v>294</v>
      </c>
      <c r="M101" s="16" t="s">
        <v>295</v>
      </c>
      <c r="N101" s="14" t="s">
        <v>111</v>
      </c>
      <c r="O101" s="16" t="s">
        <v>74</v>
      </c>
      <c r="P101" s="16" t="s">
        <v>74</v>
      </c>
      <c r="Q101" s="16" t="s">
        <v>164</v>
      </c>
      <c r="R101" s="14" t="s">
        <v>165</v>
      </c>
      <c r="S101" s="14" t="s">
        <v>145</v>
      </c>
      <c r="T101" s="14" t="s">
        <v>79</v>
      </c>
      <c r="U101" s="15">
        <v>40550</v>
      </c>
      <c r="V101" s="15"/>
      <c r="W101" s="16"/>
      <c r="X101" s="16" t="s">
        <v>74</v>
      </c>
      <c r="Y101" s="14" t="s">
        <v>74</v>
      </c>
      <c r="Z101" s="16" t="s">
        <v>74</v>
      </c>
      <c r="AA101" s="16" t="s">
        <v>74</v>
      </c>
      <c r="AB101" s="16" t="s">
        <v>74</v>
      </c>
      <c r="AC101" s="14" t="s">
        <v>74</v>
      </c>
      <c r="AD101" s="16" t="s">
        <v>74</v>
      </c>
      <c r="AE101" s="16" t="s">
        <v>74</v>
      </c>
      <c r="AF101" s="16" t="s">
        <v>74</v>
      </c>
      <c r="AG101" s="14" t="s">
        <v>74</v>
      </c>
      <c r="AH101" s="16" t="s">
        <v>74</v>
      </c>
      <c r="AI101" s="16" t="s">
        <v>74</v>
      </c>
      <c r="AJ101" s="16" t="s">
        <v>74</v>
      </c>
      <c r="AK101" s="14" t="s">
        <v>74</v>
      </c>
      <c r="AL101" s="16" t="s">
        <v>74</v>
      </c>
      <c r="AM101" s="16" t="s">
        <v>74</v>
      </c>
      <c r="AN101" s="14" t="s">
        <v>74</v>
      </c>
      <c r="AO101" s="14" t="s">
        <v>74</v>
      </c>
    </row>
    <row r="102" spans="1:41" ht="58" x14ac:dyDescent="0.35">
      <c r="A102" s="14" t="s">
        <v>113</v>
      </c>
      <c r="B102" s="14" t="s">
        <v>62</v>
      </c>
      <c r="C102" s="15">
        <v>44852.57916666667</v>
      </c>
      <c r="D102" s="14" t="s">
        <v>63</v>
      </c>
      <c r="E102" s="16" t="s">
        <v>64</v>
      </c>
      <c r="F102" s="14" t="s">
        <v>65</v>
      </c>
      <c r="G102" s="16" t="s">
        <v>66</v>
      </c>
      <c r="H102" s="14" t="s">
        <v>284</v>
      </c>
      <c r="I102" s="16" t="s">
        <v>285</v>
      </c>
      <c r="J102" s="16" t="s">
        <v>286</v>
      </c>
      <c r="K102" s="16" t="s">
        <v>287</v>
      </c>
      <c r="L102" s="14" t="s">
        <v>288</v>
      </c>
      <c r="M102" s="16" t="s">
        <v>289</v>
      </c>
      <c r="N102" s="14" t="s">
        <v>73</v>
      </c>
      <c r="O102" s="16" t="s">
        <v>74</v>
      </c>
      <c r="P102" s="16" t="s">
        <v>74</v>
      </c>
      <c r="Q102" s="16" t="s">
        <v>166</v>
      </c>
      <c r="R102" s="14" t="s">
        <v>167</v>
      </c>
      <c r="S102" s="14" t="s">
        <v>145</v>
      </c>
      <c r="T102" s="14" t="s">
        <v>117</v>
      </c>
      <c r="U102" s="15">
        <v>40550</v>
      </c>
      <c r="V102" s="15"/>
      <c r="W102" s="16"/>
      <c r="X102" s="16" t="s">
        <v>74</v>
      </c>
      <c r="Y102" s="14" t="s">
        <v>74</v>
      </c>
      <c r="Z102" s="16" t="s">
        <v>74</v>
      </c>
      <c r="AA102" s="16" t="s">
        <v>74</v>
      </c>
      <c r="AB102" s="16" t="s">
        <v>74</v>
      </c>
      <c r="AC102" s="14" t="s">
        <v>74</v>
      </c>
      <c r="AD102" s="16" t="s">
        <v>74</v>
      </c>
      <c r="AE102" s="16" t="s">
        <v>74</v>
      </c>
      <c r="AF102" s="16" t="s">
        <v>74</v>
      </c>
      <c r="AG102" s="14" t="s">
        <v>74</v>
      </c>
      <c r="AH102" s="16" t="s">
        <v>74</v>
      </c>
      <c r="AI102" s="16" t="s">
        <v>74</v>
      </c>
      <c r="AJ102" s="16" t="s">
        <v>74</v>
      </c>
      <c r="AK102" s="14" t="s">
        <v>74</v>
      </c>
      <c r="AL102" s="16" t="s">
        <v>74</v>
      </c>
      <c r="AM102" s="16" t="s">
        <v>74</v>
      </c>
      <c r="AN102" s="14" t="s">
        <v>74</v>
      </c>
      <c r="AO102" s="14" t="s">
        <v>74</v>
      </c>
    </row>
    <row r="103" spans="1:41" ht="58" x14ac:dyDescent="0.35">
      <c r="A103" s="14" t="s">
        <v>113</v>
      </c>
      <c r="B103" s="14" t="s">
        <v>62</v>
      </c>
      <c r="C103" s="15">
        <v>44852.614583333336</v>
      </c>
      <c r="D103" s="14" t="s">
        <v>63</v>
      </c>
      <c r="E103" s="16" t="s">
        <v>64</v>
      </c>
      <c r="F103" s="14" t="s">
        <v>65</v>
      </c>
      <c r="G103" s="16" t="s">
        <v>66</v>
      </c>
      <c r="H103" s="14" t="s">
        <v>284</v>
      </c>
      <c r="I103" s="16" t="s">
        <v>285</v>
      </c>
      <c r="J103" s="16" t="s">
        <v>286</v>
      </c>
      <c r="K103" s="16" t="s">
        <v>287</v>
      </c>
      <c r="L103" s="14" t="s">
        <v>294</v>
      </c>
      <c r="M103" s="16" t="s">
        <v>295</v>
      </c>
      <c r="N103" s="14" t="s">
        <v>111</v>
      </c>
      <c r="O103" s="16" t="s">
        <v>74</v>
      </c>
      <c r="P103" s="16" t="s">
        <v>74</v>
      </c>
      <c r="Q103" s="16" t="s">
        <v>166</v>
      </c>
      <c r="R103" s="14" t="s">
        <v>167</v>
      </c>
      <c r="S103" s="14" t="s">
        <v>145</v>
      </c>
      <c r="T103" s="14" t="s">
        <v>117</v>
      </c>
      <c r="U103" s="15">
        <v>40550</v>
      </c>
      <c r="V103" s="15"/>
      <c r="W103" s="16"/>
      <c r="X103" s="16" t="s">
        <v>74</v>
      </c>
      <c r="Y103" s="14" t="s">
        <v>74</v>
      </c>
      <c r="Z103" s="16" t="s">
        <v>74</v>
      </c>
      <c r="AA103" s="16" t="s">
        <v>74</v>
      </c>
      <c r="AB103" s="16" t="s">
        <v>74</v>
      </c>
      <c r="AC103" s="14" t="s">
        <v>74</v>
      </c>
      <c r="AD103" s="16" t="s">
        <v>74</v>
      </c>
      <c r="AE103" s="16" t="s">
        <v>74</v>
      </c>
      <c r="AF103" s="16" t="s">
        <v>74</v>
      </c>
      <c r="AG103" s="14" t="s">
        <v>74</v>
      </c>
      <c r="AH103" s="16" t="s">
        <v>74</v>
      </c>
      <c r="AI103" s="16" t="s">
        <v>74</v>
      </c>
      <c r="AJ103" s="16" t="s">
        <v>74</v>
      </c>
      <c r="AK103" s="14" t="s">
        <v>74</v>
      </c>
      <c r="AL103" s="16" t="s">
        <v>74</v>
      </c>
      <c r="AM103" s="16" t="s">
        <v>74</v>
      </c>
      <c r="AN103" s="14" t="s">
        <v>74</v>
      </c>
      <c r="AO103" s="14" t="s">
        <v>74</v>
      </c>
    </row>
    <row r="104" spans="1:41" ht="58" x14ac:dyDescent="0.35">
      <c r="A104" s="14" t="s">
        <v>113</v>
      </c>
      <c r="B104" s="14" t="s">
        <v>62</v>
      </c>
      <c r="C104" s="15">
        <v>44852.57916666667</v>
      </c>
      <c r="D104" s="14" t="s">
        <v>63</v>
      </c>
      <c r="E104" s="16" t="s">
        <v>64</v>
      </c>
      <c r="F104" s="14" t="s">
        <v>65</v>
      </c>
      <c r="G104" s="16" t="s">
        <v>66</v>
      </c>
      <c r="H104" s="14" t="s">
        <v>284</v>
      </c>
      <c r="I104" s="16" t="s">
        <v>285</v>
      </c>
      <c r="J104" s="16" t="s">
        <v>286</v>
      </c>
      <c r="K104" s="16" t="s">
        <v>287</v>
      </c>
      <c r="L104" s="14" t="s">
        <v>288</v>
      </c>
      <c r="M104" s="16" t="s">
        <v>289</v>
      </c>
      <c r="N104" s="14" t="s">
        <v>73</v>
      </c>
      <c r="O104" s="16" t="s">
        <v>74</v>
      </c>
      <c r="P104" s="16" t="s">
        <v>74</v>
      </c>
      <c r="Q104" s="16" t="s">
        <v>168</v>
      </c>
      <c r="R104" s="14" t="s">
        <v>169</v>
      </c>
      <c r="S104" s="14" t="s">
        <v>145</v>
      </c>
      <c r="T104" s="14" t="s">
        <v>79</v>
      </c>
      <c r="U104" s="15">
        <v>40550</v>
      </c>
      <c r="V104" s="15"/>
      <c r="W104" s="16"/>
      <c r="X104" s="16" t="s">
        <v>74</v>
      </c>
      <c r="Y104" s="14" t="s">
        <v>74</v>
      </c>
      <c r="Z104" s="16" t="s">
        <v>74</v>
      </c>
      <c r="AA104" s="16" t="s">
        <v>74</v>
      </c>
      <c r="AB104" s="16" t="s">
        <v>74</v>
      </c>
      <c r="AC104" s="14" t="s">
        <v>74</v>
      </c>
      <c r="AD104" s="16" t="s">
        <v>74</v>
      </c>
      <c r="AE104" s="16" t="s">
        <v>74</v>
      </c>
      <c r="AF104" s="16" t="s">
        <v>74</v>
      </c>
      <c r="AG104" s="14" t="s">
        <v>74</v>
      </c>
      <c r="AH104" s="16" t="s">
        <v>74</v>
      </c>
      <c r="AI104" s="16" t="s">
        <v>74</v>
      </c>
      <c r="AJ104" s="16" t="s">
        <v>74</v>
      </c>
      <c r="AK104" s="14" t="s">
        <v>74</v>
      </c>
      <c r="AL104" s="16" t="s">
        <v>74</v>
      </c>
      <c r="AM104" s="16" t="s">
        <v>74</v>
      </c>
      <c r="AN104" s="14" t="s">
        <v>74</v>
      </c>
      <c r="AO104" s="14" t="s">
        <v>74</v>
      </c>
    </row>
    <row r="105" spans="1:41" ht="58" x14ac:dyDescent="0.35">
      <c r="A105" s="14" t="s">
        <v>113</v>
      </c>
      <c r="B105" s="14" t="s">
        <v>62</v>
      </c>
      <c r="C105" s="15">
        <v>44852.614583333336</v>
      </c>
      <c r="D105" s="14" t="s">
        <v>63</v>
      </c>
      <c r="E105" s="16" t="s">
        <v>64</v>
      </c>
      <c r="F105" s="14" t="s">
        <v>65</v>
      </c>
      <c r="G105" s="16" t="s">
        <v>66</v>
      </c>
      <c r="H105" s="14" t="s">
        <v>284</v>
      </c>
      <c r="I105" s="16" t="s">
        <v>285</v>
      </c>
      <c r="J105" s="16" t="s">
        <v>286</v>
      </c>
      <c r="K105" s="16" t="s">
        <v>287</v>
      </c>
      <c r="L105" s="14" t="s">
        <v>294</v>
      </c>
      <c r="M105" s="16" t="s">
        <v>295</v>
      </c>
      <c r="N105" s="14" t="s">
        <v>111</v>
      </c>
      <c r="O105" s="16" t="s">
        <v>74</v>
      </c>
      <c r="P105" s="16" t="s">
        <v>74</v>
      </c>
      <c r="Q105" s="16" t="s">
        <v>168</v>
      </c>
      <c r="R105" s="14" t="s">
        <v>169</v>
      </c>
      <c r="S105" s="14" t="s">
        <v>145</v>
      </c>
      <c r="T105" s="14" t="s">
        <v>79</v>
      </c>
      <c r="U105" s="15">
        <v>40550</v>
      </c>
      <c r="V105" s="15"/>
      <c r="W105" s="16"/>
      <c r="X105" s="16" t="s">
        <v>74</v>
      </c>
      <c r="Y105" s="14" t="s">
        <v>74</v>
      </c>
      <c r="Z105" s="16" t="s">
        <v>74</v>
      </c>
      <c r="AA105" s="16" t="s">
        <v>74</v>
      </c>
      <c r="AB105" s="16" t="s">
        <v>74</v>
      </c>
      <c r="AC105" s="14" t="s">
        <v>74</v>
      </c>
      <c r="AD105" s="16" t="s">
        <v>74</v>
      </c>
      <c r="AE105" s="16" t="s">
        <v>74</v>
      </c>
      <c r="AF105" s="16" t="s">
        <v>74</v>
      </c>
      <c r="AG105" s="14" t="s">
        <v>74</v>
      </c>
      <c r="AH105" s="16" t="s">
        <v>74</v>
      </c>
      <c r="AI105" s="16" t="s">
        <v>74</v>
      </c>
      <c r="AJ105" s="16" t="s">
        <v>74</v>
      </c>
      <c r="AK105" s="14" t="s">
        <v>74</v>
      </c>
      <c r="AL105" s="16" t="s">
        <v>74</v>
      </c>
      <c r="AM105" s="16" t="s">
        <v>74</v>
      </c>
      <c r="AN105" s="14" t="s">
        <v>74</v>
      </c>
      <c r="AO105" s="14" t="s">
        <v>74</v>
      </c>
    </row>
    <row r="106" spans="1:41" ht="58" x14ac:dyDescent="0.35">
      <c r="A106" s="14" t="s">
        <v>113</v>
      </c>
      <c r="B106" s="14" t="s">
        <v>116</v>
      </c>
      <c r="C106" s="15">
        <v>44854.71875</v>
      </c>
      <c r="D106" s="14" t="s">
        <v>63</v>
      </c>
      <c r="E106" s="16" t="s">
        <v>64</v>
      </c>
      <c r="F106" s="14" t="s">
        <v>65</v>
      </c>
      <c r="G106" s="16" t="s">
        <v>66</v>
      </c>
      <c r="H106" s="14" t="s">
        <v>308</v>
      </c>
      <c r="I106" s="16" t="s">
        <v>309</v>
      </c>
      <c r="J106" s="16" t="s">
        <v>310</v>
      </c>
      <c r="K106" s="16" t="s">
        <v>311</v>
      </c>
      <c r="L106" s="14" t="s">
        <v>312</v>
      </c>
      <c r="M106" s="16" t="s">
        <v>313</v>
      </c>
      <c r="N106" s="14" t="s">
        <v>73</v>
      </c>
      <c r="O106" s="16" t="s">
        <v>74</v>
      </c>
      <c r="P106" s="16" t="s">
        <v>74</v>
      </c>
      <c r="Q106" s="16" t="s">
        <v>75</v>
      </c>
      <c r="R106" s="14" t="s">
        <v>76</v>
      </c>
      <c r="S106" s="14" t="s">
        <v>78</v>
      </c>
      <c r="T106" s="14" t="s">
        <v>79</v>
      </c>
      <c r="U106" s="15">
        <v>40550</v>
      </c>
      <c r="V106" s="15"/>
      <c r="W106" s="16"/>
      <c r="X106" s="16" t="s">
        <v>74</v>
      </c>
      <c r="Y106" s="14" t="s">
        <v>74</v>
      </c>
      <c r="Z106" s="16" t="s">
        <v>74</v>
      </c>
      <c r="AA106" s="16" t="s">
        <v>74</v>
      </c>
      <c r="AB106" s="16" t="s">
        <v>74</v>
      </c>
      <c r="AC106" s="14" t="s">
        <v>74</v>
      </c>
      <c r="AD106" s="16" t="s">
        <v>74</v>
      </c>
      <c r="AE106" s="16" t="s">
        <v>74</v>
      </c>
      <c r="AF106" s="16" t="s">
        <v>74</v>
      </c>
      <c r="AG106" s="14" t="s">
        <v>74</v>
      </c>
      <c r="AH106" s="16" t="s">
        <v>74</v>
      </c>
      <c r="AI106" s="16" t="s">
        <v>74</v>
      </c>
      <c r="AJ106" s="16" t="s">
        <v>74</v>
      </c>
      <c r="AK106" s="14" t="s">
        <v>74</v>
      </c>
      <c r="AL106" s="16" t="s">
        <v>74</v>
      </c>
      <c r="AM106" s="16" t="s">
        <v>74</v>
      </c>
      <c r="AN106" s="14" t="s">
        <v>74</v>
      </c>
      <c r="AO106" s="14" t="s">
        <v>74</v>
      </c>
    </row>
    <row r="107" spans="1:41" ht="58" x14ac:dyDescent="0.35">
      <c r="A107" s="14" t="s">
        <v>113</v>
      </c>
      <c r="B107" s="14" t="s">
        <v>62</v>
      </c>
      <c r="C107" s="15">
        <v>44852.622916666667</v>
      </c>
      <c r="D107" s="14" t="s">
        <v>63</v>
      </c>
      <c r="E107" s="16" t="s">
        <v>64</v>
      </c>
      <c r="F107" s="14" t="s">
        <v>65</v>
      </c>
      <c r="G107" s="16" t="s">
        <v>66</v>
      </c>
      <c r="H107" s="14" t="s">
        <v>308</v>
      </c>
      <c r="I107" s="16" t="s">
        <v>309</v>
      </c>
      <c r="J107" s="16" t="s">
        <v>310</v>
      </c>
      <c r="K107" s="16" t="s">
        <v>311</v>
      </c>
      <c r="L107" s="14" t="s">
        <v>319</v>
      </c>
      <c r="M107" s="16" t="s">
        <v>320</v>
      </c>
      <c r="N107" s="14" t="s">
        <v>111</v>
      </c>
      <c r="O107" s="16" t="s">
        <v>74</v>
      </c>
      <c r="P107" s="16" t="s">
        <v>74</v>
      </c>
      <c r="Q107" s="16" t="s">
        <v>75</v>
      </c>
      <c r="R107" s="14" t="s">
        <v>76</v>
      </c>
      <c r="S107" s="14" t="s">
        <v>78</v>
      </c>
      <c r="T107" s="14" t="s">
        <v>79</v>
      </c>
      <c r="U107" s="15">
        <v>40550</v>
      </c>
      <c r="V107" s="15"/>
      <c r="W107" s="16"/>
      <c r="X107" s="16" t="s">
        <v>74</v>
      </c>
      <c r="Y107" s="14" t="s">
        <v>74</v>
      </c>
      <c r="Z107" s="16" t="s">
        <v>74</v>
      </c>
      <c r="AA107" s="16" t="s">
        <v>74</v>
      </c>
      <c r="AB107" s="16" t="s">
        <v>74</v>
      </c>
      <c r="AC107" s="14" t="s">
        <v>74</v>
      </c>
      <c r="AD107" s="16" t="s">
        <v>74</v>
      </c>
      <c r="AE107" s="16" t="s">
        <v>74</v>
      </c>
      <c r="AF107" s="16" t="s">
        <v>74</v>
      </c>
      <c r="AG107" s="14" t="s">
        <v>74</v>
      </c>
      <c r="AH107" s="16" t="s">
        <v>74</v>
      </c>
      <c r="AI107" s="16" t="s">
        <v>74</v>
      </c>
      <c r="AJ107" s="16" t="s">
        <v>74</v>
      </c>
      <c r="AK107" s="14" t="s">
        <v>74</v>
      </c>
      <c r="AL107" s="16" t="s">
        <v>74</v>
      </c>
      <c r="AM107" s="16" t="s">
        <v>74</v>
      </c>
      <c r="AN107" s="14" t="s">
        <v>74</v>
      </c>
      <c r="AO107" s="14" t="s">
        <v>74</v>
      </c>
    </row>
    <row r="108" spans="1:41" ht="58" x14ac:dyDescent="0.35">
      <c r="A108" s="14" t="s">
        <v>113</v>
      </c>
      <c r="B108" s="14" t="s">
        <v>62</v>
      </c>
      <c r="C108" s="15">
        <v>44886.494444444441</v>
      </c>
      <c r="D108" s="14" t="s">
        <v>63</v>
      </c>
      <c r="E108" s="16" t="s">
        <v>64</v>
      </c>
      <c r="F108" s="14" t="s">
        <v>65</v>
      </c>
      <c r="G108" s="16" t="s">
        <v>66</v>
      </c>
      <c r="H108" s="14" t="s">
        <v>308</v>
      </c>
      <c r="I108" s="16" t="s">
        <v>309</v>
      </c>
      <c r="J108" s="16" t="s">
        <v>310</v>
      </c>
      <c r="K108" s="16" t="s">
        <v>311</v>
      </c>
      <c r="L108" s="14" t="s">
        <v>312</v>
      </c>
      <c r="M108" s="16" t="s">
        <v>313</v>
      </c>
      <c r="N108" s="14" t="s">
        <v>73</v>
      </c>
      <c r="O108" s="16" t="s">
        <v>74</v>
      </c>
      <c r="P108" s="16" t="s">
        <v>74</v>
      </c>
      <c r="Q108" s="16" t="s">
        <v>114</v>
      </c>
      <c r="R108" s="14" t="s">
        <v>115</v>
      </c>
      <c r="S108" s="14" t="s">
        <v>78</v>
      </c>
      <c r="T108" s="14" t="s">
        <v>117</v>
      </c>
      <c r="U108" s="15">
        <v>43831</v>
      </c>
      <c r="V108" s="15"/>
      <c r="W108" s="16"/>
      <c r="X108" s="16" t="s">
        <v>74</v>
      </c>
      <c r="Y108" s="14" t="s">
        <v>74</v>
      </c>
      <c r="Z108" s="16" t="s">
        <v>74</v>
      </c>
      <c r="AA108" s="16" t="s">
        <v>74</v>
      </c>
      <c r="AB108" s="16" t="s">
        <v>74</v>
      </c>
      <c r="AC108" s="14" t="s">
        <v>74</v>
      </c>
      <c r="AD108" s="16" t="s">
        <v>74</v>
      </c>
      <c r="AE108" s="16" t="s">
        <v>74</v>
      </c>
      <c r="AF108" s="16" t="s">
        <v>74</v>
      </c>
      <c r="AG108" s="14" t="s">
        <v>74</v>
      </c>
      <c r="AH108" s="16" t="s">
        <v>74</v>
      </c>
      <c r="AI108" s="16" t="s">
        <v>74</v>
      </c>
      <c r="AJ108" s="16" t="s">
        <v>74</v>
      </c>
      <c r="AK108" s="14" t="s">
        <v>74</v>
      </c>
      <c r="AL108" s="16" t="s">
        <v>74</v>
      </c>
      <c r="AM108" s="16" t="s">
        <v>74</v>
      </c>
      <c r="AN108" s="14" t="s">
        <v>74</v>
      </c>
      <c r="AO108" s="14" t="s">
        <v>74</v>
      </c>
    </row>
    <row r="109" spans="1:41" ht="58" x14ac:dyDescent="0.35">
      <c r="A109" s="14" t="s">
        <v>113</v>
      </c>
      <c r="B109" s="14" t="s">
        <v>62</v>
      </c>
      <c r="C109" s="15">
        <v>44886.494444444441</v>
      </c>
      <c r="D109" s="14" t="s">
        <v>63</v>
      </c>
      <c r="E109" s="16" t="s">
        <v>64</v>
      </c>
      <c r="F109" s="14" t="s">
        <v>65</v>
      </c>
      <c r="G109" s="16" t="s">
        <v>66</v>
      </c>
      <c r="H109" s="14" t="s">
        <v>308</v>
      </c>
      <c r="I109" s="16" t="s">
        <v>309</v>
      </c>
      <c r="J109" s="16" t="s">
        <v>310</v>
      </c>
      <c r="K109" s="16" t="s">
        <v>311</v>
      </c>
      <c r="L109" s="14" t="s">
        <v>319</v>
      </c>
      <c r="M109" s="16" t="s">
        <v>320</v>
      </c>
      <c r="N109" s="14" t="s">
        <v>111</v>
      </c>
      <c r="O109" s="16" t="s">
        <v>74</v>
      </c>
      <c r="P109" s="16" t="s">
        <v>74</v>
      </c>
      <c r="Q109" s="16" t="s">
        <v>114</v>
      </c>
      <c r="R109" s="14" t="s">
        <v>115</v>
      </c>
      <c r="S109" s="14" t="s">
        <v>78</v>
      </c>
      <c r="T109" s="14" t="s">
        <v>117</v>
      </c>
      <c r="U109" s="15">
        <v>43831</v>
      </c>
      <c r="V109" s="15"/>
      <c r="W109" s="16"/>
      <c r="X109" s="16" t="s">
        <v>74</v>
      </c>
      <c r="Y109" s="14" t="s">
        <v>74</v>
      </c>
      <c r="Z109" s="16" t="s">
        <v>74</v>
      </c>
      <c r="AA109" s="16" t="s">
        <v>74</v>
      </c>
      <c r="AB109" s="16" t="s">
        <v>74</v>
      </c>
      <c r="AC109" s="14" t="s">
        <v>74</v>
      </c>
      <c r="AD109" s="16" t="s">
        <v>74</v>
      </c>
      <c r="AE109" s="16" t="s">
        <v>74</v>
      </c>
      <c r="AF109" s="16" t="s">
        <v>74</v>
      </c>
      <c r="AG109" s="14" t="s">
        <v>74</v>
      </c>
      <c r="AH109" s="16" t="s">
        <v>74</v>
      </c>
      <c r="AI109" s="16" t="s">
        <v>74</v>
      </c>
      <c r="AJ109" s="16" t="s">
        <v>74</v>
      </c>
      <c r="AK109" s="14" t="s">
        <v>74</v>
      </c>
      <c r="AL109" s="16" t="s">
        <v>74</v>
      </c>
      <c r="AM109" s="16" t="s">
        <v>74</v>
      </c>
      <c r="AN109" s="14" t="s">
        <v>74</v>
      </c>
      <c r="AO109" s="14" t="s">
        <v>74</v>
      </c>
    </row>
    <row r="110" spans="1:41" ht="58" x14ac:dyDescent="0.35">
      <c r="A110" s="14" t="s">
        <v>113</v>
      </c>
      <c r="B110" s="14" t="s">
        <v>62</v>
      </c>
      <c r="C110" s="15">
        <v>44852.615972222222</v>
      </c>
      <c r="D110" s="14" t="s">
        <v>63</v>
      </c>
      <c r="E110" s="16" t="s">
        <v>64</v>
      </c>
      <c r="F110" s="14" t="s">
        <v>65</v>
      </c>
      <c r="G110" s="16" t="s">
        <v>66</v>
      </c>
      <c r="H110" s="14" t="s">
        <v>308</v>
      </c>
      <c r="I110" s="16" t="s">
        <v>309</v>
      </c>
      <c r="J110" s="16" t="s">
        <v>310</v>
      </c>
      <c r="K110" s="16" t="s">
        <v>311</v>
      </c>
      <c r="L110" s="14" t="s">
        <v>312</v>
      </c>
      <c r="M110" s="16" t="s">
        <v>313</v>
      </c>
      <c r="N110" s="14" t="s">
        <v>73</v>
      </c>
      <c r="O110" s="16" t="s">
        <v>74</v>
      </c>
      <c r="P110" s="16" t="s">
        <v>74</v>
      </c>
      <c r="Q110" s="16" t="s">
        <v>118</v>
      </c>
      <c r="R110" s="14" t="s">
        <v>119</v>
      </c>
      <c r="S110" s="14" t="s">
        <v>78</v>
      </c>
      <c r="T110" s="14" t="s">
        <v>117</v>
      </c>
      <c r="U110" s="15">
        <v>40550</v>
      </c>
      <c r="V110" s="15"/>
      <c r="W110" s="16"/>
      <c r="X110" s="16" t="s">
        <v>74</v>
      </c>
      <c r="Y110" s="14" t="s">
        <v>74</v>
      </c>
      <c r="Z110" s="16" t="s">
        <v>74</v>
      </c>
      <c r="AA110" s="16" t="s">
        <v>74</v>
      </c>
      <c r="AB110" s="16" t="s">
        <v>74</v>
      </c>
      <c r="AC110" s="14" t="s">
        <v>74</v>
      </c>
      <c r="AD110" s="16" t="s">
        <v>74</v>
      </c>
      <c r="AE110" s="16" t="s">
        <v>74</v>
      </c>
      <c r="AF110" s="16" t="s">
        <v>74</v>
      </c>
      <c r="AG110" s="14" t="s">
        <v>74</v>
      </c>
      <c r="AH110" s="16" t="s">
        <v>74</v>
      </c>
      <c r="AI110" s="16" t="s">
        <v>74</v>
      </c>
      <c r="AJ110" s="16" t="s">
        <v>74</v>
      </c>
      <c r="AK110" s="14" t="s">
        <v>74</v>
      </c>
      <c r="AL110" s="16" t="s">
        <v>74</v>
      </c>
      <c r="AM110" s="16" t="s">
        <v>74</v>
      </c>
      <c r="AN110" s="14" t="s">
        <v>74</v>
      </c>
      <c r="AO110" s="14" t="s">
        <v>74</v>
      </c>
    </row>
    <row r="111" spans="1:41" ht="58" x14ac:dyDescent="0.35">
      <c r="A111" s="14" t="s">
        <v>113</v>
      </c>
      <c r="B111" s="14" t="s">
        <v>62</v>
      </c>
      <c r="C111" s="15">
        <v>44852.622916666667</v>
      </c>
      <c r="D111" s="14" t="s">
        <v>63</v>
      </c>
      <c r="E111" s="16" t="s">
        <v>64</v>
      </c>
      <c r="F111" s="14" t="s">
        <v>65</v>
      </c>
      <c r="G111" s="16" t="s">
        <v>66</v>
      </c>
      <c r="H111" s="14" t="s">
        <v>308</v>
      </c>
      <c r="I111" s="16" t="s">
        <v>309</v>
      </c>
      <c r="J111" s="16" t="s">
        <v>310</v>
      </c>
      <c r="K111" s="16" t="s">
        <v>311</v>
      </c>
      <c r="L111" s="14" t="s">
        <v>319</v>
      </c>
      <c r="M111" s="16" t="s">
        <v>320</v>
      </c>
      <c r="N111" s="14" t="s">
        <v>111</v>
      </c>
      <c r="O111" s="16" t="s">
        <v>74</v>
      </c>
      <c r="P111" s="16" t="s">
        <v>74</v>
      </c>
      <c r="Q111" s="16" t="s">
        <v>118</v>
      </c>
      <c r="R111" s="14" t="s">
        <v>119</v>
      </c>
      <c r="S111" s="14" t="s">
        <v>78</v>
      </c>
      <c r="T111" s="14" t="s">
        <v>117</v>
      </c>
      <c r="U111" s="15">
        <v>40550</v>
      </c>
      <c r="V111" s="15"/>
      <c r="W111" s="16"/>
      <c r="X111" s="16" t="s">
        <v>74</v>
      </c>
      <c r="Y111" s="14" t="s">
        <v>74</v>
      </c>
      <c r="Z111" s="16" t="s">
        <v>74</v>
      </c>
      <c r="AA111" s="16" t="s">
        <v>74</v>
      </c>
      <c r="AB111" s="16" t="s">
        <v>74</v>
      </c>
      <c r="AC111" s="14" t="s">
        <v>74</v>
      </c>
      <c r="AD111" s="16" t="s">
        <v>74</v>
      </c>
      <c r="AE111" s="16" t="s">
        <v>74</v>
      </c>
      <c r="AF111" s="16" t="s">
        <v>74</v>
      </c>
      <c r="AG111" s="14" t="s">
        <v>74</v>
      </c>
      <c r="AH111" s="16" t="s">
        <v>74</v>
      </c>
      <c r="AI111" s="16" t="s">
        <v>74</v>
      </c>
      <c r="AJ111" s="16" t="s">
        <v>74</v>
      </c>
      <c r="AK111" s="14" t="s">
        <v>74</v>
      </c>
      <c r="AL111" s="16" t="s">
        <v>74</v>
      </c>
      <c r="AM111" s="16" t="s">
        <v>74</v>
      </c>
      <c r="AN111" s="14" t="s">
        <v>74</v>
      </c>
      <c r="AO111" s="14" t="s">
        <v>74</v>
      </c>
    </row>
    <row r="112" spans="1:41" ht="58" x14ac:dyDescent="0.35">
      <c r="A112" s="14" t="s">
        <v>113</v>
      </c>
      <c r="B112" s="14" t="s">
        <v>62</v>
      </c>
      <c r="C112" s="15">
        <v>44852.615972222222</v>
      </c>
      <c r="D112" s="14" t="s">
        <v>63</v>
      </c>
      <c r="E112" s="16" t="s">
        <v>64</v>
      </c>
      <c r="F112" s="14" t="s">
        <v>65</v>
      </c>
      <c r="G112" s="16" t="s">
        <v>66</v>
      </c>
      <c r="H112" s="14" t="s">
        <v>308</v>
      </c>
      <c r="I112" s="16" t="s">
        <v>309</v>
      </c>
      <c r="J112" s="16" t="s">
        <v>310</v>
      </c>
      <c r="K112" s="16" t="s">
        <v>311</v>
      </c>
      <c r="L112" s="14" t="s">
        <v>312</v>
      </c>
      <c r="M112" s="16" t="s">
        <v>313</v>
      </c>
      <c r="N112" s="14" t="s">
        <v>73</v>
      </c>
      <c r="O112" s="16" t="s">
        <v>74</v>
      </c>
      <c r="P112" s="16" t="s">
        <v>74</v>
      </c>
      <c r="Q112" s="16" t="s">
        <v>137</v>
      </c>
      <c r="R112" s="14" t="s">
        <v>138</v>
      </c>
      <c r="S112" s="14" t="s">
        <v>78</v>
      </c>
      <c r="T112" s="14" t="s">
        <v>117</v>
      </c>
      <c r="U112" s="15">
        <v>40550</v>
      </c>
      <c r="V112" s="15"/>
      <c r="W112" s="16"/>
      <c r="X112" s="16" t="s">
        <v>74</v>
      </c>
      <c r="Y112" s="14" t="s">
        <v>74</v>
      </c>
      <c r="Z112" s="16" t="s">
        <v>74</v>
      </c>
      <c r="AA112" s="16" t="s">
        <v>74</v>
      </c>
      <c r="AB112" s="16" t="s">
        <v>74</v>
      </c>
      <c r="AC112" s="14" t="s">
        <v>74</v>
      </c>
      <c r="AD112" s="16" t="s">
        <v>74</v>
      </c>
      <c r="AE112" s="16" t="s">
        <v>74</v>
      </c>
      <c r="AF112" s="16" t="s">
        <v>74</v>
      </c>
      <c r="AG112" s="14" t="s">
        <v>74</v>
      </c>
      <c r="AH112" s="16" t="s">
        <v>74</v>
      </c>
      <c r="AI112" s="16" t="s">
        <v>74</v>
      </c>
      <c r="AJ112" s="16" t="s">
        <v>74</v>
      </c>
      <c r="AK112" s="14" t="s">
        <v>74</v>
      </c>
      <c r="AL112" s="16" t="s">
        <v>74</v>
      </c>
      <c r="AM112" s="16" t="s">
        <v>74</v>
      </c>
      <c r="AN112" s="14" t="s">
        <v>74</v>
      </c>
      <c r="AO112" s="14" t="s">
        <v>74</v>
      </c>
    </row>
    <row r="113" spans="1:41" ht="58" x14ac:dyDescent="0.35">
      <c r="A113" s="14" t="s">
        <v>113</v>
      </c>
      <c r="B113" s="14" t="s">
        <v>62</v>
      </c>
      <c r="C113" s="15">
        <v>44852.622916666667</v>
      </c>
      <c r="D113" s="14" t="s">
        <v>63</v>
      </c>
      <c r="E113" s="16" t="s">
        <v>64</v>
      </c>
      <c r="F113" s="14" t="s">
        <v>65</v>
      </c>
      <c r="G113" s="16" t="s">
        <v>66</v>
      </c>
      <c r="H113" s="14" t="s">
        <v>308</v>
      </c>
      <c r="I113" s="16" t="s">
        <v>309</v>
      </c>
      <c r="J113" s="16" t="s">
        <v>310</v>
      </c>
      <c r="K113" s="16" t="s">
        <v>311</v>
      </c>
      <c r="L113" s="14" t="s">
        <v>319</v>
      </c>
      <c r="M113" s="16" t="s">
        <v>320</v>
      </c>
      <c r="N113" s="14" t="s">
        <v>111</v>
      </c>
      <c r="O113" s="16" t="s">
        <v>74</v>
      </c>
      <c r="P113" s="16" t="s">
        <v>74</v>
      </c>
      <c r="Q113" s="16" t="s">
        <v>137</v>
      </c>
      <c r="R113" s="14" t="s">
        <v>138</v>
      </c>
      <c r="S113" s="14" t="s">
        <v>78</v>
      </c>
      <c r="T113" s="14" t="s">
        <v>117</v>
      </c>
      <c r="U113" s="15">
        <v>40550</v>
      </c>
      <c r="V113" s="15"/>
      <c r="W113" s="16"/>
      <c r="X113" s="16" t="s">
        <v>74</v>
      </c>
      <c r="Y113" s="14" t="s">
        <v>74</v>
      </c>
      <c r="Z113" s="16" t="s">
        <v>74</v>
      </c>
      <c r="AA113" s="16" t="s">
        <v>74</v>
      </c>
      <c r="AB113" s="16" t="s">
        <v>74</v>
      </c>
      <c r="AC113" s="14" t="s">
        <v>74</v>
      </c>
      <c r="AD113" s="16" t="s">
        <v>74</v>
      </c>
      <c r="AE113" s="16" t="s">
        <v>74</v>
      </c>
      <c r="AF113" s="16" t="s">
        <v>74</v>
      </c>
      <c r="AG113" s="14" t="s">
        <v>74</v>
      </c>
      <c r="AH113" s="16" t="s">
        <v>74</v>
      </c>
      <c r="AI113" s="16" t="s">
        <v>74</v>
      </c>
      <c r="AJ113" s="16" t="s">
        <v>74</v>
      </c>
      <c r="AK113" s="14" t="s">
        <v>74</v>
      </c>
      <c r="AL113" s="16" t="s">
        <v>74</v>
      </c>
      <c r="AM113" s="16" t="s">
        <v>74</v>
      </c>
      <c r="AN113" s="14" t="s">
        <v>74</v>
      </c>
      <c r="AO113" s="14" t="s">
        <v>74</v>
      </c>
    </row>
    <row r="114" spans="1:41" ht="58" x14ac:dyDescent="0.35">
      <c r="A114" s="14" t="s">
        <v>113</v>
      </c>
      <c r="B114" s="14" t="s">
        <v>62</v>
      </c>
      <c r="C114" s="15">
        <v>44852.615972222222</v>
      </c>
      <c r="D114" s="14" t="s">
        <v>63</v>
      </c>
      <c r="E114" s="16" t="s">
        <v>64</v>
      </c>
      <c r="F114" s="14" t="s">
        <v>65</v>
      </c>
      <c r="G114" s="16" t="s">
        <v>66</v>
      </c>
      <c r="H114" s="14" t="s">
        <v>308</v>
      </c>
      <c r="I114" s="16" t="s">
        <v>309</v>
      </c>
      <c r="J114" s="16" t="s">
        <v>310</v>
      </c>
      <c r="K114" s="16" t="s">
        <v>311</v>
      </c>
      <c r="L114" s="14" t="s">
        <v>312</v>
      </c>
      <c r="M114" s="16" t="s">
        <v>313</v>
      </c>
      <c r="N114" s="14" t="s">
        <v>73</v>
      </c>
      <c r="O114" s="16" t="s">
        <v>74</v>
      </c>
      <c r="P114" s="16" t="s">
        <v>74</v>
      </c>
      <c r="Q114" s="16" t="s">
        <v>140</v>
      </c>
      <c r="R114" s="14" t="s">
        <v>141</v>
      </c>
      <c r="S114" s="14" t="s">
        <v>78</v>
      </c>
      <c r="T114" s="14" t="s">
        <v>117</v>
      </c>
      <c r="U114" s="15">
        <v>40550</v>
      </c>
      <c r="V114" s="15"/>
      <c r="W114" s="16"/>
      <c r="X114" s="16" t="s">
        <v>74</v>
      </c>
      <c r="Y114" s="14" t="s">
        <v>74</v>
      </c>
      <c r="Z114" s="16" t="s">
        <v>74</v>
      </c>
      <c r="AA114" s="16" t="s">
        <v>74</v>
      </c>
      <c r="AB114" s="16" t="s">
        <v>74</v>
      </c>
      <c r="AC114" s="14" t="s">
        <v>74</v>
      </c>
      <c r="AD114" s="16" t="s">
        <v>74</v>
      </c>
      <c r="AE114" s="16" t="s">
        <v>74</v>
      </c>
      <c r="AF114" s="16" t="s">
        <v>74</v>
      </c>
      <c r="AG114" s="14" t="s">
        <v>74</v>
      </c>
      <c r="AH114" s="16" t="s">
        <v>74</v>
      </c>
      <c r="AI114" s="16" t="s">
        <v>74</v>
      </c>
      <c r="AJ114" s="16" t="s">
        <v>74</v>
      </c>
      <c r="AK114" s="14" t="s">
        <v>74</v>
      </c>
      <c r="AL114" s="16" t="s">
        <v>74</v>
      </c>
      <c r="AM114" s="16" t="s">
        <v>74</v>
      </c>
      <c r="AN114" s="14" t="s">
        <v>74</v>
      </c>
      <c r="AO114" s="14" t="s">
        <v>74</v>
      </c>
    </row>
    <row r="115" spans="1:41" ht="58" x14ac:dyDescent="0.35">
      <c r="A115" s="14" t="s">
        <v>113</v>
      </c>
      <c r="B115" s="14" t="s">
        <v>62</v>
      </c>
      <c r="C115" s="15">
        <v>44852.622916666667</v>
      </c>
      <c r="D115" s="14" t="s">
        <v>63</v>
      </c>
      <c r="E115" s="16" t="s">
        <v>64</v>
      </c>
      <c r="F115" s="14" t="s">
        <v>65</v>
      </c>
      <c r="G115" s="16" t="s">
        <v>66</v>
      </c>
      <c r="H115" s="14" t="s">
        <v>308</v>
      </c>
      <c r="I115" s="16" t="s">
        <v>309</v>
      </c>
      <c r="J115" s="16" t="s">
        <v>310</v>
      </c>
      <c r="K115" s="16" t="s">
        <v>311</v>
      </c>
      <c r="L115" s="14" t="s">
        <v>319</v>
      </c>
      <c r="M115" s="16" t="s">
        <v>320</v>
      </c>
      <c r="N115" s="14" t="s">
        <v>111</v>
      </c>
      <c r="O115" s="16" t="s">
        <v>74</v>
      </c>
      <c r="P115" s="16" t="s">
        <v>74</v>
      </c>
      <c r="Q115" s="16" t="s">
        <v>140</v>
      </c>
      <c r="R115" s="14" t="s">
        <v>141</v>
      </c>
      <c r="S115" s="14" t="s">
        <v>78</v>
      </c>
      <c r="T115" s="14" t="s">
        <v>117</v>
      </c>
      <c r="U115" s="15">
        <v>40550</v>
      </c>
      <c r="V115" s="15"/>
      <c r="W115" s="16"/>
      <c r="X115" s="16" t="s">
        <v>74</v>
      </c>
      <c r="Y115" s="14" t="s">
        <v>74</v>
      </c>
      <c r="Z115" s="16" t="s">
        <v>74</v>
      </c>
      <c r="AA115" s="16" t="s">
        <v>74</v>
      </c>
      <c r="AB115" s="16" t="s">
        <v>74</v>
      </c>
      <c r="AC115" s="14" t="s">
        <v>74</v>
      </c>
      <c r="AD115" s="16" t="s">
        <v>74</v>
      </c>
      <c r="AE115" s="16" t="s">
        <v>74</v>
      </c>
      <c r="AF115" s="16" t="s">
        <v>74</v>
      </c>
      <c r="AG115" s="14" t="s">
        <v>74</v>
      </c>
      <c r="AH115" s="16" t="s">
        <v>74</v>
      </c>
      <c r="AI115" s="16" t="s">
        <v>74</v>
      </c>
      <c r="AJ115" s="16" t="s">
        <v>74</v>
      </c>
      <c r="AK115" s="14" t="s">
        <v>74</v>
      </c>
      <c r="AL115" s="16" t="s">
        <v>74</v>
      </c>
      <c r="AM115" s="16" t="s">
        <v>74</v>
      </c>
      <c r="AN115" s="14" t="s">
        <v>74</v>
      </c>
      <c r="AO115" s="14" t="s">
        <v>74</v>
      </c>
    </row>
    <row r="116" spans="1:41" ht="58" x14ac:dyDescent="0.35">
      <c r="A116" s="14" t="s">
        <v>113</v>
      </c>
      <c r="B116" s="14" t="s">
        <v>116</v>
      </c>
      <c r="C116" s="15">
        <v>44890.638888888891</v>
      </c>
      <c r="D116" s="14" t="s">
        <v>63</v>
      </c>
      <c r="E116" s="16" t="s">
        <v>64</v>
      </c>
      <c r="F116" s="14" t="s">
        <v>65</v>
      </c>
      <c r="G116" s="16" t="s">
        <v>66</v>
      </c>
      <c r="H116" s="14" t="s">
        <v>308</v>
      </c>
      <c r="I116" s="16" t="s">
        <v>309</v>
      </c>
      <c r="J116" s="16" t="s">
        <v>310</v>
      </c>
      <c r="K116" s="16" t="s">
        <v>311</v>
      </c>
      <c r="L116" s="14" t="s">
        <v>312</v>
      </c>
      <c r="M116" s="16" t="s">
        <v>313</v>
      </c>
      <c r="N116" s="14" t="s">
        <v>73</v>
      </c>
      <c r="O116" s="16" t="s">
        <v>74</v>
      </c>
      <c r="P116" s="16" t="s">
        <v>74</v>
      </c>
      <c r="Q116" s="16" t="s">
        <v>143</v>
      </c>
      <c r="R116" s="14" t="s">
        <v>144</v>
      </c>
      <c r="S116" s="14" t="s">
        <v>145</v>
      </c>
      <c r="T116" s="14" t="s">
        <v>79</v>
      </c>
      <c r="U116" s="15">
        <v>40550</v>
      </c>
      <c r="V116" s="15"/>
      <c r="W116" s="16"/>
      <c r="X116" s="16" t="s">
        <v>74</v>
      </c>
      <c r="Y116" s="14" t="s">
        <v>74</v>
      </c>
      <c r="Z116" s="16" t="s">
        <v>74</v>
      </c>
      <c r="AA116" s="16" t="s">
        <v>74</v>
      </c>
      <c r="AB116" s="16" t="s">
        <v>74</v>
      </c>
      <c r="AC116" s="14" t="s">
        <v>74</v>
      </c>
      <c r="AD116" s="16" t="s">
        <v>74</v>
      </c>
      <c r="AE116" s="16" t="s">
        <v>74</v>
      </c>
      <c r="AF116" s="16" t="s">
        <v>74</v>
      </c>
      <c r="AG116" s="14" t="s">
        <v>74</v>
      </c>
      <c r="AH116" s="16" t="s">
        <v>74</v>
      </c>
      <c r="AI116" s="16" t="s">
        <v>74</v>
      </c>
      <c r="AJ116" s="16" t="s">
        <v>74</v>
      </c>
      <c r="AK116" s="14" t="s">
        <v>74</v>
      </c>
      <c r="AL116" s="16" t="s">
        <v>74</v>
      </c>
      <c r="AM116" s="16" t="s">
        <v>74</v>
      </c>
      <c r="AN116" s="14" t="s">
        <v>74</v>
      </c>
      <c r="AO116" s="14" t="s">
        <v>74</v>
      </c>
    </row>
    <row r="117" spans="1:41" ht="58" x14ac:dyDescent="0.35">
      <c r="A117" s="14" t="s">
        <v>113</v>
      </c>
      <c r="B117" s="14" t="s">
        <v>62</v>
      </c>
      <c r="C117" s="15">
        <v>44852.625694444447</v>
      </c>
      <c r="D117" s="14" t="s">
        <v>63</v>
      </c>
      <c r="E117" s="16" t="s">
        <v>64</v>
      </c>
      <c r="F117" s="14" t="s">
        <v>65</v>
      </c>
      <c r="G117" s="16" t="s">
        <v>66</v>
      </c>
      <c r="H117" s="14" t="s">
        <v>308</v>
      </c>
      <c r="I117" s="16" t="s">
        <v>309</v>
      </c>
      <c r="J117" s="16" t="s">
        <v>310</v>
      </c>
      <c r="K117" s="16" t="s">
        <v>311</v>
      </c>
      <c r="L117" s="14" t="s">
        <v>319</v>
      </c>
      <c r="M117" s="16" t="s">
        <v>320</v>
      </c>
      <c r="N117" s="14" t="s">
        <v>111</v>
      </c>
      <c r="O117" s="16" t="s">
        <v>74</v>
      </c>
      <c r="P117" s="16" t="s">
        <v>74</v>
      </c>
      <c r="Q117" s="16" t="s">
        <v>143</v>
      </c>
      <c r="R117" s="14" t="s">
        <v>144</v>
      </c>
      <c r="S117" s="14" t="s">
        <v>145</v>
      </c>
      <c r="T117" s="14" t="s">
        <v>79</v>
      </c>
      <c r="U117" s="15">
        <v>40550</v>
      </c>
      <c r="V117" s="15"/>
      <c r="W117" s="16"/>
      <c r="X117" s="16" t="s">
        <v>74</v>
      </c>
      <c r="Y117" s="14" t="s">
        <v>74</v>
      </c>
      <c r="Z117" s="16" t="s">
        <v>74</v>
      </c>
      <c r="AA117" s="16" t="s">
        <v>74</v>
      </c>
      <c r="AB117" s="16" t="s">
        <v>74</v>
      </c>
      <c r="AC117" s="14" t="s">
        <v>74</v>
      </c>
      <c r="AD117" s="16" t="s">
        <v>74</v>
      </c>
      <c r="AE117" s="16" t="s">
        <v>74</v>
      </c>
      <c r="AF117" s="16" t="s">
        <v>74</v>
      </c>
      <c r="AG117" s="14" t="s">
        <v>74</v>
      </c>
      <c r="AH117" s="16" t="s">
        <v>74</v>
      </c>
      <c r="AI117" s="16" t="s">
        <v>74</v>
      </c>
      <c r="AJ117" s="16" t="s">
        <v>74</v>
      </c>
      <c r="AK117" s="14" t="s">
        <v>74</v>
      </c>
      <c r="AL117" s="16" t="s">
        <v>74</v>
      </c>
      <c r="AM117" s="16" t="s">
        <v>74</v>
      </c>
      <c r="AN117" s="14" t="s">
        <v>74</v>
      </c>
      <c r="AO117" s="14" t="s">
        <v>74</v>
      </c>
    </row>
    <row r="118" spans="1:41" ht="58" x14ac:dyDescent="0.35">
      <c r="A118" s="14" t="s">
        <v>113</v>
      </c>
      <c r="B118" s="14" t="s">
        <v>116</v>
      </c>
      <c r="C118" s="15">
        <v>44890.638888888891</v>
      </c>
      <c r="D118" s="14" t="s">
        <v>63</v>
      </c>
      <c r="E118" s="16" t="s">
        <v>64</v>
      </c>
      <c r="F118" s="14" t="s">
        <v>65</v>
      </c>
      <c r="G118" s="16" t="s">
        <v>66</v>
      </c>
      <c r="H118" s="14" t="s">
        <v>308</v>
      </c>
      <c r="I118" s="16" t="s">
        <v>309</v>
      </c>
      <c r="J118" s="16" t="s">
        <v>310</v>
      </c>
      <c r="K118" s="16" t="s">
        <v>311</v>
      </c>
      <c r="L118" s="14" t="s">
        <v>312</v>
      </c>
      <c r="M118" s="16" t="s">
        <v>313</v>
      </c>
      <c r="N118" s="14" t="s">
        <v>73</v>
      </c>
      <c r="O118" s="16" t="s">
        <v>74</v>
      </c>
      <c r="P118" s="16" t="s">
        <v>74</v>
      </c>
      <c r="Q118" s="16" t="s">
        <v>153</v>
      </c>
      <c r="R118" s="14" t="s">
        <v>154</v>
      </c>
      <c r="S118" s="14" t="s">
        <v>145</v>
      </c>
      <c r="T118" s="14" t="s">
        <v>79</v>
      </c>
      <c r="U118" s="15">
        <v>40550</v>
      </c>
      <c r="V118" s="15"/>
      <c r="W118" s="16"/>
      <c r="X118" s="16" t="s">
        <v>74</v>
      </c>
      <c r="Y118" s="14" t="s">
        <v>74</v>
      </c>
      <c r="Z118" s="16" t="s">
        <v>74</v>
      </c>
      <c r="AA118" s="16" t="s">
        <v>74</v>
      </c>
      <c r="AB118" s="16" t="s">
        <v>74</v>
      </c>
      <c r="AC118" s="14" t="s">
        <v>74</v>
      </c>
      <c r="AD118" s="16" t="s">
        <v>74</v>
      </c>
      <c r="AE118" s="16" t="s">
        <v>74</v>
      </c>
      <c r="AF118" s="16" t="s">
        <v>74</v>
      </c>
      <c r="AG118" s="14" t="s">
        <v>74</v>
      </c>
      <c r="AH118" s="16" t="s">
        <v>74</v>
      </c>
      <c r="AI118" s="16" t="s">
        <v>74</v>
      </c>
      <c r="AJ118" s="16" t="s">
        <v>74</v>
      </c>
      <c r="AK118" s="14" t="s">
        <v>74</v>
      </c>
      <c r="AL118" s="16" t="s">
        <v>74</v>
      </c>
      <c r="AM118" s="16" t="s">
        <v>74</v>
      </c>
      <c r="AN118" s="14" t="s">
        <v>74</v>
      </c>
      <c r="AO118" s="14" t="s">
        <v>74</v>
      </c>
    </row>
    <row r="119" spans="1:41" ht="58" x14ac:dyDescent="0.35">
      <c r="A119" s="14" t="s">
        <v>113</v>
      </c>
      <c r="B119" s="14" t="s">
        <v>62</v>
      </c>
      <c r="C119" s="15">
        <v>44852.625694444447</v>
      </c>
      <c r="D119" s="14" t="s">
        <v>63</v>
      </c>
      <c r="E119" s="16" t="s">
        <v>64</v>
      </c>
      <c r="F119" s="14" t="s">
        <v>65</v>
      </c>
      <c r="G119" s="16" t="s">
        <v>66</v>
      </c>
      <c r="H119" s="14" t="s">
        <v>308</v>
      </c>
      <c r="I119" s="16" t="s">
        <v>309</v>
      </c>
      <c r="J119" s="16" t="s">
        <v>310</v>
      </c>
      <c r="K119" s="16" t="s">
        <v>311</v>
      </c>
      <c r="L119" s="14" t="s">
        <v>319</v>
      </c>
      <c r="M119" s="16" t="s">
        <v>320</v>
      </c>
      <c r="N119" s="14" t="s">
        <v>111</v>
      </c>
      <c r="O119" s="16" t="s">
        <v>74</v>
      </c>
      <c r="P119" s="16" t="s">
        <v>74</v>
      </c>
      <c r="Q119" s="16" t="s">
        <v>153</v>
      </c>
      <c r="R119" s="14" t="s">
        <v>154</v>
      </c>
      <c r="S119" s="14" t="s">
        <v>145</v>
      </c>
      <c r="T119" s="14" t="s">
        <v>79</v>
      </c>
      <c r="U119" s="15">
        <v>40550</v>
      </c>
      <c r="V119" s="15"/>
      <c r="W119" s="16"/>
      <c r="X119" s="16" t="s">
        <v>74</v>
      </c>
      <c r="Y119" s="14" t="s">
        <v>74</v>
      </c>
      <c r="Z119" s="16" t="s">
        <v>74</v>
      </c>
      <c r="AA119" s="16" t="s">
        <v>74</v>
      </c>
      <c r="AB119" s="16" t="s">
        <v>74</v>
      </c>
      <c r="AC119" s="14" t="s">
        <v>74</v>
      </c>
      <c r="AD119" s="16" t="s">
        <v>74</v>
      </c>
      <c r="AE119" s="16" t="s">
        <v>74</v>
      </c>
      <c r="AF119" s="16" t="s">
        <v>74</v>
      </c>
      <c r="AG119" s="14" t="s">
        <v>74</v>
      </c>
      <c r="AH119" s="16" t="s">
        <v>74</v>
      </c>
      <c r="AI119" s="16" t="s">
        <v>74</v>
      </c>
      <c r="AJ119" s="16" t="s">
        <v>74</v>
      </c>
      <c r="AK119" s="14" t="s">
        <v>74</v>
      </c>
      <c r="AL119" s="16" t="s">
        <v>74</v>
      </c>
      <c r="AM119" s="16" t="s">
        <v>74</v>
      </c>
      <c r="AN119" s="14" t="s">
        <v>74</v>
      </c>
      <c r="AO119" s="14" t="s">
        <v>74</v>
      </c>
    </row>
    <row r="120" spans="1:41" ht="58" x14ac:dyDescent="0.35">
      <c r="A120" s="14" t="s">
        <v>113</v>
      </c>
      <c r="B120" s="14" t="s">
        <v>62</v>
      </c>
      <c r="C120" s="15">
        <v>44852.620833333334</v>
      </c>
      <c r="D120" s="14" t="s">
        <v>63</v>
      </c>
      <c r="E120" s="16" t="s">
        <v>64</v>
      </c>
      <c r="F120" s="14" t="s">
        <v>65</v>
      </c>
      <c r="G120" s="16" t="s">
        <v>66</v>
      </c>
      <c r="H120" s="14" t="s">
        <v>308</v>
      </c>
      <c r="I120" s="16" t="s">
        <v>309</v>
      </c>
      <c r="J120" s="16" t="s">
        <v>310</v>
      </c>
      <c r="K120" s="16" t="s">
        <v>311</v>
      </c>
      <c r="L120" s="14" t="s">
        <v>312</v>
      </c>
      <c r="M120" s="16" t="s">
        <v>313</v>
      </c>
      <c r="N120" s="14" t="s">
        <v>73</v>
      </c>
      <c r="O120" s="16" t="s">
        <v>74</v>
      </c>
      <c r="P120" s="16" t="s">
        <v>74</v>
      </c>
      <c r="Q120" s="16" t="s">
        <v>164</v>
      </c>
      <c r="R120" s="14" t="s">
        <v>165</v>
      </c>
      <c r="S120" s="14" t="s">
        <v>145</v>
      </c>
      <c r="T120" s="14" t="s">
        <v>117</v>
      </c>
      <c r="U120" s="15">
        <v>40550</v>
      </c>
      <c r="V120" s="15"/>
      <c r="W120" s="16"/>
      <c r="X120" s="16" t="s">
        <v>74</v>
      </c>
      <c r="Y120" s="14" t="s">
        <v>74</v>
      </c>
      <c r="Z120" s="16" t="s">
        <v>74</v>
      </c>
      <c r="AA120" s="16" t="s">
        <v>74</v>
      </c>
      <c r="AB120" s="16" t="s">
        <v>74</v>
      </c>
      <c r="AC120" s="14" t="s">
        <v>74</v>
      </c>
      <c r="AD120" s="16" t="s">
        <v>74</v>
      </c>
      <c r="AE120" s="16" t="s">
        <v>74</v>
      </c>
      <c r="AF120" s="16" t="s">
        <v>74</v>
      </c>
      <c r="AG120" s="14" t="s">
        <v>74</v>
      </c>
      <c r="AH120" s="16" t="s">
        <v>74</v>
      </c>
      <c r="AI120" s="16" t="s">
        <v>74</v>
      </c>
      <c r="AJ120" s="16" t="s">
        <v>74</v>
      </c>
      <c r="AK120" s="14" t="s">
        <v>74</v>
      </c>
      <c r="AL120" s="16" t="s">
        <v>74</v>
      </c>
      <c r="AM120" s="16" t="s">
        <v>74</v>
      </c>
      <c r="AN120" s="14" t="s">
        <v>74</v>
      </c>
      <c r="AO120" s="14" t="s">
        <v>74</v>
      </c>
    </row>
    <row r="121" spans="1:41" ht="58" x14ac:dyDescent="0.35">
      <c r="A121" s="14" t="s">
        <v>113</v>
      </c>
      <c r="B121" s="14" t="s">
        <v>62</v>
      </c>
      <c r="C121" s="15">
        <v>44852.625694444447</v>
      </c>
      <c r="D121" s="14" t="s">
        <v>63</v>
      </c>
      <c r="E121" s="16" t="s">
        <v>64</v>
      </c>
      <c r="F121" s="14" t="s">
        <v>65</v>
      </c>
      <c r="G121" s="16" t="s">
        <v>66</v>
      </c>
      <c r="H121" s="14" t="s">
        <v>308</v>
      </c>
      <c r="I121" s="16" t="s">
        <v>309</v>
      </c>
      <c r="J121" s="16" t="s">
        <v>310</v>
      </c>
      <c r="K121" s="16" t="s">
        <v>311</v>
      </c>
      <c r="L121" s="14" t="s">
        <v>319</v>
      </c>
      <c r="M121" s="16" t="s">
        <v>320</v>
      </c>
      <c r="N121" s="14" t="s">
        <v>111</v>
      </c>
      <c r="O121" s="16" t="s">
        <v>74</v>
      </c>
      <c r="P121" s="16" t="s">
        <v>74</v>
      </c>
      <c r="Q121" s="16" t="s">
        <v>164</v>
      </c>
      <c r="R121" s="14" t="s">
        <v>165</v>
      </c>
      <c r="S121" s="14" t="s">
        <v>145</v>
      </c>
      <c r="T121" s="14" t="s">
        <v>117</v>
      </c>
      <c r="U121" s="15">
        <v>40550</v>
      </c>
      <c r="V121" s="15"/>
      <c r="W121" s="16"/>
      <c r="X121" s="16" t="s">
        <v>74</v>
      </c>
      <c r="Y121" s="14" t="s">
        <v>74</v>
      </c>
      <c r="Z121" s="16" t="s">
        <v>74</v>
      </c>
      <c r="AA121" s="16" t="s">
        <v>74</v>
      </c>
      <c r="AB121" s="16" t="s">
        <v>74</v>
      </c>
      <c r="AC121" s="14" t="s">
        <v>74</v>
      </c>
      <c r="AD121" s="16" t="s">
        <v>74</v>
      </c>
      <c r="AE121" s="16" t="s">
        <v>74</v>
      </c>
      <c r="AF121" s="16" t="s">
        <v>74</v>
      </c>
      <c r="AG121" s="14" t="s">
        <v>74</v>
      </c>
      <c r="AH121" s="16" t="s">
        <v>74</v>
      </c>
      <c r="AI121" s="16" t="s">
        <v>74</v>
      </c>
      <c r="AJ121" s="16" t="s">
        <v>74</v>
      </c>
      <c r="AK121" s="14" t="s">
        <v>74</v>
      </c>
      <c r="AL121" s="16" t="s">
        <v>74</v>
      </c>
      <c r="AM121" s="16" t="s">
        <v>74</v>
      </c>
      <c r="AN121" s="14" t="s">
        <v>74</v>
      </c>
      <c r="AO121" s="14" t="s">
        <v>74</v>
      </c>
    </row>
    <row r="122" spans="1:41" ht="58" x14ac:dyDescent="0.35">
      <c r="A122" s="14" t="s">
        <v>113</v>
      </c>
      <c r="B122" s="14" t="s">
        <v>62</v>
      </c>
      <c r="C122" s="15">
        <v>44852.620833333334</v>
      </c>
      <c r="D122" s="14" t="s">
        <v>63</v>
      </c>
      <c r="E122" s="16" t="s">
        <v>64</v>
      </c>
      <c r="F122" s="14" t="s">
        <v>65</v>
      </c>
      <c r="G122" s="16" t="s">
        <v>66</v>
      </c>
      <c r="H122" s="14" t="s">
        <v>308</v>
      </c>
      <c r="I122" s="16" t="s">
        <v>309</v>
      </c>
      <c r="J122" s="16" t="s">
        <v>310</v>
      </c>
      <c r="K122" s="16" t="s">
        <v>311</v>
      </c>
      <c r="L122" s="14" t="s">
        <v>312</v>
      </c>
      <c r="M122" s="16" t="s">
        <v>313</v>
      </c>
      <c r="N122" s="14" t="s">
        <v>73</v>
      </c>
      <c r="O122" s="16" t="s">
        <v>74</v>
      </c>
      <c r="P122" s="16" t="s">
        <v>74</v>
      </c>
      <c r="Q122" s="16" t="s">
        <v>166</v>
      </c>
      <c r="R122" s="14" t="s">
        <v>167</v>
      </c>
      <c r="S122" s="14" t="s">
        <v>145</v>
      </c>
      <c r="T122" s="14" t="s">
        <v>117</v>
      </c>
      <c r="U122" s="15">
        <v>40550</v>
      </c>
      <c r="V122" s="15"/>
      <c r="W122" s="16"/>
      <c r="X122" s="16" t="s">
        <v>74</v>
      </c>
      <c r="Y122" s="14" t="s">
        <v>74</v>
      </c>
      <c r="Z122" s="16" t="s">
        <v>74</v>
      </c>
      <c r="AA122" s="16" t="s">
        <v>74</v>
      </c>
      <c r="AB122" s="16" t="s">
        <v>74</v>
      </c>
      <c r="AC122" s="14" t="s">
        <v>74</v>
      </c>
      <c r="AD122" s="16" t="s">
        <v>74</v>
      </c>
      <c r="AE122" s="16" t="s">
        <v>74</v>
      </c>
      <c r="AF122" s="16" t="s">
        <v>74</v>
      </c>
      <c r="AG122" s="14" t="s">
        <v>74</v>
      </c>
      <c r="AH122" s="16" t="s">
        <v>74</v>
      </c>
      <c r="AI122" s="16" t="s">
        <v>74</v>
      </c>
      <c r="AJ122" s="16" t="s">
        <v>74</v>
      </c>
      <c r="AK122" s="14" t="s">
        <v>74</v>
      </c>
      <c r="AL122" s="16" t="s">
        <v>74</v>
      </c>
      <c r="AM122" s="16" t="s">
        <v>74</v>
      </c>
      <c r="AN122" s="14" t="s">
        <v>74</v>
      </c>
      <c r="AO122" s="14" t="s">
        <v>74</v>
      </c>
    </row>
    <row r="123" spans="1:41" ht="58" x14ac:dyDescent="0.35">
      <c r="A123" s="14" t="s">
        <v>113</v>
      </c>
      <c r="B123" s="14" t="s">
        <v>62</v>
      </c>
      <c r="C123" s="15">
        <v>44852.625694444447</v>
      </c>
      <c r="D123" s="14" t="s">
        <v>63</v>
      </c>
      <c r="E123" s="16" t="s">
        <v>64</v>
      </c>
      <c r="F123" s="14" t="s">
        <v>65</v>
      </c>
      <c r="G123" s="16" t="s">
        <v>66</v>
      </c>
      <c r="H123" s="14" t="s">
        <v>308</v>
      </c>
      <c r="I123" s="16" t="s">
        <v>309</v>
      </c>
      <c r="J123" s="16" t="s">
        <v>310</v>
      </c>
      <c r="K123" s="16" t="s">
        <v>311</v>
      </c>
      <c r="L123" s="14" t="s">
        <v>319</v>
      </c>
      <c r="M123" s="16" t="s">
        <v>320</v>
      </c>
      <c r="N123" s="14" t="s">
        <v>111</v>
      </c>
      <c r="O123" s="16" t="s">
        <v>74</v>
      </c>
      <c r="P123" s="16" t="s">
        <v>74</v>
      </c>
      <c r="Q123" s="16" t="s">
        <v>166</v>
      </c>
      <c r="R123" s="14" t="s">
        <v>167</v>
      </c>
      <c r="S123" s="14" t="s">
        <v>145</v>
      </c>
      <c r="T123" s="14" t="s">
        <v>117</v>
      </c>
      <c r="U123" s="15">
        <v>40550</v>
      </c>
      <c r="V123" s="15"/>
      <c r="W123" s="16"/>
      <c r="X123" s="16" t="s">
        <v>74</v>
      </c>
      <c r="Y123" s="14" t="s">
        <v>74</v>
      </c>
      <c r="Z123" s="16" t="s">
        <v>74</v>
      </c>
      <c r="AA123" s="16" t="s">
        <v>74</v>
      </c>
      <c r="AB123" s="16" t="s">
        <v>74</v>
      </c>
      <c r="AC123" s="14" t="s">
        <v>74</v>
      </c>
      <c r="AD123" s="16" t="s">
        <v>74</v>
      </c>
      <c r="AE123" s="16" t="s">
        <v>74</v>
      </c>
      <c r="AF123" s="16" t="s">
        <v>74</v>
      </c>
      <c r="AG123" s="14" t="s">
        <v>74</v>
      </c>
      <c r="AH123" s="16" t="s">
        <v>74</v>
      </c>
      <c r="AI123" s="16" t="s">
        <v>74</v>
      </c>
      <c r="AJ123" s="16" t="s">
        <v>74</v>
      </c>
      <c r="AK123" s="14" t="s">
        <v>74</v>
      </c>
      <c r="AL123" s="16" t="s">
        <v>74</v>
      </c>
      <c r="AM123" s="16" t="s">
        <v>74</v>
      </c>
      <c r="AN123" s="14" t="s">
        <v>74</v>
      </c>
      <c r="AO123" s="14" t="s">
        <v>74</v>
      </c>
    </row>
    <row r="124" spans="1:41" ht="58" x14ac:dyDescent="0.35">
      <c r="A124" s="14" t="s">
        <v>113</v>
      </c>
      <c r="B124" s="14" t="s">
        <v>62</v>
      </c>
      <c r="C124" s="15">
        <v>44852.620833333334</v>
      </c>
      <c r="D124" s="14" t="s">
        <v>63</v>
      </c>
      <c r="E124" s="16" t="s">
        <v>64</v>
      </c>
      <c r="F124" s="14" t="s">
        <v>65</v>
      </c>
      <c r="G124" s="16" t="s">
        <v>66</v>
      </c>
      <c r="H124" s="14" t="s">
        <v>308</v>
      </c>
      <c r="I124" s="16" t="s">
        <v>309</v>
      </c>
      <c r="J124" s="16" t="s">
        <v>310</v>
      </c>
      <c r="K124" s="16" t="s">
        <v>311</v>
      </c>
      <c r="L124" s="14" t="s">
        <v>312</v>
      </c>
      <c r="M124" s="16" t="s">
        <v>313</v>
      </c>
      <c r="N124" s="14" t="s">
        <v>73</v>
      </c>
      <c r="O124" s="16" t="s">
        <v>74</v>
      </c>
      <c r="P124" s="16" t="s">
        <v>74</v>
      </c>
      <c r="Q124" s="16" t="s">
        <v>168</v>
      </c>
      <c r="R124" s="14" t="s">
        <v>169</v>
      </c>
      <c r="S124" s="14" t="s">
        <v>145</v>
      </c>
      <c r="T124" s="14" t="s">
        <v>79</v>
      </c>
      <c r="U124" s="15">
        <v>40550</v>
      </c>
      <c r="V124" s="15"/>
      <c r="W124" s="16"/>
      <c r="X124" s="16" t="s">
        <v>74</v>
      </c>
      <c r="Y124" s="14" t="s">
        <v>74</v>
      </c>
      <c r="Z124" s="16" t="s">
        <v>74</v>
      </c>
      <c r="AA124" s="16" t="s">
        <v>74</v>
      </c>
      <c r="AB124" s="16" t="s">
        <v>74</v>
      </c>
      <c r="AC124" s="14" t="s">
        <v>74</v>
      </c>
      <c r="AD124" s="16" t="s">
        <v>74</v>
      </c>
      <c r="AE124" s="16" t="s">
        <v>74</v>
      </c>
      <c r="AF124" s="16" t="s">
        <v>74</v>
      </c>
      <c r="AG124" s="14" t="s">
        <v>74</v>
      </c>
      <c r="AH124" s="16" t="s">
        <v>74</v>
      </c>
      <c r="AI124" s="16" t="s">
        <v>74</v>
      </c>
      <c r="AJ124" s="16" t="s">
        <v>74</v>
      </c>
      <c r="AK124" s="14" t="s">
        <v>74</v>
      </c>
      <c r="AL124" s="16" t="s">
        <v>74</v>
      </c>
      <c r="AM124" s="16" t="s">
        <v>74</v>
      </c>
      <c r="AN124" s="14" t="s">
        <v>74</v>
      </c>
      <c r="AO124" s="14" t="s">
        <v>74</v>
      </c>
    </row>
    <row r="125" spans="1:41" ht="58" x14ac:dyDescent="0.35">
      <c r="A125" s="14" t="s">
        <v>113</v>
      </c>
      <c r="B125" s="14" t="s">
        <v>62</v>
      </c>
      <c r="C125" s="15">
        <v>44852.625694444447</v>
      </c>
      <c r="D125" s="14" t="s">
        <v>63</v>
      </c>
      <c r="E125" s="16" t="s">
        <v>64</v>
      </c>
      <c r="F125" s="14" t="s">
        <v>65</v>
      </c>
      <c r="G125" s="16" t="s">
        <v>66</v>
      </c>
      <c r="H125" s="14" t="s">
        <v>308</v>
      </c>
      <c r="I125" s="16" t="s">
        <v>309</v>
      </c>
      <c r="J125" s="16" t="s">
        <v>310</v>
      </c>
      <c r="K125" s="16" t="s">
        <v>311</v>
      </c>
      <c r="L125" s="14" t="s">
        <v>319</v>
      </c>
      <c r="M125" s="16" t="s">
        <v>320</v>
      </c>
      <c r="N125" s="14" t="s">
        <v>111</v>
      </c>
      <c r="O125" s="16" t="s">
        <v>74</v>
      </c>
      <c r="P125" s="16" t="s">
        <v>74</v>
      </c>
      <c r="Q125" s="16" t="s">
        <v>168</v>
      </c>
      <c r="R125" s="14" t="s">
        <v>169</v>
      </c>
      <c r="S125" s="14" t="s">
        <v>145</v>
      </c>
      <c r="T125" s="14" t="s">
        <v>79</v>
      </c>
      <c r="U125" s="15">
        <v>40550</v>
      </c>
      <c r="V125" s="15"/>
      <c r="W125" s="16"/>
      <c r="X125" s="16" t="s">
        <v>74</v>
      </c>
      <c r="Y125" s="14" t="s">
        <v>74</v>
      </c>
      <c r="Z125" s="16" t="s">
        <v>74</v>
      </c>
      <c r="AA125" s="16" t="s">
        <v>74</v>
      </c>
      <c r="AB125" s="16" t="s">
        <v>74</v>
      </c>
      <c r="AC125" s="14" t="s">
        <v>74</v>
      </c>
      <c r="AD125" s="16" t="s">
        <v>74</v>
      </c>
      <c r="AE125" s="16" t="s">
        <v>74</v>
      </c>
      <c r="AF125" s="16" t="s">
        <v>74</v>
      </c>
      <c r="AG125" s="14" t="s">
        <v>74</v>
      </c>
      <c r="AH125" s="16" t="s">
        <v>74</v>
      </c>
      <c r="AI125" s="16" t="s">
        <v>74</v>
      </c>
      <c r="AJ125" s="16" t="s">
        <v>74</v>
      </c>
      <c r="AK125" s="14" t="s">
        <v>74</v>
      </c>
      <c r="AL125" s="16" t="s">
        <v>74</v>
      </c>
      <c r="AM125" s="16" t="s">
        <v>74</v>
      </c>
      <c r="AN125" s="14" t="s">
        <v>74</v>
      </c>
      <c r="AO125" s="14" t="s">
        <v>74</v>
      </c>
    </row>
  </sheetData>
  <autoFilter ref="A1:AS1" xr:uid="{6348C5A1-9A57-4128-ACF9-724B403CD7B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20BF-B842-47C7-A108-9C135B1BB08C}">
  <dimension ref="A1:V12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425</v>
      </c>
      <c r="E1" s="10" t="s">
        <v>426</v>
      </c>
      <c r="F1" s="10" t="s">
        <v>427</v>
      </c>
      <c r="G1" s="10" t="s">
        <v>428</v>
      </c>
      <c r="H1" s="11" t="s">
        <v>22</v>
      </c>
      <c r="I1" s="11" t="s">
        <v>23</v>
      </c>
      <c r="J1" s="10" t="s">
        <v>429</v>
      </c>
      <c r="K1" s="10" t="s">
        <v>430</v>
      </c>
      <c r="L1" s="10" t="s">
        <v>431</v>
      </c>
      <c r="M1" s="10" t="s">
        <v>422</v>
      </c>
      <c r="N1" s="10" t="s">
        <v>432</v>
      </c>
      <c r="O1" s="12" t="s">
        <v>433</v>
      </c>
      <c r="P1" s="12" t="s">
        <v>434</v>
      </c>
      <c r="Q1" s="12" t="s">
        <v>435</v>
      </c>
      <c r="R1" s="12" t="s">
        <v>436</v>
      </c>
      <c r="S1" s="10" t="s">
        <v>59</v>
      </c>
      <c r="T1" s="10" t="s">
        <v>60</v>
      </c>
      <c r="U1" s="10" t="s">
        <v>437</v>
      </c>
      <c r="V1" s="10" t="s">
        <v>438</v>
      </c>
    </row>
    <row r="2" spans="1:22" ht="58" x14ac:dyDescent="0.35">
      <c r="A2" s="14" t="s">
        <v>439</v>
      </c>
      <c r="B2" s="14" t="s">
        <v>116</v>
      </c>
      <c r="C2" s="15">
        <v>44721.628472222219</v>
      </c>
      <c r="D2" s="14" t="s">
        <v>87</v>
      </c>
      <c r="E2" s="14" t="s">
        <v>429</v>
      </c>
      <c r="F2" s="16" t="s">
        <v>88</v>
      </c>
      <c r="G2" s="14" t="s">
        <v>440</v>
      </c>
      <c r="H2" s="15">
        <v>44449</v>
      </c>
      <c r="I2" s="15"/>
      <c r="J2" s="16" t="s">
        <v>74</v>
      </c>
      <c r="K2" s="16" t="s">
        <v>441</v>
      </c>
      <c r="L2" s="14" t="s">
        <v>442</v>
      </c>
      <c r="M2" s="16" t="s">
        <v>443</v>
      </c>
      <c r="N2" s="14" t="s">
        <v>74</v>
      </c>
      <c r="O2" s="17" t="s">
        <v>444</v>
      </c>
      <c r="P2" s="17"/>
      <c r="Q2" s="17"/>
      <c r="R2" s="17"/>
      <c r="S2" s="14" t="s">
        <v>74</v>
      </c>
      <c r="T2" s="14" t="s">
        <v>74</v>
      </c>
      <c r="U2" s="14" t="s">
        <v>445</v>
      </c>
      <c r="V2" s="16" t="s">
        <v>88</v>
      </c>
    </row>
    <row r="3" spans="1:22" s="30" customFormat="1" ht="87" x14ac:dyDescent="0.35">
      <c r="A3" s="26" t="s">
        <v>446</v>
      </c>
      <c r="B3" s="26" t="s">
        <v>116</v>
      </c>
      <c r="C3" s="27">
        <v>46157.452777777777</v>
      </c>
      <c r="D3" s="26" t="s">
        <v>89</v>
      </c>
      <c r="E3" s="26" t="s">
        <v>429</v>
      </c>
      <c r="F3" s="28" t="s">
        <v>90</v>
      </c>
      <c r="G3" s="26" t="s">
        <v>440</v>
      </c>
      <c r="H3" s="27">
        <v>44449</v>
      </c>
      <c r="I3" s="27"/>
      <c r="J3" s="28" t="s">
        <v>74</v>
      </c>
      <c r="K3" s="28" t="s">
        <v>447</v>
      </c>
      <c r="L3" s="26" t="s">
        <v>442</v>
      </c>
      <c r="M3" s="28" t="s">
        <v>74</v>
      </c>
      <c r="N3" s="26" t="s">
        <v>74</v>
      </c>
      <c r="O3" s="29" t="s">
        <v>444</v>
      </c>
      <c r="P3" s="29"/>
      <c r="Q3" s="29"/>
      <c r="R3" s="29"/>
      <c r="S3" s="26" t="s">
        <v>448</v>
      </c>
      <c r="T3" s="26" t="s">
        <v>74</v>
      </c>
      <c r="U3" s="26" t="s">
        <v>445</v>
      </c>
      <c r="V3" s="28" t="s">
        <v>90</v>
      </c>
    </row>
    <row r="4" spans="1:22" ht="58" x14ac:dyDescent="0.35">
      <c r="A4" s="14" t="s">
        <v>439</v>
      </c>
      <c r="B4" s="14" t="s">
        <v>116</v>
      </c>
      <c r="C4" s="15">
        <v>44721.629861111112</v>
      </c>
      <c r="D4" s="14" t="s">
        <v>150</v>
      </c>
      <c r="E4" s="14" t="s">
        <v>429</v>
      </c>
      <c r="F4" s="16" t="s">
        <v>88</v>
      </c>
      <c r="G4" s="14" t="s">
        <v>449</v>
      </c>
      <c r="H4" s="15">
        <v>44449</v>
      </c>
      <c r="I4" s="15"/>
      <c r="J4" s="16" t="s">
        <v>74</v>
      </c>
      <c r="K4" s="16" t="s">
        <v>441</v>
      </c>
      <c r="L4" s="14" t="s">
        <v>442</v>
      </c>
      <c r="M4" s="16" t="s">
        <v>443</v>
      </c>
      <c r="N4" s="14" t="s">
        <v>74</v>
      </c>
      <c r="O4" s="17" t="s">
        <v>450</v>
      </c>
      <c r="P4" s="17"/>
      <c r="Q4" s="17"/>
      <c r="R4" s="17"/>
      <c r="S4" s="14" t="s">
        <v>74</v>
      </c>
      <c r="T4" s="14" t="s">
        <v>74</v>
      </c>
      <c r="U4" s="14" t="s">
        <v>445</v>
      </c>
      <c r="V4" s="16" t="s">
        <v>88</v>
      </c>
    </row>
    <row r="5" spans="1:22" s="30" customFormat="1" ht="87" x14ac:dyDescent="0.35">
      <c r="A5" s="26" t="s">
        <v>446</v>
      </c>
      <c r="B5" s="26" t="s">
        <v>116</v>
      </c>
      <c r="C5" s="27">
        <v>46157.453472222223</v>
      </c>
      <c r="D5" s="26" t="s">
        <v>151</v>
      </c>
      <c r="E5" s="26" t="s">
        <v>429</v>
      </c>
      <c r="F5" s="28" t="s">
        <v>90</v>
      </c>
      <c r="G5" s="26" t="s">
        <v>449</v>
      </c>
      <c r="H5" s="27">
        <v>44449</v>
      </c>
      <c r="I5" s="27"/>
      <c r="J5" s="28" t="s">
        <v>74</v>
      </c>
      <c r="K5" s="28" t="s">
        <v>447</v>
      </c>
      <c r="L5" s="26" t="s">
        <v>442</v>
      </c>
      <c r="M5" s="28" t="s">
        <v>74</v>
      </c>
      <c r="N5" s="26" t="s">
        <v>74</v>
      </c>
      <c r="O5" s="29" t="s">
        <v>450</v>
      </c>
      <c r="P5" s="29"/>
      <c r="Q5" s="29"/>
      <c r="R5" s="29"/>
      <c r="S5" s="26" t="s">
        <v>448</v>
      </c>
      <c r="T5" s="26" t="s">
        <v>74</v>
      </c>
      <c r="U5" s="26" t="s">
        <v>445</v>
      </c>
      <c r="V5" s="28" t="s">
        <v>90</v>
      </c>
    </row>
    <row r="6" spans="1:22" ht="58" x14ac:dyDescent="0.35">
      <c r="A6" s="14" t="s">
        <v>439</v>
      </c>
      <c r="B6" s="14" t="s">
        <v>116</v>
      </c>
      <c r="C6" s="15">
        <v>44721.652083333334</v>
      </c>
      <c r="D6" s="14" t="s">
        <v>159</v>
      </c>
      <c r="E6" s="14" t="s">
        <v>429</v>
      </c>
      <c r="F6" s="16" t="s">
        <v>88</v>
      </c>
      <c r="G6" s="14" t="s">
        <v>451</v>
      </c>
      <c r="H6" s="15">
        <v>44449</v>
      </c>
      <c r="I6" s="15"/>
      <c r="J6" s="16" t="s">
        <v>74</v>
      </c>
      <c r="K6" s="16" t="s">
        <v>441</v>
      </c>
      <c r="L6" s="14" t="s">
        <v>442</v>
      </c>
      <c r="M6" s="16" t="s">
        <v>443</v>
      </c>
      <c r="N6" s="14" t="s">
        <v>74</v>
      </c>
      <c r="O6" s="17" t="s">
        <v>452</v>
      </c>
      <c r="P6" s="17"/>
      <c r="Q6" s="17"/>
      <c r="R6" s="17"/>
      <c r="S6" s="14" t="s">
        <v>74</v>
      </c>
      <c r="T6" s="14" t="s">
        <v>74</v>
      </c>
      <c r="U6" s="14" t="s">
        <v>445</v>
      </c>
      <c r="V6" s="16" t="s">
        <v>88</v>
      </c>
    </row>
    <row r="7" spans="1:22" s="30" customFormat="1" ht="87" x14ac:dyDescent="0.35">
      <c r="A7" s="26" t="s">
        <v>446</v>
      </c>
      <c r="B7" s="26" t="s">
        <v>116</v>
      </c>
      <c r="C7" s="27">
        <v>46157.453472222223</v>
      </c>
      <c r="D7" s="26" t="s">
        <v>160</v>
      </c>
      <c r="E7" s="26" t="s">
        <v>429</v>
      </c>
      <c r="F7" s="28" t="s">
        <v>90</v>
      </c>
      <c r="G7" s="26" t="s">
        <v>451</v>
      </c>
      <c r="H7" s="27">
        <v>44449</v>
      </c>
      <c r="I7" s="27"/>
      <c r="J7" s="28" t="s">
        <v>74</v>
      </c>
      <c r="K7" s="28" t="s">
        <v>447</v>
      </c>
      <c r="L7" s="26" t="s">
        <v>442</v>
      </c>
      <c r="M7" s="28" t="s">
        <v>74</v>
      </c>
      <c r="N7" s="26" t="s">
        <v>74</v>
      </c>
      <c r="O7" s="29" t="s">
        <v>452</v>
      </c>
      <c r="P7" s="29"/>
      <c r="Q7" s="29"/>
      <c r="R7" s="29"/>
      <c r="S7" s="26" t="s">
        <v>448</v>
      </c>
      <c r="T7" s="26" t="s">
        <v>74</v>
      </c>
      <c r="U7" s="26" t="s">
        <v>445</v>
      </c>
      <c r="V7" s="28" t="s">
        <v>90</v>
      </c>
    </row>
    <row r="8" spans="1:22" ht="58" x14ac:dyDescent="0.35">
      <c r="A8" s="14" t="s">
        <v>439</v>
      </c>
      <c r="B8" s="14" t="s">
        <v>116</v>
      </c>
      <c r="C8" s="15">
        <v>44721.631249999999</v>
      </c>
      <c r="D8" s="14" t="s">
        <v>174</v>
      </c>
      <c r="E8" s="14" t="s">
        <v>429</v>
      </c>
      <c r="F8" s="16" t="s">
        <v>88</v>
      </c>
      <c r="G8" s="14" t="s">
        <v>453</v>
      </c>
      <c r="H8" s="15">
        <v>44449</v>
      </c>
      <c r="I8" s="15"/>
      <c r="J8" s="16" t="s">
        <v>74</v>
      </c>
      <c r="K8" s="16" t="s">
        <v>441</v>
      </c>
      <c r="L8" s="14" t="s">
        <v>442</v>
      </c>
      <c r="M8" s="16" t="s">
        <v>443</v>
      </c>
      <c r="N8" s="14" t="s">
        <v>74</v>
      </c>
      <c r="O8" s="17" t="s">
        <v>454</v>
      </c>
      <c r="P8" s="17"/>
      <c r="Q8" s="17"/>
      <c r="R8" s="17"/>
      <c r="S8" s="14" t="s">
        <v>74</v>
      </c>
      <c r="T8" s="14" t="s">
        <v>74</v>
      </c>
      <c r="U8" s="14" t="s">
        <v>445</v>
      </c>
      <c r="V8" s="16" t="s">
        <v>88</v>
      </c>
    </row>
    <row r="9" spans="1:22" s="30" customFormat="1" ht="87" x14ac:dyDescent="0.35">
      <c r="A9" s="26" t="s">
        <v>446</v>
      </c>
      <c r="B9" s="26" t="s">
        <v>116</v>
      </c>
      <c r="C9" s="27">
        <v>46157.453472222223</v>
      </c>
      <c r="D9" s="26" t="s">
        <v>175</v>
      </c>
      <c r="E9" s="26" t="s">
        <v>429</v>
      </c>
      <c r="F9" s="28" t="s">
        <v>90</v>
      </c>
      <c r="G9" s="26" t="s">
        <v>453</v>
      </c>
      <c r="H9" s="27">
        <v>44449</v>
      </c>
      <c r="I9" s="27"/>
      <c r="J9" s="28" t="s">
        <v>74</v>
      </c>
      <c r="K9" s="28" t="s">
        <v>447</v>
      </c>
      <c r="L9" s="26" t="s">
        <v>442</v>
      </c>
      <c r="M9" s="28" t="s">
        <v>74</v>
      </c>
      <c r="N9" s="26" t="s">
        <v>74</v>
      </c>
      <c r="O9" s="29" t="s">
        <v>454</v>
      </c>
      <c r="P9" s="29"/>
      <c r="Q9" s="29"/>
      <c r="R9" s="29"/>
      <c r="S9" s="26" t="s">
        <v>448</v>
      </c>
      <c r="T9" s="26" t="s">
        <v>74</v>
      </c>
      <c r="U9" s="26" t="s">
        <v>445</v>
      </c>
      <c r="V9" s="28" t="s">
        <v>90</v>
      </c>
    </row>
    <row r="10" spans="1:22" s="30" customFormat="1" ht="87" x14ac:dyDescent="0.35">
      <c r="A10" s="26" t="s">
        <v>446</v>
      </c>
      <c r="B10" s="26" t="s">
        <v>116</v>
      </c>
      <c r="C10" s="27">
        <v>46157.45416666667</v>
      </c>
      <c r="D10" s="26" t="s">
        <v>190</v>
      </c>
      <c r="E10" s="26" t="s">
        <v>429</v>
      </c>
      <c r="F10" s="28" t="s">
        <v>90</v>
      </c>
      <c r="G10" s="26" t="s">
        <v>455</v>
      </c>
      <c r="H10" s="27">
        <v>40725</v>
      </c>
      <c r="I10" s="27"/>
      <c r="J10" s="28" t="s">
        <v>74</v>
      </c>
      <c r="K10" s="28" t="s">
        <v>447</v>
      </c>
      <c r="L10" s="26" t="s">
        <v>442</v>
      </c>
      <c r="M10" s="28" t="s">
        <v>74</v>
      </c>
      <c r="N10" s="26" t="s">
        <v>74</v>
      </c>
      <c r="O10" s="29" t="s">
        <v>456</v>
      </c>
      <c r="P10" s="29"/>
      <c r="Q10" s="29"/>
      <c r="R10" s="29"/>
      <c r="S10" s="26" t="s">
        <v>448</v>
      </c>
      <c r="T10" s="26" t="s">
        <v>74</v>
      </c>
      <c r="U10" s="26" t="s">
        <v>445</v>
      </c>
      <c r="V10" s="28" t="s">
        <v>90</v>
      </c>
    </row>
    <row r="11" spans="1:22" ht="43.5" x14ac:dyDescent="0.35">
      <c r="A11" s="14" t="s">
        <v>113</v>
      </c>
      <c r="B11" s="14" t="s">
        <v>62</v>
      </c>
      <c r="C11" s="15">
        <v>44851.438194444447</v>
      </c>
      <c r="D11" s="14" t="s">
        <v>188</v>
      </c>
      <c r="E11" s="14" t="s">
        <v>429</v>
      </c>
      <c r="F11" s="16" t="s">
        <v>189</v>
      </c>
      <c r="G11" s="14" t="s">
        <v>457</v>
      </c>
      <c r="H11" s="15">
        <v>40725</v>
      </c>
      <c r="I11" s="15"/>
      <c r="J11" s="16" t="s">
        <v>74</v>
      </c>
      <c r="K11" s="16" t="s">
        <v>458</v>
      </c>
      <c r="L11" s="14" t="s">
        <v>442</v>
      </c>
      <c r="M11" s="16" t="s">
        <v>74</v>
      </c>
      <c r="N11" s="14" t="s">
        <v>74</v>
      </c>
      <c r="O11" s="17" t="s">
        <v>459</v>
      </c>
      <c r="P11" s="17"/>
      <c r="Q11" s="17"/>
      <c r="R11" s="17"/>
      <c r="S11" s="14" t="s">
        <v>74</v>
      </c>
      <c r="T11" s="14" t="s">
        <v>74</v>
      </c>
      <c r="U11" s="14" t="s">
        <v>445</v>
      </c>
      <c r="V11" s="16" t="s">
        <v>189</v>
      </c>
    </row>
    <row r="12" spans="1:22" ht="43.5" x14ac:dyDescent="0.35">
      <c r="A12" s="14" t="s">
        <v>113</v>
      </c>
      <c r="B12" s="14" t="s">
        <v>62</v>
      </c>
      <c r="C12" s="15">
        <v>44851.443749999999</v>
      </c>
      <c r="D12" s="14" t="s">
        <v>264</v>
      </c>
      <c r="E12" s="14" t="s">
        <v>429</v>
      </c>
      <c r="F12" s="16" t="s">
        <v>265</v>
      </c>
      <c r="G12" s="14" t="s">
        <v>460</v>
      </c>
      <c r="H12" s="15">
        <v>40725</v>
      </c>
      <c r="I12" s="15"/>
      <c r="J12" s="16" t="s">
        <v>74</v>
      </c>
      <c r="K12" s="16" t="s">
        <v>461</v>
      </c>
      <c r="L12" s="14" t="s">
        <v>442</v>
      </c>
      <c r="M12" s="16" t="s">
        <v>74</v>
      </c>
      <c r="N12" s="14" t="s">
        <v>74</v>
      </c>
      <c r="O12" s="17" t="s">
        <v>462</v>
      </c>
      <c r="P12" s="17"/>
      <c r="Q12" s="17"/>
      <c r="R12" s="17"/>
      <c r="S12" s="14" t="s">
        <v>74</v>
      </c>
      <c r="T12" s="14" t="s">
        <v>74</v>
      </c>
      <c r="U12" s="14" t="s">
        <v>445</v>
      </c>
      <c r="V12" s="16" t="s">
        <v>265</v>
      </c>
    </row>
    <row r="13" spans="1:22" ht="43.5" x14ac:dyDescent="0.35">
      <c r="A13" s="14" t="s">
        <v>113</v>
      </c>
      <c r="B13" s="14" t="s">
        <v>62</v>
      </c>
      <c r="C13" s="15">
        <v>44883.61041666667</v>
      </c>
      <c r="D13" s="14" t="s">
        <v>329</v>
      </c>
      <c r="E13" s="14" t="s">
        <v>429</v>
      </c>
      <c r="F13" s="16" t="s">
        <v>330</v>
      </c>
      <c r="G13" s="14" t="s">
        <v>463</v>
      </c>
      <c r="H13" s="15">
        <v>40725</v>
      </c>
      <c r="I13" s="15"/>
      <c r="J13" s="16" t="s">
        <v>74</v>
      </c>
      <c r="K13" s="16" t="s">
        <v>464</v>
      </c>
      <c r="L13" s="14" t="s">
        <v>442</v>
      </c>
      <c r="M13" s="16" t="s">
        <v>74</v>
      </c>
      <c r="N13" s="14" t="s">
        <v>74</v>
      </c>
      <c r="O13" s="17" t="s">
        <v>465</v>
      </c>
      <c r="P13" s="17"/>
      <c r="Q13" s="17"/>
      <c r="R13" s="17"/>
      <c r="S13" s="14" t="s">
        <v>74</v>
      </c>
      <c r="T13" s="14" t="s">
        <v>74</v>
      </c>
      <c r="U13" s="14" t="s">
        <v>445</v>
      </c>
      <c r="V13" s="16" t="s">
        <v>330</v>
      </c>
    </row>
    <row r="14" spans="1:22" s="30" customFormat="1" ht="87" x14ac:dyDescent="0.35">
      <c r="A14" s="26" t="s">
        <v>446</v>
      </c>
      <c r="B14" s="26" t="s">
        <v>116</v>
      </c>
      <c r="C14" s="27">
        <v>46157.45416666667</v>
      </c>
      <c r="D14" s="26" t="s">
        <v>199</v>
      </c>
      <c r="E14" s="26" t="s">
        <v>429</v>
      </c>
      <c r="F14" s="28" t="s">
        <v>90</v>
      </c>
      <c r="G14" s="26" t="s">
        <v>466</v>
      </c>
      <c r="H14" s="27">
        <v>40725</v>
      </c>
      <c r="I14" s="27"/>
      <c r="J14" s="28" t="s">
        <v>74</v>
      </c>
      <c r="K14" s="28" t="s">
        <v>447</v>
      </c>
      <c r="L14" s="26" t="s">
        <v>442</v>
      </c>
      <c r="M14" s="28" t="s">
        <v>74</v>
      </c>
      <c r="N14" s="26" t="s">
        <v>74</v>
      </c>
      <c r="O14" s="29" t="s">
        <v>467</v>
      </c>
      <c r="P14" s="29"/>
      <c r="Q14" s="29"/>
      <c r="R14" s="29"/>
      <c r="S14" s="26" t="s">
        <v>448</v>
      </c>
      <c r="T14" s="26" t="s">
        <v>74</v>
      </c>
      <c r="U14" s="26" t="s">
        <v>445</v>
      </c>
      <c r="V14" s="28" t="s">
        <v>90</v>
      </c>
    </row>
    <row r="15" spans="1:22" s="30" customFormat="1" ht="87" x14ac:dyDescent="0.35">
      <c r="A15" s="26" t="s">
        <v>446</v>
      </c>
      <c r="B15" s="26" t="s">
        <v>116</v>
      </c>
      <c r="C15" s="27">
        <v>46157.454861111109</v>
      </c>
      <c r="D15" s="26" t="s">
        <v>206</v>
      </c>
      <c r="E15" s="26" t="s">
        <v>429</v>
      </c>
      <c r="F15" s="28" t="s">
        <v>90</v>
      </c>
      <c r="G15" s="26" t="s">
        <v>468</v>
      </c>
      <c r="H15" s="27">
        <v>40725</v>
      </c>
      <c r="I15" s="27"/>
      <c r="J15" s="28" t="s">
        <v>74</v>
      </c>
      <c r="K15" s="28" t="s">
        <v>447</v>
      </c>
      <c r="L15" s="26" t="s">
        <v>442</v>
      </c>
      <c r="M15" s="28" t="s">
        <v>74</v>
      </c>
      <c r="N15" s="26" t="s">
        <v>74</v>
      </c>
      <c r="O15" s="29" t="s">
        <v>469</v>
      </c>
      <c r="P15" s="29"/>
      <c r="Q15" s="29"/>
      <c r="R15" s="29"/>
      <c r="S15" s="26" t="s">
        <v>448</v>
      </c>
      <c r="T15" s="26" t="s">
        <v>74</v>
      </c>
      <c r="U15" s="26" t="s">
        <v>445</v>
      </c>
      <c r="V15" s="28" t="s">
        <v>90</v>
      </c>
    </row>
    <row r="16" spans="1:22" ht="29" x14ac:dyDescent="0.35">
      <c r="A16" s="14" t="s">
        <v>113</v>
      </c>
      <c r="B16" s="14" t="s">
        <v>62</v>
      </c>
      <c r="C16" s="15">
        <v>44965.762499999997</v>
      </c>
      <c r="D16" s="14" t="s">
        <v>205</v>
      </c>
      <c r="E16" s="14" t="s">
        <v>429</v>
      </c>
      <c r="F16" s="16" t="s">
        <v>189</v>
      </c>
      <c r="G16" s="14" t="s">
        <v>470</v>
      </c>
      <c r="H16" s="15">
        <v>40725</v>
      </c>
      <c r="I16" s="15"/>
      <c r="J16" s="16" t="s">
        <v>74</v>
      </c>
      <c r="K16" s="16" t="s">
        <v>471</v>
      </c>
      <c r="L16" s="14" t="s">
        <v>442</v>
      </c>
      <c r="M16" s="16" t="s">
        <v>74</v>
      </c>
      <c r="N16" s="14" t="s">
        <v>74</v>
      </c>
      <c r="O16" s="17" t="s">
        <v>472</v>
      </c>
      <c r="P16" s="17"/>
      <c r="Q16" s="17"/>
      <c r="R16" s="17"/>
      <c r="S16" s="14" t="s">
        <v>74</v>
      </c>
      <c r="T16" s="14" t="s">
        <v>74</v>
      </c>
      <c r="U16" s="14" t="s">
        <v>445</v>
      </c>
      <c r="V16" s="16" t="s">
        <v>189</v>
      </c>
    </row>
    <row r="17" spans="1:22" ht="29" x14ac:dyDescent="0.35">
      <c r="A17" s="14" t="s">
        <v>113</v>
      </c>
      <c r="B17" s="14" t="s">
        <v>62</v>
      </c>
      <c r="C17" s="15">
        <v>44851.451388888891</v>
      </c>
      <c r="D17" s="14" t="s">
        <v>273</v>
      </c>
      <c r="E17" s="14" t="s">
        <v>429</v>
      </c>
      <c r="F17" s="16" t="s">
        <v>265</v>
      </c>
      <c r="G17" s="14" t="s">
        <v>473</v>
      </c>
      <c r="H17" s="15">
        <v>40725</v>
      </c>
      <c r="I17" s="15"/>
      <c r="J17" s="16" t="s">
        <v>74</v>
      </c>
      <c r="K17" s="16" t="s">
        <v>474</v>
      </c>
      <c r="L17" s="14" t="s">
        <v>442</v>
      </c>
      <c r="M17" s="16" t="s">
        <v>74</v>
      </c>
      <c r="N17" s="14" t="s">
        <v>74</v>
      </c>
      <c r="O17" s="17" t="s">
        <v>475</v>
      </c>
      <c r="P17" s="17"/>
      <c r="Q17" s="17"/>
      <c r="R17" s="17"/>
      <c r="S17" s="14" t="s">
        <v>74</v>
      </c>
      <c r="T17" s="14" t="s">
        <v>74</v>
      </c>
      <c r="U17" s="14" t="s">
        <v>445</v>
      </c>
      <c r="V17" s="16" t="s">
        <v>265</v>
      </c>
    </row>
    <row r="18" spans="1:22" s="30" customFormat="1" ht="87" x14ac:dyDescent="0.35">
      <c r="A18" s="26" t="s">
        <v>446</v>
      </c>
      <c r="B18" s="26" t="s">
        <v>116</v>
      </c>
      <c r="C18" s="27">
        <v>46157.454861111109</v>
      </c>
      <c r="D18" s="26" t="s">
        <v>195</v>
      </c>
      <c r="E18" s="26" t="s">
        <v>429</v>
      </c>
      <c r="F18" s="28" t="s">
        <v>90</v>
      </c>
      <c r="G18" s="26" t="s">
        <v>476</v>
      </c>
      <c r="H18" s="27">
        <v>40725</v>
      </c>
      <c r="I18" s="27"/>
      <c r="J18" s="28" t="s">
        <v>74</v>
      </c>
      <c r="K18" s="28" t="s">
        <v>447</v>
      </c>
      <c r="L18" s="26" t="s">
        <v>442</v>
      </c>
      <c r="M18" s="28" t="s">
        <v>74</v>
      </c>
      <c r="N18" s="26" t="s">
        <v>74</v>
      </c>
      <c r="O18" s="29" t="s">
        <v>477</v>
      </c>
      <c r="P18" s="29"/>
      <c r="Q18" s="29"/>
      <c r="R18" s="29"/>
      <c r="S18" s="26" t="s">
        <v>448</v>
      </c>
      <c r="T18" s="26" t="s">
        <v>74</v>
      </c>
      <c r="U18" s="26" t="s">
        <v>445</v>
      </c>
      <c r="V18" s="28" t="s">
        <v>90</v>
      </c>
    </row>
    <row r="19" spans="1:22" ht="29" x14ac:dyDescent="0.35">
      <c r="A19" s="14" t="s">
        <v>113</v>
      </c>
      <c r="B19" s="14" t="s">
        <v>62</v>
      </c>
      <c r="C19" s="15">
        <v>44965.762499999997</v>
      </c>
      <c r="D19" s="14" t="s">
        <v>237</v>
      </c>
      <c r="E19" s="14" t="s">
        <v>429</v>
      </c>
      <c r="F19" s="16" t="s">
        <v>189</v>
      </c>
      <c r="G19" s="14" t="s">
        <v>476</v>
      </c>
      <c r="H19" s="15">
        <v>40725</v>
      </c>
      <c r="I19" s="15"/>
      <c r="J19" s="16" t="s">
        <v>74</v>
      </c>
      <c r="K19" s="16" t="s">
        <v>478</v>
      </c>
      <c r="L19" s="14" t="s">
        <v>442</v>
      </c>
      <c r="M19" s="16" t="s">
        <v>74</v>
      </c>
      <c r="N19" s="14" t="s">
        <v>74</v>
      </c>
      <c r="O19" s="17" t="s">
        <v>479</v>
      </c>
      <c r="P19" s="17"/>
      <c r="Q19" s="17"/>
      <c r="R19" s="17"/>
      <c r="S19" s="14" t="s">
        <v>74</v>
      </c>
      <c r="T19" s="14" t="s">
        <v>74</v>
      </c>
      <c r="U19" s="14" t="s">
        <v>445</v>
      </c>
      <c r="V19" s="16" t="s">
        <v>189</v>
      </c>
    </row>
    <row r="20" spans="1:22" ht="29" x14ac:dyDescent="0.35">
      <c r="A20" s="14" t="s">
        <v>113</v>
      </c>
      <c r="B20" s="14" t="s">
        <v>62</v>
      </c>
      <c r="C20" s="15">
        <v>44851.454861111109</v>
      </c>
      <c r="D20" s="14" t="s">
        <v>270</v>
      </c>
      <c r="E20" s="14" t="s">
        <v>429</v>
      </c>
      <c r="F20" s="16" t="s">
        <v>189</v>
      </c>
      <c r="G20" s="14" t="s">
        <v>476</v>
      </c>
      <c r="H20" s="15">
        <v>40725</v>
      </c>
      <c r="I20" s="15"/>
      <c r="J20" s="16" t="s">
        <v>74</v>
      </c>
      <c r="K20" s="16" t="s">
        <v>480</v>
      </c>
      <c r="L20" s="14" t="s">
        <v>442</v>
      </c>
      <c r="M20" s="16" t="s">
        <v>74</v>
      </c>
      <c r="N20" s="14" t="s">
        <v>74</v>
      </c>
      <c r="O20" s="17" t="s">
        <v>481</v>
      </c>
      <c r="P20" s="17"/>
      <c r="Q20" s="17"/>
      <c r="R20" s="17"/>
      <c r="S20" s="14" t="s">
        <v>74</v>
      </c>
      <c r="T20" s="14" t="s">
        <v>74</v>
      </c>
      <c r="U20" s="14" t="s">
        <v>445</v>
      </c>
      <c r="V20" s="16" t="s">
        <v>189</v>
      </c>
    </row>
    <row r="21" spans="1:22" ht="29" x14ac:dyDescent="0.35">
      <c r="A21" s="14" t="s">
        <v>197</v>
      </c>
      <c r="B21" s="14" t="s">
        <v>62</v>
      </c>
      <c r="C21" s="15">
        <v>45993.654861111114</v>
      </c>
      <c r="D21" s="14" t="s">
        <v>200</v>
      </c>
      <c r="E21" s="14" t="s">
        <v>429</v>
      </c>
      <c r="F21" s="16" t="s">
        <v>189</v>
      </c>
      <c r="G21" s="14" t="s">
        <v>466</v>
      </c>
      <c r="H21" s="15">
        <v>40725</v>
      </c>
      <c r="I21" s="15"/>
      <c r="J21" s="16" t="s">
        <v>74</v>
      </c>
      <c r="K21" s="16" t="s">
        <v>482</v>
      </c>
      <c r="L21" s="14" t="s">
        <v>442</v>
      </c>
      <c r="M21" s="16" t="s">
        <v>74</v>
      </c>
      <c r="N21" s="14" t="s">
        <v>74</v>
      </c>
      <c r="O21" s="17" t="s">
        <v>483</v>
      </c>
      <c r="P21" s="17"/>
      <c r="Q21" s="17"/>
      <c r="R21" s="17"/>
      <c r="S21" s="14" t="s">
        <v>74</v>
      </c>
      <c r="T21" s="14" t="s">
        <v>74</v>
      </c>
      <c r="U21" s="14" t="s">
        <v>445</v>
      </c>
      <c r="V21" s="16" t="s">
        <v>189</v>
      </c>
    </row>
    <row r="22" spans="1:22" ht="43.5" x14ac:dyDescent="0.35">
      <c r="A22" s="14" t="s">
        <v>113</v>
      </c>
      <c r="B22" s="14" t="s">
        <v>62</v>
      </c>
      <c r="C22" s="15">
        <v>44834.605555555558</v>
      </c>
      <c r="D22" s="14" t="s">
        <v>126</v>
      </c>
      <c r="E22" s="14" t="s">
        <v>429</v>
      </c>
      <c r="F22" s="16" t="s">
        <v>88</v>
      </c>
      <c r="G22" s="14" t="s">
        <v>476</v>
      </c>
      <c r="H22" s="15">
        <v>44678</v>
      </c>
      <c r="I22" s="15"/>
      <c r="J22" s="16" t="s">
        <v>74</v>
      </c>
      <c r="K22" s="16" t="s">
        <v>441</v>
      </c>
      <c r="L22" s="14" t="s">
        <v>442</v>
      </c>
      <c r="M22" s="16" t="s">
        <v>74</v>
      </c>
      <c r="N22" s="14" t="s">
        <v>74</v>
      </c>
      <c r="O22" s="17" t="s">
        <v>484</v>
      </c>
      <c r="P22" s="17"/>
      <c r="Q22" s="17"/>
      <c r="R22" s="17"/>
      <c r="S22" s="14" t="s">
        <v>74</v>
      </c>
      <c r="T22" s="14" t="s">
        <v>74</v>
      </c>
      <c r="U22" s="14" t="s">
        <v>445</v>
      </c>
      <c r="V22" s="16" t="s">
        <v>88</v>
      </c>
    </row>
    <row r="23" spans="1:22" s="30" customFormat="1" ht="87" x14ac:dyDescent="0.35">
      <c r="A23" s="26" t="s">
        <v>446</v>
      </c>
      <c r="B23" s="26" t="s">
        <v>116</v>
      </c>
      <c r="C23" s="27">
        <v>46157.454861111109</v>
      </c>
      <c r="D23" s="26" t="s">
        <v>127</v>
      </c>
      <c r="E23" s="26" t="s">
        <v>429</v>
      </c>
      <c r="F23" s="28" t="s">
        <v>90</v>
      </c>
      <c r="G23" s="26" t="s">
        <v>476</v>
      </c>
      <c r="H23" s="27">
        <v>44678</v>
      </c>
      <c r="I23" s="27"/>
      <c r="J23" s="28" t="s">
        <v>74</v>
      </c>
      <c r="K23" s="28" t="s">
        <v>447</v>
      </c>
      <c r="L23" s="26" t="s">
        <v>442</v>
      </c>
      <c r="M23" s="28" t="s">
        <v>74</v>
      </c>
      <c r="N23" s="26" t="s">
        <v>74</v>
      </c>
      <c r="O23" s="29" t="s">
        <v>485</v>
      </c>
      <c r="P23" s="29"/>
      <c r="Q23" s="29"/>
      <c r="R23" s="29"/>
      <c r="S23" s="26" t="s">
        <v>448</v>
      </c>
      <c r="T23" s="26" t="s">
        <v>74</v>
      </c>
      <c r="U23" s="26" t="s">
        <v>445</v>
      </c>
      <c r="V23" s="28" t="s">
        <v>90</v>
      </c>
    </row>
    <row r="24" spans="1:22" ht="43.5" x14ac:dyDescent="0.35">
      <c r="A24" s="14" t="s">
        <v>486</v>
      </c>
      <c r="B24" s="14" t="s">
        <v>62</v>
      </c>
      <c r="C24" s="15">
        <v>43152.5</v>
      </c>
      <c r="D24" s="14" t="s">
        <v>91</v>
      </c>
      <c r="E24" s="14" t="s">
        <v>487</v>
      </c>
      <c r="F24" s="16" t="s">
        <v>92</v>
      </c>
      <c r="G24" s="14" t="s">
        <v>74</v>
      </c>
      <c r="H24" s="15">
        <v>40725</v>
      </c>
      <c r="I24" s="15"/>
      <c r="J24" s="16" t="s">
        <v>74</v>
      </c>
      <c r="K24" s="16" t="s">
        <v>488</v>
      </c>
      <c r="L24" s="14" t="s">
        <v>442</v>
      </c>
      <c r="M24" s="16" t="s">
        <v>74</v>
      </c>
      <c r="N24" s="14" t="s">
        <v>74</v>
      </c>
      <c r="O24" s="17"/>
      <c r="P24" s="17"/>
      <c r="Q24" s="17"/>
      <c r="R24" s="17"/>
      <c r="S24" s="14" t="s">
        <v>74</v>
      </c>
      <c r="T24" s="14" t="s">
        <v>74</v>
      </c>
      <c r="U24" s="14" t="s">
        <v>74</v>
      </c>
      <c r="V24" s="16" t="s">
        <v>74</v>
      </c>
    </row>
    <row r="25" spans="1:22" ht="43.5" x14ac:dyDescent="0.35">
      <c r="A25" s="14" t="s">
        <v>486</v>
      </c>
      <c r="B25" s="14" t="s">
        <v>62</v>
      </c>
      <c r="C25" s="15">
        <v>43152.5</v>
      </c>
      <c r="D25" s="14" t="s">
        <v>128</v>
      </c>
      <c r="E25" s="14" t="s">
        <v>487</v>
      </c>
      <c r="F25" s="16" t="s">
        <v>129</v>
      </c>
      <c r="G25" s="14" t="s">
        <v>74</v>
      </c>
      <c r="H25" s="15">
        <v>40725</v>
      </c>
      <c r="I25" s="15"/>
      <c r="J25" s="16" t="s">
        <v>74</v>
      </c>
      <c r="K25" s="16" t="s">
        <v>489</v>
      </c>
      <c r="L25" s="14" t="s">
        <v>442</v>
      </c>
      <c r="M25" s="16" t="s">
        <v>74</v>
      </c>
      <c r="N25" s="14" t="s">
        <v>74</v>
      </c>
      <c r="O25" s="17"/>
      <c r="P25" s="17"/>
      <c r="Q25" s="17"/>
      <c r="R25" s="17"/>
      <c r="S25" s="14" t="s">
        <v>74</v>
      </c>
      <c r="T25" s="14" t="s">
        <v>74</v>
      </c>
      <c r="U25" s="14" t="s">
        <v>74</v>
      </c>
      <c r="V25" s="16" t="s">
        <v>74</v>
      </c>
    </row>
    <row r="26" spans="1:22" ht="43.5" x14ac:dyDescent="0.35">
      <c r="A26" s="14" t="s">
        <v>486</v>
      </c>
      <c r="B26" s="14" t="s">
        <v>62</v>
      </c>
      <c r="C26" s="15">
        <v>43152.5</v>
      </c>
      <c r="D26" s="14" t="s">
        <v>93</v>
      </c>
      <c r="E26" s="14" t="s">
        <v>487</v>
      </c>
      <c r="F26" s="16" t="s">
        <v>94</v>
      </c>
      <c r="G26" s="14" t="s">
        <v>74</v>
      </c>
      <c r="H26" s="15">
        <v>40725</v>
      </c>
      <c r="I26" s="15"/>
      <c r="J26" s="16" t="s">
        <v>490</v>
      </c>
      <c r="K26" s="16" t="s">
        <v>491</v>
      </c>
      <c r="L26" s="14" t="s">
        <v>442</v>
      </c>
      <c r="M26" s="16" t="s">
        <v>74</v>
      </c>
      <c r="N26" s="14" t="s">
        <v>74</v>
      </c>
      <c r="O26" s="17"/>
      <c r="P26" s="17"/>
      <c r="Q26" s="17"/>
      <c r="R26" s="17"/>
      <c r="S26" s="14" t="s">
        <v>74</v>
      </c>
      <c r="T26" s="14" t="s">
        <v>74</v>
      </c>
      <c r="U26" s="14" t="s">
        <v>74</v>
      </c>
      <c r="V26" s="16" t="s">
        <v>74</v>
      </c>
    </row>
    <row r="27" spans="1:22" ht="43.5" x14ac:dyDescent="0.35">
      <c r="A27" s="14" t="s">
        <v>486</v>
      </c>
      <c r="B27" s="14" t="s">
        <v>62</v>
      </c>
      <c r="C27" s="15">
        <v>43152.5</v>
      </c>
      <c r="D27" s="14" t="s">
        <v>95</v>
      </c>
      <c r="E27" s="14" t="s">
        <v>487</v>
      </c>
      <c r="F27" s="16" t="s">
        <v>96</v>
      </c>
      <c r="G27" s="14" t="s">
        <v>74</v>
      </c>
      <c r="H27" s="15">
        <v>40725</v>
      </c>
      <c r="I27" s="15"/>
      <c r="J27" s="16" t="s">
        <v>492</v>
      </c>
      <c r="K27" s="16" t="s">
        <v>493</v>
      </c>
      <c r="L27" s="14" t="s">
        <v>442</v>
      </c>
      <c r="M27" s="16" t="s">
        <v>74</v>
      </c>
      <c r="N27" s="14" t="s">
        <v>74</v>
      </c>
      <c r="O27" s="17"/>
      <c r="P27" s="17"/>
      <c r="Q27" s="17"/>
      <c r="R27" s="17"/>
      <c r="S27" s="14" t="s">
        <v>74</v>
      </c>
      <c r="T27" s="14" t="s">
        <v>74</v>
      </c>
      <c r="U27" s="14" t="s">
        <v>74</v>
      </c>
      <c r="V27" s="16" t="s">
        <v>74</v>
      </c>
    </row>
    <row r="28" spans="1:22" ht="43.5" x14ac:dyDescent="0.35">
      <c r="A28" s="14" t="s">
        <v>486</v>
      </c>
      <c r="B28" s="14" t="s">
        <v>62</v>
      </c>
      <c r="C28" s="15">
        <v>43152.5</v>
      </c>
      <c r="D28" s="14" t="s">
        <v>130</v>
      </c>
      <c r="E28" s="14" t="s">
        <v>487</v>
      </c>
      <c r="F28" s="16" t="s">
        <v>131</v>
      </c>
      <c r="G28" s="14" t="s">
        <v>74</v>
      </c>
      <c r="H28" s="15">
        <v>40725</v>
      </c>
      <c r="I28" s="15"/>
      <c r="J28" s="16" t="s">
        <v>494</v>
      </c>
      <c r="K28" s="16" t="s">
        <v>495</v>
      </c>
      <c r="L28" s="14" t="s">
        <v>442</v>
      </c>
      <c r="M28" s="16" t="s">
        <v>74</v>
      </c>
      <c r="N28" s="14" t="s">
        <v>74</v>
      </c>
      <c r="O28" s="17"/>
      <c r="P28" s="17"/>
      <c r="Q28" s="17"/>
      <c r="R28" s="17"/>
      <c r="S28" s="14" t="s">
        <v>74</v>
      </c>
      <c r="T28" s="14" t="s">
        <v>74</v>
      </c>
      <c r="U28" s="14" t="s">
        <v>74</v>
      </c>
      <c r="V28" s="16" t="s">
        <v>74</v>
      </c>
    </row>
    <row r="29" spans="1:22" ht="43.5" x14ac:dyDescent="0.35">
      <c r="A29" s="14" t="s">
        <v>486</v>
      </c>
      <c r="B29" s="14" t="s">
        <v>62</v>
      </c>
      <c r="C29" s="15">
        <v>43152.5</v>
      </c>
      <c r="D29" s="14" t="s">
        <v>132</v>
      </c>
      <c r="E29" s="14" t="s">
        <v>487</v>
      </c>
      <c r="F29" s="16" t="s">
        <v>133</v>
      </c>
      <c r="G29" s="14" t="s">
        <v>74</v>
      </c>
      <c r="H29" s="15">
        <v>40725</v>
      </c>
      <c r="I29" s="15"/>
      <c r="J29" s="16" t="s">
        <v>496</v>
      </c>
      <c r="K29" s="16" t="s">
        <v>497</v>
      </c>
      <c r="L29" s="14" t="s">
        <v>442</v>
      </c>
      <c r="M29" s="16" t="s">
        <v>74</v>
      </c>
      <c r="N29" s="14" t="s">
        <v>74</v>
      </c>
      <c r="O29" s="17"/>
      <c r="P29" s="17"/>
      <c r="Q29" s="17"/>
      <c r="R29" s="17"/>
      <c r="S29" s="14" t="s">
        <v>74</v>
      </c>
      <c r="T29" s="14" t="s">
        <v>74</v>
      </c>
      <c r="U29" s="14" t="s">
        <v>74</v>
      </c>
      <c r="V29" s="16" t="s">
        <v>74</v>
      </c>
    </row>
    <row r="30" spans="1:22" ht="43.5" x14ac:dyDescent="0.35">
      <c r="A30" s="14" t="s">
        <v>486</v>
      </c>
      <c r="B30" s="14" t="s">
        <v>62</v>
      </c>
      <c r="C30" s="15">
        <v>43152.5</v>
      </c>
      <c r="D30" s="14" t="s">
        <v>97</v>
      </c>
      <c r="E30" s="14" t="s">
        <v>487</v>
      </c>
      <c r="F30" s="16" t="s">
        <v>98</v>
      </c>
      <c r="G30" s="14" t="s">
        <v>74</v>
      </c>
      <c r="H30" s="15">
        <v>40725</v>
      </c>
      <c r="I30" s="15"/>
      <c r="J30" s="16" t="s">
        <v>490</v>
      </c>
      <c r="K30" s="16" t="s">
        <v>498</v>
      </c>
      <c r="L30" s="14" t="s">
        <v>499</v>
      </c>
      <c r="M30" s="16" t="s">
        <v>74</v>
      </c>
      <c r="N30" s="14" t="s">
        <v>74</v>
      </c>
      <c r="O30" s="17"/>
      <c r="P30" s="17"/>
      <c r="Q30" s="17"/>
      <c r="R30" s="17"/>
      <c r="S30" s="14" t="s">
        <v>74</v>
      </c>
      <c r="T30" s="14" t="s">
        <v>74</v>
      </c>
      <c r="U30" s="14" t="s">
        <v>74</v>
      </c>
      <c r="V30" s="16" t="s">
        <v>74</v>
      </c>
    </row>
    <row r="31" spans="1:22" ht="43.5" x14ac:dyDescent="0.35">
      <c r="A31" s="14" t="s">
        <v>486</v>
      </c>
      <c r="B31" s="14" t="s">
        <v>62</v>
      </c>
      <c r="C31" s="15">
        <v>43152.5</v>
      </c>
      <c r="D31" s="14" t="s">
        <v>99</v>
      </c>
      <c r="E31" s="14" t="s">
        <v>487</v>
      </c>
      <c r="F31" s="16" t="s">
        <v>100</v>
      </c>
      <c r="G31" s="14" t="s">
        <v>74</v>
      </c>
      <c r="H31" s="15">
        <v>40725</v>
      </c>
      <c r="I31" s="15"/>
      <c r="J31" s="16" t="s">
        <v>492</v>
      </c>
      <c r="K31" s="16" t="s">
        <v>500</v>
      </c>
      <c r="L31" s="14" t="s">
        <v>499</v>
      </c>
      <c r="M31" s="16" t="s">
        <v>74</v>
      </c>
      <c r="N31" s="14" t="s">
        <v>74</v>
      </c>
      <c r="O31" s="17"/>
      <c r="P31" s="17"/>
      <c r="Q31" s="17"/>
      <c r="R31" s="17"/>
      <c r="S31" s="14" t="s">
        <v>74</v>
      </c>
      <c r="T31" s="14" t="s">
        <v>74</v>
      </c>
      <c r="U31" s="14" t="s">
        <v>74</v>
      </c>
      <c r="V31" s="16" t="s">
        <v>74</v>
      </c>
    </row>
    <row r="32" spans="1:22" ht="43.5" x14ac:dyDescent="0.35">
      <c r="A32" s="14" t="s">
        <v>486</v>
      </c>
      <c r="B32" s="14" t="s">
        <v>62</v>
      </c>
      <c r="C32" s="15">
        <v>43152.5</v>
      </c>
      <c r="D32" s="14" t="s">
        <v>101</v>
      </c>
      <c r="E32" s="14" t="s">
        <v>487</v>
      </c>
      <c r="F32" s="16" t="s">
        <v>102</v>
      </c>
      <c r="G32" s="14" t="s">
        <v>74</v>
      </c>
      <c r="H32" s="15">
        <v>40725</v>
      </c>
      <c r="I32" s="15"/>
      <c r="J32" s="16" t="s">
        <v>74</v>
      </c>
      <c r="K32" s="16" t="s">
        <v>501</v>
      </c>
      <c r="L32" s="14" t="s">
        <v>442</v>
      </c>
      <c r="M32" s="16" t="s">
        <v>74</v>
      </c>
      <c r="N32" s="14" t="s">
        <v>74</v>
      </c>
      <c r="O32" s="17"/>
      <c r="P32" s="17"/>
      <c r="Q32" s="17"/>
      <c r="R32" s="17"/>
      <c r="S32" s="14" t="s">
        <v>74</v>
      </c>
      <c r="T32" s="14" t="s">
        <v>74</v>
      </c>
      <c r="U32" s="14" t="s">
        <v>74</v>
      </c>
      <c r="V32" s="16" t="s">
        <v>74</v>
      </c>
    </row>
    <row r="33" spans="1:22" ht="72.5" x14ac:dyDescent="0.35">
      <c r="A33" s="14" t="s">
        <v>486</v>
      </c>
      <c r="B33" s="14" t="s">
        <v>62</v>
      </c>
      <c r="C33" s="15">
        <v>44932.46875</v>
      </c>
      <c r="D33" s="14" t="s">
        <v>103</v>
      </c>
      <c r="E33" s="14" t="s">
        <v>487</v>
      </c>
      <c r="F33" s="16" t="s">
        <v>104</v>
      </c>
      <c r="G33" s="14" t="s">
        <v>74</v>
      </c>
      <c r="H33" s="15">
        <v>40725</v>
      </c>
      <c r="I33" s="15"/>
      <c r="J33" s="16" t="s">
        <v>502</v>
      </c>
      <c r="K33" s="16" t="s">
        <v>503</v>
      </c>
      <c r="L33" s="14" t="s">
        <v>442</v>
      </c>
      <c r="M33" s="16" t="s">
        <v>504</v>
      </c>
      <c r="N33" s="14" t="s">
        <v>74</v>
      </c>
      <c r="O33" s="17"/>
      <c r="P33" s="17"/>
      <c r="Q33" s="17"/>
      <c r="R33" s="17"/>
      <c r="S33" s="14" t="s">
        <v>74</v>
      </c>
      <c r="T33" s="14" t="s">
        <v>74</v>
      </c>
      <c r="U33" s="14" t="s">
        <v>74</v>
      </c>
      <c r="V33" s="16" t="s">
        <v>74</v>
      </c>
    </row>
    <row r="34" spans="1:22" ht="72.5" x14ac:dyDescent="0.35">
      <c r="A34" s="14" t="s">
        <v>486</v>
      </c>
      <c r="B34" s="14" t="s">
        <v>62</v>
      </c>
      <c r="C34" s="15">
        <v>44932.470833333333</v>
      </c>
      <c r="D34" s="14" t="s">
        <v>105</v>
      </c>
      <c r="E34" s="14" t="s">
        <v>487</v>
      </c>
      <c r="F34" s="16" t="s">
        <v>106</v>
      </c>
      <c r="G34" s="14" t="s">
        <v>74</v>
      </c>
      <c r="H34" s="15">
        <v>40725</v>
      </c>
      <c r="I34" s="15"/>
      <c r="J34" s="16" t="s">
        <v>505</v>
      </c>
      <c r="K34" s="16" t="s">
        <v>506</v>
      </c>
      <c r="L34" s="14" t="s">
        <v>442</v>
      </c>
      <c r="M34" s="16" t="s">
        <v>504</v>
      </c>
      <c r="N34" s="14" t="s">
        <v>74</v>
      </c>
      <c r="O34" s="17"/>
      <c r="P34" s="17"/>
      <c r="Q34" s="17"/>
      <c r="R34" s="17"/>
      <c r="S34" s="14" t="s">
        <v>74</v>
      </c>
      <c r="T34" s="14" t="s">
        <v>74</v>
      </c>
      <c r="U34" s="14" t="s">
        <v>74</v>
      </c>
      <c r="V34" s="16" t="s">
        <v>74</v>
      </c>
    </row>
    <row r="35" spans="1:22" ht="72.5" x14ac:dyDescent="0.35">
      <c r="A35" s="14" t="s">
        <v>507</v>
      </c>
      <c r="B35" s="14" t="s">
        <v>116</v>
      </c>
      <c r="C35" s="15">
        <v>43669.656944444447</v>
      </c>
      <c r="D35" s="14" t="s">
        <v>107</v>
      </c>
      <c r="E35" s="14" t="s">
        <v>487</v>
      </c>
      <c r="F35" s="16" t="s">
        <v>108</v>
      </c>
      <c r="G35" s="14" t="s">
        <v>74</v>
      </c>
      <c r="H35" s="15">
        <v>40725</v>
      </c>
      <c r="I35" s="15"/>
      <c r="J35" s="16" t="s">
        <v>74</v>
      </c>
      <c r="K35" s="16" t="s">
        <v>508</v>
      </c>
      <c r="L35" s="14" t="s">
        <v>442</v>
      </c>
      <c r="M35" s="16" t="s">
        <v>74</v>
      </c>
      <c r="N35" s="14" t="s">
        <v>74</v>
      </c>
      <c r="O35" s="17"/>
      <c r="P35" s="17"/>
      <c r="Q35" s="17"/>
      <c r="R35" s="17"/>
      <c r="S35" s="14" t="s">
        <v>74</v>
      </c>
      <c r="T35" s="14" t="s">
        <v>74</v>
      </c>
      <c r="U35" s="14" t="s">
        <v>74</v>
      </c>
      <c r="V35" s="16" t="s">
        <v>74</v>
      </c>
    </row>
    <row r="36" spans="1:22" ht="29" x14ac:dyDescent="0.35">
      <c r="A36" s="14" t="s">
        <v>439</v>
      </c>
      <c r="B36" s="14" t="s">
        <v>116</v>
      </c>
      <c r="C36" s="15">
        <v>44721.632638888892</v>
      </c>
      <c r="D36" s="14" t="s">
        <v>81</v>
      </c>
      <c r="E36" s="14" t="s">
        <v>509</v>
      </c>
      <c r="F36" s="16" t="s">
        <v>82</v>
      </c>
      <c r="G36" s="14" t="s">
        <v>440</v>
      </c>
      <c r="H36" s="15">
        <v>44449</v>
      </c>
      <c r="I36" s="15"/>
      <c r="J36" s="16" t="s">
        <v>74</v>
      </c>
      <c r="K36" s="16" t="s">
        <v>74</v>
      </c>
      <c r="L36" s="14" t="s">
        <v>499</v>
      </c>
      <c r="M36" s="16" t="s">
        <v>74</v>
      </c>
      <c r="N36" s="14" t="s">
        <v>74</v>
      </c>
      <c r="O36" s="17"/>
      <c r="P36" s="17"/>
      <c r="Q36" s="17" t="s">
        <v>510</v>
      </c>
      <c r="R36" s="17"/>
      <c r="S36" s="14" t="s">
        <v>74</v>
      </c>
      <c r="T36" s="14" t="s">
        <v>74</v>
      </c>
      <c r="U36" s="14" t="s">
        <v>445</v>
      </c>
      <c r="V36" s="16" t="s">
        <v>82</v>
      </c>
    </row>
    <row r="37" spans="1:22" ht="43.5" x14ac:dyDescent="0.35">
      <c r="A37" s="14" t="s">
        <v>439</v>
      </c>
      <c r="B37" s="14" t="s">
        <v>116</v>
      </c>
      <c r="C37" s="15">
        <v>44721.633333333331</v>
      </c>
      <c r="D37" s="14" t="s">
        <v>83</v>
      </c>
      <c r="E37" s="14" t="s">
        <v>509</v>
      </c>
      <c r="F37" s="16" t="s">
        <v>84</v>
      </c>
      <c r="G37" s="14" t="s">
        <v>511</v>
      </c>
      <c r="H37" s="15">
        <v>44449</v>
      </c>
      <c r="I37" s="15"/>
      <c r="J37" s="16" t="s">
        <v>74</v>
      </c>
      <c r="K37" s="16" t="s">
        <v>74</v>
      </c>
      <c r="L37" s="14" t="s">
        <v>499</v>
      </c>
      <c r="M37" s="16" t="s">
        <v>74</v>
      </c>
      <c r="N37" s="14" t="s">
        <v>74</v>
      </c>
      <c r="O37" s="17"/>
      <c r="P37" s="17"/>
      <c r="Q37" s="17" t="s">
        <v>512</v>
      </c>
      <c r="R37" s="17"/>
      <c r="S37" s="14" t="s">
        <v>74</v>
      </c>
      <c r="T37" s="14" t="s">
        <v>74</v>
      </c>
      <c r="U37" s="14" t="s">
        <v>445</v>
      </c>
      <c r="V37" s="16" t="s">
        <v>84</v>
      </c>
    </row>
    <row r="38" spans="1:22" ht="29" x14ac:dyDescent="0.35">
      <c r="A38" s="14" t="s">
        <v>439</v>
      </c>
      <c r="B38" s="14" t="s">
        <v>116</v>
      </c>
      <c r="C38" s="15">
        <v>44721.634027777778</v>
      </c>
      <c r="D38" s="14" t="s">
        <v>85</v>
      </c>
      <c r="E38" s="14" t="s">
        <v>509</v>
      </c>
      <c r="F38" s="16" t="s">
        <v>86</v>
      </c>
      <c r="G38" s="14" t="s">
        <v>440</v>
      </c>
      <c r="H38" s="15">
        <v>44449</v>
      </c>
      <c r="I38" s="15"/>
      <c r="J38" s="16" t="s">
        <v>74</v>
      </c>
      <c r="K38" s="16" t="s">
        <v>74</v>
      </c>
      <c r="L38" s="14" t="s">
        <v>499</v>
      </c>
      <c r="M38" s="16" t="s">
        <v>74</v>
      </c>
      <c r="N38" s="14" t="s">
        <v>74</v>
      </c>
      <c r="O38" s="17"/>
      <c r="P38" s="17"/>
      <c r="Q38" s="17" t="s">
        <v>510</v>
      </c>
      <c r="R38" s="17"/>
      <c r="S38" s="14" t="s">
        <v>74</v>
      </c>
      <c r="T38" s="14" t="s">
        <v>74</v>
      </c>
      <c r="U38" s="14" t="s">
        <v>445</v>
      </c>
      <c r="V38" s="16" t="s">
        <v>86</v>
      </c>
    </row>
    <row r="39" spans="1:22" ht="43.5" x14ac:dyDescent="0.35">
      <c r="A39" s="14" t="s">
        <v>439</v>
      </c>
      <c r="B39" s="14" t="s">
        <v>116</v>
      </c>
      <c r="C39" s="15">
        <v>44721.634027777778</v>
      </c>
      <c r="D39" s="14" t="s">
        <v>147</v>
      </c>
      <c r="E39" s="14" t="s">
        <v>509</v>
      </c>
      <c r="F39" s="16" t="s">
        <v>82</v>
      </c>
      <c r="G39" s="14" t="s">
        <v>449</v>
      </c>
      <c r="H39" s="15">
        <v>44449</v>
      </c>
      <c r="I39" s="15"/>
      <c r="J39" s="16" t="s">
        <v>74</v>
      </c>
      <c r="K39" s="16" t="s">
        <v>74</v>
      </c>
      <c r="L39" s="14" t="s">
        <v>499</v>
      </c>
      <c r="M39" s="16" t="s">
        <v>74</v>
      </c>
      <c r="N39" s="14" t="s">
        <v>74</v>
      </c>
      <c r="O39" s="17"/>
      <c r="P39" s="17"/>
      <c r="Q39" s="17" t="s">
        <v>513</v>
      </c>
      <c r="R39" s="17"/>
      <c r="S39" s="14" t="s">
        <v>74</v>
      </c>
      <c r="T39" s="14" t="s">
        <v>74</v>
      </c>
      <c r="U39" s="14" t="s">
        <v>445</v>
      </c>
      <c r="V39" s="16" t="s">
        <v>82</v>
      </c>
    </row>
    <row r="40" spans="1:22" ht="58" x14ac:dyDescent="0.35">
      <c r="A40" s="14" t="s">
        <v>439</v>
      </c>
      <c r="B40" s="14" t="s">
        <v>116</v>
      </c>
      <c r="C40" s="15">
        <v>44721.634722222225</v>
      </c>
      <c r="D40" s="14" t="s">
        <v>148</v>
      </c>
      <c r="E40" s="14" t="s">
        <v>509</v>
      </c>
      <c r="F40" s="16" t="s">
        <v>84</v>
      </c>
      <c r="G40" s="14" t="s">
        <v>514</v>
      </c>
      <c r="H40" s="15">
        <v>44449</v>
      </c>
      <c r="I40" s="15"/>
      <c r="J40" s="16" t="s">
        <v>74</v>
      </c>
      <c r="K40" s="16" t="s">
        <v>74</v>
      </c>
      <c r="L40" s="14" t="s">
        <v>499</v>
      </c>
      <c r="M40" s="16" t="s">
        <v>74</v>
      </c>
      <c r="N40" s="14" t="s">
        <v>74</v>
      </c>
      <c r="O40" s="17"/>
      <c r="P40" s="17"/>
      <c r="Q40" s="17" t="s">
        <v>513</v>
      </c>
      <c r="R40" s="17"/>
      <c r="S40" s="14" t="s">
        <v>74</v>
      </c>
      <c r="T40" s="14" t="s">
        <v>74</v>
      </c>
      <c r="U40" s="14" t="s">
        <v>445</v>
      </c>
      <c r="V40" s="16" t="s">
        <v>84</v>
      </c>
    </row>
    <row r="41" spans="1:22" ht="43.5" x14ac:dyDescent="0.35">
      <c r="A41" s="14" t="s">
        <v>439</v>
      </c>
      <c r="B41" s="14" t="s">
        <v>116</v>
      </c>
      <c r="C41" s="15">
        <v>44721.635416666664</v>
      </c>
      <c r="D41" s="14" t="s">
        <v>149</v>
      </c>
      <c r="E41" s="14" t="s">
        <v>509</v>
      </c>
      <c r="F41" s="16" t="s">
        <v>86</v>
      </c>
      <c r="G41" s="14" t="s">
        <v>449</v>
      </c>
      <c r="H41" s="15">
        <v>44449</v>
      </c>
      <c r="I41" s="15"/>
      <c r="J41" s="16" t="s">
        <v>74</v>
      </c>
      <c r="K41" s="16" t="s">
        <v>74</v>
      </c>
      <c r="L41" s="14" t="s">
        <v>499</v>
      </c>
      <c r="M41" s="16" t="s">
        <v>74</v>
      </c>
      <c r="N41" s="14" t="s">
        <v>74</v>
      </c>
      <c r="O41" s="17"/>
      <c r="P41" s="17"/>
      <c r="Q41" s="17" t="s">
        <v>513</v>
      </c>
      <c r="R41" s="17"/>
      <c r="S41" s="14" t="s">
        <v>74</v>
      </c>
      <c r="T41" s="14" t="s">
        <v>74</v>
      </c>
      <c r="U41" s="14" t="s">
        <v>445</v>
      </c>
      <c r="V41" s="16" t="s">
        <v>86</v>
      </c>
    </row>
    <row r="42" spans="1:22" ht="58" x14ac:dyDescent="0.35">
      <c r="A42" s="14" t="s">
        <v>439</v>
      </c>
      <c r="B42" s="14" t="s">
        <v>116</v>
      </c>
      <c r="C42" s="15">
        <v>44721.636111111111</v>
      </c>
      <c r="D42" s="14" t="s">
        <v>156</v>
      </c>
      <c r="E42" s="14" t="s">
        <v>509</v>
      </c>
      <c r="F42" s="16" t="s">
        <v>82</v>
      </c>
      <c r="G42" s="14" t="s">
        <v>451</v>
      </c>
      <c r="H42" s="15">
        <v>44449</v>
      </c>
      <c r="I42" s="15"/>
      <c r="J42" s="16" t="s">
        <v>74</v>
      </c>
      <c r="K42" s="16" t="s">
        <v>74</v>
      </c>
      <c r="L42" s="14" t="s">
        <v>499</v>
      </c>
      <c r="M42" s="16" t="s">
        <v>74</v>
      </c>
      <c r="N42" s="14" t="s">
        <v>74</v>
      </c>
      <c r="O42" s="17"/>
      <c r="P42" s="17"/>
      <c r="Q42" s="17" t="s">
        <v>515</v>
      </c>
      <c r="R42" s="17"/>
      <c r="S42" s="14" t="s">
        <v>74</v>
      </c>
      <c r="T42" s="14" t="s">
        <v>74</v>
      </c>
      <c r="U42" s="14" t="s">
        <v>445</v>
      </c>
      <c r="V42" s="16" t="s">
        <v>82</v>
      </c>
    </row>
    <row r="43" spans="1:22" ht="72.5" x14ac:dyDescent="0.35">
      <c r="A43" s="14" t="s">
        <v>439</v>
      </c>
      <c r="B43" s="14" t="s">
        <v>116</v>
      </c>
      <c r="C43" s="15">
        <v>44721.636805555558</v>
      </c>
      <c r="D43" s="14" t="s">
        <v>157</v>
      </c>
      <c r="E43" s="14" t="s">
        <v>509</v>
      </c>
      <c r="F43" s="16" t="s">
        <v>84</v>
      </c>
      <c r="G43" s="14" t="s">
        <v>516</v>
      </c>
      <c r="H43" s="15">
        <v>44449</v>
      </c>
      <c r="I43" s="15"/>
      <c r="J43" s="16" t="s">
        <v>74</v>
      </c>
      <c r="K43" s="16" t="s">
        <v>74</v>
      </c>
      <c r="L43" s="14" t="s">
        <v>499</v>
      </c>
      <c r="M43" s="16" t="s">
        <v>74</v>
      </c>
      <c r="N43" s="14" t="s">
        <v>74</v>
      </c>
      <c r="O43" s="17"/>
      <c r="P43" s="17"/>
      <c r="Q43" s="17" t="s">
        <v>515</v>
      </c>
      <c r="R43" s="17"/>
      <c r="S43" s="14" t="s">
        <v>74</v>
      </c>
      <c r="T43" s="14" t="s">
        <v>74</v>
      </c>
      <c r="U43" s="14" t="s">
        <v>445</v>
      </c>
      <c r="V43" s="16" t="s">
        <v>84</v>
      </c>
    </row>
    <row r="44" spans="1:22" ht="58" x14ac:dyDescent="0.35">
      <c r="A44" s="14" t="s">
        <v>439</v>
      </c>
      <c r="B44" s="14" t="s">
        <v>116</v>
      </c>
      <c r="C44" s="15">
        <v>44721.637499999997</v>
      </c>
      <c r="D44" s="14" t="s">
        <v>158</v>
      </c>
      <c r="E44" s="14" t="s">
        <v>509</v>
      </c>
      <c r="F44" s="16" t="s">
        <v>86</v>
      </c>
      <c r="G44" s="14" t="s">
        <v>451</v>
      </c>
      <c r="H44" s="15">
        <v>44449</v>
      </c>
      <c r="I44" s="15"/>
      <c r="J44" s="16" t="s">
        <v>74</v>
      </c>
      <c r="K44" s="16" t="s">
        <v>74</v>
      </c>
      <c r="L44" s="14" t="s">
        <v>499</v>
      </c>
      <c r="M44" s="16" t="s">
        <v>74</v>
      </c>
      <c r="N44" s="14" t="s">
        <v>74</v>
      </c>
      <c r="O44" s="17"/>
      <c r="P44" s="17"/>
      <c r="Q44" s="17" t="s">
        <v>515</v>
      </c>
      <c r="R44" s="17"/>
      <c r="S44" s="14" t="s">
        <v>74</v>
      </c>
      <c r="T44" s="14" t="s">
        <v>74</v>
      </c>
      <c r="U44" s="14" t="s">
        <v>445</v>
      </c>
      <c r="V44" s="16" t="s">
        <v>86</v>
      </c>
    </row>
    <row r="45" spans="1:22" ht="43.5" x14ac:dyDescent="0.35">
      <c r="A45" s="14" t="s">
        <v>439</v>
      </c>
      <c r="B45" s="14" t="s">
        <v>116</v>
      </c>
      <c r="C45" s="15">
        <v>44721.637499999997</v>
      </c>
      <c r="D45" s="14" t="s">
        <v>171</v>
      </c>
      <c r="E45" s="14" t="s">
        <v>509</v>
      </c>
      <c r="F45" s="16" t="s">
        <v>82</v>
      </c>
      <c r="G45" s="14" t="s">
        <v>453</v>
      </c>
      <c r="H45" s="15">
        <v>44449</v>
      </c>
      <c r="I45" s="15"/>
      <c r="J45" s="16" t="s">
        <v>74</v>
      </c>
      <c r="K45" s="16" t="s">
        <v>74</v>
      </c>
      <c r="L45" s="14" t="s">
        <v>499</v>
      </c>
      <c r="M45" s="16" t="s">
        <v>74</v>
      </c>
      <c r="N45" s="14" t="s">
        <v>74</v>
      </c>
      <c r="O45" s="17"/>
      <c r="P45" s="17"/>
      <c r="Q45" s="17" t="s">
        <v>517</v>
      </c>
      <c r="R45" s="17"/>
      <c r="S45" s="14" t="s">
        <v>74</v>
      </c>
      <c r="T45" s="14" t="s">
        <v>74</v>
      </c>
      <c r="U45" s="14" t="s">
        <v>445</v>
      </c>
      <c r="V45" s="16" t="s">
        <v>82</v>
      </c>
    </row>
    <row r="46" spans="1:22" ht="58" x14ac:dyDescent="0.35">
      <c r="A46" s="14" t="s">
        <v>439</v>
      </c>
      <c r="B46" s="14" t="s">
        <v>116</v>
      </c>
      <c r="C46" s="15">
        <v>44721.638194444444</v>
      </c>
      <c r="D46" s="14" t="s">
        <v>172</v>
      </c>
      <c r="E46" s="14" t="s">
        <v>509</v>
      </c>
      <c r="F46" s="16" t="s">
        <v>84</v>
      </c>
      <c r="G46" s="14" t="s">
        <v>518</v>
      </c>
      <c r="H46" s="15">
        <v>44449</v>
      </c>
      <c r="I46" s="15"/>
      <c r="J46" s="16" t="s">
        <v>74</v>
      </c>
      <c r="K46" s="16" t="s">
        <v>74</v>
      </c>
      <c r="L46" s="14" t="s">
        <v>499</v>
      </c>
      <c r="M46" s="16" t="s">
        <v>74</v>
      </c>
      <c r="N46" s="14" t="s">
        <v>74</v>
      </c>
      <c r="O46" s="17"/>
      <c r="P46" s="17"/>
      <c r="Q46" s="17" t="s">
        <v>517</v>
      </c>
      <c r="R46" s="17"/>
      <c r="S46" s="14" t="s">
        <v>74</v>
      </c>
      <c r="T46" s="14" t="s">
        <v>74</v>
      </c>
      <c r="U46" s="14" t="s">
        <v>445</v>
      </c>
      <c r="V46" s="16" t="s">
        <v>84</v>
      </c>
    </row>
    <row r="47" spans="1:22" ht="43.5" x14ac:dyDescent="0.35">
      <c r="A47" s="14" t="s">
        <v>439</v>
      </c>
      <c r="B47" s="14" t="s">
        <v>116</v>
      </c>
      <c r="C47" s="15">
        <v>44721.638888888891</v>
      </c>
      <c r="D47" s="14" t="s">
        <v>173</v>
      </c>
      <c r="E47" s="14" t="s">
        <v>509</v>
      </c>
      <c r="F47" s="16" t="s">
        <v>86</v>
      </c>
      <c r="G47" s="14" t="s">
        <v>453</v>
      </c>
      <c r="H47" s="15">
        <v>44449</v>
      </c>
      <c r="I47" s="15"/>
      <c r="J47" s="16" t="s">
        <v>74</v>
      </c>
      <c r="K47" s="16" t="s">
        <v>74</v>
      </c>
      <c r="L47" s="14" t="s">
        <v>499</v>
      </c>
      <c r="M47" s="16" t="s">
        <v>74</v>
      </c>
      <c r="N47" s="14" t="s">
        <v>74</v>
      </c>
      <c r="O47" s="17"/>
      <c r="P47" s="17"/>
      <c r="Q47" s="17" t="s">
        <v>517</v>
      </c>
      <c r="R47" s="17"/>
      <c r="S47" s="14" t="s">
        <v>74</v>
      </c>
      <c r="T47" s="14" t="s">
        <v>74</v>
      </c>
      <c r="U47" s="14" t="s">
        <v>445</v>
      </c>
      <c r="V47" s="16" t="s">
        <v>86</v>
      </c>
    </row>
    <row r="48" spans="1:22" ht="43.5" x14ac:dyDescent="0.35">
      <c r="A48" s="14" t="s">
        <v>113</v>
      </c>
      <c r="B48" s="14" t="s">
        <v>62</v>
      </c>
      <c r="C48" s="15">
        <v>44851.618750000001</v>
      </c>
      <c r="D48" s="14" t="s">
        <v>203</v>
      </c>
      <c r="E48" s="14" t="s">
        <v>509</v>
      </c>
      <c r="F48" s="16" t="s">
        <v>204</v>
      </c>
      <c r="G48" s="14" t="s">
        <v>519</v>
      </c>
      <c r="H48" s="15">
        <v>40725</v>
      </c>
      <c r="I48" s="15"/>
      <c r="J48" s="16" t="s">
        <v>74</v>
      </c>
      <c r="K48" s="16" t="s">
        <v>74</v>
      </c>
      <c r="L48" s="14" t="s">
        <v>499</v>
      </c>
      <c r="M48" s="16" t="s">
        <v>74</v>
      </c>
      <c r="N48" s="14" t="s">
        <v>74</v>
      </c>
      <c r="O48" s="17"/>
      <c r="P48" s="17"/>
      <c r="Q48" s="17" t="s">
        <v>520</v>
      </c>
      <c r="R48" s="17"/>
      <c r="S48" s="14" t="s">
        <v>74</v>
      </c>
      <c r="T48" s="14" t="s">
        <v>74</v>
      </c>
      <c r="U48" s="14" t="s">
        <v>445</v>
      </c>
      <c r="V48" s="16" t="s">
        <v>204</v>
      </c>
    </row>
    <row r="49" spans="1:22" ht="43.5" x14ac:dyDescent="0.35">
      <c r="A49" s="14" t="s">
        <v>113</v>
      </c>
      <c r="B49" s="14" t="s">
        <v>62</v>
      </c>
      <c r="C49" s="15">
        <v>44883.59375</v>
      </c>
      <c r="D49" s="14" t="s">
        <v>291</v>
      </c>
      <c r="E49" s="14" t="s">
        <v>509</v>
      </c>
      <c r="F49" s="16" t="s">
        <v>263</v>
      </c>
      <c r="G49" s="14" t="s">
        <v>521</v>
      </c>
      <c r="H49" s="15">
        <v>40725</v>
      </c>
      <c r="I49" s="15"/>
      <c r="J49" s="16" t="s">
        <v>74</v>
      </c>
      <c r="K49" s="16" t="s">
        <v>74</v>
      </c>
      <c r="L49" s="14" t="s">
        <v>499</v>
      </c>
      <c r="M49" s="16" t="s">
        <v>74</v>
      </c>
      <c r="N49" s="14" t="s">
        <v>74</v>
      </c>
      <c r="O49" s="17"/>
      <c r="P49" s="17"/>
      <c r="Q49" s="17" t="s">
        <v>522</v>
      </c>
      <c r="R49" s="17"/>
      <c r="S49" s="14" t="s">
        <v>74</v>
      </c>
      <c r="T49" s="14" t="s">
        <v>74</v>
      </c>
      <c r="U49" s="14" t="s">
        <v>445</v>
      </c>
      <c r="V49" s="16" t="s">
        <v>263</v>
      </c>
    </row>
    <row r="50" spans="1:22" ht="58" x14ac:dyDescent="0.35">
      <c r="A50" s="14" t="s">
        <v>113</v>
      </c>
      <c r="B50" s="14" t="s">
        <v>62</v>
      </c>
      <c r="C50" s="15">
        <v>44851.62222222222</v>
      </c>
      <c r="D50" s="14" t="s">
        <v>292</v>
      </c>
      <c r="E50" s="14" t="s">
        <v>509</v>
      </c>
      <c r="F50" s="16" t="s">
        <v>293</v>
      </c>
      <c r="G50" s="14" t="s">
        <v>521</v>
      </c>
      <c r="H50" s="15">
        <v>40725</v>
      </c>
      <c r="I50" s="15"/>
      <c r="J50" s="16" t="s">
        <v>74</v>
      </c>
      <c r="K50" s="16" t="s">
        <v>74</v>
      </c>
      <c r="L50" s="14" t="s">
        <v>499</v>
      </c>
      <c r="M50" s="16" t="s">
        <v>74</v>
      </c>
      <c r="N50" s="14" t="s">
        <v>74</v>
      </c>
      <c r="O50" s="17"/>
      <c r="P50" s="17"/>
      <c r="Q50" s="17" t="s">
        <v>522</v>
      </c>
      <c r="R50" s="17"/>
      <c r="S50" s="14" t="s">
        <v>74</v>
      </c>
      <c r="T50" s="14" t="s">
        <v>74</v>
      </c>
      <c r="U50" s="14" t="s">
        <v>445</v>
      </c>
      <c r="V50" s="16" t="s">
        <v>293</v>
      </c>
    </row>
    <row r="51" spans="1:22" ht="43.5" x14ac:dyDescent="0.35">
      <c r="A51" s="14" t="s">
        <v>113</v>
      </c>
      <c r="B51" s="14" t="s">
        <v>62</v>
      </c>
      <c r="C51" s="15">
        <v>44851.624305555553</v>
      </c>
      <c r="D51" s="14" t="s">
        <v>262</v>
      </c>
      <c r="E51" s="14" t="s">
        <v>509</v>
      </c>
      <c r="F51" s="16" t="s">
        <v>263</v>
      </c>
      <c r="G51" s="14" t="s">
        <v>523</v>
      </c>
      <c r="H51" s="15">
        <v>40725</v>
      </c>
      <c r="I51" s="15"/>
      <c r="J51" s="16" t="s">
        <v>74</v>
      </c>
      <c r="K51" s="16" t="s">
        <v>74</v>
      </c>
      <c r="L51" s="14" t="s">
        <v>499</v>
      </c>
      <c r="M51" s="16" t="s">
        <v>74</v>
      </c>
      <c r="N51" s="14" t="s">
        <v>74</v>
      </c>
      <c r="O51" s="17"/>
      <c r="P51" s="17"/>
      <c r="Q51" s="17" t="s">
        <v>524</v>
      </c>
      <c r="R51" s="17"/>
      <c r="S51" s="14" t="s">
        <v>74</v>
      </c>
      <c r="T51" s="14" t="s">
        <v>74</v>
      </c>
      <c r="U51" s="14" t="s">
        <v>445</v>
      </c>
      <c r="V51" s="16" t="s">
        <v>263</v>
      </c>
    </row>
    <row r="52" spans="1:22" ht="43.5" x14ac:dyDescent="0.35">
      <c r="A52" s="14" t="s">
        <v>113</v>
      </c>
      <c r="B52" s="14" t="s">
        <v>62</v>
      </c>
      <c r="C52" s="15">
        <v>44851.625</v>
      </c>
      <c r="D52" s="14" t="s">
        <v>184</v>
      </c>
      <c r="E52" s="14" t="s">
        <v>509</v>
      </c>
      <c r="F52" s="16" t="s">
        <v>185</v>
      </c>
      <c r="G52" s="14" t="s">
        <v>525</v>
      </c>
      <c r="H52" s="15">
        <v>40725</v>
      </c>
      <c r="I52" s="15"/>
      <c r="J52" s="16" t="s">
        <v>74</v>
      </c>
      <c r="K52" s="16" t="s">
        <v>74</v>
      </c>
      <c r="L52" s="14" t="s">
        <v>499</v>
      </c>
      <c r="M52" s="16" t="s">
        <v>74</v>
      </c>
      <c r="N52" s="14" t="s">
        <v>74</v>
      </c>
      <c r="O52" s="17"/>
      <c r="P52" s="17"/>
      <c r="Q52" s="17" t="s">
        <v>526</v>
      </c>
      <c r="R52" s="17"/>
      <c r="S52" s="14" t="s">
        <v>74</v>
      </c>
      <c r="T52" s="14" t="s">
        <v>74</v>
      </c>
      <c r="U52" s="14" t="s">
        <v>445</v>
      </c>
      <c r="V52" s="16" t="s">
        <v>185</v>
      </c>
    </row>
    <row r="53" spans="1:22" ht="58" x14ac:dyDescent="0.35">
      <c r="A53" s="14" t="s">
        <v>113</v>
      </c>
      <c r="B53" s="14" t="s">
        <v>62</v>
      </c>
      <c r="C53" s="15">
        <v>44851.626388888886</v>
      </c>
      <c r="D53" s="14" t="s">
        <v>186</v>
      </c>
      <c r="E53" s="14" t="s">
        <v>509</v>
      </c>
      <c r="F53" s="16" t="s">
        <v>187</v>
      </c>
      <c r="G53" s="14" t="s">
        <v>527</v>
      </c>
      <c r="H53" s="15">
        <v>40725</v>
      </c>
      <c r="I53" s="15"/>
      <c r="J53" s="16" t="s">
        <v>74</v>
      </c>
      <c r="K53" s="16" t="s">
        <v>74</v>
      </c>
      <c r="L53" s="14" t="s">
        <v>499</v>
      </c>
      <c r="M53" s="16" t="s">
        <v>74</v>
      </c>
      <c r="N53" s="14" t="s">
        <v>74</v>
      </c>
      <c r="O53" s="17"/>
      <c r="P53" s="17"/>
      <c r="Q53" s="17" t="s">
        <v>528</v>
      </c>
      <c r="R53" s="17"/>
      <c r="S53" s="14" t="s">
        <v>74</v>
      </c>
      <c r="T53" s="14" t="s">
        <v>74</v>
      </c>
      <c r="U53" s="14" t="s">
        <v>445</v>
      </c>
      <c r="V53" s="16" t="s">
        <v>187</v>
      </c>
    </row>
    <row r="54" spans="1:22" ht="43.5" x14ac:dyDescent="0.35">
      <c r="A54" s="14" t="s">
        <v>113</v>
      </c>
      <c r="B54" s="14" t="s">
        <v>62</v>
      </c>
      <c r="C54" s="15">
        <v>44851.62777777778</v>
      </c>
      <c r="D54" s="14" t="s">
        <v>317</v>
      </c>
      <c r="E54" s="14" t="s">
        <v>509</v>
      </c>
      <c r="F54" s="16" t="s">
        <v>318</v>
      </c>
      <c r="G54" s="14" t="s">
        <v>529</v>
      </c>
      <c r="H54" s="15">
        <v>40725</v>
      </c>
      <c r="I54" s="15"/>
      <c r="J54" s="16" t="s">
        <v>74</v>
      </c>
      <c r="K54" s="16" t="s">
        <v>74</v>
      </c>
      <c r="L54" s="14" t="s">
        <v>499</v>
      </c>
      <c r="M54" s="16" t="s">
        <v>74</v>
      </c>
      <c r="N54" s="14" t="s">
        <v>74</v>
      </c>
      <c r="O54" s="17"/>
      <c r="P54" s="17"/>
      <c r="Q54" s="17" t="s">
        <v>530</v>
      </c>
      <c r="R54" s="17"/>
      <c r="S54" s="14" t="s">
        <v>74</v>
      </c>
      <c r="T54" s="14" t="s">
        <v>74</v>
      </c>
      <c r="U54" s="14" t="s">
        <v>445</v>
      </c>
      <c r="V54" s="16" t="s">
        <v>318</v>
      </c>
    </row>
    <row r="55" spans="1:22" ht="43.5" x14ac:dyDescent="0.35">
      <c r="A55" s="14" t="s">
        <v>113</v>
      </c>
      <c r="B55" s="14" t="s">
        <v>62</v>
      </c>
      <c r="C55" s="15">
        <v>44851.629166666666</v>
      </c>
      <c r="D55" s="14" t="s">
        <v>315</v>
      </c>
      <c r="E55" s="14" t="s">
        <v>509</v>
      </c>
      <c r="F55" s="16" t="s">
        <v>316</v>
      </c>
      <c r="G55" s="14" t="s">
        <v>529</v>
      </c>
      <c r="H55" s="15">
        <v>40725</v>
      </c>
      <c r="I55" s="15"/>
      <c r="J55" s="16" t="s">
        <v>74</v>
      </c>
      <c r="K55" s="16" t="s">
        <v>74</v>
      </c>
      <c r="L55" s="14" t="s">
        <v>499</v>
      </c>
      <c r="M55" s="16" t="s">
        <v>74</v>
      </c>
      <c r="N55" s="14" t="s">
        <v>74</v>
      </c>
      <c r="O55" s="17"/>
      <c r="P55" s="17"/>
      <c r="Q55" s="17" t="s">
        <v>531</v>
      </c>
      <c r="R55" s="17"/>
      <c r="S55" s="14" t="s">
        <v>74</v>
      </c>
      <c r="T55" s="14" t="s">
        <v>74</v>
      </c>
      <c r="U55" s="14" t="s">
        <v>445</v>
      </c>
      <c r="V55" s="16" t="s">
        <v>316</v>
      </c>
    </row>
    <row r="56" spans="1:22" ht="43.5" x14ac:dyDescent="0.35">
      <c r="A56" s="14" t="s">
        <v>113</v>
      </c>
      <c r="B56" s="14" t="s">
        <v>62</v>
      </c>
      <c r="C56" s="15">
        <v>44851.630555555559</v>
      </c>
      <c r="D56" s="14" t="s">
        <v>240</v>
      </c>
      <c r="E56" s="14" t="s">
        <v>509</v>
      </c>
      <c r="F56" s="16" t="s">
        <v>241</v>
      </c>
      <c r="G56" s="14" t="s">
        <v>473</v>
      </c>
      <c r="H56" s="15">
        <v>40725</v>
      </c>
      <c r="I56" s="15"/>
      <c r="J56" s="16" t="s">
        <v>74</v>
      </c>
      <c r="K56" s="16" t="s">
        <v>74</v>
      </c>
      <c r="L56" s="14" t="s">
        <v>499</v>
      </c>
      <c r="M56" s="16" t="s">
        <v>74</v>
      </c>
      <c r="N56" s="14" t="s">
        <v>74</v>
      </c>
      <c r="O56" s="17"/>
      <c r="P56" s="17"/>
      <c r="Q56" s="17" t="s">
        <v>532</v>
      </c>
      <c r="R56" s="17"/>
      <c r="S56" s="14" t="s">
        <v>74</v>
      </c>
      <c r="T56" s="14" t="s">
        <v>74</v>
      </c>
      <c r="U56" s="14" t="s">
        <v>445</v>
      </c>
      <c r="V56" s="16" t="s">
        <v>241</v>
      </c>
    </row>
    <row r="57" spans="1:22" ht="29" x14ac:dyDescent="0.35">
      <c r="A57" s="14" t="s">
        <v>113</v>
      </c>
      <c r="B57" s="14" t="s">
        <v>62</v>
      </c>
      <c r="C57" s="15">
        <v>44851.631249999999</v>
      </c>
      <c r="D57" s="14" t="s">
        <v>242</v>
      </c>
      <c r="E57" s="14" t="s">
        <v>509</v>
      </c>
      <c r="F57" s="16" t="s">
        <v>185</v>
      </c>
      <c r="G57" s="14" t="s">
        <v>473</v>
      </c>
      <c r="H57" s="15">
        <v>40725</v>
      </c>
      <c r="I57" s="15"/>
      <c r="J57" s="16" t="s">
        <v>74</v>
      </c>
      <c r="K57" s="16" t="s">
        <v>74</v>
      </c>
      <c r="L57" s="14" t="s">
        <v>499</v>
      </c>
      <c r="M57" s="16" t="s">
        <v>74</v>
      </c>
      <c r="N57" s="14" t="s">
        <v>74</v>
      </c>
      <c r="O57" s="17"/>
      <c r="P57" s="17"/>
      <c r="Q57" s="17" t="s">
        <v>532</v>
      </c>
      <c r="R57" s="17"/>
      <c r="S57" s="14" t="s">
        <v>74</v>
      </c>
      <c r="T57" s="14" t="s">
        <v>74</v>
      </c>
      <c r="U57" s="14" t="s">
        <v>445</v>
      </c>
      <c r="V57" s="16" t="s">
        <v>185</v>
      </c>
    </row>
    <row r="58" spans="1:22" ht="29" x14ac:dyDescent="0.35">
      <c r="A58" s="14" t="s">
        <v>113</v>
      </c>
      <c r="B58" s="14" t="s">
        <v>62</v>
      </c>
      <c r="C58" s="15">
        <v>44851.632638888892</v>
      </c>
      <c r="D58" s="14" t="s">
        <v>243</v>
      </c>
      <c r="E58" s="14" t="s">
        <v>509</v>
      </c>
      <c r="F58" s="16" t="s">
        <v>219</v>
      </c>
      <c r="G58" s="14" t="s">
        <v>473</v>
      </c>
      <c r="H58" s="15">
        <v>40725</v>
      </c>
      <c r="I58" s="15"/>
      <c r="J58" s="16" t="s">
        <v>74</v>
      </c>
      <c r="K58" s="16" t="s">
        <v>74</v>
      </c>
      <c r="L58" s="14" t="s">
        <v>499</v>
      </c>
      <c r="M58" s="16" t="s">
        <v>74</v>
      </c>
      <c r="N58" s="14" t="s">
        <v>74</v>
      </c>
      <c r="O58" s="17"/>
      <c r="P58" s="17"/>
      <c r="Q58" s="17" t="s">
        <v>532</v>
      </c>
      <c r="R58" s="17"/>
      <c r="S58" s="14" t="s">
        <v>74</v>
      </c>
      <c r="T58" s="14" t="s">
        <v>74</v>
      </c>
      <c r="U58" s="14" t="s">
        <v>445</v>
      </c>
      <c r="V58" s="16" t="s">
        <v>219</v>
      </c>
    </row>
    <row r="59" spans="1:22" ht="43.5" x14ac:dyDescent="0.35">
      <c r="A59" s="14" t="s">
        <v>113</v>
      </c>
      <c r="B59" s="14" t="s">
        <v>62</v>
      </c>
      <c r="C59" s="15">
        <v>44851.634027777778</v>
      </c>
      <c r="D59" s="14" t="s">
        <v>244</v>
      </c>
      <c r="E59" s="14" t="s">
        <v>509</v>
      </c>
      <c r="F59" s="16" t="s">
        <v>245</v>
      </c>
      <c r="G59" s="14" t="s">
        <v>473</v>
      </c>
      <c r="H59" s="15">
        <v>40725</v>
      </c>
      <c r="I59" s="15"/>
      <c r="J59" s="16" t="s">
        <v>74</v>
      </c>
      <c r="K59" s="16" t="s">
        <v>74</v>
      </c>
      <c r="L59" s="14" t="s">
        <v>499</v>
      </c>
      <c r="M59" s="16" t="s">
        <v>74</v>
      </c>
      <c r="N59" s="14" t="s">
        <v>74</v>
      </c>
      <c r="O59" s="17"/>
      <c r="P59" s="17"/>
      <c r="Q59" s="17" t="s">
        <v>532</v>
      </c>
      <c r="R59" s="17"/>
      <c r="S59" s="14" t="s">
        <v>74</v>
      </c>
      <c r="T59" s="14" t="s">
        <v>74</v>
      </c>
      <c r="U59" s="14" t="s">
        <v>445</v>
      </c>
      <c r="V59" s="16" t="s">
        <v>245</v>
      </c>
    </row>
    <row r="60" spans="1:22" ht="43.5" x14ac:dyDescent="0.35">
      <c r="A60" s="14" t="s">
        <v>113</v>
      </c>
      <c r="B60" s="14" t="s">
        <v>62</v>
      </c>
      <c r="C60" s="15">
        <v>44851.636805555558</v>
      </c>
      <c r="D60" s="14" t="s">
        <v>209</v>
      </c>
      <c r="E60" s="14" t="s">
        <v>509</v>
      </c>
      <c r="F60" s="16" t="s">
        <v>210</v>
      </c>
      <c r="G60" s="14" t="s">
        <v>533</v>
      </c>
      <c r="H60" s="15">
        <v>40725</v>
      </c>
      <c r="I60" s="15"/>
      <c r="J60" s="16" t="s">
        <v>74</v>
      </c>
      <c r="K60" s="16" t="s">
        <v>74</v>
      </c>
      <c r="L60" s="14" t="s">
        <v>499</v>
      </c>
      <c r="M60" s="16" t="s">
        <v>74</v>
      </c>
      <c r="N60" s="14" t="s">
        <v>74</v>
      </c>
      <c r="O60" s="17"/>
      <c r="P60" s="17"/>
      <c r="Q60" s="17" t="s">
        <v>534</v>
      </c>
      <c r="R60" s="17"/>
      <c r="S60" s="14" t="s">
        <v>74</v>
      </c>
      <c r="T60" s="14" t="s">
        <v>74</v>
      </c>
      <c r="U60" s="14" t="s">
        <v>445</v>
      </c>
      <c r="V60" s="16" t="s">
        <v>210</v>
      </c>
    </row>
    <row r="61" spans="1:22" ht="58" x14ac:dyDescent="0.35">
      <c r="A61" s="14" t="s">
        <v>113</v>
      </c>
      <c r="B61" s="14" t="s">
        <v>62</v>
      </c>
      <c r="C61" s="15">
        <v>44851.638194444444</v>
      </c>
      <c r="D61" s="14" t="s">
        <v>213</v>
      </c>
      <c r="E61" s="14" t="s">
        <v>509</v>
      </c>
      <c r="F61" s="16" t="s">
        <v>210</v>
      </c>
      <c r="G61" s="14" t="s">
        <v>535</v>
      </c>
      <c r="H61" s="15">
        <v>40725</v>
      </c>
      <c r="I61" s="15"/>
      <c r="J61" s="16" t="s">
        <v>74</v>
      </c>
      <c r="K61" s="16" t="s">
        <v>74</v>
      </c>
      <c r="L61" s="14" t="s">
        <v>499</v>
      </c>
      <c r="M61" s="16" t="s">
        <v>74</v>
      </c>
      <c r="N61" s="14" t="s">
        <v>74</v>
      </c>
      <c r="O61" s="17"/>
      <c r="P61" s="17"/>
      <c r="Q61" s="17" t="s">
        <v>536</v>
      </c>
      <c r="R61" s="17"/>
      <c r="S61" s="14" t="s">
        <v>74</v>
      </c>
      <c r="T61" s="14" t="s">
        <v>74</v>
      </c>
      <c r="U61" s="14" t="s">
        <v>445</v>
      </c>
      <c r="V61" s="16" t="s">
        <v>210</v>
      </c>
    </row>
    <row r="62" spans="1:22" ht="43.5" x14ac:dyDescent="0.35">
      <c r="A62" s="14" t="s">
        <v>113</v>
      </c>
      <c r="B62" s="14" t="s">
        <v>62</v>
      </c>
      <c r="C62" s="15">
        <v>44851.640277777777</v>
      </c>
      <c r="D62" s="14" t="s">
        <v>227</v>
      </c>
      <c r="E62" s="14" t="s">
        <v>509</v>
      </c>
      <c r="F62" s="16" t="s">
        <v>210</v>
      </c>
      <c r="G62" s="14" t="s">
        <v>537</v>
      </c>
      <c r="H62" s="15">
        <v>40725</v>
      </c>
      <c r="I62" s="15"/>
      <c r="J62" s="16" t="s">
        <v>74</v>
      </c>
      <c r="K62" s="16" t="s">
        <v>74</v>
      </c>
      <c r="L62" s="14" t="s">
        <v>499</v>
      </c>
      <c r="M62" s="16" t="s">
        <v>74</v>
      </c>
      <c r="N62" s="14" t="s">
        <v>74</v>
      </c>
      <c r="O62" s="17"/>
      <c r="P62" s="17"/>
      <c r="Q62" s="17" t="s">
        <v>538</v>
      </c>
      <c r="R62" s="17"/>
      <c r="S62" s="14" t="s">
        <v>74</v>
      </c>
      <c r="T62" s="14" t="s">
        <v>74</v>
      </c>
      <c r="U62" s="14" t="s">
        <v>445</v>
      </c>
      <c r="V62" s="16" t="s">
        <v>210</v>
      </c>
    </row>
    <row r="63" spans="1:22" ht="43.5" x14ac:dyDescent="0.35">
      <c r="A63" s="14" t="s">
        <v>113</v>
      </c>
      <c r="B63" s="14" t="s">
        <v>62</v>
      </c>
      <c r="C63" s="15">
        <v>44851.642361111109</v>
      </c>
      <c r="D63" s="14" t="s">
        <v>247</v>
      </c>
      <c r="E63" s="14" t="s">
        <v>509</v>
      </c>
      <c r="F63" s="16" t="s">
        <v>248</v>
      </c>
      <c r="G63" s="14" t="s">
        <v>533</v>
      </c>
      <c r="H63" s="15">
        <v>40725</v>
      </c>
      <c r="I63" s="15"/>
      <c r="J63" s="16" t="s">
        <v>74</v>
      </c>
      <c r="K63" s="16" t="s">
        <v>74</v>
      </c>
      <c r="L63" s="14" t="s">
        <v>499</v>
      </c>
      <c r="M63" s="16" t="s">
        <v>74</v>
      </c>
      <c r="N63" s="14" t="s">
        <v>74</v>
      </c>
      <c r="O63" s="17"/>
      <c r="P63" s="17"/>
      <c r="Q63" s="17" t="s">
        <v>539</v>
      </c>
      <c r="R63" s="17"/>
      <c r="S63" s="14" t="s">
        <v>74</v>
      </c>
      <c r="T63" s="14" t="s">
        <v>74</v>
      </c>
      <c r="U63" s="14" t="s">
        <v>445</v>
      </c>
      <c r="V63" s="16" t="s">
        <v>248</v>
      </c>
    </row>
    <row r="64" spans="1:22" ht="58" x14ac:dyDescent="0.35">
      <c r="A64" s="14" t="s">
        <v>113</v>
      </c>
      <c r="B64" s="14" t="s">
        <v>62</v>
      </c>
      <c r="C64" s="15">
        <v>44851.643750000003</v>
      </c>
      <c r="D64" s="14" t="s">
        <v>250</v>
      </c>
      <c r="E64" s="14" t="s">
        <v>509</v>
      </c>
      <c r="F64" s="16" t="s">
        <v>251</v>
      </c>
      <c r="G64" s="14" t="s">
        <v>535</v>
      </c>
      <c r="H64" s="15">
        <v>40725</v>
      </c>
      <c r="I64" s="15"/>
      <c r="J64" s="16" t="s">
        <v>74</v>
      </c>
      <c r="K64" s="16" t="s">
        <v>74</v>
      </c>
      <c r="L64" s="14" t="s">
        <v>499</v>
      </c>
      <c r="M64" s="16" t="s">
        <v>74</v>
      </c>
      <c r="N64" s="14" t="s">
        <v>74</v>
      </c>
      <c r="O64" s="17"/>
      <c r="P64" s="17"/>
      <c r="Q64" s="17" t="s">
        <v>540</v>
      </c>
      <c r="R64" s="17"/>
      <c r="S64" s="14" t="s">
        <v>74</v>
      </c>
      <c r="T64" s="14" t="s">
        <v>74</v>
      </c>
      <c r="U64" s="14" t="s">
        <v>445</v>
      </c>
      <c r="V64" s="16" t="s">
        <v>251</v>
      </c>
    </row>
    <row r="65" spans="1:22" ht="43.5" x14ac:dyDescent="0.35">
      <c r="A65" s="14" t="s">
        <v>113</v>
      </c>
      <c r="B65" s="14" t="s">
        <v>62</v>
      </c>
      <c r="C65" s="15">
        <v>44851.645833333336</v>
      </c>
      <c r="D65" s="14" t="s">
        <v>253</v>
      </c>
      <c r="E65" s="14" t="s">
        <v>509</v>
      </c>
      <c r="F65" s="16" t="s">
        <v>254</v>
      </c>
      <c r="G65" s="14" t="s">
        <v>537</v>
      </c>
      <c r="H65" s="15">
        <v>40725</v>
      </c>
      <c r="I65" s="15"/>
      <c r="J65" s="16" t="s">
        <v>74</v>
      </c>
      <c r="K65" s="16" t="s">
        <v>74</v>
      </c>
      <c r="L65" s="14" t="s">
        <v>499</v>
      </c>
      <c r="M65" s="16" t="s">
        <v>74</v>
      </c>
      <c r="N65" s="14" t="s">
        <v>74</v>
      </c>
      <c r="O65" s="17"/>
      <c r="P65" s="17"/>
      <c r="Q65" s="17" t="s">
        <v>541</v>
      </c>
      <c r="R65" s="17"/>
      <c r="S65" s="14" t="s">
        <v>74</v>
      </c>
      <c r="T65" s="14" t="s">
        <v>74</v>
      </c>
      <c r="U65" s="14" t="s">
        <v>445</v>
      </c>
      <c r="V65" s="16" t="s">
        <v>254</v>
      </c>
    </row>
    <row r="66" spans="1:22" ht="43.5" x14ac:dyDescent="0.35">
      <c r="A66" s="14" t="s">
        <v>113</v>
      </c>
      <c r="B66" s="14" t="s">
        <v>62</v>
      </c>
      <c r="C66" s="15">
        <v>44851.647222222222</v>
      </c>
      <c r="D66" s="14" t="s">
        <v>276</v>
      </c>
      <c r="E66" s="14" t="s">
        <v>509</v>
      </c>
      <c r="F66" s="16" t="s">
        <v>254</v>
      </c>
      <c r="G66" s="14" t="s">
        <v>533</v>
      </c>
      <c r="H66" s="15">
        <v>40725</v>
      </c>
      <c r="I66" s="15"/>
      <c r="J66" s="16" t="s">
        <v>74</v>
      </c>
      <c r="K66" s="16" t="s">
        <v>74</v>
      </c>
      <c r="L66" s="14" t="s">
        <v>499</v>
      </c>
      <c r="M66" s="16" t="s">
        <v>74</v>
      </c>
      <c r="N66" s="14" t="s">
        <v>74</v>
      </c>
      <c r="O66" s="17"/>
      <c r="P66" s="17"/>
      <c r="Q66" s="17" t="s">
        <v>542</v>
      </c>
      <c r="R66" s="17"/>
      <c r="S66" s="14" t="s">
        <v>74</v>
      </c>
      <c r="T66" s="14" t="s">
        <v>74</v>
      </c>
      <c r="U66" s="14" t="s">
        <v>445</v>
      </c>
      <c r="V66" s="16" t="s">
        <v>254</v>
      </c>
    </row>
    <row r="67" spans="1:22" ht="58" x14ac:dyDescent="0.35">
      <c r="A67" s="14" t="s">
        <v>113</v>
      </c>
      <c r="B67" s="14" t="s">
        <v>62</v>
      </c>
      <c r="C67" s="15">
        <v>44851.648611111108</v>
      </c>
      <c r="D67" s="14" t="s">
        <v>278</v>
      </c>
      <c r="E67" s="14" t="s">
        <v>509</v>
      </c>
      <c r="F67" s="16" t="s">
        <v>254</v>
      </c>
      <c r="G67" s="14" t="s">
        <v>535</v>
      </c>
      <c r="H67" s="15">
        <v>40725</v>
      </c>
      <c r="I67" s="15"/>
      <c r="J67" s="16" t="s">
        <v>74</v>
      </c>
      <c r="K67" s="16" t="s">
        <v>74</v>
      </c>
      <c r="L67" s="14" t="s">
        <v>499</v>
      </c>
      <c r="M67" s="16" t="s">
        <v>74</v>
      </c>
      <c r="N67" s="14" t="s">
        <v>74</v>
      </c>
      <c r="O67" s="17"/>
      <c r="P67" s="17"/>
      <c r="Q67" s="17" t="s">
        <v>543</v>
      </c>
      <c r="R67" s="17"/>
      <c r="S67" s="14" t="s">
        <v>74</v>
      </c>
      <c r="T67" s="14" t="s">
        <v>74</v>
      </c>
      <c r="U67" s="14" t="s">
        <v>445</v>
      </c>
      <c r="V67" s="16" t="s">
        <v>254</v>
      </c>
    </row>
    <row r="68" spans="1:22" ht="58" x14ac:dyDescent="0.35">
      <c r="A68" s="14" t="s">
        <v>113</v>
      </c>
      <c r="B68" s="14" t="s">
        <v>62</v>
      </c>
      <c r="C68" s="15">
        <v>44851.650694444441</v>
      </c>
      <c r="D68" s="14" t="s">
        <v>282</v>
      </c>
      <c r="E68" s="14" t="s">
        <v>509</v>
      </c>
      <c r="F68" s="16" t="s">
        <v>283</v>
      </c>
      <c r="G68" s="14" t="s">
        <v>537</v>
      </c>
      <c r="H68" s="15">
        <v>40725</v>
      </c>
      <c r="I68" s="15"/>
      <c r="J68" s="16" t="s">
        <v>74</v>
      </c>
      <c r="K68" s="16" t="s">
        <v>74</v>
      </c>
      <c r="L68" s="14" t="s">
        <v>499</v>
      </c>
      <c r="M68" s="16" t="s">
        <v>74</v>
      </c>
      <c r="N68" s="14" t="s">
        <v>74</v>
      </c>
      <c r="O68" s="17"/>
      <c r="P68" s="17"/>
      <c r="Q68" s="17" t="s">
        <v>544</v>
      </c>
      <c r="R68" s="17"/>
      <c r="S68" s="14" t="s">
        <v>74</v>
      </c>
      <c r="T68" s="14" t="s">
        <v>74</v>
      </c>
      <c r="U68" s="14" t="s">
        <v>445</v>
      </c>
      <c r="V68" s="16" t="s">
        <v>283</v>
      </c>
    </row>
    <row r="69" spans="1:22" ht="43.5" x14ac:dyDescent="0.35">
      <c r="A69" s="14" t="s">
        <v>113</v>
      </c>
      <c r="B69" s="14" t="s">
        <v>62</v>
      </c>
      <c r="C69" s="15">
        <v>44851.652083333334</v>
      </c>
      <c r="D69" s="14" t="s">
        <v>300</v>
      </c>
      <c r="E69" s="14" t="s">
        <v>509</v>
      </c>
      <c r="F69" s="16" t="s">
        <v>301</v>
      </c>
      <c r="G69" s="14" t="s">
        <v>533</v>
      </c>
      <c r="H69" s="15">
        <v>40725</v>
      </c>
      <c r="I69" s="15"/>
      <c r="J69" s="16" t="s">
        <v>74</v>
      </c>
      <c r="K69" s="16" t="s">
        <v>74</v>
      </c>
      <c r="L69" s="14" t="s">
        <v>499</v>
      </c>
      <c r="M69" s="16" t="s">
        <v>74</v>
      </c>
      <c r="N69" s="14" t="s">
        <v>74</v>
      </c>
      <c r="O69" s="17"/>
      <c r="P69" s="17"/>
      <c r="Q69" s="17" t="s">
        <v>545</v>
      </c>
      <c r="R69" s="17"/>
      <c r="S69" s="14" t="s">
        <v>74</v>
      </c>
      <c r="T69" s="14" t="s">
        <v>74</v>
      </c>
      <c r="U69" s="14" t="s">
        <v>445</v>
      </c>
      <c r="V69" s="16" t="s">
        <v>301</v>
      </c>
    </row>
    <row r="70" spans="1:22" ht="58" x14ac:dyDescent="0.35">
      <c r="A70" s="14" t="s">
        <v>113</v>
      </c>
      <c r="B70" s="14" t="s">
        <v>62</v>
      </c>
      <c r="C70" s="15">
        <v>44851.65347222222</v>
      </c>
      <c r="D70" s="14" t="s">
        <v>303</v>
      </c>
      <c r="E70" s="14" t="s">
        <v>509</v>
      </c>
      <c r="F70" s="16" t="s">
        <v>301</v>
      </c>
      <c r="G70" s="14" t="s">
        <v>535</v>
      </c>
      <c r="H70" s="15">
        <v>40725</v>
      </c>
      <c r="I70" s="15"/>
      <c r="J70" s="16" t="s">
        <v>74</v>
      </c>
      <c r="K70" s="16" t="s">
        <v>74</v>
      </c>
      <c r="L70" s="14" t="s">
        <v>499</v>
      </c>
      <c r="M70" s="16" t="s">
        <v>74</v>
      </c>
      <c r="N70" s="14" t="s">
        <v>74</v>
      </c>
      <c r="O70" s="17"/>
      <c r="P70" s="17"/>
      <c r="Q70" s="17" t="s">
        <v>546</v>
      </c>
      <c r="R70" s="17"/>
      <c r="S70" s="14" t="s">
        <v>74</v>
      </c>
      <c r="T70" s="14" t="s">
        <v>74</v>
      </c>
      <c r="U70" s="14" t="s">
        <v>445</v>
      </c>
      <c r="V70" s="16" t="s">
        <v>301</v>
      </c>
    </row>
    <row r="71" spans="1:22" ht="43.5" x14ac:dyDescent="0.35">
      <c r="A71" s="14" t="s">
        <v>113</v>
      </c>
      <c r="B71" s="14" t="s">
        <v>62</v>
      </c>
      <c r="C71" s="15">
        <v>44851.655555555553</v>
      </c>
      <c r="D71" s="14" t="s">
        <v>307</v>
      </c>
      <c r="E71" s="14" t="s">
        <v>509</v>
      </c>
      <c r="F71" s="16" t="s">
        <v>301</v>
      </c>
      <c r="G71" s="14" t="s">
        <v>537</v>
      </c>
      <c r="H71" s="15">
        <v>40725</v>
      </c>
      <c r="I71" s="15"/>
      <c r="J71" s="16" t="s">
        <v>74</v>
      </c>
      <c r="K71" s="16" t="s">
        <v>74</v>
      </c>
      <c r="L71" s="14" t="s">
        <v>499</v>
      </c>
      <c r="M71" s="16" t="s">
        <v>74</v>
      </c>
      <c r="N71" s="14" t="s">
        <v>74</v>
      </c>
      <c r="O71" s="17"/>
      <c r="P71" s="17"/>
      <c r="Q71" s="17" t="s">
        <v>547</v>
      </c>
      <c r="R71" s="17"/>
      <c r="S71" s="14" t="s">
        <v>74</v>
      </c>
      <c r="T71" s="14" t="s">
        <v>74</v>
      </c>
      <c r="U71" s="14" t="s">
        <v>445</v>
      </c>
      <c r="V71" s="16" t="s">
        <v>301</v>
      </c>
    </row>
    <row r="72" spans="1:22" ht="43.5" x14ac:dyDescent="0.35">
      <c r="A72" s="14" t="s">
        <v>113</v>
      </c>
      <c r="B72" s="14" t="s">
        <v>62</v>
      </c>
      <c r="C72" s="15">
        <v>44851.656944444447</v>
      </c>
      <c r="D72" s="14" t="s">
        <v>323</v>
      </c>
      <c r="E72" s="14" t="s">
        <v>509</v>
      </c>
      <c r="F72" s="16" t="s">
        <v>324</v>
      </c>
      <c r="G72" s="14" t="s">
        <v>533</v>
      </c>
      <c r="H72" s="15">
        <v>40725</v>
      </c>
      <c r="I72" s="15"/>
      <c r="J72" s="16" t="s">
        <v>74</v>
      </c>
      <c r="K72" s="16" t="s">
        <v>74</v>
      </c>
      <c r="L72" s="14" t="s">
        <v>499</v>
      </c>
      <c r="M72" s="16" t="s">
        <v>74</v>
      </c>
      <c r="N72" s="14" t="s">
        <v>74</v>
      </c>
      <c r="O72" s="17"/>
      <c r="P72" s="17"/>
      <c r="Q72" s="17" t="s">
        <v>548</v>
      </c>
      <c r="R72" s="17"/>
      <c r="S72" s="14" t="s">
        <v>74</v>
      </c>
      <c r="T72" s="14" t="s">
        <v>74</v>
      </c>
      <c r="U72" s="14" t="s">
        <v>445</v>
      </c>
      <c r="V72" s="16" t="s">
        <v>324</v>
      </c>
    </row>
    <row r="73" spans="1:22" ht="58" x14ac:dyDescent="0.35">
      <c r="A73" s="14" t="s">
        <v>113</v>
      </c>
      <c r="B73" s="14" t="s">
        <v>62</v>
      </c>
      <c r="C73" s="15">
        <v>44851.658333333333</v>
      </c>
      <c r="D73" s="14" t="s">
        <v>326</v>
      </c>
      <c r="E73" s="14" t="s">
        <v>509</v>
      </c>
      <c r="F73" s="16" t="s">
        <v>324</v>
      </c>
      <c r="G73" s="14" t="s">
        <v>535</v>
      </c>
      <c r="H73" s="15">
        <v>40725</v>
      </c>
      <c r="I73" s="15"/>
      <c r="J73" s="16" t="s">
        <v>74</v>
      </c>
      <c r="K73" s="16" t="s">
        <v>74</v>
      </c>
      <c r="L73" s="14" t="s">
        <v>499</v>
      </c>
      <c r="M73" s="16" t="s">
        <v>74</v>
      </c>
      <c r="N73" s="14" t="s">
        <v>74</v>
      </c>
      <c r="O73" s="17"/>
      <c r="P73" s="17"/>
      <c r="Q73" s="17" t="s">
        <v>549</v>
      </c>
      <c r="R73" s="17"/>
      <c r="S73" s="14" t="s">
        <v>74</v>
      </c>
      <c r="T73" s="14" t="s">
        <v>74</v>
      </c>
      <c r="U73" s="14" t="s">
        <v>445</v>
      </c>
      <c r="V73" s="16" t="s">
        <v>324</v>
      </c>
    </row>
    <row r="74" spans="1:22" ht="43.5" x14ac:dyDescent="0.35">
      <c r="A74" s="14" t="s">
        <v>113</v>
      </c>
      <c r="B74" s="14" t="s">
        <v>62</v>
      </c>
      <c r="C74" s="15">
        <v>44851.660416666666</v>
      </c>
      <c r="D74" s="14" t="s">
        <v>328</v>
      </c>
      <c r="E74" s="14" t="s">
        <v>509</v>
      </c>
      <c r="F74" s="16" t="s">
        <v>324</v>
      </c>
      <c r="G74" s="14" t="s">
        <v>537</v>
      </c>
      <c r="H74" s="15">
        <v>40725</v>
      </c>
      <c r="I74" s="15"/>
      <c r="J74" s="16" t="s">
        <v>74</v>
      </c>
      <c r="K74" s="16" t="s">
        <v>74</v>
      </c>
      <c r="L74" s="14" t="s">
        <v>499</v>
      </c>
      <c r="M74" s="16" t="s">
        <v>74</v>
      </c>
      <c r="N74" s="14" t="s">
        <v>74</v>
      </c>
      <c r="O74" s="17"/>
      <c r="P74" s="17"/>
      <c r="Q74" s="17" t="s">
        <v>550</v>
      </c>
      <c r="R74" s="17"/>
      <c r="S74" s="14" t="s">
        <v>74</v>
      </c>
      <c r="T74" s="14" t="s">
        <v>74</v>
      </c>
      <c r="U74" s="14" t="s">
        <v>445</v>
      </c>
      <c r="V74" s="16" t="s">
        <v>324</v>
      </c>
    </row>
    <row r="75" spans="1:22" ht="43.5" x14ac:dyDescent="0.35">
      <c r="A75" s="14" t="s">
        <v>197</v>
      </c>
      <c r="B75" s="14" t="s">
        <v>116</v>
      </c>
      <c r="C75" s="15">
        <v>45993.645833333336</v>
      </c>
      <c r="D75" s="14" t="s">
        <v>223</v>
      </c>
      <c r="E75" s="14" t="s">
        <v>509</v>
      </c>
      <c r="F75" s="16" t="s">
        <v>224</v>
      </c>
      <c r="G75" s="14" t="s">
        <v>551</v>
      </c>
      <c r="H75" s="15">
        <v>40725</v>
      </c>
      <c r="I75" s="15"/>
      <c r="J75" s="16" t="s">
        <v>74</v>
      </c>
      <c r="K75" s="16" t="s">
        <v>74</v>
      </c>
      <c r="L75" s="14" t="s">
        <v>499</v>
      </c>
      <c r="M75" s="16" t="s">
        <v>74</v>
      </c>
      <c r="N75" s="14" t="s">
        <v>74</v>
      </c>
      <c r="O75" s="17"/>
      <c r="P75" s="17"/>
      <c r="Q75" s="17" t="s">
        <v>552</v>
      </c>
      <c r="R75" s="17"/>
      <c r="S75" s="14" t="s">
        <v>74</v>
      </c>
      <c r="T75" s="14" t="s">
        <v>74</v>
      </c>
      <c r="U75" s="14" t="s">
        <v>445</v>
      </c>
      <c r="V75" s="16" t="s">
        <v>224</v>
      </c>
    </row>
    <row r="76" spans="1:22" ht="43.5" x14ac:dyDescent="0.35">
      <c r="A76" s="14" t="s">
        <v>113</v>
      </c>
      <c r="B76" s="14" t="s">
        <v>62</v>
      </c>
      <c r="C76" s="15">
        <v>44851.663194444445</v>
      </c>
      <c r="D76" s="14" t="s">
        <v>215</v>
      </c>
      <c r="E76" s="14" t="s">
        <v>509</v>
      </c>
      <c r="F76" s="16" t="s">
        <v>216</v>
      </c>
      <c r="G76" s="14" t="s">
        <v>553</v>
      </c>
      <c r="H76" s="15">
        <v>40725</v>
      </c>
      <c r="I76" s="15"/>
      <c r="J76" s="16" t="s">
        <v>74</v>
      </c>
      <c r="K76" s="16" t="s">
        <v>74</v>
      </c>
      <c r="L76" s="14" t="s">
        <v>499</v>
      </c>
      <c r="M76" s="16" t="s">
        <v>74</v>
      </c>
      <c r="N76" s="14" t="s">
        <v>74</v>
      </c>
      <c r="O76" s="17"/>
      <c r="P76" s="17"/>
      <c r="Q76" s="17" t="s">
        <v>554</v>
      </c>
      <c r="R76" s="17"/>
      <c r="S76" s="14" t="s">
        <v>74</v>
      </c>
      <c r="T76" s="14" t="s">
        <v>74</v>
      </c>
      <c r="U76" s="14" t="s">
        <v>445</v>
      </c>
      <c r="V76" s="16" t="s">
        <v>216</v>
      </c>
    </row>
    <row r="77" spans="1:22" ht="29" x14ac:dyDescent="0.35">
      <c r="A77" s="14" t="s">
        <v>113</v>
      </c>
      <c r="B77" s="14" t="s">
        <v>62</v>
      </c>
      <c r="C77" s="15">
        <v>44851.663888888892</v>
      </c>
      <c r="D77" s="14" t="s">
        <v>217</v>
      </c>
      <c r="E77" s="14" t="s">
        <v>509</v>
      </c>
      <c r="F77" s="16" t="s">
        <v>185</v>
      </c>
      <c r="G77" s="14" t="s">
        <v>553</v>
      </c>
      <c r="H77" s="15">
        <v>40725</v>
      </c>
      <c r="I77" s="15"/>
      <c r="J77" s="16" t="s">
        <v>74</v>
      </c>
      <c r="K77" s="16" t="s">
        <v>74</v>
      </c>
      <c r="L77" s="14" t="s">
        <v>499</v>
      </c>
      <c r="M77" s="16" t="s">
        <v>74</v>
      </c>
      <c r="N77" s="14" t="s">
        <v>74</v>
      </c>
      <c r="O77" s="17"/>
      <c r="P77" s="17"/>
      <c r="Q77" s="17" t="s">
        <v>555</v>
      </c>
      <c r="R77" s="17"/>
      <c r="S77" s="14" t="s">
        <v>74</v>
      </c>
      <c r="T77" s="14" t="s">
        <v>74</v>
      </c>
      <c r="U77" s="14" t="s">
        <v>445</v>
      </c>
      <c r="V77" s="16" t="s">
        <v>185</v>
      </c>
    </row>
    <row r="78" spans="1:22" ht="29" x14ac:dyDescent="0.35">
      <c r="A78" s="14" t="s">
        <v>113</v>
      </c>
      <c r="B78" s="14" t="s">
        <v>62</v>
      </c>
      <c r="C78" s="15">
        <v>44851.665277777778</v>
      </c>
      <c r="D78" s="14" t="s">
        <v>218</v>
      </c>
      <c r="E78" s="14" t="s">
        <v>509</v>
      </c>
      <c r="F78" s="16" t="s">
        <v>219</v>
      </c>
      <c r="G78" s="14" t="s">
        <v>553</v>
      </c>
      <c r="H78" s="15">
        <v>40725</v>
      </c>
      <c r="I78" s="15"/>
      <c r="J78" s="16" t="s">
        <v>74</v>
      </c>
      <c r="K78" s="16" t="s">
        <v>74</v>
      </c>
      <c r="L78" s="14" t="s">
        <v>499</v>
      </c>
      <c r="M78" s="16" t="s">
        <v>74</v>
      </c>
      <c r="N78" s="14" t="s">
        <v>74</v>
      </c>
      <c r="O78" s="17"/>
      <c r="P78" s="17"/>
      <c r="Q78" s="17" t="s">
        <v>554</v>
      </c>
      <c r="R78" s="17"/>
      <c r="S78" s="14" t="s">
        <v>74</v>
      </c>
      <c r="T78" s="14" t="s">
        <v>74</v>
      </c>
      <c r="U78" s="14" t="s">
        <v>445</v>
      </c>
      <c r="V78" s="16" t="s">
        <v>219</v>
      </c>
    </row>
    <row r="79" spans="1:22" ht="43.5" x14ac:dyDescent="0.35">
      <c r="A79" s="14" t="s">
        <v>113</v>
      </c>
      <c r="B79" s="14" t="s">
        <v>62</v>
      </c>
      <c r="C79" s="15">
        <v>44851.666666666664</v>
      </c>
      <c r="D79" s="14" t="s">
        <v>220</v>
      </c>
      <c r="E79" s="14" t="s">
        <v>509</v>
      </c>
      <c r="F79" s="16" t="s">
        <v>221</v>
      </c>
      <c r="G79" s="14" t="s">
        <v>553</v>
      </c>
      <c r="H79" s="15">
        <v>40725</v>
      </c>
      <c r="I79" s="15"/>
      <c r="J79" s="16" t="s">
        <v>74</v>
      </c>
      <c r="K79" s="16" t="s">
        <v>74</v>
      </c>
      <c r="L79" s="14" t="s">
        <v>499</v>
      </c>
      <c r="M79" s="16" t="s">
        <v>74</v>
      </c>
      <c r="N79" s="14" t="s">
        <v>74</v>
      </c>
      <c r="O79" s="17"/>
      <c r="P79" s="17"/>
      <c r="Q79" s="17" t="s">
        <v>554</v>
      </c>
      <c r="R79" s="17"/>
      <c r="S79" s="14" t="s">
        <v>74</v>
      </c>
      <c r="T79" s="14" t="s">
        <v>74</v>
      </c>
      <c r="U79" s="14" t="s">
        <v>445</v>
      </c>
      <c r="V79" s="16" t="s">
        <v>221</v>
      </c>
    </row>
    <row r="80" spans="1:22" ht="29" x14ac:dyDescent="0.35">
      <c r="A80" s="14" t="s">
        <v>113</v>
      </c>
      <c r="B80" s="14" t="s">
        <v>62</v>
      </c>
      <c r="C80" s="15">
        <v>44851.668749999997</v>
      </c>
      <c r="D80" s="14" t="s">
        <v>305</v>
      </c>
      <c r="E80" s="14" t="s">
        <v>509</v>
      </c>
      <c r="F80" s="16" t="s">
        <v>263</v>
      </c>
      <c r="G80" s="14" t="s">
        <v>521</v>
      </c>
      <c r="H80" s="15">
        <v>40725</v>
      </c>
      <c r="I80" s="15"/>
      <c r="J80" s="16" t="s">
        <v>74</v>
      </c>
      <c r="K80" s="16" t="s">
        <v>74</v>
      </c>
      <c r="L80" s="14" t="s">
        <v>499</v>
      </c>
      <c r="M80" s="16" t="s">
        <v>74</v>
      </c>
      <c r="N80" s="14" t="s">
        <v>74</v>
      </c>
      <c r="O80" s="17"/>
      <c r="P80" s="17"/>
      <c r="Q80" s="17" t="s">
        <v>556</v>
      </c>
      <c r="R80" s="17"/>
      <c r="S80" s="14" t="s">
        <v>74</v>
      </c>
      <c r="T80" s="14" t="s">
        <v>74</v>
      </c>
      <c r="U80" s="14" t="s">
        <v>445</v>
      </c>
      <c r="V80" s="16" t="s">
        <v>263</v>
      </c>
    </row>
    <row r="81" spans="1:22" ht="29" x14ac:dyDescent="0.35">
      <c r="A81" s="14" t="s">
        <v>113</v>
      </c>
      <c r="B81" s="14" t="s">
        <v>62</v>
      </c>
      <c r="C81" s="15">
        <v>44965.763194444444</v>
      </c>
      <c r="D81" s="14" t="s">
        <v>280</v>
      </c>
      <c r="E81" s="14" t="s">
        <v>509</v>
      </c>
      <c r="F81" s="16" t="s">
        <v>263</v>
      </c>
      <c r="G81" s="14" t="s">
        <v>523</v>
      </c>
      <c r="H81" s="15">
        <v>40725</v>
      </c>
      <c r="I81" s="15"/>
      <c r="J81" s="16" t="s">
        <v>74</v>
      </c>
      <c r="K81" s="16" t="s">
        <v>74</v>
      </c>
      <c r="L81" s="14" t="s">
        <v>499</v>
      </c>
      <c r="M81" s="16" t="s">
        <v>74</v>
      </c>
      <c r="N81" s="14" t="s">
        <v>74</v>
      </c>
      <c r="O81" s="17"/>
      <c r="P81" s="17"/>
      <c r="Q81" s="17" t="s">
        <v>557</v>
      </c>
      <c r="R81" s="17"/>
      <c r="S81" s="14" t="s">
        <v>74</v>
      </c>
      <c r="T81" s="14" t="s">
        <v>74</v>
      </c>
      <c r="U81" s="14" t="s">
        <v>445</v>
      </c>
      <c r="V81" s="16" t="s">
        <v>263</v>
      </c>
    </row>
    <row r="82" spans="1:22" ht="29" x14ac:dyDescent="0.35">
      <c r="A82" s="14" t="s">
        <v>113</v>
      </c>
      <c r="B82" s="14" t="s">
        <v>62</v>
      </c>
      <c r="C82" s="15">
        <v>44834.605555555558</v>
      </c>
      <c r="D82" s="14" t="s">
        <v>124</v>
      </c>
      <c r="E82" s="14" t="s">
        <v>509</v>
      </c>
      <c r="F82" s="16" t="s">
        <v>82</v>
      </c>
      <c r="G82" s="14" t="s">
        <v>476</v>
      </c>
      <c r="H82" s="15">
        <v>44678</v>
      </c>
      <c r="I82" s="15"/>
      <c r="J82" s="16" t="s">
        <v>74</v>
      </c>
      <c r="K82" s="16" t="s">
        <v>74</v>
      </c>
      <c r="L82" s="14" t="s">
        <v>499</v>
      </c>
      <c r="M82" s="16" t="s">
        <v>74</v>
      </c>
      <c r="N82" s="14" t="s">
        <v>74</v>
      </c>
      <c r="O82" s="17"/>
      <c r="P82" s="17"/>
      <c r="Q82" s="17" t="s">
        <v>558</v>
      </c>
      <c r="R82" s="17"/>
      <c r="S82" s="14" t="s">
        <v>74</v>
      </c>
      <c r="T82" s="14" t="s">
        <v>74</v>
      </c>
      <c r="U82" s="14" t="s">
        <v>445</v>
      </c>
      <c r="V82" s="16" t="s">
        <v>82</v>
      </c>
    </row>
    <row r="83" spans="1:22" ht="29" x14ac:dyDescent="0.35">
      <c r="A83" s="14" t="s">
        <v>113</v>
      </c>
      <c r="B83" s="14" t="s">
        <v>62</v>
      </c>
      <c r="C83" s="15">
        <v>44839.363888888889</v>
      </c>
      <c r="D83" s="14" t="s">
        <v>122</v>
      </c>
      <c r="E83" s="14" t="s">
        <v>509</v>
      </c>
      <c r="F83" s="16" t="s">
        <v>123</v>
      </c>
      <c r="G83" s="14" t="s">
        <v>476</v>
      </c>
      <c r="H83" s="15">
        <v>44678</v>
      </c>
      <c r="I83" s="15"/>
      <c r="J83" s="16" t="s">
        <v>74</v>
      </c>
      <c r="K83" s="16" t="s">
        <v>74</v>
      </c>
      <c r="L83" s="14" t="s">
        <v>499</v>
      </c>
      <c r="M83" s="16" t="s">
        <v>74</v>
      </c>
      <c r="N83" s="14" t="s">
        <v>74</v>
      </c>
      <c r="O83" s="17"/>
      <c r="P83" s="17"/>
      <c r="Q83" s="17" t="s">
        <v>558</v>
      </c>
      <c r="R83" s="17"/>
      <c r="S83" s="14" t="s">
        <v>74</v>
      </c>
      <c r="T83" s="14" t="s">
        <v>74</v>
      </c>
      <c r="U83" s="14" t="s">
        <v>445</v>
      </c>
      <c r="V83" s="16" t="s">
        <v>123</v>
      </c>
    </row>
    <row r="84" spans="1:22" ht="29" x14ac:dyDescent="0.35">
      <c r="A84" s="14" t="s">
        <v>113</v>
      </c>
      <c r="B84" s="14" t="s">
        <v>62</v>
      </c>
      <c r="C84" s="15">
        <v>44834.605555555558</v>
      </c>
      <c r="D84" s="14" t="s">
        <v>125</v>
      </c>
      <c r="E84" s="14" t="s">
        <v>509</v>
      </c>
      <c r="F84" s="16" t="s">
        <v>86</v>
      </c>
      <c r="G84" s="14" t="s">
        <v>476</v>
      </c>
      <c r="H84" s="15">
        <v>44678</v>
      </c>
      <c r="I84" s="15"/>
      <c r="J84" s="16" t="s">
        <v>74</v>
      </c>
      <c r="K84" s="16" t="s">
        <v>74</v>
      </c>
      <c r="L84" s="14" t="s">
        <v>499</v>
      </c>
      <c r="M84" s="16" t="s">
        <v>74</v>
      </c>
      <c r="N84" s="14" t="s">
        <v>74</v>
      </c>
      <c r="O84" s="17"/>
      <c r="P84" s="17"/>
      <c r="Q84" s="17" t="s">
        <v>558</v>
      </c>
      <c r="R84" s="17"/>
      <c r="S84" s="14" t="s">
        <v>74</v>
      </c>
      <c r="T84" s="14" t="s">
        <v>74</v>
      </c>
      <c r="U84" s="14" t="s">
        <v>445</v>
      </c>
      <c r="V84" s="16" t="s">
        <v>86</v>
      </c>
    </row>
    <row r="85" spans="1:22" ht="58" x14ac:dyDescent="0.35">
      <c r="A85" s="14" t="s">
        <v>113</v>
      </c>
      <c r="B85" s="14" t="s">
        <v>62</v>
      </c>
      <c r="C85" s="15">
        <v>44834.605555555558</v>
      </c>
      <c r="D85" s="14" t="s">
        <v>135</v>
      </c>
      <c r="E85" s="14" t="s">
        <v>509</v>
      </c>
      <c r="F85" s="16" t="s">
        <v>136</v>
      </c>
      <c r="G85" s="14" t="s">
        <v>559</v>
      </c>
      <c r="H85" s="15">
        <v>44678</v>
      </c>
      <c r="I85" s="15"/>
      <c r="J85" s="16" t="s">
        <v>74</v>
      </c>
      <c r="K85" s="16" t="s">
        <v>74</v>
      </c>
      <c r="L85" s="14" t="s">
        <v>499</v>
      </c>
      <c r="M85" s="16" t="s">
        <v>74</v>
      </c>
      <c r="N85" s="14" t="s">
        <v>74</v>
      </c>
      <c r="O85" s="17"/>
      <c r="P85" s="17"/>
      <c r="Q85" s="17" t="s">
        <v>560</v>
      </c>
      <c r="R85" s="17"/>
      <c r="S85" s="14" t="s">
        <v>74</v>
      </c>
      <c r="T85" s="14" t="s">
        <v>74</v>
      </c>
      <c r="U85" s="14" t="s">
        <v>445</v>
      </c>
      <c r="V85" s="16" t="s">
        <v>136</v>
      </c>
    </row>
    <row r="86" spans="1:22" ht="29" x14ac:dyDescent="0.35">
      <c r="A86" s="14" t="s">
        <v>439</v>
      </c>
      <c r="B86" s="14" t="s">
        <v>116</v>
      </c>
      <c r="C86" s="15">
        <v>44721.63958333333</v>
      </c>
      <c r="D86" s="14" t="s">
        <v>342</v>
      </c>
      <c r="E86" s="14" t="s">
        <v>561</v>
      </c>
      <c r="F86" s="16" t="s">
        <v>343</v>
      </c>
      <c r="G86" s="14" t="s">
        <v>440</v>
      </c>
      <c r="H86" s="15">
        <v>44449</v>
      </c>
      <c r="I86" s="15"/>
      <c r="J86" s="16" t="s">
        <v>74</v>
      </c>
      <c r="K86" s="16" t="s">
        <v>74</v>
      </c>
      <c r="L86" s="14" t="s">
        <v>499</v>
      </c>
      <c r="M86" s="16" t="s">
        <v>74</v>
      </c>
      <c r="N86" s="14" t="s">
        <v>74</v>
      </c>
      <c r="O86" s="17"/>
      <c r="P86" s="17"/>
      <c r="Q86" s="17"/>
      <c r="R86" s="17" t="s">
        <v>562</v>
      </c>
      <c r="S86" s="14" t="s">
        <v>74</v>
      </c>
      <c r="T86" s="14" t="s">
        <v>74</v>
      </c>
      <c r="U86" s="14" t="s">
        <v>445</v>
      </c>
      <c r="V86" s="16" t="s">
        <v>343</v>
      </c>
    </row>
    <row r="87" spans="1:22" ht="29" x14ac:dyDescent="0.35">
      <c r="A87" s="14" t="s">
        <v>61</v>
      </c>
      <c r="B87" s="14" t="s">
        <v>62</v>
      </c>
      <c r="C87" s="15">
        <v>44510.349305555559</v>
      </c>
      <c r="D87" s="14" t="s">
        <v>344</v>
      </c>
      <c r="E87" s="14" t="s">
        <v>561</v>
      </c>
      <c r="F87" s="16" t="s">
        <v>345</v>
      </c>
      <c r="G87" s="14" t="s">
        <v>563</v>
      </c>
      <c r="H87" s="15">
        <v>44449</v>
      </c>
      <c r="I87" s="15"/>
      <c r="J87" s="16" t="s">
        <v>74</v>
      </c>
      <c r="K87" s="16" t="s">
        <v>74</v>
      </c>
      <c r="L87" s="14" t="s">
        <v>499</v>
      </c>
      <c r="M87" s="16" t="s">
        <v>74</v>
      </c>
      <c r="N87" s="14" t="s">
        <v>74</v>
      </c>
      <c r="O87" s="17"/>
      <c r="P87" s="17"/>
      <c r="Q87" s="17"/>
      <c r="R87" s="17" t="s">
        <v>564</v>
      </c>
      <c r="S87" s="14" t="s">
        <v>74</v>
      </c>
      <c r="T87" s="14" t="s">
        <v>74</v>
      </c>
      <c r="U87" s="14" t="s">
        <v>445</v>
      </c>
      <c r="V87" s="16" t="s">
        <v>345</v>
      </c>
    </row>
    <row r="88" spans="1:22" ht="29" x14ac:dyDescent="0.35">
      <c r="A88" s="14" t="s">
        <v>439</v>
      </c>
      <c r="B88" s="14" t="s">
        <v>116</v>
      </c>
      <c r="C88" s="15">
        <v>44721.63958333333</v>
      </c>
      <c r="D88" s="14" t="s">
        <v>346</v>
      </c>
      <c r="E88" s="14" t="s">
        <v>561</v>
      </c>
      <c r="F88" s="16" t="s">
        <v>347</v>
      </c>
      <c r="G88" s="14" t="s">
        <v>440</v>
      </c>
      <c r="H88" s="15">
        <v>44449</v>
      </c>
      <c r="I88" s="15"/>
      <c r="J88" s="16" t="s">
        <v>74</v>
      </c>
      <c r="K88" s="16" t="s">
        <v>74</v>
      </c>
      <c r="L88" s="14" t="s">
        <v>499</v>
      </c>
      <c r="M88" s="16" t="s">
        <v>74</v>
      </c>
      <c r="N88" s="14" t="s">
        <v>74</v>
      </c>
      <c r="O88" s="17"/>
      <c r="P88" s="17"/>
      <c r="Q88" s="17"/>
      <c r="R88" s="17" t="s">
        <v>565</v>
      </c>
      <c r="S88" s="14" t="s">
        <v>74</v>
      </c>
      <c r="T88" s="14" t="s">
        <v>74</v>
      </c>
      <c r="U88" s="14" t="s">
        <v>445</v>
      </c>
      <c r="V88" s="16" t="s">
        <v>347</v>
      </c>
    </row>
    <row r="89" spans="1:22" ht="29" x14ac:dyDescent="0.35">
      <c r="A89" s="14" t="s">
        <v>113</v>
      </c>
      <c r="B89" s="14" t="s">
        <v>62</v>
      </c>
      <c r="C89" s="15">
        <v>44974.841666666667</v>
      </c>
      <c r="D89" s="14" t="s">
        <v>370</v>
      </c>
      <c r="E89" s="14" t="s">
        <v>561</v>
      </c>
      <c r="F89" s="16" t="s">
        <v>345</v>
      </c>
      <c r="G89" s="14" t="s">
        <v>566</v>
      </c>
      <c r="H89" s="15">
        <v>40725</v>
      </c>
      <c r="I89" s="15"/>
      <c r="J89" s="16" t="s">
        <v>74</v>
      </c>
      <c r="K89" s="16" t="s">
        <v>74</v>
      </c>
      <c r="L89" s="14" t="s">
        <v>499</v>
      </c>
      <c r="M89" s="16" t="s">
        <v>74</v>
      </c>
      <c r="N89" s="14" t="s">
        <v>74</v>
      </c>
      <c r="O89" s="17"/>
      <c r="P89" s="17"/>
      <c r="Q89" s="17"/>
      <c r="R89" s="17" t="s">
        <v>567</v>
      </c>
      <c r="S89" s="14" t="s">
        <v>74</v>
      </c>
      <c r="T89" s="14" t="s">
        <v>74</v>
      </c>
      <c r="U89" s="14" t="s">
        <v>445</v>
      </c>
      <c r="V89" s="16" t="s">
        <v>345</v>
      </c>
    </row>
    <row r="90" spans="1:22" ht="29" x14ac:dyDescent="0.35">
      <c r="A90" s="14" t="s">
        <v>113</v>
      </c>
      <c r="B90" s="14" t="s">
        <v>62</v>
      </c>
      <c r="C90" s="15">
        <v>44851.473611111112</v>
      </c>
      <c r="D90" s="14" t="s">
        <v>388</v>
      </c>
      <c r="E90" s="14" t="s">
        <v>561</v>
      </c>
      <c r="F90" s="16" t="s">
        <v>343</v>
      </c>
      <c r="G90" s="14" t="s">
        <v>568</v>
      </c>
      <c r="H90" s="15">
        <v>40725</v>
      </c>
      <c r="I90" s="15"/>
      <c r="J90" s="16" t="s">
        <v>74</v>
      </c>
      <c r="K90" s="16" t="s">
        <v>74</v>
      </c>
      <c r="L90" s="14" t="s">
        <v>499</v>
      </c>
      <c r="M90" s="16" t="s">
        <v>74</v>
      </c>
      <c r="N90" s="14" t="s">
        <v>74</v>
      </c>
      <c r="O90" s="17"/>
      <c r="P90" s="17"/>
      <c r="Q90" s="17"/>
      <c r="R90" s="17" t="s">
        <v>569</v>
      </c>
      <c r="S90" s="14" t="s">
        <v>74</v>
      </c>
      <c r="T90" s="14" t="s">
        <v>74</v>
      </c>
      <c r="U90" s="14" t="s">
        <v>445</v>
      </c>
      <c r="V90" s="16" t="s">
        <v>343</v>
      </c>
    </row>
    <row r="91" spans="1:22" ht="29" x14ac:dyDescent="0.35">
      <c r="A91" s="14" t="s">
        <v>113</v>
      </c>
      <c r="B91" s="14" t="s">
        <v>62</v>
      </c>
      <c r="C91" s="15">
        <v>44851.474999999999</v>
      </c>
      <c r="D91" s="14" t="s">
        <v>389</v>
      </c>
      <c r="E91" s="14" t="s">
        <v>561</v>
      </c>
      <c r="F91" s="16" t="s">
        <v>360</v>
      </c>
      <c r="G91" s="14" t="s">
        <v>568</v>
      </c>
      <c r="H91" s="15">
        <v>40725</v>
      </c>
      <c r="I91" s="15"/>
      <c r="J91" s="16" t="s">
        <v>74</v>
      </c>
      <c r="K91" s="16" t="s">
        <v>74</v>
      </c>
      <c r="L91" s="14" t="s">
        <v>499</v>
      </c>
      <c r="M91" s="16" t="s">
        <v>74</v>
      </c>
      <c r="N91" s="14" t="s">
        <v>74</v>
      </c>
      <c r="O91" s="17"/>
      <c r="P91" s="17"/>
      <c r="Q91" s="17"/>
      <c r="R91" s="17" t="s">
        <v>570</v>
      </c>
      <c r="S91" s="14" t="s">
        <v>74</v>
      </c>
      <c r="T91" s="14" t="s">
        <v>74</v>
      </c>
      <c r="U91" s="14" t="s">
        <v>445</v>
      </c>
      <c r="V91" s="16" t="s">
        <v>360</v>
      </c>
    </row>
    <row r="92" spans="1:22" ht="29" x14ac:dyDescent="0.35">
      <c r="A92" s="14" t="s">
        <v>113</v>
      </c>
      <c r="B92" s="14" t="s">
        <v>62</v>
      </c>
      <c r="C92" s="15">
        <v>44851.475694444445</v>
      </c>
      <c r="D92" s="14" t="s">
        <v>390</v>
      </c>
      <c r="E92" s="14" t="s">
        <v>561</v>
      </c>
      <c r="F92" s="16" t="s">
        <v>345</v>
      </c>
      <c r="G92" s="14" t="s">
        <v>571</v>
      </c>
      <c r="H92" s="15">
        <v>40725</v>
      </c>
      <c r="I92" s="15"/>
      <c r="J92" s="16" t="s">
        <v>74</v>
      </c>
      <c r="K92" s="16" t="s">
        <v>74</v>
      </c>
      <c r="L92" s="14" t="s">
        <v>499</v>
      </c>
      <c r="M92" s="16" t="s">
        <v>74</v>
      </c>
      <c r="N92" s="14" t="s">
        <v>74</v>
      </c>
      <c r="O92" s="17"/>
      <c r="P92" s="17"/>
      <c r="Q92" s="17"/>
      <c r="R92" s="17" t="s">
        <v>572</v>
      </c>
      <c r="S92" s="14" t="s">
        <v>74</v>
      </c>
      <c r="T92" s="14" t="s">
        <v>74</v>
      </c>
      <c r="U92" s="14" t="s">
        <v>445</v>
      </c>
      <c r="V92" s="16" t="s">
        <v>345</v>
      </c>
    </row>
    <row r="93" spans="1:22" ht="29" x14ac:dyDescent="0.35">
      <c r="A93" s="14" t="s">
        <v>113</v>
      </c>
      <c r="B93" s="14" t="s">
        <v>62</v>
      </c>
      <c r="C93" s="15">
        <v>44851.481944444444</v>
      </c>
      <c r="D93" s="14" t="s">
        <v>367</v>
      </c>
      <c r="E93" s="14" t="s">
        <v>561</v>
      </c>
      <c r="F93" s="16" t="s">
        <v>343</v>
      </c>
      <c r="G93" s="14" t="s">
        <v>573</v>
      </c>
      <c r="H93" s="15">
        <v>40725</v>
      </c>
      <c r="I93" s="15"/>
      <c r="J93" s="16" t="s">
        <v>74</v>
      </c>
      <c r="K93" s="16" t="s">
        <v>74</v>
      </c>
      <c r="L93" s="14" t="s">
        <v>499</v>
      </c>
      <c r="M93" s="16" t="s">
        <v>74</v>
      </c>
      <c r="N93" s="14" t="s">
        <v>74</v>
      </c>
      <c r="O93" s="17"/>
      <c r="P93" s="17"/>
      <c r="Q93" s="17"/>
      <c r="R93" s="17" t="s">
        <v>574</v>
      </c>
      <c r="S93" s="14" t="s">
        <v>74</v>
      </c>
      <c r="T93" s="14" t="s">
        <v>74</v>
      </c>
      <c r="U93" s="14" t="s">
        <v>445</v>
      </c>
      <c r="V93" s="16" t="s">
        <v>343</v>
      </c>
    </row>
    <row r="94" spans="1:22" ht="29" x14ac:dyDescent="0.35">
      <c r="A94" s="14" t="s">
        <v>113</v>
      </c>
      <c r="B94" s="14" t="s">
        <v>62</v>
      </c>
      <c r="C94" s="15">
        <v>44851.482638888891</v>
      </c>
      <c r="D94" s="14" t="s">
        <v>368</v>
      </c>
      <c r="E94" s="14" t="s">
        <v>561</v>
      </c>
      <c r="F94" s="16" t="s">
        <v>345</v>
      </c>
      <c r="G94" s="14" t="s">
        <v>573</v>
      </c>
      <c r="H94" s="15">
        <v>40725</v>
      </c>
      <c r="I94" s="15"/>
      <c r="J94" s="16" t="s">
        <v>74</v>
      </c>
      <c r="K94" s="16" t="s">
        <v>74</v>
      </c>
      <c r="L94" s="14" t="s">
        <v>499</v>
      </c>
      <c r="M94" s="16" t="s">
        <v>74</v>
      </c>
      <c r="N94" s="14" t="s">
        <v>74</v>
      </c>
      <c r="O94" s="17"/>
      <c r="P94" s="17"/>
      <c r="Q94" s="17"/>
      <c r="R94" s="17" t="s">
        <v>575</v>
      </c>
      <c r="S94" s="14" t="s">
        <v>74</v>
      </c>
      <c r="T94" s="14" t="s">
        <v>74</v>
      </c>
      <c r="U94" s="14" t="s">
        <v>445</v>
      </c>
      <c r="V94" s="16" t="s">
        <v>345</v>
      </c>
    </row>
    <row r="95" spans="1:22" ht="29" x14ac:dyDescent="0.35">
      <c r="A95" s="14" t="s">
        <v>197</v>
      </c>
      <c r="B95" s="14" t="s">
        <v>116</v>
      </c>
      <c r="C95" s="15">
        <v>45993.647916666669</v>
      </c>
      <c r="D95" s="14" t="s">
        <v>359</v>
      </c>
      <c r="E95" s="14" t="s">
        <v>561</v>
      </c>
      <c r="F95" s="16" t="s">
        <v>360</v>
      </c>
      <c r="G95" s="14" t="s">
        <v>576</v>
      </c>
      <c r="H95" s="15">
        <v>40725</v>
      </c>
      <c r="I95" s="15"/>
      <c r="J95" s="16" t="s">
        <v>74</v>
      </c>
      <c r="K95" s="16" t="s">
        <v>74</v>
      </c>
      <c r="L95" s="14" t="s">
        <v>499</v>
      </c>
      <c r="M95" s="16" t="s">
        <v>74</v>
      </c>
      <c r="N95" s="14" t="s">
        <v>74</v>
      </c>
      <c r="O95" s="17"/>
      <c r="P95" s="17"/>
      <c r="Q95" s="17"/>
      <c r="R95" s="17" t="s">
        <v>577</v>
      </c>
      <c r="S95" s="14" t="s">
        <v>74</v>
      </c>
      <c r="T95" s="14" t="s">
        <v>74</v>
      </c>
      <c r="U95" s="14" t="s">
        <v>445</v>
      </c>
      <c r="V95" s="16" t="s">
        <v>360</v>
      </c>
    </row>
    <row r="96" spans="1:22" ht="29" x14ac:dyDescent="0.35">
      <c r="A96" s="14" t="s">
        <v>113</v>
      </c>
      <c r="B96" s="14" t="s">
        <v>62</v>
      </c>
      <c r="C96" s="15">
        <v>44851.492361111108</v>
      </c>
      <c r="D96" s="14" t="s">
        <v>393</v>
      </c>
      <c r="E96" s="14" t="s">
        <v>561</v>
      </c>
      <c r="F96" s="16" t="s">
        <v>354</v>
      </c>
      <c r="G96" s="14" t="s">
        <v>578</v>
      </c>
      <c r="H96" s="15">
        <v>40725</v>
      </c>
      <c r="I96" s="15"/>
      <c r="J96" s="16" t="s">
        <v>74</v>
      </c>
      <c r="K96" s="16" t="s">
        <v>74</v>
      </c>
      <c r="L96" s="14" t="s">
        <v>499</v>
      </c>
      <c r="M96" s="16" t="s">
        <v>74</v>
      </c>
      <c r="N96" s="14" t="s">
        <v>74</v>
      </c>
      <c r="O96" s="17"/>
      <c r="P96" s="17"/>
      <c r="Q96" s="17"/>
      <c r="R96" s="17" t="s">
        <v>579</v>
      </c>
      <c r="S96" s="14" t="s">
        <v>74</v>
      </c>
      <c r="T96" s="14" t="s">
        <v>74</v>
      </c>
      <c r="U96" s="14" t="s">
        <v>445</v>
      </c>
      <c r="V96" s="16" t="s">
        <v>354</v>
      </c>
    </row>
    <row r="97" spans="1:22" ht="29" x14ac:dyDescent="0.35">
      <c r="A97" s="14" t="s">
        <v>113</v>
      </c>
      <c r="B97" s="14" t="s">
        <v>62</v>
      </c>
      <c r="C97" s="15">
        <v>44851.494444444441</v>
      </c>
      <c r="D97" s="14" t="s">
        <v>394</v>
      </c>
      <c r="E97" s="14" t="s">
        <v>561</v>
      </c>
      <c r="F97" s="16" t="s">
        <v>360</v>
      </c>
      <c r="G97" s="14" t="s">
        <v>578</v>
      </c>
      <c r="H97" s="15">
        <v>40725</v>
      </c>
      <c r="I97" s="15"/>
      <c r="J97" s="16" t="s">
        <v>74</v>
      </c>
      <c r="K97" s="16" t="s">
        <v>74</v>
      </c>
      <c r="L97" s="14" t="s">
        <v>499</v>
      </c>
      <c r="M97" s="16" t="s">
        <v>74</v>
      </c>
      <c r="N97" s="14" t="s">
        <v>74</v>
      </c>
      <c r="O97" s="17"/>
      <c r="P97" s="17"/>
      <c r="Q97" s="17"/>
      <c r="R97" s="17" t="s">
        <v>580</v>
      </c>
      <c r="S97" s="14" t="s">
        <v>74</v>
      </c>
      <c r="T97" s="14" t="s">
        <v>74</v>
      </c>
      <c r="U97" s="14" t="s">
        <v>445</v>
      </c>
      <c r="V97" s="16" t="s">
        <v>360</v>
      </c>
    </row>
    <row r="98" spans="1:22" ht="29" x14ac:dyDescent="0.35">
      <c r="A98" s="14" t="s">
        <v>113</v>
      </c>
      <c r="B98" s="14" t="s">
        <v>62</v>
      </c>
      <c r="C98" s="15">
        <v>44851.563888888886</v>
      </c>
      <c r="D98" s="14" t="s">
        <v>395</v>
      </c>
      <c r="E98" s="14" t="s">
        <v>561</v>
      </c>
      <c r="F98" s="16" t="s">
        <v>345</v>
      </c>
      <c r="G98" s="14" t="s">
        <v>578</v>
      </c>
      <c r="H98" s="15">
        <v>40725</v>
      </c>
      <c r="I98" s="15"/>
      <c r="J98" s="16" t="s">
        <v>74</v>
      </c>
      <c r="K98" s="16" t="s">
        <v>74</v>
      </c>
      <c r="L98" s="14" t="s">
        <v>499</v>
      </c>
      <c r="M98" s="16" t="s">
        <v>74</v>
      </c>
      <c r="N98" s="14" t="s">
        <v>74</v>
      </c>
      <c r="O98" s="17"/>
      <c r="P98" s="17"/>
      <c r="Q98" s="17"/>
      <c r="R98" s="17" t="s">
        <v>581</v>
      </c>
      <c r="S98" s="14" t="s">
        <v>74</v>
      </c>
      <c r="T98" s="14" t="s">
        <v>74</v>
      </c>
      <c r="U98" s="14" t="s">
        <v>445</v>
      </c>
      <c r="V98" s="16" t="s">
        <v>345</v>
      </c>
    </row>
    <row r="99" spans="1:22" ht="29" x14ac:dyDescent="0.35">
      <c r="A99" s="14" t="s">
        <v>113</v>
      </c>
      <c r="B99" s="14" t="s">
        <v>62</v>
      </c>
      <c r="C99" s="15">
        <v>44965.763888888891</v>
      </c>
      <c r="D99" s="14" t="s">
        <v>378</v>
      </c>
      <c r="E99" s="14" t="s">
        <v>561</v>
      </c>
      <c r="F99" s="16" t="s">
        <v>345</v>
      </c>
      <c r="G99" s="14" t="s">
        <v>582</v>
      </c>
      <c r="H99" s="15">
        <v>40725</v>
      </c>
      <c r="I99" s="15"/>
      <c r="J99" s="16" t="s">
        <v>74</v>
      </c>
      <c r="K99" s="16" t="s">
        <v>74</v>
      </c>
      <c r="L99" s="14" t="s">
        <v>499</v>
      </c>
      <c r="M99" s="16" t="s">
        <v>74</v>
      </c>
      <c r="N99" s="14" t="s">
        <v>74</v>
      </c>
      <c r="O99" s="17"/>
      <c r="P99" s="17"/>
      <c r="Q99" s="17"/>
      <c r="R99" s="17" t="s">
        <v>583</v>
      </c>
      <c r="S99" s="14" t="s">
        <v>74</v>
      </c>
      <c r="T99" s="14" t="s">
        <v>74</v>
      </c>
      <c r="U99" s="14" t="s">
        <v>445</v>
      </c>
      <c r="V99" s="16" t="s">
        <v>345</v>
      </c>
    </row>
    <row r="100" spans="1:22" ht="29" x14ac:dyDescent="0.35">
      <c r="A100" s="14" t="s">
        <v>113</v>
      </c>
      <c r="B100" s="14" t="s">
        <v>62</v>
      </c>
      <c r="C100" s="15">
        <v>44851.566666666666</v>
      </c>
      <c r="D100" s="14" t="s">
        <v>373</v>
      </c>
      <c r="E100" s="14" t="s">
        <v>561</v>
      </c>
      <c r="F100" s="16" t="s">
        <v>374</v>
      </c>
      <c r="G100" s="14" t="s">
        <v>584</v>
      </c>
      <c r="H100" s="15">
        <v>40725</v>
      </c>
      <c r="I100" s="15"/>
      <c r="J100" s="16" t="s">
        <v>74</v>
      </c>
      <c r="K100" s="16" t="s">
        <v>74</v>
      </c>
      <c r="L100" s="14" t="s">
        <v>499</v>
      </c>
      <c r="M100" s="16" t="s">
        <v>74</v>
      </c>
      <c r="N100" s="14" t="s">
        <v>74</v>
      </c>
      <c r="O100" s="17"/>
      <c r="P100" s="17"/>
      <c r="Q100" s="17"/>
      <c r="R100" s="17" t="s">
        <v>585</v>
      </c>
      <c r="S100" s="14" t="s">
        <v>74</v>
      </c>
      <c r="T100" s="14" t="s">
        <v>74</v>
      </c>
      <c r="U100" s="14" t="s">
        <v>445</v>
      </c>
      <c r="V100" s="16" t="s">
        <v>374</v>
      </c>
    </row>
    <row r="101" spans="1:22" ht="29" x14ac:dyDescent="0.35">
      <c r="A101" s="14" t="s">
        <v>113</v>
      </c>
      <c r="B101" s="14" t="s">
        <v>62</v>
      </c>
      <c r="C101" s="15">
        <v>44851.572222222225</v>
      </c>
      <c r="D101" s="14" t="s">
        <v>375</v>
      </c>
      <c r="E101" s="14" t="s">
        <v>561</v>
      </c>
      <c r="F101" s="16" t="s">
        <v>345</v>
      </c>
      <c r="G101" s="14" t="s">
        <v>586</v>
      </c>
      <c r="H101" s="15">
        <v>40725</v>
      </c>
      <c r="I101" s="15"/>
      <c r="J101" s="16" t="s">
        <v>74</v>
      </c>
      <c r="K101" s="16" t="s">
        <v>74</v>
      </c>
      <c r="L101" s="14" t="s">
        <v>499</v>
      </c>
      <c r="M101" s="16" t="s">
        <v>74</v>
      </c>
      <c r="N101" s="14" t="s">
        <v>74</v>
      </c>
      <c r="O101" s="17"/>
      <c r="P101" s="17"/>
      <c r="Q101" s="17"/>
      <c r="R101" s="17" t="s">
        <v>587</v>
      </c>
      <c r="S101" s="14" t="s">
        <v>74</v>
      </c>
      <c r="T101" s="14" t="s">
        <v>74</v>
      </c>
      <c r="U101" s="14" t="s">
        <v>445</v>
      </c>
      <c r="V101" s="16" t="s">
        <v>345</v>
      </c>
    </row>
    <row r="102" spans="1:22" ht="29" x14ac:dyDescent="0.35">
      <c r="A102" s="14" t="s">
        <v>113</v>
      </c>
      <c r="B102" s="14" t="s">
        <v>62</v>
      </c>
      <c r="C102" s="15">
        <v>44851.572916666664</v>
      </c>
      <c r="D102" s="14" t="s">
        <v>376</v>
      </c>
      <c r="E102" s="14" t="s">
        <v>561</v>
      </c>
      <c r="F102" s="16" t="s">
        <v>360</v>
      </c>
      <c r="G102" s="14" t="s">
        <v>586</v>
      </c>
      <c r="H102" s="15">
        <v>40725</v>
      </c>
      <c r="I102" s="15"/>
      <c r="J102" s="16" t="s">
        <v>74</v>
      </c>
      <c r="K102" s="16" t="s">
        <v>74</v>
      </c>
      <c r="L102" s="14" t="s">
        <v>499</v>
      </c>
      <c r="M102" s="16" t="s">
        <v>74</v>
      </c>
      <c r="N102" s="14" t="s">
        <v>74</v>
      </c>
      <c r="O102" s="17"/>
      <c r="P102" s="17"/>
      <c r="Q102" s="17"/>
      <c r="R102" s="17" t="s">
        <v>588</v>
      </c>
      <c r="S102" s="14" t="s">
        <v>74</v>
      </c>
      <c r="T102" s="14" t="s">
        <v>74</v>
      </c>
      <c r="U102" s="14" t="s">
        <v>445</v>
      </c>
      <c r="V102" s="16" t="s">
        <v>360</v>
      </c>
    </row>
    <row r="103" spans="1:22" ht="29" x14ac:dyDescent="0.35">
      <c r="A103" s="14" t="s">
        <v>113</v>
      </c>
      <c r="B103" s="14" t="s">
        <v>62</v>
      </c>
      <c r="C103" s="15">
        <v>44851.574305555558</v>
      </c>
      <c r="D103" s="14" t="s">
        <v>383</v>
      </c>
      <c r="E103" s="14" t="s">
        <v>561</v>
      </c>
      <c r="F103" s="16" t="s">
        <v>374</v>
      </c>
      <c r="G103" s="14" t="s">
        <v>473</v>
      </c>
      <c r="H103" s="15">
        <v>40725</v>
      </c>
      <c r="I103" s="15"/>
      <c r="J103" s="16" t="s">
        <v>74</v>
      </c>
      <c r="K103" s="16" t="s">
        <v>74</v>
      </c>
      <c r="L103" s="14" t="s">
        <v>499</v>
      </c>
      <c r="M103" s="16" t="s">
        <v>74</v>
      </c>
      <c r="N103" s="14" t="s">
        <v>74</v>
      </c>
      <c r="O103" s="17"/>
      <c r="P103" s="17"/>
      <c r="Q103" s="17"/>
      <c r="R103" s="17" t="s">
        <v>589</v>
      </c>
      <c r="S103" s="14" t="s">
        <v>74</v>
      </c>
      <c r="T103" s="14" t="s">
        <v>74</v>
      </c>
      <c r="U103" s="14" t="s">
        <v>445</v>
      </c>
      <c r="V103" s="16" t="s">
        <v>374</v>
      </c>
    </row>
    <row r="104" spans="1:22" ht="29" x14ac:dyDescent="0.35">
      <c r="A104" s="14" t="s">
        <v>113</v>
      </c>
      <c r="B104" s="14" t="s">
        <v>62</v>
      </c>
      <c r="C104" s="15">
        <v>44965.763888888891</v>
      </c>
      <c r="D104" s="14" t="s">
        <v>384</v>
      </c>
      <c r="E104" s="14" t="s">
        <v>561</v>
      </c>
      <c r="F104" s="16" t="s">
        <v>345</v>
      </c>
      <c r="G104" s="14" t="s">
        <v>473</v>
      </c>
      <c r="H104" s="15">
        <v>40725</v>
      </c>
      <c r="I104" s="15"/>
      <c r="J104" s="16" t="s">
        <v>74</v>
      </c>
      <c r="K104" s="16" t="s">
        <v>74</v>
      </c>
      <c r="L104" s="14" t="s">
        <v>499</v>
      </c>
      <c r="M104" s="16" t="s">
        <v>74</v>
      </c>
      <c r="N104" s="14" t="s">
        <v>74</v>
      </c>
      <c r="O104" s="17"/>
      <c r="P104" s="17"/>
      <c r="Q104" s="17"/>
      <c r="R104" s="17" t="s">
        <v>590</v>
      </c>
      <c r="S104" s="14" t="s">
        <v>74</v>
      </c>
      <c r="T104" s="14" t="s">
        <v>74</v>
      </c>
      <c r="U104" s="14" t="s">
        <v>445</v>
      </c>
      <c r="V104" s="16" t="s">
        <v>345</v>
      </c>
    </row>
    <row r="105" spans="1:22" ht="29" x14ac:dyDescent="0.35">
      <c r="A105" s="14" t="s">
        <v>113</v>
      </c>
      <c r="B105" s="14" t="s">
        <v>62</v>
      </c>
      <c r="C105" s="15">
        <v>44851.578472222223</v>
      </c>
      <c r="D105" s="14" t="s">
        <v>381</v>
      </c>
      <c r="E105" s="14" t="s">
        <v>561</v>
      </c>
      <c r="F105" s="16" t="s">
        <v>343</v>
      </c>
      <c r="G105" s="14" t="s">
        <v>476</v>
      </c>
      <c r="H105" s="15">
        <v>40725</v>
      </c>
      <c r="I105" s="15"/>
      <c r="J105" s="16" t="s">
        <v>74</v>
      </c>
      <c r="K105" s="16" t="s">
        <v>74</v>
      </c>
      <c r="L105" s="14" t="s">
        <v>499</v>
      </c>
      <c r="M105" s="16" t="s">
        <v>74</v>
      </c>
      <c r="N105" s="14" t="s">
        <v>74</v>
      </c>
      <c r="O105" s="17"/>
      <c r="P105" s="17"/>
      <c r="Q105" s="17"/>
      <c r="R105" s="17" t="s">
        <v>591</v>
      </c>
      <c r="S105" s="14" t="s">
        <v>74</v>
      </c>
      <c r="T105" s="14" t="s">
        <v>74</v>
      </c>
      <c r="U105" s="14" t="s">
        <v>445</v>
      </c>
      <c r="V105" s="16" t="s">
        <v>343</v>
      </c>
    </row>
    <row r="106" spans="1:22" ht="29" x14ac:dyDescent="0.35">
      <c r="A106" s="14" t="s">
        <v>113</v>
      </c>
      <c r="B106" s="14" t="s">
        <v>62</v>
      </c>
      <c r="C106" s="15">
        <v>44851.57916666667</v>
      </c>
      <c r="D106" s="14" t="s">
        <v>371</v>
      </c>
      <c r="E106" s="14" t="s">
        <v>561</v>
      </c>
      <c r="F106" s="16" t="s">
        <v>343</v>
      </c>
      <c r="G106" s="14" t="s">
        <v>476</v>
      </c>
      <c r="H106" s="15">
        <v>40725</v>
      </c>
      <c r="I106" s="15"/>
      <c r="J106" s="16" t="s">
        <v>74</v>
      </c>
      <c r="K106" s="16" t="s">
        <v>74</v>
      </c>
      <c r="L106" s="14" t="s">
        <v>499</v>
      </c>
      <c r="M106" s="16" t="s">
        <v>74</v>
      </c>
      <c r="N106" s="14" t="s">
        <v>74</v>
      </c>
      <c r="O106" s="17"/>
      <c r="P106" s="17"/>
      <c r="Q106" s="17"/>
      <c r="R106" s="17" t="s">
        <v>592</v>
      </c>
      <c r="S106" s="14" t="s">
        <v>74</v>
      </c>
      <c r="T106" s="14" t="s">
        <v>74</v>
      </c>
      <c r="U106" s="14" t="s">
        <v>445</v>
      </c>
      <c r="V106" s="16" t="s">
        <v>343</v>
      </c>
    </row>
    <row r="107" spans="1:22" ht="29" x14ac:dyDescent="0.35">
      <c r="A107" s="14" t="s">
        <v>113</v>
      </c>
      <c r="B107" s="14" t="s">
        <v>62</v>
      </c>
      <c r="C107" s="15">
        <v>44851.580555555556</v>
      </c>
      <c r="D107" s="14" t="s">
        <v>403</v>
      </c>
      <c r="E107" s="14" t="s">
        <v>561</v>
      </c>
      <c r="F107" s="16" t="s">
        <v>343</v>
      </c>
      <c r="G107" s="14" t="s">
        <v>455</v>
      </c>
      <c r="H107" s="15">
        <v>40725</v>
      </c>
      <c r="I107" s="15"/>
      <c r="J107" s="16" t="s">
        <v>74</v>
      </c>
      <c r="K107" s="16" t="s">
        <v>74</v>
      </c>
      <c r="L107" s="14" t="s">
        <v>499</v>
      </c>
      <c r="M107" s="16" t="s">
        <v>74</v>
      </c>
      <c r="N107" s="14" t="s">
        <v>74</v>
      </c>
      <c r="O107" s="17"/>
      <c r="P107" s="17"/>
      <c r="Q107" s="17"/>
      <c r="R107" s="17" t="s">
        <v>593</v>
      </c>
      <c r="S107" s="14" t="s">
        <v>74</v>
      </c>
      <c r="T107" s="14" t="s">
        <v>74</v>
      </c>
      <c r="U107" s="14" t="s">
        <v>445</v>
      </c>
      <c r="V107" s="16" t="s">
        <v>343</v>
      </c>
    </row>
    <row r="108" spans="1:22" ht="29" x14ac:dyDescent="0.35">
      <c r="A108" s="14" t="s">
        <v>113</v>
      </c>
      <c r="B108" s="14" t="s">
        <v>62</v>
      </c>
      <c r="C108" s="15">
        <v>44851.581250000003</v>
      </c>
      <c r="D108" s="14" t="s">
        <v>404</v>
      </c>
      <c r="E108" s="14" t="s">
        <v>561</v>
      </c>
      <c r="F108" s="16" t="s">
        <v>345</v>
      </c>
      <c r="G108" s="14" t="s">
        <v>594</v>
      </c>
      <c r="H108" s="15">
        <v>40725</v>
      </c>
      <c r="I108" s="15"/>
      <c r="J108" s="16" t="s">
        <v>74</v>
      </c>
      <c r="K108" s="16" t="s">
        <v>74</v>
      </c>
      <c r="L108" s="14" t="s">
        <v>499</v>
      </c>
      <c r="M108" s="16" t="s">
        <v>74</v>
      </c>
      <c r="N108" s="14" t="s">
        <v>74</v>
      </c>
      <c r="O108" s="17"/>
      <c r="P108" s="17"/>
      <c r="Q108" s="17"/>
      <c r="R108" s="17" t="s">
        <v>595</v>
      </c>
      <c r="S108" s="14" t="s">
        <v>74</v>
      </c>
      <c r="T108" s="14" t="s">
        <v>74</v>
      </c>
      <c r="U108" s="14" t="s">
        <v>445</v>
      </c>
      <c r="V108" s="16" t="s">
        <v>345</v>
      </c>
    </row>
    <row r="109" spans="1:22" ht="29" x14ac:dyDescent="0.35">
      <c r="A109" s="14" t="s">
        <v>113</v>
      </c>
      <c r="B109" s="14" t="s">
        <v>62</v>
      </c>
      <c r="C109" s="15">
        <v>44851.582638888889</v>
      </c>
      <c r="D109" s="14" t="s">
        <v>405</v>
      </c>
      <c r="E109" s="14" t="s">
        <v>561</v>
      </c>
      <c r="F109" s="16" t="s">
        <v>360</v>
      </c>
      <c r="G109" s="14" t="s">
        <v>594</v>
      </c>
      <c r="H109" s="15">
        <v>40725</v>
      </c>
      <c r="I109" s="15"/>
      <c r="J109" s="16" t="s">
        <v>74</v>
      </c>
      <c r="K109" s="16" t="s">
        <v>74</v>
      </c>
      <c r="L109" s="14" t="s">
        <v>499</v>
      </c>
      <c r="M109" s="16" t="s">
        <v>74</v>
      </c>
      <c r="N109" s="14" t="s">
        <v>74</v>
      </c>
      <c r="O109" s="17"/>
      <c r="P109" s="17"/>
      <c r="Q109" s="17"/>
      <c r="R109" s="17" t="s">
        <v>596</v>
      </c>
      <c r="S109" s="14" t="s">
        <v>74</v>
      </c>
      <c r="T109" s="14" t="s">
        <v>74</v>
      </c>
      <c r="U109" s="14" t="s">
        <v>445</v>
      </c>
      <c r="V109" s="16" t="s">
        <v>360</v>
      </c>
    </row>
    <row r="110" spans="1:22" ht="29" x14ac:dyDescent="0.35">
      <c r="A110" s="14" t="s">
        <v>113</v>
      </c>
      <c r="B110" s="14" t="s">
        <v>62</v>
      </c>
      <c r="C110" s="15">
        <v>44851.584027777775</v>
      </c>
      <c r="D110" s="14" t="s">
        <v>353</v>
      </c>
      <c r="E110" s="14" t="s">
        <v>561</v>
      </c>
      <c r="F110" s="16" t="s">
        <v>354</v>
      </c>
      <c r="G110" s="14" t="s">
        <v>476</v>
      </c>
      <c r="H110" s="15">
        <v>40725</v>
      </c>
      <c r="I110" s="15"/>
      <c r="J110" s="16" t="s">
        <v>74</v>
      </c>
      <c r="K110" s="16" t="s">
        <v>74</v>
      </c>
      <c r="L110" s="14" t="s">
        <v>499</v>
      </c>
      <c r="M110" s="16" t="s">
        <v>74</v>
      </c>
      <c r="N110" s="14" t="s">
        <v>74</v>
      </c>
      <c r="O110" s="17"/>
      <c r="P110" s="17"/>
      <c r="Q110" s="17"/>
      <c r="R110" s="17" t="s">
        <v>597</v>
      </c>
      <c r="S110" s="14" t="s">
        <v>74</v>
      </c>
      <c r="T110" s="14" t="s">
        <v>74</v>
      </c>
      <c r="U110" s="14" t="s">
        <v>445</v>
      </c>
      <c r="V110" s="16" t="s">
        <v>354</v>
      </c>
    </row>
    <row r="111" spans="1:22" ht="29" x14ac:dyDescent="0.35">
      <c r="A111" s="14" t="s">
        <v>113</v>
      </c>
      <c r="B111" s="14" t="s">
        <v>62</v>
      </c>
      <c r="C111" s="15">
        <v>44851.584722222222</v>
      </c>
      <c r="D111" s="14" t="s">
        <v>355</v>
      </c>
      <c r="E111" s="14" t="s">
        <v>561</v>
      </c>
      <c r="F111" s="16" t="s">
        <v>345</v>
      </c>
      <c r="G111" s="14" t="s">
        <v>476</v>
      </c>
      <c r="H111" s="15">
        <v>40725</v>
      </c>
      <c r="I111" s="15"/>
      <c r="J111" s="16" t="s">
        <v>74</v>
      </c>
      <c r="K111" s="16" t="s">
        <v>74</v>
      </c>
      <c r="L111" s="14" t="s">
        <v>499</v>
      </c>
      <c r="M111" s="16" t="s">
        <v>74</v>
      </c>
      <c r="N111" s="14" t="s">
        <v>74</v>
      </c>
      <c r="O111" s="17"/>
      <c r="P111" s="17"/>
      <c r="Q111" s="17"/>
      <c r="R111" s="17" t="s">
        <v>598</v>
      </c>
      <c r="S111" s="14" t="s">
        <v>74</v>
      </c>
      <c r="T111" s="14" t="s">
        <v>74</v>
      </c>
      <c r="U111" s="14" t="s">
        <v>445</v>
      </c>
      <c r="V111" s="16" t="s">
        <v>345</v>
      </c>
    </row>
    <row r="112" spans="1:22" ht="29" x14ac:dyDescent="0.35">
      <c r="A112" s="14" t="s">
        <v>197</v>
      </c>
      <c r="B112" s="14" t="s">
        <v>116</v>
      </c>
      <c r="C112" s="15">
        <v>45993.648611111108</v>
      </c>
      <c r="D112" s="14" t="s">
        <v>361</v>
      </c>
      <c r="E112" s="14" t="s">
        <v>561</v>
      </c>
      <c r="F112" s="16" t="s">
        <v>343</v>
      </c>
      <c r="G112" s="14" t="s">
        <v>466</v>
      </c>
      <c r="H112" s="15">
        <v>40725</v>
      </c>
      <c r="I112" s="15"/>
      <c r="J112" s="16" t="s">
        <v>74</v>
      </c>
      <c r="K112" s="16" t="s">
        <v>74</v>
      </c>
      <c r="L112" s="14" t="s">
        <v>499</v>
      </c>
      <c r="M112" s="16" t="s">
        <v>74</v>
      </c>
      <c r="N112" s="14" t="s">
        <v>74</v>
      </c>
      <c r="O112" s="17"/>
      <c r="P112" s="17"/>
      <c r="Q112" s="17"/>
      <c r="R112" s="17" t="s">
        <v>599</v>
      </c>
      <c r="S112" s="14" t="s">
        <v>74</v>
      </c>
      <c r="T112" s="14" t="s">
        <v>74</v>
      </c>
      <c r="U112" s="14" t="s">
        <v>445</v>
      </c>
      <c r="V112" s="16" t="s">
        <v>343</v>
      </c>
    </row>
    <row r="113" spans="1:22" ht="29" x14ac:dyDescent="0.35">
      <c r="A113" s="14" t="s">
        <v>113</v>
      </c>
      <c r="B113" s="14" t="s">
        <v>62</v>
      </c>
      <c r="C113" s="15">
        <v>44974.82916666667</v>
      </c>
      <c r="D113" s="14" t="s">
        <v>363</v>
      </c>
      <c r="E113" s="14" t="s">
        <v>561</v>
      </c>
      <c r="F113" s="16" t="s">
        <v>354</v>
      </c>
      <c r="G113" s="14" t="s">
        <v>600</v>
      </c>
      <c r="H113" s="15">
        <v>40725</v>
      </c>
      <c r="I113" s="15"/>
      <c r="J113" s="16" t="s">
        <v>74</v>
      </c>
      <c r="K113" s="16" t="s">
        <v>74</v>
      </c>
      <c r="L113" s="14" t="s">
        <v>499</v>
      </c>
      <c r="M113" s="16" t="s">
        <v>74</v>
      </c>
      <c r="N113" s="14" t="s">
        <v>74</v>
      </c>
      <c r="O113" s="17"/>
      <c r="P113" s="17"/>
      <c r="Q113" s="17"/>
      <c r="R113" s="17" t="s">
        <v>601</v>
      </c>
      <c r="S113" s="14" t="s">
        <v>74</v>
      </c>
      <c r="T113" s="14" t="s">
        <v>74</v>
      </c>
      <c r="U113" s="14" t="s">
        <v>445</v>
      </c>
      <c r="V113" s="16" t="s">
        <v>354</v>
      </c>
    </row>
    <row r="114" spans="1:22" ht="29" x14ac:dyDescent="0.35">
      <c r="A114" s="14" t="s">
        <v>113</v>
      </c>
      <c r="B114" s="14" t="s">
        <v>62</v>
      </c>
      <c r="C114" s="15">
        <v>44851.589583333334</v>
      </c>
      <c r="D114" s="14" t="s">
        <v>364</v>
      </c>
      <c r="E114" s="14" t="s">
        <v>561</v>
      </c>
      <c r="F114" s="16" t="s">
        <v>345</v>
      </c>
      <c r="G114" s="14" t="s">
        <v>602</v>
      </c>
      <c r="H114" s="15">
        <v>40725</v>
      </c>
      <c r="I114" s="15"/>
      <c r="J114" s="16" t="s">
        <v>74</v>
      </c>
      <c r="K114" s="16" t="s">
        <v>74</v>
      </c>
      <c r="L114" s="14" t="s">
        <v>499</v>
      </c>
      <c r="M114" s="16" t="s">
        <v>74</v>
      </c>
      <c r="N114" s="14" t="s">
        <v>74</v>
      </c>
      <c r="O114" s="17"/>
      <c r="P114" s="17"/>
      <c r="Q114" s="17"/>
      <c r="R114" s="17" t="s">
        <v>603</v>
      </c>
      <c r="S114" s="14" t="s">
        <v>74</v>
      </c>
      <c r="T114" s="14" t="s">
        <v>74</v>
      </c>
      <c r="U114" s="14" t="s">
        <v>445</v>
      </c>
      <c r="V114" s="16" t="s">
        <v>345</v>
      </c>
    </row>
    <row r="115" spans="1:22" ht="29" x14ac:dyDescent="0.35">
      <c r="A115" s="14" t="s">
        <v>113</v>
      </c>
      <c r="B115" s="14" t="s">
        <v>62</v>
      </c>
      <c r="C115" s="15">
        <v>44851.59097222222</v>
      </c>
      <c r="D115" s="14" t="s">
        <v>365</v>
      </c>
      <c r="E115" s="14" t="s">
        <v>561</v>
      </c>
      <c r="F115" s="16" t="s">
        <v>360</v>
      </c>
      <c r="G115" s="14" t="s">
        <v>602</v>
      </c>
      <c r="H115" s="15">
        <v>40725</v>
      </c>
      <c r="I115" s="15"/>
      <c r="J115" s="16" t="s">
        <v>74</v>
      </c>
      <c r="K115" s="16" t="s">
        <v>74</v>
      </c>
      <c r="L115" s="14" t="s">
        <v>499</v>
      </c>
      <c r="M115" s="16" t="s">
        <v>74</v>
      </c>
      <c r="N115" s="14" t="s">
        <v>74</v>
      </c>
      <c r="O115" s="17"/>
      <c r="P115" s="17"/>
      <c r="Q115" s="17"/>
      <c r="R115" s="17" t="s">
        <v>604</v>
      </c>
      <c r="S115" s="14" t="s">
        <v>74</v>
      </c>
      <c r="T115" s="14" t="s">
        <v>74</v>
      </c>
      <c r="U115" s="14" t="s">
        <v>445</v>
      </c>
      <c r="V115" s="16" t="s">
        <v>360</v>
      </c>
    </row>
    <row r="116" spans="1:22" ht="29" x14ac:dyDescent="0.35">
      <c r="A116" s="14" t="s">
        <v>113</v>
      </c>
      <c r="B116" s="14" t="s">
        <v>62</v>
      </c>
      <c r="C116" s="15">
        <v>44851.592361111114</v>
      </c>
      <c r="D116" s="14" t="s">
        <v>399</v>
      </c>
      <c r="E116" s="14" t="s">
        <v>561</v>
      </c>
      <c r="F116" s="16" t="s">
        <v>354</v>
      </c>
      <c r="G116" s="14" t="s">
        <v>605</v>
      </c>
      <c r="H116" s="15">
        <v>40725</v>
      </c>
      <c r="I116" s="15"/>
      <c r="J116" s="16" t="s">
        <v>74</v>
      </c>
      <c r="K116" s="16" t="s">
        <v>74</v>
      </c>
      <c r="L116" s="14" t="s">
        <v>499</v>
      </c>
      <c r="M116" s="16" t="s">
        <v>74</v>
      </c>
      <c r="N116" s="14" t="s">
        <v>74</v>
      </c>
      <c r="O116" s="17"/>
      <c r="P116" s="17"/>
      <c r="Q116" s="17"/>
      <c r="R116" s="17" t="s">
        <v>606</v>
      </c>
      <c r="S116" s="14" t="s">
        <v>74</v>
      </c>
      <c r="T116" s="14" t="s">
        <v>74</v>
      </c>
      <c r="U116" s="14" t="s">
        <v>445</v>
      </c>
      <c r="V116" s="16" t="s">
        <v>354</v>
      </c>
    </row>
    <row r="117" spans="1:22" ht="29" x14ac:dyDescent="0.35">
      <c r="A117" s="14" t="s">
        <v>113</v>
      </c>
      <c r="B117" s="14" t="s">
        <v>62</v>
      </c>
      <c r="C117" s="15">
        <v>44851.59375</v>
      </c>
      <c r="D117" s="14" t="s">
        <v>400</v>
      </c>
      <c r="E117" s="14" t="s">
        <v>561</v>
      </c>
      <c r="F117" s="16" t="s">
        <v>360</v>
      </c>
      <c r="G117" s="14" t="s">
        <v>607</v>
      </c>
      <c r="H117" s="15">
        <v>40725</v>
      </c>
      <c r="I117" s="15"/>
      <c r="J117" s="16" t="s">
        <v>74</v>
      </c>
      <c r="K117" s="16" t="s">
        <v>74</v>
      </c>
      <c r="L117" s="14" t="s">
        <v>499</v>
      </c>
      <c r="M117" s="16" t="s">
        <v>74</v>
      </c>
      <c r="N117" s="14" t="s">
        <v>74</v>
      </c>
      <c r="O117" s="17"/>
      <c r="P117" s="17"/>
      <c r="Q117" s="17"/>
      <c r="R117" s="17" t="s">
        <v>608</v>
      </c>
      <c r="S117" s="14" t="s">
        <v>74</v>
      </c>
      <c r="T117" s="14" t="s">
        <v>74</v>
      </c>
      <c r="U117" s="14" t="s">
        <v>445</v>
      </c>
      <c r="V117" s="16" t="s">
        <v>360</v>
      </c>
    </row>
    <row r="118" spans="1:22" ht="29" x14ac:dyDescent="0.35">
      <c r="A118" s="14" t="s">
        <v>113</v>
      </c>
      <c r="B118" s="14" t="s">
        <v>62</v>
      </c>
      <c r="C118" s="15">
        <v>44965.765277777777</v>
      </c>
      <c r="D118" s="14" t="s">
        <v>401</v>
      </c>
      <c r="E118" s="14" t="s">
        <v>561</v>
      </c>
      <c r="F118" s="16" t="s">
        <v>345</v>
      </c>
      <c r="G118" s="14" t="s">
        <v>521</v>
      </c>
      <c r="H118" s="15">
        <v>40725</v>
      </c>
      <c r="I118" s="15"/>
      <c r="J118" s="16" t="s">
        <v>74</v>
      </c>
      <c r="K118" s="16" t="s">
        <v>74</v>
      </c>
      <c r="L118" s="14" t="s">
        <v>499</v>
      </c>
      <c r="M118" s="16" t="s">
        <v>74</v>
      </c>
      <c r="N118" s="14" t="s">
        <v>74</v>
      </c>
      <c r="O118" s="17"/>
      <c r="P118" s="17"/>
      <c r="Q118" s="17"/>
      <c r="R118" s="17" t="s">
        <v>609</v>
      </c>
      <c r="S118" s="14" t="s">
        <v>74</v>
      </c>
      <c r="T118" s="14" t="s">
        <v>74</v>
      </c>
      <c r="U118" s="14" t="s">
        <v>445</v>
      </c>
      <c r="V118" s="16" t="s">
        <v>345</v>
      </c>
    </row>
    <row r="119" spans="1:22" ht="29" x14ac:dyDescent="0.35">
      <c r="A119" s="14" t="s">
        <v>113</v>
      </c>
      <c r="B119" s="14" t="s">
        <v>62</v>
      </c>
      <c r="C119" s="15">
        <v>44851.599305555559</v>
      </c>
      <c r="D119" s="14" t="s">
        <v>379</v>
      </c>
      <c r="E119" s="14" t="s">
        <v>561</v>
      </c>
      <c r="F119" s="16" t="s">
        <v>360</v>
      </c>
      <c r="G119" s="14" t="s">
        <v>582</v>
      </c>
      <c r="H119" s="15">
        <v>40725</v>
      </c>
      <c r="I119" s="15"/>
      <c r="J119" s="16" t="s">
        <v>74</v>
      </c>
      <c r="K119" s="16" t="s">
        <v>74</v>
      </c>
      <c r="L119" s="14" t="s">
        <v>499</v>
      </c>
      <c r="M119" s="16" t="s">
        <v>74</v>
      </c>
      <c r="N119" s="14" t="s">
        <v>74</v>
      </c>
      <c r="O119" s="17"/>
      <c r="P119" s="17"/>
      <c r="Q119" s="17"/>
      <c r="R119" s="17" t="s">
        <v>610</v>
      </c>
      <c r="S119" s="14" t="s">
        <v>74</v>
      </c>
      <c r="T119" s="14" t="s">
        <v>74</v>
      </c>
      <c r="U119" s="14" t="s">
        <v>445</v>
      </c>
      <c r="V119" s="16" t="s">
        <v>360</v>
      </c>
    </row>
    <row r="120" spans="1:22" ht="29" x14ac:dyDescent="0.35">
      <c r="A120" s="14" t="s">
        <v>113</v>
      </c>
      <c r="B120" s="14" t="s">
        <v>62</v>
      </c>
      <c r="C120" s="15">
        <v>44851.600694444445</v>
      </c>
      <c r="D120" s="14" t="s">
        <v>386</v>
      </c>
      <c r="E120" s="14" t="s">
        <v>561</v>
      </c>
      <c r="F120" s="16" t="s">
        <v>345</v>
      </c>
      <c r="G120" s="14" t="s">
        <v>582</v>
      </c>
      <c r="H120" s="15">
        <v>40725</v>
      </c>
      <c r="I120" s="15"/>
      <c r="J120" s="16" t="s">
        <v>74</v>
      </c>
      <c r="K120" s="16" t="s">
        <v>74</v>
      </c>
      <c r="L120" s="14" t="s">
        <v>499</v>
      </c>
      <c r="M120" s="16" t="s">
        <v>74</v>
      </c>
      <c r="N120" s="14" t="s">
        <v>74</v>
      </c>
      <c r="O120" s="17"/>
      <c r="P120" s="17"/>
      <c r="Q120" s="17"/>
      <c r="R120" s="17" t="s">
        <v>611</v>
      </c>
      <c r="S120" s="14" t="s">
        <v>74</v>
      </c>
      <c r="T120" s="14" t="s">
        <v>74</v>
      </c>
      <c r="U120" s="14" t="s">
        <v>445</v>
      </c>
      <c r="V120" s="16" t="s">
        <v>345</v>
      </c>
    </row>
    <row r="121" spans="1:22" ht="29" x14ac:dyDescent="0.35">
      <c r="A121" s="14" t="s">
        <v>113</v>
      </c>
      <c r="B121" s="14" t="s">
        <v>62</v>
      </c>
      <c r="C121" s="15">
        <v>44965.765972222223</v>
      </c>
      <c r="D121" s="14" t="s">
        <v>356</v>
      </c>
      <c r="E121" s="14" t="s">
        <v>561</v>
      </c>
      <c r="F121" s="16" t="s">
        <v>357</v>
      </c>
      <c r="G121" s="14" t="s">
        <v>476</v>
      </c>
      <c r="H121" s="15">
        <v>40725</v>
      </c>
      <c r="I121" s="15"/>
      <c r="J121" s="16" t="s">
        <v>74</v>
      </c>
      <c r="K121" s="16" t="s">
        <v>74</v>
      </c>
      <c r="L121" s="14" t="s">
        <v>499</v>
      </c>
      <c r="M121" s="16" t="s">
        <v>74</v>
      </c>
      <c r="N121" s="14" t="s">
        <v>74</v>
      </c>
      <c r="O121" s="17"/>
      <c r="P121" s="17"/>
      <c r="Q121" s="17"/>
      <c r="R121" s="17" t="s">
        <v>612</v>
      </c>
      <c r="S121" s="14" t="s">
        <v>74</v>
      </c>
      <c r="T121" s="14" t="s">
        <v>74</v>
      </c>
      <c r="U121" s="14" t="s">
        <v>445</v>
      </c>
      <c r="V121" s="16" t="s">
        <v>357</v>
      </c>
    </row>
    <row r="122" spans="1:22" ht="29" x14ac:dyDescent="0.35">
      <c r="A122" s="14" t="s">
        <v>113</v>
      </c>
      <c r="B122" s="14" t="s">
        <v>62</v>
      </c>
      <c r="C122" s="15">
        <v>44965.771527777775</v>
      </c>
      <c r="D122" s="14" t="s">
        <v>396</v>
      </c>
      <c r="E122" s="14" t="s">
        <v>561</v>
      </c>
      <c r="F122" s="16" t="s">
        <v>397</v>
      </c>
      <c r="G122" s="14" t="s">
        <v>578</v>
      </c>
      <c r="H122" s="15">
        <v>40725</v>
      </c>
      <c r="I122" s="15"/>
      <c r="J122" s="16" t="s">
        <v>74</v>
      </c>
      <c r="K122" s="16" t="s">
        <v>74</v>
      </c>
      <c r="L122" s="14" t="s">
        <v>442</v>
      </c>
      <c r="M122" s="16" t="s">
        <v>74</v>
      </c>
      <c r="N122" s="14" t="s">
        <v>74</v>
      </c>
      <c r="O122" s="17"/>
      <c r="P122" s="17"/>
      <c r="Q122" s="17"/>
      <c r="R122" s="17" t="s">
        <v>579</v>
      </c>
      <c r="S122" s="14" t="s">
        <v>74</v>
      </c>
      <c r="T122" s="14" t="s">
        <v>74</v>
      </c>
      <c r="U122" s="14" t="s">
        <v>445</v>
      </c>
      <c r="V122" s="16" t="s">
        <v>397</v>
      </c>
    </row>
    <row r="123" spans="1:22" ht="43.5" x14ac:dyDescent="0.35">
      <c r="A123" s="14" t="s">
        <v>113</v>
      </c>
      <c r="B123" s="14" t="s">
        <v>62</v>
      </c>
      <c r="C123" s="15">
        <v>44965.772916666669</v>
      </c>
      <c r="D123" s="14" t="s">
        <v>349</v>
      </c>
      <c r="E123" s="14" t="s">
        <v>561</v>
      </c>
      <c r="F123" s="16" t="s">
        <v>343</v>
      </c>
      <c r="G123" s="14" t="s">
        <v>613</v>
      </c>
      <c r="H123" s="15">
        <v>44678</v>
      </c>
      <c r="I123" s="15"/>
      <c r="J123" s="16" t="s">
        <v>74</v>
      </c>
      <c r="K123" s="16" t="s">
        <v>74</v>
      </c>
      <c r="L123" s="14" t="s">
        <v>499</v>
      </c>
      <c r="M123" s="16" t="s">
        <v>74</v>
      </c>
      <c r="N123" s="14" t="s">
        <v>74</v>
      </c>
      <c r="O123" s="17"/>
      <c r="P123" s="17"/>
      <c r="Q123" s="17"/>
      <c r="R123" s="17" t="s">
        <v>614</v>
      </c>
      <c r="S123" s="14" t="s">
        <v>74</v>
      </c>
      <c r="T123" s="14" t="s">
        <v>74</v>
      </c>
      <c r="U123" s="14" t="s">
        <v>445</v>
      </c>
      <c r="V123" s="16" t="s">
        <v>343</v>
      </c>
    </row>
    <row r="124" spans="1:22" ht="43.5" x14ac:dyDescent="0.35">
      <c r="A124" s="14" t="s">
        <v>113</v>
      </c>
      <c r="B124" s="14" t="s">
        <v>62</v>
      </c>
      <c r="C124" s="15">
        <v>44839.368750000001</v>
      </c>
      <c r="D124" s="14" t="s">
        <v>350</v>
      </c>
      <c r="E124" s="14" t="s">
        <v>561</v>
      </c>
      <c r="F124" s="16" t="s">
        <v>351</v>
      </c>
      <c r="G124" s="14" t="s">
        <v>476</v>
      </c>
      <c r="H124" s="15">
        <v>44678</v>
      </c>
      <c r="I124" s="15"/>
      <c r="J124" s="16" t="s">
        <v>74</v>
      </c>
      <c r="K124" s="16" t="s">
        <v>74</v>
      </c>
      <c r="L124" s="14" t="s">
        <v>499</v>
      </c>
      <c r="M124" s="16" t="s">
        <v>74</v>
      </c>
      <c r="N124" s="14" t="s">
        <v>74</v>
      </c>
      <c r="O124" s="17"/>
      <c r="P124" s="17"/>
      <c r="Q124" s="17"/>
      <c r="R124" s="17" t="s">
        <v>615</v>
      </c>
      <c r="S124" s="14" t="s">
        <v>74</v>
      </c>
      <c r="T124" s="14" t="s">
        <v>74</v>
      </c>
      <c r="U124" s="14" t="s">
        <v>445</v>
      </c>
      <c r="V124" s="16" t="s">
        <v>351</v>
      </c>
    </row>
    <row r="125" spans="1:22" ht="43.5" x14ac:dyDescent="0.35">
      <c r="A125" s="14" t="s">
        <v>113</v>
      </c>
      <c r="B125" s="14" t="s">
        <v>62</v>
      </c>
      <c r="C125" s="15">
        <v>44851.615972222222</v>
      </c>
      <c r="D125" s="14" t="s">
        <v>391</v>
      </c>
      <c r="E125" s="14" t="s">
        <v>561</v>
      </c>
      <c r="F125" s="16" t="s">
        <v>357</v>
      </c>
      <c r="G125" s="14" t="s">
        <v>613</v>
      </c>
      <c r="H125" s="15">
        <v>40725</v>
      </c>
      <c r="I125" s="15"/>
      <c r="J125" s="16" t="s">
        <v>74</v>
      </c>
      <c r="K125" s="16" t="s">
        <v>74</v>
      </c>
      <c r="L125" s="14" t="s">
        <v>499</v>
      </c>
      <c r="M125" s="16" t="s">
        <v>74</v>
      </c>
      <c r="N125" s="14" t="s">
        <v>74</v>
      </c>
      <c r="O125" s="17"/>
      <c r="P125" s="17"/>
      <c r="Q125" s="17"/>
      <c r="R125" s="17" t="s">
        <v>569</v>
      </c>
      <c r="S125" s="14" t="s">
        <v>74</v>
      </c>
      <c r="T125" s="14" t="s">
        <v>74</v>
      </c>
      <c r="U125" s="14" t="s">
        <v>445</v>
      </c>
      <c r="V125" s="16" t="s">
        <v>357</v>
      </c>
    </row>
  </sheetData>
  <autoFilter ref="A1:Z125" xr:uid="{89B020BF-B842-47C7-A108-9C135B1BB0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2026-06-05T09:49:52Z</dcterms:created>
  <dcterms:modified xsi:type="dcterms:W3CDTF">2026-06-05T09:52:27Z</dcterms:modified>
</cp:coreProperties>
</file>