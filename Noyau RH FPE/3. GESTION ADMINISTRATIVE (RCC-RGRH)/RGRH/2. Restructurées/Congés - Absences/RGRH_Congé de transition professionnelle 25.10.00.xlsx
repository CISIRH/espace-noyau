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206_25.10.00\4-Règles de gestion\RGRH\Restructurées\Congé_absence\"/>
    </mc:Choice>
  </mc:AlternateContent>
  <xr:revisionPtr revIDLastSave="0" documentId="13_ncr:1_{01C2BA73-3366-4D78-9185-0059474B3146}" xr6:coauthVersionLast="47" xr6:coauthVersionMax="47" xr10:uidLastSave="{00000000-0000-0000-0000-000000000000}"/>
  <bookViews>
    <workbookView xWindow="-110" yWindow="-110" windowWidth="19420" windowHeight="11500" xr2:uid="{9886EE20-B0F5-462B-89DC-ECB462984AA3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RG'!$A$1:$OJ$58</definedName>
    <definedName name="_xlnm._FilterDatabase" localSheetId="2" hidden="1">'Axe 1 Enchaînement RG Impact'!$A$1:$OJ$58</definedName>
    <definedName name="_xlnm._FilterDatabase" localSheetId="3" hidden="1">'Axe 1 Rattachement des actes'!$A$1:$AS$1</definedName>
    <definedName name="_xlnm._FilterDatabase" localSheetId="4" hidden="1">'Axe 2 Règles de gestion'!$A$1:$Z$65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37" i="4" l="1"/>
  <c r="AM9" i="4"/>
  <c r="AK37" i="4"/>
  <c r="AK9" i="4"/>
  <c r="AI39" i="4"/>
  <c r="AI37" i="4"/>
  <c r="AI35" i="4"/>
  <c r="AI31" i="4"/>
  <c r="AI11" i="4"/>
  <c r="AI9" i="4"/>
  <c r="AI7" i="4"/>
  <c r="AI6" i="4"/>
  <c r="AI2" i="4"/>
  <c r="AG39" i="4"/>
  <c r="AG37" i="4"/>
  <c r="AG35" i="4"/>
  <c r="AG31" i="4"/>
  <c r="AG11" i="4"/>
  <c r="AG9" i="4"/>
  <c r="AG7" i="4"/>
  <c r="AG6" i="4"/>
  <c r="AG2" i="4"/>
  <c r="AE39" i="4"/>
  <c r="AE37" i="4"/>
  <c r="AE35" i="4"/>
  <c r="AE31" i="4"/>
  <c r="AE11" i="4"/>
  <c r="AE9" i="4"/>
  <c r="AE7" i="4"/>
  <c r="AE6" i="4"/>
  <c r="AE2" i="4"/>
  <c r="AC39" i="4"/>
  <c r="AC37" i="4"/>
  <c r="AC35" i="4"/>
  <c r="AC31" i="4"/>
  <c r="AC11" i="4"/>
  <c r="AC9" i="4"/>
  <c r="AC7" i="4"/>
  <c r="AC6" i="4"/>
  <c r="AC2" i="4"/>
  <c r="AA39" i="4"/>
  <c r="AA37" i="4"/>
  <c r="AA35" i="4"/>
  <c r="AA31" i="4"/>
  <c r="AA11" i="4"/>
  <c r="AA9" i="4"/>
  <c r="AA7" i="4"/>
  <c r="AA6" i="4"/>
  <c r="AA2" i="4"/>
  <c r="Y39" i="4"/>
  <c r="Y37" i="4"/>
  <c r="Y35" i="4"/>
  <c r="Y31" i="4"/>
  <c r="Y11" i="4"/>
  <c r="Y9" i="4"/>
  <c r="Y7" i="4"/>
  <c r="Y6" i="4"/>
  <c r="Y2" i="4"/>
  <c r="BY54" i="5"/>
  <c r="BY39" i="5"/>
  <c r="BY37" i="5"/>
  <c r="BY35" i="5"/>
  <c r="BY31" i="5"/>
  <c r="BY26" i="5"/>
  <c r="BY11" i="5"/>
  <c r="BY9" i="5"/>
  <c r="BY7" i="5"/>
  <c r="BY6" i="5"/>
  <c r="BY2" i="5"/>
  <c r="BW54" i="5"/>
  <c r="BW39" i="5"/>
  <c r="BW37" i="5"/>
  <c r="BW35" i="5"/>
  <c r="BW31" i="5"/>
  <c r="BW26" i="5"/>
  <c r="BW11" i="5"/>
  <c r="BW9" i="5"/>
  <c r="BW7" i="5"/>
  <c r="BW6" i="5"/>
  <c r="BW2" i="5"/>
  <c r="BU56" i="5"/>
  <c r="BU54" i="5"/>
  <c r="BU40" i="5"/>
  <c r="BU39" i="5"/>
  <c r="BU38" i="5"/>
  <c r="BU37" i="5"/>
  <c r="BU36" i="5"/>
  <c r="BU35" i="5"/>
  <c r="BU32" i="5"/>
  <c r="BU31" i="5"/>
  <c r="BU28" i="5"/>
  <c r="BU26" i="5"/>
  <c r="BU12" i="5"/>
  <c r="BU11" i="5"/>
  <c r="BU10" i="5"/>
  <c r="BU9" i="5"/>
  <c r="BU8" i="5"/>
  <c r="BU7" i="5"/>
  <c r="BU6" i="5"/>
  <c r="BU3" i="5"/>
  <c r="BU2" i="5"/>
  <c r="BS56" i="5"/>
  <c r="BS54" i="5"/>
  <c r="BS40" i="5"/>
  <c r="BS39" i="5"/>
  <c r="BS38" i="5"/>
  <c r="BS37" i="5"/>
  <c r="BS36" i="5"/>
  <c r="BS35" i="5"/>
  <c r="BS32" i="5"/>
  <c r="BS31" i="5"/>
  <c r="BS28" i="5"/>
  <c r="BS26" i="5"/>
  <c r="BS12" i="5"/>
  <c r="BS11" i="5"/>
  <c r="BS10" i="5"/>
  <c r="BS9" i="5"/>
  <c r="BS8" i="5"/>
  <c r="BS7" i="5"/>
  <c r="BS6" i="5"/>
  <c r="BS3" i="5"/>
  <c r="BS2" i="5"/>
  <c r="BQ56" i="5"/>
  <c r="BQ54" i="5"/>
  <c r="BQ40" i="5"/>
  <c r="BQ39" i="5"/>
  <c r="BQ38" i="5"/>
  <c r="BQ37" i="5"/>
  <c r="BQ36" i="5"/>
  <c r="BQ35" i="5"/>
  <c r="BQ32" i="5"/>
  <c r="BQ31" i="5"/>
  <c r="BQ28" i="5"/>
  <c r="BQ26" i="5"/>
  <c r="BQ12" i="5"/>
  <c r="BQ11" i="5"/>
  <c r="BQ10" i="5"/>
  <c r="BQ9" i="5"/>
  <c r="BQ8" i="5"/>
  <c r="BQ7" i="5"/>
  <c r="BQ6" i="5"/>
  <c r="BQ3" i="5"/>
  <c r="BQ2" i="5"/>
  <c r="BO56" i="5"/>
  <c r="BO54" i="5"/>
  <c r="BO40" i="5"/>
  <c r="BO39" i="5"/>
  <c r="BO38" i="5"/>
  <c r="BO37" i="5"/>
  <c r="BO36" i="5"/>
  <c r="BO35" i="5"/>
  <c r="BO32" i="5"/>
  <c r="BO31" i="5"/>
  <c r="BO28" i="5"/>
  <c r="BO26" i="5"/>
  <c r="BO12" i="5"/>
  <c r="BO11" i="5"/>
  <c r="BO10" i="5"/>
  <c r="BO9" i="5"/>
  <c r="BO8" i="5"/>
  <c r="BO7" i="5"/>
  <c r="BO6" i="5"/>
  <c r="BO3" i="5"/>
  <c r="BO2" i="5"/>
  <c r="BM56" i="5"/>
  <c r="BM54" i="5"/>
  <c r="BM40" i="5"/>
  <c r="BM39" i="5"/>
  <c r="BM38" i="5"/>
  <c r="BM37" i="5"/>
  <c r="BM36" i="5"/>
  <c r="BM35" i="5"/>
  <c r="BM32" i="5"/>
  <c r="BM31" i="5"/>
  <c r="BM28" i="5"/>
  <c r="BM26" i="5"/>
  <c r="BM12" i="5"/>
  <c r="BM11" i="5"/>
  <c r="BM10" i="5"/>
  <c r="BM9" i="5"/>
  <c r="BM8" i="5"/>
  <c r="BM7" i="5"/>
  <c r="BM6" i="5"/>
  <c r="BM3" i="5"/>
  <c r="BM2" i="5"/>
  <c r="BK7" i="5"/>
  <c r="BK6" i="5"/>
  <c r="BI54" i="5"/>
  <c r="BI39" i="5"/>
  <c r="BI37" i="5"/>
  <c r="BI35" i="5"/>
  <c r="BI31" i="5"/>
  <c r="BI26" i="5"/>
  <c r="BI11" i="5"/>
  <c r="BI9" i="5"/>
  <c r="BI7" i="5"/>
  <c r="BI6" i="5"/>
  <c r="BI2" i="5"/>
  <c r="BG54" i="5"/>
  <c r="BG39" i="5"/>
  <c r="BG37" i="5"/>
  <c r="BG35" i="5"/>
  <c r="BG31" i="5"/>
  <c r="BG26" i="5"/>
  <c r="BG11" i="5"/>
  <c r="BG9" i="5"/>
  <c r="BG7" i="5"/>
  <c r="BG6" i="5"/>
  <c r="BG2" i="5"/>
  <c r="BE56" i="5"/>
  <c r="BE54" i="5"/>
  <c r="BE40" i="5"/>
  <c r="BE39" i="5"/>
  <c r="BE38" i="5"/>
  <c r="BE37" i="5"/>
  <c r="BE36" i="5"/>
  <c r="BE35" i="5"/>
  <c r="BE32" i="5"/>
  <c r="BE31" i="5"/>
  <c r="BE28" i="5"/>
  <c r="BE26" i="5"/>
  <c r="BE12" i="5"/>
  <c r="BE11" i="5"/>
  <c r="BE10" i="5"/>
  <c r="BE9" i="5"/>
  <c r="BE8" i="5"/>
  <c r="BE7" i="5"/>
  <c r="BE6" i="5"/>
  <c r="BE3" i="5"/>
  <c r="BE2" i="5"/>
  <c r="BC54" i="5"/>
  <c r="BC37" i="5"/>
  <c r="BA54" i="5"/>
  <c r="BA39" i="5"/>
  <c r="BA37" i="5"/>
  <c r="BA35" i="5"/>
  <c r="BA31" i="5"/>
  <c r="AY54" i="5"/>
  <c r="AY39" i="5"/>
  <c r="AY37" i="5"/>
  <c r="AY35" i="5"/>
  <c r="AY31" i="5"/>
  <c r="AW54" i="5"/>
  <c r="AW39" i="5"/>
  <c r="AW37" i="5"/>
  <c r="AW35" i="5"/>
  <c r="AW31" i="5"/>
  <c r="AW26" i="5"/>
  <c r="AU54" i="5"/>
  <c r="AU39" i="5"/>
  <c r="AU37" i="5"/>
  <c r="AU35" i="5"/>
  <c r="AU31" i="5"/>
  <c r="AU26" i="5"/>
  <c r="AU11" i="5"/>
  <c r="AU9" i="5"/>
  <c r="AU7" i="5"/>
  <c r="AU6" i="5"/>
  <c r="AU2" i="5"/>
  <c r="AS54" i="5"/>
  <c r="AS39" i="5"/>
  <c r="AS37" i="5"/>
  <c r="AS35" i="5"/>
  <c r="AS31" i="5"/>
  <c r="AS26" i="5"/>
  <c r="AS11" i="5"/>
  <c r="AS9" i="5"/>
  <c r="AS7" i="5"/>
  <c r="AS6" i="5"/>
  <c r="AS2" i="5"/>
  <c r="AQ54" i="5"/>
  <c r="AQ39" i="5"/>
  <c r="AQ37" i="5"/>
  <c r="AQ35" i="5"/>
  <c r="AQ31" i="5"/>
  <c r="AQ26" i="5"/>
  <c r="AQ11" i="5"/>
  <c r="AQ9" i="5"/>
  <c r="AQ7" i="5"/>
  <c r="AQ6" i="5"/>
  <c r="AQ2" i="5"/>
  <c r="AO54" i="5"/>
  <c r="AO39" i="5"/>
  <c r="AO37" i="5"/>
  <c r="AO35" i="5"/>
  <c r="AO31" i="5"/>
  <c r="AO26" i="5"/>
  <c r="AO11" i="5"/>
  <c r="AO9" i="5"/>
  <c r="AO7" i="5"/>
  <c r="AO6" i="5"/>
  <c r="AO2" i="5"/>
  <c r="AM54" i="5"/>
  <c r="AM39" i="5"/>
  <c r="AM37" i="5"/>
  <c r="AM35" i="5"/>
  <c r="AM31" i="5"/>
  <c r="AM26" i="5"/>
  <c r="AM11" i="5"/>
  <c r="AM9" i="5"/>
  <c r="AM7" i="5"/>
  <c r="AM6" i="5"/>
  <c r="AM2" i="5"/>
  <c r="AK54" i="5"/>
  <c r="AK39" i="5"/>
  <c r="AK37" i="5"/>
  <c r="AK35" i="5"/>
  <c r="AK31" i="5"/>
  <c r="AK26" i="5"/>
  <c r="AK11" i="5"/>
  <c r="AK9" i="5"/>
  <c r="AK7" i="5"/>
  <c r="AK6" i="5"/>
  <c r="AK2" i="5"/>
  <c r="AI54" i="5"/>
  <c r="AI39" i="5"/>
  <c r="AI37" i="5"/>
  <c r="AI35" i="5"/>
  <c r="AI31" i="5"/>
  <c r="AI26" i="5"/>
  <c r="AI11" i="5"/>
  <c r="AI9" i="5"/>
  <c r="AI7" i="5"/>
  <c r="AI6" i="5"/>
  <c r="AI2" i="5"/>
  <c r="AG54" i="5"/>
  <c r="AG39" i="5"/>
  <c r="AG37" i="5"/>
  <c r="AG35" i="5"/>
  <c r="AG31" i="5"/>
  <c r="AG26" i="5"/>
  <c r="AG11" i="5"/>
  <c r="AG9" i="5"/>
  <c r="AG7" i="5"/>
  <c r="AG6" i="5"/>
  <c r="AG2" i="5"/>
  <c r="AE54" i="5"/>
  <c r="AE39" i="5"/>
  <c r="AE37" i="5"/>
  <c r="AE35" i="5"/>
  <c r="AE31" i="5"/>
  <c r="AE26" i="5"/>
  <c r="AE11" i="5"/>
  <c r="AE9" i="5"/>
  <c r="AE7" i="5"/>
  <c r="AE6" i="5"/>
  <c r="AE2" i="5"/>
  <c r="AC54" i="5"/>
  <c r="AC39" i="5"/>
  <c r="AC37" i="5"/>
  <c r="AC35" i="5"/>
  <c r="AC31" i="5"/>
  <c r="AC26" i="5"/>
  <c r="AC11" i="5"/>
  <c r="AC9" i="5"/>
  <c r="AC7" i="5"/>
  <c r="AC6" i="5"/>
  <c r="AC2" i="5"/>
  <c r="AA54" i="5"/>
  <c r="AA39" i="5"/>
  <c r="AA37" i="5"/>
  <c r="AA35" i="5"/>
  <c r="AA31" i="5"/>
  <c r="AA28" i="5"/>
  <c r="AA26" i="5"/>
  <c r="AA11" i="5"/>
  <c r="AA9" i="5"/>
  <c r="AA7" i="5"/>
  <c r="AA6" i="5"/>
  <c r="AA2" i="5"/>
  <c r="Y56" i="5"/>
  <c r="Y54" i="5"/>
  <c r="Y39" i="5"/>
  <c r="Y38" i="5"/>
  <c r="Y37" i="5"/>
  <c r="Y35" i="5"/>
  <c r="Y31" i="5"/>
  <c r="Y28" i="5"/>
  <c r="Y26" i="5"/>
  <c r="Y12" i="5"/>
  <c r="Y11" i="5"/>
  <c r="Y10" i="5"/>
  <c r="Y9" i="5"/>
  <c r="Y8" i="5"/>
  <c r="Y7" i="5"/>
  <c r="Y6" i="5"/>
  <c r="Y3" i="5"/>
  <c r="Y2" i="5"/>
</calcChain>
</file>

<file path=xl/sharedStrings.xml><?xml version="1.0" encoding="utf-8"?>
<sst xmlns="http://schemas.openxmlformats.org/spreadsheetml/2006/main" count="4148" uniqueCount="413">
  <si>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</si>
  <si>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</si>
  <si>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</si>
  <si>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</si>
  <si>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</si>
  <si>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</si>
  <si>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</si>
  <si>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</si>
  <si>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</si>
  <si>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</si>
  <si>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</si>
  <si>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</si>
  <si>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</si>
  <si>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</si>
  <si>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</si>
  <si>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</si>
  <si>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</si>
  <si>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</si>
  <si>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</si>
  <si>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</si>
  <si>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</si>
  <si>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</si>
  <si>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</si>
  <si>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</si>
  <si>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</si>
  <si>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</si>
  <si>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</si>
  <si>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</si>
  <si>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</si>
  <si>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</si>
  <si>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</si>
  <si>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</si>
  <si>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</si>
  <si>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</si>
  <si>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</si>
  <si>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</si>
  <si>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</si>
  <si>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</si>
  <si>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</si>
  <si>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</si>
  <si>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</si>
  <si>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</si>
  <si>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</si>
  <si>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</si>
  <si>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</si>
  <si>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</si>
  <si>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</si>
  <si>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</si>
  <si>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intellectuel 13</t>
  </si>
  <si>
    <t>Libellé Règle de contrôle intellectuel 13</t>
  </si>
  <si>
    <t>Identifiant Règle de contrôle intellectuel 14</t>
  </si>
  <si>
    <t>Libellé Règle de contrôle intellectuel 14</t>
  </si>
  <si>
    <t>Identifiant Règle de contrôle intellectuel 15</t>
  </si>
  <si>
    <t>Libellé Règle de contrôle intellectuel 15</t>
  </si>
  <si>
    <t>Identifiant Règle de contrôle intellectuel 16</t>
  </si>
  <si>
    <t>Libellé Règle de contrôle intellectuel 16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</si>
  <si>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</si>
  <si>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</si>
  <si>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</si>
  <si>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</si>
  <si>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</si>
  <si>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</si>
  <si>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</si>
  <si>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</si>
  <si>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</si>
  <si>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</si>
  <si>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</si>
  <si>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</si>
  <si>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</si>
  <si>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</si>
  <si>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</si>
  <si>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</si>
  <si>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</si>
  <si>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</si>
  <si>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</si>
  <si>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</si>
  <si>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</si>
  <si>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</si>
  <si>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FIME</t>
  </si>
  <si>
    <t>Statut de travail</t>
  </si>
  <si>
    <t>20.00.00</t>
  </si>
  <si>
    <t>A</t>
  </si>
  <si>
    <t>D0007</t>
  </si>
  <si>
    <t>Congés/Absence</t>
  </si>
  <si>
    <t>S0146</t>
  </si>
  <si>
    <t>Congé de transition professionnelle</t>
  </si>
  <si>
    <t>E0813</t>
  </si>
  <si>
    <t>Type de congé/absence saisi = 'Congé de transition professionnelle'</t>
  </si>
  <si>
    <t>A_COA_TYCOAB [Saisi] = 'CF016'</t>
  </si>
  <si>
    <t>T2009</t>
  </si>
  <si>
    <t>Congé de transition professionnelle - Demande</t>
  </si>
  <si>
    <t>Création</t>
  </si>
  <si>
    <t>Titulaire ou magistrat</t>
  </si>
  <si>
    <t>P0001</t>
  </si>
  <si>
    <t>Général</t>
  </si>
  <si>
    <t>Passant</t>
  </si>
  <si>
    <t>CTP_I_001 ET CTP_I_003 ET CTP_I_004 ET CTP_I_005 ET CTP_I_006 ET CTP_I_007 ET CTP_I_008 ET CTP_I_009 ET CTP_I_010 ET CTP_I_011 ET CTP_I_002 ET CTP_I_014 ET CTP_D_001 ET CTP_D_002 ET CTP_D_003 ET ABS_C_001 ET ABS_C_002 ET ABS_C_003 ET ABS_C_004 ET ABS_C_019 ET ABS_C_020 ET ABS_C_026</t>
  </si>
  <si>
    <t>CTP_I_001</t>
  </si>
  <si>
    <t>L'agent peut bénéficier du congé si l'administration envisage de supprimer son emploi en cas de restructuration de son service, dont le périmètre et la durée sont définis par arrêté.</t>
  </si>
  <si>
    <t>CTP_I_003</t>
  </si>
  <si>
    <t>Le comité social d'administration compétent est consulté sur la mise en place du congé.</t>
  </si>
  <si>
    <t>CTP_I_004</t>
  </si>
  <si>
    <t>Le congé peut être fractionné en mois, semaines ou journées.</t>
  </si>
  <si>
    <t>CTP_I_005</t>
  </si>
  <si>
    <t>Le congé permet à l'agent de suivre une formation d'une durée égale ou supérieure à 120 heures sanctionnée par une certification professionnelle ou à 70 heures pour accompagner ou conseiller les créateurs ou repreneurs d'entreprises.</t>
  </si>
  <si>
    <t>CTP_I_006</t>
  </si>
  <si>
    <t>L'agent doit effectuer une demande.</t>
  </si>
  <si>
    <t>CTP_I_007</t>
  </si>
  <si>
    <t>La demande de congé précise la nature de la formation, sa durée, le nom de l'organisme qui la dispense et l'objectif professionnel visé.</t>
  </si>
  <si>
    <t>CTP_I_008</t>
  </si>
  <si>
    <t>L'administration informe l'agent de sa réponse par écrit dans le délai de 30 jours suivant la réception de la demande.</t>
  </si>
  <si>
    <t>CTP_I_009</t>
  </si>
  <si>
    <t>La décision de rejet du congé doit être motivée.</t>
  </si>
  <si>
    <t>CTP_I_010</t>
  </si>
  <si>
    <t>Le bénéfice du congé peut être différé dans l'intérêt du service.</t>
  </si>
  <si>
    <t>CTP_I_011</t>
  </si>
  <si>
    <t>L'agent transmet les attestations établies par l'organisme de formation, justifiant son assiduité à l'action de formation, sinon il perd le bénéfice de ce congé.</t>
  </si>
  <si>
    <t>CTP_I_002</t>
  </si>
  <si>
    <t>Si le projet professionnel nécessite des actions de formation dont la durée totale est supérieure à 12 mois, alors le congé est prolongé en un congé de formation professionnelle pour une durée cumulée ne pouvant excéder 3 ans.</t>
  </si>
  <si>
    <t>CTP_I_014</t>
  </si>
  <si>
    <t>Le silence gardé par l'administration à l'issue de ce délai vaut rejet de la demande.</t>
  </si>
  <si>
    <t>CTP_D_001</t>
  </si>
  <si>
    <t>L'agent doit être en activité.</t>
  </si>
  <si>
    <t>CTP_D_002</t>
  </si>
  <si>
    <t>Le congé est accordé pour une durée maximale de 12 mois.</t>
  </si>
  <si>
    <t>CTP_D_003</t>
  </si>
  <si>
    <t>La demande de congé doit être formulée au moins 60 jours avant la date de début de la formation liée au congé.</t>
  </si>
  <si>
    <t>ABS_C_001</t>
  </si>
  <si>
    <t>La date de début du congé/absence doit être postérieure ou égale à la date de recrutement dans la FPE ou dans la carrière militaire.</t>
  </si>
  <si>
    <t>ABS_C_002</t>
  </si>
  <si>
    <t>La date de début du congé/absence doit être postérieure ou égale à la date de début du lien juridique.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</si>
  <si>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</si>
  <si>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</si>
  <si>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</si>
  <si>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</si>
  <si>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</si>
  <si>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</si>
  <si>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</si>
  <si>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</si>
  <si>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</si>
  <si>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</si>
  <si>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22.00.00</t>
  </si>
  <si>
    <t>M</t>
  </si>
  <si>
    <t>T2010</t>
  </si>
  <si>
    <t>Congé de transition professionnelle - Fin</t>
  </si>
  <si>
    <t>Modification</t>
  </si>
  <si>
    <t>CTP_I_012 ET CTP_D_002 ET ABS_C_005 ET ABS_C_006 ET ABS_C_007 ET ABS_C_008 ET ABS_C_009</t>
  </si>
  <si>
    <t>CTP_I_012</t>
  </si>
  <si>
    <t>Le congé s'achève avant le terme de la période de restructuration sauf si l'agent a débuté sa formation moins de 12 mois avant ce terme du fait d'une décision de report dans l'intérêt du service.</t>
  </si>
  <si>
    <t>ABS_C_005</t>
  </si>
  <si>
    <t>La date de fin réelle du congé/absence doit être antérieure ou égale à la date limite de fin réelle ou prévisionnelle du lien juridique.</t>
  </si>
  <si>
    <t>ABS_C_006</t>
  </si>
  <si>
    <t>La date de fin prévisionnelle du congé/absence doit être antérieure ou égale à la date limite de fin réelle ou prévisionnelle du lien juridique.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</si>
  <si>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</si>
  <si>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</si>
  <si>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</si>
  <si>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</si>
  <si>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</si>
  <si>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</si>
  <si>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22.10.00</t>
  </si>
  <si>
    <t>Militaire</t>
  </si>
  <si>
    <t>P0002</t>
  </si>
  <si>
    <t>Exclu</t>
  </si>
  <si>
    <t>Contractuel</t>
  </si>
  <si>
    <t>P0003</t>
  </si>
  <si>
    <t>CTP_I_001 ET CTP_I_003 ET CTP_I_004 ET CTP_I_005 ET CTP_I_006 ET CTP_I_007 ET CTP_I_008 ET CTP_I_009 ET CTP_I_010 ET CTP_I_011 ET CTP_I_002 ET CTP_I_014 ET CTP_D_001 ET CTP_D_004 ET CTP_D_003 ET CTP_D_005 ET ABS_C_001 ET ABS_C_002 ET ABS_C_003 ET ABS_C_004 ET ABS_C_019 ET ABS_C_020 ET ABS_C_026</t>
  </si>
  <si>
    <t>CTP_D_004</t>
  </si>
  <si>
    <t>CTP_D_005</t>
  </si>
  <si>
    <t>Les agents contractuels recrutés pour une durée indéterminée bénéficient du congé.</t>
  </si>
  <si>
    <t>CTP_I_001 ET CTP_I_003 ET CTP_I_004 ET CTP_I_005 ET CTP_I_006 ET CTP_I_007 ET CTP_I_008 ET CTP_I_009 ET CTP_I_010 ET CTP_I_011 ET CTP_I_002 ET CTP_I_014 ET CTP_D_001 ET CTP_D_004 ET CTP_D_003 ET CTP_D_006 ET ABS_C_001 ET ABS_C_002 ET ABS_C_003 ET ABS_C_004 ET ABS_C_019 ET ABS_C_020 ET ABS_C_026</t>
  </si>
  <si>
    <t>CTP_D_006</t>
  </si>
  <si>
    <t>CTP_I_012 ET CTP_D_004 ET ABS_C_005 ET ABS_C_006 ET ABS_C_007 ET ABS_C_008 ET ABS_C_009</t>
  </si>
  <si>
    <t>Stagiaire ou auditeur ou élève</t>
  </si>
  <si>
    <t>P0004</t>
  </si>
  <si>
    <t>CTP_I_001 ET CTP_I_003 ET CTP_I_004 ET CTP_I_005 ET CTP_I_006 ET CTP_I_007 ET CTP_I_008 ET CTP_I_009 ET CTP_I_010 ET CTP_I_011 ET CTP_I_013 ET CTP_I_014 ET CTP_D_001 ET CTP_D_004 ET CTP_D_003 ET ABS_C_001 ET ABS_C_002 ET ABS_C_003 ET ABS_C_004 ET ABS_C_019 ET ABS_C_020 ET ABS_C_026</t>
  </si>
  <si>
    <t>CTP_I_013</t>
  </si>
  <si>
    <t>L'agent ne bénéficiant pas du congé de formation professionnelle, ne peut pas voir son congé de transition professionnelle prolongé au-delà des 12 mois.</t>
  </si>
  <si>
    <t>Ouvrier d'état</t>
  </si>
  <si>
    <t>P0005</t>
  </si>
  <si>
    <t>CTP_I_001 ET CTP_I_003 ET CTP_I_004 ET CTP_I_005 ET CTP_I_006 ET CTP_I_007 ET CTP_I_008 ET CTP_I_009 ET CTP_I_010 ET CTP_I_011 ET CTP_I_002 ET CTP_I_014 ET CTP_D_001 ET CTP_D_004 ET CTP_D_003 ET ABS_C_001 ET ABS_C_002 ET ABS_C_003 ET ABS_C_004 ET ABS_C_019 ET ABS_C_020 ET ABS_C_026</t>
  </si>
  <si>
    <t>Magistrat de l'ordre judiciaire</t>
  </si>
  <si>
    <t>P0007</t>
  </si>
  <si>
    <t>Particulier</t>
  </si>
  <si>
    <t>Auditeur de justice</t>
  </si>
  <si>
    <t>P0009</t>
  </si>
  <si>
    <t>Conseiller ou avocat général à la Cour de cassation en service extraordinaire</t>
  </si>
  <si>
    <t>P0046</t>
  </si>
  <si>
    <t>Personnel civil payé à l'acte ou à la tâche</t>
  </si>
  <si>
    <t>P0054</t>
  </si>
  <si>
    <t>Contractuel de droit privé</t>
  </si>
  <si>
    <t>P0072</t>
  </si>
  <si>
    <t>Ouvrier de la défense auxiliaire non affilié ou temporaire non mensualisé</t>
  </si>
  <si>
    <t>P0182</t>
  </si>
  <si>
    <t>25.10.00</t>
  </si>
  <si>
    <t>Ouvrier des parcs et ateliers confirmé non affilié ou stagiaire</t>
  </si>
  <si>
    <t>P0185</t>
  </si>
  <si>
    <t>2025-119</t>
  </si>
  <si>
    <t>CTP_I_034 ET CTP_I_001 ET CTP_I_003 ET CTP_I_004 ET CTP_I_005 ET CTP_I_006 ET CTP_I_007 ET CTP_I_008 ET CTP_I_009 ET CTP_I_010 ET CTP_I_011 ET CTP_I_002 ET CTP_I_014 ET CTP_D_001 ET CTP_D_004 ET CTP_D_003 ET ABS_C_001 ET ABS_C_002 ET ABS_C_003 ET ABS_C_004 ET ABS_C_019 ET ABS_C_020 ET ABS_C_026</t>
  </si>
  <si>
    <t>CTP_I_034</t>
  </si>
  <si>
    <t>L'agent bénéficie des dispositions applicables aux agents ouvriers affiliés pour le congé de transition professionnelle.</t>
  </si>
  <si>
    <t>CTP_I_034 ET CTP_I_012 ET CTP_D_004 ET ABS_C_005 ET ABS_C_006 ET ABS_C_007 ET ABS_C_008 ET ABS_C_009</t>
  </si>
  <si>
    <t>Ouvrier du service des alcools confirmé non affilié</t>
  </si>
  <si>
    <t>P0221</t>
  </si>
  <si>
    <t>E0913</t>
  </si>
  <si>
    <t>Congé de transition professionnelle aménagé</t>
  </si>
  <si>
    <t>Type de congé/absence saisi = 'Congé de transition professionnelle aménagé'</t>
  </si>
  <si>
    <t>A_COA_TYCOAB [Saisi] = 'CF020'</t>
  </si>
  <si>
    <t>T2231</t>
  </si>
  <si>
    <t>Congé de transition professionnelle aménagé - Demande</t>
  </si>
  <si>
    <t>CTP_I_018 ET CTP_I_021 ET CTP_I_024 ET CTP_I_027 ET CTP_I_030 ET CTP_I_003 ET CTP_I_004 ET CTP_I_005 ET CTP_I_006 ET CTP_I_007 ET CTP_I_015 ET CTP_I_009 ET CTP_I_010 ET CTP_I_011 ET CTP_I_002 ET CTP_D_001 ET CTP_D_002 ET CTP_D_007 ET ABS_C_001 ET ABS_C_002 ET ABS_C_003 ET ABS_C_004 ET ABS_C_019 ET ABS_C_020 ET ABS_C_026</t>
  </si>
  <si>
    <t>CTP_I_018</t>
  </si>
  <si>
    <t>Soit l'agent doit appartenir à un corps ou à un cadre d'emplois de catégorie C et ne pas avoir atteint un niveau de formation sanctionné par un diplôme ou un titre professionnel correspondant à un niveau requis.</t>
  </si>
  <si>
    <t>CTP_I_021</t>
  </si>
  <si>
    <t>Le niveau de formation requis est sanctionné par un diplôme ou un titre professionnel enregistré et classé au niveau 4 au sens du répertoire national des certifications professionnelles.</t>
  </si>
  <si>
    <t>CTP_I_024</t>
  </si>
  <si>
    <t>Soit l'agent doit être en situation de handicap.</t>
  </si>
  <si>
    <t>CTP_I_027</t>
  </si>
  <si>
    <t>Soit l'agent doit avoir été particulièrement exposé, compte tenu de sa situation professionnelle individuelle, à un risque d'usure professionnelle, constaté, après avis du médecin du travail compétent.</t>
  </si>
  <si>
    <t>CTP_I_030</t>
  </si>
  <si>
    <t>L'agent peut bénéficier du congé afin de suivre une action ou un parcours de formation en vue d'exercer un nouveau métier au sein du secteur public ou du secteur privé.</t>
  </si>
  <si>
    <t>CTP_I_015</t>
  </si>
  <si>
    <t>L'administration informe l'agent de sa réponse par écrit dans le délai de 2 mois suivant la réception de la demande.</t>
  </si>
  <si>
    <t>CTP_D_007</t>
  </si>
  <si>
    <t>La demande de congé doit être formulée au moins 3 mois avant la date de début de la formation liée au congé.</t>
  </si>
  <si>
    <t>T2232</t>
  </si>
  <si>
    <t>Congé de transition professionnelle aménagé - Fin</t>
  </si>
  <si>
    <t>CTP_D_002 ET ABS_C_005 ET ABS_C_006 ET ABS_C_007 ET ABS_C_008 ET ABS_C_009</t>
  </si>
  <si>
    <t>CTP_I_020 ET CTP_I_023 ET CTP_I_026 ET CTP_I_029 ET CTP_I_032 ET CTP_I_003 ET CTP_I_004 ET CTP_I_005 ET CTP_I_006 ET CTP_I_007 ET CTP_I_017 ET CTP_I_009 ET CTP_I_010 ET CTP_I_011 ET CTP_I_002 ET CTP_D_001 ET CTP_D_004 ET CTP_D_009 ET ABS_C_001 ET ABS_C_002 ET ABS_C_003 ET ABS_C_004 ET ABS_C_019 ET ABS_C_020 ET ABS_C_026</t>
  </si>
  <si>
    <t>CTP_I_020</t>
  </si>
  <si>
    <t>Soit l'agent doit occuper un emploi de niveau de catégorie C et ne pas avoir atteint un niveau de formation sanctionné par un diplôme ou un titre professionnel correspondant à un niveau requis.</t>
  </si>
  <si>
    <t>CTP_I_023</t>
  </si>
  <si>
    <t>CTP_I_026</t>
  </si>
  <si>
    <t>CTP_I_029</t>
  </si>
  <si>
    <t>CTP_I_032</t>
  </si>
  <si>
    <t>CTP_I_017</t>
  </si>
  <si>
    <t>CTP_D_009</t>
  </si>
  <si>
    <t>CTP_D_004 ET ABS_C_005 ET ABS_C_006 ET ABS_C_007 ET ABS_C_008 ET ABS_C_009</t>
  </si>
  <si>
    <t>CTP_I_033 ET CTP_I_018 ET CTP_I_021 ET CTP_I_024 ET CTP_I_027 ET CTP_I_030 ET CTP_I_003 ET CTP_I_004 ET CTP_I_005 ET CTP_I_006 ET CTP_I_007 ET CTP_I_015 ET CTP_I_009 ET CTP_I_010 ET CTP_I_011 ET CTP_I_002 ET CTP_D_001 ET CTP_D_004 ET CTP_D_007 ET ABS_C_001 ET ABS_C_002 ET ABS_C_003 ET ABS_C_004 ET ABS_C_019 ET ABS_C_020 ET ABS_C_026</t>
  </si>
  <si>
    <t>CTP_I_033</t>
  </si>
  <si>
    <t>L'agent bénéficie des dispositions applicables aux agents titulaires pour le congé de transition professionnelle aménagé, sauf dispositions particulières.</t>
  </si>
  <si>
    <t>2025-118</t>
  </si>
  <si>
    <t>CTP_I_033 ET CTP_D_002 ET ABS_C_005 ET ABS_C_006 ET ABS_C_007 ET ABS_C_008 ET ABS_C_009</t>
  </si>
  <si>
    <t>CTP_I_035 ET CTP_I_020 ET CTP_I_023 ET CTP_I_026 ET CTP_I_029 ET CTP_I_032 ET CTP_I_003 ET CTP_I_004 ET CTP_I_005 ET CTP_I_006 ET CTP_I_007 ET CTP_I_017 ET CTP_I_009 ET CTP_I_010 ET CTP_I_011 ET CTP_I_002 ET CTP_D_001 ET CTP_D_004 ET CTP_D_009 ET ABS_C_001 ET ABS_C_002 ET ABS_C_003 ET ABS_C_004 ET ABS_C_019 ET ABS_C_020 ET ABS_C_026</t>
  </si>
  <si>
    <t>CTP_I_035</t>
  </si>
  <si>
    <t>L'agent bénéficie des dispositions applicables aux agents ouvriers affiliés pour le congé de transition professionnelle aménagé.</t>
  </si>
  <si>
    <t>CTP_I_035 ET CTP_D_004 ET ABS_C_005 ET ABS_C_006 ET ABS_C_007 ET ABS_C_008 ET ABS_C_009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</si>
  <si>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</si>
  <si>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</si>
  <si>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</si>
  <si>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</si>
  <si>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</si>
  <si>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</si>
  <si>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</si>
  <si>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</si>
  <si>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</si>
  <si>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</si>
  <si>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</si>
  <si>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</si>
  <si>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</si>
  <si>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</si>
  <si>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</si>
  <si>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Identifiant Impacts 8</t>
  </si>
  <si>
    <t>Libellé Impacts 8</t>
  </si>
  <si>
    <t>CTP_P_001 ET CTP_P_004 ET CTP_P_009 ET CTP_P_010 ET CTP_P_013 ET CTP_P_015</t>
  </si>
  <si>
    <t>CTP_P_001</t>
  </si>
  <si>
    <t>Rémunération : L'agent perçoit son traitement brut, 80 % du régime indemnitaire dont il bénéficiait à la date du placement en congé sauf dérogation prévue par le texte et le cas échéant, l'indemnité de résidence et le supplément familial de traitement.</t>
  </si>
  <si>
    <t>CTP_P_004</t>
  </si>
  <si>
    <t>Carrière : L'agent conserve ses droits à l'avancement d'échelon et à l'avancement de grade en totalité. La durée du congé est prise en compte comme service effectif.</t>
  </si>
  <si>
    <t>CTP_P_009</t>
  </si>
  <si>
    <t>Congés annuels : L'agent conserve son droit à congé annuel.</t>
  </si>
  <si>
    <t>CTP_P_010</t>
  </si>
  <si>
    <t>Congés maladie : L'agent conserve ses droits à congés de maladie ordinaire, de longue maladie, de longue durée, pour invalidité temporaire imputable au service.</t>
  </si>
  <si>
    <t>CTP_P_013</t>
  </si>
  <si>
    <t>Retraite : Ce congé est considéré comme une période d'activité pour la retraite.</t>
  </si>
  <si>
    <t>CTP_P_015</t>
  </si>
  <si>
    <t>Acte : Un acte administratif doit être produit.</t>
  </si>
  <si>
    <t>CTP_P_002 ET CTP_P_006 ET CTP_P_009 ET CTP_P_011 ET CTP_P_013 ET CTP_P_015</t>
  </si>
  <si>
    <t>CTP_P_002</t>
  </si>
  <si>
    <t>Rémunération : L'agent perçoit sa rémunération, le cas échéant, l'indemnité de résidence et le supplément familial de traitement.</t>
  </si>
  <si>
    <t>CTP_P_006</t>
  </si>
  <si>
    <t>Carrière : La période de congé de transition professionnelle est prise en compte comme service effectif.</t>
  </si>
  <si>
    <t>CTP_P_011</t>
  </si>
  <si>
    <t>Congés maladie : L'agent conserve ses droits à congés de maladie ordinaire, de grave maladie, pour accident du travail ou maladie professionnelle.</t>
  </si>
  <si>
    <t>CTP_P_001 ET CTP_P_005 ET CTP_P_007 ET CTP_P_008 ET CTP_P_009 ET CTP_P_010 ET CTP_P_013 ET CTP_P_015</t>
  </si>
  <si>
    <t>CTP_P_005</t>
  </si>
  <si>
    <t>Carrière : L'agent conserve ses droits à l'avancement d'échelon en totalité. La durée du congé est prise en compte comme service effectif.</t>
  </si>
  <si>
    <t>CTP_P_007</t>
  </si>
  <si>
    <t>Stage : La durée du stage est prolongée pour la période du congés excédant 1/10ème de la durée statutaire du stage. Pour un stage de 1 an, les jours de congé pris à partir du 37ème jour repoussent d'autant la date de fin de stage.</t>
  </si>
  <si>
    <t>CTP_P_008</t>
  </si>
  <si>
    <t>Titularisation : Si ce congé a entrainé une prolongation du stage, la titularisation de l'agent est repoussée au lendemain de la date de fin de stage.</t>
  </si>
  <si>
    <t>CTP_P_003 ET CTP_P_006 ET CTP_P_009 ET CTP_P_012 ET CTP_P_014 ET CTP_P_015</t>
  </si>
  <si>
    <t>CTP_P_003</t>
  </si>
  <si>
    <t>Rémunération : L'agent perçoit son salaire.</t>
  </si>
  <si>
    <t>CTP_P_012</t>
  </si>
  <si>
    <t>Congés maladie : L'agent conserve ses droits à congés de maladie ordinaire, de longue maladie, pour accident de service ou maladie professionnelle, de longue durée.</t>
  </si>
  <si>
    <t>CTP_P_014</t>
  </si>
  <si>
    <t>Retraite : La durée de ce congé est prise en compte pour la constitution du droit à pension et la liquidation de celle-ci.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</si>
  <si>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</si>
  <si>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</si>
  <si>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</si>
  <si>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</si>
  <si>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</si>
  <si>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</si>
  <si>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</si>
  <si>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</si>
  <si>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</si>
  <si>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</si>
  <si>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</si>
  <si>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</si>
  <si>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</si>
  <si>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</si>
  <si>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</si>
  <si>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</si>
  <si>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</si>
  <si>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INTABS0110</t>
  </si>
  <si>
    <t>Congé de transition professionnelle (C)</t>
  </si>
  <si>
    <t>En cours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</si>
  <si>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</si>
  <si>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</si>
  <si>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</si>
  <si>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</si>
  <si>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</si>
  <si>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</si>
  <si>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</si>
  <si>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</si>
  <si>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</si>
  <si>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</si>
  <si>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</si>
  <si>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</si>
  <si>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</si>
  <si>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2019-1441 A9</t>
  </si>
  <si>
    <t>A_POS_POSIAD [Dossier] = POSITION_SITUATION.R_FOR_IDEN05 ET (POSITION_SITUATION.R_REL_PSSAG2 DANS ('ACI','HCA','MAD','DEL','MDE','MLD') OU (POSITION_SITUATION.R_REL_PSSAG1 DANS ('DEE00', 'DES00')))</t>
  </si>
  <si>
    <t>Bloquant</t>
  </si>
  <si>
    <t>P0185 - P0001 / P0003 / P0004 / P0005 - E0813 / E0913</t>
  </si>
  <si>
    <t>x</t>
  </si>
  <si>
    <t>Code général de la fonction publique L442-4 / Décret 2019-1441 A7</t>
  </si>
  <si>
    <t>A_COA_TYPCOF [Saisi] = 'CF016' ET A_COA_DTOCOF [Saisi] &lt;= 00/12/00</t>
  </si>
  <si>
    <t>P0001 / P0004 - E0813 / E0913</t>
  </si>
  <si>
    <t>Décret 2019-1441 A8</t>
  </si>
  <si>
    <t>SI A_COA_DADECA [Saisi] &lt;&gt; Vide</t>
  </si>
  <si>
    <t>A_COA_DADBCA [Saisi] - A_COA_DADECA [Saisi] &gt;= 60 JOUR</t>
  </si>
  <si>
    <t>P0185 - P0001 / P0003 / P0004 / P0005 - E0813</t>
  </si>
  <si>
    <t>Décret 2019-1441 A7</t>
  </si>
  <si>
    <t>P0185 - P0003 / P0004 / P0005 - E0813 / E0913</t>
  </si>
  <si>
    <t>Décret 2019-1441 A2</t>
  </si>
  <si>
    <t>A_CAR_TYPCOT [Dossier] = 'TC02'</t>
  </si>
  <si>
    <t>P0003 - E0813</t>
  </si>
  <si>
    <t>L'agent doit être en contrat à durée indéterminée.</t>
  </si>
  <si>
    <t>Décret 2019-1441 A2 / Décret 86-83 A50</t>
  </si>
  <si>
    <t>Code général de la fonction publique L422-3 / Décret 2019-1441 A8 / Décret 2007-1470 A18-1</t>
  </si>
  <si>
    <t>A_COA_DADBCA [Saisi] - A_COA_DADECA [Saisi] &gt;= 3 MOIS</t>
  </si>
  <si>
    <t>P0001 / P0004 - E0913</t>
  </si>
  <si>
    <t>Code général de la fonction publique L422-3 / Décret 2019-1441 A8 / Décret 2007-1470 A18-1 / Décret 2007-1942 A10-1</t>
  </si>
  <si>
    <t>P0185 - P0003 / P0005 - E0913</t>
  </si>
  <si>
    <t>17.10.00</t>
  </si>
  <si>
    <t>Contrôle</t>
  </si>
  <si>
    <t>A_COA_DADBCA [Saisi] &gt;= A_SAP_DENFPE [Dossier]</t>
  </si>
  <si>
    <t>A_COA_DADBCA [Saisi] &gt;= A_CAR_DDLIJU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</si>
  <si>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</si>
  <si>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</si>
  <si>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</si>
  <si>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</si>
  <si>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SI A_CAR_TYPCOT [Dossier] = 'TC01' ET A_COA_DFRECA [Saisi] &lt;&gt; Vide</t>
  </si>
  <si>
    <t>A_COA_DFRECA [Saisi] &lt;= [Date limite de fin réelle ou prévisionnelle du lien juridique]</t>
  </si>
  <si>
    <t>SI A_CAR_TYPCOT [Dossier] = 'TC01' ET A_COA_DFRECA [Saisi] = Vide ET A_COA_DAFIPR [Saisi] &lt;&gt; Vide</t>
  </si>
  <si>
    <t>A_COA_DAFIPR [Saisi] &lt;= [Date limite de fin réelle ou prévisionnelle du lien juridique]</t>
  </si>
  <si>
    <t>A_COA_DFRECA [Saisi] &lt; A_SAP_DLDPRE [Dossier]</t>
  </si>
  <si>
    <t>Non Bloquant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</si>
  <si>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</si>
  <si>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</si>
  <si>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</si>
  <si>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</si>
  <si>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</si>
  <si>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</si>
  <si>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</si>
  <si>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</si>
  <si>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</si>
  <si>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Intellectuel</t>
  </si>
  <si>
    <t>Décret 2019-1441 A1 et A6</t>
  </si>
  <si>
    <t>L'agent peut bénéficier du congé en cas de restructuration de son service.</t>
  </si>
  <si>
    <t>Si le projet professionnel nécessite des actions de formation dont la durée totale est supérieure à 12 mois, alors le congé devient un congé de formation professionnelle pour une durée cumulée ne pouvant excéder 3 ans.</t>
  </si>
  <si>
    <t>Décret 2019-1441 A6</t>
  </si>
  <si>
    <t>Décret 2019-1441 A11</t>
  </si>
  <si>
    <t>P0004 - E0813 / E0913</t>
  </si>
  <si>
    <t>Code général de la fonction publique L422-3 / Décret 2007-1470 A18-1</t>
  </si>
  <si>
    <t>Code général de la fonction publique L422-3 / Décret 2007-1470 A18-1 / Décret 2007-1942 A10-1</t>
  </si>
  <si>
    <t>Code général de la fonction publique L422-3 / Décret 2022-1043 A1 / Décret 2007-1470 A18-1</t>
  </si>
  <si>
    <t>Code général de la fonction publique L422-3 / Décret 2022-1043 A1 / Décret 2007-1470 A18-1 / Décret 2007-1942 A10-1</t>
  </si>
  <si>
    <t>Code général de la fonction publique L422-3 | L131-8 / Décret 2007-1470 A18-1</t>
  </si>
  <si>
    <t>Code général de la fonction publique L422-3 | L131-8 / Décret 2007-1470 A18-1 / Décret 2007-1942 A10-1</t>
  </si>
  <si>
    <t>Code général de la fonction publique R327-2 / Code général de la fonction publique L422-3 / Décret 2007-1470 A18-1</t>
  </si>
  <si>
    <t>P0004 - E0913 - Demande/ Fin</t>
  </si>
  <si>
    <t>Code général de la fonction publique L442-4 / Décret 2019-1441 A6 / Décret 65-382 A8-2</t>
  </si>
  <si>
    <t>P0185 - E0813 - Demande / Fin</t>
  </si>
  <si>
    <t>Code général de la fonction publique L422-3 / Décret 2019-1441  / Décret 2007-1470 A18-1 / Décret 65-382 A8-2</t>
  </si>
  <si>
    <t>P0185 - E0913 - Demande / Fin</t>
  </si>
  <si>
    <t>Impact</t>
  </si>
  <si>
    <t>P0001 / P0004 - E0813 / E0913 - Rémunération</t>
  </si>
  <si>
    <t>P0003 - E0813 / E0913 - Rémunération</t>
  </si>
  <si>
    <t>P0005 - E0813 / E0913 - Rémunération</t>
  </si>
  <si>
    <t>P0001 - E0813 / E0913 - Carrière</t>
  </si>
  <si>
    <t>P0004 - E0813 / E0913 - Carrière</t>
  </si>
  <si>
    <t>P0003 / P0005 - E0813 / E0913 - Carrière</t>
  </si>
  <si>
    <t>20.10.00</t>
  </si>
  <si>
    <t>P0004 - E0813 / E0913 - Stage</t>
  </si>
  <si>
    <t>P0004 - E0813 / E0913 - Titularisation</t>
  </si>
  <si>
    <t>P0001 / P0003 / P0004 / P0005 - E0813 / E0913 - Congés annuels</t>
  </si>
  <si>
    <t>P0001 / P0004 - E0813 / E0913 - Maladie</t>
  </si>
  <si>
    <t>P0003 - E0813 / E0913 - Maladie</t>
  </si>
  <si>
    <t>P0005 - E0813 / E0913 - Maladie</t>
  </si>
  <si>
    <t>P0001 / P0003 / P0004 - E0813 / E0913 - Retraite</t>
  </si>
  <si>
    <t>P0005 - E0813 / E0913 - Retraite</t>
  </si>
  <si>
    <t>P0001 / P0003 / P0004 / P0005 - E0813 / E0913 - Acte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</si>
</sst>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1" xfId="0" quotePrefix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A65B-94C3-4F35-AF5A-2B9B1E9B6A32}">
  <sheetPr codeName="Feuil2"/>
  <dimension ref="A1:AG425"/>
  <sheetViews>
    <sheetView tabSelected="1" zoomScaleNormal="100" workbookViewId="0">
      <selection activeCell="B2" sqref="B2"/>
    </sheetView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AC5E-F781-4A41-94CF-48B13B298C7D}">
  <dimension ref="A1:CA300"/>
  <sheetViews>
    <sheetView workbookViewId="0">
      <pane ySplit="1" topLeftCell="A2" activePane="bottomLeft" state="frozenSplit"/>
      <selection pane="bottomLeft" activeCell="CD54" sqref="CD54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15.6328125" style="18" customWidth="1"/>
    <col min="61" max="61" width="25.6328125" style="17" customWidth="1"/>
    <col min="62" max="62" width="15.6328125" style="18" customWidth="1"/>
    <col min="63" max="63" width="25.6328125" style="17" customWidth="1"/>
    <col min="64" max="64" width="15.6328125" style="18" customWidth="1"/>
    <col min="65" max="65" width="25.6328125" style="17" customWidth="1"/>
    <col min="66" max="66" width="15.6328125" style="18" customWidth="1"/>
    <col min="67" max="67" width="25.6328125" style="17" customWidth="1"/>
    <col min="68" max="68" width="15.6328125" style="18" customWidth="1"/>
    <col min="69" max="69" width="25.6328125" style="17" customWidth="1"/>
    <col min="70" max="70" width="15.6328125" style="18" customWidth="1"/>
    <col min="71" max="71" width="25.6328125" style="17" customWidth="1"/>
    <col min="72" max="72" width="15.6328125" style="18" customWidth="1"/>
    <col min="73" max="73" width="25.6328125" style="17" customWidth="1"/>
    <col min="74" max="74" width="15.6328125" style="18" customWidth="1"/>
    <col min="75" max="75" width="25.6328125" style="17" customWidth="1"/>
    <col min="76" max="76" width="15.6328125" style="18" customWidth="1"/>
    <col min="77" max="77" width="25.6328125" style="17" customWidth="1"/>
    <col min="78" max="78" width="9.6328125" style="18" customWidth="1"/>
    <col min="79" max="79" width="15.6328125" style="17" customWidth="1"/>
    <col min="80" max="16384" width="10.90625" style="12"/>
  </cols>
  <sheetData>
    <row r="1" spans="1:7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  <c r="BX1" s="10" t="s">
        <v>76</v>
      </c>
      <c r="BY1" s="10" t="s">
        <v>77</v>
      </c>
      <c r="BZ1" s="10" t="s">
        <v>78</v>
      </c>
      <c r="CA1" s="10" t="s">
        <v>79</v>
      </c>
    </row>
    <row r="2" spans="1:79" ht="130.5" x14ac:dyDescent="0.35">
      <c r="A2" s="13" t="s">
        <v>80</v>
      </c>
      <c r="B2" s="13" t="s">
        <v>81</v>
      </c>
      <c r="C2" s="14">
        <v>43899.684027777781</v>
      </c>
      <c r="D2" s="13" t="s">
        <v>82</v>
      </c>
      <c r="E2" s="15" t="s">
        <v>83</v>
      </c>
      <c r="F2" s="13" t="s">
        <v>84</v>
      </c>
      <c r="G2" s="15" t="s">
        <v>85</v>
      </c>
      <c r="H2" s="13" t="s">
        <v>86</v>
      </c>
      <c r="I2" s="15" t="s">
        <v>85</v>
      </c>
      <c r="J2" s="15" t="s">
        <v>87</v>
      </c>
      <c r="K2" s="15" t="s">
        <v>88</v>
      </c>
      <c r="L2" s="13" t="s">
        <v>89</v>
      </c>
      <c r="M2" s="15" t="s">
        <v>90</v>
      </c>
      <c r="N2" s="13" t="s">
        <v>91</v>
      </c>
      <c r="O2" s="15"/>
      <c r="P2" s="15"/>
      <c r="Q2" s="15" t="s">
        <v>92</v>
      </c>
      <c r="R2" s="13" t="s">
        <v>93</v>
      </c>
      <c r="S2" s="13" t="s">
        <v>94</v>
      </c>
      <c r="T2" s="13" t="s">
        <v>95</v>
      </c>
      <c r="U2" s="14">
        <v>43826</v>
      </c>
      <c r="V2" s="14"/>
      <c r="W2" s="15" t="s">
        <v>96</v>
      </c>
      <c r="X2" s="13" t="s">
        <v>97</v>
      </c>
      <c r="Y2" s="15" t="str">
        <f>VLOOKUP(X2,'Axe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Z2" s="13" t="s">
        <v>99</v>
      </c>
      <c r="AA2" s="15" t="str">
        <f>VLOOKUP(Z2,'Axe 2 Règles de gestion'!$D$2:$F$65,3, FALSE)</f>
        <v>Le comité social d'administration compétent est consulté sur la mise en place du congé.</v>
      </c>
      <c r="AB2" s="13" t="s">
        <v>101</v>
      </c>
      <c r="AC2" s="15" t="str">
        <f>VLOOKUP(AB2,'Axe 2 Règles de gestion'!$D$2:$F$65,3, FALSE)</f>
        <v>Le congé peut être fractionné en mois, semaines ou journées.</v>
      </c>
      <c r="AD2" s="13" t="s">
        <v>103</v>
      </c>
      <c r="AE2" s="15" t="str">
        <f>VLOOKUP(AD2,'Axe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F2" s="13" t="s">
        <v>105</v>
      </c>
      <c r="AG2" s="15" t="str">
        <f>VLOOKUP(AF2,'Axe 2 Règles de gestion'!$D$2:$F$65,3, FALSE)</f>
        <v>L'agent doit effectuer une demande.</v>
      </c>
      <c r="AH2" s="13" t="s">
        <v>107</v>
      </c>
      <c r="AI2" s="15" t="str">
        <f>VLOOKUP(AH2,'Axe 2 Règles de gestion'!$D$2:$F$65,3, FALSE)</f>
        <v>La demande de congé précise la nature de la formation, sa durée, le nom de l'organisme qui la dispense et l'objectif professionnel visé.</v>
      </c>
      <c r="AJ2" s="13" t="s">
        <v>109</v>
      </c>
      <c r="AK2" s="15" t="str">
        <f>VLOOKUP(AJ2,'Axe 2 Règles de gestion'!$D$2:$F$65,3, FALSE)</f>
        <v>L'administration informe l'agent de sa réponse par écrit dans le délai de 30 jours suivant la réception de la demande.</v>
      </c>
      <c r="AL2" s="13" t="s">
        <v>111</v>
      </c>
      <c r="AM2" s="15" t="str">
        <f>VLOOKUP(AL2,'Axe 2 Règles de gestion'!$D$2:$F$65,3, FALSE)</f>
        <v>La décision de rejet du congé doit être motivée.</v>
      </c>
      <c r="AN2" s="13" t="s">
        <v>113</v>
      </c>
      <c r="AO2" s="15" t="str">
        <f>VLOOKUP(AN2,'Axe 2 Règles de gestion'!$D$2:$F$65,3, FALSE)</f>
        <v>Le bénéfice du congé peut être différé dans l'intérêt du service.</v>
      </c>
      <c r="AP2" s="13" t="s">
        <v>115</v>
      </c>
      <c r="AQ2" s="15" t="str">
        <f>VLOOKUP(AP2,'Axe 2 Règles de gestion'!$D$2:$F$65,3, FALSE)</f>
        <v>L'agent transmet les attestations établies par l'organisme de formation, justifiant son assiduité à l'action de formation, sinon il perd le bénéfice de ce congé.</v>
      </c>
      <c r="AR2" s="13" t="s">
        <v>117</v>
      </c>
      <c r="AS2" s="15" t="str">
        <f>VLOOKUP(AR2,'Axe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T2" s="13" t="s">
        <v>119</v>
      </c>
      <c r="AU2" s="15" t="str">
        <f>VLOOKUP(AT2,'Axe 2 Règles de gestion'!$D$2:$F$65,3, FALSE)</f>
        <v>Le silence gardé par l'administration à l'issue de ce délai vaut rejet de la demande.</v>
      </c>
      <c r="AV2" s="13"/>
      <c r="AW2" s="15"/>
      <c r="AX2" s="13"/>
      <c r="AY2" s="15"/>
      <c r="AZ2" s="13"/>
      <c r="BA2" s="15"/>
      <c r="BB2" s="13"/>
      <c r="BC2" s="15"/>
      <c r="BD2" s="13" t="s">
        <v>121</v>
      </c>
      <c r="BE2" s="15" t="str">
        <f>VLOOKUP(BD2,'Axe 2 Règles de gestion'!$D$2:$F$65,3, FALSE)</f>
        <v>L'agent doit être en activité.</v>
      </c>
      <c r="BF2" s="13" t="s">
        <v>123</v>
      </c>
      <c r="BG2" s="15" t="str">
        <f>VLOOKUP(BF2,'Axe 2 Règles de gestion'!$D$2:$F$65,3, FALSE)</f>
        <v>Le congé est accordé pour une durée maximale de 12 mois.</v>
      </c>
      <c r="BH2" s="13" t="s">
        <v>125</v>
      </c>
      <c r="BI2" s="15" t="str">
        <f>VLOOKUP(BH2,'Axe 2 Règles de gestion'!$D$2:$F$65,3, FALSE)</f>
        <v>La demande de congé doit être formulée au moins 60 jours avant la date de début de la formation liée au congé.</v>
      </c>
      <c r="BJ2" s="13"/>
      <c r="BK2" s="15"/>
      <c r="BL2" s="13" t="s">
        <v>127</v>
      </c>
      <c r="BM2" s="15" t="str">
        <f>VLOOKUP(BL2,'Axe 2 Règles de gestion'!$D$2:$F$65,3, FALSE)</f>
        <v>La date de début du congé/absence doit être postérieure ou égale à la date de recrutement dans la FPE ou dans la carrière militaire.</v>
      </c>
      <c r="BN2" s="13" t="s">
        <v>129</v>
      </c>
      <c r="BO2" s="15" t="str">
        <f>VLOOKUP(BN2,'Axe 2 Règles de gestion'!$D$2:$F$65,3, FALSE)</f>
        <v>La date de début du congé/absence doit être postérieure ou égale à la date de début du lien juridique.</v>
      </c>
      <c r="BP2" s="13" t="s">
        <v>131</v>
      </c>
      <c r="BQ2" s="15" t="str">
        <f>VLOOKUP(BP2,'Axe 2 Règles de gestion'!$D$2:$F$65,3, FALSE)</f>
        <v>La date de début du congé/absence doit être antérieure ou égale à la date de fin réelle du congé/absence.</v>
      </c>
      <c r="BR2" s="13" t="s">
        <v>133</v>
      </c>
      <c r="BS2" s="15" t="str">
        <f>VLOOKUP(BR2,'Axe 2 Règles de gestion'!$D$2:$F$65,3, FALSE)</f>
        <v>La date de début du congé/absence doit être antérieure ou égale à la date de fin prévisionnelle du congé/absence.</v>
      </c>
      <c r="BT2" s="13" t="s">
        <v>135</v>
      </c>
      <c r="BU2" s="15" t="str">
        <f>VLOOKUP(BT2,'Axe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2" s="13" t="s">
        <v>137</v>
      </c>
      <c r="BW2" s="15" t="str">
        <f>VLOOKUP(BV2,'Axe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2" s="13" t="s">
        <v>139</v>
      </c>
      <c r="BY2" s="15" t="str">
        <f>VLOOKUP(BX2,'Axe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2" s="13"/>
      <c r="CA2" s="15"/>
    </row>
    <row r="3" spans="1:79" ht="101.5" x14ac:dyDescent="0.35">
      <c r="A3" s="13" t="s">
        <v>141</v>
      </c>
      <c r="B3" s="13" t="s">
        <v>142</v>
      </c>
      <c r="C3" s="14">
        <v>44725.415972222225</v>
      </c>
      <c r="D3" s="13" t="s">
        <v>82</v>
      </c>
      <c r="E3" s="15" t="s">
        <v>83</v>
      </c>
      <c r="F3" s="13" t="s">
        <v>84</v>
      </c>
      <c r="G3" s="15" t="s">
        <v>85</v>
      </c>
      <c r="H3" s="13" t="s">
        <v>86</v>
      </c>
      <c r="I3" s="15" t="s">
        <v>85</v>
      </c>
      <c r="J3" s="15" t="s">
        <v>87</v>
      </c>
      <c r="K3" s="15" t="s">
        <v>88</v>
      </c>
      <c r="L3" s="13" t="s">
        <v>143</v>
      </c>
      <c r="M3" s="15" t="s">
        <v>144</v>
      </c>
      <c r="N3" s="13" t="s">
        <v>145</v>
      </c>
      <c r="O3" s="15"/>
      <c r="P3" s="15"/>
      <c r="Q3" s="15" t="s">
        <v>92</v>
      </c>
      <c r="R3" s="13" t="s">
        <v>93</v>
      </c>
      <c r="S3" s="13" t="s">
        <v>94</v>
      </c>
      <c r="T3" s="13" t="s">
        <v>95</v>
      </c>
      <c r="U3" s="14">
        <v>43826</v>
      </c>
      <c r="V3" s="14"/>
      <c r="W3" s="15" t="s">
        <v>146</v>
      </c>
      <c r="X3" s="13" t="s">
        <v>147</v>
      </c>
      <c r="Y3" s="15" t="str">
        <f>VLOOKUP(X3,'Axe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 t="s">
        <v>123</v>
      </c>
      <c r="BE3" s="15" t="str">
        <f>VLOOKUP(BD3,'Axe 2 Règles de gestion'!$D$2:$F$65,3, FALSE)</f>
        <v>Le congé est accordé pour une durée maximale de 12 mois.</v>
      </c>
      <c r="BF3" s="13"/>
      <c r="BG3" s="15"/>
      <c r="BH3" s="13"/>
      <c r="BI3" s="15"/>
      <c r="BJ3" s="13"/>
      <c r="BK3" s="15"/>
      <c r="BL3" s="13" t="s">
        <v>149</v>
      </c>
      <c r="BM3" s="15" t="str">
        <f>VLOOKUP(BL3,'Axe 2 Règles de gestion'!$D$2:$F$65,3, FALSE)</f>
        <v>La date de fin réelle du congé/absence doit être antérieure ou égale à la date limite de fin réelle ou prévisionnelle du lien juridique.</v>
      </c>
      <c r="BN3" s="13" t="s">
        <v>151</v>
      </c>
      <c r="BO3" s="15" t="str">
        <f>VLOOKUP(BN3,'Axe 2 Règles de gestion'!$D$2:$F$65,3, FALSE)</f>
        <v>La date de fin prévisionnelle du congé/absence doit être antérieure ou égale à la date limite de fin réelle ou prévisionnelle du lien juridique.</v>
      </c>
      <c r="BP3" s="13" t="s">
        <v>153</v>
      </c>
      <c r="BQ3" s="15" t="str">
        <f>VLOOKUP(BP3,'Axe 2 Règles de gestion'!$D$2:$F$65,3, FALSE)</f>
        <v>La date de fin réelle du congé/absence doit être antérieure à la date limite de départ à la retraite.</v>
      </c>
      <c r="BR3" s="13" t="s">
        <v>155</v>
      </c>
      <c r="BS3" s="15" t="str">
        <f>VLOOKUP(BR3,'Axe 2 Règles de gestion'!$D$2:$F$65,3, FALSE)</f>
        <v>La date de fin prévisionnelle du congé/absence doit être antérieure à la date limite de départ à la retraite.</v>
      </c>
      <c r="BT3" s="13" t="s">
        <v>157</v>
      </c>
      <c r="BU3" s="15" t="str">
        <f>VLOOKUP(BT3,'Axe 2 Règles de gestion'!$D$2:$F$65,3, FALSE)</f>
        <v>La date de fin réelle ou la date de fin prévisionnelle du congé/absence doit être saisie.</v>
      </c>
      <c r="BV3" s="13"/>
      <c r="BW3" s="15"/>
      <c r="BX3" s="13"/>
      <c r="BY3" s="15"/>
      <c r="BZ3" s="13"/>
      <c r="CA3" s="15"/>
    </row>
    <row r="4" spans="1:79" ht="43.5" x14ac:dyDescent="0.35">
      <c r="A4" s="13" t="s">
        <v>159</v>
      </c>
      <c r="B4" s="13" t="s">
        <v>81</v>
      </c>
      <c r="C4" s="14">
        <v>44886.48541666667</v>
      </c>
      <c r="D4" s="13" t="s">
        <v>82</v>
      </c>
      <c r="E4" s="15" t="s">
        <v>83</v>
      </c>
      <c r="F4" s="13" t="s">
        <v>84</v>
      </c>
      <c r="G4" s="15" t="s">
        <v>85</v>
      </c>
      <c r="H4" s="13" t="s">
        <v>86</v>
      </c>
      <c r="I4" s="15" t="s">
        <v>85</v>
      </c>
      <c r="J4" s="15" t="s">
        <v>87</v>
      </c>
      <c r="K4" s="15" t="s">
        <v>88</v>
      </c>
      <c r="L4" s="13" t="s">
        <v>89</v>
      </c>
      <c r="M4" s="15" t="s">
        <v>90</v>
      </c>
      <c r="N4" s="13" t="s">
        <v>91</v>
      </c>
      <c r="O4" s="15"/>
      <c r="P4" s="15"/>
      <c r="Q4" s="15" t="s">
        <v>160</v>
      </c>
      <c r="R4" s="13" t="s">
        <v>161</v>
      </c>
      <c r="S4" s="13" t="s">
        <v>94</v>
      </c>
      <c r="T4" s="13" t="s">
        <v>162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5"/>
      <c r="BJ4" s="13"/>
      <c r="BK4" s="15"/>
      <c r="BL4" s="13"/>
      <c r="BM4" s="15"/>
      <c r="BN4" s="13"/>
      <c r="BO4" s="15"/>
      <c r="BP4" s="13"/>
      <c r="BQ4" s="15"/>
      <c r="BR4" s="13"/>
      <c r="BS4" s="15"/>
      <c r="BT4" s="13"/>
      <c r="BU4" s="15"/>
      <c r="BV4" s="13"/>
      <c r="BW4" s="15"/>
      <c r="BX4" s="13"/>
      <c r="BY4" s="15"/>
      <c r="BZ4" s="13"/>
      <c r="CA4" s="15"/>
    </row>
    <row r="5" spans="1:79" ht="43.5" x14ac:dyDescent="0.35">
      <c r="A5" s="13" t="s">
        <v>159</v>
      </c>
      <c r="B5" s="13" t="s">
        <v>81</v>
      </c>
      <c r="C5" s="14">
        <v>44886.48541666667</v>
      </c>
      <c r="D5" s="13" t="s">
        <v>82</v>
      </c>
      <c r="E5" s="15" t="s">
        <v>83</v>
      </c>
      <c r="F5" s="13" t="s">
        <v>84</v>
      </c>
      <c r="G5" s="15" t="s">
        <v>85</v>
      </c>
      <c r="H5" s="13" t="s">
        <v>86</v>
      </c>
      <c r="I5" s="15" t="s">
        <v>85</v>
      </c>
      <c r="J5" s="15" t="s">
        <v>87</v>
      </c>
      <c r="K5" s="15" t="s">
        <v>88</v>
      </c>
      <c r="L5" s="13" t="s">
        <v>143</v>
      </c>
      <c r="M5" s="15" t="s">
        <v>144</v>
      </c>
      <c r="N5" s="13" t="s">
        <v>145</v>
      </c>
      <c r="O5" s="15"/>
      <c r="P5" s="15"/>
      <c r="Q5" s="15" t="s">
        <v>160</v>
      </c>
      <c r="R5" s="13" t="s">
        <v>161</v>
      </c>
      <c r="S5" s="13" t="s">
        <v>94</v>
      </c>
      <c r="T5" s="13" t="s">
        <v>162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  <c r="BP5" s="13"/>
      <c r="BQ5" s="15"/>
      <c r="BR5" s="13"/>
      <c r="BS5" s="15"/>
      <c r="BT5" s="13"/>
      <c r="BU5" s="15"/>
      <c r="BV5" s="13"/>
      <c r="BW5" s="15"/>
      <c r="BX5" s="13"/>
      <c r="BY5" s="15"/>
      <c r="BZ5" s="13"/>
      <c r="CA5" s="15"/>
    </row>
    <row r="6" spans="1:79" ht="130.5" x14ac:dyDescent="0.35">
      <c r="A6" s="13" t="s">
        <v>159</v>
      </c>
      <c r="B6" s="13" t="s">
        <v>142</v>
      </c>
      <c r="C6" s="14">
        <v>44837.722916666666</v>
      </c>
      <c r="D6" s="13" t="s">
        <v>82</v>
      </c>
      <c r="E6" s="15" t="s">
        <v>83</v>
      </c>
      <c r="F6" s="13" t="s">
        <v>84</v>
      </c>
      <c r="G6" s="15" t="s">
        <v>85</v>
      </c>
      <c r="H6" s="13" t="s">
        <v>86</v>
      </c>
      <c r="I6" s="15" t="s">
        <v>85</v>
      </c>
      <c r="J6" s="15" t="s">
        <v>87</v>
      </c>
      <c r="K6" s="15" t="s">
        <v>88</v>
      </c>
      <c r="L6" s="13" t="s">
        <v>89</v>
      </c>
      <c r="M6" s="15" t="s">
        <v>90</v>
      </c>
      <c r="N6" s="13" t="s">
        <v>91</v>
      </c>
      <c r="O6" s="15"/>
      <c r="P6" s="15"/>
      <c r="Q6" s="15" t="s">
        <v>163</v>
      </c>
      <c r="R6" s="13" t="s">
        <v>164</v>
      </c>
      <c r="S6" s="13" t="s">
        <v>94</v>
      </c>
      <c r="T6" s="13" t="s">
        <v>95</v>
      </c>
      <c r="U6" s="14">
        <v>43826</v>
      </c>
      <c r="V6" s="14">
        <v>44677</v>
      </c>
      <c r="W6" s="15" t="s">
        <v>165</v>
      </c>
      <c r="X6" s="13" t="s">
        <v>97</v>
      </c>
      <c r="Y6" s="15" t="str">
        <f>VLOOKUP(X6,'Axe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Z6" s="13" t="s">
        <v>99</v>
      </c>
      <c r="AA6" s="15" t="str">
        <f>VLOOKUP(Z6,'Axe 2 Règles de gestion'!$D$2:$F$65,3, FALSE)</f>
        <v>Le comité social d'administration compétent est consulté sur la mise en place du congé.</v>
      </c>
      <c r="AB6" s="13" t="s">
        <v>101</v>
      </c>
      <c r="AC6" s="15" t="str">
        <f>VLOOKUP(AB6,'Axe 2 Règles de gestion'!$D$2:$F$65,3, FALSE)</f>
        <v>Le congé peut être fractionné en mois, semaines ou journées.</v>
      </c>
      <c r="AD6" s="13" t="s">
        <v>103</v>
      </c>
      <c r="AE6" s="15" t="str">
        <f>VLOOKUP(AD6,'Axe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F6" s="13" t="s">
        <v>105</v>
      </c>
      <c r="AG6" s="15" t="str">
        <f>VLOOKUP(AF6,'Axe 2 Règles de gestion'!$D$2:$F$65,3, FALSE)</f>
        <v>L'agent doit effectuer une demande.</v>
      </c>
      <c r="AH6" s="13" t="s">
        <v>107</v>
      </c>
      <c r="AI6" s="15" t="str">
        <f>VLOOKUP(AH6,'Axe 2 Règles de gestion'!$D$2:$F$65,3, FALSE)</f>
        <v>La demande de congé précise la nature de la formation, sa durée, le nom de l'organisme qui la dispense et l'objectif professionnel visé.</v>
      </c>
      <c r="AJ6" s="13" t="s">
        <v>109</v>
      </c>
      <c r="AK6" s="15" t="str">
        <f>VLOOKUP(AJ6,'Axe 2 Règles de gestion'!$D$2:$F$65,3, FALSE)</f>
        <v>L'administration informe l'agent de sa réponse par écrit dans le délai de 30 jours suivant la réception de la demande.</v>
      </c>
      <c r="AL6" s="13" t="s">
        <v>111</v>
      </c>
      <c r="AM6" s="15" t="str">
        <f>VLOOKUP(AL6,'Axe 2 Règles de gestion'!$D$2:$F$65,3, FALSE)</f>
        <v>La décision de rejet du congé doit être motivée.</v>
      </c>
      <c r="AN6" s="13" t="s">
        <v>113</v>
      </c>
      <c r="AO6" s="15" t="str">
        <f>VLOOKUP(AN6,'Axe 2 Règles de gestion'!$D$2:$F$65,3, FALSE)</f>
        <v>Le bénéfice du congé peut être différé dans l'intérêt du service.</v>
      </c>
      <c r="AP6" s="13" t="s">
        <v>115</v>
      </c>
      <c r="AQ6" s="15" t="str">
        <f>VLOOKUP(AP6,'Axe 2 Règles de gestion'!$D$2:$F$65,3, FALSE)</f>
        <v>L'agent transmet les attestations établies par l'organisme de formation, justifiant son assiduité à l'action de formation, sinon il perd le bénéfice de ce congé.</v>
      </c>
      <c r="AR6" s="13" t="s">
        <v>117</v>
      </c>
      <c r="AS6" s="15" t="str">
        <f>VLOOKUP(AR6,'Axe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T6" s="13" t="s">
        <v>119</v>
      </c>
      <c r="AU6" s="15" t="str">
        <f>VLOOKUP(AT6,'Axe 2 Règles de gestion'!$D$2:$F$65,3, FALSE)</f>
        <v>Le silence gardé par l'administration à l'issue de ce délai vaut rejet de la demande.</v>
      </c>
      <c r="AV6" s="13"/>
      <c r="AW6" s="15"/>
      <c r="AX6" s="13"/>
      <c r="AY6" s="15"/>
      <c r="AZ6" s="13"/>
      <c r="BA6" s="15"/>
      <c r="BB6" s="13"/>
      <c r="BC6" s="15"/>
      <c r="BD6" s="13" t="s">
        <v>121</v>
      </c>
      <c r="BE6" s="15" t="str">
        <f>VLOOKUP(BD6,'Axe 2 Règles de gestion'!$D$2:$F$65,3, FALSE)</f>
        <v>L'agent doit être en activité.</v>
      </c>
      <c r="BF6" s="13" t="s">
        <v>166</v>
      </c>
      <c r="BG6" s="15" t="str">
        <f>VLOOKUP(BF6,'Axe 2 Règles de gestion'!$D$2:$F$65,3, FALSE)</f>
        <v>Le congé est accordé pour une durée maximale de 12 mois.</v>
      </c>
      <c r="BH6" s="13" t="s">
        <v>125</v>
      </c>
      <c r="BI6" s="15" t="str">
        <f>VLOOKUP(BH6,'Axe 2 Règles de gestion'!$D$2:$F$65,3, FALSE)</f>
        <v>La demande de congé doit être formulée au moins 60 jours avant la date de début de la formation liée au congé.</v>
      </c>
      <c r="BJ6" s="13" t="s">
        <v>167</v>
      </c>
      <c r="BK6" s="15" t="str">
        <f>VLOOKUP(BJ6,'Axe 2 Règles de gestion'!$D$2:$F$65,3, FALSE)</f>
        <v>Les agents contractuels recrutés pour une durée indéterminée bénéficient du congé.</v>
      </c>
      <c r="BL6" s="13" t="s">
        <v>127</v>
      </c>
      <c r="BM6" s="15" t="str">
        <f>VLOOKUP(BL6,'Axe 2 Règles de gestion'!$D$2:$F$65,3, FALSE)</f>
        <v>La date de début du congé/absence doit être postérieure ou égale à la date de recrutement dans la FPE ou dans la carrière militaire.</v>
      </c>
      <c r="BN6" s="13" t="s">
        <v>129</v>
      </c>
      <c r="BO6" s="15" t="str">
        <f>VLOOKUP(BN6,'Axe 2 Règles de gestion'!$D$2:$F$65,3, FALSE)</f>
        <v>La date de début du congé/absence doit être postérieure ou égale à la date de début du lien juridique.</v>
      </c>
      <c r="BP6" s="13" t="s">
        <v>131</v>
      </c>
      <c r="BQ6" s="15" t="str">
        <f>VLOOKUP(BP6,'Axe 2 Règles de gestion'!$D$2:$F$65,3, FALSE)</f>
        <v>La date de début du congé/absence doit être antérieure ou égale à la date de fin réelle du congé/absence.</v>
      </c>
      <c r="BR6" s="13" t="s">
        <v>133</v>
      </c>
      <c r="BS6" s="15" t="str">
        <f>VLOOKUP(BR6,'Axe 2 Règles de gestion'!$D$2:$F$65,3, FALSE)</f>
        <v>La date de début du congé/absence doit être antérieure ou égale à la date de fin prévisionnelle du congé/absence.</v>
      </c>
      <c r="BT6" s="13" t="s">
        <v>135</v>
      </c>
      <c r="BU6" s="15" t="str">
        <f>VLOOKUP(BT6,'Axe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6" s="13" t="s">
        <v>137</v>
      </c>
      <c r="BW6" s="15" t="str">
        <f>VLOOKUP(BV6,'Axe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6" s="13" t="s">
        <v>139</v>
      </c>
      <c r="BY6" s="15" t="str">
        <f>VLOOKUP(BX6,'Axe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6" s="13"/>
      <c r="CA6" s="15"/>
    </row>
    <row r="7" spans="1:79" ht="130.5" x14ac:dyDescent="0.35">
      <c r="A7" s="13" t="s">
        <v>159</v>
      </c>
      <c r="B7" s="13" t="s">
        <v>81</v>
      </c>
      <c r="C7" s="14">
        <v>44959.574305555558</v>
      </c>
      <c r="D7" s="13" t="s">
        <v>82</v>
      </c>
      <c r="E7" s="15" t="s">
        <v>83</v>
      </c>
      <c r="F7" s="13" t="s">
        <v>84</v>
      </c>
      <c r="G7" s="15" t="s">
        <v>85</v>
      </c>
      <c r="H7" s="13" t="s">
        <v>86</v>
      </c>
      <c r="I7" s="15" t="s">
        <v>85</v>
      </c>
      <c r="J7" s="15" t="s">
        <v>87</v>
      </c>
      <c r="K7" s="15" t="s">
        <v>88</v>
      </c>
      <c r="L7" s="13" t="s">
        <v>89</v>
      </c>
      <c r="M7" s="15" t="s">
        <v>90</v>
      </c>
      <c r="N7" s="13" t="s">
        <v>91</v>
      </c>
      <c r="O7" s="15"/>
      <c r="P7" s="15"/>
      <c r="Q7" s="15" t="s">
        <v>163</v>
      </c>
      <c r="R7" s="13" t="s">
        <v>164</v>
      </c>
      <c r="S7" s="13" t="s">
        <v>94</v>
      </c>
      <c r="T7" s="13" t="s">
        <v>95</v>
      </c>
      <c r="U7" s="14">
        <v>44678</v>
      </c>
      <c r="V7" s="14"/>
      <c r="W7" s="15" t="s">
        <v>169</v>
      </c>
      <c r="X7" s="13" t="s">
        <v>97</v>
      </c>
      <c r="Y7" s="15" t="str">
        <f>VLOOKUP(X7,'Axe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Z7" s="13" t="s">
        <v>99</v>
      </c>
      <c r="AA7" s="15" t="str">
        <f>VLOOKUP(Z7,'Axe 2 Règles de gestion'!$D$2:$F$65,3, FALSE)</f>
        <v>Le comité social d'administration compétent est consulté sur la mise en place du congé.</v>
      </c>
      <c r="AB7" s="13" t="s">
        <v>101</v>
      </c>
      <c r="AC7" s="15" t="str">
        <f>VLOOKUP(AB7,'Axe 2 Règles de gestion'!$D$2:$F$65,3, FALSE)</f>
        <v>Le congé peut être fractionné en mois, semaines ou journées.</v>
      </c>
      <c r="AD7" s="13" t="s">
        <v>103</v>
      </c>
      <c r="AE7" s="15" t="str">
        <f>VLOOKUP(AD7,'Axe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F7" s="13" t="s">
        <v>105</v>
      </c>
      <c r="AG7" s="15" t="str">
        <f>VLOOKUP(AF7,'Axe 2 Règles de gestion'!$D$2:$F$65,3, FALSE)</f>
        <v>L'agent doit effectuer une demande.</v>
      </c>
      <c r="AH7" s="13" t="s">
        <v>107</v>
      </c>
      <c r="AI7" s="15" t="str">
        <f>VLOOKUP(AH7,'Axe 2 Règles de gestion'!$D$2:$F$65,3, FALSE)</f>
        <v>La demande de congé précise la nature de la formation, sa durée, le nom de l'organisme qui la dispense et l'objectif professionnel visé.</v>
      </c>
      <c r="AJ7" s="13" t="s">
        <v>109</v>
      </c>
      <c r="AK7" s="15" t="str">
        <f>VLOOKUP(AJ7,'Axe 2 Règles de gestion'!$D$2:$F$65,3, FALSE)</f>
        <v>L'administration informe l'agent de sa réponse par écrit dans le délai de 30 jours suivant la réception de la demande.</v>
      </c>
      <c r="AL7" s="13" t="s">
        <v>111</v>
      </c>
      <c r="AM7" s="15" t="str">
        <f>VLOOKUP(AL7,'Axe 2 Règles de gestion'!$D$2:$F$65,3, FALSE)</f>
        <v>La décision de rejet du congé doit être motivée.</v>
      </c>
      <c r="AN7" s="13" t="s">
        <v>113</v>
      </c>
      <c r="AO7" s="15" t="str">
        <f>VLOOKUP(AN7,'Axe 2 Règles de gestion'!$D$2:$F$65,3, FALSE)</f>
        <v>Le bénéfice du congé peut être différé dans l'intérêt du service.</v>
      </c>
      <c r="AP7" s="13" t="s">
        <v>115</v>
      </c>
      <c r="AQ7" s="15" t="str">
        <f>VLOOKUP(AP7,'Axe 2 Règles de gestion'!$D$2:$F$65,3, FALSE)</f>
        <v>L'agent transmet les attestations établies par l'organisme de formation, justifiant son assiduité à l'action de formation, sinon il perd le bénéfice de ce congé.</v>
      </c>
      <c r="AR7" s="13" t="s">
        <v>117</v>
      </c>
      <c r="AS7" s="15" t="str">
        <f>VLOOKUP(AR7,'Axe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T7" s="13" t="s">
        <v>119</v>
      </c>
      <c r="AU7" s="15" t="str">
        <f>VLOOKUP(AT7,'Axe 2 Règles de gestion'!$D$2:$F$65,3, FALSE)</f>
        <v>Le silence gardé par l'administration à l'issue de ce délai vaut rejet de la demande.</v>
      </c>
      <c r="AV7" s="13"/>
      <c r="AW7" s="15"/>
      <c r="AX7" s="13"/>
      <c r="AY7" s="15"/>
      <c r="AZ7" s="13"/>
      <c r="BA7" s="15"/>
      <c r="BB7" s="13"/>
      <c r="BC7" s="15"/>
      <c r="BD7" s="13" t="s">
        <v>121</v>
      </c>
      <c r="BE7" s="15" t="str">
        <f>VLOOKUP(BD7,'Axe 2 Règles de gestion'!$D$2:$F$65,3, FALSE)</f>
        <v>L'agent doit être en activité.</v>
      </c>
      <c r="BF7" s="13" t="s">
        <v>166</v>
      </c>
      <c r="BG7" s="15" t="str">
        <f>VLOOKUP(BF7,'Axe 2 Règles de gestion'!$D$2:$F$65,3, FALSE)</f>
        <v>Le congé est accordé pour une durée maximale de 12 mois.</v>
      </c>
      <c r="BH7" s="13" t="s">
        <v>125</v>
      </c>
      <c r="BI7" s="15" t="str">
        <f>VLOOKUP(BH7,'Axe 2 Règles de gestion'!$D$2:$F$65,3, FALSE)</f>
        <v>La demande de congé doit être formulée au moins 60 jours avant la date de début de la formation liée au congé.</v>
      </c>
      <c r="BJ7" s="13" t="s">
        <v>170</v>
      </c>
      <c r="BK7" s="15" t="str">
        <f>VLOOKUP(BJ7,'Axe 2 Règles de gestion'!$D$2:$F$65,3, FALSE)</f>
        <v>Les agents contractuels recrutés pour une durée indéterminée bénéficient du congé.</v>
      </c>
      <c r="BL7" s="13" t="s">
        <v>127</v>
      </c>
      <c r="BM7" s="15" t="str">
        <f>VLOOKUP(BL7,'Axe 2 Règles de gestion'!$D$2:$F$65,3, FALSE)</f>
        <v>La date de début du congé/absence doit être postérieure ou égale à la date de recrutement dans la FPE ou dans la carrière militaire.</v>
      </c>
      <c r="BN7" s="13" t="s">
        <v>129</v>
      </c>
      <c r="BO7" s="15" t="str">
        <f>VLOOKUP(BN7,'Axe 2 Règles de gestion'!$D$2:$F$65,3, FALSE)</f>
        <v>La date de début du congé/absence doit être postérieure ou égale à la date de début du lien juridique.</v>
      </c>
      <c r="BP7" s="13" t="s">
        <v>131</v>
      </c>
      <c r="BQ7" s="15" t="str">
        <f>VLOOKUP(BP7,'Axe 2 Règles de gestion'!$D$2:$F$65,3, FALSE)</f>
        <v>La date de début du congé/absence doit être antérieure ou égale à la date de fin réelle du congé/absence.</v>
      </c>
      <c r="BR7" s="13" t="s">
        <v>133</v>
      </c>
      <c r="BS7" s="15" t="str">
        <f>VLOOKUP(BR7,'Axe 2 Règles de gestion'!$D$2:$F$65,3, FALSE)</f>
        <v>La date de début du congé/absence doit être antérieure ou égale à la date de fin prévisionnelle du congé/absence.</v>
      </c>
      <c r="BT7" s="13" t="s">
        <v>135</v>
      </c>
      <c r="BU7" s="15" t="str">
        <f>VLOOKUP(BT7,'Axe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7" s="13" t="s">
        <v>137</v>
      </c>
      <c r="BW7" s="15" t="str">
        <f>VLOOKUP(BV7,'Axe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7" s="13" t="s">
        <v>139</v>
      </c>
      <c r="BY7" s="15" t="str">
        <f>VLOOKUP(BX7,'Axe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7" s="13"/>
      <c r="CA7" s="15"/>
    </row>
    <row r="8" spans="1:79" ht="101.5" x14ac:dyDescent="0.35">
      <c r="A8" s="13" t="s">
        <v>141</v>
      </c>
      <c r="B8" s="13" t="s">
        <v>142</v>
      </c>
      <c r="C8" s="14">
        <v>44725.416666666664</v>
      </c>
      <c r="D8" s="13" t="s">
        <v>82</v>
      </c>
      <c r="E8" s="15" t="s">
        <v>83</v>
      </c>
      <c r="F8" s="13" t="s">
        <v>84</v>
      </c>
      <c r="G8" s="15" t="s">
        <v>85</v>
      </c>
      <c r="H8" s="13" t="s">
        <v>86</v>
      </c>
      <c r="I8" s="15" t="s">
        <v>85</v>
      </c>
      <c r="J8" s="15" t="s">
        <v>87</v>
      </c>
      <c r="K8" s="15" t="s">
        <v>88</v>
      </c>
      <c r="L8" s="13" t="s">
        <v>143</v>
      </c>
      <c r="M8" s="15" t="s">
        <v>144</v>
      </c>
      <c r="N8" s="13" t="s">
        <v>145</v>
      </c>
      <c r="O8" s="15"/>
      <c r="P8" s="15"/>
      <c r="Q8" s="15" t="s">
        <v>163</v>
      </c>
      <c r="R8" s="13" t="s">
        <v>164</v>
      </c>
      <c r="S8" s="13" t="s">
        <v>94</v>
      </c>
      <c r="T8" s="13" t="s">
        <v>95</v>
      </c>
      <c r="U8" s="14">
        <v>43826</v>
      </c>
      <c r="V8" s="14"/>
      <c r="W8" s="15" t="s">
        <v>171</v>
      </c>
      <c r="X8" s="13" t="s">
        <v>147</v>
      </c>
      <c r="Y8" s="15" t="str">
        <f>VLOOKUP(X8,'Axe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 t="s">
        <v>166</v>
      </c>
      <c r="BE8" s="15" t="str">
        <f>VLOOKUP(BD8,'Axe 2 Règles de gestion'!$D$2:$F$65,3, FALSE)</f>
        <v>Le congé est accordé pour une durée maximale de 12 mois.</v>
      </c>
      <c r="BF8" s="13"/>
      <c r="BG8" s="15"/>
      <c r="BH8" s="13"/>
      <c r="BI8" s="15"/>
      <c r="BJ8" s="13"/>
      <c r="BK8" s="15"/>
      <c r="BL8" s="13" t="s">
        <v>149</v>
      </c>
      <c r="BM8" s="15" t="str">
        <f>VLOOKUP(BL8,'Axe 2 Règles de gestion'!$D$2:$F$65,3, FALSE)</f>
        <v>La date de fin réelle du congé/absence doit être antérieure ou égale à la date limite de fin réelle ou prévisionnelle du lien juridique.</v>
      </c>
      <c r="BN8" s="13" t="s">
        <v>151</v>
      </c>
      <c r="BO8" s="15" t="str">
        <f>VLOOKUP(BN8,'Axe 2 Règles de gestion'!$D$2:$F$65,3, FALSE)</f>
        <v>La date de fin prévisionnelle du congé/absence doit être antérieure ou égale à la date limite de fin réelle ou prévisionnelle du lien juridique.</v>
      </c>
      <c r="BP8" s="13" t="s">
        <v>153</v>
      </c>
      <c r="BQ8" s="15" t="str">
        <f>VLOOKUP(BP8,'Axe 2 Règles de gestion'!$D$2:$F$65,3, FALSE)</f>
        <v>La date de fin réelle du congé/absence doit être antérieure à la date limite de départ à la retraite.</v>
      </c>
      <c r="BR8" s="13" t="s">
        <v>155</v>
      </c>
      <c r="BS8" s="15" t="str">
        <f>VLOOKUP(BR8,'Axe 2 Règles de gestion'!$D$2:$F$65,3, FALSE)</f>
        <v>La date de fin prévisionnelle du congé/absence doit être antérieure à la date limite de départ à la retraite.</v>
      </c>
      <c r="BT8" s="13" t="s">
        <v>157</v>
      </c>
      <c r="BU8" s="15" t="str">
        <f>VLOOKUP(BT8,'Axe 2 Règles de gestion'!$D$2:$F$65,3, FALSE)</f>
        <v>La date de fin réelle ou la date de fin prévisionnelle du congé/absence doit être saisie.</v>
      </c>
      <c r="BV8" s="13"/>
      <c r="BW8" s="15"/>
      <c r="BX8" s="13"/>
      <c r="BY8" s="15"/>
      <c r="BZ8" s="13"/>
      <c r="CA8" s="15"/>
    </row>
    <row r="9" spans="1:79" ht="130.5" x14ac:dyDescent="0.35">
      <c r="A9" s="13" t="s">
        <v>141</v>
      </c>
      <c r="B9" s="13" t="s">
        <v>142</v>
      </c>
      <c r="C9" s="14">
        <v>44725.464583333334</v>
      </c>
      <c r="D9" s="13" t="s">
        <v>82</v>
      </c>
      <c r="E9" s="15" t="s">
        <v>83</v>
      </c>
      <c r="F9" s="13" t="s">
        <v>84</v>
      </c>
      <c r="G9" s="15" t="s">
        <v>85</v>
      </c>
      <c r="H9" s="13" t="s">
        <v>86</v>
      </c>
      <c r="I9" s="15" t="s">
        <v>85</v>
      </c>
      <c r="J9" s="15" t="s">
        <v>87</v>
      </c>
      <c r="K9" s="15" t="s">
        <v>88</v>
      </c>
      <c r="L9" s="13" t="s">
        <v>89</v>
      </c>
      <c r="M9" s="15" t="s">
        <v>90</v>
      </c>
      <c r="N9" s="13" t="s">
        <v>91</v>
      </c>
      <c r="O9" s="15"/>
      <c r="P9" s="15"/>
      <c r="Q9" s="15" t="s">
        <v>172</v>
      </c>
      <c r="R9" s="13" t="s">
        <v>173</v>
      </c>
      <c r="S9" s="13" t="s">
        <v>94</v>
      </c>
      <c r="T9" s="13" t="s">
        <v>95</v>
      </c>
      <c r="U9" s="14">
        <v>43826</v>
      </c>
      <c r="V9" s="14"/>
      <c r="W9" s="15" t="s">
        <v>174</v>
      </c>
      <c r="X9" s="13" t="s">
        <v>97</v>
      </c>
      <c r="Y9" s="15" t="str">
        <f>VLOOKUP(X9,'Axe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Z9" s="13" t="s">
        <v>99</v>
      </c>
      <c r="AA9" s="15" t="str">
        <f>VLOOKUP(Z9,'Axe 2 Règles de gestion'!$D$2:$F$65,3, FALSE)</f>
        <v>Le comité social d'administration compétent est consulté sur la mise en place du congé.</v>
      </c>
      <c r="AB9" s="13" t="s">
        <v>101</v>
      </c>
      <c r="AC9" s="15" t="str">
        <f>VLOOKUP(AB9,'Axe 2 Règles de gestion'!$D$2:$F$65,3, FALSE)</f>
        <v>Le congé peut être fractionné en mois, semaines ou journées.</v>
      </c>
      <c r="AD9" s="13" t="s">
        <v>103</v>
      </c>
      <c r="AE9" s="15" t="str">
        <f>VLOOKUP(AD9,'Axe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F9" s="13" t="s">
        <v>105</v>
      </c>
      <c r="AG9" s="15" t="str">
        <f>VLOOKUP(AF9,'Axe 2 Règles de gestion'!$D$2:$F$65,3, FALSE)</f>
        <v>L'agent doit effectuer une demande.</v>
      </c>
      <c r="AH9" s="13" t="s">
        <v>107</v>
      </c>
      <c r="AI9" s="15" t="str">
        <f>VLOOKUP(AH9,'Axe 2 Règles de gestion'!$D$2:$F$65,3, FALSE)</f>
        <v>La demande de congé précise la nature de la formation, sa durée, le nom de l'organisme qui la dispense et l'objectif professionnel visé.</v>
      </c>
      <c r="AJ9" s="13" t="s">
        <v>109</v>
      </c>
      <c r="AK9" s="15" t="str">
        <f>VLOOKUP(AJ9,'Axe 2 Règles de gestion'!$D$2:$F$65,3, FALSE)</f>
        <v>L'administration informe l'agent de sa réponse par écrit dans le délai de 30 jours suivant la réception de la demande.</v>
      </c>
      <c r="AL9" s="13" t="s">
        <v>111</v>
      </c>
      <c r="AM9" s="15" t="str">
        <f>VLOOKUP(AL9,'Axe 2 Règles de gestion'!$D$2:$F$65,3, FALSE)</f>
        <v>La décision de rejet du congé doit être motivée.</v>
      </c>
      <c r="AN9" s="13" t="s">
        <v>113</v>
      </c>
      <c r="AO9" s="15" t="str">
        <f>VLOOKUP(AN9,'Axe 2 Règles de gestion'!$D$2:$F$65,3, FALSE)</f>
        <v>Le bénéfice du congé peut être différé dans l'intérêt du service.</v>
      </c>
      <c r="AP9" s="13" t="s">
        <v>115</v>
      </c>
      <c r="AQ9" s="15" t="str">
        <f>VLOOKUP(AP9,'Axe 2 Règles de gestion'!$D$2:$F$65,3, FALSE)</f>
        <v>L'agent transmet les attestations établies par l'organisme de formation, justifiant son assiduité à l'action de formation, sinon il perd le bénéfice de ce congé.</v>
      </c>
      <c r="AR9" s="13" t="s">
        <v>175</v>
      </c>
      <c r="AS9" s="15" t="str">
        <f>VLOOKUP(AR9,'Axe 2 Règles de gestion'!$D$2:$F$65,3, FALSE)</f>
        <v>L'agent ne bénéficiant pas du congé de formation professionnelle, ne peut pas voir son congé de transition professionnelle prolongé au-delà des 12 mois.</v>
      </c>
      <c r="AT9" s="13" t="s">
        <v>119</v>
      </c>
      <c r="AU9" s="15" t="str">
        <f>VLOOKUP(AT9,'Axe 2 Règles de gestion'!$D$2:$F$65,3, FALSE)</f>
        <v>Le silence gardé par l'administration à l'issue de ce délai vaut rejet de la demande.</v>
      </c>
      <c r="AV9" s="13"/>
      <c r="AW9" s="15"/>
      <c r="AX9" s="13"/>
      <c r="AY9" s="15"/>
      <c r="AZ9" s="13"/>
      <c r="BA9" s="15"/>
      <c r="BB9" s="13"/>
      <c r="BC9" s="15"/>
      <c r="BD9" s="13" t="s">
        <v>121</v>
      </c>
      <c r="BE9" s="15" t="str">
        <f>VLOOKUP(BD9,'Axe 2 Règles de gestion'!$D$2:$F$65,3, FALSE)</f>
        <v>L'agent doit être en activité.</v>
      </c>
      <c r="BF9" s="13" t="s">
        <v>166</v>
      </c>
      <c r="BG9" s="15" t="str">
        <f>VLOOKUP(BF9,'Axe 2 Règles de gestion'!$D$2:$F$65,3, FALSE)</f>
        <v>Le congé est accordé pour une durée maximale de 12 mois.</v>
      </c>
      <c r="BH9" s="13" t="s">
        <v>125</v>
      </c>
      <c r="BI9" s="15" t="str">
        <f>VLOOKUP(BH9,'Axe 2 Règles de gestion'!$D$2:$F$65,3, FALSE)</f>
        <v>La demande de congé doit être formulée au moins 60 jours avant la date de début de la formation liée au congé.</v>
      </c>
      <c r="BJ9" s="13"/>
      <c r="BK9" s="15"/>
      <c r="BL9" s="13" t="s">
        <v>127</v>
      </c>
      <c r="BM9" s="15" t="str">
        <f>VLOOKUP(BL9,'Axe 2 Règles de gestion'!$D$2:$F$65,3, FALSE)</f>
        <v>La date de début du congé/absence doit être postérieure ou égale à la date de recrutement dans la FPE ou dans la carrière militaire.</v>
      </c>
      <c r="BN9" s="13" t="s">
        <v>129</v>
      </c>
      <c r="BO9" s="15" t="str">
        <f>VLOOKUP(BN9,'Axe 2 Règles de gestion'!$D$2:$F$65,3, FALSE)</f>
        <v>La date de début du congé/absence doit être postérieure ou égale à la date de début du lien juridique.</v>
      </c>
      <c r="BP9" s="13" t="s">
        <v>131</v>
      </c>
      <c r="BQ9" s="15" t="str">
        <f>VLOOKUP(BP9,'Axe 2 Règles de gestion'!$D$2:$F$65,3, FALSE)</f>
        <v>La date de début du congé/absence doit être antérieure ou égale à la date de fin réelle du congé/absence.</v>
      </c>
      <c r="BR9" s="13" t="s">
        <v>133</v>
      </c>
      <c r="BS9" s="15" t="str">
        <f>VLOOKUP(BR9,'Axe 2 Règles de gestion'!$D$2:$F$65,3, FALSE)</f>
        <v>La date de début du congé/absence doit être antérieure ou égale à la date de fin prévisionnelle du congé/absence.</v>
      </c>
      <c r="BT9" s="13" t="s">
        <v>135</v>
      </c>
      <c r="BU9" s="15" t="str">
        <f>VLOOKUP(BT9,'Axe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9" s="13" t="s">
        <v>137</v>
      </c>
      <c r="BW9" s="15" t="str">
        <f>VLOOKUP(BV9,'Axe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9" s="13" t="s">
        <v>139</v>
      </c>
      <c r="BY9" s="15" t="str">
        <f>VLOOKUP(BX9,'Axe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9" s="13"/>
      <c r="CA9" s="15"/>
    </row>
    <row r="10" spans="1:79" ht="101.5" x14ac:dyDescent="0.35">
      <c r="A10" s="13" t="s">
        <v>141</v>
      </c>
      <c r="B10" s="13" t="s">
        <v>142</v>
      </c>
      <c r="C10" s="14">
        <v>44725.461111111108</v>
      </c>
      <c r="D10" s="13" t="s">
        <v>82</v>
      </c>
      <c r="E10" s="15" t="s">
        <v>83</v>
      </c>
      <c r="F10" s="13" t="s">
        <v>84</v>
      </c>
      <c r="G10" s="15" t="s">
        <v>85</v>
      </c>
      <c r="H10" s="13" t="s">
        <v>86</v>
      </c>
      <c r="I10" s="15" t="s">
        <v>85</v>
      </c>
      <c r="J10" s="15" t="s">
        <v>87</v>
      </c>
      <c r="K10" s="15" t="s">
        <v>88</v>
      </c>
      <c r="L10" s="13" t="s">
        <v>143</v>
      </c>
      <c r="M10" s="15" t="s">
        <v>144</v>
      </c>
      <c r="N10" s="13" t="s">
        <v>145</v>
      </c>
      <c r="O10" s="15"/>
      <c r="P10" s="15"/>
      <c r="Q10" s="15" t="s">
        <v>172</v>
      </c>
      <c r="R10" s="13" t="s">
        <v>173</v>
      </c>
      <c r="S10" s="13" t="s">
        <v>94</v>
      </c>
      <c r="T10" s="13" t="s">
        <v>95</v>
      </c>
      <c r="U10" s="14">
        <v>43826</v>
      </c>
      <c r="V10" s="14"/>
      <c r="W10" s="15" t="s">
        <v>171</v>
      </c>
      <c r="X10" s="13" t="s">
        <v>147</v>
      </c>
      <c r="Y10" s="15" t="str">
        <f>VLOOKUP(X10,'Axe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 t="s">
        <v>166</v>
      </c>
      <c r="BE10" s="15" t="str">
        <f>VLOOKUP(BD10,'Axe 2 Règles de gestion'!$D$2:$F$65,3, FALSE)</f>
        <v>Le congé est accordé pour une durée maximale de 12 mois.</v>
      </c>
      <c r="BF10" s="13"/>
      <c r="BG10" s="15"/>
      <c r="BH10" s="13"/>
      <c r="BI10" s="15"/>
      <c r="BJ10" s="13"/>
      <c r="BK10" s="15"/>
      <c r="BL10" s="13" t="s">
        <v>149</v>
      </c>
      <c r="BM10" s="15" t="str">
        <f>VLOOKUP(BL10,'Axe 2 Règles de gestion'!$D$2:$F$65,3, FALSE)</f>
        <v>La date de fin réelle du congé/absence doit être antérieure ou égale à la date limite de fin réelle ou prévisionnelle du lien juridique.</v>
      </c>
      <c r="BN10" s="13" t="s">
        <v>151</v>
      </c>
      <c r="BO10" s="15" t="str">
        <f>VLOOKUP(BN10,'Axe 2 Règles de gestion'!$D$2:$F$65,3, FALSE)</f>
        <v>La date de fin prévisionnelle du congé/absence doit être antérieure ou égale à la date limite de fin réelle ou prévisionnelle du lien juridique.</v>
      </c>
      <c r="BP10" s="13" t="s">
        <v>153</v>
      </c>
      <c r="BQ10" s="15" t="str">
        <f>VLOOKUP(BP10,'Axe 2 Règles de gestion'!$D$2:$F$65,3, FALSE)</f>
        <v>La date de fin réelle du congé/absence doit être antérieure à la date limite de départ à la retraite.</v>
      </c>
      <c r="BR10" s="13" t="s">
        <v>155</v>
      </c>
      <c r="BS10" s="15" t="str">
        <f>VLOOKUP(BR10,'Axe 2 Règles de gestion'!$D$2:$F$65,3, FALSE)</f>
        <v>La date de fin prévisionnelle du congé/absence doit être antérieure à la date limite de départ à la retraite.</v>
      </c>
      <c r="BT10" s="13" t="s">
        <v>157</v>
      </c>
      <c r="BU10" s="15" t="str">
        <f>VLOOKUP(BT10,'Axe 2 Règles de gestion'!$D$2:$F$65,3, FALSE)</f>
        <v>La date de fin réelle ou la date de fin prévisionnelle du congé/absence doit être saisie.</v>
      </c>
      <c r="BV10" s="13"/>
      <c r="BW10" s="15"/>
      <c r="BX10" s="13"/>
      <c r="BY10" s="15"/>
      <c r="BZ10" s="13"/>
      <c r="CA10" s="15"/>
    </row>
    <row r="11" spans="1:79" ht="130.5" x14ac:dyDescent="0.35">
      <c r="A11" s="13" t="s">
        <v>80</v>
      </c>
      <c r="B11" s="13" t="s">
        <v>81</v>
      </c>
      <c r="C11" s="14">
        <v>43899.688194444447</v>
      </c>
      <c r="D11" s="13" t="s">
        <v>82</v>
      </c>
      <c r="E11" s="15" t="s">
        <v>83</v>
      </c>
      <c r="F11" s="13" t="s">
        <v>84</v>
      </c>
      <c r="G11" s="15" t="s">
        <v>85</v>
      </c>
      <c r="H11" s="13" t="s">
        <v>86</v>
      </c>
      <c r="I11" s="15" t="s">
        <v>85</v>
      </c>
      <c r="J11" s="15" t="s">
        <v>87</v>
      </c>
      <c r="K11" s="15" t="s">
        <v>88</v>
      </c>
      <c r="L11" s="13" t="s">
        <v>89</v>
      </c>
      <c r="M11" s="15" t="s">
        <v>90</v>
      </c>
      <c r="N11" s="13" t="s">
        <v>91</v>
      </c>
      <c r="O11" s="15"/>
      <c r="P11" s="15"/>
      <c r="Q11" s="15" t="s">
        <v>177</v>
      </c>
      <c r="R11" s="13" t="s">
        <v>178</v>
      </c>
      <c r="S11" s="13" t="s">
        <v>94</v>
      </c>
      <c r="T11" s="13" t="s">
        <v>95</v>
      </c>
      <c r="U11" s="14">
        <v>43826</v>
      </c>
      <c r="V11" s="14"/>
      <c r="W11" s="15" t="s">
        <v>179</v>
      </c>
      <c r="X11" s="13" t="s">
        <v>97</v>
      </c>
      <c r="Y11" s="15" t="str">
        <f>VLOOKUP(X11,'Axe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Z11" s="13" t="s">
        <v>99</v>
      </c>
      <c r="AA11" s="15" t="str">
        <f>VLOOKUP(Z11,'Axe 2 Règles de gestion'!$D$2:$F$65,3, FALSE)</f>
        <v>Le comité social d'administration compétent est consulté sur la mise en place du congé.</v>
      </c>
      <c r="AB11" s="13" t="s">
        <v>101</v>
      </c>
      <c r="AC11" s="15" t="str">
        <f>VLOOKUP(AB11,'Axe 2 Règles de gestion'!$D$2:$F$65,3, FALSE)</f>
        <v>Le congé peut être fractionné en mois, semaines ou journées.</v>
      </c>
      <c r="AD11" s="13" t="s">
        <v>103</v>
      </c>
      <c r="AE11" s="15" t="str">
        <f>VLOOKUP(AD11,'Axe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F11" s="13" t="s">
        <v>105</v>
      </c>
      <c r="AG11" s="15" t="str">
        <f>VLOOKUP(AF11,'Axe 2 Règles de gestion'!$D$2:$F$65,3, FALSE)</f>
        <v>L'agent doit effectuer une demande.</v>
      </c>
      <c r="AH11" s="13" t="s">
        <v>107</v>
      </c>
      <c r="AI11" s="15" t="str">
        <f>VLOOKUP(AH11,'Axe 2 Règles de gestion'!$D$2:$F$65,3, FALSE)</f>
        <v>La demande de congé précise la nature de la formation, sa durée, le nom de l'organisme qui la dispense et l'objectif professionnel visé.</v>
      </c>
      <c r="AJ11" s="13" t="s">
        <v>109</v>
      </c>
      <c r="AK11" s="15" t="str">
        <f>VLOOKUP(AJ11,'Axe 2 Règles de gestion'!$D$2:$F$65,3, FALSE)</f>
        <v>L'administration informe l'agent de sa réponse par écrit dans le délai de 30 jours suivant la réception de la demande.</v>
      </c>
      <c r="AL11" s="13" t="s">
        <v>111</v>
      </c>
      <c r="AM11" s="15" t="str">
        <f>VLOOKUP(AL11,'Axe 2 Règles de gestion'!$D$2:$F$65,3, FALSE)</f>
        <v>La décision de rejet du congé doit être motivée.</v>
      </c>
      <c r="AN11" s="13" t="s">
        <v>113</v>
      </c>
      <c r="AO11" s="15" t="str">
        <f>VLOOKUP(AN11,'Axe 2 Règles de gestion'!$D$2:$F$65,3, FALSE)</f>
        <v>Le bénéfice du congé peut être différé dans l'intérêt du service.</v>
      </c>
      <c r="AP11" s="13" t="s">
        <v>115</v>
      </c>
      <c r="AQ11" s="15" t="str">
        <f>VLOOKUP(AP11,'Axe 2 Règles de gestion'!$D$2:$F$65,3, FALSE)</f>
        <v>L'agent transmet les attestations établies par l'organisme de formation, justifiant son assiduité à l'action de formation, sinon il perd le bénéfice de ce congé.</v>
      </c>
      <c r="AR11" s="13" t="s">
        <v>117</v>
      </c>
      <c r="AS11" s="15" t="str">
        <f>VLOOKUP(AR11,'Axe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T11" s="13" t="s">
        <v>119</v>
      </c>
      <c r="AU11" s="15" t="str">
        <f>VLOOKUP(AT11,'Axe 2 Règles de gestion'!$D$2:$F$65,3, FALSE)</f>
        <v>Le silence gardé par l'administration à l'issue de ce délai vaut rejet de la demande.</v>
      </c>
      <c r="AV11" s="13"/>
      <c r="AW11" s="15"/>
      <c r="AX11" s="13"/>
      <c r="AY11" s="15"/>
      <c r="AZ11" s="13"/>
      <c r="BA11" s="15"/>
      <c r="BB11" s="13"/>
      <c r="BC11" s="15"/>
      <c r="BD11" s="13" t="s">
        <v>121</v>
      </c>
      <c r="BE11" s="15" t="str">
        <f>VLOOKUP(BD11,'Axe 2 Règles de gestion'!$D$2:$F$65,3, FALSE)</f>
        <v>L'agent doit être en activité.</v>
      </c>
      <c r="BF11" s="13" t="s">
        <v>166</v>
      </c>
      <c r="BG11" s="15" t="str">
        <f>VLOOKUP(BF11,'Axe 2 Règles de gestion'!$D$2:$F$65,3, FALSE)</f>
        <v>Le congé est accordé pour une durée maximale de 12 mois.</v>
      </c>
      <c r="BH11" s="13" t="s">
        <v>125</v>
      </c>
      <c r="BI11" s="15" t="str">
        <f>VLOOKUP(BH11,'Axe 2 Règles de gestion'!$D$2:$F$65,3, FALSE)</f>
        <v>La demande de congé doit être formulée au moins 60 jours avant la date de début de la formation liée au congé.</v>
      </c>
      <c r="BJ11" s="13"/>
      <c r="BK11" s="15"/>
      <c r="BL11" s="13" t="s">
        <v>127</v>
      </c>
      <c r="BM11" s="15" t="str">
        <f>VLOOKUP(BL11,'Axe 2 Règles de gestion'!$D$2:$F$65,3, FALSE)</f>
        <v>La date de début du congé/absence doit être postérieure ou égale à la date de recrutement dans la FPE ou dans la carrière militaire.</v>
      </c>
      <c r="BN11" s="13" t="s">
        <v>129</v>
      </c>
      <c r="BO11" s="15" t="str">
        <f>VLOOKUP(BN11,'Axe 2 Règles de gestion'!$D$2:$F$65,3, FALSE)</f>
        <v>La date de début du congé/absence doit être postérieure ou égale à la date de début du lien juridique.</v>
      </c>
      <c r="BP11" s="13" t="s">
        <v>131</v>
      </c>
      <c r="BQ11" s="15" t="str">
        <f>VLOOKUP(BP11,'Axe 2 Règles de gestion'!$D$2:$F$65,3, FALSE)</f>
        <v>La date de début du congé/absence doit être antérieure ou égale à la date de fin réelle du congé/absence.</v>
      </c>
      <c r="BR11" s="13" t="s">
        <v>133</v>
      </c>
      <c r="BS11" s="15" t="str">
        <f>VLOOKUP(BR11,'Axe 2 Règles de gestion'!$D$2:$F$65,3, FALSE)</f>
        <v>La date de début du congé/absence doit être antérieure ou égale à la date de fin prévisionnelle du congé/absence.</v>
      </c>
      <c r="BT11" s="13" t="s">
        <v>135</v>
      </c>
      <c r="BU11" s="15" t="str">
        <f>VLOOKUP(BT11,'Axe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11" s="13" t="s">
        <v>137</v>
      </c>
      <c r="BW11" s="15" t="str">
        <f>VLOOKUP(BV11,'Axe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11" s="13" t="s">
        <v>139</v>
      </c>
      <c r="BY11" s="15" t="str">
        <f>VLOOKUP(BX11,'Axe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11" s="13"/>
      <c r="CA11" s="15"/>
    </row>
    <row r="12" spans="1:79" ht="101.5" x14ac:dyDescent="0.35">
      <c r="A12" s="13" t="s">
        <v>141</v>
      </c>
      <c r="B12" s="13" t="s">
        <v>142</v>
      </c>
      <c r="C12" s="14">
        <v>44725.417361111111</v>
      </c>
      <c r="D12" s="13" t="s">
        <v>82</v>
      </c>
      <c r="E12" s="15" t="s">
        <v>83</v>
      </c>
      <c r="F12" s="13" t="s">
        <v>84</v>
      </c>
      <c r="G12" s="15" t="s">
        <v>85</v>
      </c>
      <c r="H12" s="13" t="s">
        <v>86</v>
      </c>
      <c r="I12" s="15" t="s">
        <v>85</v>
      </c>
      <c r="J12" s="15" t="s">
        <v>87</v>
      </c>
      <c r="K12" s="15" t="s">
        <v>88</v>
      </c>
      <c r="L12" s="13" t="s">
        <v>143</v>
      </c>
      <c r="M12" s="15" t="s">
        <v>144</v>
      </c>
      <c r="N12" s="13" t="s">
        <v>145</v>
      </c>
      <c r="O12" s="15"/>
      <c r="P12" s="15"/>
      <c r="Q12" s="15" t="s">
        <v>177</v>
      </c>
      <c r="R12" s="13" t="s">
        <v>178</v>
      </c>
      <c r="S12" s="13" t="s">
        <v>94</v>
      </c>
      <c r="T12" s="13" t="s">
        <v>95</v>
      </c>
      <c r="U12" s="14">
        <v>43826</v>
      </c>
      <c r="V12" s="14"/>
      <c r="W12" s="15" t="s">
        <v>171</v>
      </c>
      <c r="X12" s="13" t="s">
        <v>147</v>
      </c>
      <c r="Y12" s="15" t="str">
        <f>VLOOKUP(X12,'Axe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5"/>
      <c r="AP12" s="13"/>
      <c r="AQ12" s="15"/>
      <c r="AR12" s="13"/>
      <c r="AS12" s="15"/>
      <c r="AT12" s="13"/>
      <c r="AU12" s="15"/>
      <c r="AV12" s="13"/>
      <c r="AW12" s="15"/>
      <c r="AX12" s="13"/>
      <c r="AY12" s="15"/>
      <c r="AZ12" s="13"/>
      <c r="BA12" s="15"/>
      <c r="BB12" s="13"/>
      <c r="BC12" s="15"/>
      <c r="BD12" s="13" t="s">
        <v>166</v>
      </c>
      <c r="BE12" s="15" t="str">
        <f>VLOOKUP(BD12,'Axe 2 Règles de gestion'!$D$2:$F$65,3, FALSE)</f>
        <v>Le congé est accordé pour une durée maximale de 12 mois.</v>
      </c>
      <c r="BF12" s="13"/>
      <c r="BG12" s="15"/>
      <c r="BH12" s="13"/>
      <c r="BI12" s="15"/>
      <c r="BJ12" s="13"/>
      <c r="BK12" s="15"/>
      <c r="BL12" s="13" t="s">
        <v>149</v>
      </c>
      <c r="BM12" s="15" t="str">
        <f>VLOOKUP(BL12,'Axe 2 Règles de gestion'!$D$2:$F$65,3, FALSE)</f>
        <v>La date de fin réelle du congé/absence doit être antérieure ou égale à la date limite de fin réelle ou prévisionnelle du lien juridique.</v>
      </c>
      <c r="BN12" s="13" t="s">
        <v>151</v>
      </c>
      <c r="BO12" s="15" t="str">
        <f>VLOOKUP(BN12,'Axe 2 Règles de gestion'!$D$2:$F$65,3, FALSE)</f>
        <v>La date de fin prévisionnelle du congé/absence doit être antérieure ou égale à la date limite de fin réelle ou prévisionnelle du lien juridique.</v>
      </c>
      <c r="BP12" s="13" t="s">
        <v>153</v>
      </c>
      <c r="BQ12" s="15" t="str">
        <f>VLOOKUP(BP12,'Axe 2 Règles de gestion'!$D$2:$F$65,3, FALSE)</f>
        <v>La date de fin réelle du congé/absence doit être antérieure à la date limite de départ à la retraite.</v>
      </c>
      <c r="BR12" s="13" t="s">
        <v>155</v>
      </c>
      <c r="BS12" s="15" t="str">
        <f>VLOOKUP(BR12,'Axe 2 Règles de gestion'!$D$2:$F$65,3, FALSE)</f>
        <v>La date de fin prévisionnelle du congé/absence doit être antérieure à la date limite de départ à la retraite.</v>
      </c>
      <c r="BT12" s="13" t="s">
        <v>157</v>
      </c>
      <c r="BU12" s="15" t="str">
        <f>VLOOKUP(BT12,'Axe 2 Règles de gestion'!$D$2:$F$65,3, FALSE)</f>
        <v>La date de fin réelle ou la date de fin prévisionnelle du congé/absence doit être saisie.</v>
      </c>
      <c r="BV12" s="13"/>
      <c r="BW12" s="15"/>
      <c r="BX12" s="13"/>
      <c r="BY12" s="15"/>
      <c r="BZ12" s="13"/>
      <c r="CA12" s="15"/>
    </row>
    <row r="13" spans="1:79" ht="43.5" x14ac:dyDescent="0.35">
      <c r="A13" s="13" t="s">
        <v>80</v>
      </c>
      <c r="B13" s="13" t="s">
        <v>81</v>
      </c>
      <c r="C13" s="14">
        <v>43894.619444444441</v>
      </c>
      <c r="D13" s="13" t="s">
        <v>82</v>
      </c>
      <c r="E13" s="15" t="s">
        <v>83</v>
      </c>
      <c r="F13" s="13" t="s">
        <v>84</v>
      </c>
      <c r="G13" s="15" t="s">
        <v>85</v>
      </c>
      <c r="H13" s="13" t="s">
        <v>86</v>
      </c>
      <c r="I13" s="15" t="s">
        <v>85</v>
      </c>
      <c r="J13" s="15" t="s">
        <v>87</v>
      </c>
      <c r="K13" s="15" t="s">
        <v>88</v>
      </c>
      <c r="L13" s="13" t="s">
        <v>89</v>
      </c>
      <c r="M13" s="15" t="s">
        <v>90</v>
      </c>
      <c r="N13" s="13" t="s">
        <v>91</v>
      </c>
      <c r="O13" s="15"/>
      <c r="P13" s="15"/>
      <c r="Q13" s="15" t="s">
        <v>180</v>
      </c>
      <c r="R13" s="13" t="s">
        <v>181</v>
      </c>
      <c r="S13" s="13" t="s">
        <v>182</v>
      </c>
      <c r="T13" s="13" t="s">
        <v>162</v>
      </c>
      <c r="U13" s="14">
        <v>43826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/>
      <c r="AW13" s="15"/>
      <c r="AX13" s="13"/>
      <c r="AY13" s="15"/>
      <c r="AZ13" s="13"/>
      <c r="BA13" s="15"/>
      <c r="BB13" s="13"/>
      <c r="BC13" s="15"/>
      <c r="BD13" s="13"/>
      <c r="BE13" s="15"/>
      <c r="BF13" s="13"/>
      <c r="BG13" s="15"/>
      <c r="BH13" s="13"/>
      <c r="BI13" s="15"/>
      <c r="BJ13" s="13"/>
      <c r="BK13" s="15"/>
      <c r="BL13" s="13"/>
      <c r="BM13" s="15"/>
      <c r="BN13" s="13"/>
      <c r="BO13" s="15"/>
      <c r="BP13" s="13"/>
      <c r="BQ13" s="15"/>
      <c r="BR13" s="13"/>
      <c r="BS13" s="15"/>
      <c r="BT13" s="13"/>
      <c r="BU13" s="15"/>
      <c r="BV13" s="13"/>
      <c r="BW13" s="15"/>
      <c r="BX13" s="13"/>
      <c r="BY13" s="15"/>
      <c r="BZ13" s="13"/>
      <c r="CA13" s="15"/>
    </row>
    <row r="14" spans="1:79" ht="43.5" x14ac:dyDescent="0.35">
      <c r="A14" s="13" t="s">
        <v>80</v>
      </c>
      <c r="B14" s="13" t="s">
        <v>81</v>
      </c>
      <c r="C14" s="14">
        <v>43894.611111111109</v>
      </c>
      <c r="D14" s="13" t="s">
        <v>82</v>
      </c>
      <c r="E14" s="15" t="s">
        <v>83</v>
      </c>
      <c r="F14" s="13" t="s">
        <v>84</v>
      </c>
      <c r="G14" s="15" t="s">
        <v>85</v>
      </c>
      <c r="H14" s="13" t="s">
        <v>86</v>
      </c>
      <c r="I14" s="15" t="s">
        <v>85</v>
      </c>
      <c r="J14" s="15" t="s">
        <v>87</v>
      </c>
      <c r="K14" s="15" t="s">
        <v>88</v>
      </c>
      <c r="L14" s="13" t="s">
        <v>143</v>
      </c>
      <c r="M14" s="15" t="s">
        <v>144</v>
      </c>
      <c r="N14" s="13" t="s">
        <v>145</v>
      </c>
      <c r="O14" s="15"/>
      <c r="P14" s="15"/>
      <c r="Q14" s="15" t="s">
        <v>180</v>
      </c>
      <c r="R14" s="13" t="s">
        <v>181</v>
      </c>
      <c r="S14" s="13" t="s">
        <v>182</v>
      </c>
      <c r="T14" s="13" t="s">
        <v>162</v>
      </c>
      <c r="U14" s="14">
        <v>43826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  <c r="AN14" s="13"/>
      <c r="AO14" s="15"/>
      <c r="AP14" s="13"/>
      <c r="AQ14" s="15"/>
      <c r="AR14" s="13"/>
      <c r="AS14" s="15"/>
      <c r="AT14" s="13"/>
      <c r="AU14" s="15"/>
      <c r="AV14" s="13"/>
      <c r="AW14" s="15"/>
      <c r="AX14" s="13"/>
      <c r="AY14" s="15"/>
      <c r="AZ14" s="13"/>
      <c r="BA14" s="15"/>
      <c r="BB14" s="13"/>
      <c r="BC14" s="15"/>
      <c r="BD14" s="13"/>
      <c r="BE14" s="15"/>
      <c r="BF14" s="13"/>
      <c r="BG14" s="15"/>
      <c r="BH14" s="13"/>
      <c r="BI14" s="15"/>
      <c r="BJ14" s="13"/>
      <c r="BK14" s="15"/>
      <c r="BL14" s="13"/>
      <c r="BM14" s="15"/>
      <c r="BN14" s="13"/>
      <c r="BO14" s="15"/>
      <c r="BP14" s="13"/>
      <c r="BQ14" s="15"/>
      <c r="BR14" s="13"/>
      <c r="BS14" s="15"/>
      <c r="BT14" s="13"/>
      <c r="BU14" s="15"/>
      <c r="BV14" s="13"/>
      <c r="BW14" s="15"/>
      <c r="BX14" s="13"/>
      <c r="BY14" s="15"/>
      <c r="BZ14" s="13"/>
      <c r="CA14" s="15"/>
    </row>
    <row r="15" spans="1:79" ht="43.5" x14ac:dyDescent="0.35">
      <c r="A15" s="13" t="s">
        <v>80</v>
      </c>
      <c r="B15" s="13" t="s">
        <v>81</v>
      </c>
      <c r="C15" s="14">
        <v>43894.620138888888</v>
      </c>
      <c r="D15" s="13" t="s">
        <v>82</v>
      </c>
      <c r="E15" s="15" t="s">
        <v>83</v>
      </c>
      <c r="F15" s="13" t="s">
        <v>84</v>
      </c>
      <c r="G15" s="15" t="s">
        <v>85</v>
      </c>
      <c r="H15" s="13" t="s">
        <v>86</v>
      </c>
      <c r="I15" s="15" t="s">
        <v>85</v>
      </c>
      <c r="J15" s="15" t="s">
        <v>87</v>
      </c>
      <c r="K15" s="15" t="s">
        <v>88</v>
      </c>
      <c r="L15" s="13" t="s">
        <v>89</v>
      </c>
      <c r="M15" s="15" t="s">
        <v>90</v>
      </c>
      <c r="N15" s="13" t="s">
        <v>91</v>
      </c>
      <c r="O15" s="15"/>
      <c r="P15" s="15"/>
      <c r="Q15" s="15" t="s">
        <v>183</v>
      </c>
      <c r="R15" s="13" t="s">
        <v>184</v>
      </c>
      <c r="S15" s="13" t="s">
        <v>182</v>
      </c>
      <c r="T15" s="13" t="s">
        <v>162</v>
      </c>
      <c r="U15" s="14">
        <v>43826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/>
      <c r="AQ15" s="15"/>
      <c r="AR15" s="13"/>
      <c r="AS15" s="15"/>
      <c r="AT15" s="13"/>
      <c r="AU15" s="15"/>
      <c r="AV15" s="13"/>
      <c r="AW15" s="15"/>
      <c r="AX15" s="13"/>
      <c r="AY15" s="15"/>
      <c r="AZ15" s="13"/>
      <c r="BA15" s="15"/>
      <c r="BB15" s="13"/>
      <c r="BC15" s="15"/>
      <c r="BD15" s="13"/>
      <c r="BE15" s="15"/>
      <c r="BF15" s="13"/>
      <c r="BG15" s="15"/>
      <c r="BH15" s="13"/>
      <c r="BI15" s="15"/>
      <c r="BJ15" s="13"/>
      <c r="BK15" s="15"/>
      <c r="BL15" s="13"/>
      <c r="BM15" s="15"/>
      <c r="BN15" s="13"/>
      <c r="BO15" s="15"/>
      <c r="BP15" s="13"/>
      <c r="BQ15" s="15"/>
      <c r="BR15" s="13"/>
      <c r="BS15" s="15"/>
      <c r="BT15" s="13"/>
      <c r="BU15" s="15"/>
      <c r="BV15" s="13"/>
      <c r="BW15" s="15"/>
      <c r="BX15" s="13"/>
      <c r="BY15" s="15"/>
      <c r="BZ15" s="13"/>
      <c r="CA15" s="15"/>
    </row>
    <row r="16" spans="1:79" ht="43.5" x14ac:dyDescent="0.35">
      <c r="A16" s="13" t="s">
        <v>80</v>
      </c>
      <c r="B16" s="13" t="s">
        <v>81</v>
      </c>
      <c r="C16" s="14">
        <v>43894.611111111109</v>
      </c>
      <c r="D16" s="13" t="s">
        <v>82</v>
      </c>
      <c r="E16" s="15" t="s">
        <v>83</v>
      </c>
      <c r="F16" s="13" t="s">
        <v>84</v>
      </c>
      <c r="G16" s="15" t="s">
        <v>85</v>
      </c>
      <c r="H16" s="13" t="s">
        <v>86</v>
      </c>
      <c r="I16" s="15" t="s">
        <v>85</v>
      </c>
      <c r="J16" s="15" t="s">
        <v>87</v>
      </c>
      <c r="K16" s="15" t="s">
        <v>88</v>
      </c>
      <c r="L16" s="13" t="s">
        <v>143</v>
      </c>
      <c r="M16" s="15" t="s">
        <v>144</v>
      </c>
      <c r="N16" s="13" t="s">
        <v>145</v>
      </c>
      <c r="O16" s="15"/>
      <c r="P16" s="15"/>
      <c r="Q16" s="15" t="s">
        <v>183</v>
      </c>
      <c r="R16" s="13" t="s">
        <v>184</v>
      </c>
      <c r="S16" s="13" t="s">
        <v>182</v>
      </c>
      <c r="T16" s="13" t="s">
        <v>162</v>
      </c>
      <c r="U16" s="14">
        <v>43826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5"/>
      <c r="AP16" s="13"/>
      <c r="AQ16" s="15"/>
      <c r="AR16" s="13"/>
      <c r="AS16" s="15"/>
      <c r="AT16" s="13"/>
      <c r="AU16" s="15"/>
      <c r="AV16" s="13"/>
      <c r="AW16" s="15"/>
      <c r="AX16" s="13"/>
      <c r="AY16" s="15"/>
      <c r="AZ16" s="13"/>
      <c r="BA16" s="15"/>
      <c r="BB16" s="13"/>
      <c r="BC16" s="15"/>
      <c r="BD16" s="13"/>
      <c r="BE16" s="15"/>
      <c r="BF16" s="13"/>
      <c r="BG16" s="15"/>
      <c r="BH16" s="13"/>
      <c r="BI16" s="15"/>
      <c r="BJ16" s="13"/>
      <c r="BK16" s="15"/>
      <c r="BL16" s="13"/>
      <c r="BM16" s="15"/>
      <c r="BN16" s="13"/>
      <c r="BO16" s="15"/>
      <c r="BP16" s="13"/>
      <c r="BQ16" s="15"/>
      <c r="BR16" s="13"/>
      <c r="BS16" s="15"/>
      <c r="BT16" s="13"/>
      <c r="BU16" s="15"/>
      <c r="BV16" s="13"/>
      <c r="BW16" s="15"/>
      <c r="BX16" s="13"/>
      <c r="BY16" s="15"/>
      <c r="BZ16" s="13"/>
      <c r="CA16" s="15"/>
    </row>
    <row r="17" spans="1:79" ht="43.5" x14ac:dyDescent="0.35">
      <c r="A17" s="13" t="s">
        <v>80</v>
      </c>
      <c r="B17" s="13" t="s">
        <v>81</v>
      </c>
      <c r="C17" s="14">
        <v>43894.620138888888</v>
      </c>
      <c r="D17" s="13" t="s">
        <v>82</v>
      </c>
      <c r="E17" s="15" t="s">
        <v>83</v>
      </c>
      <c r="F17" s="13" t="s">
        <v>84</v>
      </c>
      <c r="G17" s="15" t="s">
        <v>85</v>
      </c>
      <c r="H17" s="13" t="s">
        <v>86</v>
      </c>
      <c r="I17" s="15" t="s">
        <v>85</v>
      </c>
      <c r="J17" s="15" t="s">
        <v>87</v>
      </c>
      <c r="K17" s="15" t="s">
        <v>88</v>
      </c>
      <c r="L17" s="13" t="s">
        <v>89</v>
      </c>
      <c r="M17" s="15" t="s">
        <v>90</v>
      </c>
      <c r="N17" s="13" t="s">
        <v>91</v>
      </c>
      <c r="O17" s="15"/>
      <c r="P17" s="15"/>
      <c r="Q17" s="15" t="s">
        <v>185</v>
      </c>
      <c r="R17" s="13" t="s">
        <v>186</v>
      </c>
      <c r="S17" s="13" t="s">
        <v>182</v>
      </c>
      <c r="T17" s="13" t="s">
        <v>162</v>
      </c>
      <c r="U17" s="14">
        <v>43826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  <c r="AF17" s="13"/>
      <c r="AG17" s="15"/>
      <c r="AH17" s="13"/>
      <c r="AI17" s="15"/>
      <c r="AJ17" s="13"/>
      <c r="AK17" s="15"/>
      <c r="AL17" s="13"/>
      <c r="AM17" s="15"/>
      <c r="AN17" s="13"/>
      <c r="AO17" s="15"/>
      <c r="AP17" s="13"/>
      <c r="AQ17" s="15"/>
      <c r="AR17" s="13"/>
      <c r="AS17" s="15"/>
      <c r="AT17" s="13"/>
      <c r="AU17" s="15"/>
      <c r="AV17" s="13"/>
      <c r="AW17" s="15"/>
      <c r="AX17" s="13"/>
      <c r="AY17" s="15"/>
      <c r="AZ17" s="13"/>
      <c r="BA17" s="15"/>
      <c r="BB17" s="13"/>
      <c r="BC17" s="15"/>
      <c r="BD17" s="13"/>
      <c r="BE17" s="15"/>
      <c r="BF17" s="13"/>
      <c r="BG17" s="15"/>
      <c r="BH17" s="13"/>
      <c r="BI17" s="15"/>
      <c r="BJ17" s="13"/>
      <c r="BK17" s="15"/>
      <c r="BL17" s="13"/>
      <c r="BM17" s="15"/>
      <c r="BN17" s="13"/>
      <c r="BO17" s="15"/>
      <c r="BP17" s="13"/>
      <c r="BQ17" s="15"/>
      <c r="BR17" s="13"/>
      <c r="BS17" s="15"/>
      <c r="BT17" s="13"/>
      <c r="BU17" s="15"/>
      <c r="BV17" s="13"/>
      <c r="BW17" s="15"/>
      <c r="BX17" s="13"/>
      <c r="BY17" s="15"/>
      <c r="BZ17" s="13"/>
      <c r="CA17" s="15"/>
    </row>
    <row r="18" spans="1:79" ht="43.5" x14ac:dyDescent="0.35">
      <c r="A18" s="13" t="s">
        <v>80</v>
      </c>
      <c r="B18" s="13" t="s">
        <v>81</v>
      </c>
      <c r="C18" s="14">
        <v>43894.611805555556</v>
      </c>
      <c r="D18" s="13" t="s">
        <v>82</v>
      </c>
      <c r="E18" s="15" t="s">
        <v>83</v>
      </c>
      <c r="F18" s="13" t="s">
        <v>84</v>
      </c>
      <c r="G18" s="15" t="s">
        <v>85</v>
      </c>
      <c r="H18" s="13" t="s">
        <v>86</v>
      </c>
      <c r="I18" s="15" t="s">
        <v>85</v>
      </c>
      <c r="J18" s="15" t="s">
        <v>87</v>
      </c>
      <c r="K18" s="15" t="s">
        <v>88</v>
      </c>
      <c r="L18" s="13" t="s">
        <v>143</v>
      </c>
      <c r="M18" s="15" t="s">
        <v>144</v>
      </c>
      <c r="N18" s="13" t="s">
        <v>145</v>
      </c>
      <c r="O18" s="15"/>
      <c r="P18" s="15"/>
      <c r="Q18" s="15" t="s">
        <v>185</v>
      </c>
      <c r="R18" s="13" t="s">
        <v>186</v>
      </c>
      <c r="S18" s="13" t="s">
        <v>182</v>
      </c>
      <c r="T18" s="13" t="s">
        <v>162</v>
      </c>
      <c r="U18" s="14">
        <v>43826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5"/>
      <c r="AP18" s="13"/>
      <c r="AQ18" s="15"/>
      <c r="AR18" s="13"/>
      <c r="AS18" s="15"/>
      <c r="AT18" s="13"/>
      <c r="AU18" s="15"/>
      <c r="AV18" s="13"/>
      <c r="AW18" s="15"/>
      <c r="AX18" s="13"/>
      <c r="AY18" s="15"/>
      <c r="AZ18" s="13"/>
      <c r="BA18" s="15"/>
      <c r="BB18" s="13"/>
      <c r="BC18" s="15"/>
      <c r="BD18" s="13"/>
      <c r="BE18" s="15"/>
      <c r="BF18" s="13"/>
      <c r="BG18" s="15"/>
      <c r="BH18" s="13"/>
      <c r="BI18" s="15"/>
      <c r="BJ18" s="13"/>
      <c r="BK18" s="15"/>
      <c r="BL18" s="13"/>
      <c r="BM18" s="15"/>
      <c r="BN18" s="13"/>
      <c r="BO18" s="15"/>
      <c r="BP18" s="13"/>
      <c r="BQ18" s="15"/>
      <c r="BR18" s="13"/>
      <c r="BS18" s="15"/>
      <c r="BT18" s="13"/>
      <c r="BU18" s="15"/>
      <c r="BV18" s="13"/>
      <c r="BW18" s="15"/>
      <c r="BX18" s="13"/>
      <c r="BY18" s="15"/>
      <c r="BZ18" s="13"/>
      <c r="CA18" s="15"/>
    </row>
    <row r="19" spans="1:79" ht="43.5" x14ac:dyDescent="0.35">
      <c r="A19" s="13" t="s">
        <v>80</v>
      </c>
      <c r="B19" s="13" t="s">
        <v>81</v>
      </c>
      <c r="C19" s="14">
        <v>43894.620833333334</v>
      </c>
      <c r="D19" s="13" t="s">
        <v>82</v>
      </c>
      <c r="E19" s="15" t="s">
        <v>83</v>
      </c>
      <c r="F19" s="13" t="s">
        <v>84</v>
      </c>
      <c r="G19" s="15" t="s">
        <v>85</v>
      </c>
      <c r="H19" s="13" t="s">
        <v>86</v>
      </c>
      <c r="I19" s="15" t="s">
        <v>85</v>
      </c>
      <c r="J19" s="15" t="s">
        <v>87</v>
      </c>
      <c r="K19" s="15" t="s">
        <v>88</v>
      </c>
      <c r="L19" s="13" t="s">
        <v>89</v>
      </c>
      <c r="M19" s="15" t="s">
        <v>90</v>
      </c>
      <c r="N19" s="13" t="s">
        <v>91</v>
      </c>
      <c r="O19" s="15"/>
      <c r="P19" s="15"/>
      <c r="Q19" s="15" t="s">
        <v>187</v>
      </c>
      <c r="R19" s="13" t="s">
        <v>188</v>
      </c>
      <c r="S19" s="13" t="s">
        <v>182</v>
      </c>
      <c r="T19" s="13" t="s">
        <v>162</v>
      </c>
      <c r="U19" s="14">
        <v>43826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5"/>
      <c r="AP19" s="13"/>
      <c r="AQ19" s="15"/>
      <c r="AR19" s="13"/>
      <c r="AS19" s="15"/>
      <c r="AT19" s="13"/>
      <c r="AU19" s="15"/>
      <c r="AV19" s="13"/>
      <c r="AW19" s="15"/>
      <c r="AX19" s="13"/>
      <c r="AY19" s="15"/>
      <c r="AZ19" s="13"/>
      <c r="BA19" s="15"/>
      <c r="BB19" s="13"/>
      <c r="BC19" s="15"/>
      <c r="BD19" s="13"/>
      <c r="BE19" s="15"/>
      <c r="BF19" s="13"/>
      <c r="BG19" s="15"/>
      <c r="BH19" s="13"/>
      <c r="BI19" s="15"/>
      <c r="BJ19" s="13"/>
      <c r="BK19" s="15"/>
      <c r="BL19" s="13"/>
      <c r="BM19" s="15"/>
      <c r="BN19" s="13"/>
      <c r="BO19" s="15"/>
      <c r="BP19" s="13"/>
      <c r="BQ19" s="15"/>
      <c r="BR19" s="13"/>
      <c r="BS19" s="15"/>
      <c r="BT19" s="13"/>
      <c r="BU19" s="15"/>
      <c r="BV19" s="13"/>
      <c r="BW19" s="15"/>
      <c r="BX19" s="13"/>
      <c r="BY19" s="15"/>
      <c r="BZ19" s="13"/>
      <c r="CA19" s="15"/>
    </row>
    <row r="20" spans="1:79" ht="43.5" x14ac:dyDescent="0.35">
      <c r="A20" s="13" t="s">
        <v>80</v>
      </c>
      <c r="B20" s="13" t="s">
        <v>81</v>
      </c>
      <c r="C20" s="14">
        <v>43894.612500000003</v>
      </c>
      <c r="D20" s="13" t="s">
        <v>82</v>
      </c>
      <c r="E20" s="15" t="s">
        <v>83</v>
      </c>
      <c r="F20" s="13" t="s">
        <v>84</v>
      </c>
      <c r="G20" s="15" t="s">
        <v>85</v>
      </c>
      <c r="H20" s="13" t="s">
        <v>86</v>
      </c>
      <c r="I20" s="15" t="s">
        <v>85</v>
      </c>
      <c r="J20" s="15" t="s">
        <v>87</v>
      </c>
      <c r="K20" s="15" t="s">
        <v>88</v>
      </c>
      <c r="L20" s="13" t="s">
        <v>143</v>
      </c>
      <c r="M20" s="15" t="s">
        <v>144</v>
      </c>
      <c r="N20" s="13" t="s">
        <v>145</v>
      </c>
      <c r="O20" s="15"/>
      <c r="P20" s="15"/>
      <c r="Q20" s="15" t="s">
        <v>187</v>
      </c>
      <c r="R20" s="13" t="s">
        <v>188</v>
      </c>
      <c r="S20" s="13" t="s">
        <v>182</v>
      </c>
      <c r="T20" s="13" t="s">
        <v>162</v>
      </c>
      <c r="U20" s="14">
        <v>43826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5"/>
      <c r="AP20" s="13"/>
      <c r="AQ20" s="15"/>
      <c r="AR20" s="13"/>
      <c r="AS20" s="15"/>
      <c r="AT20" s="13"/>
      <c r="AU20" s="15"/>
      <c r="AV20" s="13"/>
      <c r="AW20" s="15"/>
      <c r="AX20" s="13"/>
      <c r="AY20" s="15"/>
      <c r="AZ20" s="13"/>
      <c r="BA20" s="15"/>
      <c r="BB20" s="13"/>
      <c r="BC20" s="15"/>
      <c r="BD20" s="13"/>
      <c r="BE20" s="15"/>
      <c r="BF20" s="13"/>
      <c r="BG20" s="15"/>
      <c r="BH20" s="13"/>
      <c r="BI20" s="15"/>
      <c r="BJ20" s="13"/>
      <c r="BK20" s="15"/>
      <c r="BL20" s="13"/>
      <c r="BM20" s="15"/>
      <c r="BN20" s="13"/>
      <c r="BO20" s="15"/>
      <c r="BP20" s="13"/>
      <c r="BQ20" s="15"/>
      <c r="BR20" s="13"/>
      <c r="BS20" s="15"/>
      <c r="BT20" s="13"/>
      <c r="BU20" s="15"/>
      <c r="BV20" s="13"/>
      <c r="BW20" s="15"/>
      <c r="BX20" s="13"/>
      <c r="BY20" s="15"/>
      <c r="BZ20" s="13"/>
      <c r="CA20" s="15"/>
    </row>
    <row r="21" spans="1:79" ht="43.5" x14ac:dyDescent="0.35">
      <c r="A21" s="13" t="s">
        <v>80</v>
      </c>
      <c r="B21" s="13" t="s">
        <v>81</v>
      </c>
      <c r="C21" s="14">
        <v>43894.625</v>
      </c>
      <c r="D21" s="13" t="s">
        <v>82</v>
      </c>
      <c r="E21" s="15" t="s">
        <v>83</v>
      </c>
      <c r="F21" s="13" t="s">
        <v>84</v>
      </c>
      <c r="G21" s="15" t="s">
        <v>85</v>
      </c>
      <c r="H21" s="13" t="s">
        <v>86</v>
      </c>
      <c r="I21" s="15" t="s">
        <v>85</v>
      </c>
      <c r="J21" s="15" t="s">
        <v>87</v>
      </c>
      <c r="K21" s="15" t="s">
        <v>88</v>
      </c>
      <c r="L21" s="13" t="s">
        <v>89</v>
      </c>
      <c r="M21" s="15" t="s">
        <v>90</v>
      </c>
      <c r="N21" s="13" t="s">
        <v>91</v>
      </c>
      <c r="O21" s="15"/>
      <c r="P21" s="15"/>
      <c r="Q21" s="15" t="s">
        <v>189</v>
      </c>
      <c r="R21" s="13" t="s">
        <v>190</v>
      </c>
      <c r="S21" s="13" t="s">
        <v>182</v>
      </c>
      <c r="T21" s="13" t="s">
        <v>162</v>
      </c>
      <c r="U21" s="14">
        <v>43826</v>
      </c>
      <c r="V21" s="14"/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5"/>
      <c r="AP21" s="13"/>
      <c r="AQ21" s="15"/>
      <c r="AR21" s="13"/>
      <c r="AS21" s="15"/>
      <c r="AT21" s="13"/>
      <c r="AU21" s="15"/>
      <c r="AV21" s="13"/>
      <c r="AW21" s="15"/>
      <c r="AX21" s="13"/>
      <c r="AY21" s="15"/>
      <c r="AZ21" s="13"/>
      <c r="BA21" s="15"/>
      <c r="BB21" s="13"/>
      <c r="BC21" s="15"/>
      <c r="BD21" s="13"/>
      <c r="BE21" s="15"/>
      <c r="BF21" s="13"/>
      <c r="BG21" s="15"/>
      <c r="BH21" s="13"/>
      <c r="BI21" s="15"/>
      <c r="BJ21" s="13"/>
      <c r="BK21" s="15"/>
      <c r="BL21" s="13"/>
      <c r="BM21" s="15"/>
      <c r="BN21" s="13"/>
      <c r="BO21" s="15"/>
      <c r="BP21" s="13"/>
      <c r="BQ21" s="15"/>
      <c r="BR21" s="13"/>
      <c r="BS21" s="15"/>
      <c r="BT21" s="13"/>
      <c r="BU21" s="15"/>
      <c r="BV21" s="13"/>
      <c r="BW21" s="15"/>
      <c r="BX21" s="13"/>
      <c r="BY21" s="15"/>
      <c r="BZ21" s="13"/>
      <c r="CA21" s="15"/>
    </row>
    <row r="22" spans="1:79" ht="43.5" x14ac:dyDescent="0.35">
      <c r="A22" s="13" t="s">
        <v>80</v>
      </c>
      <c r="B22" s="13" t="s">
        <v>81</v>
      </c>
      <c r="C22" s="14">
        <v>43894.613194444442</v>
      </c>
      <c r="D22" s="13" t="s">
        <v>82</v>
      </c>
      <c r="E22" s="15" t="s">
        <v>83</v>
      </c>
      <c r="F22" s="13" t="s">
        <v>84</v>
      </c>
      <c r="G22" s="15" t="s">
        <v>85</v>
      </c>
      <c r="H22" s="13" t="s">
        <v>86</v>
      </c>
      <c r="I22" s="15" t="s">
        <v>85</v>
      </c>
      <c r="J22" s="15" t="s">
        <v>87</v>
      </c>
      <c r="K22" s="15" t="s">
        <v>88</v>
      </c>
      <c r="L22" s="13" t="s">
        <v>143</v>
      </c>
      <c r="M22" s="15" t="s">
        <v>144</v>
      </c>
      <c r="N22" s="13" t="s">
        <v>145</v>
      </c>
      <c r="O22" s="15"/>
      <c r="P22" s="15"/>
      <c r="Q22" s="15" t="s">
        <v>189</v>
      </c>
      <c r="R22" s="13" t="s">
        <v>190</v>
      </c>
      <c r="S22" s="13" t="s">
        <v>182</v>
      </c>
      <c r="T22" s="13" t="s">
        <v>162</v>
      </c>
      <c r="U22" s="14">
        <v>43826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5"/>
      <c r="AP22" s="13"/>
      <c r="AQ22" s="15"/>
      <c r="AR22" s="13"/>
      <c r="AS22" s="15"/>
      <c r="AT22" s="13"/>
      <c r="AU22" s="15"/>
      <c r="AV22" s="13"/>
      <c r="AW22" s="15"/>
      <c r="AX22" s="13"/>
      <c r="AY22" s="15"/>
      <c r="AZ22" s="13"/>
      <c r="BA22" s="15"/>
      <c r="BB22" s="13"/>
      <c r="BC22" s="15"/>
      <c r="BD22" s="13"/>
      <c r="BE22" s="15"/>
      <c r="BF22" s="13"/>
      <c r="BG22" s="15"/>
      <c r="BH22" s="13"/>
      <c r="BI22" s="15"/>
      <c r="BJ22" s="13"/>
      <c r="BK22" s="15"/>
      <c r="BL22" s="13"/>
      <c r="BM22" s="15"/>
      <c r="BN22" s="13"/>
      <c r="BO22" s="15"/>
      <c r="BP22" s="13"/>
      <c r="BQ22" s="15"/>
      <c r="BR22" s="13"/>
      <c r="BS22" s="15"/>
      <c r="BT22" s="13"/>
      <c r="BU22" s="15"/>
      <c r="BV22" s="13"/>
      <c r="BW22" s="15"/>
      <c r="BX22" s="13"/>
      <c r="BY22" s="15"/>
      <c r="BZ22" s="13"/>
      <c r="CA22" s="15"/>
    </row>
    <row r="23" spans="1:79" ht="43.5" x14ac:dyDescent="0.35">
      <c r="A23" s="13" t="s">
        <v>80</v>
      </c>
      <c r="B23" s="13" t="s">
        <v>81</v>
      </c>
      <c r="C23" s="14">
        <v>43894.626388888886</v>
      </c>
      <c r="D23" s="13" t="s">
        <v>82</v>
      </c>
      <c r="E23" s="15" t="s">
        <v>83</v>
      </c>
      <c r="F23" s="13" t="s">
        <v>84</v>
      </c>
      <c r="G23" s="15" t="s">
        <v>85</v>
      </c>
      <c r="H23" s="13" t="s">
        <v>86</v>
      </c>
      <c r="I23" s="15" t="s">
        <v>85</v>
      </c>
      <c r="J23" s="15" t="s">
        <v>87</v>
      </c>
      <c r="K23" s="15" t="s">
        <v>88</v>
      </c>
      <c r="L23" s="13" t="s">
        <v>89</v>
      </c>
      <c r="M23" s="15" t="s">
        <v>90</v>
      </c>
      <c r="N23" s="13" t="s">
        <v>91</v>
      </c>
      <c r="O23" s="15"/>
      <c r="P23" s="15"/>
      <c r="Q23" s="15" t="s">
        <v>191</v>
      </c>
      <c r="R23" s="13" t="s">
        <v>192</v>
      </c>
      <c r="S23" s="13" t="s">
        <v>182</v>
      </c>
      <c r="T23" s="13" t="s">
        <v>162</v>
      </c>
      <c r="U23" s="14">
        <v>43826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5"/>
      <c r="AP23" s="13"/>
      <c r="AQ23" s="15"/>
      <c r="AR23" s="13"/>
      <c r="AS23" s="15"/>
      <c r="AT23" s="13"/>
      <c r="AU23" s="15"/>
      <c r="AV23" s="13"/>
      <c r="AW23" s="15"/>
      <c r="AX23" s="13"/>
      <c r="AY23" s="15"/>
      <c r="AZ23" s="13"/>
      <c r="BA23" s="15"/>
      <c r="BB23" s="13"/>
      <c r="BC23" s="15"/>
      <c r="BD23" s="13"/>
      <c r="BE23" s="15"/>
      <c r="BF23" s="13"/>
      <c r="BG23" s="15"/>
      <c r="BH23" s="13"/>
      <c r="BI23" s="15"/>
      <c r="BJ23" s="13"/>
      <c r="BK23" s="15"/>
      <c r="BL23" s="13"/>
      <c r="BM23" s="15"/>
      <c r="BN23" s="13"/>
      <c r="BO23" s="15"/>
      <c r="BP23" s="13"/>
      <c r="BQ23" s="15"/>
      <c r="BR23" s="13"/>
      <c r="BS23" s="15"/>
      <c r="BT23" s="13"/>
      <c r="BU23" s="15"/>
      <c r="BV23" s="13"/>
      <c r="BW23" s="15"/>
      <c r="BX23" s="13"/>
      <c r="BY23" s="15"/>
      <c r="BZ23" s="13"/>
      <c r="CA23" s="15"/>
    </row>
    <row r="24" spans="1:79" ht="43.5" x14ac:dyDescent="0.35">
      <c r="A24" s="13" t="s">
        <v>80</v>
      </c>
      <c r="B24" s="13" t="s">
        <v>81</v>
      </c>
      <c r="C24" s="14">
        <v>43894.613888888889</v>
      </c>
      <c r="D24" s="13" t="s">
        <v>82</v>
      </c>
      <c r="E24" s="15" t="s">
        <v>83</v>
      </c>
      <c r="F24" s="13" t="s">
        <v>84</v>
      </c>
      <c r="G24" s="15" t="s">
        <v>85</v>
      </c>
      <c r="H24" s="13" t="s">
        <v>86</v>
      </c>
      <c r="I24" s="15" t="s">
        <v>85</v>
      </c>
      <c r="J24" s="15" t="s">
        <v>87</v>
      </c>
      <c r="K24" s="15" t="s">
        <v>88</v>
      </c>
      <c r="L24" s="13" t="s">
        <v>143</v>
      </c>
      <c r="M24" s="15" t="s">
        <v>144</v>
      </c>
      <c r="N24" s="13" t="s">
        <v>145</v>
      </c>
      <c r="O24" s="15"/>
      <c r="P24" s="15"/>
      <c r="Q24" s="15" t="s">
        <v>191</v>
      </c>
      <c r="R24" s="13" t="s">
        <v>192</v>
      </c>
      <c r="S24" s="13" t="s">
        <v>182</v>
      </c>
      <c r="T24" s="13" t="s">
        <v>162</v>
      </c>
      <c r="U24" s="14">
        <v>43826</v>
      </c>
      <c r="V24" s="14"/>
      <c r="W24" s="15"/>
      <c r="X24" s="13"/>
      <c r="Y24" s="15"/>
      <c r="Z24" s="13"/>
      <c r="AA24" s="15"/>
      <c r="AB24" s="13"/>
      <c r="AC24" s="15"/>
      <c r="AD24" s="13"/>
      <c r="AE24" s="15"/>
      <c r="AF24" s="13"/>
      <c r="AG24" s="15"/>
      <c r="AH24" s="13"/>
      <c r="AI24" s="15"/>
      <c r="AJ24" s="13"/>
      <c r="AK24" s="15"/>
      <c r="AL24" s="13"/>
      <c r="AM24" s="15"/>
      <c r="AN24" s="13"/>
      <c r="AO24" s="15"/>
      <c r="AP24" s="13"/>
      <c r="AQ24" s="15"/>
      <c r="AR24" s="13"/>
      <c r="AS24" s="15"/>
      <c r="AT24" s="13"/>
      <c r="AU24" s="15"/>
      <c r="AV24" s="13"/>
      <c r="AW24" s="15"/>
      <c r="AX24" s="13"/>
      <c r="AY24" s="15"/>
      <c r="AZ24" s="13"/>
      <c r="BA24" s="15"/>
      <c r="BB24" s="13"/>
      <c r="BC24" s="15"/>
      <c r="BD24" s="13"/>
      <c r="BE24" s="15"/>
      <c r="BF24" s="13"/>
      <c r="BG24" s="15"/>
      <c r="BH24" s="13"/>
      <c r="BI24" s="15"/>
      <c r="BJ24" s="13"/>
      <c r="BK24" s="15"/>
      <c r="BL24" s="13"/>
      <c r="BM24" s="15"/>
      <c r="BN24" s="13"/>
      <c r="BO24" s="15"/>
      <c r="BP24" s="13"/>
      <c r="BQ24" s="15"/>
      <c r="BR24" s="13"/>
      <c r="BS24" s="15"/>
      <c r="BT24" s="13"/>
      <c r="BU24" s="15"/>
      <c r="BV24" s="13"/>
      <c r="BW24" s="15"/>
      <c r="BX24" s="13"/>
      <c r="BY24" s="15"/>
      <c r="BZ24" s="13"/>
      <c r="CA24" s="15"/>
    </row>
    <row r="25" spans="1:79" s="23" customFormat="1" ht="43.5" x14ac:dyDescent="0.35">
      <c r="A25" s="20" t="s">
        <v>193</v>
      </c>
      <c r="B25" s="20" t="s">
        <v>142</v>
      </c>
      <c r="C25" s="21">
        <v>45995.637499999997</v>
      </c>
      <c r="D25" s="20" t="s">
        <v>82</v>
      </c>
      <c r="E25" s="22" t="s">
        <v>83</v>
      </c>
      <c r="F25" s="20" t="s">
        <v>84</v>
      </c>
      <c r="G25" s="22" t="s">
        <v>85</v>
      </c>
      <c r="H25" s="20" t="s">
        <v>86</v>
      </c>
      <c r="I25" s="22" t="s">
        <v>85</v>
      </c>
      <c r="J25" s="22" t="s">
        <v>87</v>
      </c>
      <c r="K25" s="22" t="s">
        <v>88</v>
      </c>
      <c r="L25" s="20" t="s">
        <v>89</v>
      </c>
      <c r="M25" s="22" t="s">
        <v>90</v>
      </c>
      <c r="N25" s="20" t="s">
        <v>91</v>
      </c>
      <c r="O25" s="22"/>
      <c r="P25" s="22"/>
      <c r="Q25" s="22" t="s">
        <v>194</v>
      </c>
      <c r="R25" s="20" t="s">
        <v>195</v>
      </c>
      <c r="S25" s="20" t="s">
        <v>182</v>
      </c>
      <c r="T25" s="20" t="s">
        <v>162</v>
      </c>
      <c r="U25" s="21">
        <v>43826</v>
      </c>
      <c r="V25" s="21">
        <v>45900</v>
      </c>
      <c r="W25" s="22"/>
      <c r="X25" s="20"/>
      <c r="Y25" s="22"/>
      <c r="Z25" s="20"/>
      <c r="AA25" s="22"/>
      <c r="AB25" s="20"/>
      <c r="AC25" s="22"/>
      <c r="AD25" s="20"/>
      <c r="AE25" s="22"/>
      <c r="AF25" s="20"/>
      <c r="AG25" s="22"/>
      <c r="AH25" s="20"/>
      <c r="AI25" s="22"/>
      <c r="AJ25" s="20"/>
      <c r="AK25" s="22"/>
      <c r="AL25" s="20"/>
      <c r="AM25" s="22"/>
      <c r="AN25" s="20"/>
      <c r="AO25" s="22"/>
      <c r="AP25" s="20"/>
      <c r="AQ25" s="22"/>
      <c r="AR25" s="20"/>
      <c r="AS25" s="22"/>
      <c r="AT25" s="20"/>
      <c r="AU25" s="22"/>
      <c r="AV25" s="20"/>
      <c r="AW25" s="22"/>
      <c r="AX25" s="20"/>
      <c r="AY25" s="22"/>
      <c r="AZ25" s="20"/>
      <c r="BA25" s="22"/>
      <c r="BB25" s="20"/>
      <c r="BC25" s="22"/>
      <c r="BD25" s="20"/>
      <c r="BE25" s="22"/>
      <c r="BF25" s="20"/>
      <c r="BG25" s="22"/>
      <c r="BH25" s="20"/>
      <c r="BI25" s="22"/>
      <c r="BJ25" s="20"/>
      <c r="BK25" s="22"/>
      <c r="BL25" s="20"/>
      <c r="BM25" s="22"/>
      <c r="BN25" s="20"/>
      <c r="BO25" s="22"/>
      <c r="BP25" s="20"/>
      <c r="BQ25" s="22"/>
      <c r="BR25" s="20"/>
      <c r="BS25" s="22"/>
      <c r="BT25" s="20"/>
      <c r="BU25" s="22"/>
      <c r="BV25" s="20"/>
      <c r="BW25" s="22"/>
      <c r="BX25" s="20"/>
      <c r="BY25" s="22"/>
      <c r="BZ25" s="20" t="s">
        <v>196</v>
      </c>
      <c r="CA25" s="22"/>
    </row>
    <row r="26" spans="1:79" s="23" customFormat="1" ht="130.5" x14ac:dyDescent="0.35">
      <c r="A26" s="20" t="s">
        <v>193</v>
      </c>
      <c r="B26" s="20" t="s">
        <v>81</v>
      </c>
      <c r="C26" s="21">
        <v>45995.637499999997</v>
      </c>
      <c r="D26" s="20" t="s">
        <v>82</v>
      </c>
      <c r="E26" s="22" t="s">
        <v>83</v>
      </c>
      <c r="F26" s="20" t="s">
        <v>84</v>
      </c>
      <c r="G26" s="22" t="s">
        <v>85</v>
      </c>
      <c r="H26" s="20" t="s">
        <v>86</v>
      </c>
      <c r="I26" s="22" t="s">
        <v>85</v>
      </c>
      <c r="J26" s="22" t="s">
        <v>87</v>
      </c>
      <c r="K26" s="22" t="s">
        <v>88</v>
      </c>
      <c r="L26" s="20" t="s">
        <v>89</v>
      </c>
      <c r="M26" s="22" t="s">
        <v>90</v>
      </c>
      <c r="N26" s="20" t="s">
        <v>91</v>
      </c>
      <c r="O26" s="22"/>
      <c r="P26" s="22"/>
      <c r="Q26" s="22" t="s">
        <v>194</v>
      </c>
      <c r="R26" s="20" t="s">
        <v>195</v>
      </c>
      <c r="S26" s="20" t="s">
        <v>182</v>
      </c>
      <c r="T26" s="20" t="s">
        <v>95</v>
      </c>
      <c r="U26" s="21">
        <v>45901</v>
      </c>
      <c r="V26" s="21"/>
      <c r="W26" s="22" t="s">
        <v>197</v>
      </c>
      <c r="X26" s="20" t="s">
        <v>198</v>
      </c>
      <c r="Y26" s="22" t="str">
        <f>VLOOKUP(X26,'Axe 2 Règles de gestion'!$D$2:$F$65,3, FALSE)</f>
        <v>L'agent bénéficie des dispositions applicables aux agents ouvriers affiliés pour le congé de transition professionnelle.</v>
      </c>
      <c r="Z26" s="20" t="s">
        <v>97</v>
      </c>
      <c r="AA26" s="22" t="str">
        <f>VLOOKUP(Z26,'Axe 2 Règles de gestion'!$D$2:$F$65,3, FALSE)</f>
        <v>L'agent peut bénéficier du congé si l'administration envisage de supprimer son emploi en cas de restructuration de son service, dont le périmètre et la durée sont définis par arrêté.</v>
      </c>
      <c r="AB26" s="20" t="s">
        <v>99</v>
      </c>
      <c r="AC26" s="22" t="str">
        <f>VLOOKUP(AB26,'Axe 2 Règles de gestion'!$D$2:$F$65,3, FALSE)</f>
        <v>Le comité social d'administration compétent est consulté sur la mise en place du congé.</v>
      </c>
      <c r="AD26" s="20" t="s">
        <v>101</v>
      </c>
      <c r="AE26" s="22" t="str">
        <f>VLOOKUP(AD26,'Axe 2 Règles de gestion'!$D$2:$F$65,3, FALSE)</f>
        <v>Le congé peut être fractionné en mois, semaines ou journées.</v>
      </c>
      <c r="AF26" s="20" t="s">
        <v>103</v>
      </c>
      <c r="AG26" s="22" t="str">
        <f>VLOOKUP(AF26,'Axe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H26" s="20" t="s">
        <v>105</v>
      </c>
      <c r="AI26" s="22" t="str">
        <f>VLOOKUP(AH26,'Axe 2 Règles de gestion'!$D$2:$F$65,3, FALSE)</f>
        <v>L'agent doit effectuer une demande.</v>
      </c>
      <c r="AJ26" s="20" t="s">
        <v>107</v>
      </c>
      <c r="AK26" s="22" t="str">
        <f>VLOOKUP(AJ26,'Axe 2 Règles de gestion'!$D$2:$F$65,3, FALSE)</f>
        <v>La demande de congé précise la nature de la formation, sa durée, le nom de l'organisme qui la dispense et l'objectif professionnel visé.</v>
      </c>
      <c r="AL26" s="20" t="s">
        <v>109</v>
      </c>
      <c r="AM26" s="22" t="str">
        <f>VLOOKUP(AL26,'Axe 2 Règles de gestion'!$D$2:$F$65,3, FALSE)</f>
        <v>L'administration informe l'agent de sa réponse par écrit dans le délai de 30 jours suivant la réception de la demande.</v>
      </c>
      <c r="AN26" s="20" t="s">
        <v>111</v>
      </c>
      <c r="AO26" s="22" t="str">
        <f>VLOOKUP(AN26,'Axe 2 Règles de gestion'!$D$2:$F$65,3, FALSE)</f>
        <v>La décision de rejet du congé doit être motivée.</v>
      </c>
      <c r="AP26" s="20" t="s">
        <v>113</v>
      </c>
      <c r="AQ26" s="22" t="str">
        <f>VLOOKUP(AP26,'Axe 2 Règles de gestion'!$D$2:$F$65,3, FALSE)</f>
        <v>Le bénéfice du congé peut être différé dans l'intérêt du service.</v>
      </c>
      <c r="AR26" s="20" t="s">
        <v>115</v>
      </c>
      <c r="AS26" s="22" t="str">
        <f>VLOOKUP(AR26,'Axe 2 Règles de gestion'!$D$2:$F$65,3, FALSE)</f>
        <v>L'agent transmet les attestations établies par l'organisme de formation, justifiant son assiduité à l'action de formation, sinon il perd le bénéfice de ce congé.</v>
      </c>
      <c r="AT26" s="20" t="s">
        <v>117</v>
      </c>
      <c r="AU26" s="22" t="str">
        <f>VLOOKUP(AT26,'Axe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AV26" s="20" t="s">
        <v>119</v>
      </c>
      <c r="AW26" s="22" t="str">
        <f>VLOOKUP(AV26,'Axe 2 Règles de gestion'!$D$2:$F$65,3, FALSE)</f>
        <v>Le silence gardé par l'administration à l'issue de ce délai vaut rejet de la demande.</v>
      </c>
      <c r="AX26" s="20"/>
      <c r="AY26" s="22"/>
      <c r="AZ26" s="20"/>
      <c r="BA26" s="22"/>
      <c r="BB26" s="20"/>
      <c r="BC26" s="22"/>
      <c r="BD26" s="20" t="s">
        <v>121</v>
      </c>
      <c r="BE26" s="22" t="str">
        <f>VLOOKUP(BD26,'Axe 2 Règles de gestion'!$D$2:$F$65,3, FALSE)</f>
        <v>L'agent doit être en activité.</v>
      </c>
      <c r="BF26" s="20" t="s">
        <v>166</v>
      </c>
      <c r="BG26" s="22" t="str">
        <f>VLOOKUP(BF26,'Axe 2 Règles de gestion'!$D$2:$F$65,3, FALSE)</f>
        <v>Le congé est accordé pour une durée maximale de 12 mois.</v>
      </c>
      <c r="BH26" s="20" t="s">
        <v>125</v>
      </c>
      <c r="BI26" s="22" t="str">
        <f>VLOOKUP(BH26,'Axe 2 Règles de gestion'!$D$2:$F$65,3, FALSE)</f>
        <v>La demande de congé doit être formulée au moins 60 jours avant la date de début de la formation liée au congé.</v>
      </c>
      <c r="BJ26" s="20"/>
      <c r="BK26" s="22"/>
      <c r="BL26" s="20" t="s">
        <v>127</v>
      </c>
      <c r="BM26" s="22" t="str">
        <f>VLOOKUP(BL26,'Axe 2 Règles de gestion'!$D$2:$F$65,3, FALSE)</f>
        <v>La date de début du congé/absence doit être postérieure ou égale à la date de recrutement dans la FPE ou dans la carrière militaire.</v>
      </c>
      <c r="BN26" s="20" t="s">
        <v>129</v>
      </c>
      <c r="BO26" s="22" t="str">
        <f>VLOOKUP(BN26,'Axe 2 Règles de gestion'!$D$2:$F$65,3, FALSE)</f>
        <v>La date de début du congé/absence doit être postérieure ou égale à la date de début du lien juridique.</v>
      </c>
      <c r="BP26" s="20" t="s">
        <v>131</v>
      </c>
      <c r="BQ26" s="22" t="str">
        <f>VLOOKUP(BP26,'Axe 2 Règles de gestion'!$D$2:$F$65,3, FALSE)</f>
        <v>La date de début du congé/absence doit être antérieure ou égale à la date de fin réelle du congé/absence.</v>
      </c>
      <c r="BR26" s="20" t="s">
        <v>133</v>
      </c>
      <c r="BS26" s="22" t="str">
        <f>VLOOKUP(BR26,'Axe 2 Règles de gestion'!$D$2:$F$65,3, FALSE)</f>
        <v>La date de début du congé/absence doit être antérieure ou égale à la date de fin prévisionnelle du congé/absence.</v>
      </c>
      <c r="BT26" s="20" t="s">
        <v>135</v>
      </c>
      <c r="BU26" s="22" t="str">
        <f>VLOOKUP(BT26,'Axe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26" s="20" t="s">
        <v>137</v>
      </c>
      <c r="BW26" s="22" t="str">
        <f>VLOOKUP(BV26,'Axe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26" s="20" t="s">
        <v>139</v>
      </c>
      <c r="BY26" s="22" t="str">
        <f>VLOOKUP(BX26,'Axe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26" s="20" t="s">
        <v>196</v>
      </c>
      <c r="CA26" s="22"/>
    </row>
    <row r="27" spans="1:79" s="23" customFormat="1" ht="43.5" x14ac:dyDescent="0.35">
      <c r="A27" s="20" t="s">
        <v>193</v>
      </c>
      <c r="B27" s="20" t="s">
        <v>142</v>
      </c>
      <c r="C27" s="21">
        <v>45995.638888888891</v>
      </c>
      <c r="D27" s="20" t="s">
        <v>82</v>
      </c>
      <c r="E27" s="22" t="s">
        <v>83</v>
      </c>
      <c r="F27" s="20" t="s">
        <v>84</v>
      </c>
      <c r="G27" s="22" t="s">
        <v>85</v>
      </c>
      <c r="H27" s="20" t="s">
        <v>86</v>
      </c>
      <c r="I27" s="22" t="s">
        <v>85</v>
      </c>
      <c r="J27" s="22" t="s">
        <v>87</v>
      </c>
      <c r="K27" s="22" t="s">
        <v>88</v>
      </c>
      <c r="L27" s="20" t="s">
        <v>143</v>
      </c>
      <c r="M27" s="22" t="s">
        <v>144</v>
      </c>
      <c r="N27" s="20" t="s">
        <v>145</v>
      </c>
      <c r="O27" s="22"/>
      <c r="P27" s="22"/>
      <c r="Q27" s="22" t="s">
        <v>194</v>
      </c>
      <c r="R27" s="20" t="s">
        <v>195</v>
      </c>
      <c r="S27" s="20" t="s">
        <v>182</v>
      </c>
      <c r="T27" s="20" t="s">
        <v>162</v>
      </c>
      <c r="U27" s="21">
        <v>43826</v>
      </c>
      <c r="V27" s="21">
        <v>45900</v>
      </c>
      <c r="W27" s="22"/>
      <c r="X27" s="20"/>
      <c r="Y27" s="22"/>
      <c r="Z27" s="20"/>
      <c r="AA27" s="22"/>
      <c r="AB27" s="20"/>
      <c r="AC27" s="22"/>
      <c r="AD27" s="20"/>
      <c r="AE27" s="22"/>
      <c r="AF27" s="20"/>
      <c r="AG27" s="22"/>
      <c r="AH27" s="20"/>
      <c r="AI27" s="22"/>
      <c r="AJ27" s="20"/>
      <c r="AK27" s="22"/>
      <c r="AL27" s="20"/>
      <c r="AM27" s="22"/>
      <c r="AN27" s="20"/>
      <c r="AO27" s="22"/>
      <c r="AP27" s="20"/>
      <c r="AQ27" s="22"/>
      <c r="AR27" s="20"/>
      <c r="AS27" s="22"/>
      <c r="AT27" s="20"/>
      <c r="AU27" s="22"/>
      <c r="AV27" s="20"/>
      <c r="AW27" s="22"/>
      <c r="AX27" s="20"/>
      <c r="AY27" s="22"/>
      <c r="AZ27" s="20"/>
      <c r="BA27" s="22"/>
      <c r="BB27" s="20"/>
      <c r="BC27" s="22"/>
      <c r="BD27" s="20"/>
      <c r="BE27" s="22"/>
      <c r="BF27" s="20"/>
      <c r="BG27" s="22"/>
      <c r="BH27" s="20"/>
      <c r="BI27" s="22"/>
      <c r="BJ27" s="20"/>
      <c r="BK27" s="22"/>
      <c r="BL27" s="20"/>
      <c r="BM27" s="22"/>
      <c r="BN27" s="20"/>
      <c r="BO27" s="22"/>
      <c r="BP27" s="20"/>
      <c r="BQ27" s="22"/>
      <c r="BR27" s="20"/>
      <c r="BS27" s="22"/>
      <c r="BT27" s="20"/>
      <c r="BU27" s="22"/>
      <c r="BV27" s="20"/>
      <c r="BW27" s="22"/>
      <c r="BX27" s="20"/>
      <c r="BY27" s="22"/>
      <c r="BZ27" s="20" t="s">
        <v>196</v>
      </c>
      <c r="CA27" s="22"/>
    </row>
    <row r="28" spans="1:79" s="23" customFormat="1" ht="101.5" x14ac:dyDescent="0.35">
      <c r="A28" s="20" t="s">
        <v>193</v>
      </c>
      <c r="B28" s="20" t="s">
        <v>81</v>
      </c>
      <c r="C28" s="21">
        <v>45995.638888888891</v>
      </c>
      <c r="D28" s="20" t="s">
        <v>82</v>
      </c>
      <c r="E28" s="22" t="s">
        <v>83</v>
      </c>
      <c r="F28" s="20" t="s">
        <v>84</v>
      </c>
      <c r="G28" s="22" t="s">
        <v>85</v>
      </c>
      <c r="H28" s="20" t="s">
        <v>86</v>
      </c>
      <c r="I28" s="22" t="s">
        <v>85</v>
      </c>
      <c r="J28" s="22" t="s">
        <v>87</v>
      </c>
      <c r="K28" s="22" t="s">
        <v>88</v>
      </c>
      <c r="L28" s="20" t="s">
        <v>143</v>
      </c>
      <c r="M28" s="22" t="s">
        <v>144</v>
      </c>
      <c r="N28" s="20" t="s">
        <v>145</v>
      </c>
      <c r="O28" s="22"/>
      <c r="P28" s="22"/>
      <c r="Q28" s="22" t="s">
        <v>194</v>
      </c>
      <c r="R28" s="20" t="s">
        <v>195</v>
      </c>
      <c r="S28" s="20" t="s">
        <v>182</v>
      </c>
      <c r="T28" s="20" t="s">
        <v>95</v>
      </c>
      <c r="U28" s="21">
        <v>45901</v>
      </c>
      <c r="V28" s="21"/>
      <c r="W28" s="22" t="s">
        <v>200</v>
      </c>
      <c r="X28" s="20" t="s">
        <v>198</v>
      </c>
      <c r="Y28" s="22" t="str">
        <f>VLOOKUP(X28,'Axe 2 Règles de gestion'!$D$2:$F$65,3, FALSE)</f>
        <v>L'agent bénéficie des dispositions applicables aux agents ouvriers affiliés pour le congé de transition professionnelle.</v>
      </c>
      <c r="Z28" s="20" t="s">
        <v>147</v>
      </c>
      <c r="AA28" s="22" t="str">
        <f>VLOOKUP(Z28,'Axe 2 Règles de gestion'!$D$2:$F$65,3, FALSE)</f>
        <v>Le congé s'achève avant le terme de la période de restructuration sauf si l'agent a débuté sa formation moins de 12 mois avant ce terme du fait d'une décision de report dans l'intérêt du service.</v>
      </c>
      <c r="AB28" s="20"/>
      <c r="AC28" s="22"/>
      <c r="AD28" s="20"/>
      <c r="AE28" s="22"/>
      <c r="AF28" s="20"/>
      <c r="AG28" s="22"/>
      <c r="AH28" s="20"/>
      <c r="AI28" s="22"/>
      <c r="AJ28" s="20"/>
      <c r="AK28" s="22"/>
      <c r="AL28" s="20"/>
      <c r="AM28" s="22"/>
      <c r="AN28" s="20"/>
      <c r="AO28" s="22"/>
      <c r="AP28" s="20"/>
      <c r="AQ28" s="22"/>
      <c r="AR28" s="20"/>
      <c r="AS28" s="22"/>
      <c r="AT28" s="20"/>
      <c r="AU28" s="22"/>
      <c r="AV28" s="20"/>
      <c r="AW28" s="22"/>
      <c r="AX28" s="20"/>
      <c r="AY28" s="22"/>
      <c r="AZ28" s="20"/>
      <c r="BA28" s="22"/>
      <c r="BB28" s="20"/>
      <c r="BC28" s="22"/>
      <c r="BD28" s="20" t="s">
        <v>166</v>
      </c>
      <c r="BE28" s="22" t="str">
        <f>VLOOKUP(BD28,'Axe 2 Règles de gestion'!$D$2:$F$65,3, FALSE)</f>
        <v>Le congé est accordé pour une durée maximale de 12 mois.</v>
      </c>
      <c r="BF28" s="20"/>
      <c r="BG28" s="22"/>
      <c r="BH28" s="20"/>
      <c r="BI28" s="22"/>
      <c r="BJ28" s="20"/>
      <c r="BK28" s="22"/>
      <c r="BL28" s="20" t="s">
        <v>149</v>
      </c>
      <c r="BM28" s="22" t="str">
        <f>VLOOKUP(BL28,'Axe 2 Règles de gestion'!$D$2:$F$65,3, FALSE)</f>
        <v>La date de fin réelle du congé/absence doit être antérieure ou égale à la date limite de fin réelle ou prévisionnelle du lien juridique.</v>
      </c>
      <c r="BN28" s="20" t="s">
        <v>151</v>
      </c>
      <c r="BO28" s="22" t="str">
        <f>VLOOKUP(BN28,'Axe 2 Règles de gestion'!$D$2:$F$65,3, FALSE)</f>
        <v>La date de fin prévisionnelle du congé/absence doit être antérieure ou égale à la date limite de fin réelle ou prévisionnelle du lien juridique.</v>
      </c>
      <c r="BP28" s="20" t="s">
        <v>153</v>
      </c>
      <c r="BQ28" s="22" t="str">
        <f>VLOOKUP(BP28,'Axe 2 Règles de gestion'!$D$2:$F$65,3, FALSE)</f>
        <v>La date de fin réelle du congé/absence doit être antérieure à la date limite de départ à la retraite.</v>
      </c>
      <c r="BR28" s="20" t="s">
        <v>155</v>
      </c>
      <c r="BS28" s="22" t="str">
        <f>VLOOKUP(BR28,'Axe 2 Règles de gestion'!$D$2:$F$65,3, FALSE)</f>
        <v>La date de fin prévisionnelle du congé/absence doit être antérieure à la date limite de départ à la retraite.</v>
      </c>
      <c r="BT28" s="20" t="s">
        <v>157</v>
      </c>
      <c r="BU28" s="22" t="str">
        <f>VLOOKUP(BT28,'Axe 2 Règles de gestion'!$D$2:$F$65,3, FALSE)</f>
        <v>La date de fin réelle ou la date de fin prévisionnelle du congé/absence doit être saisie.</v>
      </c>
      <c r="BV28" s="20"/>
      <c r="BW28" s="22"/>
      <c r="BX28" s="20"/>
      <c r="BY28" s="22"/>
      <c r="BZ28" s="20" t="s">
        <v>196</v>
      </c>
      <c r="CA28" s="22"/>
    </row>
    <row r="29" spans="1:79" ht="43.5" x14ac:dyDescent="0.35">
      <c r="A29" s="13" t="s">
        <v>80</v>
      </c>
      <c r="B29" s="13" t="s">
        <v>81</v>
      </c>
      <c r="C29" s="14">
        <v>43894.628472222219</v>
      </c>
      <c r="D29" s="13" t="s">
        <v>82</v>
      </c>
      <c r="E29" s="15" t="s">
        <v>83</v>
      </c>
      <c r="F29" s="13" t="s">
        <v>84</v>
      </c>
      <c r="G29" s="15" t="s">
        <v>85</v>
      </c>
      <c r="H29" s="13" t="s">
        <v>86</v>
      </c>
      <c r="I29" s="15" t="s">
        <v>85</v>
      </c>
      <c r="J29" s="15" t="s">
        <v>87</v>
      </c>
      <c r="K29" s="15" t="s">
        <v>88</v>
      </c>
      <c r="L29" s="13" t="s">
        <v>89</v>
      </c>
      <c r="M29" s="15" t="s">
        <v>90</v>
      </c>
      <c r="N29" s="13" t="s">
        <v>91</v>
      </c>
      <c r="O29" s="15"/>
      <c r="P29" s="15"/>
      <c r="Q29" s="15" t="s">
        <v>201</v>
      </c>
      <c r="R29" s="13" t="s">
        <v>202</v>
      </c>
      <c r="S29" s="13" t="s">
        <v>182</v>
      </c>
      <c r="T29" s="13" t="s">
        <v>162</v>
      </c>
      <c r="U29" s="14">
        <v>43826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5"/>
      <c r="AP29" s="13"/>
      <c r="AQ29" s="15"/>
      <c r="AR29" s="13"/>
      <c r="AS29" s="15"/>
      <c r="AT29" s="13"/>
      <c r="AU29" s="15"/>
      <c r="AV29" s="13"/>
      <c r="AW29" s="15"/>
      <c r="AX29" s="13"/>
      <c r="AY29" s="15"/>
      <c r="AZ29" s="13"/>
      <c r="BA29" s="15"/>
      <c r="BB29" s="13"/>
      <c r="BC29" s="15"/>
      <c r="BD29" s="13"/>
      <c r="BE29" s="15"/>
      <c r="BF29" s="13"/>
      <c r="BG29" s="15"/>
      <c r="BH29" s="13"/>
      <c r="BI29" s="15"/>
      <c r="BJ29" s="13"/>
      <c r="BK29" s="15"/>
      <c r="BL29" s="13"/>
      <c r="BM29" s="15"/>
      <c r="BN29" s="13"/>
      <c r="BO29" s="15"/>
      <c r="BP29" s="13"/>
      <c r="BQ29" s="15"/>
      <c r="BR29" s="13"/>
      <c r="BS29" s="15"/>
      <c r="BT29" s="13"/>
      <c r="BU29" s="15"/>
      <c r="BV29" s="13"/>
      <c r="BW29" s="15"/>
      <c r="BX29" s="13"/>
      <c r="BY29" s="15"/>
      <c r="BZ29" s="13"/>
      <c r="CA29" s="15"/>
    </row>
    <row r="30" spans="1:79" ht="43.5" x14ac:dyDescent="0.35">
      <c r="A30" s="13" t="s">
        <v>80</v>
      </c>
      <c r="B30" s="13" t="s">
        <v>81</v>
      </c>
      <c r="C30" s="14">
        <v>43894.615277777775</v>
      </c>
      <c r="D30" s="13" t="s">
        <v>82</v>
      </c>
      <c r="E30" s="15" t="s">
        <v>83</v>
      </c>
      <c r="F30" s="13" t="s">
        <v>84</v>
      </c>
      <c r="G30" s="15" t="s">
        <v>85</v>
      </c>
      <c r="H30" s="13" t="s">
        <v>86</v>
      </c>
      <c r="I30" s="15" t="s">
        <v>85</v>
      </c>
      <c r="J30" s="15" t="s">
        <v>87</v>
      </c>
      <c r="K30" s="15" t="s">
        <v>88</v>
      </c>
      <c r="L30" s="13" t="s">
        <v>143</v>
      </c>
      <c r="M30" s="15" t="s">
        <v>144</v>
      </c>
      <c r="N30" s="13" t="s">
        <v>145</v>
      </c>
      <c r="O30" s="15"/>
      <c r="P30" s="15"/>
      <c r="Q30" s="15" t="s">
        <v>201</v>
      </c>
      <c r="R30" s="13" t="s">
        <v>202</v>
      </c>
      <c r="S30" s="13" t="s">
        <v>182</v>
      </c>
      <c r="T30" s="13" t="s">
        <v>162</v>
      </c>
      <c r="U30" s="14">
        <v>43826</v>
      </c>
      <c r="V30" s="14"/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5"/>
      <c r="AP30" s="13"/>
      <c r="AQ30" s="15"/>
      <c r="AR30" s="13"/>
      <c r="AS30" s="15"/>
      <c r="AT30" s="13"/>
      <c r="AU30" s="15"/>
      <c r="AV30" s="13"/>
      <c r="AW30" s="15"/>
      <c r="AX30" s="13"/>
      <c r="AY30" s="15"/>
      <c r="AZ30" s="13"/>
      <c r="BA30" s="15"/>
      <c r="BB30" s="13"/>
      <c r="BC30" s="15"/>
      <c r="BD30" s="13"/>
      <c r="BE30" s="15"/>
      <c r="BF30" s="13"/>
      <c r="BG30" s="15"/>
      <c r="BH30" s="13"/>
      <c r="BI30" s="15"/>
      <c r="BJ30" s="13"/>
      <c r="BK30" s="15"/>
      <c r="BL30" s="13"/>
      <c r="BM30" s="15"/>
      <c r="BN30" s="13"/>
      <c r="BO30" s="15"/>
      <c r="BP30" s="13"/>
      <c r="BQ30" s="15"/>
      <c r="BR30" s="13"/>
      <c r="BS30" s="15"/>
      <c r="BT30" s="13"/>
      <c r="BU30" s="15"/>
      <c r="BV30" s="13"/>
      <c r="BW30" s="15"/>
      <c r="BX30" s="13"/>
      <c r="BY30" s="15"/>
      <c r="BZ30" s="13"/>
      <c r="CA30" s="15"/>
    </row>
    <row r="31" spans="1:79" ht="130.5" x14ac:dyDescent="0.35">
      <c r="A31" s="13" t="s">
        <v>159</v>
      </c>
      <c r="B31" s="13" t="s">
        <v>81</v>
      </c>
      <c r="C31" s="14">
        <v>44959.599305555559</v>
      </c>
      <c r="D31" s="13" t="s">
        <v>82</v>
      </c>
      <c r="E31" s="15" t="s">
        <v>83</v>
      </c>
      <c r="F31" s="13" t="s">
        <v>84</v>
      </c>
      <c r="G31" s="15" t="s">
        <v>85</v>
      </c>
      <c r="H31" s="13" t="s">
        <v>203</v>
      </c>
      <c r="I31" s="15" t="s">
        <v>204</v>
      </c>
      <c r="J31" s="15" t="s">
        <v>205</v>
      </c>
      <c r="K31" s="15" t="s">
        <v>206</v>
      </c>
      <c r="L31" s="13" t="s">
        <v>207</v>
      </c>
      <c r="M31" s="15" t="s">
        <v>208</v>
      </c>
      <c r="N31" s="13" t="s">
        <v>91</v>
      </c>
      <c r="O31" s="15"/>
      <c r="P31" s="15"/>
      <c r="Q31" s="15" t="s">
        <v>92</v>
      </c>
      <c r="R31" s="13" t="s">
        <v>93</v>
      </c>
      <c r="S31" s="13" t="s">
        <v>94</v>
      </c>
      <c r="T31" s="13" t="s">
        <v>95</v>
      </c>
      <c r="U31" s="14">
        <v>44767</v>
      </c>
      <c r="V31" s="14"/>
      <c r="W31" s="15" t="s">
        <v>209</v>
      </c>
      <c r="X31" s="13" t="s">
        <v>210</v>
      </c>
      <c r="Y31" s="15" t="str">
        <f>VLOOKUP(X31,'Axe 2 Règles de gestion'!$D$2:$F$65,3, FALSE)</f>
        <v>Soit l'agent doit appartenir à un corps ou à un cadre d'emplois de catégorie C et ne pas avoir atteint un niveau de formation sanctionné par un diplôme ou un titre professionnel correspondant à un niveau requis.</v>
      </c>
      <c r="Z31" s="13" t="s">
        <v>212</v>
      </c>
      <c r="AA31" s="15" t="str">
        <f>VLOOKUP(Z31,'Axe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B31" s="13" t="s">
        <v>214</v>
      </c>
      <c r="AC31" s="15" t="str">
        <f>VLOOKUP(AB31,'Axe 2 Règles de gestion'!$D$2:$F$65,3, FALSE)</f>
        <v>Soit l'agent doit être en situation de handicap.</v>
      </c>
      <c r="AD31" s="13" t="s">
        <v>216</v>
      </c>
      <c r="AE31" s="15" t="str">
        <f>VLOOKUP(AD31,'Axe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F31" s="13" t="s">
        <v>218</v>
      </c>
      <c r="AG31" s="15" t="str">
        <f>VLOOKUP(AF31,'Axe 2 Règles de gestion'!$D$2:$F$65,3, FALSE)</f>
        <v>L'agent peut bénéficier du congé afin de suivre une action ou un parcours de formation en vue d'exercer un nouveau métier au sein du secteur public ou du secteur privé.</v>
      </c>
      <c r="AH31" s="13" t="s">
        <v>99</v>
      </c>
      <c r="AI31" s="15" t="str">
        <f>VLOOKUP(AH31,'Axe 2 Règles de gestion'!$D$2:$F$65,3, FALSE)</f>
        <v>Le comité social d'administration compétent est consulté sur la mise en place du congé.</v>
      </c>
      <c r="AJ31" s="13" t="s">
        <v>101</v>
      </c>
      <c r="AK31" s="15" t="str">
        <f>VLOOKUP(AJ31,'Axe 2 Règles de gestion'!$D$2:$F$65,3, FALSE)</f>
        <v>Le congé peut être fractionné en mois, semaines ou journées.</v>
      </c>
      <c r="AL31" s="13" t="s">
        <v>103</v>
      </c>
      <c r="AM31" s="15" t="str">
        <f>VLOOKUP(AL31,'Axe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N31" s="13" t="s">
        <v>105</v>
      </c>
      <c r="AO31" s="15" t="str">
        <f>VLOOKUP(AN31,'Axe 2 Règles de gestion'!$D$2:$F$65,3, FALSE)</f>
        <v>L'agent doit effectuer une demande.</v>
      </c>
      <c r="AP31" s="13" t="s">
        <v>107</v>
      </c>
      <c r="AQ31" s="15" t="str">
        <f>VLOOKUP(AP31,'Axe 2 Règles de gestion'!$D$2:$F$65,3, FALSE)</f>
        <v>La demande de congé précise la nature de la formation, sa durée, le nom de l'organisme qui la dispense et l'objectif professionnel visé.</v>
      </c>
      <c r="AR31" s="13" t="s">
        <v>220</v>
      </c>
      <c r="AS31" s="15" t="str">
        <f>VLOOKUP(AR31,'Axe 2 Règles de gestion'!$D$2:$F$65,3, FALSE)</f>
        <v>L'administration informe l'agent de sa réponse par écrit dans le délai de 2 mois suivant la réception de la demande.</v>
      </c>
      <c r="AT31" s="13" t="s">
        <v>111</v>
      </c>
      <c r="AU31" s="15" t="str">
        <f>VLOOKUP(AT31,'Axe 2 Règles de gestion'!$D$2:$F$65,3, FALSE)</f>
        <v>La décision de rejet du congé doit être motivée.</v>
      </c>
      <c r="AV31" s="13" t="s">
        <v>113</v>
      </c>
      <c r="AW31" s="15" t="str">
        <f>VLOOKUP(AV31,'Axe 2 Règles de gestion'!$D$2:$F$65,3, FALSE)</f>
        <v>Le bénéfice du congé peut être différé dans l'intérêt du service.</v>
      </c>
      <c r="AX31" s="13" t="s">
        <v>115</v>
      </c>
      <c r="AY31" s="15" t="str">
        <f>VLOOKUP(AX31,'Axe 2 Règles de gestion'!$D$2:$F$65,3, FALSE)</f>
        <v>L'agent transmet les attestations établies par l'organisme de formation, justifiant son assiduité à l'action de formation, sinon il perd le bénéfice de ce congé.</v>
      </c>
      <c r="AZ31" s="13" t="s">
        <v>117</v>
      </c>
      <c r="BA31" s="15" t="str">
        <f>VLOOKUP(AZ31,'Axe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B31" s="13"/>
      <c r="BC31" s="15"/>
      <c r="BD31" s="13" t="s">
        <v>121</v>
      </c>
      <c r="BE31" s="15" t="str">
        <f>VLOOKUP(BD31,'Axe 2 Règles de gestion'!$D$2:$F$65,3, FALSE)</f>
        <v>L'agent doit être en activité.</v>
      </c>
      <c r="BF31" s="13" t="s">
        <v>123</v>
      </c>
      <c r="BG31" s="15" t="str">
        <f>VLOOKUP(BF31,'Axe 2 Règles de gestion'!$D$2:$F$65,3, FALSE)</f>
        <v>Le congé est accordé pour une durée maximale de 12 mois.</v>
      </c>
      <c r="BH31" s="13" t="s">
        <v>222</v>
      </c>
      <c r="BI31" s="15" t="str">
        <f>VLOOKUP(BH31,'Axe 2 Règles de gestion'!$D$2:$F$65,3, FALSE)</f>
        <v>La demande de congé doit être formulée au moins 3 mois avant la date de début de la formation liée au congé.</v>
      </c>
      <c r="BJ31" s="13"/>
      <c r="BK31" s="15"/>
      <c r="BL31" s="13" t="s">
        <v>127</v>
      </c>
      <c r="BM31" s="15" t="str">
        <f>VLOOKUP(BL31,'Axe 2 Règles de gestion'!$D$2:$F$65,3, FALSE)</f>
        <v>La date de début du congé/absence doit être postérieure ou égale à la date de recrutement dans la FPE ou dans la carrière militaire.</v>
      </c>
      <c r="BN31" s="13" t="s">
        <v>129</v>
      </c>
      <c r="BO31" s="15" t="str">
        <f>VLOOKUP(BN31,'Axe 2 Règles de gestion'!$D$2:$F$65,3, FALSE)</f>
        <v>La date de début du congé/absence doit être postérieure ou égale à la date de début du lien juridique.</v>
      </c>
      <c r="BP31" s="13" t="s">
        <v>131</v>
      </c>
      <c r="BQ31" s="15" t="str">
        <f>VLOOKUP(BP31,'Axe 2 Règles de gestion'!$D$2:$F$65,3, FALSE)</f>
        <v>La date de début du congé/absence doit être antérieure ou égale à la date de fin réelle du congé/absence.</v>
      </c>
      <c r="BR31" s="13" t="s">
        <v>133</v>
      </c>
      <c r="BS31" s="15" t="str">
        <f>VLOOKUP(BR31,'Axe 2 Règles de gestion'!$D$2:$F$65,3, FALSE)</f>
        <v>La date de début du congé/absence doit être antérieure ou égale à la date de fin prévisionnelle du congé/absence.</v>
      </c>
      <c r="BT31" s="13" t="s">
        <v>135</v>
      </c>
      <c r="BU31" s="15" t="str">
        <f>VLOOKUP(BT31,'Axe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31" s="13" t="s">
        <v>137</v>
      </c>
      <c r="BW31" s="15" t="str">
        <f>VLOOKUP(BV31,'Axe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31" s="13" t="s">
        <v>139</v>
      </c>
      <c r="BY31" s="15" t="str">
        <f>VLOOKUP(BX31,'Axe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31" s="13"/>
      <c r="CA31" s="15"/>
    </row>
    <row r="32" spans="1:79" ht="87" x14ac:dyDescent="0.35">
      <c r="A32" s="13" t="s">
        <v>159</v>
      </c>
      <c r="B32" s="13" t="s">
        <v>81</v>
      </c>
      <c r="C32" s="14">
        <v>44959.581250000003</v>
      </c>
      <c r="D32" s="13" t="s">
        <v>82</v>
      </c>
      <c r="E32" s="15" t="s">
        <v>83</v>
      </c>
      <c r="F32" s="13" t="s">
        <v>84</v>
      </c>
      <c r="G32" s="15" t="s">
        <v>85</v>
      </c>
      <c r="H32" s="13" t="s">
        <v>203</v>
      </c>
      <c r="I32" s="15" t="s">
        <v>204</v>
      </c>
      <c r="J32" s="15" t="s">
        <v>205</v>
      </c>
      <c r="K32" s="15" t="s">
        <v>206</v>
      </c>
      <c r="L32" s="13" t="s">
        <v>224</v>
      </c>
      <c r="M32" s="15" t="s">
        <v>225</v>
      </c>
      <c r="N32" s="13" t="s">
        <v>145</v>
      </c>
      <c r="O32" s="15"/>
      <c r="P32" s="15"/>
      <c r="Q32" s="15" t="s">
        <v>92</v>
      </c>
      <c r="R32" s="13" t="s">
        <v>93</v>
      </c>
      <c r="S32" s="13" t="s">
        <v>94</v>
      </c>
      <c r="T32" s="13" t="s">
        <v>95</v>
      </c>
      <c r="U32" s="14">
        <v>44767</v>
      </c>
      <c r="V32" s="14"/>
      <c r="W32" s="15" t="s">
        <v>226</v>
      </c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5"/>
      <c r="AP32" s="13"/>
      <c r="AQ32" s="15"/>
      <c r="AR32" s="13"/>
      <c r="AS32" s="15"/>
      <c r="AT32" s="13"/>
      <c r="AU32" s="15"/>
      <c r="AV32" s="13"/>
      <c r="AW32" s="15"/>
      <c r="AX32" s="13"/>
      <c r="AY32" s="15"/>
      <c r="AZ32" s="13"/>
      <c r="BA32" s="15"/>
      <c r="BB32" s="13"/>
      <c r="BC32" s="15"/>
      <c r="BD32" s="13" t="s">
        <v>123</v>
      </c>
      <c r="BE32" s="15" t="str">
        <f>VLOOKUP(BD32,'Axe 2 Règles de gestion'!$D$2:$F$65,3, FALSE)</f>
        <v>Le congé est accordé pour une durée maximale de 12 mois.</v>
      </c>
      <c r="BF32" s="13"/>
      <c r="BG32" s="15"/>
      <c r="BH32" s="13"/>
      <c r="BI32" s="15"/>
      <c r="BJ32" s="13"/>
      <c r="BK32" s="15"/>
      <c r="BL32" s="13" t="s">
        <v>149</v>
      </c>
      <c r="BM32" s="15" t="str">
        <f>VLOOKUP(BL32,'Axe 2 Règles de gestion'!$D$2:$F$65,3, FALSE)</f>
        <v>La date de fin réelle du congé/absence doit être antérieure ou égale à la date limite de fin réelle ou prévisionnelle du lien juridique.</v>
      </c>
      <c r="BN32" s="13" t="s">
        <v>151</v>
      </c>
      <c r="BO32" s="15" t="str">
        <f>VLOOKUP(BN32,'Axe 2 Règles de gestion'!$D$2:$F$65,3, FALSE)</f>
        <v>La date de fin prévisionnelle du congé/absence doit être antérieure ou égale à la date limite de fin réelle ou prévisionnelle du lien juridique.</v>
      </c>
      <c r="BP32" s="13" t="s">
        <v>153</v>
      </c>
      <c r="BQ32" s="15" t="str">
        <f>VLOOKUP(BP32,'Axe 2 Règles de gestion'!$D$2:$F$65,3, FALSE)</f>
        <v>La date de fin réelle du congé/absence doit être antérieure à la date limite de départ à la retraite.</v>
      </c>
      <c r="BR32" s="13" t="s">
        <v>155</v>
      </c>
      <c r="BS32" s="15" t="str">
        <f>VLOOKUP(BR32,'Axe 2 Règles de gestion'!$D$2:$F$65,3, FALSE)</f>
        <v>La date de fin prévisionnelle du congé/absence doit être antérieure à la date limite de départ à la retraite.</v>
      </c>
      <c r="BT32" s="13" t="s">
        <v>157</v>
      </c>
      <c r="BU32" s="15" t="str">
        <f>VLOOKUP(BT32,'Axe 2 Règles de gestion'!$D$2:$F$65,3, FALSE)</f>
        <v>La date de fin réelle ou la date de fin prévisionnelle du congé/absence doit être saisie.</v>
      </c>
      <c r="BV32" s="13"/>
      <c r="BW32" s="15"/>
      <c r="BX32" s="13"/>
      <c r="BY32" s="15"/>
      <c r="BZ32" s="13"/>
      <c r="CA32" s="15"/>
    </row>
    <row r="33" spans="1:79" ht="43.5" x14ac:dyDescent="0.35">
      <c r="A33" s="13" t="s">
        <v>159</v>
      </c>
      <c r="B33" s="13" t="s">
        <v>81</v>
      </c>
      <c r="C33" s="14">
        <v>44959.574999999997</v>
      </c>
      <c r="D33" s="13" t="s">
        <v>82</v>
      </c>
      <c r="E33" s="15" t="s">
        <v>83</v>
      </c>
      <c r="F33" s="13" t="s">
        <v>84</v>
      </c>
      <c r="G33" s="15" t="s">
        <v>85</v>
      </c>
      <c r="H33" s="13" t="s">
        <v>203</v>
      </c>
      <c r="I33" s="15" t="s">
        <v>204</v>
      </c>
      <c r="J33" s="15" t="s">
        <v>205</v>
      </c>
      <c r="K33" s="15" t="s">
        <v>206</v>
      </c>
      <c r="L33" s="13" t="s">
        <v>207</v>
      </c>
      <c r="M33" s="15" t="s">
        <v>208</v>
      </c>
      <c r="N33" s="13" t="s">
        <v>91</v>
      </c>
      <c r="O33" s="15"/>
      <c r="P33" s="15"/>
      <c r="Q33" s="15" t="s">
        <v>160</v>
      </c>
      <c r="R33" s="13" t="s">
        <v>161</v>
      </c>
      <c r="S33" s="13" t="s">
        <v>94</v>
      </c>
      <c r="T33" s="13" t="s">
        <v>162</v>
      </c>
      <c r="U33" s="14">
        <v>44767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5"/>
      <c r="AP33" s="13"/>
      <c r="AQ33" s="15"/>
      <c r="AR33" s="13"/>
      <c r="AS33" s="15"/>
      <c r="AT33" s="13"/>
      <c r="AU33" s="15"/>
      <c r="AV33" s="13"/>
      <c r="AW33" s="15"/>
      <c r="AX33" s="13"/>
      <c r="AY33" s="15"/>
      <c r="AZ33" s="13"/>
      <c r="BA33" s="15"/>
      <c r="BB33" s="13"/>
      <c r="BC33" s="15"/>
      <c r="BD33" s="13"/>
      <c r="BE33" s="15"/>
      <c r="BF33" s="13"/>
      <c r="BG33" s="15"/>
      <c r="BH33" s="13"/>
      <c r="BI33" s="15"/>
      <c r="BJ33" s="13"/>
      <c r="BK33" s="15"/>
      <c r="BL33" s="13"/>
      <c r="BM33" s="15"/>
      <c r="BN33" s="13"/>
      <c r="BO33" s="15"/>
      <c r="BP33" s="13"/>
      <c r="BQ33" s="15"/>
      <c r="BR33" s="13"/>
      <c r="BS33" s="15"/>
      <c r="BT33" s="13"/>
      <c r="BU33" s="15"/>
      <c r="BV33" s="13"/>
      <c r="BW33" s="15"/>
      <c r="BX33" s="13"/>
      <c r="BY33" s="15"/>
      <c r="BZ33" s="13"/>
      <c r="CA33" s="15"/>
    </row>
    <row r="34" spans="1:79" ht="43.5" x14ac:dyDescent="0.35">
      <c r="A34" s="13" t="s">
        <v>159</v>
      </c>
      <c r="B34" s="13" t="s">
        <v>81</v>
      </c>
      <c r="C34" s="14">
        <v>44959.582638888889</v>
      </c>
      <c r="D34" s="13" t="s">
        <v>82</v>
      </c>
      <c r="E34" s="15" t="s">
        <v>83</v>
      </c>
      <c r="F34" s="13" t="s">
        <v>84</v>
      </c>
      <c r="G34" s="15" t="s">
        <v>85</v>
      </c>
      <c r="H34" s="13" t="s">
        <v>203</v>
      </c>
      <c r="I34" s="15" t="s">
        <v>204</v>
      </c>
      <c r="J34" s="15" t="s">
        <v>205</v>
      </c>
      <c r="K34" s="15" t="s">
        <v>206</v>
      </c>
      <c r="L34" s="13" t="s">
        <v>224</v>
      </c>
      <c r="M34" s="15" t="s">
        <v>225</v>
      </c>
      <c r="N34" s="13" t="s">
        <v>145</v>
      </c>
      <c r="O34" s="15"/>
      <c r="P34" s="15"/>
      <c r="Q34" s="15" t="s">
        <v>160</v>
      </c>
      <c r="R34" s="13" t="s">
        <v>161</v>
      </c>
      <c r="S34" s="13" t="s">
        <v>94</v>
      </c>
      <c r="T34" s="13" t="s">
        <v>162</v>
      </c>
      <c r="U34" s="14">
        <v>44767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5"/>
      <c r="AP34" s="13"/>
      <c r="AQ34" s="15"/>
      <c r="AR34" s="13"/>
      <c r="AS34" s="15"/>
      <c r="AT34" s="13"/>
      <c r="AU34" s="15"/>
      <c r="AV34" s="13"/>
      <c r="AW34" s="15"/>
      <c r="AX34" s="13"/>
      <c r="AY34" s="15"/>
      <c r="AZ34" s="13"/>
      <c r="BA34" s="15"/>
      <c r="BB34" s="13"/>
      <c r="BC34" s="15"/>
      <c r="BD34" s="13"/>
      <c r="BE34" s="15"/>
      <c r="BF34" s="13"/>
      <c r="BG34" s="15"/>
      <c r="BH34" s="13"/>
      <c r="BI34" s="15"/>
      <c r="BJ34" s="13"/>
      <c r="BK34" s="15"/>
      <c r="BL34" s="13"/>
      <c r="BM34" s="15"/>
      <c r="BN34" s="13"/>
      <c r="BO34" s="15"/>
      <c r="BP34" s="13"/>
      <c r="BQ34" s="15"/>
      <c r="BR34" s="13"/>
      <c r="BS34" s="15"/>
      <c r="BT34" s="13"/>
      <c r="BU34" s="15"/>
      <c r="BV34" s="13"/>
      <c r="BW34" s="15"/>
      <c r="BX34" s="13"/>
      <c r="BY34" s="15"/>
      <c r="BZ34" s="13"/>
      <c r="CA34" s="15"/>
    </row>
    <row r="35" spans="1:79" ht="130.5" x14ac:dyDescent="0.35">
      <c r="A35" s="13" t="s">
        <v>159</v>
      </c>
      <c r="B35" s="13" t="s">
        <v>81</v>
      </c>
      <c r="C35" s="14">
        <v>44959.599305555559</v>
      </c>
      <c r="D35" s="13" t="s">
        <v>82</v>
      </c>
      <c r="E35" s="15" t="s">
        <v>83</v>
      </c>
      <c r="F35" s="13" t="s">
        <v>84</v>
      </c>
      <c r="G35" s="15" t="s">
        <v>85</v>
      </c>
      <c r="H35" s="13" t="s">
        <v>203</v>
      </c>
      <c r="I35" s="15" t="s">
        <v>204</v>
      </c>
      <c r="J35" s="15" t="s">
        <v>205</v>
      </c>
      <c r="K35" s="15" t="s">
        <v>206</v>
      </c>
      <c r="L35" s="13" t="s">
        <v>207</v>
      </c>
      <c r="M35" s="15" t="s">
        <v>208</v>
      </c>
      <c r="N35" s="13" t="s">
        <v>91</v>
      </c>
      <c r="O35" s="15"/>
      <c r="P35" s="15"/>
      <c r="Q35" s="15" t="s">
        <v>163</v>
      </c>
      <c r="R35" s="13" t="s">
        <v>164</v>
      </c>
      <c r="S35" s="13" t="s">
        <v>94</v>
      </c>
      <c r="T35" s="13" t="s">
        <v>95</v>
      </c>
      <c r="U35" s="14">
        <v>44767</v>
      </c>
      <c r="V35" s="14"/>
      <c r="W35" s="15" t="s">
        <v>227</v>
      </c>
      <c r="X35" s="13" t="s">
        <v>228</v>
      </c>
      <c r="Y35" s="15" t="str">
        <f>VLOOKUP(X35,'Axe 2 Règles de gestion'!$D$2:$F$65,3, FALSE)</f>
        <v>Soit l'agent doit occuper un emploi de niveau de catégorie C et ne pas avoir atteint un niveau de formation sanctionné par un diplôme ou un titre professionnel correspondant à un niveau requis.</v>
      </c>
      <c r="Z35" s="13" t="s">
        <v>230</v>
      </c>
      <c r="AA35" s="15" t="str">
        <f>VLOOKUP(Z35,'Axe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B35" s="13" t="s">
        <v>231</v>
      </c>
      <c r="AC35" s="15" t="str">
        <f>VLOOKUP(AB35,'Axe 2 Règles de gestion'!$D$2:$F$65,3, FALSE)</f>
        <v>Soit l'agent doit être en situation de handicap.</v>
      </c>
      <c r="AD35" s="13" t="s">
        <v>232</v>
      </c>
      <c r="AE35" s="15" t="str">
        <f>VLOOKUP(AD35,'Axe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F35" s="13" t="s">
        <v>233</v>
      </c>
      <c r="AG35" s="15" t="str">
        <f>VLOOKUP(AF35,'Axe 2 Règles de gestion'!$D$2:$F$65,3, FALSE)</f>
        <v>L'agent peut bénéficier du congé afin de suivre une action ou un parcours de formation en vue d'exercer un nouveau métier au sein du secteur public ou du secteur privé.</v>
      </c>
      <c r="AH35" s="13" t="s">
        <v>99</v>
      </c>
      <c r="AI35" s="15" t="str">
        <f>VLOOKUP(AH35,'Axe 2 Règles de gestion'!$D$2:$F$65,3, FALSE)</f>
        <v>Le comité social d'administration compétent est consulté sur la mise en place du congé.</v>
      </c>
      <c r="AJ35" s="13" t="s">
        <v>101</v>
      </c>
      <c r="AK35" s="15" t="str">
        <f>VLOOKUP(AJ35,'Axe 2 Règles de gestion'!$D$2:$F$65,3, FALSE)</f>
        <v>Le congé peut être fractionné en mois, semaines ou journées.</v>
      </c>
      <c r="AL35" s="13" t="s">
        <v>103</v>
      </c>
      <c r="AM35" s="15" t="str">
        <f>VLOOKUP(AL35,'Axe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N35" s="13" t="s">
        <v>105</v>
      </c>
      <c r="AO35" s="15" t="str">
        <f>VLOOKUP(AN35,'Axe 2 Règles de gestion'!$D$2:$F$65,3, FALSE)</f>
        <v>L'agent doit effectuer une demande.</v>
      </c>
      <c r="AP35" s="13" t="s">
        <v>107</v>
      </c>
      <c r="AQ35" s="15" t="str">
        <f>VLOOKUP(AP35,'Axe 2 Règles de gestion'!$D$2:$F$65,3, FALSE)</f>
        <v>La demande de congé précise la nature de la formation, sa durée, le nom de l'organisme qui la dispense et l'objectif professionnel visé.</v>
      </c>
      <c r="AR35" s="13" t="s">
        <v>234</v>
      </c>
      <c r="AS35" s="15" t="str">
        <f>VLOOKUP(AR35,'Axe 2 Règles de gestion'!$D$2:$F$65,3, FALSE)</f>
        <v>L'administration informe l'agent de sa réponse par écrit dans le délai de 2 mois suivant la réception de la demande.</v>
      </c>
      <c r="AT35" s="13" t="s">
        <v>111</v>
      </c>
      <c r="AU35" s="15" t="str">
        <f>VLOOKUP(AT35,'Axe 2 Règles de gestion'!$D$2:$F$65,3, FALSE)</f>
        <v>La décision de rejet du congé doit être motivée.</v>
      </c>
      <c r="AV35" s="13" t="s">
        <v>113</v>
      </c>
      <c r="AW35" s="15" t="str">
        <f>VLOOKUP(AV35,'Axe 2 Règles de gestion'!$D$2:$F$65,3, FALSE)</f>
        <v>Le bénéfice du congé peut être différé dans l'intérêt du service.</v>
      </c>
      <c r="AX35" s="13" t="s">
        <v>115</v>
      </c>
      <c r="AY35" s="15" t="str">
        <f>VLOOKUP(AX35,'Axe 2 Règles de gestion'!$D$2:$F$65,3, FALSE)</f>
        <v>L'agent transmet les attestations établies par l'organisme de formation, justifiant son assiduité à l'action de formation, sinon il perd le bénéfice de ce congé.</v>
      </c>
      <c r="AZ35" s="13" t="s">
        <v>117</v>
      </c>
      <c r="BA35" s="15" t="str">
        <f>VLOOKUP(AZ35,'Axe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B35" s="13"/>
      <c r="BC35" s="15"/>
      <c r="BD35" s="13" t="s">
        <v>121</v>
      </c>
      <c r="BE35" s="15" t="str">
        <f>VLOOKUP(BD35,'Axe 2 Règles de gestion'!$D$2:$F$65,3, FALSE)</f>
        <v>L'agent doit être en activité.</v>
      </c>
      <c r="BF35" s="13" t="s">
        <v>166</v>
      </c>
      <c r="BG35" s="15" t="str">
        <f>VLOOKUP(BF35,'Axe 2 Règles de gestion'!$D$2:$F$65,3, FALSE)</f>
        <v>Le congé est accordé pour une durée maximale de 12 mois.</v>
      </c>
      <c r="BH35" s="13" t="s">
        <v>235</v>
      </c>
      <c r="BI35" s="15" t="str">
        <f>VLOOKUP(BH35,'Axe 2 Règles de gestion'!$D$2:$F$65,3, FALSE)</f>
        <v>La demande de congé doit être formulée au moins 3 mois avant la date de début de la formation liée au congé.</v>
      </c>
      <c r="BJ35" s="13"/>
      <c r="BK35" s="15"/>
      <c r="BL35" s="13" t="s">
        <v>127</v>
      </c>
      <c r="BM35" s="15" t="str">
        <f>VLOOKUP(BL35,'Axe 2 Règles de gestion'!$D$2:$F$65,3, FALSE)</f>
        <v>La date de début du congé/absence doit être postérieure ou égale à la date de recrutement dans la FPE ou dans la carrière militaire.</v>
      </c>
      <c r="BN35" s="13" t="s">
        <v>129</v>
      </c>
      <c r="BO35" s="15" t="str">
        <f>VLOOKUP(BN35,'Axe 2 Règles de gestion'!$D$2:$F$65,3, FALSE)</f>
        <v>La date de début du congé/absence doit être postérieure ou égale à la date de début du lien juridique.</v>
      </c>
      <c r="BP35" s="13" t="s">
        <v>131</v>
      </c>
      <c r="BQ35" s="15" t="str">
        <f>VLOOKUP(BP35,'Axe 2 Règles de gestion'!$D$2:$F$65,3, FALSE)</f>
        <v>La date de début du congé/absence doit être antérieure ou égale à la date de fin réelle du congé/absence.</v>
      </c>
      <c r="BR35" s="13" t="s">
        <v>133</v>
      </c>
      <c r="BS35" s="15" t="str">
        <f>VLOOKUP(BR35,'Axe 2 Règles de gestion'!$D$2:$F$65,3, FALSE)</f>
        <v>La date de début du congé/absence doit être antérieure ou égale à la date de fin prévisionnelle du congé/absence.</v>
      </c>
      <c r="BT35" s="13" t="s">
        <v>135</v>
      </c>
      <c r="BU35" s="15" t="str">
        <f>VLOOKUP(BT35,'Axe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35" s="13" t="s">
        <v>137</v>
      </c>
      <c r="BW35" s="15" t="str">
        <f>VLOOKUP(BV35,'Axe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35" s="13" t="s">
        <v>139</v>
      </c>
      <c r="BY35" s="15" t="str">
        <f>VLOOKUP(BX35,'Axe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35" s="13"/>
      <c r="CA35" s="15"/>
    </row>
    <row r="36" spans="1:79" ht="87" x14ac:dyDescent="0.35">
      <c r="A36" s="13" t="s">
        <v>159</v>
      </c>
      <c r="B36" s="13" t="s">
        <v>81</v>
      </c>
      <c r="C36" s="14">
        <v>44959.583333333336</v>
      </c>
      <c r="D36" s="13" t="s">
        <v>82</v>
      </c>
      <c r="E36" s="15" t="s">
        <v>83</v>
      </c>
      <c r="F36" s="13" t="s">
        <v>84</v>
      </c>
      <c r="G36" s="15" t="s">
        <v>85</v>
      </c>
      <c r="H36" s="13" t="s">
        <v>203</v>
      </c>
      <c r="I36" s="15" t="s">
        <v>204</v>
      </c>
      <c r="J36" s="15" t="s">
        <v>205</v>
      </c>
      <c r="K36" s="15" t="s">
        <v>206</v>
      </c>
      <c r="L36" s="13" t="s">
        <v>224</v>
      </c>
      <c r="M36" s="15" t="s">
        <v>225</v>
      </c>
      <c r="N36" s="13" t="s">
        <v>145</v>
      </c>
      <c r="O36" s="15"/>
      <c r="P36" s="15"/>
      <c r="Q36" s="15" t="s">
        <v>163</v>
      </c>
      <c r="R36" s="13" t="s">
        <v>164</v>
      </c>
      <c r="S36" s="13" t="s">
        <v>94</v>
      </c>
      <c r="T36" s="13" t="s">
        <v>95</v>
      </c>
      <c r="U36" s="14">
        <v>44767</v>
      </c>
      <c r="V36" s="14"/>
      <c r="W36" s="15" t="s">
        <v>236</v>
      </c>
      <c r="X36" s="13"/>
      <c r="Y36" s="15"/>
      <c r="Z36" s="13"/>
      <c r="AA36" s="15"/>
      <c r="AB36" s="13"/>
      <c r="AC36" s="15"/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5"/>
      <c r="AP36" s="13"/>
      <c r="AQ36" s="15"/>
      <c r="AR36" s="13"/>
      <c r="AS36" s="15"/>
      <c r="AT36" s="13"/>
      <c r="AU36" s="15"/>
      <c r="AV36" s="13"/>
      <c r="AW36" s="15"/>
      <c r="AX36" s="13"/>
      <c r="AY36" s="15"/>
      <c r="AZ36" s="13"/>
      <c r="BA36" s="15"/>
      <c r="BB36" s="13"/>
      <c r="BC36" s="15"/>
      <c r="BD36" s="13" t="s">
        <v>166</v>
      </c>
      <c r="BE36" s="15" t="str">
        <f>VLOOKUP(BD36,'Axe 2 Règles de gestion'!$D$2:$F$65,3, FALSE)</f>
        <v>Le congé est accordé pour une durée maximale de 12 mois.</v>
      </c>
      <c r="BF36" s="13"/>
      <c r="BG36" s="15"/>
      <c r="BH36" s="13"/>
      <c r="BI36" s="15"/>
      <c r="BJ36" s="13"/>
      <c r="BK36" s="15"/>
      <c r="BL36" s="13" t="s">
        <v>149</v>
      </c>
      <c r="BM36" s="15" t="str">
        <f>VLOOKUP(BL36,'Axe 2 Règles de gestion'!$D$2:$F$65,3, FALSE)</f>
        <v>La date de fin réelle du congé/absence doit être antérieure ou égale à la date limite de fin réelle ou prévisionnelle du lien juridique.</v>
      </c>
      <c r="BN36" s="13" t="s">
        <v>151</v>
      </c>
      <c r="BO36" s="15" t="str">
        <f>VLOOKUP(BN36,'Axe 2 Règles de gestion'!$D$2:$F$65,3, FALSE)</f>
        <v>La date de fin prévisionnelle du congé/absence doit être antérieure ou égale à la date limite de fin réelle ou prévisionnelle du lien juridique.</v>
      </c>
      <c r="BP36" s="13" t="s">
        <v>153</v>
      </c>
      <c r="BQ36" s="15" t="str">
        <f>VLOOKUP(BP36,'Axe 2 Règles de gestion'!$D$2:$F$65,3, FALSE)</f>
        <v>La date de fin réelle du congé/absence doit être antérieure à la date limite de départ à la retraite.</v>
      </c>
      <c r="BR36" s="13" t="s">
        <v>155</v>
      </c>
      <c r="BS36" s="15" t="str">
        <f>VLOOKUP(BR36,'Axe 2 Règles de gestion'!$D$2:$F$65,3, FALSE)</f>
        <v>La date de fin prévisionnelle du congé/absence doit être antérieure à la date limite de départ à la retraite.</v>
      </c>
      <c r="BT36" s="13" t="s">
        <v>157</v>
      </c>
      <c r="BU36" s="15" t="str">
        <f>VLOOKUP(BT36,'Axe 2 Règles de gestion'!$D$2:$F$65,3, FALSE)</f>
        <v>La date de fin réelle ou la date de fin prévisionnelle du congé/absence doit être saisie.</v>
      </c>
      <c r="BV36" s="13"/>
      <c r="BW36" s="15"/>
      <c r="BX36" s="13"/>
      <c r="BY36" s="15"/>
      <c r="BZ36" s="13"/>
      <c r="CA36" s="15"/>
    </row>
    <row r="37" spans="1:79" s="23" customFormat="1" ht="130.5" x14ac:dyDescent="0.35">
      <c r="A37" s="20" t="s">
        <v>193</v>
      </c>
      <c r="B37" s="20" t="s">
        <v>142</v>
      </c>
      <c r="C37" s="21">
        <v>45993.489583333336</v>
      </c>
      <c r="D37" s="20" t="s">
        <v>82</v>
      </c>
      <c r="E37" s="22" t="s">
        <v>83</v>
      </c>
      <c r="F37" s="20" t="s">
        <v>84</v>
      </c>
      <c r="G37" s="22" t="s">
        <v>85</v>
      </c>
      <c r="H37" s="20" t="s">
        <v>203</v>
      </c>
      <c r="I37" s="22" t="s">
        <v>204</v>
      </c>
      <c r="J37" s="22" t="s">
        <v>205</v>
      </c>
      <c r="K37" s="22" t="s">
        <v>206</v>
      </c>
      <c r="L37" s="20" t="s">
        <v>207</v>
      </c>
      <c r="M37" s="22" t="s">
        <v>208</v>
      </c>
      <c r="N37" s="20" t="s">
        <v>91</v>
      </c>
      <c r="O37" s="22"/>
      <c r="P37" s="22"/>
      <c r="Q37" s="22" t="s">
        <v>172</v>
      </c>
      <c r="R37" s="20" t="s">
        <v>173</v>
      </c>
      <c r="S37" s="20" t="s">
        <v>94</v>
      </c>
      <c r="T37" s="20" t="s">
        <v>95</v>
      </c>
      <c r="U37" s="21">
        <v>44767</v>
      </c>
      <c r="V37" s="21"/>
      <c r="W37" s="22" t="s">
        <v>237</v>
      </c>
      <c r="X37" s="20" t="s">
        <v>238</v>
      </c>
      <c r="Y37" s="22" t="str">
        <f>VLOOKUP(X37,'Axe 2 Règles de gestion'!$D$2:$F$65,3, FALSE)</f>
        <v>L'agent bénéficie des dispositions applicables aux agents titulaires pour le congé de transition professionnelle aménagé, sauf dispositions particulières.</v>
      </c>
      <c r="Z37" s="20" t="s">
        <v>210</v>
      </c>
      <c r="AA37" s="22" t="str">
        <f>VLOOKUP(Z37,'Axe 2 Règles de gestion'!$D$2:$F$65,3, FALSE)</f>
        <v>Soit l'agent doit appartenir à un corps ou à un cadre d'emplois de catégorie C et ne pas avoir atteint un niveau de formation sanctionné par un diplôme ou un titre professionnel correspondant à un niveau requis.</v>
      </c>
      <c r="AB37" s="20" t="s">
        <v>212</v>
      </c>
      <c r="AC37" s="22" t="str">
        <f>VLOOKUP(AB37,'Axe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D37" s="20" t="s">
        <v>214</v>
      </c>
      <c r="AE37" s="22" t="str">
        <f>VLOOKUP(AD37,'Axe 2 Règles de gestion'!$D$2:$F$65,3, FALSE)</f>
        <v>Soit l'agent doit être en situation de handicap.</v>
      </c>
      <c r="AF37" s="20" t="s">
        <v>216</v>
      </c>
      <c r="AG37" s="22" t="str">
        <f>VLOOKUP(AF37,'Axe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H37" s="20" t="s">
        <v>218</v>
      </c>
      <c r="AI37" s="22" t="str">
        <f>VLOOKUP(AH37,'Axe 2 Règles de gestion'!$D$2:$F$65,3, FALSE)</f>
        <v>L'agent peut bénéficier du congé afin de suivre une action ou un parcours de formation en vue d'exercer un nouveau métier au sein du secteur public ou du secteur privé.</v>
      </c>
      <c r="AJ37" s="20" t="s">
        <v>99</v>
      </c>
      <c r="AK37" s="22" t="str">
        <f>VLOOKUP(AJ37,'Axe 2 Règles de gestion'!$D$2:$F$65,3, FALSE)</f>
        <v>Le comité social d'administration compétent est consulté sur la mise en place du congé.</v>
      </c>
      <c r="AL37" s="20" t="s">
        <v>101</v>
      </c>
      <c r="AM37" s="22" t="str">
        <f>VLOOKUP(AL37,'Axe 2 Règles de gestion'!$D$2:$F$65,3, FALSE)</f>
        <v>Le congé peut être fractionné en mois, semaines ou journées.</v>
      </c>
      <c r="AN37" s="20" t="s">
        <v>103</v>
      </c>
      <c r="AO37" s="22" t="str">
        <f>VLOOKUP(AN37,'Axe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P37" s="20" t="s">
        <v>105</v>
      </c>
      <c r="AQ37" s="22" t="str">
        <f>VLOOKUP(AP37,'Axe 2 Règles de gestion'!$D$2:$F$65,3, FALSE)</f>
        <v>L'agent doit effectuer une demande.</v>
      </c>
      <c r="AR37" s="20" t="s">
        <v>107</v>
      </c>
      <c r="AS37" s="22" t="str">
        <f>VLOOKUP(AR37,'Axe 2 Règles de gestion'!$D$2:$F$65,3, FALSE)</f>
        <v>La demande de congé précise la nature de la formation, sa durée, le nom de l'organisme qui la dispense et l'objectif professionnel visé.</v>
      </c>
      <c r="AT37" s="20" t="s">
        <v>220</v>
      </c>
      <c r="AU37" s="22" t="str">
        <f>VLOOKUP(AT37,'Axe 2 Règles de gestion'!$D$2:$F$65,3, FALSE)</f>
        <v>L'administration informe l'agent de sa réponse par écrit dans le délai de 2 mois suivant la réception de la demande.</v>
      </c>
      <c r="AV37" s="20" t="s">
        <v>111</v>
      </c>
      <c r="AW37" s="22" t="str">
        <f>VLOOKUP(AV37,'Axe 2 Règles de gestion'!$D$2:$F$65,3, FALSE)</f>
        <v>La décision de rejet du congé doit être motivée.</v>
      </c>
      <c r="AX37" s="20" t="s">
        <v>113</v>
      </c>
      <c r="AY37" s="22" t="str">
        <f>VLOOKUP(AX37,'Axe 2 Règles de gestion'!$D$2:$F$65,3, FALSE)</f>
        <v>Le bénéfice du congé peut être différé dans l'intérêt du service.</v>
      </c>
      <c r="AZ37" s="20" t="s">
        <v>115</v>
      </c>
      <c r="BA37" s="22" t="str">
        <f>VLOOKUP(AZ37,'Axe 2 Règles de gestion'!$D$2:$F$65,3, FALSE)</f>
        <v>L'agent transmet les attestations établies par l'organisme de formation, justifiant son assiduité à l'action de formation, sinon il perd le bénéfice de ce congé.</v>
      </c>
      <c r="BB37" s="20" t="s">
        <v>117</v>
      </c>
      <c r="BC37" s="22" t="str">
        <f>VLOOKUP(BB37,'Axe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D37" s="20" t="s">
        <v>121</v>
      </c>
      <c r="BE37" s="22" t="str">
        <f>VLOOKUP(BD37,'Axe 2 Règles de gestion'!$D$2:$F$65,3, FALSE)</f>
        <v>L'agent doit être en activité.</v>
      </c>
      <c r="BF37" s="20" t="s">
        <v>166</v>
      </c>
      <c r="BG37" s="22" t="str">
        <f>VLOOKUP(BF37,'Axe 2 Règles de gestion'!$D$2:$F$65,3, FALSE)</f>
        <v>Le congé est accordé pour une durée maximale de 12 mois.</v>
      </c>
      <c r="BH37" s="20" t="s">
        <v>222</v>
      </c>
      <c r="BI37" s="22" t="str">
        <f>VLOOKUP(BH37,'Axe 2 Règles de gestion'!$D$2:$F$65,3, FALSE)</f>
        <v>La demande de congé doit être formulée au moins 3 mois avant la date de début de la formation liée au congé.</v>
      </c>
      <c r="BJ37" s="20"/>
      <c r="BK37" s="22"/>
      <c r="BL37" s="20" t="s">
        <v>127</v>
      </c>
      <c r="BM37" s="22" t="str">
        <f>VLOOKUP(BL37,'Axe 2 Règles de gestion'!$D$2:$F$65,3, FALSE)</f>
        <v>La date de début du congé/absence doit être postérieure ou égale à la date de recrutement dans la FPE ou dans la carrière militaire.</v>
      </c>
      <c r="BN37" s="20" t="s">
        <v>129</v>
      </c>
      <c r="BO37" s="22" t="str">
        <f>VLOOKUP(BN37,'Axe 2 Règles de gestion'!$D$2:$F$65,3, FALSE)</f>
        <v>La date de début du congé/absence doit être postérieure ou égale à la date de début du lien juridique.</v>
      </c>
      <c r="BP37" s="20" t="s">
        <v>131</v>
      </c>
      <c r="BQ37" s="22" t="str">
        <f>VLOOKUP(BP37,'Axe 2 Règles de gestion'!$D$2:$F$65,3, FALSE)</f>
        <v>La date de début du congé/absence doit être antérieure ou égale à la date de fin réelle du congé/absence.</v>
      </c>
      <c r="BR37" s="20" t="s">
        <v>133</v>
      </c>
      <c r="BS37" s="22" t="str">
        <f>VLOOKUP(BR37,'Axe 2 Règles de gestion'!$D$2:$F$65,3, FALSE)</f>
        <v>La date de début du congé/absence doit être antérieure ou égale à la date de fin prévisionnelle du congé/absence.</v>
      </c>
      <c r="BT37" s="20" t="s">
        <v>135</v>
      </c>
      <c r="BU37" s="22" t="str">
        <f>VLOOKUP(BT37,'Axe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37" s="20" t="s">
        <v>137</v>
      </c>
      <c r="BW37" s="22" t="str">
        <f>VLOOKUP(BV37,'Axe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37" s="20" t="s">
        <v>139</v>
      </c>
      <c r="BY37" s="22" t="str">
        <f>VLOOKUP(BX37,'Axe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37" s="20" t="s">
        <v>240</v>
      </c>
      <c r="CA37" s="22"/>
    </row>
    <row r="38" spans="1:79" s="23" customFormat="1" ht="101.5" x14ac:dyDescent="0.35">
      <c r="A38" s="20" t="s">
        <v>193</v>
      </c>
      <c r="B38" s="20" t="s">
        <v>142</v>
      </c>
      <c r="C38" s="21">
        <v>45993.460416666669</v>
      </c>
      <c r="D38" s="20" t="s">
        <v>82</v>
      </c>
      <c r="E38" s="22" t="s">
        <v>83</v>
      </c>
      <c r="F38" s="20" t="s">
        <v>84</v>
      </c>
      <c r="G38" s="22" t="s">
        <v>85</v>
      </c>
      <c r="H38" s="20" t="s">
        <v>203</v>
      </c>
      <c r="I38" s="22" t="s">
        <v>204</v>
      </c>
      <c r="J38" s="22" t="s">
        <v>205</v>
      </c>
      <c r="K38" s="22" t="s">
        <v>206</v>
      </c>
      <c r="L38" s="20" t="s">
        <v>224</v>
      </c>
      <c r="M38" s="22" t="s">
        <v>225</v>
      </c>
      <c r="N38" s="20" t="s">
        <v>145</v>
      </c>
      <c r="O38" s="22"/>
      <c r="P38" s="22"/>
      <c r="Q38" s="22" t="s">
        <v>172</v>
      </c>
      <c r="R38" s="20" t="s">
        <v>173</v>
      </c>
      <c r="S38" s="20" t="s">
        <v>94</v>
      </c>
      <c r="T38" s="20" t="s">
        <v>95</v>
      </c>
      <c r="U38" s="21">
        <v>44767</v>
      </c>
      <c r="V38" s="21"/>
      <c r="W38" s="22" t="s">
        <v>241</v>
      </c>
      <c r="X38" s="20" t="s">
        <v>238</v>
      </c>
      <c r="Y38" s="22" t="str">
        <f>VLOOKUP(X38,'Axe 2 Règles de gestion'!$D$2:$F$65,3, FALSE)</f>
        <v>L'agent bénéficie des dispositions applicables aux agents titulaires pour le congé de transition professionnelle aménagé, sauf dispositions particulières.</v>
      </c>
      <c r="Z38" s="20"/>
      <c r="AA38" s="22"/>
      <c r="AB38" s="20"/>
      <c r="AC38" s="22"/>
      <c r="AD38" s="20"/>
      <c r="AE38" s="22"/>
      <c r="AF38" s="20"/>
      <c r="AG38" s="22"/>
      <c r="AH38" s="20"/>
      <c r="AI38" s="22"/>
      <c r="AJ38" s="20"/>
      <c r="AK38" s="22"/>
      <c r="AL38" s="20"/>
      <c r="AM38" s="22"/>
      <c r="AN38" s="20"/>
      <c r="AO38" s="22"/>
      <c r="AP38" s="20"/>
      <c r="AQ38" s="22"/>
      <c r="AR38" s="20"/>
      <c r="AS38" s="22"/>
      <c r="AT38" s="20"/>
      <c r="AU38" s="22"/>
      <c r="AV38" s="20"/>
      <c r="AW38" s="22"/>
      <c r="AX38" s="20"/>
      <c r="AY38" s="22"/>
      <c r="AZ38" s="20"/>
      <c r="BA38" s="22"/>
      <c r="BB38" s="20"/>
      <c r="BC38" s="22"/>
      <c r="BD38" s="20" t="s">
        <v>123</v>
      </c>
      <c r="BE38" s="22" t="str">
        <f>VLOOKUP(BD38,'Axe 2 Règles de gestion'!$D$2:$F$65,3, FALSE)</f>
        <v>Le congé est accordé pour une durée maximale de 12 mois.</v>
      </c>
      <c r="BF38" s="20"/>
      <c r="BG38" s="22"/>
      <c r="BH38" s="20"/>
      <c r="BI38" s="22"/>
      <c r="BJ38" s="20"/>
      <c r="BK38" s="22"/>
      <c r="BL38" s="20" t="s">
        <v>149</v>
      </c>
      <c r="BM38" s="22" t="str">
        <f>VLOOKUP(BL38,'Axe 2 Règles de gestion'!$D$2:$F$65,3, FALSE)</f>
        <v>La date de fin réelle du congé/absence doit être antérieure ou égale à la date limite de fin réelle ou prévisionnelle du lien juridique.</v>
      </c>
      <c r="BN38" s="20" t="s">
        <v>151</v>
      </c>
      <c r="BO38" s="22" t="str">
        <f>VLOOKUP(BN38,'Axe 2 Règles de gestion'!$D$2:$F$65,3, FALSE)</f>
        <v>La date de fin prévisionnelle du congé/absence doit être antérieure ou égale à la date limite de fin réelle ou prévisionnelle du lien juridique.</v>
      </c>
      <c r="BP38" s="20" t="s">
        <v>153</v>
      </c>
      <c r="BQ38" s="22" t="str">
        <f>VLOOKUP(BP38,'Axe 2 Règles de gestion'!$D$2:$F$65,3, FALSE)</f>
        <v>La date de fin réelle du congé/absence doit être antérieure à la date limite de départ à la retraite.</v>
      </c>
      <c r="BR38" s="20" t="s">
        <v>155</v>
      </c>
      <c r="BS38" s="22" t="str">
        <f>VLOOKUP(BR38,'Axe 2 Règles de gestion'!$D$2:$F$65,3, FALSE)</f>
        <v>La date de fin prévisionnelle du congé/absence doit être antérieure à la date limite de départ à la retraite.</v>
      </c>
      <c r="BT38" s="20" t="s">
        <v>157</v>
      </c>
      <c r="BU38" s="22" t="str">
        <f>VLOOKUP(BT38,'Axe 2 Règles de gestion'!$D$2:$F$65,3, FALSE)</f>
        <v>La date de fin réelle ou la date de fin prévisionnelle du congé/absence doit être saisie.</v>
      </c>
      <c r="BV38" s="20"/>
      <c r="BW38" s="22"/>
      <c r="BX38" s="20"/>
      <c r="BY38" s="22"/>
      <c r="BZ38" s="20" t="s">
        <v>240</v>
      </c>
      <c r="CA38" s="22"/>
    </row>
    <row r="39" spans="1:79" ht="130.5" x14ac:dyDescent="0.35">
      <c r="A39" s="13" t="s">
        <v>159</v>
      </c>
      <c r="B39" s="13" t="s">
        <v>81</v>
      </c>
      <c r="C39" s="14">
        <v>44959.601388888892</v>
      </c>
      <c r="D39" s="13" t="s">
        <v>82</v>
      </c>
      <c r="E39" s="15" t="s">
        <v>83</v>
      </c>
      <c r="F39" s="13" t="s">
        <v>84</v>
      </c>
      <c r="G39" s="15" t="s">
        <v>85</v>
      </c>
      <c r="H39" s="13" t="s">
        <v>203</v>
      </c>
      <c r="I39" s="15" t="s">
        <v>204</v>
      </c>
      <c r="J39" s="15" t="s">
        <v>205</v>
      </c>
      <c r="K39" s="15" t="s">
        <v>206</v>
      </c>
      <c r="L39" s="13" t="s">
        <v>207</v>
      </c>
      <c r="M39" s="15" t="s">
        <v>208</v>
      </c>
      <c r="N39" s="13" t="s">
        <v>91</v>
      </c>
      <c r="O39" s="15"/>
      <c r="P39" s="15"/>
      <c r="Q39" s="15" t="s">
        <v>177</v>
      </c>
      <c r="R39" s="13" t="s">
        <v>178</v>
      </c>
      <c r="S39" s="13" t="s">
        <v>94</v>
      </c>
      <c r="T39" s="13" t="s">
        <v>95</v>
      </c>
      <c r="U39" s="14">
        <v>44767</v>
      </c>
      <c r="V39" s="14"/>
      <c r="W39" s="15" t="s">
        <v>227</v>
      </c>
      <c r="X39" s="13" t="s">
        <v>228</v>
      </c>
      <c r="Y39" s="15" t="str">
        <f>VLOOKUP(X39,'Axe 2 Règles de gestion'!$D$2:$F$65,3, FALSE)</f>
        <v>Soit l'agent doit occuper un emploi de niveau de catégorie C et ne pas avoir atteint un niveau de formation sanctionné par un diplôme ou un titre professionnel correspondant à un niveau requis.</v>
      </c>
      <c r="Z39" s="13" t="s">
        <v>230</v>
      </c>
      <c r="AA39" s="15" t="str">
        <f>VLOOKUP(Z39,'Axe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B39" s="13" t="s">
        <v>231</v>
      </c>
      <c r="AC39" s="15" t="str">
        <f>VLOOKUP(AB39,'Axe 2 Règles de gestion'!$D$2:$F$65,3, FALSE)</f>
        <v>Soit l'agent doit être en situation de handicap.</v>
      </c>
      <c r="AD39" s="13" t="s">
        <v>232</v>
      </c>
      <c r="AE39" s="15" t="str">
        <f>VLOOKUP(AD39,'Axe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F39" s="13" t="s">
        <v>233</v>
      </c>
      <c r="AG39" s="15" t="str">
        <f>VLOOKUP(AF39,'Axe 2 Règles de gestion'!$D$2:$F$65,3, FALSE)</f>
        <v>L'agent peut bénéficier du congé afin de suivre une action ou un parcours de formation en vue d'exercer un nouveau métier au sein du secteur public ou du secteur privé.</v>
      </c>
      <c r="AH39" s="13" t="s">
        <v>99</v>
      </c>
      <c r="AI39" s="15" t="str">
        <f>VLOOKUP(AH39,'Axe 2 Règles de gestion'!$D$2:$F$65,3, FALSE)</f>
        <v>Le comité social d'administration compétent est consulté sur la mise en place du congé.</v>
      </c>
      <c r="AJ39" s="13" t="s">
        <v>101</v>
      </c>
      <c r="AK39" s="15" t="str">
        <f>VLOOKUP(AJ39,'Axe 2 Règles de gestion'!$D$2:$F$65,3, FALSE)</f>
        <v>Le congé peut être fractionné en mois, semaines ou journées.</v>
      </c>
      <c r="AL39" s="13" t="s">
        <v>103</v>
      </c>
      <c r="AM39" s="15" t="str">
        <f>VLOOKUP(AL39,'Axe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N39" s="13" t="s">
        <v>105</v>
      </c>
      <c r="AO39" s="15" t="str">
        <f>VLOOKUP(AN39,'Axe 2 Règles de gestion'!$D$2:$F$65,3, FALSE)</f>
        <v>L'agent doit effectuer une demande.</v>
      </c>
      <c r="AP39" s="13" t="s">
        <v>107</v>
      </c>
      <c r="AQ39" s="15" t="str">
        <f>VLOOKUP(AP39,'Axe 2 Règles de gestion'!$D$2:$F$65,3, FALSE)</f>
        <v>La demande de congé précise la nature de la formation, sa durée, le nom de l'organisme qui la dispense et l'objectif professionnel visé.</v>
      </c>
      <c r="AR39" s="13" t="s">
        <v>234</v>
      </c>
      <c r="AS39" s="15" t="str">
        <f>VLOOKUP(AR39,'Axe 2 Règles de gestion'!$D$2:$F$65,3, FALSE)</f>
        <v>L'administration informe l'agent de sa réponse par écrit dans le délai de 2 mois suivant la réception de la demande.</v>
      </c>
      <c r="AT39" s="13" t="s">
        <v>111</v>
      </c>
      <c r="AU39" s="15" t="str">
        <f>VLOOKUP(AT39,'Axe 2 Règles de gestion'!$D$2:$F$65,3, FALSE)</f>
        <v>La décision de rejet du congé doit être motivée.</v>
      </c>
      <c r="AV39" s="13" t="s">
        <v>113</v>
      </c>
      <c r="AW39" s="15" t="str">
        <f>VLOOKUP(AV39,'Axe 2 Règles de gestion'!$D$2:$F$65,3, FALSE)</f>
        <v>Le bénéfice du congé peut être différé dans l'intérêt du service.</v>
      </c>
      <c r="AX39" s="13" t="s">
        <v>115</v>
      </c>
      <c r="AY39" s="15" t="str">
        <f>VLOOKUP(AX39,'Axe 2 Règles de gestion'!$D$2:$F$65,3, FALSE)</f>
        <v>L'agent transmet les attestations établies par l'organisme de formation, justifiant son assiduité à l'action de formation, sinon il perd le bénéfice de ce congé.</v>
      </c>
      <c r="AZ39" s="13" t="s">
        <v>117</v>
      </c>
      <c r="BA39" s="15" t="str">
        <f>VLOOKUP(AZ39,'Axe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B39" s="13"/>
      <c r="BC39" s="15"/>
      <c r="BD39" s="13" t="s">
        <v>121</v>
      </c>
      <c r="BE39" s="15" t="str">
        <f>VLOOKUP(BD39,'Axe 2 Règles de gestion'!$D$2:$F$65,3, FALSE)</f>
        <v>L'agent doit être en activité.</v>
      </c>
      <c r="BF39" s="13" t="s">
        <v>166</v>
      </c>
      <c r="BG39" s="15" t="str">
        <f>VLOOKUP(BF39,'Axe 2 Règles de gestion'!$D$2:$F$65,3, FALSE)</f>
        <v>Le congé est accordé pour une durée maximale de 12 mois.</v>
      </c>
      <c r="BH39" s="13" t="s">
        <v>235</v>
      </c>
      <c r="BI39" s="15" t="str">
        <f>VLOOKUP(BH39,'Axe 2 Règles de gestion'!$D$2:$F$65,3, FALSE)</f>
        <v>La demande de congé doit être formulée au moins 3 mois avant la date de début de la formation liée au congé.</v>
      </c>
      <c r="BJ39" s="13"/>
      <c r="BK39" s="15"/>
      <c r="BL39" s="13" t="s">
        <v>127</v>
      </c>
      <c r="BM39" s="15" t="str">
        <f>VLOOKUP(BL39,'Axe 2 Règles de gestion'!$D$2:$F$65,3, FALSE)</f>
        <v>La date de début du congé/absence doit être postérieure ou égale à la date de recrutement dans la FPE ou dans la carrière militaire.</v>
      </c>
      <c r="BN39" s="13" t="s">
        <v>129</v>
      </c>
      <c r="BO39" s="15" t="str">
        <f>VLOOKUP(BN39,'Axe 2 Règles de gestion'!$D$2:$F$65,3, FALSE)</f>
        <v>La date de début du congé/absence doit être postérieure ou égale à la date de début du lien juridique.</v>
      </c>
      <c r="BP39" s="13" t="s">
        <v>131</v>
      </c>
      <c r="BQ39" s="15" t="str">
        <f>VLOOKUP(BP39,'Axe 2 Règles de gestion'!$D$2:$F$65,3, FALSE)</f>
        <v>La date de début du congé/absence doit être antérieure ou égale à la date de fin réelle du congé/absence.</v>
      </c>
      <c r="BR39" s="13" t="s">
        <v>133</v>
      </c>
      <c r="BS39" s="15" t="str">
        <f>VLOOKUP(BR39,'Axe 2 Règles de gestion'!$D$2:$F$65,3, FALSE)</f>
        <v>La date de début du congé/absence doit être antérieure ou égale à la date de fin prévisionnelle du congé/absence.</v>
      </c>
      <c r="BT39" s="13" t="s">
        <v>135</v>
      </c>
      <c r="BU39" s="15" t="str">
        <f>VLOOKUP(BT39,'Axe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39" s="13" t="s">
        <v>137</v>
      </c>
      <c r="BW39" s="15" t="str">
        <f>VLOOKUP(BV39,'Axe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39" s="13" t="s">
        <v>139</v>
      </c>
      <c r="BY39" s="15" t="str">
        <f>VLOOKUP(BX39,'Axe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39" s="13"/>
      <c r="CA39" s="15"/>
    </row>
    <row r="40" spans="1:79" ht="87" x14ac:dyDescent="0.35">
      <c r="A40" s="13" t="s">
        <v>159</v>
      </c>
      <c r="B40" s="13" t="s">
        <v>81</v>
      </c>
      <c r="C40" s="14">
        <v>44959.581944444442</v>
      </c>
      <c r="D40" s="13" t="s">
        <v>82</v>
      </c>
      <c r="E40" s="15" t="s">
        <v>83</v>
      </c>
      <c r="F40" s="13" t="s">
        <v>84</v>
      </c>
      <c r="G40" s="15" t="s">
        <v>85</v>
      </c>
      <c r="H40" s="13" t="s">
        <v>203</v>
      </c>
      <c r="I40" s="15" t="s">
        <v>204</v>
      </c>
      <c r="J40" s="15" t="s">
        <v>205</v>
      </c>
      <c r="K40" s="15" t="s">
        <v>206</v>
      </c>
      <c r="L40" s="13" t="s">
        <v>224</v>
      </c>
      <c r="M40" s="15" t="s">
        <v>225</v>
      </c>
      <c r="N40" s="13" t="s">
        <v>145</v>
      </c>
      <c r="O40" s="15"/>
      <c r="P40" s="15"/>
      <c r="Q40" s="15" t="s">
        <v>177</v>
      </c>
      <c r="R40" s="13" t="s">
        <v>178</v>
      </c>
      <c r="S40" s="13" t="s">
        <v>94</v>
      </c>
      <c r="T40" s="13" t="s">
        <v>95</v>
      </c>
      <c r="U40" s="14">
        <v>44767</v>
      </c>
      <c r="V40" s="14"/>
      <c r="W40" s="15" t="s">
        <v>236</v>
      </c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5"/>
      <c r="AP40" s="13"/>
      <c r="AQ40" s="15"/>
      <c r="AR40" s="13"/>
      <c r="AS40" s="15"/>
      <c r="AT40" s="13"/>
      <c r="AU40" s="15"/>
      <c r="AV40" s="13"/>
      <c r="AW40" s="15"/>
      <c r="AX40" s="13"/>
      <c r="AY40" s="15"/>
      <c r="AZ40" s="13"/>
      <c r="BA40" s="15"/>
      <c r="BB40" s="13"/>
      <c r="BC40" s="15"/>
      <c r="BD40" s="13" t="s">
        <v>166</v>
      </c>
      <c r="BE40" s="15" t="str">
        <f>VLOOKUP(BD40,'Axe 2 Règles de gestion'!$D$2:$F$65,3, FALSE)</f>
        <v>Le congé est accordé pour une durée maximale de 12 mois.</v>
      </c>
      <c r="BF40" s="13"/>
      <c r="BG40" s="15"/>
      <c r="BH40" s="13"/>
      <c r="BI40" s="15"/>
      <c r="BJ40" s="13"/>
      <c r="BK40" s="15"/>
      <c r="BL40" s="13" t="s">
        <v>149</v>
      </c>
      <c r="BM40" s="15" t="str">
        <f>VLOOKUP(BL40,'Axe 2 Règles de gestion'!$D$2:$F$65,3, FALSE)</f>
        <v>La date de fin réelle du congé/absence doit être antérieure ou égale à la date limite de fin réelle ou prévisionnelle du lien juridique.</v>
      </c>
      <c r="BN40" s="13" t="s">
        <v>151</v>
      </c>
      <c r="BO40" s="15" t="str">
        <f>VLOOKUP(BN40,'Axe 2 Règles de gestion'!$D$2:$F$65,3, FALSE)</f>
        <v>La date de fin prévisionnelle du congé/absence doit être antérieure ou égale à la date limite de fin réelle ou prévisionnelle du lien juridique.</v>
      </c>
      <c r="BP40" s="13" t="s">
        <v>153</v>
      </c>
      <c r="BQ40" s="15" t="str">
        <f>VLOOKUP(BP40,'Axe 2 Règles de gestion'!$D$2:$F$65,3, FALSE)</f>
        <v>La date de fin réelle du congé/absence doit être antérieure à la date limite de départ à la retraite.</v>
      </c>
      <c r="BR40" s="13" t="s">
        <v>155</v>
      </c>
      <c r="BS40" s="15" t="str">
        <f>VLOOKUP(BR40,'Axe 2 Règles de gestion'!$D$2:$F$65,3, FALSE)</f>
        <v>La date de fin prévisionnelle du congé/absence doit être antérieure à la date limite de départ à la retraite.</v>
      </c>
      <c r="BT40" s="13" t="s">
        <v>157</v>
      </c>
      <c r="BU40" s="15" t="str">
        <f>VLOOKUP(BT40,'Axe 2 Règles de gestion'!$D$2:$F$65,3, FALSE)</f>
        <v>La date de fin réelle ou la date de fin prévisionnelle du congé/absence doit être saisie.</v>
      </c>
      <c r="BV40" s="13"/>
      <c r="BW40" s="15"/>
      <c r="BX40" s="13"/>
      <c r="BY40" s="15"/>
      <c r="BZ40" s="13"/>
      <c r="CA40" s="15"/>
    </row>
    <row r="41" spans="1:79" ht="43.5" x14ac:dyDescent="0.35">
      <c r="A41" s="13" t="s">
        <v>159</v>
      </c>
      <c r="B41" s="13" t="s">
        <v>81</v>
      </c>
      <c r="C41" s="14">
        <v>44959.545138888891</v>
      </c>
      <c r="D41" s="13" t="s">
        <v>82</v>
      </c>
      <c r="E41" s="15" t="s">
        <v>83</v>
      </c>
      <c r="F41" s="13" t="s">
        <v>84</v>
      </c>
      <c r="G41" s="15" t="s">
        <v>85</v>
      </c>
      <c r="H41" s="13" t="s">
        <v>203</v>
      </c>
      <c r="I41" s="15" t="s">
        <v>204</v>
      </c>
      <c r="J41" s="15" t="s">
        <v>205</v>
      </c>
      <c r="K41" s="15" t="s">
        <v>206</v>
      </c>
      <c r="L41" s="13" t="s">
        <v>207</v>
      </c>
      <c r="M41" s="15" t="s">
        <v>208</v>
      </c>
      <c r="N41" s="13" t="s">
        <v>91</v>
      </c>
      <c r="O41" s="15"/>
      <c r="P41" s="15"/>
      <c r="Q41" s="15" t="s">
        <v>180</v>
      </c>
      <c r="R41" s="13" t="s">
        <v>181</v>
      </c>
      <c r="S41" s="13" t="s">
        <v>182</v>
      </c>
      <c r="T41" s="13" t="s">
        <v>162</v>
      </c>
      <c r="U41" s="14">
        <v>44767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5"/>
      <c r="AP41" s="13"/>
      <c r="AQ41" s="15"/>
      <c r="AR41" s="13"/>
      <c r="AS41" s="15"/>
      <c r="AT41" s="13"/>
      <c r="AU41" s="15"/>
      <c r="AV41" s="13"/>
      <c r="AW41" s="15"/>
      <c r="AX41" s="13"/>
      <c r="AY41" s="15"/>
      <c r="AZ41" s="13"/>
      <c r="BA41" s="15"/>
      <c r="BB41" s="13"/>
      <c r="BC41" s="15"/>
      <c r="BD41" s="13"/>
      <c r="BE41" s="15"/>
      <c r="BF41" s="13"/>
      <c r="BG41" s="15"/>
      <c r="BH41" s="13"/>
      <c r="BI41" s="15"/>
      <c r="BJ41" s="13"/>
      <c r="BK41" s="15"/>
      <c r="BL41" s="13"/>
      <c r="BM41" s="15"/>
      <c r="BN41" s="13"/>
      <c r="BO41" s="15"/>
      <c r="BP41" s="13"/>
      <c r="BQ41" s="15"/>
      <c r="BR41" s="13"/>
      <c r="BS41" s="15"/>
      <c r="BT41" s="13"/>
      <c r="BU41" s="15"/>
      <c r="BV41" s="13"/>
      <c r="BW41" s="15"/>
      <c r="BX41" s="13"/>
      <c r="BY41" s="15"/>
      <c r="BZ41" s="13"/>
      <c r="CA41" s="15"/>
    </row>
    <row r="42" spans="1:79" ht="43.5" x14ac:dyDescent="0.35">
      <c r="A42" s="13" t="s">
        <v>159</v>
      </c>
      <c r="B42" s="13" t="s">
        <v>81</v>
      </c>
      <c r="C42" s="14">
        <v>44959.546527777777</v>
      </c>
      <c r="D42" s="13" t="s">
        <v>82</v>
      </c>
      <c r="E42" s="15" t="s">
        <v>83</v>
      </c>
      <c r="F42" s="13" t="s">
        <v>84</v>
      </c>
      <c r="G42" s="15" t="s">
        <v>85</v>
      </c>
      <c r="H42" s="13" t="s">
        <v>203</v>
      </c>
      <c r="I42" s="15" t="s">
        <v>204</v>
      </c>
      <c r="J42" s="15" t="s">
        <v>205</v>
      </c>
      <c r="K42" s="15" t="s">
        <v>206</v>
      </c>
      <c r="L42" s="13" t="s">
        <v>224</v>
      </c>
      <c r="M42" s="15" t="s">
        <v>225</v>
      </c>
      <c r="N42" s="13" t="s">
        <v>145</v>
      </c>
      <c r="O42" s="15"/>
      <c r="P42" s="15"/>
      <c r="Q42" s="15" t="s">
        <v>180</v>
      </c>
      <c r="R42" s="13" t="s">
        <v>181</v>
      </c>
      <c r="S42" s="13" t="s">
        <v>182</v>
      </c>
      <c r="T42" s="13" t="s">
        <v>162</v>
      </c>
      <c r="U42" s="14">
        <v>44767</v>
      </c>
      <c r="V42" s="14"/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5"/>
      <c r="AP42" s="13"/>
      <c r="AQ42" s="15"/>
      <c r="AR42" s="13"/>
      <c r="AS42" s="15"/>
      <c r="AT42" s="13"/>
      <c r="AU42" s="15"/>
      <c r="AV42" s="13"/>
      <c r="AW42" s="15"/>
      <c r="AX42" s="13"/>
      <c r="AY42" s="15"/>
      <c r="AZ42" s="13"/>
      <c r="BA42" s="15"/>
      <c r="BB42" s="13"/>
      <c r="BC42" s="15"/>
      <c r="BD42" s="13"/>
      <c r="BE42" s="15"/>
      <c r="BF42" s="13"/>
      <c r="BG42" s="15"/>
      <c r="BH42" s="13"/>
      <c r="BI42" s="15"/>
      <c r="BJ42" s="13"/>
      <c r="BK42" s="15"/>
      <c r="BL42" s="13"/>
      <c r="BM42" s="15"/>
      <c r="BN42" s="13"/>
      <c r="BO42" s="15"/>
      <c r="BP42" s="13"/>
      <c r="BQ42" s="15"/>
      <c r="BR42" s="13"/>
      <c r="BS42" s="15"/>
      <c r="BT42" s="13"/>
      <c r="BU42" s="15"/>
      <c r="BV42" s="13"/>
      <c r="BW42" s="15"/>
      <c r="BX42" s="13"/>
      <c r="BY42" s="15"/>
      <c r="BZ42" s="13"/>
      <c r="CA42" s="15"/>
    </row>
    <row r="43" spans="1:79" ht="43.5" x14ac:dyDescent="0.35">
      <c r="A43" s="13" t="s">
        <v>159</v>
      </c>
      <c r="B43" s="13" t="s">
        <v>81</v>
      </c>
      <c r="C43" s="14">
        <v>44959.545138888891</v>
      </c>
      <c r="D43" s="13" t="s">
        <v>82</v>
      </c>
      <c r="E43" s="15" t="s">
        <v>83</v>
      </c>
      <c r="F43" s="13" t="s">
        <v>84</v>
      </c>
      <c r="G43" s="15" t="s">
        <v>85</v>
      </c>
      <c r="H43" s="13" t="s">
        <v>203</v>
      </c>
      <c r="I43" s="15" t="s">
        <v>204</v>
      </c>
      <c r="J43" s="15" t="s">
        <v>205</v>
      </c>
      <c r="K43" s="15" t="s">
        <v>206</v>
      </c>
      <c r="L43" s="13" t="s">
        <v>207</v>
      </c>
      <c r="M43" s="15" t="s">
        <v>208</v>
      </c>
      <c r="N43" s="13" t="s">
        <v>91</v>
      </c>
      <c r="O43" s="15"/>
      <c r="P43" s="15"/>
      <c r="Q43" s="15" t="s">
        <v>183</v>
      </c>
      <c r="R43" s="13" t="s">
        <v>184</v>
      </c>
      <c r="S43" s="13" t="s">
        <v>182</v>
      </c>
      <c r="T43" s="13" t="s">
        <v>162</v>
      </c>
      <c r="U43" s="14">
        <v>44767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5"/>
      <c r="AP43" s="13"/>
      <c r="AQ43" s="15"/>
      <c r="AR43" s="13"/>
      <c r="AS43" s="15"/>
      <c r="AT43" s="13"/>
      <c r="AU43" s="15"/>
      <c r="AV43" s="13"/>
      <c r="AW43" s="15"/>
      <c r="AX43" s="13"/>
      <c r="AY43" s="15"/>
      <c r="AZ43" s="13"/>
      <c r="BA43" s="15"/>
      <c r="BB43" s="13"/>
      <c r="BC43" s="15"/>
      <c r="BD43" s="13"/>
      <c r="BE43" s="15"/>
      <c r="BF43" s="13"/>
      <c r="BG43" s="15"/>
      <c r="BH43" s="13"/>
      <c r="BI43" s="15"/>
      <c r="BJ43" s="13"/>
      <c r="BK43" s="15"/>
      <c r="BL43" s="13"/>
      <c r="BM43" s="15"/>
      <c r="BN43" s="13"/>
      <c r="BO43" s="15"/>
      <c r="BP43" s="13"/>
      <c r="BQ43" s="15"/>
      <c r="BR43" s="13"/>
      <c r="BS43" s="15"/>
      <c r="BT43" s="13"/>
      <c r="BU43" s="15"/>
      <c r="BV43" s="13"/>
      <c r="BW43" s="15"/>
      <c r="BX43" s="13"/>
      <c r="BY43" s="15"/>
      <c r="BZ43" s="13"/>
      <c r="CA43" s="15"/>
    </row>
    <row r="44" spans="1:79" ht="43.5" x14ac:dyDescent="0.35">
      <c r="A44" s="13" t="s">
        <v>159</v>
      </c>
      <c r="B44" s="13" t="s">
        <v>81</v>
      </c>
      <c r="C44" s="14">
        <v>44959.546527777777</v>
      </c>
      <c r="D44" s="13" t="s">
        <v>82</v>
      </c>
      <c r="E44" s="15" t="s">
        <v>83</v>
      </c>
      <c r="F44" s="13" t="s">
        <v>84</v>
      </c>
      <c r="G44" s="15" t="s">
        <v>85</v>
      </c>
      <c r="H44" s="13" t="s">
        <v>203</v>
      </c>
      <c r="I44" s="15" t="s">
        <v>204</v>
      </c>
      <c r="J44" s="15" t="s">
        <v>205</v>
      </c>
      <c r="K44" s="15" t="s">
        <v>206</v>
      </c>
      <c r="L44" s="13" t="s">
        <v>224</v>
      </c>
      <c r="M44" s="15" t="s">
        <v>225</v>
      </c>
      <c r="N44" s="13" t="s">
        <v>145</v>
      </c>
      <c r="O44" s="15"/>
      <c r="P44" s="15"/>
      <c r="Q44" s="15" t="s">
        <v>183</v>
      </c>
      <c r="R44" s="13" t="s">
        <v>184</v>
      </c>
      <c r="S44" s="13" t="s">
        <v>182</v>
      </c>
      <c r="T44" s="13" t="s">
        <v>162</v>
      </c>
      <c r="U44" s="14">
        <v>44767</v>
      </c>
      <c r="V44" s="14"/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/>
      <c r="AO44" s="15"/>
      <c r="AP44" s="13"/>
      <c r="AQ44" s="15"/>
      <c r="AR44" s="13"/>
      <c r="AS44" s="15"/>
      <c r="AT44" s="13"/>
      <c r="AU44" s="15"/>
      <c r="AV44" s="13"/>
      <c r="AW44" s="15"/>
      <c r="AX44" s="13"/>
      <c r="AY44" s="15"/>
      <c r="AZ44" s="13"/>
      <c r="BA44" s="15"/>
      <c r="BB44" s="13"/>
      <c r="BC44" s="15"/>
      <c r="BD44" s="13"/>
      <c r="BE44" s="15"/>
      <c r="BF44" s="13"/>
      <c r="BG44" s="15"/>
      <c r="BH44" s="13"/>
      <c r="BI44" s="15"/>
      <c r="BJ44" s="13"/>
      <c r="BK44" s="15"/>
      <c r="BL44" s="13"/>
      <c r="BM44" s="15"/>
      <c r="BN44" s="13"/>
      <c r="BO44" s="15"/>
      <c r="BP44" s="13"/>
      <c r="BQ44" s="15"/>
      <c r="BR44" s="13"/>
      <c r="BS44" s="15"/>
      <c r="BT44" s="13"/>
      <c r="BU44" s="15"/>
      <c r="BV44" s="13"/>
      <c r="BW44" s="15"/>
      <c r="BX44" s="13"/>
      <c r="BY44" s="15"/>
      <c r="BZ44" s="13"/>
      <c r="CA44" s="15"/>
    </row>
    <row r="45" spans="1:79" ht="43.5" x14ac:dyDescent="0.35">
      <c r="A45" s="13" t="s">
        <v>159</v>
      </c>
      <c r="B45" s="13" t="s">
        <v>81</v>
      </c>
      <c r="C45" s="14">
        <v>44959.545138888891</v>
      </c>
      <c r="D45" s="13" t="s">
        <v>82</v>
      </c>
      <c r="E45" s="15" t="s">
        <v>83</v>
      </c>
      <c r="F45" s="13" t="s">
        <v>84</v>
      </c>
      <c r="G45" s="15" t="s">
        <v>85</v>
      </c>
      <c r="H45" s="13" t="s">
        <v>203</v>
      </c>
      <c r="I45" s="15" t="s">
        <v>204</v>
      </c>
      <c r="J45" s="15" t="s">
        <v>205</v>
      </c>
      <c r="K45" s="15" t="s">
        <v>206</v>
      </c>
      <c r="L45" s="13" t="s">
        <v>207</v>
      </c>
      <c r="M45" s="15" t="s">
        <v>208</v>
      </c>
      <c r="N45" s="13" t="s">
        <v>91</v>
      </c>
      <c r="O45" s="15"/>
      <c r="P45" s="15"/>
      <c r="Q45" s="15" t="s">
        <v>185</v>
      </c>
      <c r="R45" s="13" t="s">
        <v>186</v>
      </c>
      <c r="S45" s="13" t="s">
        <v>182</v>
      </c>
      <c r="T45" s="13" t="s">
        <v>162</v>
      </c>
      <c r="U45" s="14">
        <v>44767</v>
      </c>
      <c r="V45" s="14"/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/>
      <c r="AO45" s="15"/>
      <c r="AP45" s="13"/>
      <c r="AQ45" s="15"/>
      <c r="AR45" s="13"/>
      <c r="AS45" s="15"/>
      <c r="AT45" s="13"/>
      <c r="AU45" s="15"/>
      <c r="AV45" s="13"/>
      <c r="AW45" s="15"/>
      <c r="AX45" s="13"/>
      <c r="AY45" s="15"/>
      <c r="AZ45" s="13"/>
      <c r="BA45" s="15"/>
      <c r="BB45" s="13"/>
      <c r="BC45" s="15"/>
      <c r="BD45" s="13"/>
      <c r="BE45" s="15"/>
      <c r="BF45" s="13"/>
      <c r="BG45" s="15"/>
      <c r="BH45" s="13"/>
      <c r="BI45" s="15"/>
      <c r="BJ45" s="13"/>
      <c r="BK45" s="15"/>
      <c r="BL45" s="13"/>
      <c r="BM45" s="15"/>
      <c r="BN45" s="13"/>
      <c r="BO45" s="15"/>
      <c r="BP45" s="13"/>
      <c r="BQ45" s="15"/>
      <c r="BR45" s="13"/>
      <c r="BS45" s="15"/>
      <c r="BT45" s="13"/>
      <c r="BU45" s="15"/>
      <c r="BV45" s="13"/>
      <c r="BW45" s="15"/>
      <c r="BX45" s="13"/>
      <c r="BY45" s="15"/>
      <c r="BZ45" s="13"/>
      <c r="CA45" s="15"/>
    </row>
    <row r="46" spans="1:79" ht="43.5" x14ac:dyDescent="0.35">
      <c r="A46" s="13" t="s">
        <v>159</v>
      </c>
      <c r="B46" s="13" t="s">
        <v>81</v>
      </c>
      <c r="C46" s="14">
        <v>44959.546527777777</v>
      </c>
      <c r="D46" s="13" t="s">
        <v>82</v>
      </c>
      <c r="E46" s="15" t="s">
        <v>83</v>
      </c>
      <c r="F46" s="13" t="s">
        <v>84</v>
      </c>
      <c r="G46" s="15" t="s">
        <v>85</v>
      </c>
      <c r="H46" s="13" t="s">
        <v>203</v>
      </c>
      <c r="I46" s="15" t="s">
        <v>204</v>
      </c>
      <c r="J46" s="15" t="s">
        <v>205</v>
      </c>
      <c r="K46" s="15" t="s">
        <v>206</v>
      </c>
      <c r="L46" s="13" t="s">
        <v>224</v>
      </c>
      <c r="M46" s="15" t="s">
        <v>225</v>
      </c>
      <c r="N46" s="13" t="s">
        <v>145</v>
      </c>
      <c r="O46" s="15"/>
      <c r="P46" s="15"/>
      <c r="Q46" s="15" t="s">
        <v>185</v>
      </c>
      <c r="R46" s="13" t="s">
        <v>186</v>
      </c>
      <c r="S46" s="13" t="s">
        <v>182</v>
      </c>
      <c r="T46" s="13" t="s">
        <v>162</v>
      </c>
      <c r="U46" s="14">
        <v>44767</v>
      </c>
      <c r="V46" s="14"/>
      <c r="W46" s="15"/>
      <c r="X46" s="13"/>
      <c r="Y46" s="15"/>
      <c r="Z46" s="13"/>
      <c r="AA46" s="15"/>
      <c r="AB46" s="13"/>
      <c r="AC46" s="15"/>
      <c r="AD46" s="13"/>
      <c r="AE46" s="15"/>
      <c r="AF46" s="13"/>
      <c r="AG46" s="15"/>
      <c r="AH46" s="13"/>
      <c r="AI46" s="15"/>
      <c r="AJ46" s="13"/>
      <c r="AK46" s="15"/>
      <c r="AL46" s="13"/>
      <c r="AM46" s="15"/>
      <c r="AN46" s="13"/>
      <c r="AO46" s="15"/>
      <c r="AP46" s="13"/>
      <c r="AQ46" s="15"/>
      <c r="AR46" s="13"/>
      <c r="AS46" s="15"/>
      <c r="AT46" s="13"/>
      <c r="AU46" s="15"/>
      <c r="AV46" s="13"/>
      <c r="AW46" s="15"/>
      <c r="AX46" s="13"/>
      <c r="AY46" s="15"/>
      <c r="AZ46" s="13"/>
      <c r="BA46" s="15"/>
      <c r="BB46" s="13"/>
      <c r="BC46" s="15"/>
      <c r="BD46" s="13"/>
      <c r="BE46" s="15"/>
      <c r="BF46" s="13"/>
      <c r="BG46" s="15"/>
      <c r="BH46" s="13"/>
      <c r="BI46" s="15"/>
      <c r="BJ46" s="13"/>
      <c r="BK46" s="15"/>
      <c r="BL46" s="13"/>
      <c r="BM46" s="15"/>
      <c r="BN46" s="13"/>
      <c r="BO46" s="15"/>
      <c r="BP46" s="13"/>
      <c r="BQ46" s="15"/>
      <c r="BR46" s="13"/>
      <c r="BS46" s="15"/>
      <c r="BT46" s="13"/>
      <c r="BU46" s="15"/>
      <c r="BV46" s="13"/>
      <c r="BW46" s="15"/>
      <c r="BX46" s="13"/>
      <c r="BY46" s="15"/>
      <c r="BZ46" s="13"/>
      <c r="CA46" s="15"/>
    </row>
    <row r="47" spans="1:79" ht="43.5" x14ac:dyDescent="0.35">
      <c r="A47" s="13" t="s">
        <v>159</v>
      </c>
      <c r="B47" s="13" t="s">
        <v>81</v>
      </c>
      <c r="C47" s="14">
        <v>44959.545138888891</v>
      </c>
      <c r="D47" s="13" t="s">
        <v>82</v>
      </c>
      <c r="E47" s="15" t="s">
        <v>83</v>
      </c>
      <c r="F47" s="13" t="s">
        <v>84</v>
      </c>
      <c r="G47" s="15" t="s">
        <v>85</v>
      </c>
      <c r="H47" s="13" t="s">
        <v>203</v>
      </c>
      <c r="I47" s="15" t="s">
        <v>204</v>
      </c>
      <c r="J47" s="15" t="s">
        <v>205</v>
      </c>
      <c r="K47" s="15" t="s">
        <v>206</v>
      </c>
      <c r="L47" s="13" t="s">
        <v>207</v>
      </c>
      <c r="M47" s="15" t="s">
        <v>208</v>
      </c>
      <c r="N47" s="13" t="s">
        <v>91</v>
      </c>
      <c r="O47" s="15"/>
      <c r="P47" s="15"/>
      <c r="Q47" s="15" t="s">
        <v>187</v>
      </c>
      <c r="R47" s="13" t="s">
        <v>188</v>
      </c>
      <c r="S47" s="13" t="s">
        <v>182</v>
      </c>
      <c r="T47" s="13" t="s">
        <v>162</v>
      </c>
      <c r="U47" s="14">
        <v>44767</v>
      </c>
      <c r="V47" s="14"/>
      <c r="W47" s="15"/>
      <c r="X47" s="13"/>
      <c r="Y47" s="15"/>
      <c r="Z47" s="13"/>
      <c r="AA47" s="15"/>
      <c r="AB47" s="13"/>
      <c r="AC47" s="15"/>
      <c r="AD47" s="13"/>
      <c r="AE47" s="15"/>
      <c r="AF47" s="13"/>
      <c r="AG47" s="15"/>
      <c r="AH47" s="13"/>
      <c r="AI47" s="15"/>
      <c r="AJ47" s="13"/>
      <c r="AK47" s="15"/>
      <c r="AL47" s="13"/>
      <c r="AM47" s="15"/>
      <c r="AN47" s="13"/>
      <c r="AO47" s="15"/>
      <c r="AP47" s="13"/>
      <c r="AQ47" s="15"/>
      <c r="AR47" s="13"/>
      <c r="AS47" s="15"/>
      <c r="AT47" s="13"/>
      <c r="AU47" s="15"/>
      <c r="AV47" s="13"/>
      <c r="AW47" s="15"/>
      <c r="AX47" s="13"/>
      <c r="AY47" s="15"/>
      <c r="AZ47" s="13"/>
      <c r="BA47" s="15"/>
      <c r="BB47" s="13"/>
      <c r="BC47" s="15"/>
      <c r="BD47" s="13"/>
      <c r="BE47" s="15"/>
      <c r="BF47" s="13"/>
      <c r="BG47" s="15"/>
      <c r="BH47" s="13"/>
      <c r="BI47" s="15"/>
      <c r="BJ47" s="13"/>
      <c r="BK47" s="15"/>
      <c r="BL47" s="13"/>
      <c r="BM47" s="15"/>
      <c r="BN47" s="13"/>
      <c r="BO47" s="15"/>
      <c r="BP47" s="13"/>
      <c r="BQ47" s="15"/>
      <c r="BR47" s="13"/>
      <c r="BS47" s="15"/>
      <c r="BT47" s="13"/>
      <c r="BU47" s="15"/>
      <c r="BV47" s="13"/>
      <c r="BW47" s="15"/>
      <c r="BX47" s="13"/>
      <c r="BY47" s="15"/>
      <c r="BZ47" s="13"/>
      <c r="CA47" s="15"/>
    </row>
    <row r="48" spans="1:79" ht="43.5" x14ac:dyDescent="0.35">
      <c r="A48" s="13" t="s">
        <v>159</v>
      </c>
      <c r="B48" s="13" t="s">
        <v>81</v>
      </c>
      <c r="C48" s="14">
        <v>44959.547222222223</v>
      </c>
      <c r="D48" s="13" t="s">
        <v>82</v>
      </c>
      <c r="E48" s="15" t="s">
        <v>83</v>
      </c>
      <c r="F48" s="13" t="s">
        <v>84</v>
      </c>
      <c r="G48" s="15" t="s">
        <v>85</v>
      </c>
      <c r="H48" s="13" t="s">
        <v>203</v>
      </c>
      <c r="I48" s="15" t="s">
        <v>204</v>
      </c>
      <c r="J48" s="15" t="s">
        <v>205</v>
      </c>
      <c r="K48" s="15" t="s">
        <v>206</v>
      </c>
      <c r="L48" s="13" t="s">
        <v>224</v>
      </c>
      <c r="M48" s="15" t="s">
        <v>225</v>
      </c>
      <c r="N48" s="13" t="s">
        <v>145</v>
      </c>
      <c r="O48" s="15"/>
      <c r="P48" s="15"/>
      <c r="Q48" s="15" t="s">
        <v>187</v>
      </c>
      <c r="R48" s="13" t="s">
        <v>188</v>
      </c>
      <c r="S48" s="13" t="s">
        <v>182</v>
      </c>
      <c r="T48" s="13" t="s">
        <v>162</v>
      </c>
      <c r="U48" s="14">
        <v>44767</v>
      </c>
      <c r="V48" s="14"/>
      <c r="W48" s="15"/>
      <c r="X48" s="13"/>
      <c r="Y48" s="15"/>
      <c r="Z48" s="13"/>
      <c r="AA48" s="15"/>
      <c r="AB48" s="13"/>
      <c r="AC48" s="15"/>
      <c r="AD48" s="13"/>
      <c r="AE48" s="15"/>
      <c r="AF48" s="13"/>
      <c r="AG48" s="15"/>
      <c r="AH48" s="13"/>
      <c r="AI48" s="15"/>
      <c r="AJ48" s="13"/>
      <c r="AK48" s="15"/>
      <c r="AL48" s="13"/>
      <c r="AM48" s="15"/>
      <c r="AN48" s="13"/>
      <c r="AO48" s="15"/>
      <c r="AP48" s="13"/>
      <c r="AQ48" s="15"/>
      <c r="AR48" s="13"/>
      <c r="AS48" s="15"/>
      <c r="AT48" s="13"/>
      <c r="AU48" s="15"/>
      <c r="AV48" s="13"/>
      <c r="AW48" s="15"/>
      <c r="AX48" s="13"/>
      <c r="AY48" s="15"/>
      <c r="AZ48" s="13"/>
      <c r="BA48" s="15"/>
      <c r="BB48" s="13"/>
      <c r="BC48" s="15"/>
      <c r="BD48" s="13"/>
      <c r="BE48" s="15"/>
      <c r="BF48" s="13"/>
      <c r="BG48" s="15"/>
      <c r="BH48" s="13"/>
      <c r="BI48" s="15"/>
      <c r="BJ48" s="13"/>
      <c r="BK48" s="15"/>
      <c r="BL48" s="13"/>
      <c r="BM48" s="15"/>
      <c r="BN48" s="13"/>
      <c r="BO48" s="15"/>
      <c r="BP48" s="13"/>
      <c r="BQ48" s="15"/>
      <c r="BR48" s="13"/>
      <c r="BS48" s="15"/>
      <c r="BT48" s="13"/>
      <c r="BU48" s="15"/>
      <c r="BV48" s="13"/>
      <c r="BW48" s="15"/>
      <c r="BX48" s="13"/>
      <c r="BY48" s="15"/>
      <c r="BZ48" s="13"/>
      <c r="CA48" s="15"/>
    </row>
    <row r="49" spans="1:79" ht="43.5" x14ac:dyDescent="0.35">
      <c r="A49" s="13" t="s">
        <v>159</v>
      </c>
      <c r="B49" s="13" t="s">
        <v>81</v>
      </c>
      <c r="C49" s="14">
        <v>44959.54583333333</v>
      </c>
      <c r="D49" s="13" t="s">
        <v>82</v>
      </c>
      <c r="E49" s="15" t="s">
        <v>83</v>
      </c>
      <c r="F49" s="13" t="s">
        <v>84</v>
      </c>
      <c r="G49" s="15" t="s">
        <v>85</v>
      </c>
      <c r="H49" s="13" t="s">
        <v>203</v>
      </c>
      <c r="I49" s="15" t="s">
        <v>204</v>
      </c>
      <c r="J49" s="15" t="s">
        <v>205</v>
      </c>
      <c r="K49" s="15" t="s">
        <v>206</v>
      </c>
      <c r="L49" s="13" t="s">
        <v>207</v>
      </c>
      <c r="M49" s="15" t="s">
        <v>208</v>
      </c>
      <c r="N49" s="13" t="s">
        <v>91</v>
      </c>
      <c r="O49" s="15"/>
      <c r="P49" s="15"/>
      <c r="Q49" s="15" t="s">
        <v>189</v>
      </c>
      <c r="R49" s="13" t="s">
        <v>190</v>
      </c>
      <c r="S49" s="13" t="s">
        <v>182</v>
      </c>
      <c r="T49" s="13" t="s">
        <v>162</v>
      </c>
      <c r="U49" s="14">
        <v>44767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/>
      <c r="AO49" s="15"/>
      <c r="AP49" s="13"/>
      <c r="AQ49" s="15"/>
      <c r="AR49" s="13"/>
      <c r="AS49" s="15"/>
      <c r="AT49" s="13"/>
      <c r="AU49" s="15"/>
      <c r="AV49" s="13"/>
      <c r="AW49" s="15"/>
      <c r="AX49" s="13"/>
      <c r="AY49" s="15"/>
      <c r="AZ49" s="13"/>
      <c r="BA49" s="15"/>
      <c r="BB49" s="13"/>
      <c r="BC49" s="15"/>
      <c r="BD49" s="13"/>
      <c r="BE49" s="15"/>
      <c r="BF49" s="13"/>
      <c r="BG49" s="15"/>
      <c r="BH49" s="13"/>
      <c r="BI49" s="15"/>
      <c r="BJ49" s="13"/>
      <c r="BK49" s="15"/>
      <c r="BL49" s="13"/>
      <c r="BM49" s="15"/>
      <c r="BN49" s="13"/>
      <c r="BO49" s="15"/>
      <c r="BP49" s="13"/>
      <c r="BQ49" s="15"/>
      <c r="BR49" s="13"/>
      <c r="BS49" s="15"/>
      <c r="BT49" s="13"/>
      <c r="BU49" s="15"/>
      <c r="BV49" s="13"/>
      <c r="BW49" s="15"/>
      <c r="BX49" s="13"/>
      <c r="BY49" s="15"/>
      <c r="BZ49" s="13"/>
      <c r="CA49" s="15"/>
    </row>
    <row r="50" spans="1:79" ht="43.5" x14ac:dyDescent="0.35">
      <c r="A50" s="13" t="s">
        <v>159</v>
      </c>
      <c r="B50" s="13" t="s">
        <v>81</v>
      </c>
      <c r="C50" s="14">
        <v>44959.547222222223</v>
      </c>
      <c r="D50" s="13" t="s">
        <v>82</v>
      </c>
      <c r="E50" s="15" t="s">
        <v>83</v>
      </c>
      <c r="F50" s="13" t="s">
        <v>84</v>
      </c>
      <c r="G50" s="15" t="s">
        <v>85</v>
      </c>
      <c r="H50" s="13" t="s">
        <v>203</v>
      </c>
      <c r="I50" s="15" t="s">
        <v>204</v>
      </c>
      <c r="J50" s="15" t="s">
        <v>205</v>
      </c>
      <c r="K50" s="15" t="s">
        <v>206</v>
      </c>
      <c r="L50" s="13" t="s">
        <v>224</v>
      </c>
      <c r="M50" s="15" t="s">
        <v>225</v>
      </c>
      <c r="N50" s="13" t="s">
        <v>145</v>
      </c>
      <c r="O50" s="15"/>
      <c r="P50" s="15"/>
      <c r="Q50" s="15" t="s">
        <v>189</v>
      </c>
      <c r="R50" s="13" t="s">
        <v>190</v>
      </c>
      <c r="S50" s="13" t="s">
        <v>182</v>
      </c>
      <c r="T50" s="13" t="s">
        <v>162</v>
      </c>
      <c r="U50" s="14">
        <v>44767</v>
      </c>
      <c r="V50" s="14"/>
      <c r="W50" s="15"/>
      <c r="X50" s="13"/>
      <c r="Y50" s="15"/>
      <c r="Z50" s="13"/>
      <c r="AA50" s="15"/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5"/>
      <c r="AP50" s="13"/>
      <c r="AQ50" s="15"/>
      <c r="AR50" s="13"/>
      <c r="AS50" s="15"/>
      <c r="AT50" s="13"/>
      <c r="AU50" s="15"/>
      <c r="AV50" s="13"/>
      <c r="AW50" s="15"/>
      <c r="AX50" s="13"/>
      <c r="AY50" s="15"/>
      <c r="AZ50" s="13"/>
      <c r="BA50" s="15"/>
      <c r="BB50" s="13"/>
      <c r="BC50" s="15"/>
      <c r="BD50" s="13"/>
      <c r="BE50" s="15"/>
      <c r="BF50" s="13"/>
      <c r="BG50" s="15"/>
      <c r="BH50" s="13"/>
      <c r="BI50" s="15"/>
      <c r="BJ50" s="13"/>
      <c r="BK50" s="15"/>
      <c r="BL50" s="13"/>
      <c r="BM50" s="15"/>
      <c r="BN50" s="13"/>
      <c r="BO50" s="15"/>
      <c r="BP50" s="13"/>
      <c r="BQ50" s="15"/>
      <c r="BR50" s="13"/>
      <c r="BS50" s="15"/>
      <c r="BT50" s="13"/>
      <c r="BU50" s="15"/>
      <c r="BV50" s="13"/>
      <c r="BW50" s="15"/>
      <c r="BX50" s="13"/>
      <c r="BY50" s="15"/>
      <c r="BZ50" s="13"/>
      <c r="CA50" s="15"/>
    </row>
    <row r="51" spans="1:79" ht="43.5" x14ac:dyDescent="0.35">
      <c r="A51" s="13" t="s">
        <v>159</v>
      </c>
      <c r="B51" s="13" t="s">
        <v>81</v>
      </c>
      <c r="C51" s="14">
        <v>44959.54583333333</v>
      </c>
      <c r="D51" s="13" t="s">
        <v>82</v>
      </c>
      <c r="E51" s="15" t="s">
        <v>83</v>
      </c>
      <c r="F51" s="13" t="s">
        <v>84</v>
      </c>
      <c r="G51" s="15" t="s">
        <v>85</v>
      </c>
      <c r="H51" s="13" t="s">
        <v>203</v>
      </c>
      <c r="I51" s="15" t="s">
        <v>204</v>
      </c>
      <c r="J51" s="15" t="s">
        <v>205</v>
      </c>
      <c r="K51" s="15" t="s">
        <v>206</v>
      </c>
      <c r="L51" s="13" t="s">
        <v>207</v>
      </c>
      <c r="M51" s="15" t="s">
        <v>208</v>
      </c>
      <c r="N51" s="13" t="s">
        <v>91</v>
      </c>
      <c r="O51" s="15"/>
      <c r="P51" s="15"/>
      <c r="Q51" s="15" t="s">
        <v>191</v>
      </c>
      <c r="R51" s="13" t="s">
        <v>192</v>
      </c>
      <c r="S51" s="13" t="s">
        <v>182</v>
      </c>
      <c r="T51" s="13" t="s">
        <v>162</v>
      </c>
      <c r="U51" s="14">
        <v>44767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/>
      <c r="AO51" s="15"/>
      <c r="AP51" s="13"/>
      <c r="AQ51" s="15"/>
      <c r="AR51" s="13"/>
      <c r="AS51" s="15"/>
      <c r="AT51" s="13"/>
      <c r="AU51" s="15"/>
      <c r="AV51" s="13"/>
      <c r="AW51" s="15"/>
      <c r="AX51" s="13"/>
      <c r="AY51" s="15"/>
      <c r="AZ51" s="13"/>
      <c r="BA51" s="15"/>
      <c r="BB51" s="13"/>
      <c r="BC51" s="15"/>
      <c r="BD51" s="13"/>
      <c r="BE51" s="15"/>
      <c r="BF51" s="13"/>
      <c r="BG51" s="15"/>
      <c r="BH51" s="13"/>
      <c r="BI51" s="15"/>
      <c r="BJ51" s="13"/>
      <c r="BK51" s="15"/>
      <c r="BL51" s="13"/>
      <c r="BM51" s="15"/>
      <c r="BN51" s="13"/>
      <c r="BO51" s="15"/>
      <c r="BP51" s="13"/>
      <c r="BQ51" s="15"/>
      <c r="BR51" s="13"/>
      <c r="BS51" s="15"/>
      <c r="BT51" s="13"/>
      <c r="BU51" s="15"/>
      <c r="BV51" s="13"/>
      <c r="BW51" s="15"/>
      <c r="BX51" s="13"/>
      <c r="BY51" s="15"/>
      <c r="BZ51" s="13"/>
      <c r="CA51" s="15"/>
    </row>
    <row r="52" spans="1:79" ht="43.5" x14ac:dyDescent="0.35">
      <c r="A52" s="13" t="s">
        <v>159</v>
      </c>
      <c r="B52" s="13" t="s">
        <v>81</v>
      </c>
      <c r="C52" s="14">
        <v>44959.547222222223</v>
      </c>
      <c r="D52" s="13" t="s">
        <v>82</v>
      </c>
      <c r="E52" s="15" t="s">
        <v>83</v>
      </c>
      <c r="F52" s="13" t="s">
        <v>84</v>
      </c>
      <c r="G52" s="15" t="s">
        <v>85</v>
      </c>
      <c r="H52" s="13" t="s">
        <v>203</v>
      </c>
      <c r="I52" s="15" t="s">
        <v>204</v>
      </c>
      <c r="J52" s="15" t="s">
        <v>205</v>
      </c>
      <c r="K52" s="15" t="s">
        <v>206</v>
      </c>
      <c r="L52" s="13" t="s">
        <v>224</v>
      </c>
      <c r="M52" s="15" t="s">
        <v>225</v>
      </c>
      <c r="N52" s="13" t="s">
        <v>145</v>
      </c>
      <c r="O52" s="15"/>
      <c r="P52" s="15"/>
      <c r="Q52" s="15" t="s">
        <v>191</v>
      </c>
      <c r="R52" s="13" t="s">
        <v>192</v>
      </c>
      <c r="S52" s="13" t="s">
        <v>182</v>
      </c>
      <c r="T52" s="13" t="s">
        <v>162</v>
      </c>
      <c r="U52" s="14">
        <v>44767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5"/>
      <c r="AP52" s="13"/>
      <c r="AQ52" s="15"/>
      <c r="AR52" s="13"/>
      <c r="AS52" s="15"/>
      <c r="AT52" s="13"/>
      <c r="AU52" s="15"/>
      <c r="AV52" s="13"/>
      <c r="AW52" s="15"/>
      <c r="AX52" s="13"/>
      <c r="AY52" s="15"/>
      <c r="AZ52" s="13"/>
      <c r="BA52" s="15"/>
      <c r="BB52" s="13"/>
      <c r="BC52" s="15"/>
      <c r="BD52" s="13"/>
      <c r="BE52" s="15"/>
      <c r="BF52" s="13"/>
      <c r="BG52" s="15"/>
      <c r="BH52" s="13"/>
      <c r="BI52" s="15"/>
      <c r="BJ52" s="13"/>
      <c r="BK52" s="15"/>
      <c r="BL52" s="13"/>
      <c r="BM52" s="15"/>
      <c r="BN52" s="13"/>
      <c r="BO52" s="15"/>
      <c r="BP52" s="13"/>
      <c r="BQ52" s="15"/>
      <c r="BR52" s="13"/>
      <c r="BS52" s="15"/>
      <c r="BT52" s="13"/>
      <c r="BU52" s="15"/>
      <c r="BV52" s="13"/>
      <c r="BW52" s="15"/>
      <c r="BX52" s="13"/>
      <c r="BY52" s="15"/>
      <c r="BZ52" s="13"/>
      <c r="CA52" s="15"/>
    </row>
    <row r="53" spans="1:79" s="23" customFormat="1" ht="43.5" x14ac:dyDescent="0.35">
      <c r="A53" s="20" t="s">
        <v>193</v>
      </c>
      <c r="B53" s="20" t="s">
        <v>142</v>
      </c>
      <c r="C53" s="21">
        <v>45995.640972222223</v>
      </c>
      <c r="D53" s="20" t="s">
        <v>82</v>
      </c>
      <c r="E53" s="22" t="s">
        <v>83</v>
      </c>
      <c r="F53" s="20" t="s">
        <v>84</v>
      </c>
      <c r="G53" s="22" t="s">
        <v>85</v>
      </c>
      <c r="H53" s="20" t="s">
        <v>203</v>
      </c>
      <c r="I53" s="22" t="s">
        <v>204</v>
      </c>
      <c r="J53" s="22" t="s">
        <v>205</v>
      </c>
      <c r="K53" s="22" t="s">
        <v>206</v>
      </c>
      <c r="L53" s="20" t="s">
        <v>207</v>
      </c>
      <c r="M53" s="22" t="s">
        <v>208</v>
      </c>
      <c r="N53" s="20" t="s">
        <v>91</v>
      </c>
      <c r="O53" s="22"/>
      <c r="P53" s="22"/>
      <c r="Q53" s="22" t="s">
        <v>194</v>
      </c>
      <c r="R53" s="20" t="s">
        <v>195</v>
      </c>
      <c r="S53" s="20" t="s">
        <v>182</v>
      </c>
      <c r="T53" s="20" t="s">
        <v>162</v>
      </c>
      <c r="U53" s="21">
        <v>44767</v>
      </c>
      <c r="V53" s="21">
        <v>45900</v>
      </c>
      <c r="W53" s="22"/>
      <c r="X53" s="20"/>
      <c r="Y53" s="22"/>
      <c r="Z53" s="20"/>
      <c r="AA53" s="22"/>
      <c r="AB53" s="20"/>
      <c r="AC53" s="22"/>
      <c r="AD53" s="20"/>
      <c r="AE53" s="22"/>
      <c r="AF53" s="20"/>
      <c r="AG53" s="22"/>
      <c r="AH53" s="20"/>
      <c r="AI53" s="22"/>
      <c r="AJ53" s="20"/>
      <c r="AK53" s="22"/>
      <c r="AL53" s="20"/>
      <c r="AM53" s="22"/>
      <c r="AN53" s="20"/>
      <c r="AO53" s="22"/>
      <c r="AP53" s="20"/>
      <c r="AQ53" s="22"/>
      <c r="AR53" s="20"/>
      <c r="AS53" s="22"/>
      <c r="AT53" s="20"/>
      <c r="AU53" s="22"/>
      <c r="AV53" s="20"/>
      <c r="AW53" s="22"/>
      <c r="AX53" s="20"/>
      <c r="AY53" s="22"/>
      <c r="AZ53" s="20"/>
      <c r="BA53" s="22"/>
      <c r="BB53" s="20"/>
      <c r="BC53" s="22"/>
      <c r="BD53" s="20"/>
      <c r="BE53" s="22"/>
      <c r="BF53" s="20"/>
      <c r="BG53" s="22"/>
      <c r="BH53" s="20"/>
      <c r="BI53" s="22"/>
      <c r="BJ53" s="20"/>
      <c r="BK53" s="22"/>
      <c r="BL53" s="20"/>
      <c r="BM53" s="22"/>
      <c r="BN53" s="20"/>
      <c r="BO53" s="22"/>
      <c r="BP53" s="20"/>
      <c r="BQ53" s="22"/>
      <c r="BR53" s="20"/>
      <c r="BS53" s="22"/>
      <c r="BT53" s="20"/>
      <c r="BU53" s="22"/>
      <c r="BV53" s="20"/>
      <c r="BW53" s="22"/>
      <c r="BX53" s="20"/>
      <c r="BY53" s="22"/>
      <c r="BZ53" s="20" t="s">
        <v>196</v>
      </c>
      <c r="CA53" s="22"/>
    </row>
    <row r="54" spans="1:79" s="23" customFormat="1" ht="130.5" x14ac:dyDescent="0.35">
      <c r="A54" s="20" t="s">
        <v>193</v>
      </c>
      <c r="B54" s="20" t="s">
        <v>81</v>
      </c>
      <c r="C54" s="21">
        <v>45995.640972222223</v>
      </c>
      <c r="D54" s="20" t="s">
        <v>82</v>
      </c>
      <c r="E54" s="22" t="s">
        <v>83</v>
      </c>
      <c r="F54" s="20" t="s">
        <v>84</v>
      </c>
      <c r="G54" s="22" t="s">
        <v>85</v>
      </c>
      <c r="H54" s="20" t="s">
        <v>203</v>
      </c>
      <c r="I54" s="22" t="s">
        <v>204</v>
      </c>
      <c r="J54" s="22" t="s">
        <v>205</v>
      </c>
      <c r="K54" s="22" t="s">
        <v>206</v>
      </c>
      <c r="L54" s="20" t="s">
        <v>207</v>
      </c>
      <c r="M54" s="22" t="s">
        <v>208</v>
      </c>
      <c r="N54" s="20" t="s">
        <v>91</v>
      </c>
      <c r="O54" s="22"/>
      <c r="P54" s="22"/>
      <c r="Q54" s="22" t="s">
        <v>194</v>
      </c>
      <c r="R54" s="20" t="s">
        <v>195</v>
      </c>
      <c r="S54" s="20" t="s">
        <v>182</v>
      </c>
      <c r="T54" s="20" t="s">
        <v>95</v>
      </c>
      <c r="U54" s="21">
        <v>45901</v>
      </c>
      <c r="V54" s="21"/>
      <c r="W54" s="22" t="s">
        <v>242</v>
      </c>
      <c r="X54" s="20" t="s">
        <v>243</v>
      </c>
      <c r="Y54" s="22" t="str">
        <f>VLOOKUP(X54,'Axe 2 Règles de gestion'!$D$2:$F$65,3, FALSE)</f>
        <v>L'agent bénéficie des dispositions applicables aux agents ouvriers affiliés pour le congé de transition professionnelle aménagé.</v>
      </c>
      <c r="Z54" s="20" t="s">
        <v>228</v>
      </c>
      <c r="AA54" s="22" t="str">
        <f>VLOOKUP(Z54,'Axe 2 Règles de gestion'!$D$2:$F$65,3, FALSE)</f>
        <v>Soit l'agent doit occuper un emploi de niveau de catégorie C et ne pas avoir atteint un niveau de formation sanctionné par un diplôme ou un titre professionnel correspondant à un niveau requis.</v>
      </c>
      <c r="AB54" s="20" t="s">
        <v>230</v>
      </c>
      <c r="AC54" s="22" t="str">
        <f>VLOOKUP(AB54,'Axe 2 Règles de gestion'!$D$2:$F$65,3, FALSE)</f>
        <v>Le niveau de formation requis est sanctionné par un diplôme ou un titre professionnel enregistré et classé au niveau 4 au sens du répertoire national des certifications professionnelles.</v>
      </c>
      <c r="AD54" s="20" t="s">
        <v>231</v>
      </c>
      <c r="AE54" s="22" t="str">
        <f>VLOOKUP(AD54,'Axe 2 Règles de gestion'!$D$2:$F$65,3, FALSE)</f>
        <v>Soit l'agent doit être en situation de handicap.</v>
      </c>
      <c r="AF54" s="20" t="s">
        <v>232</v>
      </c>
      <c r="AG54" s="22" t="str">
        <f>VLOOKUP(AF54,'Axe 2 Règles de gestion'!$D$2:$F$65,3, FALSE)</f>
        <v>Soit l'agent doit avoir été particulièrement exposé, compte tenu de sa situation professionnelle individuelle, à un risque d'usure professionnelle, constaté, après avis du médecin du travail compétent.</v>
      </c>
      <c r="AH54" s="20" t="s">
        <v>233</v>
      </c>
      <c r="AI54" s="22" t="str">
        <f>VLOOKUP(AH54,'Axe 2 Règles de gestion'!$D$2:$F$65,3, FALSE)</f>
        <v>L'agent peut bénéficier du congé afin de suivre une action ou un parcours de formation en vue d'exercer un nouveau métier au sein du secteur public ou du secteur privé.</v>
      </c>
      <c r="AJ54" s="20" t="s">
        <v>99</v>
      </c>
      <c r="AK54" s="22" t="str">
        <f>VLOOKUP(AJ54,'Axe 2 Règles de gestion'!$D$2:$F$65,3, FALSE)</f>
        <v>Le comité social d'administration compétent est consulté sur la mise en place du congé.</v>
      </c>
      <c r="AL54" s="20" t="s">
        <v>101</v>
      </c>
      <c r="AM54" s="22" t="str">
        <f>VLOOKUP(AL54,'Axe 2 Règles de gestion'!$D$2:$F$65,3, FALSE)</f>
        <v>Le congé peut être fractionné en mois, semaines ou journées.</v>
      </c>
      <c r="AN54" s="20" t="s">
        <v>103</v>
      </c>
      <c r="AO54" s="22" t="str">
        <f>VLOOKUP(AN54,'Axe 2 Règles de gestion'!$D$2:$F$65,3, FALSE)</f>
        <v>Le congé permet à l'agent de suivre une formation d'une durée égale ou supérieure à 120 heures sanctionnée par une certification professionnelle ou à 70 heures pour accompagner ou conseiller les créateurs ou repreneurs d'entreprises.</v>
      </c>
      <c r="AP54" s="20" t="s">
        <v>105</v>
      </c>
      <c r="AQ54" s="22" t="str">
        <f>VLOOKUP(AP54,'Axe 2 Règles de gestion'!$D$2:$F$65,3, FALSE)</f>
        <v>L'agent doit effectuer une demande.</v>
      </c>
      <c r="AR54" s="20" t="s">
        <v>107</v>
      </c>
      <c r="AS54" s="22" t="str">
        <f>VLOOKUP(AR54,'Axe 2 Règles de gestion'!$D$2:$F$65,3, FALSE)</f>
        <v>La demande de congé précise la nature de la formation, sa durée, le nom de l'organisme qui la dispense et l'objectif professionnel visé.</v>
      </c>
      <c r="AT54" s="20" t="s">
        <v>234</v>
      </c>
      <c r="AU54" s="22" t="str">
        <f>VLOOKUP(AT54,'Axe 2 Règles de gestion'!$D$2:$F$65,3, FALSE)</f>
        <v>L'administration informe l'agent de sa réponse par écrit dans le délai de 2 mois suivant la réception de la demande.</v>
      </c>
      <c r="AV54" s="20" t="s">
        <v>111</v>
      </c>
      <c r="AW54" s="22" t="str">
        <f>VLOOKUP(AV54,'Axe 2 Règles de gestion'!$D$2:$F$65,3, FALSE)</f>
        <v>La décision de rejet du congé doit être motivée.</v>
      </c>
      <c r="AX54" s="20" t="s">
        <v>113</v>
      </c>
      <c r="AY54" s="22" t="str">
        <f>VLOOKUP(AX54,'Axe 2 Règles de gestion'!$D$2:$F$65,3, FALSE)</f>
        <v>Le bénéfice du congé peut être différé dans l'intérêt du service.</v>
      </c>
      <c r="AZ54" s="20" t="s">
        <v>115</v>
      </c>
      <c r="BA54" s="22" t="str">
        <f>VLOOKUP(AZ54,'Axe 2 Règles de gestion'!$D$2:$F$65,3, FALSE)</f>
        <v>L'agent transmet les attestations établies par l'organisme de formation, justifiant son assiduité à l'action de formation, sinon il perd le bénéfice de ce congé.</v>
      </c>
      <c r="BB54" s="20" t="s">
        <v>117</v>
      </c>
      <c r="BC54" s="22" t="str">
        <f>VLOOKUP(BB54,'Axe 2 Règles de gestion'!$D$2:$F$65,3, FALSE)</f>
        <v>Si le projet professionnel nécessite des actions de formation dont la durée totale est supérieure à 12 mois, alors le congé est prolongé en un congé de formation professionnelle pour une durée cumulée ne pouvant excéder 3 ans.</v>
      </c>
      <c r="BD54" s="20" t="s">
        <v>121</v>
      </c>
      <c r="BE54" s="22" t="str">
        <f>VLOOKUP(BD54,'Axe 2 Règles de gestion'!$D$2:$F$65,3, FALSE)</f>
        <v>L'agent doit être en activité.</v>
      </c>
      <c r="BF54" s="20" t="s">
        <v>166</v>
      </c>
      <c r="BG54" s="22" t="str">
        <f>VLOOKUP(BF54,'Axe 2 Règles de gestion'!$D$2:$F$65,3, FALSE)</f>
        <v>Le congé est accordé pour une durée maximale de 12 mois.</v>
      </c>
      <c r="BH54" s="20" t="s">
        <v>235</v>
      </c>
      <c r="BI54" s="22" t="str">
        <f>VLOOKUP(BH54,'Axe 2 Règles de gestion'!$D$2:$F$65,3, FALSE)</f>
        <v>La demande de congé doit être formulée au moins 3 mois avant la date de début de la formation liée au congé.</v>
      </c>
      <c r="BJ54" s="20"/>
      <c r="BK54" s="22"/>
      <c r="BL54" s="20" t="s">
        <v>127</v>
      </c>
      <c r="BM54" s="22" t="str">
        <f>VLOOKUP(BL54,'Axe 2 Règles de gestion'!$D$2:$F$65,3, FALSE)</f>
        <v>La date de début du congé/absence doit être postérieure ou égale à la date de recrutement dans la FPE ou dans la carrière militaire.</v>
      </c>
      <c r="BN54" s="20" t="s">
        <v>129</v>
      </c>
      <c r="BO54" s="22" t="str">
        <f>VLOOKUP(BN54,'Axe 2 Règles de gestion'!$D$2:$F$65,3, FALSE)</f>
        <v>La date de début du congé/absence doit être postérieure ou égale à la date de début du lien juridique.</v>
      </c>
      <c r="BP54" s="20" t="s">
        <v>131</v>
      </c>
      <c r="BQ54" s="22" t="str">
        <f>VLOOKUP(BP54,'Axe 2 Règles de gestion'!$D$2:$F$65,3, FALSE)</f>
        <v>La date de début du congé/absence doit être antérieure ou égale à la date de fin réelle du congé/absence.</v>
      </c>
      <c r="BR54" s="20" t="s">
        <v>133</v>
      </c>
      <c r="BS54" s="22" t="str">
        <f>VLOOKUP(BR54,'Axe 2 Règles de gestion'!$D$2:$F$65,3, FALSE)</f>
        <v>La date de début du congé/absence doit être antérieure ou égale à la date de fin prévisionnelle du congé/absence.</v>
      </c>
      <c r="BT54" s="20" t="s">
        <v>135</v>
      </c>
      <c r="BU54" s="22" t="str">
        <f>VLOOKUP(BT54,'Axe 2 Règles de gestion'!$D$2:$F$65,3, FALSE)</f>
        <v>Si l'absence ne commence pas par une demi-journée et si l'absence précédente ne finit pas par une demi journée, la date de début de l'absence saisie est postérieure à la date de fin réelle de l'absence précédente.</v>
      </c>
      <c r="BV54" s="20" t="s">
        <v>137</v>
      </c>
      <c r="BW54" s="22" t="str">
        <f>VLOOKUP(BV54,'Axe 2 Règles de gestion'!$D$2:$F$65,3,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X54" s="20" t="s">
        <v>139</v>
      </c>
      <c r="BY54" s="22" t="str">
        <f>VLOOKUP(BX54,'Axe 2 Règles de gestion'!$D$2:$F$65,3,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Z54" s="20" t="s">
        <v>196</v>
      </c>
      <c r="CA54" s="22"/>
    </row>
    <row r="55" spans="1:79" s="23" customFormat="1" ht="43.5" x14ac:dyDescent="0.35">
      <c r="A55" s="20" t="s">
        <v>193</v>
      </c>
      <c r="B55" s="20" t="s">
        <v>142</v>
      </c>
      <c r="C55" s="21">
        <v>45995.64166666667</v>
      </c>
      <c r="D55" s="20" t="s">
        <v>82</v>
      </c>
      <c r="E55" s="22" t="s">
        <v>83</v>
      </c>
      <c r="F55" s="20" t="s">
        <v>84</v>
      </c>
      <c r="G55" s="22" t="s">
        <v>85</v>
      </c>
      <c r="H55" s="20" t="s">
        <v>203</v>
      </c>
      <c r="I55" s="22" t="s">
        <v>204</v>
      </c>
      <c r="J55" s="22" t="s">
        <v>205</v>
      </c>
      <c r="K55" s="22" t="s">
        <v>206</v>
      </c>
      <c r="L55" s="20" t="s">
        <v>224</v>
      </c>
      <c r="M55" s="22" t="s">
        <v>225</v>
      </c>
      <c r="N55" s="20" t="s">
        <v>145</v>
      </c>
      <c r="O55" s="22"/>
      <c r="P55" s="22"/>
      <c r="Q55" s="22" t="s">
        <v>194</v>
      </c>
      <c r="R55" s="20" t="s">
        <v>195</v>
      </c>
      <c r="S55" s="20" t="s">
        <v>182</v>
      </c>
      <c r="T55" s="20" t="s">
        <v>162</v>
      </c>
      <c r="U55" s="21">
        <v>44767</v>
      </c>
      <c r="V55" s="21">
        <v>45900</v>
      </c>
      <c r="W55" s="22"/>
      <c r="X55" s="20"/>
      <c r="Y55" s="22"/>
      <c r="Z55" s="20"/>
      <c r="AA55" s="22"/>
      <c r="AB55" s="20"/>
      <c r="AC55" s="22"/>
      <c r="AD55" s="20"/>
      <c r="AE55" s="22"/>
      <c r="AF55" s="20"/>
      <c r="AG55" s="22"/>
      <c r="AH55" s="20"/>
      <c r="AI55" s="22"/>
      <c r="AJ55" s="20"/>
      <c r="AK55" s="22"/>
      <c r="AL55" s="20"/>
      <c r="AM55" s="22"/>
      <c r="AN55" s="20"/>
      <c r="AO55" s="22"/>
      <c r="AP55" s="20"/>
      <c r="AQ55" s="22"/>
      <c r="AR55" s="20"/>
      <c r="AS55" s="22"/>
      <c r="AT55" s="20"/>
      <c r="AU55" s="22"/>
      <c r="AV55" s="20"/>
      <c r="AW55" s="22"/>
      <c r="AX55" s="20"/>
      <c r="AY55" s="22"/>
      <c r="AZ55" s="20"/>
      <c r="BA55" s="22"/>
      <c r="BB55" s="20"/>
      <c r="BC55" s="22"/>
      <c r="BD55" s="20"/>
      <c r="BE55" s="22"/>
      <c r="BF55" s="20"/>
      <c r="BG55" s="22"/>
      <c r="BH55" s="20"/>
      <c r="BI55" s="22"/>
      <c r="BJ55" s="20"/>
      <c r="BK55" s="22"/>
      <c r="BL55" s="20"/>
      <c r="BM55" s="22"/>
      <c r="BN55" s="20"/>
      <c r="BO55" s="22"/>
      <c r="BP55" s="20"/>
      <c r="BQ55" s="22"/>
      <c r="BR55" s="20"/>
      <c r="BS55" s="22"/>
      <c r="BT55" s="20"/>
      <c r="BU55" s="22"/>
      <c r="BV55" s="20"/>
      <c r="BW55" s="22"/>
      <c r="BX55" s="20"/>
      <c r="BY55" s="22"/>
      <c r="BZ55" s="20" t="s">
        <v>196</v>
      </c>
      <c r="CA55" s="22"/>
    </row>
    <row r="56" spans="1:79" s="23" customFormat="1" ht="87" x14ac:dyDescent="0.35">
      <c r="A56" s="20" t="s">
        <v>193</v>
      </c>
      <c r="B56" s="20" t="s">
        <v>81</v>
      </c>
      <c r="C56" s="21">
        <v>45995.64166666667</v>
      </c>
      <c r="D56" s="20" t="s">
        <v>82</v>
      </c>
      <c r="E56" s="22" t="s">
        <v>83</v>
      </c>
      <c r="F56" s="20" t="s">
        <v>84</v>
      </c>
      <c r="G56" s="22" t="s">
        <v>85</v>
      </c>
      <c r="H56" s="20" t="s">
        <v>203</v>
      </c>
      <c r="I56" s="22" t="s">
        <v>204</v>
      </c>
      <c r="J56" s="22" t="s">
        <v>205</v>
      </c>
      <c r="K56" s="22" t="s">
        <v>206</v>
      </c>
      <c r="L56" s="20" t="s">
        <v>224</v>
      </c>
      <c r="M56" s="22" t="s">
        <v>225</v>
      </c>
      <c r="N56" s="20" t="s">
        <v>145</v>
      </c>
      <c r="O56" s="22"/>
      <c r="P56" s="22"/>
      <c r="Q56" s="22" t="s">
        <v>194</v>
      </c>
      <c r="R56" s="20" t="s">
        <v>195</v>
      </c>
      <c r="S56" s="20" t="s">
        <v>182</v>
      </c>
      <c r="T56" s="20" t="s">
        <v>95</v>
      </c>
      <c r="U56" s="21">
        <v>45901</v>
      </c>
      <c r="V56" s="21"/>
      <c r="W56" s="22" t="s">
        <v>245</v>
      </c>
      <c r="X56" s="20" t="s">
        <v>243</v>
      </c>
      <c r="Y56" s="22" t="str">
        <f>VLOOKUP(X56,'Axe 2 Règles de gestion'!$D$2:$F$65,3, FALSE)</f>
        <v>L'agent bénéficie des dispositions applicables aux agents ouvriers affiliés pour le congé de transition professionnelle aménagé.</v>
      </c>
      <c r="Z56" s="20"/>
      <c r="AA56" s="22"/>
      <c r="AB56" s="20"/>
      <c r="AC56" s="22"/>
      <c r="AD56" s="20"/>
      <c r="AE56" s="22"/>
      <c r="AF56" s="20"/>
      <c r="AG56" s="22"/>
      <c r="AH56" s="20"/>
      <c r="AI56" s="22"/>
      <c r="AJ56" s="20"/>
      <c r="AK56" s="22"/>
      <c r="AL56" s="20"/>
      <c r="AM56" s="22"/>
      <c r="AN56" s="20"/>
      <c r="AO56" s="22"/>
      <c r="AP56" s="20"/>
      <c r="AQ56" s="22"/>
      <c r="AR56" s="20"/>
      <c r="AS56" s="22"/>
      <c r="AT56" s="20"/>
      <c r="AU56" s="22"/>
      <c r="AV56" s="20"/>
      <c r="AW56" s="22"/>
      <c r="AX56" s="20"/>
      <c r="AY56" s="22"/>
      <c r="AZ56" s="20"/>
      <c r="BA56" s="22"/>
      <c r="BB56" s="20"/>
      <c r="BC56" s="22"/>
      <c r="BD56" s="20" t="s">
        <v>166</v>
      </c>
      <c r="BE56" s="22" t="str">
        <f>VLOOKUP(BD56,'Axe 2 Règles de gestion'!$D$2:$F$65,3, FALSE)</f>
        <v>Le congé est accordé pour une durée maximale de 12 mois.</v>
      </c>
      <c r="BF56" s="20"/>
      <c r="BG56" s="22"/>
      <c r="BH56" s="20"/>
      <c r="BI56" s="22"/>
      <c r="BJ56" s="20"/>
      <c r="BK56" s="22"/>
      <c r="BL56" s="20" t="s">
        <v>149</v>
      </c>
      <c r="BM56" s="22" t="str">
        <f>VLOOKUP(BL56,'Axe 2 Règles de gestion'!$D$2:$F$65,3, FALSE)</f>
        <v>La date de fin réelle du congé/absence doit être antérieure ou égale à la date limite de fin réelle ou prévisionnelle du lien juridique.</v>
      </c>
      <c r="BN56" s="20" t="s">
        <v>151</v>
      </c>
      <c r="BO56" s="22" t="str">
        <f>VLOOKUP(BN56,'Axe 2 Règles de gestion'!$D$2:$F$65,3, FALSE)</f>
        <v>La date de fin prévisionnelle du congé/absence doit être antérieure ou égale à la date limite de fin réelle ou prévisionnelle du lien juridique.</v>
      </c>
      <c r="BP56" s="20" t="s">
        <v>153</v>
      </c>
      <c r="BQ56" s="22" t="str">
        <f>VLOOKUP(BP56,'Axe 2 Règles de gestion'!$D$2:$F$65,3, FALSE)</f>
        <v>La date de fin réelle du congé/absence doit être antérieure à la date limite de départ à la retraite.</v>
      </c>
      <c r="BR56" s="20" t="s">
        <v>155</v>
      </c>
      <c r="BS56" s="22" t="str">
        <f>VLOOKUP(BR56,'Axe 2 Règles de gestion'!$D$2:$F$65,3, FALSE)</f>
        <v>La date de fin prévisionnelle du congé/absence doit être antérieure à la date limite de départ à la retraite.</v>
      </c>
      <c r="BT56" s="20" t="s">
        <v>157</v>
      </c>
      <c r="BU56" s="22" t="str">
        <f>VLOOKUP(BT56,'Axe 2 Règles de gestion'!$D$2:$F$65,3, FALSE)</f>
        <v>La date de fin réelle ou la date de fin prévisionnelle du congé/absence doit être saisie.</v>
      </c>
      <c r="BV56" s="20"/>
      <c r="BW56" s="22"/>
      <c r="BX56" s="20"/>
      <c r="BY56" s="22"/>
      <c r="BZ56" s="20" t="s">
        <v>196</v>
      </c>
      <c r="CA56" s="22"/>
    </row>
    <row r="57" spans="1:79" ht="43.5" x14ac:dyDescent="0.35">
      <c r="A57" s="13" t="s">
        <v>159</v>
      </c>
      <c r="B57" s="13" t="s">
        <v>81</v>
      </c>
      <c r="C57" s="14">
        <v>44959.546527777777</v>
      </c>
      <c r="D57" s="13" t="s">
        <v>82</v>
      </c>
      <c r="E57" s="15" t="s">
        <v>83</v>
      </c>
      <c r="F57" s="13" t="s">
        <v>84</v>
      </c>
      <c r="G57" s="15" t="s">
        <v>85</v>
      </c>
      <c r="H57" s="13" t="s">
        <v>203</v>
      </c>
      <c r="I57" s="15" t="s">
        <v>204</v>
      </c>
      <c r="J57" s="15" t="s">
        <v>205</v>
      </c>
      <c r="K57" s="15" t="s">
        <v>206</v>
      </c>
      <c r="L57" s="13" t="s">
        <v>207</v>
      </c>
      <c r="M57" s="15" t="s">
        <v>208</v>
      </c>
      <c r="N57" s="13" t="s">
        <v>91</v>
      </c>
      <c r="O57" s="15"/>
      <c r="P57" s="15"/>
      <c r="Q57" s="15" t="s">
        <v>201</v>
      </c>
      <c r="R57" s="13" t="s">
        <v>202</v>
      </c>
      <c r="S57" s="13" t="s">
        <v>182</v>
      </c>
      <c r="T57" s="13" t="s">
        <v>162</v>
      </c>
      <c r="U57" s="14">
        <v>44767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  <c r="AF57" s="13"/>
      <c r="AG57" s="15"/>
      <c r="AH57" s="13"/>
      <c r="AI57" s="15"/>
      <c r="AJ57" s="13"/>
      <c r="AK57" s="15"/>
      <c r="AL57" s="13"/>
      <c r="AM57" s="15"/>
      <c r="AN57" s="13"/>
      <c r="AO57" s="15"/>
      <c r="AP57" s="13"/>
      <c r="AQ57" s="15"/>
      <c r="AR57" s="13"/>
      <c r="AS57" s="15"/>
      <c r="AT57" s="13"/>
      <c r="AU57" s="15"/>
      <c r="AV57" s="13"/>
      <c r="AW57" s="15"/>
      <c r="AX57" s="13"/>
      <c r="AY57" s="15"/>
      <c r="AZ57" s="13"/>
      <c r="BA57" s="15"/>
      <c r="BB57" s="13"/>
      <c r="BC57" s="15"/>
      <c r="BD57" s="13"/>
      <c r="BE57" s="15"/>
      <c r="BF57" s="13"/>
      <c r="BG57" s="15"/>
      <c r="BH57" s="13"/>
      <c r="BI57" s="15"/>
      <c r="BJ57" s="13"/>
      <c r="BK57" s="15"/>
      <c r="BL57" s="13"/>
      <c r="BM57" s="15"/>
      <c r="BN57" s="13"/>
      <c r="BO57" s="15"/>
      <c r="BP57" s="13"/>
      <c r="BQ57" s="15"/>
      <c r="BR57" s="13"/>
      <c r="BS57" s="15"/>
      <c r="BT57" s="13"/>
      <c r="BU57" s="15"/>
      <c r="BV57" s="13"/>
      <c r="BW57" s="15"/>
      <c r="BX57" s="13"/>
      <c r="BY57" s="15"/>
      <c r="BZ57" s="13"/>
      <c r="CA57" s="15"/>
    </row>
    <row r="58" spans="1:79" ht="43.5" x14ac:dyDescent="0.35">
      <c r="A58" s="13" t="s">
        <v>159</v>
      </c>
      <c r="B58" s="13" t="s">
        <v>81</v>
      </c>
      <c r="C58" s="14">
        <v>44959.54791666667</v>
      </c>
      <c r="D58" s="13" t="s">
        <v>82</v>
      </c>
      <c r="E58" s="15" t="s">
        <v>83</v>
      </c>
      <c r="F58" s="13" t="s">
        <v>84</v>
      </c>
      <c r="G58" s="15" t="s">
        <v>85</v>
      </c>
      <c r="H58" s="13" t="s">
        <v>203</v>
      </c>
      <c r="I58" s="15" t="s">
        <v>204</v>
      </c>
      <c r="J58" s="15" t="s">
        <v>205</v>
      </c>
      <c r="K58" s="15" t="s">
        <v>206</v>
      </c>
      <c r="L58" s="13" t="s">
        <v>224</v>
      </c>
      <c r="M58" s="15" t="s">
        <v>225</v>
      </c>
      <c r="N58" s="13" t="s">
        <v>145</v>
      </c>
      <c r="O58" s="15"/>
      <c r="P58" s="15"/>
      <c r="Q58" s="15" t="s">
        <v>201</v>
      </c>
      <c r="R58" s="13" t="s">
        <v>202</v>
      </c>
      <c r="S58" s="13" t="s">
        <v>182</v>
      </c>
      <c r="T58" s="13" t="s">
        <v>162</v>
      </c>
      <c r="U58" s="14">
        <v>44767</v>
      </c>
      <c r="V58" s="14"/>
      <c r="W58" s="15"/>
      <c r="X58" s="13"/>
      <c r="Y58" s="15"/>
      <c r="Z58" s="13"/>
      <c r="AA58" s="15"/>
      <c r="AB58" s="13"/>
      <c r="AC58" s="15"/>
      <c r="AD58" s="13"/>
      <c r="AE58" s="15"/>
      <c r="AF58" s="13"/>
      <c r="AG58" s="15"/>
      <c r="AH58" s="13"/>
      <c r="AI58" s="15"/>
      <c r="AJ58" s="13"/>
      <c r="AK58" s="15"/>
      <c r="AL58" s="13"/>
      <c r="AM58" s="15"/>
      <c r="AN58" s="13"/>
      <c r="AO58" s="15"/>
      <c r="AP58" s="13"/>
      <c r="AQ58" s="15"/>
      <c r="AR58" s="13"/>
      <c r="AS58" s="15"/>
      <c r="AT58" s="13"/>
      <c r="AU58" s="15"/>
      <c r="AV58" s="13"/>
      <c r="AW58" s="15"/>
      <c r="AX58" s="13"/>
      <c r="AY58" s="15"/>
      <c r="AZ58" s="13"/>
      <c r="BA58" s="15"/>
      <c r="BB58" s="13"/>
      <c r="BC58" s="15"/>
      <c r="BD58" s="13"/>
      <c r="BE58" s="15"/>
      <c r="BF58" s="13"/>
      <c r="BG58" s="15"/>
      <c r="BH58" s="13"/>
      <c r="BI58" s="15"/>
      <c r="BJ58" s="13"/>
      <c r="BK58" s="15"/>
      <c r="BL58" s="13"/>
      <c r="BM58" s="15"/>
      <c r="BN58" s="13"/>
      <c r="BO58" s="15"/>
      <c r="BP58" s="13"/>
      <c r="BQ58" s="15"/>
      <c r="BR58" s="13"/>
      <c r="BS58" s="15"/>
      <c r="BT58" s="13"/>
      <c r="BU58" s="15"/>
      <c r="BV58" s="13"/>
      <c r="BW58" s="15"/>
      <c r="BX58" s="13"/>
      <c r="BY58" s="15"/>
      <c r="BZ58" s="13"/>
      <c r="CA58" s="15"/>
    </row>
    <row r="59" spans="1:79" x14ac:dyDescent="0.35">
      <c r="C59" s="16"/>
      <c r="U59" s="16"/>
      <c r="V59" s="16"/>
    </row>
    <row r="60" spans="1:79" x14ac:dyDescent="0.35">
      <c r="C60" s="16"/>
      <c r="U60" s="16"/>
      <c r="V60" s="16"/>
    </row>
    <row r="61" spans="1:79" x14ac:dyDescent="0.35">
      <c r="C61" s="16"/>
      <c r="U61" s="16"/>
      <c r="V61" s="16"/>
    </row>
    <row r="62" spans="1:79" x14ac:dyDescent="0.35">
      <c r="C62" s="16"/>
      <c r="U62" s="16"/>
      <c r="V62" s="16"/>
    </row>
    <row r="63" spans="1:79" x14ac:dyDescent="0.35">
      <c r="C63" s="16"/>
      <c r="U63" s="16"/>
      <c r="V63" s="16"/>
    </row>
    <row r="64" spans="1:79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</sheetData>
  <autoFilter ref="A1:OJ58" xr:uid="{05D2AC5E-F781-4A41-94CF-48B13B298C7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CB87-E47D-4A52-882E-5709430BB561}">
  <dimension ref="A1:AO300"/>
  <sheetViews>
    <sheetView workbookViewId="0">
      <pane ySplit="1" topLeftCell="A2" activePane="bottomLeft" state="frozenSplit"/>
      <selection pane="bottomLeft" activeCell="E39" sqref="E39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9.6328125" style="18" customWidth="1"/>
    <col min="41" max="41" width="15.6328125" style="12" customWidth="1"/>
    <col min="42" max="16384" width="10.90625" style="12"/>
  </cols>
  <sheetData>
    <row r="1" spans="1:4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246</v>
      </c>
      <c r="X1" s="10" t="s">
        <v>247</v>
      </c>
      <c r="Y1" s="10" t="s">
        <v>248</v>
      </c>
      <c r="Z1" s="10" t="s">
        <v>249</v>
      </c>
      <c r="AA1" s="10" t="s">
        <v>250</v>
      </c>
      <c r="AB1" s="10" t="s">
        <v>251</v>
      </c>
      <c r="AC1" s="10" t="s">
        <v>252</v>
      </c>
      <c r="AD1" s="10" t="s">
        <v>253</v>
      </c>
      <c r="AE1" s="10" t="s">
        <v>254</v>
      </c>
      <c r="AF1" s="10" t="s">
        <v>255</v>
      </c>
      <c r="AG1" s="10" t="s">
        <v>256</v>
      </c>
      <c r="AH1" s="10" t="s">
        <v>257</v>
      </c>
      <c r="AI1" s="10" t="s">
        <v>258</v>
      </c>
      <c r="AJ1" s="10" t="s">
        <v>259</v>
      </c>
      <c r="AK1" s="10" t="s">
        <v>260</v>
      </c>
      <c r="AL1" s="10" t="s">
        <v>261</v>
      </c>
      <c r="AM1" s="10" t="s">
        <v>262</v>
      </c>
      <c r="AN1" s="10" t="s">
        <v>78</v>
      </c>
      <c r="AO1" s="10" t="s">
        <v>79</v>
      </c>
    </row>
    <row r="2" spans="1:41" ht="145" x14ac:dyDescent="0.35">
      <c r="A2" s="13" t="s">
        <v>80</v>
      </c>
      <c r="B2" s="13" t="s">
        <v>81</v>
      </c>
      <c r="C2" s="14">
        <v>43899.684027777781</v>
      </c>
      <c r="D2" s="13" t="s">
        <v>82</v>
      </c>
      <c r="E2" s="15" t="s">
        <v>83</v>
      </c>
      <c r="F2" s="13" t="s">
        <v>84</v>
      </c>
      <c r="G2" s="15" t="s">
        <v>85</v>
      </c>
      <c r="H2" s="13" t="s">
        <v>86</v>
      </c>
      <c r="I2" s="15" t="s">
        <v>85</v>
      </c>
      <c r="J2" s="15" t="s">
        <v>87</v>
      </c>
      <c r="K2" s="15" t="s">
        <v>88</v>
      </c>
      <c r="L2" s="13" t="s">
        <v>89</v>
      </c>
      <c r="M2" s="15" t="s">
        <v>90</v>
      </c>
      <c r="N2" s="13" t="s">
        <v>91</v>
      </c>
      <c r="O2" s="15"/>
      <c r="P2" s="15"/>
      <c r="Q2" s="15" t="s">
        <v>92</v>
      </c>
      <c r="R2" s="13" t="s">
        <v>93</v>
      </c>
      <c r="S2" s="13" t="s">
        <v>94</v>
      </c>
      <c r="T2" s="13" t="s">
        <v>95</v>
      </c>
      <c r="U2" s="14">
        <v>43826</v>
      </c>
      <c r="V2" s="14"/>
      <c r="W2" s="15" t="s">
        <v>263</v>
      </c>
      <c r="X2" s="13" t="s">
        <v>264</v>
      </c>
      <c r="Y2" s="15" t="str">
        <f>VLOOKUP(X2,'Axe 2 Règles de gestion'!$D$2:$F$65,3, FALSE)</f>
        <v>Rémunération : L'agent perçoit son traitement brut, 80 % du régime indemnitaire dont il bénéficiait à la date du placement en congé sauf dérogation prévue par le texte et le cas échéant, l'indemnité de résidence et le supplément familial de traitement.</v>
      </c>
      <c r="Z2" s="13" t="s">
        <v>266</v>
      </c>
      <c r="AA2" s="15" t="str">
        <f>VLOOKUP(Z2,'Axe 2 Règles de gestion'!$D$2:$F$65,3, FALSE)</f>
        <v>Carrière : L'agent conserve ses droits à l'avancement d'échelon et à l'avancement de grade en totalité. La durée du congé est prise en compte comme service effectif.</v>
      </c>
      <c r="AB2" s="13" t="s">
        <v>268</v>
      </c>
      <c r="AC2" s="15" t="str">
        <f>VLOOKUP(AB2,'Axe 2 Règles de gestion'!$D$2:$F$65,3, FALSE)</f>
        <v>Congés annuels : L'agent conserve son droit à congé annuel.</v>
      </c>
      <c r="AD2" s="13" t="s">
        <v>270</v>
      </c>
      <c r="AE2" s="15" t="str">
        <f>VLOOKUP(AD2,'Axe 2 Règles de gestion'!$D$2:$F$65,3, FALSE)</f>
        <v>Congés maladie : L'agent conserve ses droits à congés de maladie ordinaire, de longue maladie, de longue durée, pour invalidité temporaire imputable au service.</v>
      </c>
      <c r="AF2" s="13" t="s">
        <v>272</v>
      </c>
      <c r="AG2" s="15" t="str">
        <f>VLOOKUP(AF2,'Axe 2 Règles de gestion'!$D$2:$F$65,3, FALSE)</f>
        <v>Retraite : Ce congé est considéré comme une période d'activité pour la retraite.</v>
      </c>
      <c r="AH2" s="13" t="s">
        <v>274</v>
      </c>
      <c r="AI2" s="15" t="str">
        <f>VLOOKUP(AH2,'Axe 2 Règles de gestion'!$D$2:$F$65,3, FALSE)</f>
        <v>Acte : Un acte administratif doit être produit.</v>
      </c>
      <c r="AJ2" s="13"/>
      <c r="AK2" s="15"/>
      <c r="AL2" s="13"/>
      <c r="AM2" s="15"/>
      <c r="AN2" s="13"/>
      <c r="AO2" s="13"/>
    </row>
    <row r="3" spans="1:41" ht="43.5" x14ac:dyDescent="0.35">
      <c r="A3" s="13" t="s">
        <v>141</v>
      </c>
      <c r="B3" s="13" t="s">
        <v>142</v>
      </c>
      <c r="C3" s="14">
        <v>44725.415972222225</v>
      </c>
      <c r="D3" s="13" t="s">
        <v>82</v>
      </c>
      <c r="E3" s="15" t="s">
        <v>83</v>
      </c>
      <c r="F3" s="13" t="s">
        <v>84</v>
      </c>
      <c r="G3" s="15" t="s">
        <v>85</v>
      </c>
      <c r="H3" s="13" t="s">
        <v>86</v>
      </c>
      <c r="I3" s="15" t="s">
        <v>85</v>
      </c>
      <c r="J3" s="15" t="s">
        <v>87</v>
      </c>
      <c r="K3" s="15" t="s">
        <v>88</v>
      </c>
      <c r="L3" s="13" t="s">
        <v>143</v>
      </c>
      <c r="M3" s="15" t="s">
        <v>144</v>
      </c>
      <c r="N3" s="13" t="s">
        <v>145</v>
      </c>
      <c r="O3" s="15"/>
      <c r="P3" s="15"/>
      <c r="Q3" s="15" t="s">
        <v>92</v>
      </c>
      <c r="R3" s="13" t="s">
        <v>93</v>
      </c>
      <c r="S3" s="13" t="s">
        <v>94</v>
      </c>
      <c r="T3" s="13" t="s">
        <v>95</v>
      </c>
      <c r="U3" s="14">
        <v>43826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3"/>
    </row>
    <row r="4" spans="1:41" ht="43.5" x14ac:dyDescent="0.35">
      <c r="A4" s="13" t="s">
        <v>159</v>
      </c>
      <c r="B4" s="13" t="s">
        <v>81</v>
      </c>
      <c r="C4" s="14">
        <v>44886.48541666667</v>
      </c>
      <c r="D4" s="13" t="s">
        <v>82</v>
      </c>
      <c r="E4" s="15" t="s">
        <v>83</v>
      </c>
      <c r="F4" s="13" t="s">
        <v>84</v>
      </c>
      <c r="G4" s="15" t="s">
        <v>85</v>
      </c>
      <c r="H4" s="13" t="s">
        <v>86</v>
      </c>
      <c r="I4" s="15" t="s">
        <v>85</v>
      </c>
      <c r="J4" s="15" t="s">
        <v>87</v>
      </c>
      <c r="K4" s="15" t="s">
        <v>88</v>
      </c>
      <c r="L4" s="13" t="s">
        <v>89</v>
      </c>
      <c r="M4" s="15" t="s">
        <v>90</v>
      </c>
      <c r="N4" s="13" t="s">
        <v>91</v>
      </c>
      <c r="O4" s="15"/>
      <c r="P4" s="15"/>
      <c r="Q4" s="15" t="s">
        <v>160</v>
      </c>
      <c r="R4" s="13" t="s">
        <v>161</v>
      </c>
      <c r="S4" s="13" t="s">
        <v>94</v>
      </c>
      <c r="T4" s="13" t="s">
        <v>162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3"/>
    </row>
    <row r="5" spans="1:41" ht="43.5" x14ac:dyDescent="0.35">
      <c r="A5" s="13" t="s">
        <v>159</v>
      </c>
      <c r="B5" s="13" t="s">
        <v>81</v>
      </c>
      <c r="C5" s="14">
        <v>44886.48541666667</v>
      </c>
      <c r="D5" s="13" t="s">
        <v>82</v>
      </c>
      <c r="E5" s="15" t="s">
        <v>83</v>
      </c>
      <c r="F5" s="13" t="s">
        <v>84</v>
      </c>
      <c r="G5" s="15" t="s">
        <v>85</v>
      </c>
      <c r="H5" s="13" t="s">
        <v>86</v>
      </c>
      <c r="I5" s="15" t="s">
        <v>85</v>
      </c>
      <c r="J5" s="15" t="s">
        <v>87</v>
      </c>
      <c r="K5" s="15" t="s">
        <v>88</v>
      </c>
      <c r="L5" s="13" t="s">
        <v>143</v>
      </c>
      <c r="M5" s="15" t="s">
        <v>144</v>
      </c>
      <c r="N5" s="13" t="s">
        <v>145</v>
      </c>
      <c r="O5" s="15"/>
      <c r="P5" s="15"/>
      <c r="Q5" s="15" t="s">
        <v>160</v>
      </c>
      <c r="R5" s="13" t="s">
        <v>161</v>
      </c>
      <c r="S5" s="13" t="s">
        <v>94</v>
      </c>
      <c r="T5" s="13" t="s">
        <v>162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3"/>
    </row>
    <row r="6" spans="1:41" ht="87" x14ac:dyDescent="0.35">
      <c r="A6" s="13" t="s">
        <v>159</v>
      </c>
      <c r="B6" s="13" t="s">
        <v>142</v>
      </c>
      <c r="C6" s="14">
        <v>44837.722916666666</v>
      </c>
      <c r="D6" s="13" t="s">
        <v>82</v>
      </c>
      <c r="E6" s="15" t="s">
        <v>83</v>
      </c>
      <c r="F6" s="13" t="s">
        <v>84</v>
      </c>
      <c r="G6" s="15" t="s">
        <v>85</v>
      </c>
      <c r="H6" s="13" t="s">
        <v>86</v>
      </c>
      <c r="I6" s="15" t="s">
        <v>85</v>
      </c>
      <c r="J6" s="15" t="s">
        <v>87</v>
      </c>
      <c r="K6" s="15" t="s">
        <v>88</v>
      </c>
      <c r="L6" s="13" t="s">
        <v>89</v>
      </c>
      <c r="M6" s="15" t="s">
        <v>90</v>
      </c>
      <c r="N6" s="13" t="s">
        <v>91</v>
      </c>
      <c r="O6" s="15"/>
      <c r="P6" s="15"/>
      <c r="Q6" s="15" t="s">
        <v>163</v>
      </c>
      <c r="R6" s="13" t="s">
        <v>164</v>
      </c>
      <c r="S6" s="13" t="s">
        <v>94</v>
      </c>
      <c r="T6" s="13" t="s">
        <v>95</v>
      </c>
      <c r="U6" s="14">
        <v>43826</v>
      </c>
      <c r="V6" s="14">
        <v>44677</v>
      </c>
      <c r="W6" s="15" t="s">
        <v>276</v>
      </c>
      <c r="X6" s="13" t="s">
        <v>277</v>
      </c>
      <c r="Y6" s="15" t="str">
        <f>VLOOKUP(X6,'Axe 2 Règles de gestion'!$D$2:$F$65,3, FALSE)</f>
        <v>Rémunération : L'agent perçoit sa rémunération, le cas échéant, l'indemnité de résidence et le supplément familial de traitement.</v>
      </c>
      <c r="Z6" s="13" t="s">
        <v>279</v>
      </c>
      <c r="AA6" s="15" t="str">
        <f>VLOOKUP(Z6,'Axe 2 Règles de gestion'!$D$2:$F$65,3, FALSE)</f>
        <v>Carrière : La période de congé de transition professionnelle est prise en compte comme service effectif.</v>
      </c>
      <c r="AB6" s="13" t="s">
        <v>268</v>
      </c>
      <c r="AC6" s="15" t="str">
        <f>VLOOKUP(AB6,'Axe 2 Règles de gestion'!$D$2:$F$65,3, FALSE)</f>
        <v>Congés annuels : L'agent conserve son droit à congé annuel.</v>
      </c>
      <c r="AD6" s="13" t="s">
        <v>281</v>
      </c>
      <c r="AE6" s="15" t="str">
        <f>VLOOKUP(AD6,'Axe 2 Règles de gestion'!$D$2:$F$65,3, FALSE)</f>
        <v>Congés maladie : L'agent conserve ses droits à congés de maladie ordinaire, de grave maladie, pour accident du travail ou maladie professionnelle.</v>
      </c>
      <c r="AF6" s="13" t="s">
        <v>272</v>
      </c>
      <c r="AG6" s="15" t="str">
        <f>VLOOKUP(AF6,'Axe 2 Règles de gestion'!$D$2:$F$65,3, FALSE)</f>
        <v>Retraite : Ce congé est considéré comme une période d'activité pour la retraite.</v>
      </c>
      <c r="AH6" s="13" t="s">
        <v>274</v>
      </c>
      <c r="AI6" s="15" t="str">
        <f>VLOOKUP(AH6,'Axe 2 Règles de gestion'!$D$2:$F$65,3, FALSE)</f>
        <v>Acte : Un acte administratif doit être produit.</v>
      </c>
      <c r="AJ6" s="13"/>
      <c r="AK6" s="15"/>
      <c r="AL6" s="13"/>
      <c r="AM6" s="15"/>
      <c r="AN6" s="13"/>
      <c r="AO6" s="13"/>
    </row>
    <row r="7" spans="1:41" ht="87" x14ac:dyDescent="0.35">
      <c r="A7" s="13" t="s">
        <v>159</v>
      </c>
      <c r="B7" s="13" t="s">
        <v>81</v>
      </c>
      <c r="C7" s="14">
        <v>44959.574305555558</v>
      </c>
      <c r="D7" s="13" t="s">
        <v>82</v>
      </c>
      <c r="E7" s="15" t="s">
        <v>83</v>
      </c>
      <c r="F7" s="13" t="s">
        <v>84</v>
      </c>
      <c r="G7" s="15" t="s">
        <v>85</v>
      </c>
      <c r="H7" s="13" t="s">
        <v>86</v>
      </c>
      <c r="I7" s="15" t="s">
        <v>85</v>
      </c>
      <c r="J7" s="15" t="s">
        <v>87</v>
      </c>
      <c r="K7" s="15" t="s">
        <v>88</v>
      </c>
      <c r="L7" s="13" t="s">
        <v>89</v>
      </c>
      <c r="M7" s="15" t="s">
        <v>90</v>
      </c>
      <c r="N7" s="13" t="s">
        <v>91</v>
      </c>
      <c r="O7" s="15"/>
      <c r="P7" s="15"/>
      <c r="Q7" s="15" t="s">
        <v>163</v>
      </c>
      <c r="R7" s="13" t="s">
        <v>164</v>
      </c>
      <c r="S7" s="13" t="s">
        <v>94</v>
      </c>
      <c r="T7" s="13" t="s">
        <v>95</v>
      </c>
      <c r="U7" s="14">
        <v>44678</v>
      </c>
      <c r="V7" s="14"/>
      <c r="W7" s="15" t="s">
        <v>276</v>
      </c>
      <c r="X7" s="13" t="s">
        <v>277</v>
      </c>
      <c r="Y7" s="15" t="str">
        <f>VLOOKUP(X7,'Axe 2 Règles de gestion'!$D$2:$F$65,3, FALSE)</f>
        <v>Rémunération : L'agent perçoit sa rémunération, le cas échéant, l'indemnité de résidence et le supplément familial de traitement.</v>
      </c>
      <c r="Z7" s="13" t="s">
        <v>279</v>
      </c>
      <c r="AA7" s="15" t="str">
        <f>VLOOKUP(Z7,'Axe 2 Règles de gestion'!$D$2:$F$65,3, FALSE)</f>
        <v>Carrière : La période de congé de transition professionnelle est prise en compte comme service effectif.</v>
      </c>
      <c r="AB7" s="13" t="s">
        <v>268</v>
      </c>
      <c r="AC7" s="15" t="str">
        <f>VLOOKUP(AB7,'Axe 2 Règles de gestion'!$D$2:$F$65,3, FALSE)</f>
        <v>Congés annuels : L'agent conserve son droit à congé annuel.</v>
      </c>
      <c r="AD7" s="13" t="s">
        <v>281</v>
      </c>
      <c r="AE7" s="15" t="str">
        <f>VLOOKUP(AD7,'Axe 2 Règles de gestion'!$D$2:$F$65,3, FALSE)</f>
        <v>Congés maladie : L'agent conserve ses droits à congés de maladie ordinaire, de grave maladie, pour accident du travail ou maladie professionnelle.</v>
      </c>
      <c r="AF7" s="13" t="s">
        <v>272</v>
      </c>
      <c r="AG7" s="15" t="str">
        <f>VLOOKUP(AF7,'Axe 2 Règles de gestion'!$D$2:$F$65,3, FALSE)</f>
        <v>Retraite : Ce congé est considéré comme une période d'activité pour la retraite.</v>
      </c>
      <c r="AH7" s="13" t="s">
        <v>274</v>
      </c>
      <c r="AI7" s="15" t="str">
        <f>VLOOKUP(AH7,'Axe 2 Règles de gestion'!$D$2:$F$65,3, FALSE)</f>
        <v>Acte : Un acte administratif doit être produit.</v>
      </c>
      <c r="AJ7" s="13"/>
      <c r="AK7" s="15"/>
      <c r="AL7" s="13"/>
      <c r="AM7" s="15"/>
      <c r="AN7" s="13"/>
      <c r="AO7" s="13"/>
    </row>
    <row r="8" spans="1:41" ht="43.5" x14ac:dyDescent="0.35">
      <c r="A8" s="13" t="s">
        <v>141</v>
      </c>
      <c r="B8" s="13" t="s">
        <v>142</v>
      </c>
      <c r="C8" s="14">
        <v>44725.416666666664</v>
      </c>
      <c r="D8" s="13" t="s">
        <v>82</v>
      </c>
      <c r="E8" s="15" t="s">
        <v>83</v>
      </c>
      <c r="F8" s="13" t="s">
        <v>84</v>
      </c>
      <c r="G8" s="15" t="s">
        <v>85</v>
      </c>
      <c r="H8" s="13" t="s">
        <v>86</v>
      </c>
      <c r="I8" s="15" t="s">
        <v>85</v>
      </c>
      <c r="J8" s="15" t="s">
        <v>87</v>
      </c>
      <c r="K8" s="15" t="s">
        <v>88</v>
      </c>
      <c r="L8" s="13" t="s">
        <v>143</v>
      </c>
      <c r="M8" s="15" t="s">
        <v>144</v>
      </c>
      <c r="N8" s="13" t="s">
        <v>145</v>
      </c>
      <c r="O8" s="15"/>
      <c r="P8" s="15"/>
      <c r="Q8" s="15" t="s">
        <v>163</v>
      </c>
      <c r="R8" s="13" t="s">
        <v>164</v>
      </c>
      <c r="S8" s="13" t="s">
        <v>94</v>
      </c>
      <c r="T8" s="13" t="s">
        <v>95</v>
      </c>
      <c r="U8" s="14">
        <v>43826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3"/>
    </row>
    <row r="9" spans="1:41" ht="145" x14ac:dyDescent="0.35">
      <c r="A9" s="13" t="s">
        <v>141</v>
      </c>
      <c r="B9" s="13" t="s">
        <v>142</v>
      </c>
      <c r="C9" s="14">
        <v>44725.464583333334</v>
      </c>
      <c r="D9" s="13" t="s">
        <v>82</v>
      </c>
      <c r="E9" s="15" t="s">
        <v>83</v>
      </c>
      <c r="F9" s="13" t="s">
        <v>84</v>
      </c>
      <c r="G9" s="15" t="s">
        <v>85</v>
      </c>
      <c r="H9" s="13" t="s">
        <v>86</v>
      </c>
      <c r="I9" s="15" t="s">
        <v>85</v>
      </c>
      <c r="J9" s="15" t="s">
        <v>87</v>
      </c>
      <c r="K9" s="15" t="s">
        <v>88</v>
      </c>
      <c r="L9" s="13" t="s">
        <v>89</v>
      </c>
      <c r="M9" s="15" t="s">
        <v>90</v>
      </c>
      <c r="N9" s="13" t="s">
        <v>91</v>
      </c>
      <c r="O9" s="15"/>
      <c r="P9" s="15"/>
      <c r="Q9" s="15" t="s">
        <v>172</v>
      </c>
      <c r="R9" s="13" t="s">
        <v>173</v>
      </c>
      <c r="S9" s="13" t="s">
        <v>94</v>
      </c>
      <c r="T9" s="13" t="s">
        <v>95</v>
      </c>
      <c r="U9" s="14">
        <v>43826</v>
      </c>
      <c r="V9" s="14"/>
      <c r="W9" s="15" t="s">
        <v>283</v>
      </c>
      <c r="X9" s="13" t="s">
        <v>264</v>
      </c>
      <c r="Y9" s="15" t="str">
        <f>VLOOKUP(X9,'Axe 2 Règles de gestion'!$D$2:$F$65,3, FALSE)</f>
        <v>Rémunération : L'agent perçoit son traitement brut, 80 % du régime indemnitaire dont il bénéficiait à la date du placement en congé sauf dérogation prévue par le texte et le cas échéant, l'indemnité de résidence et le supplément familial de traitement.</v>
      </c>
      <c r="Z9" s="13" t="s">
        <v>284</v>
      </c>
      <c r="AA9" s="15" t="str">
        <f>VLOOKUP(Z9,'Axe 2 Règles de gestion'!$D$2:$F$65,3, FALSE)</f>
        <v>Carrière : L'agent conserve ses droits à l'avancement d'échelon en totalité. La durée du congé est prise en compte comme service effectif.</v>
      </c>
      <c r="AB9" s="13" t="s">
        <v>286</v>
      </c>
      <c r="AC9" s="15" t="str">
        <f>VLOOKUP(AB9,'Axe 2 Règles de gestion'!$D$2:$F$65,3, FALSE)</f>
        <v>Stage : La durée du stage est prolongée pour la période du congés excédant 1/10ème de la durée statutaire du stage. Pour un stage de 1 an, les jours de congé pris à partir du 37ème jour repoussent d'autant la date de fin de stage.</v>
      </c>
      <c r="AD9" s="13" t="s">
        <v>288</v>
      </c>
      <c r="AE9" s="15" t="str">
        <f>VLOOKUP(AD9,'Axe 2 Règles de gestion'!$D$2:$F$65,3, FALSE)</f>
        <v>Titularisation : Si ce congé a entrainé une prolongation du stage, la titularisation de l'agent est repoussée au lendemain de la date de fin de stage.</v>
      </c>
      <c r="AF9" s="13" t="s">
        <v>268</v>
      </c>
      <c r="AG9" s="15" t="str">
        <f>VLOOKUP(AF9,'Axe 2 Règles de gestion'!$D$2:$F$65,3, FALSE)</f>
        <v>Congés annuels : L'agent conserve son droit à congé annuel.</v>
      </c>
      <c r="AH9" s="13" t="s">
        <v>270</v>
      </c>
      <c r="AI9" s="15" t="str">
        <f>VLOOKUP(AH9,'Axe 2 Règles de gestion'!$D$2:$F$65,3, FALSE)</f>
        <v>Congés maladie : L'agent conserve ses droits à congés de maladie ordinaire, de longue maladie, de longue durée, pour invalidité temporaire imputable au service.</v>
      </c>
      <c r="AJ9" s="13" t="s">
        <v>272</v>
      </c>
      <c r="AK9" s="15" t="str">
        <f>VLOOKUP(AJ9,'Axe 2 Règles de gestion'!$D$2:$F$65,3, FALSE)</f>
        <v>Retraite : Ce congé est considéré comme une période d'activité pour la retraite.</v>
      </c>
      <c r="AL9" s="13" t="s">
        <v>274</v>
      </c>
      <c r="AM9" s="15" t="str">
        <f>VLOOKUP(AL9,'Axe 2 Règles de gestion'!$D$2:$F$65,3, FALSE)</f>
        <v>Acte : Un acte administratif doit être produit.</v>
      </c>
      <c r="AN9" s="13"/>
      <c r="AO9" s="13"/>
    </row>
    <row r="10" spans="1:41" ht="43.5" x14ac:dyDescent="0.35">
      <c r="A10" s="13" t="s">
        <v>141</v>
      </c>
      <c r="B10" s="13" t="s">
        <v>142</v>
      </c>
      <c r="C10" s="14">
        <v>44725.461111111108</v>
      </c>
      <c r="D10" s="13" t="s">
        <v>82</v>
      </c>
      <c r="E10" s="15" t="s">
        <v>83</v>
      </c>
      <c r="F10" s="13" t="s">
        <v>84</v>
      </c>
      <c r="G10" s="15" t="s">
        <v>85</v>
      </c>
      <c r="H10" s="13" t="s">
        <v>86</v>
      </c>
      <c r="I10" s="15" t="s">
        <v>85</v>
      </c>
      <c r="J10" s="15" t="s">
        <v>87</v>
      </c>
      <c r="K10" s="15" t="s">
        <v>88</v>
      </c>
      <c r="L10" s="13" t="s">
        <v>143</v>
      </c>
      <c r="M10" s="15" t="s">
        <v>144</v>
      </c>
      <c r="N10" s="13" t="s">
        <v>145</v>
      </c>
      <c r="O10" s="15"/>
      <c r="P10" s="15"/>
      <c r="Q10" s="15" t="s">
        <v>172</v>
      </c>
      <c r="R10" s="13" t="s">
        <v>173</v>
      </c>
      <c r="S10" s="13" t="s">
        <v>94</v>
      </c>
      <c r="T10" s="13" t="s">
        <v>95</v>
      </c>
      <c r="U10" s="14">
        <v>43826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3"/>
    </row>
    <row r="11" spans="1:41" ht="101.5" x14ac:dyDescent="0.35">
      <c r="A11" s="13" t="s">
        <v>80</v>
      </c>
      <c r="B11" s="13" t="s">
        <v>81</v>
      </c>
      <c r="C11" s="14">
        <v>43899.688194444447</v>
      </c>
      <c r="D11" s="13" t="s">
        <v>82</v>
      </c>
      <c r="E11" s="15" t="s">
        <v>83</v>
      </c>
      <c r="F11" s="13" t="s">
        <v>84</v>
      </c>
      <c r="G11" s="15" t="s">
        <v>85</v>
      </c>
      <c r="H11" s="13" t="s">
        <v>86</v>
      </c>
      <c r="I11" s="15" t="s">
        <v>85</v>
      </c>
      <c r="J11" s="15" t="s">
        <v>87</v>
      </c>
      <c r="K11" s="15" t="s">
        <v>88</v>
      </c>
      <c r="L11" s="13" t="s">
        <v>89</v>
      </c>
      <c r="M11" s="15" t="s">
        <v>90</v>
      </c>
      <c r="N11" s="13" t="s">
        <v>91</v>
      </c>
      <c r="O11" s="15"/>
      <c r="P11" s="15"/>
      <c r="Q11" s="15" t="s">
        <v>177</v>
      </c>
      <c r="R11" s="13" t="s">
        <v>178</v>
      </c>
      <c r="S11" s="13" t="s">
        <v>94</v>
      </c>
      <c r="T11" s="13" t="s">
        <v>95</v>
      </c>
      <c r="U11" s="14">
        <v>43826</v>
      </c>
      <c r="V11" s="14"/>
      <c r="W11" s="15" t="s">
        <v>290</v>
      </c>
      <c r="X11" s="13" t="s">
        <v>291</v>
      </c>
      <c r="Y11" s="15" t="str">
        <f>VLOOKUP(X11,'Axe 2 Règles de gestion'!$D$2:$F$65,3, FALSE)</f>
        <v>Rémunération : L'agent perçoit son salaire.</v>
      </c>
      <c r="Z11" s="13" t="s">
        <v>279</v>
      </c>
      <c r="AA11" s="15" t="str">
        <f>VLOOKUP(Z11,'Axe 2 Règles de gestion'!$D$2:$F$65,3, FALSE)</f>
        <v>Carrière : La période de congé de transition professionnelle est prise en compte comme service effectif.</v>
      </c>
      <c r="AB11" s="13" t="s">
        <v>268</v>
      </c>
      <c r="AC11" s="15" t="str">
        <f>VLOOKUP(AB11,'Axe 2 Règles de gestion'!$D$2:$F$65,3, FALSE)</f>
        <v>Congés annuels : L'agent conserve son droit à congé annuel.</v>
      </c>
      <c r="AD11" s="13" t="s">
        <v>293</v>
      </c>
      <c r="AE11" s="15" t="str">
        <f>VLOOKUP(AD11,'Axe 2 Règles de gestion'!$D$2:$F$65,3, FALSE)</f>
        <v>Congés maladie : L'agent conserve ses droits à congés de maladie ordinaire, de longue maladie, pour accident de service ou maladie professionnelle, de longue durée.</v>
      </c>
      <c r="AF11" s="13" t="s">
        <v>295</v>
      </c>
      <c r="AG11" s="15" t="str">
        <f>VLOOKUP(AF11,'Axe 2 Règles de gestion'!$D$2:$F$65,3, FALSE)</f>
        <v>Retraite : La durée de ce congé est prise en compte pour la constitution du droit à pension et la liquidation de celle-ci.</v>
      </c>
      <c r="AH11" s="13" t="s">
        <v>274</v>
      </c>
      <c r="AI11" s="15" t="str">
        <f>VLOOKUP(AH11,'Axe 2 Règles de gestion'!$D$2:$F$65,3, FALSE)</f>
        <v>Acte : Un acte administratif doit être produit.</v>
      </c>
      <c r="AJ11" s="13"/>
      <c r="AK11" s="15"/>
      <c r="AL11" s="13"/>
      <c r="AM11" s="15"/>
      <c r="AN11" s="13"/>
      <c r="AO11" s="13"/>
    </row>
    <row r="12" spans="1:41" ht="43.5" x14ac:dyDescent="0.35">
      <c r="A12" s="13" t="s">
        <v>141</v>
      </c>
      <c r="B12" s="13" t="s">
        <v>142</v>
      </c>
      <c r="C12" s="14">
        <v>44725.417361111111</v>
      </c>
      <c r="D12" s="13" t="s">
        <v>82</v>
      </c>
      <c r="E12" s="15" t="s">
        <v>83</v>
      </c>
      <c r="F12" s="13" t="s">
        <v>84</v>
      </c>
      <c r="G12" s="15" t="s">
        <v>85</v>
      </c>
      <c r="H12" s="13" t="s">
        <v>86</v>
      </c>
      <c r="I12" s="15" t="s">
        <v>85</v>
      </c>
      <c r="J12" s="15" t="s">
        <v>87</v>
      </c>
      <c r="K12" s="15" t="s">
        <v>88</v>
      </c>
      <c r="L12" s="13" t="s">
        <v>143</v>
      </c>
      <c r="M12" s="15" t="s">
        <v>144</v>
      </c>
      <c r="N12" s="13" t="s">
        <v>145</v>
      </c>
      <c r="O12" s="15"/>
      <c r="P12" s="15"/>
      <c r="Q12" s="15" t="s">
        <v>177</v>
      </c>
      <c r="R12" s="13" t="s">
        <v>178</v>
      </c>
      <c r="S12" s="13" t="s">
        <v>94</v>
      </c>
      <c r="T12" s="13" t="s">
        <v>95</v>
      </c>
      <c r="U12" s="14">
        <v>43826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3"/>
    </row>
    <row r="13" spans="1:41" ht="43.5" x14ac:dyDescent="0.35">
      <c r="A13" s="13" t="s">
        <v>80</v>
      </c>
      <c r="B13" s="13" t="s">
        <v>81</v>
      </c>
      <c r="C13" s="14">
        <v>43894.619444444441</v>
      </c>
      <c r="D13" s="13" t="s">
        <v>82</v>
      </c>
      <c r="E13" s="15" t="s">
        <v>83</v>
      </c>
      <c r="F13" s="13" t="s">
        <v>84</v>
      </c>
      <c r="G13" s="15" t="s">
        <v>85</v>
      </c>
      <c r="H13" s="13" t="s">
        <v>86</v>
      </c>
      <c r="I13" s="15" t="s">
        <v>85</v>
      </c>
      <c r="J13" s="15" t="s">
        <v>87</v>
      </c>
      <c r="K13" s="15" t="s">
        <v>88</v>
      </c>
      <c r="L13" s="13" t="s">
        <v>89</v>
      </c>
      <c r="M13" s="15" t="s">
        <v>90</v>
      </c>
      <c r="N13" s="13" t="s">
        <v>91</v>
      </c>
      <c r="O13" s="15"/>
      <c r="P13" s="15"/>
      <c r="Q13" s="15" t="s">
        <v>180</v>
      </c>
      <c r="R13" s="13" t="s">
        <v>181</v>
      </c>
      <c r="S13" s="13" t="s">
        <v>182</v>
      </c>
      <c r="T13" s="13" t="s">
        <v>162</v>
      </c>
      <c r="U13" s="14">
        <v>43826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3"/>
    </row>
    <row r="14" spans="1:41" ht="43.5" x14ac:dyDescent="0.35">
      <c r="A14" s="13" t="s">
        <v>80</v>
      </c>
      <c r="B14" s="13" t="s">
        <v>81</v>
      </c>
      <c r="C14" s="14">
        <v>43894.611111111109</v>
      </c>
      <c r="D14" s="13" t="s">
        <v>82</v>
      </c>
      <c r="E14" s="15" t="s">
        <v>83</v>
      </c>
      <c r="F14" s="13" t="s">
        <v>84</v>
      </c>
      <c r="G14" s="15" t="s">
        <v>85</v>
      </c>
      <c r="H14" s="13" t="s">
        <v>86</v>
      </c>
      <c r="I14" s="15" t="s">
        <v>85</v>
      </c>
      <c r="J14" s="15" t="s">
        <v>87</v>
      </c>
      <c r="K14" s="15" t="s">
        <v>88</v>
      </c>
      <c r="L14" s="13" t="s">
        <v>143</v>
      </c>
      <c r="M14" s="15" t="s">
        <v>144</v>
      </c>
      <c r="N14" s="13" t="s">
        <v>145</v>
      </c>
      <c r="O14" s="15"/>
      <c r="P14" s="15"/>
      <c r="Q14" s="15" t="s">
        <v>180</v>
      </c>
      <c r="R14" s="13" t="s">
        <v>181</v>
      </c>
      <c r="S14" s="13" t="s">
        <v>182</v>
      </c>
      <c r="T14" s="13" t="s">
        <v>162</v>
      </c>
      <c r="U14" s="14">
        <v>43826</v>
      </c>
      <c r="V14" s="14"/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  <c r="AN14" s="13"/>
      <c r="AO14" s="13"/>
    </row>
    <row r="15" spans="1:41" ht="43.5" x14ac:dyDescent="0.35">
      <c r="A15" s="13" t="s">
        <v>80</v>
      </c>
      <c r="B15" s="13" t="s">
        <v>81</v>
      </c>
      <c r="C15" s="14">
        <v>43894.620138888888</v>
      </c>
      <c r="D15" s="13" t="s">
        <v>82</v>
      </c>
      <c r="E15" s="15" t="s">
        <v>83</v>
      </c>
      <c r="F15" s="13" t="s">
        <v>84</v>
      </c>
      <c r="G15" s="15" t="s">
        <v>85</v>
      </c>
      <c r="H15" s="13" t="s">
        <v>86</v>
      </c>
      <c r="I15" s="15" t="s">
        <v>85</v>
      </c>
      <c r="J15" s="15" t="s">
        <v>87</v>
      </c>
      <c r="K15" s="15" t="s">
        <v>88</v>
      </c>
      <c r="L15" s="13" t="s">
        <v>89</v>
      </c>
      <c r="M15" s="15" t="s">
        <v>90</v>
      </c>
      <c r="N15" s="13" t="s">
        <v>91</v>
      </c>
      <c r="O15" s="15"/>
      <c r="P15" s="15"/>
      <c r="Q15" s="15" t="s">
        <v>183</v>
      </c>
      <c r="R15" s="13" t="s">
        <v>184</v>
      </c>
      <c r="S15" s="13" t="s">
        <v>182</v>
      </c>
      <c r="T15" s="13" t="s">
        <v>162</v>
      </c>
      <c r="U15" s="14">
        <v>43826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3"/>
    </row>
    <row r="16" spans="1:41" ht="43.5" x14ac:dyDescent="0.35">
      <c r="A16" s="13" t="s">
        <v>80</v>
      </c>
      <c r="B16" s="13" t="s">
        <v>81</v>
      </c>
      <c r="C16" s="14">
        <v>43894.611111111109</v>
      </c>
      <c r="D16" s="13" t="s">
        <v>82</v>
      </c>
      <c r="E16" s="15" t="s">
        <v>83</v>
      </c>
      <c r="F16" s="13" t="s">
        <v>84</v>
      </c>
      <c r="G16" s="15" t="s">
        <v>85</v>
      </c>
      <c r="H16" s="13" t="s">
        <v>86</v>
      </c>
      <c r="I16" s="15" t="s">
        <v>85</v>
      </c>
      <c r="J16" s="15" t="s">
        <v>87</v>
      </c>
      <c r="K16" s="15" t="s">
        <v>88</v>
      </c>
      <c r="L16" s="13" t="s">
        <v>143</v>
      </c>
      <c r="M16" s="15" t="s">
        <v>144</v>
      </c>
      <c r="N16" s="13" t="s">
        <v>145</v>
      </c>
      <c r="O16" s="15"/>
      <c r="P16" s="15"/>
      <c r="Q16" s="15" t="s">
        <v>183</v>
      </c>
      <c r="R16" s="13" t="s">
        <v>184</v>
      </c>
      <c r="S16" s="13" t="s">
        <v>182</v>
      </c>
      <c r="T16" s="13" t="s">
        <v>162</v>
      </c>
      <c r="U16" s="14">
        <v>43826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3"/>
    </row>
    <row r="17" spans="1:41" ht="43.5" x14ac:dyDescent="0.35">
      <c r="A17" s="13" t="s">
        <v>80</v>
      </c>
      <c r="B17" s="13" t="s">
        <v>81</v>
      </c>
      <c r="C17" s="14">
        <v>43894.620138888888</v>
      </c>
      <c r="D17" s="13" t="s">
        <v>82</v>
      </c>
      <c r="E17" s="15" t="s">
        <v>83</v>
      </c>
      <c r="F17" s="13" t="s">
        <v>84</v>
      </c>
      <c r="G17" s="15" t="s">
        <v>85</v>
      </c>
      <c r="H17" s="13" t="s">
        <v>86</v>
      </c>
      <c r="I17" s="15" t="s">
        <v>85</v>
      </c>
      <c r="J17" s="15" t="s">
        <v>87</v>
      </c>
      <c r="K17" s="15" t="s">
        <v>88</v>
      </c>
      <c r="L17" s="13" t="s">
        <v>89</v>
      </c>
      <c r="M17" s="15" t="s">
        <v>90</v>
      </c>
      <c r="N17" s="13" t="s">
        <v>91</v>
      </c>
      <c r="O17" s="15"/>
      <c r="P17" s="15"/>
      <c r="Q17" s="15" t="s">
        <v>185</v>
      </c>
      <c r="R17" s="13" t="s">
        <v>186</v>
      </c>
      <c r="S17" s="13" t="s">
        <v>182</v>
      </c>
      <c r="T17" s="13" t="s">
        <v>162</v>
      </c>
      <c r="U17" s="14">
        <v>43826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  <c r="AF17" s="13"/>
      <c r="AG17" s="15"/>
      <c r="AH17" s="13"/>
      <c r="AI17" s="15"/>
      <c r="AJ17" s="13"/>
      <c r="AK17" s="15"/>
      <c r="AL17" s="13"/>
      <c r="AM17" s="15"/>
      <c r="AN17" s="13"/>
      <c r="AO17" s="13"/>
    </row>
    <row r="18" spans="1:41" ht="43.5" x14ac:dyDescent="0.35">
      <c r="A18" s="13" t="s">
        <v>80</v>
      </c>
      <c r="B18" s="13" t="s">
        <v>81</v>
      </c>
      <c r="C18" s="14">
        <v>43894.611805555556</v>
      </c>
      <c r="D18" s="13" t="s">
        <v>82</v>
      </c>
      <c r="E18" s="15" t="s">
        <v>83</v>
      </c>
      <c r="F18" s="13" t="s">
        <v>84</v>
      </c>
      <c r="G18" s="15" t="s">
        <v>85</v>
      </c>
      <c r="H18" s="13" t="s">
        <v>86</v>
      </c>
      <c r="I18" s="15" t="s">
        <v>85</v>
      </c>
      <c r="J18" s="15" t="s">
        <v>87</v>
      </c>
      <c r="K18" s="15" t="s">
        <v>88</v>
      </c>
      <c r="L18" s="13" t="s">
        <v>143</v>
      </c>
      <c r="M18" s="15" t="s">
        <v>144</v>
      </c>
      <c r="N18" s="13" t="s">
        <v>145</v>
      </c>
      <c r="O18" s="15"/>
      <c r="P18" s="15"/>
      <c r="Q18" s="15" t="s">
        <v>185</v>
      </c>
      <c r="R18" s="13" t="s">
        <v>186</v>
      </c>
      <c r="S18" s="13" t="s">
        <v>182</v>
      </c>
      <c r="T18" s="13" t="s">
        <v>162</v>
      </c>
      <c r="U18" s="14">
        <v>43826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3"/>
    </row>
    <row r="19" spans="1:41" ht="43.5" x14ac:dyDescent="0.35">
      <c r="A19" s="13" t="s">
        <v>80</v>
      </c>
      <c r="B19" s="13" t="s">
        <v>81</v>
      </c>
      <c r="C19" s="14">
        <v>43894.620833333334</v>
      </c>
      <c r="D19" s="13" t="s">
        <v>82</v>
      </c>
      <c r="E19" s="15" t="s">
        <v>83</v>
      </c>
      <c r="F19" s="13" t="s">
        <v>84</v>
      </c>
      <c r="G19" s="15" t="s">
        <v>85</v>
      </c>
      <c r="H19" s="13" t="s">
        <v>86</v>
      </c>
      <c r="I19" s="15" t="s">
        <v>85</v>
      </c>
      <c r="J19" s="15" t="s">
        <v>87</v>
      </c>
      <c r="K19" s="15" t="s">
        <v>88</v>
      </c>
      <c r="L19" s="13" t="s">
        <v>89</v>
      </c>
      <c r="M19" s="15" t="s">
        <v>90</v>
      </c>
      <c r="N19" s="13" t="s">
        <v>91</v>
      </c>
      <c r="O19" s="15"/>
      <c r="P19" s="15"/>
      <c r="Q19" s="15" t="s">
        <v>187</v>
      </c>
      <c r="R19" s="13" t="s">
        <v>188</v>
      </c>
      <c r="S19" s="13" t="s">
        <v>182</v>
      </c>
      <c r="T19" s="13" t="s">
        <v>162</v>
      </c>
      <c r="U19" s="14">
        <v>43826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3"/>
    </row>
    <row r="20" spans="1:41" ht="43.5" x14ac:dyDescent="0.35">
      <c r="A20" s="13" t="s">
        <v>80</v>
      </c>
      <c r="B20" s="13" t="s">
        <v>81</v>
      </c>
      <c r="C20" s="14">
        <v>43894.612500000003</v>
      </c>
      <c r="D20" s="13" t="s">
        <v>82</v>
      </c>
      <c r="E20" s="15" t="s">
        <v>83</v>
      </c>
      <c r="F20" s="13" t="s">
        <v>84</v>
      </c>
      <c r="G20" s="15" t="s">
        <v>85</v>
      </c>
      <c r="H20" s="13" t="s">
        <v>86</v>
      </c>
      <c r="I20" s="15" t="s">
        <v>85</v>
      </c>
      <c r="J20" s="15" t="s">
        <v>87</v>
      </c>
      <c r="K20" s="15" t="s">
        <v>88</v>
      </c>
      <c r="L20" s="13" t="s">
        <v>143</v>
      </c>
      <c r="M20" s="15" t="s">
        <v>144</v>
      </c>
      <c r="N20" s="13" t="s">
        <v>145</v>
      </c>
      <c r="O20" s="15"/>
      <c r="P20" s="15"/>
      <c r="Q20" s="15" t="s">
        <v>187</v>
      </c>
      <c r="R20" s="13" t="s">
        <v>188</v>
      </c>
      <c r="S20" s="13" t="s">
        <v>182</v>
      </c>
      <c r="T20" s="13" t="s">
        <v>162</v>
      </c>
      <c r="U20" s="14">
        <v>43826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3"/>
    </row>
    <row r="21" spans="1:41" ht="43.5" x14ac:dyDescent="0.35">
      <c r="A21" s="13" t="s">
        <v>80</v>
      </c>
      <c r="B21" s="13" t="s">
        <v>81</v>
      </c>
      <c r="C21" s="14">
        <v>43894.625</v>
      </c>
      <c r="D21" s="13" t="s">
        <v>82</v>
      </c>
      <c r="E21" s="15" t="s">
        <v>83</v>
      </c>
      <c r="F21" s="13" t="s">
        <v>84</v>
      </c>
      <c r="G21" s="15" t="s">
        <v>85</v>
      </c>
      <c r="H21" s="13" t="s">
        <v>86</v>
      </c>
      <c r="I21" s="15" t="s">
        <v>85</v>
      </c>
      <c r="J21" s="15" t="s">
        <v>87</v>
      </c>
      <c r="K21" s="15" t="s">
        <v>88</v>
      </c>
      <c r="L21" s="13" t="s">
        <v>89</v>
      </c>
      <c r="M21" s="15" t="s">
        <v>90</v>
      </c>
      <c r="N21" s="13" t="s">
        <v>91</v>
      </c>
      <c r="O21" s="15"/>
      <c r="P21" s="15"/>
      <c r="Q21" s="15" t="s">
        <v>189</v>
      </c>
      <c r="R21" s="13" t="s">
        <v>190</v>
      </c>
      <c r="S21" s="13" t="s">
        <v>182</v>
      </c>
      <c r="T21" s="13" t="s">
        <v>162</v>
      </c>
      <c r="U21" s="14">
        <v>43826</v>
      </c>
      <c r="V21" s="14"/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3"/>
    </row>
    <row r="22" spans="1:41" ht="43.5" x14ac:dyDescent="0.35">
      <c r="A22" s="13" t="s">
        <v>80</v>
      </c>
      <c r="B22" s="13" t="s">
        <v>81</v>
      </c>
      <c r="C22" s="14">
        <v>43894.613194444442</v>
      </c>
      <c r="D22" s="13" t="s">
        <v>82</v>
      </c>
      <c r="E22" s="15" t="s">
        <v>83</v>
      </c>
      <c r="F22" s="13" t="s">
        <v>84</v>
      </c>
      <c r="G22" s="15" t="s">
        <v>85</v>
      </c>
      <c r="H22" s="13" t="s">
        <v>86</v>
      </c>
      <c r="I22" s="15" t="s">
        <v>85</v>
      </c>
      <c r="J22" s="15" t="s">
        <v>87</v>
      </c>
      <c r="K22" s="15" t="s">
        <v>88</v>
      </c>
      <c r="L22" s="13" t="s">
        <v>143</v>
      </c>
      <c r="M22" s="15" t="s">
        <v>144</v>
      </c>
      <c r="N22" s="13" t="s">
        <v>145</v>
      </c>
      <c r="O22" s="15"/>
      <c r="P22" s="15"/>
      <c r="Q22" s="15" t="s">
        <v>189</v>
      </c>
      <c r="R22" s="13" t="s">
        <v>190</v>
      </c>
      <c r="S22" s="13" t="s">
        <v>182</v>
      </c>
      <c r="T22" s="13" t="s">
        <v>162</v>
      </c>
      <c r="U22" s="14">
        <v>43826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3"/>
    </row>
    <row r="23" spans="1:41" ht="43.5" x14ac:dyDescent="0.35">
      <c r="A23" s="13" t="s">
        <v>80</v>
      </c>
      <c r="B23" s="13" t="s">
        <v>81</v>
      </c>
      <c r="C23" s="14">
        <v>43894.626388888886</v>
      </c>
      <c r="D23" s="13" t="s">
        <v>82</v>
      </c>
      <c r="E23" s="15" t="s">
        <v>83</v>
      </c>
      <c r="F23" s="13" t="s">
        <v>84</v>
      </c>
      <c r="G23" s="15" t="s">
        <v>85</v>
      </c>
      <c r="H23" s="13" t="s">
        <v>86</v>
      </c>
      <c r="I23" s="15" t="s">
        <v>85</v>
      </c>
      <c r="J23" s="15" t="s">
        <v>87</v>
      </c>
      <c r="K23" s="15" t="s">
        <v>88</v>
      </c>
      <c r="L23" s="13" t="s">
        <v>89</v>
      </c>
      <c r="M23" s="15" t="s">
        <v>90</v>
      </c>
      <c r="N23" s="13" t="s">
        <v>91</v>
      </c>
      <c r="O23" s="15"/>
      <c r="P23" s="15"/>
      <c r="Q23" s="15" t="s">
        <v>191</v>
      </c>
      <c r="R23" s="13" t="s">
        <v>192</v>
      </c>
      <c r="S23" s="13" t="s">
        <v>182</v>
      </c>
      <c r="T23" s="13" t="s">
        <v>162</v>
      </c>
      <c r="U23" s="14">
        <v>43826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3"/>
    </row>
    <row r="24" spans="1:41" ht="43.5" x14ac:dyDescent="0.35">
      <c r="A24" s="13" t="s">
        <v>80</v>
      </c>
      <c r="B24" s="13" t="s">
        <v>81</v>
      </c>
      <c r="C24" s="14">
        <v>43894.613888888889</v>
      </c>
      <c r="D24" s="13" t="s">
        <v>82</v>
      </c>
      <c r="E24" s="15" t="s">
        <v>83</v>
      </c>
      <c r="F24" s="13" t="s">
        <v>84</v>
      </c>
      <c r="G24" s="15" t="s">
        <v>85</v>
      </c>
      <c r="H24" s="13" t="s">
        <v>86</v>
      </c>
      <c r="I24" s="15" t="s">
        <v>85</v>
      </c>
      <c r="J24" s="15" t="s">
        <v>87</v>
      </c>
      <c r="K24" s="15" t="s">
        <v>88</v>
      </c>
      <c r="L24" s="13" t="s">
        <v>143</v>
      </c>
      <c r="M24" s="15" t="s">
        <v>144</v>
      </c>
      <c r="N24" s="13" t="s">
        <v>145</v>
      </c>
      <c r="O24" s="15"/>
      <c r="P24" s="15"/>
      <c r="Q24" s="15" t="s">
        <v>191</v>
      </c>
      <c r="R24" s="13" t="s">
        <v>192</v>
      </c>
      <c r="S24" s="13" t="s">
        <v>182</v>
      </c>
      <c r="T24" s="13" t="s">
        <v>162</v>
      </c>
      <c r="U24" s="14">
        <v>43826</v>
      </c>
      <c r="V24" s="14"/>
      <c r="W24" s="15"/>
      <c r="X24" s="13"/>
      <c r="Y24" s="15"/>
      <c r="Z24" s="13"/>
      <c r="AA24" s="15"/>
      <c r="AB24" s="13"/>
      <c r="AC24" s="15"/>
      <c r="AD24" s="13"/>
      <c r="AE24" s="15"/>
      <c r="AF24" s="13"/>
      <c r="AG24" s="15"/>
      <c r="AH24" s="13"/>
      <c r="AI24" s="15"/>
      <c r="AJ24" s="13"/>
      <c r="AK24" s="15"/>
      <c r="AL24" s="13"/>
      <c r="AM24" s="15"/>
      <c r="AN24" s="13"/>
      <c r="AO24" s="13"/>
    </row>
    <row r="25" spans="1:41" s="23" customFormat="1" ht="43.5" x14ac:dyDescent="0.35">
      <c r="A25" s="20" t="s">
        <v>193</v>
      </c>
      <c r="B25" s="20" t="s">
        <v>142</v>
      </c>
      <c r="C25" s="21">
        <v>45995.637499999997</v>
      </c>
      <c r="D25" s="20" t="s">
        <v>82</v>
      </c>
      <c r="E25" s="22" t="s">
        <v>83</v>
      </c>
      <c r="F25" s="20" t="s">
        <v>84</v>
      </c>
      <c r="G25" s="22" t="s">
        <v>85</v>
      </c>
      <c r="H25" s="20" t="s">
        <v>86</v>
      </c>
      <c r="I25" s="22" t="s">
        <v>85</v>
      </c>
      <c r="J25" s="22" t="s">
        <v>87</v>
      </c>
      <c r="K25" s="22" t="s">
        <v>88</v>
      </c>
      <c r="L25" s="20" t="s">
        <v>89</v>
      </c>
      <c r="M25" s="22" t="s">
        <v>90</v>
      </c>
      <c r="N25" s="20" t="s">
        <v>91</v>
      </c>
      <c r="O25" s="22"/>
      <c r="P25" s="22"/>
      <c r="Q25" s="22" t="s">
        <v>194</v>
      </c>
      <c r="R25" s="20" t="s">
        <v>195</v>
      </c>
      <c r="S25" s="20" t="s">
        <v>182</v>
      </c>
      <c r="T25" s="20" t="s">
        <v>162</v>
      </c>
      <c r="U25" s="21">
        <v>43826</v>
      </c>
      <c r="V25" s="21">
        <v>45900</v>
      </c>
      <c r="W25" s="22"/>
      <c r="X25" s="20"/>
      <c r="Y25" s="22"/>
      <c r="Z25" s="20"/>
      <c r="AA25" s="22"/>
      <c r="AB25" s="20"/>
      <c r="AC25" s="22"/>
      <c r="AD25" s="20"/>
      <c r="AE25" s="22"/>
      <c r="AF25" s="20"/>
      <c r="AG25" s="22"/>
      <c r="AH25" s="20"/>
      <c r="AI25" s="22"/>
      <c r="AJ25" s="20"/>
      <c r="AK25" s="22"/>
      <c r="AL25" s="20"/>
      <c r="AM25" s="22"/>
      <c r="AN25" s="20" t="s">
        <v>196</v>
      </c>
      <c r="AO25" s="20"/>
    </row>
    <row r="26" spans="1:41" s="23" customFormat="1" ht="43.5" x14ac:dyDescent="0.35">
      <c r="A26" s="20" t="s">
        <v>193</v>
      </c>
      <c r="B26" s="20" t="s">
        <v>81</v>
      </c>
      <c r="C26" s="21">
        <v>45995.637499999997</v>
      </c>
      <c r="D26" s="20" t="s">
        <v>82</v>
      </c>
      <c r="E26" s="22" t="s">
        <v>83</v>
      </c>
      <c r="F26" s="20" t="s">
        <v>84</v>
      </c>
      <c r="G26" s="22" t="s">
        <v>85</v>
      </c>
      <c r="H26" s="20" t="s">
        <v>86</v>
      </c>
      <c r="I26" s="22" t="s">
        <v>85</v>
      </c>
      <c r="J26" s="22" t="s">
        <v>87</v>
      </c>
      <c r="K26" s="22" t="s">
        <v>88</v>
      </c>
      <c r="L26" s="20" t="s">
        <v>89</v>
      </c>
      <c r="M26" s="22" t="s">
        <v>90</v>
      </c>
      <c r="N26" s="20" t="s">
        <v>91</v>
      </c>
      <c r="O26" s="22"/>
      <c r="P26" s="22"/>
      <c r="Q26" s="22" t="s">
        <v>194</v>
      </c>
      <c r="R26" s="20" t="s">
        <v>195</v>
      </c>
      <c r="S26" s="20" t="s">
        <v>182</v>
      </c>
      <c r="T26" s="20" t="s">
        <v>95</v>
      </c>
      <c r="U26" s="21">
        <v>45901</v>
      </c>
      <c r="V26" s="21"/>
      <c r="W26" s="22"/>
      <c r="X26" s="20"/>
      <c r="Y26" s="22"/>
      <c r="Z26" s="20"/>
      <c r="AA26" s="22"/>
      <c r="AB26" s="20"/>
      <c r="AC26" s="22"/>
      <c r="AD26" s="20"/>
      <c r="AE26" s="22"/>
      <c r="AF26" s="20"/>
      <c r="AG26" s="22"/>
      <c r="AH26" s="20"/>
      <c r="AI26" s="22"/>
      <c r="AJ26" s="20"/>
      <c r="AK26" s="22"/>
      <c r="AL26" s="20"/>
      <c r="AM26" s="22"/>
      <c r="AN26" s="20" t="s">
        <v>196</v>
      </c>
      <c r="AO26" s="20"/>
    </row>
    <row r="27" spans="1:41" s="23" customFormat="1" ht="43.5" x14ac:dyDescent="0.35">
      <c r="A27" s="20" t="s">
        <v>193</v>
      </c>
      <c r="B27" s="20" t="s">
        <v>142</v>
      </c>
      <c r="C27" s="21">
        <v>45995.638888888891</v>
      </c>
      <c r="D27" s="20" t="s">
        <v>82</v>
      </c>
      <c r="E27" s="22" t="s">
        <v>83</v>
      </c>
      <c r="F27" s="20" t="s">
        <v>84</v>
      </c>
      <c r="G27" s="22" t="s">
        <v>85</v>
      </c>
      <c r="H27" s="20" t="s">
        <v>86</v>
      </c>
      <c r="I27" s="22" t="s">
        <v>85</v>
      </c>
      <c r="J27" s="22" t="s">
        <v>87</v>
      </c>
      <c r="K27" s="22" t="s">
        <v>88</v>
      </c>
      <c r="L27" s="20" t="s">
        <v>143</v>
      </c>
      <c r="M27" s="22" t="s">
        <v>144</v>
      </c>
      <c r="N27" s="20" t="s">
        <v>145</v>
      </c>
      <c r="O27" s="22"/>
      <c r="P27" s="22"/>
      <c r="Q27" s="22" t="s">
        <v>194</v>
      </c>
      <c r="R27" s="20" t="s">
        <v>195</v>
      </c>
      <c r="S27" s="20" t="s">
        <v>182</v>
      </c>
      <c r="T27" s="20" t="s">
        <v>162</v>
      </c>
      <c r="U27" s="21">
        <v>43826</v>
      </c>
      <c r="V27" s="21">
        <v>45900</v>
      </c>
      <c r="W27" s="22"/>
      <c r="X27" s="20"/>
      <c r="Y27" s="22"/>
      <c r="Z27" s="20"/>
      <c r="AA27" s="22"/>
      <c r="AB27" s="20"/>
      <c r="AC27" s="22"/>
      <c r="AD27" s="20"/>
      <c r="AE27" s="22"/>
      <c r="AF27" s="20"/>
      <c r="AG27" s="22"/>
      <c r="AH27" s="20"/>
      <c r="AI27" s="22"/>
      <c r="AJ27" s="20"/>
      <c r="AK27" s="22"/>
      <c r="AL27" s="20"/>
      <c r="AM27" s="22"/>
      <c r="AN27" s="20" t="s">
        <v>196</v>
      </c>
      <c r="AO27" s="20"/>
    </row>
    <row r="28" spans="1:41" s="23" customFormat="1" ht="43.5" x14ac:dyDescent="0.35">
      <c r="A28" s="20" t="s">
        <v>193</v>
      </c>
      <c r="B28" s="20" t="s">
        <v>81</v>
      </c>
      <c r="C28" s="21">
        <v>45995.638888888891</v>
      </c>
      <c r="D28" s="20" t="s">
        <v>82</v>
      </c>
      <c r="E28" s="22" t="s">
        <v>83</v>
      </c>
      <c r="F28" s="20" t="s">
        <v>84</v>
      </c>
      <c r="G28" s="22" t="s">
        <v>85</v>
      </c>
      <c r="H28" s="20" t="s">
        <v>86</v>
      </c>
      <c r="I28" s="22" t="s">
        <v>85</v>
      </c>
      <c r="J28" s="22" t="s">
        <v>87</v>
      </c>
      <c r="K28" s="22" t="s">
        <v>88</v>
      </c>
      <c r="L28" s="20" t="s">
        <v>143</v>
      </c>
      <c r="M28" s="22" t="s">
        <v>144</v>
      </c>
      <c r="N28" s="20" t="s">
        <v>145</v>
      </c>
      <c r="O28" s="22"/>
      <c r="P28" s="22"/>
      <c r="Q28" s="22" t="s">
        <v>194</v>
      </c>
      <c r="R28" s="20" t="s">
        <v>195</v>
      </c>
      <c r="S28" s="20" t="s">
        <v>182</v>
      </c>
      <c r="T28" s="20" t="s">
        <v>95</v>
      </c>
      <c r="U28" s="21">
        <v>45901</v>
      </c>
      <c r="V28" s="21"/>
      <c r="W28" s="22"/>
      <c r="X28" s="20"/>
      <c r="Y28" s="22"/>
      <c r="Z28" s="20"/>
      <c r="AA28" s="22"/>
      <c r="AB28" s="20"/>
      <c r="AC28" s="22"/>
      <c r="AD28" s="20"/>
      <c r="AE28" s="22"/>
      <c r="AF28" s="20"/>
      <c r="AG28" s="22"/>
      <c r="AH28" s="20"/>
      <c r="AI28" s="22"/>
      <c r="AJ28" s="20"/>
      <c r="AK28" s="22"/>
      <c r="AL28" s="20"/>
      <c r="AM28" s="22"/>
      <c r="AN28" s="20" t="s">
        <v>196</v>
      </c>
      <c r="AO28" s="20"/>
    </row>
    <row r="29" spans="1:41" ht="43.5" x14ac:dyDescent="0.35">
      <c r="A29" s="13" t="s">
        <v>80</v>
      </c>
      <c r="B29" s="13" t="s">
        <v>81</v>
      </c>
      <c r="C29" s="14">
        <v>43894.628472222219</v>
      </c>
      <c r="D29" s="13" t="s">
        <v>82</v>
      </c>
      <c r="E29" s="15" t="s">
        <v>83</v>
      </c>
      <c r="F29" s="13" t="s">
        <v>84</v>
      </c>
      <c r="G29" s="15" t="s">
        <v>85</v>
      </c>
      <c r="H29" s="13" t="s">
        <v>86</v>
      </c>
      <c r="I29" s="15" t="s">
        <v>85</v>
      </c>
      <c r="J29" s="15" t="s">
        <v>87</v>
      </c>
      <c r="K29" s="15" t="s">
        <v>88</v>
      </c>
      <c r="L29" s="13" t="s">
        <v>89</v>
      </c>
      <c r="M29" s="15" t="s">
        <v>90</v>
      </c>
      <c r="N29" s="13" t="s">
        <v>91</v>
      </c>
      <c r="O29" s="15"/>
      <c r="P29" s="15"/>
      <c r="Q29" s="15" t="s">
        <v>201</v>
      </c>
      <c r="R29" s="13" t="s">
        <v>202</v>
      </c>
      <c r="S29" s="13" t="s">
        <v>182</v>
      </c>
      <c r="T29" s="13" t="s">
        <v>162</v>
      </c>
      <c r="U29" s="14">
        <v>43826</v>
      </c>
      <c r="V29" s="14"/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3"/>
    </row>
    <row r="30" spans="1:41" ht="43.5" x14ac:dyDescent="0.35">
      <c r="A30" s="13" t="s">
        <v>80</v>
      </c>
      <c r="B30" s="13" t="s">
        <v>81</v>
      </c>
      <c r="C30" s="14">
        <v>43894.615277777775</v>
      </c>
      <c r="D30" s="13" t="s">
        <v>82</v>
      </c>
      <c r="E30" s="15" t="s">
        <v>83</v>
      </c>
      <c r="F30" s="13" t="s">
        <v>84</v>
      </c>
      <c r="G30" s="15" t="s">
        <v>85</v>
      </c>
      <c r="H30" s="13" t="s">
        <v>86</v>
      </c>
      <c r="I30" s="15" t="s">
        <v>85</v>
      </c>
      <c r="J30" s="15" t="s">
        <v>87</v>
      </c>
      <c r="K30" s="15" t="s">
        <v>88</v>
      </c>
      <c r="L30" s="13" t="s">
        <v>143</v>
      </c>
      <c r="M30" s="15" t="s">
        <v>144</v>
      </c>
      <c r="N30" s="13" t="s">
        <v>145</v>
      </c>
      <c r="O30" s="15"/>
      <c r="P30" s="15"/>
      <c r="Q30" s="15" t="s">
        <v>201</v>
      </c>
      <c r="R30" s="13" t="s">
        <v>202</v>
      </c>
      <c r="S30" s="13" t="s">
        <v>182</v>
      </c>
      <c r="T30" s="13" t="s">
        <v>162</v>
      </c>
      <c r="U30" s="14">
        <v>43826</v>
      </c>
      <c r="V30" s="14"/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3"/>
    </row>
    <row r="31" spans="1:41" ht="145" x14ac:dyDescent="0.35">
      <c r="A31" s="13" t="s">
        <v>159</v>
      </c>
      <c r="B31" s="13" t="s">
        <v>81</v>
      </c>
      <c r="C31" s="14">
        <v>44959.599305555559</v>
      </c>
      <c r="D31" s="13" t="s">
        <v>82</v>
      </c>
      <c r="E31" s="15" t="s">
        <v>83</v>
      </c>
      <c r="F31" s="13" t="s">
        <v>84</v>
      </c>
      <c r="G31" s="15" t="s">
        <v>85</v>
      </c>
      <c r="H31" s="13" t="s">
        <v>203</v>
      </c>
      <c r="I31" s="15" t="s">
        <v>204</v>
      </c>
      <c r="J31" s="15" t="s">
        <v>205</v>
      </c>
      <c r="K31" s="15" t="s">
        <v>206</v>
      </c>
      <c r="L31" s="13" t="s">
        <v>207</v>
      </c>
      <c r="M31" s="15" t="s">
        <v>208</v>
      </c>
      <c r="N31" s="13" t="s">
        <v>91</v>
      </c>
      <c r="O31" s="15"/>
      <c r="P31" s="15"/>
      <c r="Q31" s="15" t="s">
        <v>92</v>
      </c>
      <c r="R31" s="13" t="s">
        <v>93</v>
      </c>
      <c r="S31" s="13" t="s">
        <v>94</v>
      </c>
      <c r="T31" s="13" t="s">
        <v>95</v>
      </c>
      <c r="U31" s="14">
        <v>44767</v>
      </c>
      <c r="V31" s="14"/>
      <c r="W31" s="15" t="s">
        <v>263</v>
      </c>
      <c r="X31" s="13" t="s">
        <v>264</v>
      </c>
      <c r="Y31" s="15" t="str">
        <f>VLOOKUP(X31,'Axe 2 Règles de gestion'!$D$2:$F$65,3, FALSE)</f>
        <v>Rémunération : L'agent perçoit son traitement brut, 80 % du régime indemnitaire dont il bénéficiait à la date du placement en congé sauf dérogation prévue par le texte et le cas échéant, l'indemnité de résidence et le supplément familial de traitement.</v>
      </c>
      <c r="Z31" s="13" t="s">
        <v>266</v>
      </c>
      <c r="AA31" s="15" t="str">
        <f>VLOOKUP(Z31,'Axe 2 Règles de gestion'!$D$2:$F$65,3, FALSE)</f>
        <v>Carrière : L'agent conserve ses droits à l'avancement d'échelon et à l'avancement de grade en totalité. La durée du congé est prise en compte comme service effectif.</v>
      </c>
      <c r="AB31" s="13" t="s">
        <v>268</v>
      </c>
      <c r="AC31" s="15" t="str">
        <f>VLOOKUP(AB31,'Axe 2 Règles de gestion'!$D$2:$F$65,3, FALSE)</f>
        <v>Congés annuels : L'agent conserve son droit à congé annuel.</v>
      </c>
      <c r="AD31" s="13" t="s">
        <v>270</v>
      </c>
      <c r="AE31" s="15" t="str">
        <f>VLOOKUP(AD31,'Axe 2 Règles de gestion'!$D$2:$F$65,3, FALSE)</f>
        <v>Congés maladie : L'agent conserve ses droits à congés de maladie ordinaire, de longue maladie, de longue durée, pour invalidité temporaire imputable au service.</v>
      </c>
      <c r="AF31" s="13" t="s">
        <v>272</v>
      </c>
      <c r="AG31" s="15" t="str">
        <f>VLOOKUP(AF31,'Axe 2 Règles de gestion'!$D$2:$F$65,3, FALSE)</f>
        <v>Retraite : Ce congé est considéré comme une période d'activité pour la retraite.</v>
      </c>
      <c r="AH31" s="13" t="s">
        <v>274</v>
      </c>
      <c r="AI31" s="15" t="str">
        <f>VLOOKUP(AH31,'Axe 2 Règles de gestion'!$D$2:$F$65,3, FALSE)</f>
        <v>Acte : Un acte administratif doit être produit.</v>
      </c>
      <c r="AJ31" s="13"/>
      <c r="AK31" s="15"/>
      <c r="AL31" s="13"/>
      <c r="AM31" s="15"/>
      <c r="AN31" s="13"/>
      <c r="AO31" s="13"/>
    </row>
    <row r="32" spans="1:41" ht="43.5" x14ac:dyDescent="0.35">
      <c r="A32" s="13" t="s">
        <v>159</v>
      </c>
      <c r="B32" s="13" t="s">
        <v>81</v>
      </c>
      <c r="C32" s="14">
        <v>44959.581250000003</v>
      </c>
      <c r="D32" s="13" t="s">
        <v>82</v>
      </c>
      <c r="E32" s="15" t="s">
        <v>83</v>
      </c>
      <c r="F32" s="13" t="s">
        <v>84</v>
      </c>
      <c r="G32" s="15" t="s">
        <v>85</v>
      </c>
      <c r="H32" s="13" t="s">
        <v>203</v>
      </c>
      <c r="I32" s="15" t="s">
        <v>204</v>
      </c>
      <c r="J32" s="15" t="s">
        <v>205</v>
      </c>
      <c r="K32" s="15" t="s">
        <v>206</v>
      </c>
      <c r="L32" s="13" t="s">
        <v>224</v>
      </c>
      <c r="M32" s="15" t="s">
        <v>225</v>
      </c>
      <c r="N32" s="13" t="s">
        <v>145</v>
      </c>
      <c r="O32" s="15"/>
      <c r="P32" s="15"/>
      <c r="Q32" s="15" t="s">
        <v>92</v>
      </c>
      <c r="R32" s="13" t="s">
        <v>93</v>
      </c>
      <c r="S32" s="13" t="s">
        <v>94</v>
      </c>
      <c r="T32" s="13" t="s">
        <v>95</v>
      </c>
      <c r="U32" s="14">
        <v>44767</v>
      </c>
      <c r="V32" s="14"/>
      <c r="W32" s="15"/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3"/>
    </row>
    <row r="33" spans="1:41" ht="43.5" x14ac:dyDescent="0.35">
      <c r="A33" s="13" t="s">
        <v>159</v>
      </c>
      <c r="B33" s="13" t="s">
        <v>81</v>
      </c>
      <c r="C33" s="14">
        <v>44959.574999999997</v>
      </c>
      <c r="D33" s="13" t="s">
        <v>82</v>
      </c>
      <c r="E33" s="15" t="s">
        <v>83</v>
      </c>
      <c r="F33" s="13" t="s">
        <v>84</v>
      </c>
      <c r="G33" s="15" t="s">
        <v>85</v>
      </c>
      <c r="H33" s="13" t="s">
        <v>203</v>
      </c>
      <c r="I33" s="15" t="s">
        <v>204</v>
      </c>
      <c r="J33" s="15" t="s">
        <v>205</v>
      </c>
      <c r="K33" s="15" t="s">
        <v>206</v>
      </c>
      <c r="L33" s="13" t="s">
        <v>207</v>
      </c>
      <c r="M33" s="15" t="s">
        <v>208</v>
      </c>
      <c r="N33" s="13" t="s">
        <v>91</v>
      </c>
      <c r="O33" s="15"/>
      <c r="P33" s="15"/>
      <c r="Q33" s="15" t="s">
        <v>160</v>
      </c>
      <c r="R33" s="13" t="s">
        <v>161</v>
      </c>
      <c r="S33" s="13" t="s">
        <v>94</v>
      </c>
      <c r="T33" s="13" t="s">
        <v>162</v>
      </c>
      <c r="U33" s="14">
        <v>44767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3"/>
    </row>
    <row r="34" spans="1:41" ht="43.5" x14ac:dyDescent="0.35">
      <c r="A34" s="13" t="s">
        <v>159</v>
      </c>
      <c r="B34" s="13" t="s">
        <v>81</v>
      </c>
      <c r="C34" s="14">
        <v>44959.582638888889</v>
      </c>
      <c r="D34" s="13" t="s">
        <v>82</v>
      </c>
      <c r="E34" s="15" t="s">
        <v>83</v>
      </c>
      <c r="F34" s="13" t="s">
        <v>84</v>
      </c>
      <c r="G34" s="15" t="s">
        <v>85</v>
      </c>
      <c r="H34" s="13" t="s">
        <v>203</v>
      </c>
      <c r="I34" s="15" t="s">
        <v>204</v>
      </c>
      <c r="J34" s="15" t="s">
        <v>205</v>
      </c>
      <c r="K34" s="15" t="s">
        <v>206</v>
      </c>
      <c r="L34" s="13" t="s">
        <v>224</v>
      </c>
      <c r="M34" s="15" t="s">
        <v>225</v>
      </c>
      <c r="N34" s="13" t="s">
        <v>145</v>
      </c>
      <c r="O34" s="15"/>
      <c r="P34" s="15"/>
      <c r="Q34" s="15" t="s">
        <v>160</v>
      </c>
      <c r="R34" s="13" t="s">
        <v>161</v>
      </c>
      <c r="S34" s="13" t="s">
        <v>94</v>
      </c>
      <c r="T34" s="13" t="s">
        <v>162</v>
      </c>
      <c r="U34" s="14">
        <v>44767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3"/>
    </row>
    <row r="35" spans="1:41" ht="87" x14ac:dyDescent="0.35">
      <c r="A35" s="13" t="s">
        <v>159</v>
      </c>
      <c r="B35" s="13" t="s">
        <v>81</v>
      </c>
      <c r="C35" s="14">
        <v>44959.599305555559</v>
      </c>
      <c r="D35" s="13" t="s">
        <v>82</v>
      </c>
      <c r="E35" s="15" t="s">
        <v>83</v>
      </c>
      <c r="F35" s="13" t="s">
        <v>84</v>
      </c>
      <c r="G35" s="15" t="s">
        <v>85</v>
      </c>
      <c r="H35" s="13" t="s">
        <v>203</v>
      </c>
      <c r="I35" s="15" t="s">
        <v>204</v>
      </c>
      <c r="J35" s="15" t="s">
        <v>205</v>
      </c>
      <c r="K35" s="15" t="s">
        <v>206</v>
      </c>
      <c r="L35" s="13" t="s">
        <v>207</v>
      </c>
      <c r="M35" s="15" t="s">
        <v>208</v>
      </c>
      <c r="N35" s="13" t="s">
        <v>91</v>
      </c>
      <c r="O35" s="15"/>
      <c r="P35" s="15"/>
      <c r="Q35" s="15" t="s">
        <v>163</v>
      </c>
      <c r="R35" s="13" t="s">
        <v>164</v>
      </c>
      <c r="S35" s="13" t="s">
        <v>94</v>
      </c>
      <c r="T35" s="13" t="s">
        <v>95</v>
      </c>
      <c r="U35" s="14">
        <v>44767</v>
      </c>
      <c r="V35" s="14"/>
      <c r="W35" s="15" t="s">
        <v>276</v>
      </c>
      <c r="X35" s="13" t="s">
        <v>277</v>
      </c>
      <c r="Y35" s="15" t="str">
        <f>VLOOKUP(X35,'Axe 2 Règles de gestion'!$D$2:$F$65,3, FALSE)</f>
        <v>Rémunération : L'agent perçoit sa rémunération, le cas échéant, l'indemnité de résidence et le supplément familial de traitement.</v>
      </c>
      <c r="Z35" s="13" t="s">
        <v>279</v>
      </c>
      <c r="AA35" s="15" t="str">
        <f>VLOOKUP(Z35,'Axe 2 Règles de gestion'!$D$2:$F$65,3, FALSE)</f>
        <v>Carrière : La période de congé de transition professionnelle est prise en compte comme service effectif.</v>
      </c>
      <c r="AB35" s="13" t="s">
        <v>268</v>
      </c>
      <c r="AC35" s="15" t="str">
        <f>VLOOKUP(AB35,'Axe 2 Règles de gestion'!$D$2:$F$65,3, FALSE)</f>
        <v>Congés annuels : L'agent conserve son droit à congé annuel.</v>
      </c>
      <c r="AD35" s="13" t="s">
        <v>281</v>
      </c>
      <c r="AE35" s="15" t="str">
        <f>VLOOKUP(AD35,'Axe 2 Règles de gestion'!$D$2:$F$65,3, FALSE)</f>
        <v>Congés maladie : L'agent conserve ses droits à congés de maladie ordinaire, de grave maladie, pour accident du travail ou maladie professionnelle.</v>
      </c>
      <c r="AF35" s="13" t="s">
        <v>272</v>
      </c>
      <c r="AG35" s="15" t="str">
        <f>VLOOKUP(AF35,'Axe 2 Règles de gestion'!$D$2:$F$65,3, FALSE)</f>
        <v>Retraite : Ce congé est considéré comme une période d'activité pour la retraite.</v>
      </c>
      <c r="AH35" s="13" t="s">
        <v>274</v>
      </c>
      <c r="AI35" s="15" t="str">
        <f>VLOOKUP(AH35,'Axe 2 Règles de gestion'!$D$2:$F$65,3, FALSE)</f>
        <v>Acte : Un acte administratif doit être produit.</v>
      </c>
      <c r="AJ35" s="13"/>
      <c r="AK35" s="15"/>
      <c r="AL35" s="13"/>
      <c r="AM35" s="15"/>
      <c r="AN35" s="13"/>
      <c r="AO35" s="13"/>
    </row>
    <row r="36" spans="1:41" ht="43.5" x14ac:dyDescent="0.35">
      <c r="A36" s="13" t="s">
        <v>159</v>
      </c>
      <c r="B36" s="13" t="s">
        <v>81</v>
      </c>
      <c r="C36" s="14">
        <v>44959.583333333336</v>
      </c>
      <c r="D36" s="13" t="s">
        <v>82</v>
      </c>
      <c r="E36" s="15" t="s">
        <v>83</v>
      </c>
      <c r="F36" s="13" t="s">
        <v>84</v>
      </c>
      <c r="G36" s="15" t="s">
        <v>85</v>
      </c>
      <c r="H36" s="13" t="s">
        <v>203</v>
      </c>
      <c r="I36" s="15" t="s">
        <v>204</v>
      </c>
      <c r="J36" s="15" t="s">
        <v>205</v>
      </c>
      <c r="K36" s="15" t="s">
        <v>206</v>
      </c>
      <c r="L36" s="13" t="s">
        <v>224</v>
      </c>
      <c r="M36" s="15" t="s">
        <v>225</v>
      </c>
      <c r="N36" s="13" t="s">
        <v>145</v>
      </c>
      <c r="O36" s="15"/>
      <c r="P36" s="15"/>
      <c r="Q36" s="15" t="s">
        <v>163</v>
      </c>
      <c r="R36" s="13" t="s">
        <v>164</v>
      </c>
      <c r="S36" s="13" t="s">
        <v>94</v>
      </c>
      <c r="T36" s="13" t="s">
        <v>95</v>
      </c>
      <c r="U36" s="14">
        <v>44767</v>
      </c>
      <c r="V36" s="14"/>
      <c r="W36" s="15"/>
      <c r="X36" s="13"/>
      <c r="Y36" s="15"/>
      <c r="Z36" s="13"/>
      <c r="AA36" s="15"/>
      <c r="AB36" s="13"/>
      <c r="AC36" s="15"/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3"/>
    </row>
    <row r="37" spans="1:41" s="23" customFormat="1" ht="145" x14ac:dyDescent="0.35">
      <c r="A37" s="20" t="s">
        <v>193</v>
      </c>
      <c r="B37" s="20" t="s">
        <v>142</v>
      </c>
      <c r="C37" s="21">
        <v>45993.489583333336</v>
      </c>
      <c r="D37" s="20" t="s">
        <v>82</v>
      </c>
      <c r="E37" s="22" t="s">
        <v>83</v>
      </c>
      <c r="F37" s="20" t="s">
        <v>84</v>
      </c>
      <c r="G37" s="22" t="s">
        <v>85</v>
      </c>
      <c r="H37" s="20" t="s">
        <v>203</v>
      </c>
      <c r="I37" s="22" t="s">
        <v>204</v>
      </c>
      <c r="J37" s="22" t="s">
        <v>205</v>
      </c>
      <c r="K37" s="22" t="s">
        <v>206</v>
      </c>
      <c r="L37" s="20" t="s">
        <v>207</v>
      </c>
      <c r="M37" s="22" t="s">
        <v>208</v>
      </c>
      <c r="N37" s="20" t="s">
        <v>91</v>
      </c>
      <c r="O37" s="22"/>
      <c r="P37" s="22"/>
      <c r="Q37" s="22" t="s">
        <v>172</v>
      </c>
      <c r="R37" s="20" t="s">
        <v>173</v>
      </c>
      <c r="S37" s="20" t="s">
        <v>94</v>
      </c>
      <c r="T37" s="20" t="s">
        <v>95</v>
      </c>
      <c r="U37" s="21">
        <v>44767</v>
      </c>
      <c r="V37" s="21"/>
      <c r="W37" s="22" t="s">
        <v>283</v>
      </c>
      <c r="X37" s="20" t="s">
        <v>264</v>
      </c>
      <c r="Y37" s="22" t="str">
        <f>VLOOKUP(X37,'Axe 2 Règles de gestion'!$D$2:$F$65,3, FALSE)</f>
        <v>Rémunération : L'agent perçoit son traitement brut, 80 % du régime indemnitaire dont il bénéficiait à la date du placement en congé sauf dérogation prévue par le texte et le cas échéant, l'indemnité de résidence et le supplément familial de traitement.</v>
      </c>
      <c r="Z37" s="20" t="s">
        <v>284</v>
      </c>
      <c r="AA37" s="22" t="str">
        <f>VLOOKUP(Z37,'Axe 2 Règles de gestion'!$D$2:$F$65,3, FALSE)</f>
        <v>Carrière : L'agent conserve ses droits à l'avancement d'échelon en totalité. La durée du congé est prise en compte comme service effectif.</v>
      </c>
      <c r="AB37" s="20" t="s">
        <v>286</v>
      </c>
      <c r="AC37" s="22" t="str">
        <f>VLOOKUP(AB37,'Axe 2 Règles de gestion'!$D$2:$F$65,3, FALSE)</f>
        <v>Stage : La durée du stage est prolongée pour la période du congés excédant 1/10ème de la durée statutaire du stage. Pour un stage de 1 an, les jours de congé pris à partir du 37ème jour repoussent d'autant la date de fin de stage.</v>
      </c>
      <c r="AD37" s="20" t="s">
        <v>288</v>
      </c>
      <c r="AE37" s="22" t="str">
        <f>VLOOKUP(AD37,'Axe 2 Règles de gestion'!$D$2:$F$65,3, FALSE)</f>
        <v>Titularisation : Si ce congé a entrainé une prolongation du stage, la titularisation de l'agent est repoussée au lendemain de la date de fin de stage.</v>
      </c>
      <c r="AF37" s="20" t="s">
        <v>268</v>
      </c>
      <c r="AG37" s="22" t="str">
        <f>VLOOKUP(AF37,'Axe 2 Règles de gestion'!$D$2:$F$65,3, FALSE)</f>
        <v>Congés annuels : L'agent conserve son droit à congé annuel.</v>
      </c>
      <c r="AH37" s="20" t="s">
        <v>270</v>
      </c>
      <c r="AI37" s="22" t="str">
        <f>VLOOKUP(AH37,'Axe 2 Règles de gestion'!$D$2:$F$65,3, FALSE)</f>
        <v>Congés maladie : L'agent conserve ses droits à congés de maladie ordinaire, de longue maladie, de longue durée, pour invalidité temporaire imputable au service.</v>
      </c>
      <c r="AJ37" s="20" t="s">
        <v>272</v>
      </c>
      <c r="AK37" s="22" t="str">
        <f>VLOOKUP(AJ37,'Axe 2 Règles de gestion'!$D$2:$F$65,3, FALSE)</f>
        <v>Retraite : Ce congé est considéré comme une période d'activité pour la retraite.</v>
      </c>
      <c r="AL37" s="20" t="s">
        <v>274</v>
      </c>
      <c r="AM37" s="22" t="str">
        <f>VLOOKUP(AL37,'Axe 2 Règles de gestion'!$D$2:$F$65,3, FALSE)</f>
        <v>Acte : Un acte administratif doit être produit.</v>
      </c>
      <c r="AN37" s="20" t="s">
        <v>240</v>
      </c>
      <c r="AO37" s="20"/>
    </row>
    <row r="38" spans="1:41" s="23" customFormat="1" ht="43.5" x14ac:dyDescent="0.35">
      <c r="A38" s="20" t="s">
        <v>193</v>
      </c>
      <c r="B38" s="20" t="s">
        <v>142</v>
      </c>
      <c r="C38" s="21">
        <v>45993.460416666669</v>
      </c>
      <c r="D38" s="20" t="s">
        <v>82</v>
      </c>
      <c r="E38" s="22" t="s">
        <v>83</v>
      </c>
      <c r="F38" s="20" t="s">
        <v>84</v>
      </c>
      <c r="G38" s="22" t="s">
        <v>85</v>
      </c>
      <c r="H38" s="20" t="s">
        <v>203</v>
      </c>
      <c r="I38" s="22" t="s">
        <v>204</v>
      </c>
      <c r="J38" s="22" t="s">
        <v>205</v>
      </c>
      <c r="K38" s="22" t="s">
        <v>206</v>
      </c>
      <c r="L38" s="20" t="s">
        <v>224</v>
      </c>
      <c r="M38" s="22" t="s">
        <v>225</v>
      </c>
      <c r="N38" s="20" t="s">
        <v>145</v>
      </c>
      <c r="O38" s="22"/>
      <c r="P38" s="22"/>
      <c r="Q38" s="22" t="s">
        <v>172</v>
      </c>
      <c r="R38" s="20" t="s">
        <v>173</v>
      </c>
      <c r="S38" s="20" t="s">
        <v>94</v>
      </c>
      <c r="T38" s="20" t="s">
        <v>95</v>
      </c>
      <c r="U38" s="21">
        <v>44767</v>
      </c>
      <c r="V38" s="21"/>
      <c r="W38" s="22"/>
      <c r="X38" s="20"/>
      <c r="Y38" s="22"/>
      <c r="Z38" s="20"/>
      <c r="AA38" s="22"/>
      <c r="AB38" s="20"/>
      <c r="AC38" s="22"/>
      <c r="AD38" s="20"/>
      <c r="AE38" s="22"/>
      <c r="AF38" s="20"/>
      <c r="AG38" s="22"/>
      <c r="AH38" s="20"/>
      <c r="AI38" s="22"/>
      <c r="AJ38" s="20"/>
      <c r="AK38" s="22"/>
      <c r="AL38" s="20"/>
      <c r="AM38" s="22"/>
      <c r="AN38" s="20" t="s">
        <v>240</v>
      </c>
      <c r="AO38" s="20"/>
    </row>
    <row r="39" spans="1:41" ht="101.5" x14ac:dyDescent="0.35">
      <c r="A39" s="13" t="s">
        <v>159</v>
      </c>
      <c r="B39" s="13" t="s">
        <v>81</v>
      </c>
      <c r="C39" s="14">
        <v>44959.601388888892</v>
      </c>
      <c r="D39" s="13" t="s">
        <v>82</v>
      </c>
      <c r="E39" s="15" t="s">
        <v>83</v>
      </c>
      <c r="F39" s="13" t="s">
        <v>84</v>
      </c>
      <c r="G39" s="15" t="s">
        <v>85</v>
      </c>
      <c r="H39" s="13" t="s">
        <v>203</v>
      </c>
      <c r="I39" s="15" t="s">
        <v>204</v>
      </c>
      <c r="J39" s="15" t="s">
        <v>205</v>
      </c>
      <c r="K39" s="15" t="s">
        <v>206</v>
      </c>
      <c r="L39" s="13" t="s">
        <v>207</v>
      </c>
      <c r="M39" s="15" t="s">
        <v>208</v>
      </c>
      <c r="N39" s="13" t="s">
        <v>91</v>
      </c>
      <c r="O39" s="15"/>
      <c r="P39" s="15"/>
      <c r="Q39" s="15" t="s">
        <v>177</v>
      </c>
      <c r="R39" s="13" t="s">
        <v>178</v>
      </c>
      <c r="S39" s="13" t="s">
        <v>94</v>
      </c>
      <c r="T39" s="13" t="s">
        <v>95</v>
      </c>
      <c r="U39" s="14">
        <v>44767</v>
      </c>
      <c r="V39" s="14"/>
      <c r="W39" s="15" t="s">
        <v>290</v>
      </c>
      <c r="X39" s="13" t="s">
        <v>291</v>
      </c>
      <c r="Y39" s="15" t="str">
        <f>VLOOKUP(X39,'Axe 2 Règles de gestion'!$D$2:$F$65,3, FALSE)</f>
        <v>Rémunération : L'agent perçoit son salaire.</v>
      </c>
      <c r="Z39" s="13" t="s">
        <v>279</v>
      </c>
      <c r="AA39" s="15" t="str">
        <f>VLOOKUP(Z39,'Axe 2 Règles de gestion'!$D$2:$F$65,3, FALSE)</f>
        <v>Carrière : La période de congé de transition professionnelle est prise en compte comme service effectif.</v>
      </c>
      <c r="AB39" s="13" t="s">
        <v>268</v>
      </c>
      <c r="AC39" s="15" t="str">
        <f>VLOOKUP(AB39,'Axe 2 Règles de gestion'!$D$2:$F$65,3, FALSE)</f>
        <v>Congés annuels : L'agent conserve son droit à congé annuel.</v>
      </c>
      <c r="AD39" s="13" t="s">
        <v>293</v>
      </c>
      <c r="AE39" s="15" t="str">
        <f>VLOOKUP(AD39,'Axe 2 Règles de gestion'!$D$2:$F$65,3, FALSE)</f>
        <v>Congés maladie : L'agent conserve ses droits à congés de maladie ordinaire, de longue maladie, pour accident de service ou maladie professionnelle, de longue durée.</v>
      </c>
      <c r="AF39" s="13" t="s">
        <v>295</v>
      </c>
      <c r="AG39" s="15" t="str">
        <f>VLOOKUP(AF39,'Axe 2 Règles de gestion'!$D$2:$F$65,3, FALSE)</f>
        <v>Retraite : La durée de ce congé est prise en compte pour la constitution du droit à pension et la liquidation de celle-ci.</v>
      </c>
      <c r="AH39" s="13" t="s">
        <v>274</v>
      </c>
      <c r="AI39" s="15" t="str">
        <f>VLOOKUP(AH39,'Axe 2 Règles de gestion'!$D$2:$F$65,3, FALSE)</f>
        <v>Acte : Un acte administratif doit être produit.</v>
      </c>
      <c r="AJ39" s="13"/>
      <c r="AK39" s="15"/>
      <c r="AL39" s="13"/>
      <c r="AM39" s="15"/>
      <c r="AN39" s="13"/>
      <c r="AO39" s="13"/>
    </row>
    <row r="40" spans="1:41" ht="43.5" x14ac:dyDescent="0.35">
      <c r="A40" s="13" t="s">
        <v>159</v>
      </c>
      <c r="B40" s="13" t="s">
        <v>81</v>
      </c>
      <c r="C40" s="14">
        <v>44959.581944444442</v>
      </c>
      <c r="D40" s="13" t="s">
        <v>82</v>
      </c>
      <c r="E40" s="15" t="s">
        <v>83</v>
      </c>
      <c r="F40" s="13" t="s">
        <v>84</v>
      </c>
      <c r="G40" s="15" t="s">
        <v>85</v>
      </c>
      <c r="H40" s="13" t="s">
        <v>203</v>
      </c>
      <c r="I40" s="15" t="s">
        <v>204</v>
      </c>
      <c r="J40" s="15" t="s">
        <v>205</v>
      </c>
      <c r="K40" s="15" t="s">
        <v>206</v>
      </c>
      <c r="L40" s="13" t="s">
        <v>224</v>
      </c>
      <c r="M40" s="15" t="s">
        <v>225</v>
      </c>
      <c r="N40" s="13" t="s">
        <v>145</v>
      </c>
      <c r="O40" s="15"/>
      <c r="P40" s="15"/>
      <c r="Q40" s="15" t="s">
        <v>177</v>
      </c>
      <c r="R40" s="13" t="s">
        <v>178</v>
      </c>
      <c r="S40" s="13" t="s">
        <v>94</v>
      </c>
      <c r="T40" s="13" t="s">
        <v>95</v>
      </c>
      <c r="U40" s="14">
        <v>44767</v>
      </c>
      <c r="V40" s="14"/>
      <c r="W40" s="15"/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3"/>
    </row>
    <row r="41" spans="1:41" ht="43.5" x14ac:dyDescent="0.35">
      <c r="A41" s="13" t="s">
        <v>159</v>
      </c>
      <c r="B41" s="13" t="s">
        <v>81</v>
      </c>
      <c r="C41" s="14">
        <v>44959.545138888891</v>
      </c>
      <c r="D41" s="13" t="s">
        <v>82</v>
      </c>
      <c r="E41" s="15" t="s">
        <v>83</v>
      </c>
      <c r="F41" s="13" t="s">
        <v>84</v>
      </c>
      <c r="G41" s="15" t="s">
        <v>85</v>
      </c>
      <c r="H41" s="13" t="s">
        <v>203</v>
      </c>
      <c r="I41" s="15" t="s">
        <v>204</v>
      </c>
      <c r="J41" s="15" t="s">
        <v>205</v>
      </c>
      <c r="K41" s="15" t="s">
        <v>206</v>
      </c>
      <c r="L41" s="13" t="s">
        <v>207</v>
      </c>
      <c r="M41" s="15" t="s">
        <v>208</v>
      </c>
      <c r="N41" s="13" t="s">
        <v>91</v>
      </c>
      <c r="O41" s="15"/>
      <c r="P41" s="15"/>
      <c r="Q41" s="15" t="s">
        <v>180</v>
      </c>
      <c r="R41" s="13" t="s">
        <v>181</v>
      </c>
      <c r="S41" s="13" t="s">
        <v>182</v>
      </c>
      <c r="T41" s="13" t="s">
        <v>162</v>
      </c>
      <c r="U41" s="14">
        <v>44767</v>
      </c>
      <c r="V41" s="14"/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3"/>
    </row>
    <row r="42" spans="1:41" ht="43.5" x14ac:dyDescent="0.35">
      <c r="A42" s="13" t="s">
        <v>159</v>
      </c>
      <c r="B42" s="13" t="s">
        <v>81</v>
      </c>
      <c r="C42" s="14">
        <v>44959.546527777777</v>
      </c>
      <c r="D42" s="13" t="s">
        <v>82</v>
      </c>
      <c r="E42" s="15" t="s">
        <v>83</v>
      </c>
      <c r="F42" s="13" t="s">
        <v>84</v>
      </c>
      <c r="G42" s="15" t="s">
        <v>85</v>
      </c>
      <c r="H42" s="13" t="s">
        <v>203</v>
      </c>
      <c r="I42" s="15" t="s">
        <v>204</v>
      </c>
      <c r="J42" s="15" t="s">
        <v>205</v>
      </c>
      <c r="K42" s="15" t="s">
        <v>206</v>
      </c>
      <c r="L42" s="13" t="s">
        <v>224</v>
      </c>
      <c r="M42" s="15" t="s">
        <v>225</v>
      </c>
      <c r="N42" s="13" t="s">
        <v>145</v>
      </c>
      <c r="O42" s="15"/>
      <c r="P42" s="15"/>
      <c r="Q42" s="15" t="s">
        <v>180</v>
      </c>
      <c r="R42" s="13" t="s">
        <v>181</v>
      </c>
      <c r="S42" s="13" t="s">
        <v>182</v>
      </c>
      <c r="T42" s="13" t="s">
        <v>162</v>
      </c>
      <c r="U42" s="14">
        <v>44767</v>
      </c>
      <c r="V42" s="14"/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3"/>
    </row>
    <row r="43" spans="1:41" ht="43.5" x14ac:dyDescent="0.35">
      <c r="A43" s="13" t="s">
        <v>159</v>
      </c>
      <c r="B43" s="13" t="s">
        <v>81</v>
      </c>
      <c r="C43" s="14">
        <v>44959.545138888891</v>
      </c>
      <c r="D43" s="13" t="s">
        <v>82</v>
      </c>
      <c r="E43" s="15" t="s">
        <v>83</v>
      </c>
      <c r="F43" s="13" t="s">
        <v>84</v>
      </c>
      <c r="G43" s="15" t="s">
        <v>85</v>
      </c>
      <c r="H43" s="13" t="s">
        <v>203</v>
      </c>
      <c r="I43" s="15" t="s">
        <v>204</v>
      </c>
      <c r="J43" s="15" t="s">
        <v>205</v>
      </c>
      <c r="K43" s="15" t="s">
        <v>206</v>
      </c>
      <c r="L43" s="13" t="s">
        <v>207</v>
      </c>
      <c r="M43" s="15" t="s">
        <v>208</v>
      </c>
      <c r="N43" s="13" t="s">
        <v>91</v>
      </c>
      <c r="O43" s="15"/>
      <c r="P43" s="15"/>
      <c r="Q43" s="15" t="s">
        <v>183</v>
      </c>
      <c r="R43" s="13" t="s">
        <v>184</v>
      </c>
      <c r="S43" s="13" t="s">
        <v>182</v>
      </c>
      <c r="T43" s="13" t="s">
        <v>162</v>
      </c>
      <c r="U43" s="14">
        <v>44767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3"/>
    </row>
    <row r="44" spans="1:41" ht="43.5" x14ac:dyDescent="0.35">
      <c r="A44" s="13" t="s">
        <v>159</v>
      </c>
      <c r="B44" s="13" t="s">
        <v>81</v>
      </c>
      <c r="C44" s="14">
        <v>44959.546527777777</v>
      </c>
      <c r="D44" s="13" t="s">
        <v>82</v>
      </c>
      <c r="E44" s="15" t="s">
        <v>83</v>
      </c>
      <c r="F44" s="13" t="s">
        <v>84</v>
      </c>
      <c r="G44" s="15" t="s">
        <v>85</v>
      </c>
      <c r="H44" s="13" t="s">
        <v>203</v>
      </c>
      <c r="I44" s="15" t="s">
        <v>204</v>
      </c>
      <c r="J44" s="15" t="s">
        <v>205</v>
      </c>
      <c r="K44" s="15" t="s">
        <v>206</v>
      </c>
      <c r="L44" s="13" t="s">
        <v>224</v>
      </c>
      <c r="M44" s="15" t="s">
        <v>225</v>
      </c>
      <c r="N44" s="13" t="s">
        <v>145</v>
      </c>
      <c r="O44" s="15"/>
      <c r="P44" s="15"/>
      <c r="Q44" s="15" t="s">
        <v>183</v>
      </c>
      <c r="R44" s="13" t="s">
        <v>184</v>
      </c>
      <c r="S44" s="13" t="s">
        <v>182</v>
      </c>
      <c r="T44" s="13" t="s">
        <v>162</v>
      </c>
      <c r="U44" s="14">
        <v>44767</v>
      </c>
      <c r="V44" s="14"/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/>
      <c r="AO44" s="13"/>
    </row>
    <row r="45" spans="1:41" ht="43.5" x14ac:dyDescent="0.35">
      <c r="A45" s="13" t="s">
        <v>159</v>
      </c>
      <c r="B45" s="13" t="s">
        <v>81</v>
      </c>
      <c r="C45" s="14">
        <v>44959.545138888891</v>
      </c>
      <c r="D45" s="13" t="s">
        <v>82</v>
      </c>
      <c r="E45" s="15" t="s">
        <v>83</v>
      </c>
      <c r="F45" s="13" t="s">
        <v>84</v>
      </c>
      <c r="G45" s="15" t="s">
        <v>85</v>
      </c>
      <c r="H45" s="13" t="s">
        <v>203</v>
      </c>
      <c r="I45" s="15" t="s">
        <v>204</v>
      </c>
      <c r="J45" s="15" t="s">
        <v>205</v>
      </c>
      <c r="K45" s="15" t="s">
        <v>206</v>
      </c>
      <c r="L45" s="13" t="s">
        <v>207</v>
      </c>
      <c r="M45" s="15" t="s">
        <v>208</v>
      </c>
      <c r="N45" s="13" t="s">
        <v>91</v>
      </c>
      <c r="O45" s="15"/>
      <c r="P45" s="15"/>
      <c r="Q45" s="15" t="s">
        <v>185</v>
      </c>
      <c r="R45" s="13" t="s">
        <v>186</v>
      </c>
      <c r="S45" s="13" t="s">
        <v>182</v>
      </c>
      <c r="T45" s="13" t="s">
        <v>162</v>
      </c>
      <c r="U45" s="14">
        <v>44767</v>
      </c>
      <c r="V45" s="14"/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/>
      <c r="AO45" s="13"/>
    </row>
    <row r="46" spans="1:41" ht="43.5" x14ac:dyDescent="0.35">
      <c r="A46" s="13" t="s">
        <v>159</v>
      </c>
      <c r="B46" s="13" t="s">
        <v>81</v>
      </c>
      <c r="C46" s="14">
        <v>44959.546527777777</v>
      </c>
      <c r="D46" s="13" t="s">
        <v>82</v>
      </c>
      <c r="E46" s="15" t="s">
        <v>83</v>
      </c>
      <c r="F46" s="13" t="s">
        <v>84</v>
      </c>
      <c r="G46" s="15" t="s">
        <v>85</v>
      </c>
      <c r="H46" s="13" t="s">
        <v>203</v>
      </c>
      <c r="I46" s="15" t="s">
        <v>204</v>
      </c>
      <c r="J46" s="15" t="s">
        <v>205</v>
      </c>
      <c r="K46" s="15" t="s">
        <v>206</v>
      </c>
      <c r="L46" s="13" t="s">
        <v>224</v>
      </c>
      <c r="M46" s="15" t="s">
        <v>225</v>
      </c>
      <c r="N46" s="13" t="s">
        <v>145</v>
      </c>
      <c r="O46" s="15"/>
      <c r="P46" s="15"/>
      <c r="Q46" s="15" t="s">
        <v>185</v>
      </c>
      <c r="R46" s="13" t="s">
        <v>186</v>
      </c>
      <c r="S46" s="13" t="s">
        <v>182</v>
      </c>
      <c r="T46" s="13" t="s">
        <v>162</v>
      </c>
      <c r="U46" s="14">
        <v>44767</v>
      </c>
      <c r="V46" s="14"/>
      <c r="W46" s="15"/>
      <c r="X46" s="13"/>
      <c r="Y46" s="15"/>
      <c r="Z46" s="13"/>
      <c r="AA46" s="15"/>
      <c r="AB46" s="13"/>
      <c r="AC46" s="15"/>
      <c r="AD46" s="13"/>
      <c r="AE46" s="15"/>
      <c r="AF46" s="13"/>
      <c r="AG46" s="15"/>
      <c r="AH46" s="13"/>
      <c r="AI46" s="15"/>
      <c r="AJ46" s="13"/>
      <c r="AK46" s="15"/>
      <c r="AL46" s="13"/>
      <c r="AM46" s="15"/>
      <c r="AN46" s="13"/>
      <c r="AO46" s="13"/>
    </row>
    <row r="47" spans="1:41" ht="43.5" x14ac:dyDescent="0.35">
      <c r="A47" s="13" t="s">
        <v>159</v>
      </c>
      <c r="B47" s="13" t="s">
        <v>81</v>
      </c>
      <c r="C47" s="14">
        <v>44959.545138888891</v>
      </c>
      <c r="D47" s="13" t="s">
        <v>82</v>
      </c>
      <c r="E47" s="15" t="s">
        <v>83</v>
      </c>
      <c r="F47" s="13" t="s">
        <v>84</v>
      </c>
      <c r="G47" s="15" t="s">
        <v>85</v>
      </c>
      <c r="H47" s="13" t="s">
        <v>203</v>
      </c>
      <c r="I47" s="15" t="s">
        <v>204</v>
      </c>
      <c r="J47" s="15" t="s">
        <v>205</v>
      </c>
      <c r="K47" s="15" t="s">
        <v>206</v>
      </c>
      <c r="L47" s="13" t="s">
        <v>207</v>
      </c>
      <c r="M47" s="15" t="s">
        <v>208</v>
      </c>
      <c r="N47" s="13" t="s">
        <v>91</v>
      </c>
      <c r="O47" s="15"/>
      <c r="P47" s="15"/>
      <c r="Q47" s="15" t="s">
        <v>187</v>
      </c>
      <c r="R47" s="13" t="s">
        <v>188</v>
      </c>
      <c r="S47" s="13" t="s">
        <v>182</v>
      </c>
      <c r="T47" s="13" t="s">
        <v>162</v>
      </c>
      <c r="U47" s="14">
        <v>44767</v>
      </c>
      <c r="V47" s="14"/>
      <c r="W47" s="15"/>
      <c r="X47" s="13"/>
      <c r="Y47" s="15"/>
      <c r="Z47" s="13"/>
      <c r="AA47" s="15"/>
      <c r="AB47" s="13"/>
      <c r="AC47" s="15"/>
      <c r="AD47" s="13"/>
      <c r="AE47" s="15"/>
      <c r="AF47" s="13"/>
      <c r="AG47" s="15"/>
      <c r="AH47" s="13"/>
      <c r="AI47" s="15"/>
      <c r="AJ47" s="13"/>
      <c r="AK47" s="15"/>
      <c r="AL47" s="13"/>
      <c r="AM47" s="15"/>
      <c r="AN47" s="13"/>
      <c r="AO47" s="13"/>
    </row>
    <row r="48" spans="1:41" ht="43.5" x14ac:dyDescent="0.35">
      <c r="A48" s="13" t="s">
        <v>159</v>
      </c>
      <c r="B48" s="13" t="s">
        <v>81</v>
      </c>
      <c r="C48" s="14">
        <v>44959.547222222223</v>
      </c>
      <c r="D48" s="13" t="s">
        <v>82</v>
      </c>
      <c r="E48" s="15" t="s">
        <v>83</v>
      </c>
      <c r="F48" s="13" t="s">
        <v>84</v>
      </c>
      <c r="G48" s="15" t="s">
        <v>85</v>
      </c>
      <c r="H48" s="13" t="s">
        <v>203</v>
      </c>
      <c r="I48" s="15" t="s">
        <v>204</v>
      </c>
      <c r="J48" s="15" t="s">
        <v>205</v>
      </c>
      <c r="K48" s="15" t="s">
        <v>206</v>
      </c>
      <c r="L48" s="13" t="s">
        <v>224</v>
      </c>
      <c r="M48" s="15" t="s">
        <v>225</v>
      </c>
      <c r="N48" s="13" t="s">
        <v>145</v>
      </c>
      <c r="O48" s="15"/>
      <c r="P48" s="15"/>
      <c r="Q48" s="15" t="s">
        <v>187</v>
      </c>
      <c r="R48" s="13" t="s">
        <v>188</v>
      </c>
      <c r="S48" s="13" t="s">
        <v>182</v>
      </c>
      <c r="T48" s="13" t="s">
        <v>162</v>
      </c>
      <c r="U48" s="14">
        <v>44767</v>
      </c>
      <c r="V48" s="14"/>
      <c r="W48" s="15"/>
      <c r="X48" s="13"/>
      <c r="Y48" s="15"/>
      <c r="Z48" s="13"/>
      <c r="AA48" s="15"/>
      <c r="AB48" s="13"/>
      <c r="AC48" s="15"/>
      <c r="AD48" s="13"/>
      <c r="AE48" s="15"/>
      <c r="AF48" s="13"/>
      <c r="AG48" s="15"/>
      <c r="AH48" s="13"/>
      <c r="AI48" s="15"/>
      <c r="AJ48" s="13"/>
      <c r="AK48" s="15"/>
      <c r="AL48" s="13"/>
      <c r="AM48" s="15"/>
      <c r="AN48" s="13"/>
      <c r="AO48" s="13"/>
    </row>
    <row r="49" spans="1:41" ht="43.5" x14ac:dyDescent="0.35">
      <c r="A49" s="13" t="s">
        <v>159</v>
      </c>
      <c r="B49" s="13" t="s">
        <v>81</v>
      </c>
      <c r="C49" s="14">
        <v>44959.54583333333</v>
      </c>
      <c r="D49" s="13" t="s">
        <v>82</v>
      </c>
      <c r="E49" s="15" t="s">
        <v>83</v>
      </c>
      <c r="F49" s="13" t="s">
        <v>84</v>
      </c>
      <c r="G49" s="15" t="s">
        <v>85</v>
      </c>
      <c r="H49" s="13" t="s">
        <v>203</v>
      </c>
      <c r="I49" s="15" t="s">
        <v>204</v>
      </c>
      <c r="J49" s="15" t="s">
        <v>205</v>
      </c>
      <c r="K49" s="15" t="s">
        <v>206</v>
      </c>
      <c r="L49" s="13" t="s">
        <v>207</v>
      </c>
      <c r="M49" s="15" t="s">
        <v>208</v>
      </c>
      <c r="N49" s="13" t="s">
        <v>91</v>
      </c>
      <c r="O49" s="15"/>
      <c r="P49" s="15"/>
      <c r="Q49" s="15" t="s">
        <v>189</v>
      </c>
      <c r="R49" s="13" t="s">
        <v>190</v>
      </c>
      <c r="S49" s="13" t="s">
        <v>182</v>
      </c>
      <c r="T49" s="13" t="s">
        <v>162</v>
      </c>
      <c r="U49" s="14">
        <v>44767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/>
      <c r="AO49" s="13"/>
    </row>
    <row r="50" spans="1:41" ht="43.5" x14ac:dyDescent="0.35">
      <c r="A50" s="13" t="s">
        <v>159</v>
      </c>
      <c r="B50" s="13" t="s">
        <v>81</v>
      </c>
      <c r="C50" s="14">
        <v>44959.547222222223</v>
      </c>
      <c r="D50" s="13" t="s">
        <v>82</v>
      </c>
      <c r="E50" s="15" t="s">
        <v>83</v>
      </c>
      <c r="F50" s="13" t="s">
        <v>84</v>
      </c>
      <c r="G50" s="15" t="s">
        <v>85</v>
      </c>
      <c r="H50" s="13" t="s">
        <v>203</v>
      </c>
      <c r="I50" s="15" t="s">
        <v>204</v>
      </c>
      <c r="J50" s="15" t="s">
        <v>205</v>
      </c>
      <c r="K50" s="15" t="s">
        <v>206</v>
      </c>
      <c r="L50" s="13" t="s">
        <v>224</v>
      </c>
      <c r="M50" s="15" t="s">
        <v>225</v>
      </c>
      <c r="N50" s="13" t="s">
        <v>145</v>
      </c>
      <c r="O50" s="15"/>
      <c r="P50" s="15"/>
      <c r="Q50" s="15" t="s">
        <v>189</v>
      </c>
      <c r="R50" s="13" t="s">
        <v>190</v>
      </c>
      <c r="S50" s="13" t="s">
        <v>182</v>
      </c>
      <c r="T50" s="13" t="s">
        <v>162</v>
      </c>
      <c r="U50" s="14">
        <v>44767</v>
      </c>
      <c r="V50" s="14"/>
      <c r="W50" s="15"/>
      <c r="X50" s="13"/>
      <c r="Y50" s="15"/>
      <c r="Z50" s="13"/>
      <c r="AA50" s="15"/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3"/>
    </row>
    <row r="51" spans="1:41" ht="43.5" x14ac:dyDescent="0.35">
      <c r="A51" s="13" t="s">
        <v>159</v>
      </c>
      <c r="B51" s="13" t="s">
        <v>81</v>
      </c>
      <c r="C51" s="14">
        <v>44959.54583333333</v>
      </c>
      <c r="D51" s="13" t="s">
        <v>82</v>
      </c>
      <c r="E51" s="15" t="s">
        <v>83</v>
      </c>
      <c r="F51" s="13" t="s">
        <v>84</v>
      </c>
      <c r="G51" s="15" t="s">
        <v>85</v>
      </c>
      <c r="H51" s="13" t="s">
        <v>203</v>
      </c>
      <c r="I51" s="15" t="s">
        <v>204</v>
      </c>
      <c r="J51" s="15" t="s">
        <v>205</v>
      </c>
      <c r="K51" s="15" t="s">
        <v>206</v>
      </c>
      <c r="L51" s="13" t="s">
        <v>207</v>
      </c>
      <c r="M51" s="15" t="s">
        <v>208</v>
      </c>
      <c r="N51" s="13" t="s">
        <v>91</v>
      </c>
      <c r="O51" s="15"/>
      <c r="P51" s="15"/>
      <c r="Q51" s="15" t="s">
        <v>191</v>
      </c>
      <c r="R51" s="13" t="s">
        <v>192</v>
      </c>
      <c r="S51" s="13" t="s">
        <v>182</v>
      </c>
      <c r="T51" s="13" t="s">
        <v>162</v>
      </c>
      <c r="U51" s="14">
        <v>44767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/>
      <c r="AO51" s="13"/>
    </row>
    <row r="52" spans="1:41" ht="43.5" x14ac:dyDescent="0.35">
      <c r="A52" s="13" t="s">
        <v>159</v>
      </c>
      <c r="B52" s="13" t="s">
        <v>81</v>
      </c>
      <c r="C52" s="14">
        <v>44959.547222222223</v>
      </c>
      <c r="D52" s="13" t="s">
        <v>82</v>
      </c>
      <c r="E52" s="15" t="s">
        <v>83</v>
      </c>
      <c r="F52" s="13" t="s">
        <v>84</v>
      </c>
      <c r="G52" s="15" t="s">
        <v>85</v>
      </c>
      <c r="H52" s="13" t="s">
        <v>203</v>
      </c>
      <c r="I52" s="15" t="s">
        <v>204</v>
      </c>
      <c r="J52" s="15" t="s">
        <v>205</v>
      </c>
      <c r="K52" s="15" t="s">
        <v>206</v>
      </c>
      <c r="L52" s="13" t="s">
        <v>224</v>
      </c>
      <c r="M52" s="15" t="s">
        <v>225</v>
      </c>
      <c r="N52" s="13" t="s">
        <v>145</v>
      </c>
      <c r="O52" s="15"/>
      <c r="P52" s="15"/>
      <c r="Q52" s="15" t="s">
        <v>191</v>
      </c>
      <c r="R52" s="13" t="s">
        <v>192</v>
      </c>
      <c r="S52" s="13" t="s">
        <v>182</v>
      </c>
      <c r="T52" s="13" t="s">
        <v>162</v>
      </c>
      <c r="U52" s="14">
        <v>44767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3"/>
    </row>
    <row r="53" spans="1:41" s="23" customFormat="1" ht="43.5" x14ac:dyDescent="0.35">
      <c r="A53" s="20" t="s">
        <v>193</v>
      </c>
      <c r="B53" s="20" t="s">
        <v>142</v>
      </c>
      <c r="C53" s="21">
        <v>45995.640972222223</v>
      </c>
      <c r="D53" s="20" t="s">
        <v>82</v>
      </c>
      <c r="E53" s="22" t="s">
        <v>83</v>
      </c>
      <c r="F53" s="20" t="s">
        <v>84</v>
      </c>
      <c r="G53" s="22" t="s">
        <v>85</v>
      </c>
      <c r="H53" s="20" t="s">
        <v>203</v>
      </c>
      <c r="I53" s="22" t="s">
        <v>204</v>
      </c>
      <c r="J53" s="22" t="s">
        <v>205</v>
      </c>
      <c r="K53" s="22" t="s">
        <v>206</v>
      </c>
      <c r="L53" s="20" t="s">
        <v>207</v>
      </c>
      <c r="M53" s="22" t="s">
        <v>208</v>
      </c>
      <c r="N53" s="20" t="s">
        <v>91</v>
      </c>
      <c r="O53" s="22"/>
      <c r="P53" s="22"/>
      <c r="Q53" s="22" t="s">
        <v>194</v>
      </c>
      <c r="R53" s="20" t="s">
        <v>195</v>
      </c>
      <c r="S53" s="20" t="s">
        <v>182</v>
      </c>
      <c r="T53" s="20" t="s">
        <v>162</v>
      </c>
      <c r="U53" s="21">
        <v>44767</v>
      </c>
      <c r="V53" s="21">
        <v>45900</v>
      </c>
      <c r="W53" s="22"/>
      <c r="X53" s="20"/>
      <c r="Y53" s="22"/>
      <c r="Z53" s="20"/>
      <c r="AA53" s="22"/>
      <c r="AB53" s="20"/>
      <c r="AC53" s="22"/>
      <c r="AD53" s="20"/>
      <c r="AE53" s="22"/>
      <c r="AF53" s="20"/>
      <c r="AG53" s="22"/>
      <c r="AH53" s="20"/>
      <c r="AI53" s="22"/>
      <c r="AJ53" s="20"/>
      <c r="AK53" s="22"/>
      <c r="AL53" s="20"/>
      <c r="AM53" s="22"/>
      <c r="AN53" s="20" t="s">
        <v>196</v>
      </c>
      <c r="AO53" s="20"/>
    </row>
    <row r="54" spans="1:41" s="23" customFormat="1" ht="43.5" x14ac:dyDescent="0.35">
      <c r="A54" s="20" t="s">
        <v>193</v>
      </c>
      <c r="B54" s="20" t="s">
        <v>81</v>
      </c>
      <c r="C54" s="21">
        <v>45995.640972222223</v>
      </c>
      <c r="D54" s="20" t="s">
        <v>82</v>
      </c>
      <c r="E54" s="22" t="s">
        <v>83</v>
      </c>
      <c r="F54" s="20" t="s">
        <v>84</v>
      </c>
      <c r="G54" s="22" t="s">
        <v>85</v>
      </c>
      <c r="H54" s="20" t="s">
        <v>203</v>
      </c>
      <c r="I54" s="22" t="s">
        <v>204</v>
      </c>
      <c r="J54" s="22" t="s">
        <v>205</v>
      </c>
      <c r="K54" s="22" t="s">
        <v>206</v>
      </c>
      <c r="L54" s="20" t="s">
        <v>207</v>
      </c>
      <c r="M54" s="22" t="s">
        <v>208</v>
      </c>
      <c r="N54" s="20" t="s">
        <v>91</v>
      </c>
      <c r="O54" s="22"/>
      <c r="P54" s="22"/>
      <c r="Q54" s="22" t="s">
        <v>194</v>
      </c>
      <c r="R54" s="20" t="s">
        <v>195</v>
      </c>
      <c r="S54" s="20" t="s">
        <v>182</v>
      </c>
      <c r="T54" s="20" t="s">
        <v>95</v>
      </c>
      <c r="U54" s="21">
        <v>45901</v>
      </c>
      <c r="V54" s="21"/>
      <c r="W54" s="22"/>
      <c r="X54" s="20"/>
      <c r="Y54" s="22"/>
      <c r="Z54" s="20"/>
      <c r="AA54" s="22"/>
      <c r="AB54" s="20"/>
      <c r="AC54" s="22"/>
      <c r="AD54" s="20"/>
      <c r="AE54" s="22"/>
      <c r="AF54" s="20"/>
      <c r="AG54" s="22"/>
      <c r="AH54" s="20"/>
      <c r="AI54" s="22"/>
      <c r="AJ54" s="20"/>
      <c r="AK54" s="22"/>
      <c r="AL54" s="20"/>
      <c r="AM54" s="22"/>
      <c r="AN54" s="20" t="s">
        <v>196</v>
      </c>
      <c r="AO54" s="20"/>
    </row>
    <row r="55" spans="1:41" s="23" customFormat="1" ht="43.5" x14ac:dyDescent="0.35">
      <c r="A55" s="20" t="s">
        <v>193</v>
      </c>
      <c r="B55" s="20" t="s">
        <v>142</v>
      </c>
      <c r="C55" s="21">
        <v>45995.64166666667</v>
      </c>
      <c r="D55" s="20" t="s">
        <v>82</v>
      </c>
      <c r="E55" s="22" t="s">
        <v>83</v>
      </c>
      <c r="F55" s="20" t="s">
        <v>84</v>
      </c>
      <c r="G55" s="22" t="s">
        <v>85</v>
      </c>
      <c r="H55" s="20" t="s">
        <v>203</v>
      </c>
      <c r="I55" s="22" t="s">
        <v>204</v>
      </c>
      <c r="J55" s="22" t="s">
        <v>205</v>
      </c>
      <c r="K55" s="22" t="s">
        <v>206</v>
      </c>
      <c r="L55" s="20" t="s">
        <v>224</v>
      </c>
      <c r="M55" s="22" t="s">
        <v>225</v>
      </c>
      <c r="N55" s="20" t="s">
        <v>145</v>
      </c>
      <c r="O55" s="22"/>
      <c r="P55" s="22"/>
      <c r="Q55" s="22" t="s">
        <v>194</v>
      </c>
      <c r="R55" s="20" t="s">
        <v>195</v>
      </c>
      <c r="S55" s="20" t="s">
        <v>182</v>
      </c>
      <c r="T55" s="20" t="s">
        <v>162</v>
      </c>
      <c r="U55" s="21">
        <v>44767</v>
      </c>
      <c r="V55" s="21">
        <v>45900</v>
      </c>
      <c r="W55" s="22"/>
      <c r="X55" s="20"/>
      <c r="Y55" s="22"/>
      <c r="Z55" s="20"/>
      <c r="AA55" s="22"/>
      <c r="AB55" s="20"/>
      <c r="AC55" s="22"/>
      <c r="AD55" s="20"/>
      <c r="AE55" s="22"/>
      <c r="AF55" s="20"/>
      <c r="AG55" s="22"/>
      <c r="AH55" s="20"/>
      <c r="AI55" s="22"/>
      <c r="AJ55" s="20"/>
      <c r="AK55" s="22"/>
      <c r="AL55" s="20"/>
      <c r="AM55" s="22"/>
      <c r="AN55" s="20" t="s">
        <v>196</v>
      </c>
      <c r="AO55" s="20"/>
    </row>
    <row r="56" spans="1:41" s="23" customFormat="1" ht="43.5" x14ac:dyDescent="0.35">
      <c r="A56" s="20" t="s">
        <v>193</v>
      </c>
      <c r="B56" s="20" t="s">
        <v>81</v>
      </c>
      <c r="C56" s="21">
        <v>45995.64166666667</v>
      </c>
      <c r="D56" s="20" t="s">
        <v>82</v>
      </c>
      <c r="E56" s="22" t="s">
        <v>83</v>
      </c>
      <c r="F56" s="20" t="s">
        <v>84</v>
      </c>
      <c r="G56" s="22" t="s">
        <v>85</v>
      </c>
      <c r="H56" s="20" t="s">
        <v>203</v>
      </c>
      <c r="I56" s="22" t="s">
        <v>204</v>
      </c>
      <c r="J56" s="22" t="s">
        <v>205</v>
      </c>
      <c r="K56" s="22" t="s">
        <v>206</v>
      </c>
      <c r="L56" s="20" t="s">
        <v>224</v>
      </c>
      <c r="M56" s="22" t="s">
        <v>225</v>
      </c>
      <c r="N56" s="20" t="s">
        <v>145</v>
      </c>
      <c r="O56" s="22"/>
      <c r="P56" s="22"/>
      <c r="Q56" s="22" t="s">
        <v>194</v>
      </c>
      <c r="R56" s="20" t="s">
        <v>195</v>
      </c>
      <c r="S56" s="20" t="s">
        <v>182</v>
      </c>
      <c r="T56" s="20" t="s">
        <v>95</v>
      </c>
      <c r="U56" s="21">
        <v>45901</v>
      </c>
      <c r="V56" s="21"/>
      <c r="W56" s="22"/>
      <c r="X56" s="20"/>
      <c r="Y56" s="22"/>
      <c r="Z56" s="20"/>
      <c r="AA56" s="22"/>
      <c r="AB56" s="20"/>
      <c r="AC56" s="22"/>
      <c r="AD56" s="20"/>
      <c r="AE56" s="22"/>
      <c r="AF56" s="20"/>
      <c r="AG56" s="22"/>
      <c r="AH56" s="20"/>
      <c r="AI56" s="22"/>
      <c r="AJ56" s="20"/>
      <c r="AK56" s="22"/>
      <c r="AL56" s="20"/>
      <c r="AM56" s="22"/>
      <c r="AN56" s="20" t="s">
        <v>196</v>
      </c>
      <c r="AO56" s="20"/>
    </row>
    <row r="57" spans="1:41" ht="43.5" x14ac:dyDescent="0.35">
      <c r="A57" s="13" t="s">
        <v>159</v>
      </c>
      <c r="B57" s="13" t="s">
        <v>81</v>
      </c>
      <c r="C57" s="14">
        <v>44959.546527777777</v>
      </c>
      <c r="D57" s="13" t="s">
        <v>82</v>
      </c>
      <c r="E57" s="15" t="s">
        <v>83</v>
      </c>
      <c r="F57" s="13" t="s">
        <v>84</v>
      </c>
      <c r="G57" s="15" t="s">
        <v>85</v>
      </c>
      <c r="H57" s="13" t="s">
        <v>203</v>
      </c>
      <c r="I57" s="15" t="s">
        <v>204</v>
      </c>
      <c r="J57" s="15" t="s">
        <v>205</v>
      </c>
      <c r="K57" s="15" t="s">
        <v>206</v>
      </c>
      <c r="L57" s="13" t="s">
        <v>207</v>
      </c>
      <c r="M57" s="15" t="s">
        <v>208</v>
      </c>
      <c r="N57" s="13" t="s">
        <v>91</v>
      </c>
      <c r="O57" s="15"/>
      <c r="P57" s="15"/>
      <c r="Q57" s="15" t="s">
        <v>201</v>
      </c>
      <c r="R57" s="13" t="s">
        <v>202</v>
      </c>
      <c r="S57" s="13" t="s">
        <v>182</v>
      </c>
      <c r="T57" s="13" t="s">
        <v>162</v>
      </c>
      <c r="U57" s="14">
        <v>44767</v>
      </c>
      <c r="V57" s="14"/>
      <c r="W57" s="15"/>
      <c r="X57" s="13"/>
      <c r="Y57" s="15"/>
      <c r="Z57" s="13"/>
      <c r="AA57" s="15"/>
      <c r="AB57" s="13"/>
      <c r="AC57" s="15"/>
      <c r="AD57" s="13"/>
      <c r="AE57" s="15"/>
      <c r="AF57" s="13"/>
      <c r="AG57" s="15"/>
      <c r="AH57" s="13"/>
      <c r="AI57" s="15"/>
      <c r="AJ57" s="13"/>
      <c r="AK57" s="15"/>
      <c r="AL57" s="13"/>
      <c r="AM57" s="15"/>
      <c r="AN57" s="13"/>
      <c r="AO57" s="13"/>
    </row>
    <row r="58" spans="1:41" ht="43.5" x14ac:dyDescent="0.35">
      <c r="A58" s="13" t="s">
        <v>159</v>
      </c>
      <c r="B58" s="13" t="s">
        <v>81</v>
      </c>
      <c r="C58" s="14">
        <v>44959.54791666667</v>
      </c>
      <c r="D58" s="13" t="s">
        <v>82</v>
      </c>
      <c r="E58" s="15" t="s">
        <v>83</v>
      </c>
      <c r="F58" s="13" t="s">
        <v>84</v>
      </c>
      <c r="G58" s="15" t="s">
        <v>85</v>
      </c>
      <c r="H58" s="13" t="s">
        <v>203</v>
      </c>
      <c r="I58" s="15" t="s">
        <v>204</v>
      </c>
      <c r="J58" s="15" t="s">
        <v>205</v>
      </c>
      <c r="K58" s="15" t="s">
        <v>206</v>
      </c>
      <c r="L58" s="13" t="s">
        <v>224</v>
      </c>
      <c r="M58" s="15" t="s">
        <v>225</v>
      </c>
      <c r="N58" s="13" t="s">
        <v>145</v>
      </c>
      <c r="O58" s="15"/>
      <c r="P58" s="15"/>
      <c r="Q58" s="15" t="s">
        <v>201</v>
      </c>
      <c r="R58" s="13" t="s">
        <v>202</v>
      </c>
      <c r="S58" s="13" t="s">
        <v>182</v>
      </c>
      <c r="T58" s="13" t="s">
        <v>162</v>
      </c>
      <c r="U58" s="14">
        <v>44767</v>
      </c>
      <c r="V58" s="14"/>
      <c r="W58" s="15"/>
      <c r="X58" s="13"/>
      <c r="Y58" s="15"/>
      <c r="Z58" s="13"/>
      <c r="AA58" s="15"/>
      <c r="AB58" s="13"/>
      <c r="AC58" s="15"/>
      <c r="AD58" s="13"/>
      <c r="AE58" s="15"/>
      <c r="AF58" s="13"/>
      <c r="AG58" s="15"/>
      <c r="AH58" s="13"/>
      <c r="AI58" s="15"/>
      <c r="AJ58" s="13"/>
      <c r="AK58" s="15"/>
      <c r="AL58" s="13"/>
      <c r="AM58" s="15"/>
      <c r="AN58" s="13"/>
      <c r="AO58" s="13"/>
    </row>
    <row r="59" spans="1:41" x14ac:dyDescent="0.35">
      <c r="C59" s="16"/>
      <c r="U59" s="16"/>
      <c r="V59" s="16"/>
    </row>
    <row r="60" spans="1:41" x14ac:dyDescent="0.35">
      <c r="C60" s="16"/>
      <c r="U60" s="16"/>
      <c r="V60" s="16"/>
    </row>
    <row r="61" spans="1:41" x14ac:dyDescent="0.35">
      <c r="C61" s="16"/>
      <c r="U61" s="16"/>
      <c r="V61" s="16"/>
    </row>
    <row r="62" spans="1:41" x14ac:dyDescent="0.35">
      <c r="C62" s="16"/>
      <c r="U62" s="16"/>
      <c r="V62" s="16"/>
    </row>
    <row r="63" spans="1:41" x14ac:dyDescent="0.35">
      <c r="C63" s="16"/>
      <c r="U63" s="16"/>
      <c r="V63" s="16"/>
    </row>
    <row r="64" spans="1:41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</sheetData>
  <autoFilter ref="A1:OJ58" xr:uid="{89BCCB87-E47D-4A52-882E-5709430BB56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85A0-22BD-4A95-8230-4B61A61D729C}">
  <dimension ref="A1:AO5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297</v>
      </c>
      <c r="X1" s="10" t="s">
        <v>298</v>
      </c>
      <c r="Y1" s="10" t="s">
        <v>299</v>
      </c>
      <c r="Z1" s="10" t="s">
        <v>300</v>
      </c>
      <c r="AA1" s="10" t="s">
        <v>301</v>
      </c>
      <c r="AB1" s="10" t="s">
        <v>302</v>
      </c>
      <c r="AC1" s="10" t="s">
        <v>303</v>
      </c>
      <c r="AD1" s="10" t="s">
        <v>304</v>
      </c>
      <c r="AE1" s="10" t="s">
        <v>305</v>
      </c>
      <c r="AF1" s="10" t="s">
        <v>306</v>
      </c>
      <c r="AG1" s="10" t="s">
        <v>307</v>
      </c>
      <c r="AH1" s="10" t="s">
        <v>308</v>
      </c>
      <c r="AI1" s="10" t="s">
        <v>309</v>
      </c>
      <c r="AJ1" s="10" t="s">
        <v>310</v>
      </c>
      <c r="AK1" s="10" t="s">
        <v>311</v>
      </c>
      <c r="AL1" s="10" t="s">
        <v>312</v>
      </c>
      <c r="AM1" s="10" t="s">
        <v>313</v>
      </c>
      <c r="AN1" s="10" t="s">
        <v>78</v>
      </c>
      <c r="AO1" s="10" t="s">
        <v>79</v>
      </c>
    </row>
    <row r="2" spans="1:41" ht="43.5" x14ac:dyDescent="0.35">
      <c r="A2" s="13" t="s">
        <v>80</v>
      </c>
      <c r="B2" s="13" t="s">
        <v>81</v>
      </c>
      <c r="C2" s="14">
        <v>43899.684027777781</v>
      </c>
      <c r="D2" s="13" t="s">
        <v>82</v>
      </c>
      <c r="E2" s="15" t="s">
        <v>83</v>
      </c>
      <c r="F2" s="13" t="s">
        <v>84</v>
      </c>
      <c r="G2" s="15" t="s">
        <v>85</v>
      </c>
      <c r="H2" s="13" t="s">
        <v>86</v>
      </c>
      <c r="I2" s="15" t="s">
        <v>85</v>
      </c>
      <c r="J2" s="15" t="s">
        <v>87</v>
      </c>
      <c r="K2" s="15" t="s">
        <v>88</v>
      </c>
      <c r="L2" s="13" t="s">
        <v>89</v>
      </c>
      <c r="M2" s="15" t="s">
        <v>90</v>
      </c>
      <c r="N2" s="13" t="s">
        <v>91</v>
      </c>
      <c r="O2" s="15"/>
      <c r="P2" s="15"/>
      <c r="Q2" s="15" t="s">
        <v>92</v>
      </c>
      <c r="R2" s="13" t="s">
        <v>93</v>
      </c>
      <c r="S2" s="13" t="s">
        <v>94</v>
      </c>
      <c r="T2" s="13" t="s">
        <v>95</v>
      </c>
      <c r="U2" s="14">
        <v>43826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141</v>
      </c>
      <c r="B3" s="13" t="s">
        <v>142</v>
      </c>
      <c r="C3" s="14">
        <v>44725.415972222225</v>
      </c>
      <c r="D3" s="13" t="s">
        <v>82</v>
      </c>
      <c r="E3" s="15" t="s">
        <v>83</v>
      </c>
      <c r="F3" s="13" t="s">
        <v>84</v>
      </c>
      <c r="G3" s="15" t="s">
        <v>85</v>
      </c>
      <c r="H3" s="13" t="s">
        <v>86</v>
      </c>
      <c r="I3" s="15" t="s">
        <v>85</v>
      </c>
      <c r="J3" s="15" t="s">
        <v>87</v>
      </c>
      <c r="K3" s="15" t="s">
        <v>88</v>
      </c>
      <c r="L3" s="13" t="s">
        <v>143</v>
      </c>
      <c r="M3" s="15" t="s">
        <v>144</v>
      </c>
      <c r="N3" s="13" t="s">
        <v>145</v>
      </c>
      <c r="O3" s="15"/>
      <c r="P3" s="15"/>
      <c r="Q3" s="15" t="s">
        <v>92</v>
      </c>
      <c r="R3" s="13" t="s">
        <v>93</v>
      </c>
      <c r="S3" s="13" t="s">
        <v>94</v>
      </c>
      <c r="T3" s="13" t="s">
        <v>95</v>
      </c>
      <c r="U3" s="14">
        <v>43826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159</v>
      </c>
      <c r="B4" s="13" t="s">
        <v>81</v>
      </c>
      <c r="C4" s="14">
        <v>44886.48541666667</v>
      </c>
      <c r="D4" s="13" t="s">
        <v>82</v>
      </c>
      <c r="E4" s="15" t="s">
        <v>83</v>
      </c>
      <c r="F4" s="13" t="s">
        <v>84</v>
      </c>
      <c r="G4" s="15" t="s">
        <v>85</v>
      </c>
      <c r="H4" s="13" t="s">
        <v>86</v>
      </c>
      <c r="I4" s="15" t="s">
        <v>85</v>
      </c>
      <c r="J4" s="15" t="s">
        <v>87</v>
      </c>
      <c r="K4" s="15" t="s">
        <v>88</v>
      </c>
      <c r="L4" s="13" t="s">
        <v>89</v>
      </c>
      <c r="M4" s="15" t="s">
        <v>90</v>
      </c>
      <c r="N4" s="13" t="s">
        <v>91</v>
      </c>
      <c r="O4" s="15"/>
      <c r="P4" s="15"/>
      <c r="Q4" s="15" t="s">
        <v>160</v>
      </c>
      <c r="R4" s="13" t="s">
        <v>161</v>
      </c>
      <c r="S4" s="13" t="s">
        <v>94</v>
      </c>
      <c r="T4" s="13" t="s">
        <v>162</v>
      </c>
      <c r="U4" s="14">
        <v>43831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159</v>
      </c>
      <c r="B5" s="13" t="s">
        <v>81</v>
      </c>
      <c r="C5" s="14">
        <v>44886.48541666667</v>
      </c>
      <c r="D5" s="13" t="s">
        <v>82</v>
      </c>
      <c r="E5" s="15" t="s">
        <v>83</v>
      </c>
      <c r="F5" s="13" t="s">
        <v>84</v>
      </c>
      <c r="G5" s="15" t="s">
        <v>85</v>
      </c>
      <c r="H5" s="13" t="s">
        <v>86</v>
      </c>
      <c r="I5" s="15" t="s">
        <v>85</v>
      </c>
      <c r="J5" s="15" t="s">
        <v>87</v>
      </c>
      <c r="K5" s="15" t="s">
        <v>88</v>
      </c>
      <c r="L5" s="13" t="s">
        <v>143</v>
      </c>
      <c r="M5" s="15" t="s">
        <v>144</v>
      </c>
      <c r="N5" s="13" t="s">
        <v>145</v>
      </c>
      <c r="O5" s="15"/>
      <c r="P5" s="15"/>
      <c r="Q5" s="15" t="s">
        <v>160</v>
      </c>
      <c r="R5" s="13" t="s">
        <v>161</v>
      </c>
      <c r="S5" s="13" t="s">
        <v>94</v>
      </c>
      <c r="T5" s="13" t="s">
        <v>162</v>
      </c>
      <c r="U5" s="14">
        <v>43831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159</v>
      </c>
      <c r="B6" s="13" t="s">
        <v>142</v>
      </c>
      <c r="C6" s="14">
        <v>44837.722916666666</v>
      </c>
      <c r="D6" s="13" t="s">
        <v>82</v>
      </c>
      <c r="E6" s="15" t="s">
        <v>83</v>
      </c>
      <c r="F6" s="13" t="s">
        <v>84</v>
      </c>
      <c r="G6" s="15" t="s">
        <v>85</v>
      </c>
      <c r="H6" s="13" t="s">
        <v>86</v>
      </c>
      <c r="I6" s="15" t="s">
        <v>85</v>
      </c>
      <c r="J6" s="15" t="s">
        <v>87</v>
      </c>
      <c r="K6" s="15" t="s">
        <v>88</v>
      </c>
      <c r="L6" s="13" t="s">
        <v>89</v>
      </c>
      <c r="M6" s="15" t="s">
        <v>90</v>
      </c>
      <c r="N6" s="13" t="s">
        <v>91</v>
      </c>
      <c r="O6" s="15"/>
      <c r="P6" s="15"/>
      <c r="Q6" s="15" t="s">
        <v>163</v>
      </c>
      <c r="R6" s="13" t="s">
        <v>164</v>
      </c>
      <c r="S6" s="13" t="s">
        <v>94</v>
      </c>
      <c r="T6" s="13" t="s">
        <v>95</v>
      </c>
      <c r="U6" s="14">
        <v>43826</v>
      </c>
      <c r="V6" s="14">
        <v>44677</v>
      </c>
      <c r="W6" s="15"/>
      <c r="X6" s="15"/>
      <c r="Y6" s="13" t="s">
        <v>314</v>
      </c>
      <c r="Z6" s="15" t="s">
        <v>315</v>
      </c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 t="s">
        <v>316</v>
      </c>
    </row>
    <row r="7" spans="1:41" ht="43.5" x14ac:dyDescent="0.35">
      <c r="A7" s="13" t="s">
        <v>159</v>
      </c>
      <c r="B7" s="13" t="s">
        <v>81</v>
      </c>
      <c r="C7" s="14">
        <v>44959.574305555558</v>
      </c>
      <c r="D7" s="13" t="s">
        <v>82</v>
      </c>
      <c r="E7" s="15" t="s">
        <v>83</v>
      </c>
      <c r="F7" s="13" t="s">
        <v>84</v>
      </c>
      <c r="G7" s="15" t="s">
        <v>85</v>
      </c>
      <c r="H7" s="13" t="s">
        <v>86</v>
      </c>
      <c r="I7" s="15" t="s">
        <v>85</v>
      </c>
      <c r="J7" s="15" t="s">
        <v>87</v>
      </c>
      <c r="K7" s="15" t="s">
        <v>88</v>
      </c>
      <c r="L7" s="13" t="s">
        <v>89</v>
      </c>
      <c r="M7" s="15" t="s">
        <v>90</v>
      </c>
      <c r="N7" s="13" t="s">
        <v>91</v>
      </c>
      <c r="O7" s="15"/>
      <c r="P7" s="15"/>
      <c r="Q7" s="15" t="s">
        <v>163</v>
      </c>
      <c r="R7" s="13" t="s">
        <v>164</v>
      </c>
      <c r="S7" s="13" t="s">
        <v>94</v>
      </c>
      <c r="T7" s="13" t="s">
        <v>95</v>
      </c>
      <c r="U7" s="14">
        <v>44678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141</v>
      </c>
      <c r="B8" s="13" t="s">
        <v>142</v>
      </c>
      <c r="C8" s="14">
        <v>44725.416666666664</v>
      </c>
      <c r="D8" s="13" t="s">
        <v>82</v>
      </c>
      <c r="E8" s="15" t="s">
        <v>83</v>
      </c>
      <c r="F8" s="13" t="s">
        <v>84</v>
      </c>
      <c r="G8" s="15" t="s">
        <v>85</v>
      </c>
      <c r="H8" s="13" t="s">
        <v>86</v>
      </c>
      <c r="I8" s="15" t="s">
        <v>85</v>
      </c>
      <c r="J8" s="15" t="s">
        <v>87</v>
      </c>
      <c r="K8" s="15" t="s">
        <v>88</v>
      </c>
      <c r="L8" s="13" t="s">
        <v>143</v>
      </c>
      <c r="M8" s="15" t="s">
        <v>144</v>
      </c>
      <c r="N8" s="13" t="s">
        <v>145</v>
      </c>
      <c r="O8" s="15"/>
      <c r="P8" s="15"/>
      <c r="Q8" s="15" t="s">
        <v>163</v>
      </c>
      <c r="R8" s="13" t="s">
        <v>164</v>
      </c>
      <c r="S8" s="13" t="s">
        <v>94</v>
      </c>
      <c r="T8" s="13" t="s">
        <v>95</v>
      </c>
      <c r="U8" s="14">
        <v>43826</v>
      </c>
      <c r="V8" s="14"/>
      <c r="W8" s="15"/>
      <c r="X8" s="15"/>
      <c r="Y8" s="13" t="s">
        <v>314</v>
      </c>
      <c r="Z8" s="15" t="s">
        <v>315</v>
      </c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 t="s">
        <v>316</v>
      </c>
    </row>
    <row r="9" spans="1:41" ht="43.5" x14ac:dyDescent="0.35">
      <c r="A9" s="13" t="s">
        <v>141</v>
      </c>
      <c r="B9" s="13" t="s">
        <v>142</v>
      </c>
      <c r="C9" s="14">
        <v>44725.464583333334</v>
      </c>
      <c r="D9" s="13" t="s">
        <v>82</v>
      </c>
      <c r="E9" s="15" t="s">
        <v>83</v>
      </c>
      <c r="F9" s="13" t="s">
        <v>84</v>
      </c>
      <c r="G9" s="15" t="s">
        <v>85</v>
      </c>
      <c r="H9" s="13" t="s">
        <v>86</v>
      </c>
      <c r="I9" s="15" t="s">
        <v>85</v>
      </c>
      <c r="J9" s="15" t="s">
        <v>87</v>
      </c>
      <c r="K9" s="15" t="s">
        <v>88</v>
      </c>
      <c r="L9" s="13" t="s">
        <v>89</v>
      </c>
      <c r="M9" s="15" t="s">
        <v>90</v>
      </c>
      <c r="N9" s="13" t="s">
        <v>91</v>
      </c>
      <c r="O9" s="15"/>
      <c r="P9" s="15"/>
      <c r="Q9" s="15" t="s">
        <v>172</v>
      </c>
      <c r="R9" s="13" t="s">
        <v>173</v>
      </c>
      <c r="S9" s="13" t="s">
        <v>94</v>
      </c>
      <c r="T9" s="13" t="s">
        <v>95</v>
      </c>
      <c r="U9" s="14">
        <v>43826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141</v>
      </c>
      <c r="B10" s="13" t="s">
        <v>142</v>
      </c>
      <c r="C10" s="14">
        <v>44725.461111111108</v>
      </c>
      <c r="D10" s="13" t="s">
        <v>82</v>
      </c>
      <c r="E10" s="15" t="s">
        <v>83</v>
      </c>
      <c r="F10" s="13" t="s">
        <v>84</v>
      </c>
      <c r="G10" s="15" t="s">
        <v>85</v>
      </c>
      <c r="H10" s="13" t="s">
        <v>86</v>
      </c>
      <c r="I10" s="15" t="s">
        <v>85</v>
      </c>
      <c r="J10" s="15" t="s">
        <v>87</v>
      </c>
      <c r="K10" s="15" t="s">
        <v>88</v>
      </c>
      <c r="L10" s="13" t="s">
        <v>143</v>
      </c>
      <c r="M10" s="15" t="s">
        <v>144</v>
      </c>
      <c r="N10" s="13" t="s">
        <v>145</v>
      </c>
      <c r="O10" s="15"/>
      <c r="P10" s="15"/>
      <c r="Q10" s="15" t="s">
        <v>172</v>
      </c>
      <c r="R10" s="13" t="s">
        <v>173</v>
      </c>
      <c r="S10" s="13" t="s">
        <v>94</v>
      </c>
      <c r="T10" s="13" t="s">
        <v>95</v>
      </c>
      <c r="U10" s="14">
        <v>43826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43.5" x14ac:dyDescent="0.35">
      <c r="A11" s="13" t="s">
        <v>80</v>
      </c>
      <c r="B11" s="13" t="s">
        <v>81</v>
      </c>
      <c r="C11" s="14">
        <v>43899.688194444447</v>
      </c>
      <c r="D11" s="13" t="s">
        <v>82</v>
      </c>
      <c r="E11" s="15" t="s">
        <v>83</v>
      </c>
      <c r="F11" s="13" t="s">
        <v>84</v>
      </c>
      <c r="G11" s="15" t="s">
        <v>85</v>
      </c>
      <c r="H11" s="13" t="s">
        <v>86</v>
      </c>
      <c r="I11" s="15" t="s">
        <v>85</v>
      </c>
      <c r="J11" s="15" t="s">
        <v>87</v>
      </c>
      <c r="K11" s="15" t="s">
        <v>88</v>
      </c>
      <c r="L11" s="13" t="s">
        <v>89</v>
      </c>
      <c r="M11" s="15" t="s">
        <v>90</v>
      </c>
      <c r="N11" s="13" t="s">
        <v>91</v>
      </c>
      <c r="O11" s="15"/>
      <c r="P11" s="15"/>
      <c r="Q11" s="15" t="s">
        <v>177</v>
      </c>
      <c r="R11" s="13" t="s">
        <v>178</v>
      </c>
      <c r="S11" s="13" t="s">
        <v>94</v>
      </c>
      <c r="T11" s="13" t="s">
        <v>95</v>
      </c>
      <c r="U11" s="14">
        <v>43826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43.5" x14ac:dyDescent="0.35">
      <c r="A12" s="13" t="s">
        <v>141</v>
      </c>
      <c r="B12" s="13" t="s">
        <v>142</v>
      </c>
      <c r="C12" s="14">
        <v>44725.417361111111</v>
      </c>
      <c r="D12" s="13" t="s">
        <v>82</v>
      </c>
      <c r="E12" s="15" t="s">
        <v>83</v>
      </c>
      <c r="F12" s="13" t="s">
        <v>84</v>
      </c>
      <c r="G12" s="15" t="s">
        <v>85</v>
      </c>
      <c r="H12" s="13" t="s">
        <v>86</v>
      </c>
      <c r="I12" s="15" t="s">
        <v>85</v>
      </c>
      <c r="J12" s="15" t="s">
        <v>87</v>
      </c>
      <c r="K12" s="15" t="s">
        <v>88</v>
      </c>
      <c r="L12" s="13" t="s">
        <v>143</v>
      </c>
      <c r="M12" s="15" t="s">
        <v>144</v>
      </c>
      <c r="N12" s="13" t="s">
        <v>145</v>
      </c>
      <c r="O12" s="15"/>
      <c r="P12" s="15"/>
      <c r="Q12" s="15" t="s">
        <v>177</v>
      </c>
      <c r="R12" s="13" t="s">
        <v>178</v>
      </c>
      <c r="S12" s="13" t="s">
        <v>94</v>
      </c>
      <c r="T12" s="13" t="s">
        <v>95</v>
      </c>
      <c r="U12" s="14">
        <v>43826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80</v>
      </c>
      <c r="B13" s="13" t="s">
        <v>81</v>
      </c>
      <c r="C13" s="14">
        <v>43894.619444444441</v>
      </c>
      <c r="D13" s="13" t="s">
        <v>82</v>
      </c>
      <c r="E13" s="15" t="s">
        <v>83</v>
      </c>
      <c r="F13" s="13" t="s">
        <v>84</v>
      </c>
      <c r="G13" s="15" t="s">
        <v>85</v>
      </c>
      <c r="H13" s="13" t="s">
        <v>86</v>
      </c>
      <c r="I13" s="15" t="s">
        <v>85</v>
      </c>
      <c r="J13" s="15" t="s">
        <v>87</v>
      </c>
      <c r="K13" s="15" t="s">
        <v>88</v>
      </c>
      <c r="L13" s="13" t="s">
        <v>89</v>
      </c>
      <c r="M13" s="15" t="s">
        <v>90</v>
      </c>
      <c r="N13" s="13" t="s">
        <v>91</v>
      </c>
      <c r="O13" s="15"/>
      <c r="P13" s="15"/>
      <c r="Q13" s="15" t="s">
        <v>180</v>
      </c>
      <c r="R13" s="13" t="s">
        <v>181</v>
      </c>
      <c r="S13" s="13" t="s">
        <v>182</v>
      </c>
      <c r="T13" s="13" t="s">
        <v>162</v>
      </c>
      <c r="U13" s="14">
        <v>43826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43.5" x14ac:dyDescent="0.35">
      <c r="A14" s="13" t="s">
        <v>80</v>
      </c>
      <c r="B14" s="13" t="s">
        <v>81</v>
      </c>
      <c r="C14" s="14">
        <v>43894.611111111109</v>
      </c>
      <c r="D14" s="13" t="s">
        <v>82</v>
      </c>
      <c r="E14" s="15" t="s">
        <v>83</v>
      </c>
      <c r="F14" s="13" t="s">
        <v>84</v>
      </c>
      <c r="G14" s="15" t="s">
        <v>85</v>
      </c>
      <c r="H14" s="13" t="s">
        <v>86</v>
      </c>
      <c r="I14" s="15" t="s">
        <v>85</v>
      </c>
      <c r="J14" s="15" t="s">
        <v>87</v>
      </c>
      <c r="K14" s="15" t="s">
        <v>88</v>
      </c>
      <c r="L14" s="13" t="s">
        <v>143</v>
      </c>
      <c r="M14" s="15" t="s">
        <v>144</v>
      </c>
      <c r="N14" s="13" t="s">
        <v>145</v>
      </c>
      <c r="O14" s="15"/>
      <c r="P14" s="15"/>
      <c r="Q14" s="15" t="s">
        <v>180</v>
      </c>
      <c r="R14" s="13" t="s">
        <v>181</v>
      </c>
      <c r="S14" s="13" t="s">
        <v>182</v>
      </c>
      <c r="T14" s="13" t="s">
        <v>162</v>
      </c>
      <c r="U14" s="14">
        <v>43826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43.5" x14ac:dyDescent="0.35">
      <c r="A15" s="13" t="s">
        <v>80</v>
      </c>
      <c r="B15" s="13" t="s">
        <v>81</v>
      </c>
      <c r="C15" s="14">
        <v>43894.620138888888</v>
      </c>
      <c r="D15" s="13" t="s">
        <v>82</v>
      </c>
      <c r="E15" s="15" t="s">
        <v>83</v>
      </c>
      <c r="F15" s="13" t="s">
        <v>84</v>
      </c>
      <c r="G15" s="15" t="s">
        <v>85</v>
      </c>
      <c r="H15" s="13" t="s">
        <v>86</v>
      </c>
      <c r="I15" s="15" t="s">
        <v>85</v>
      </c>
      <c r="J15" s="15" t="s">
        <v>87</v>
      </c>
      <c r="K15" s="15" t="s">
        <v>88</v>
      </c>
      <c r="L15" s="13" t="s">
        <v>89</v>
      </c>
      <c r="M15" s="15" t="s">
        <v>90</v>
      </c>
      <c r="N15" s="13" t="s">
        <v>91</v>
      </c>
      <c r="O15" s="15"/>
      <c r="P15" s="15"/>
      <c r="Q15" s="15" t="s">
        <v>183</v>
      </c>
      <c r="R15" s="13" t="s">
        <v>184</v>
      </c>
      <c r="S15" s="13" t="s">
        <v>182</v>
      </c>
      <c r="T15" s="13" t="s">
        <v>162</v>
      </c>
      <c r="U15" s="14">
        <v>43826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43.5" x14ac:dyDescent="0.35">
      <c r="A16" s="13" t="s">
        <v>80</v>
      </c>
      <c r="B16" s="13" t="s">
        <v>81</v>
      </c>
      <c r="C16" s="14">
        <v>43894.611111111109</v>
      </c>
      <c r="D16" s="13" t="s">
        <v>82</v>
      </c>
      <c r="E16" s="15" t="s">
        <v>83</v>
      </c>
      <c r="F16" s="13" t="s">
        <v>84</v>
      </c>
      <c r="G16" s="15" t="s">
        <v>85</v>
      </c>
      <c r="H16" s="13" t="s">
        <v>86</v>
      </c>
      <c r="I16" s="15" t="s">
        <v>85</v>
      </c>
      <c r="J16" s="15" t="s">
        <v>87</v>
      </c>
      <c r="K16" s="15" t="s">
        <v>88</v>
      </c>
      <c r="L16" s="13" t="s">
        <v>143</v>
      </c>
      <c r="M16" s="15" t="s">
        <v>144</v>
      </c>
      <c r="N16" s="13" t="s">
        <v>145</v>
      </c>
      <c r="O16" s="15"/>
      <c r="P16" s="15"/>
      <c r="Q16" s="15" t="s">
        <v>183</v>
      </c>
      <c r="R16" s="13" t="s">
        <v>184</v>
      </c>
      <c r="S16" s="13" t="s">
        <v>182</v>
      </c>
      <c r="T16" s="13" t="s">
        <v>162</v>
      </c>
      <c r="U16" s="14">
        <v>43826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43.5" x14ac:dyDescent="0.35">
      <c r="A17" s="13" t="s">
        <v>80</v>
      </c>
      <c r="B17" s="13" t="s">
        <v>81</v>
      </c>
      <c r="C17" s="14">
        <v>43894.620138888888</v>
      </c>
      <c r="D17" s="13" t="s">
        <v>82</v>
      </c>
      <c r="E17" s="15" t="s">
        <v>83</v>
      </c>
      <c r="F17" s="13" t="s">
        <v>84</v>
      </c>
      <c r="G17" s="15" t="s">
        <v>85</v>
      </c>
      <c r="H17" s="13" t="s">
        <v>86</v>
      </c>
      <c r="I17" s="15" t="s">
        <v>85</v>
      </c>
      <c r="J17" s="15" t="s">
        <v>87</v>
      </c>
      <c r="K17" s="15" t="s">
        <v>88</v>
      </c>
      <c r="L17" s="13" t="s">
        <v>89</v>
      </c>
      <c r="M17" s="15" t="s">
        <v>90</v>
      </c>
      <c r="N17" s="13" t="s">
        <v>91</v>
      </c>
      <c r="O17" s="15"/>
      <c r="P17" s="15"/>
      <c r="Q17" s="15" t="s">
        <v>185</v>
      </c>
      <c r="R17" s="13" t="s">
        <v>186</v>
      </c>
      <c r="S17" s="13" t="s">
        <v>182</v>
      </c>
      <c r="T17" s="13" t="s">
        <v>162</v>
      </c>
      <c r="U17" s="14">
        <v>43826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43.5" x14ac:dyDescent="0.35">
      <c r="A18" s="13" t="s">
        <v>80</v>
      </c>
      <c r="B18" s="13" t="s">
        <v>81</v>
      </c>
      <c r="C18" s="14">
        <v>43894.611805555556</v>
      </c>
      <c r="D18" s="13" t="s">
        <v>82</v>
      </c>
      <c r="E18" s="15" t="s">
        <v>83</v>
      </c>
      <c r="F18" s="13" t="s">
        <v>84</v>
      </c>
      <c r="G18" s="15" t="s">
        <v>85</v>
      </c>
      <c r="H18" s="13" t="s">
        <v>86</v>
      </c>
      <c r="I18" s="15" t="s">
        <v>85</v>
      </c>
      <c r="J18" s="15" t="s">
        <v>87</v>
      </c>
      <c r="K18" s="15" t="s">
        <v>88</v>
      </c>
      <c r="L18" s="13" t="s">
        <v>143</v>
      </c>
      <c r="M18" s="15" t="s">
        <v>144</v>
      </c>
      <c r="N18" s="13" t="s">
        <v>145</v>
      </c>
      <c r="O18" s="15"/>
      <c r="P18" s="15"/>
      <c r="Q18" s="15" t="s">
        <v>185</v>
      </c>
      <c r="R18" s="13" t="s">
        <v>186</v>
      </c>
      <c r="S18" s="13" t="s">
        <v>182</v>
      </c>
      <c r="T18" s="13" t="s">
        <v>162</v>
      </c>
      <c r="U18" s="14">
        <v>43826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43.5" x14ac:dyDescent="0.35">
      <c r="A19" s="13" t="s">
        <v>80</v>
      </c>
      <c r="B19" s="13" t="s">
        <v>81</v>
      </c>
      <c r="C19" s="14">
        <v>43894.620833333334</v>
      </c>
      <c r="D19" s="13" t="s">
        <v>82</v>
      </c>
      <c r="E19" s="15" t="s">
        <v>83</v>
      </c>
      <c r="F19" s="13" t="s">
        <v>84</v>
      </c>
      <c r="G19" s="15" t="s">
        <v>85</v>
      </c>
      <c r="H19" s="13" t="s">
        <v>86</v>
      </c>
      <c r="I19" s="15" t="s">
        <v>85</v>
      </c>
      <c r="J19" s="15" t="s">
        <v>87</v>
      </c>
      <c r="K19" s="15" t="s">
        <v>88</v>
      </c>
      <c r="L19" s="13" t="s">
        <v>89</v>
      </c>
      <c r="M19" s="15" t="s">
        <v>90</v>
      </c>
      <c r="N19" s="13" t="s">
        <v>91</v>
      </c>
      <c r="O19" s="15"/>
      <c r="P19" s="15"/>
      <c r="Q19" s="15" t="s">
        <v>187</v>
      </c>
      <c r="R19" s="13" t="s">
        <v>188</v>
      </c>
      <c r="S19" s="13" t="s">
        <v>182</v>
      </c>
      <c r="T19" s="13" t="s">
        <v>162</v>
      </c>
      <c r="U19" s="14">
        <v>43826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43.5" x14ac:dyDescent="0.35">
      <c r="A20" s="13" t="s">
        <v>80</v>
      </c>
      <c r="B20" s="13" t="s">
        <v>81</v>
      </c>
      <c r="C20" s="14">
        <v>43894.612500000003</v>
      </c>
      <c r="D20" s="13" t="s">
        <v>82</v>
      </c>
      <c r="E20" s="15" t="s">
        <v>83</v>
      </c>
      <c r="F20" s="13" t="s">
        <v>84</v>
      </c>
      <c r="G20" s="15" t="s">
        <v>85</v>
      </c>
      <c r="H20" s="13" t="s">
        <v>86</v>
      </c>
      <c r="I20" s="15" t="s">
        <v>85</v>
      </c>
      <c r="J20" s="15" t="s">
        <v>87</v>
      </c>
      <c r="K20" s="15" t="s">
        <v>88</v>
      </c>
      <c r="L20" s="13" t="s">
        <v>143</v>
      </c>
      <c r="M20" s="15" t="s">
        <v>144</v>
      </c>
      <c r="N20" s="13" t="s">
        <v>145</v>
      </c>
      <c r="O20" s="15"/>
      <c r="P20" s="15"/>
      <c r="Q20" s="15" t="s">
        <v>187</v>
      </c>
      <c r="R20" s="13" t="s">
        <v>188</v>
      </c>
      <c r="S20" s="13" t="s">
        <v>182</v>
      </c>
      <c r="T20" s="13" t="s">
        <v>162</v>
      </c>
      <c r="U20" s="14">
        <v>43826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43.5" x14ac:dyDescent="0.35">
      <c r="A21" s="13" t="s">
        <v>80</v>
      </c>
      <c r="B21" s="13" t="s">
        <v>81</v>
      </c>
      <c r="C21" s="14">
        <v>43894.625</v>
      </c>
      <c r="D21" s="13" t="s">
        <v>82</v>
      </c>
      <c r="E21" s="15" t="s">
        <v>83</v>
      </c>
      <c r="F21" s="13" t="s">
        <v>84</v>
      </c>
      <c r="G21" s="15" t="s">
        <v>85</v>
      </c>
      <c r="H21" s="13" t="s">
        <v>86</v>
      </c>
      <c r="I21" s="15" t="s">
        <v>85</v>
      </c>
      <c r="J21" s="15" t="s">
        <v>87</v>
      </c>
      <c r="K21" s="15" t="s">
        <v>88</v>
      </c>
      <c r="L21" s="13" t="s">
        <v>89</v>
      </c>
      <c r="M21" s="15" t="s">
        <v>90</v>
      </c>
      <c r="N21" s="13" t="s">
        <v>91</v>
      </c>
      <c r="O21" s="15"/>
      <c r="P21" s="15"/>
      <c r="Q21" s="15" t="s">
        <v>189</v>
      </c>
      <c r="R21" s="13" t="s">
        <v>190</v>
      </c>
      <c r="S21" s="13" t="s">
        <v>182</v>
      </c>
      <c r="T21" s="13" t="s">
        <v>162</v>
      </c>
      <c r="U21" s="14">
        <v>43826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43.5" x14ac:dyDescent="0.35">
      <c r="A22" s="13" t="s">
        <v>80</v>
      </c>
      <c r="B22" s="13" t="s">
        <v>81</v>
      </c>
      <c r="C22" s="14">
        <v>43894.613194444442</v>
      </c>
      <c r="D22" s="13" t="s">
        <v>82</v>
      </c>
      <c r="E22" s="15" t="s">
        <v>83</v>
      </c>
      <c r="F22" s="13" t="s">
        <v>84</v>
      </c>
      <c r="G22" s="15" t="s">
        <v>85</v>
      </c>
      <c r="H22" s="13" t="s">
        <v>86</v>
      </c>
      <c r="I22" s="15" t="s">
        <v>85</v>
      </c>
      <c r="J22" s="15" t="s">
        <v>87</v>
      </c>
      <c r="K22" s="15" t="s">
        <v>88</v>
      </c>
      <c r="L22" s="13" t="s">
        <v>143</v>
      </c>
      <c r="M22" s="15" t="s">
        <v>144</v>
      </c>
      <c r="N22" s="13" t="s">
        <v>145</v>
      </c>
      <c r="O22" s="15"/>
      <c r="P22" s="15"/>
      <c r="Q22" s="15" t="s">
        <v>189</v>
      </c>
      <c r="R22" s="13" t="s">
        <v>190</v>
      </c>
      <c r="S22" s="13" t="s">
        <v>182</v>
      </c>
      <c r="T22" s="13" t="s">
        <v>162</v>
      </c>
      <c r="U22" s="14">
        <v>43826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43.5" x14ac:dyDescent="0.35">
      <c r="A23" s="13" t="s">
        <v>80</v>
      </c>
      <c r="B23" s="13" t="s">
        <v>81</v>
      </c>
      <c r="C23" s="14">
        <v>43894.626388888886</v>
      </c>
      <c r="D23" s="13" t="s">
        <v>82</v>
      </c>
      <c r="E23" s="15" t="s">
        <v>83</v>
      </c>
      <c r="F23" s="13" t="s">
        <v>84</v>
      </c>
      <c r="G23" s="15" t="s">
        <v>85</v>
      </c>
      <c r="H23" s="13" t="s">
        <v>86</v>
      </c>
      <c r="I23" s="15" t="s">
        <v>85</v>
      </c>
      <c r="J23" s="15" t="s">
        <v>87</v>
      </c>
      <c r="K23" s="15" t="s">
        <v>88</v>
      </c>
      <c r="L23" s="13" t="s">
        <v>89</v>
      </c>
      <c r="M23" s="15" t="s">
        <v>90</v>
      </c>
      <c r="N23" s="13" t="s">
        <v>91</v>
      </c>
      <c r="O23" s="15"/>
      <c r="P23" s="15"/>
      <c r="Q23" s="15" t="s">
        <v>191</v>
      </c>
      <c r="R23" s="13" t="s">
        <v>192</v>
      </c>
      <c r="S23" s="13" t="s">
        <v>182</v>
      </c>
      <c r="T23" s="13" t="s">
        <v>162</v>
      </c>
      <c r="U23" s="14">
        <v>43826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43.5" x14ac:dyDescent="0.35">
      <c r="A24" s="13" t="s">
        <v>80</v>
      </c>
      <c r="B24" s="13" t="s">
        <v>81</v>
      </c>
      <c r="C24" s="14">
        <v>43894.613888888889</v>
      </c>
      <c r="D24" s="13" t="s">
        <v>82</v>
      </c>
      <c r="E24" s="15" t="s">
        <v>83</v>
      </c>
      <c r="F24" s="13" t="s">
        <v>84</v>
      </c>
      <c r="G24" s="15" t="s">
        <v>85</v>
      </c>
      <c r="H24" s="13" t="s">
        <v>86</v>
      </c>
      <c r="I24" s="15" t="s">
        <v>85</v>
      </c>
      <c r="J24" s="15" t="s">
        <v>87</v>
      </c>
      <c r="K24" s="15" t="s">
        <v>88</v>
      </c>
      <c r="L24" s="13" t="s">
        <v>143</v>
      </c>
      <c r="M24" s="15" t="s">
        <v>144</v>
      </c>
      <c r="N24" s="13" t="s">
        <v>145</v>
      </c>
      <c r="O24" s="15"/>
      <c r="P24" s="15"/>
      <c r="Q24" s="15" t="s">
        <v>191</v>
      </c>
      <c r="R24" s="13" t="s">
        <v>192</v>
      </c>
      <c r="S24" s="13" t="s">
        <v>182</v>
      </c>
      <c r="T24" s="13" t="s">
        <v>162</v>
      </c>
      <c r="U24" s="14">
        <v>43826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43.5" x14ac:dyDescent="0.35">
      <c r="A25" s="13" t="s">
        <v>193</v>
      </c>
      <c r="B25" s="13" t="s">
        <v>142</v>
      </c>
      <c r="C25" s="14">
        <v>45995.637499999997</v>
      </c>
      <c r="D25" s="13" t="s">
        <v>82</v>
      </c>
      <c r="E25" s="15" t="s">
        <v>83</v>
      </c>
      <c r="F25" s="13" t="s">
        <v>84</v>
      </c>
      <c r="G25" s="15" t="s">
        <v>85</v>
      </c>
      <c r="H25" s="13" t="s">
        <v>86</v>
      </c>
      <c r="I25" s="15" t="s">
        <v>85</v>
      </c>
      <c r="J25" s="15" t="s">
        <v>87</v>
      </c>
      <c r="K25" s="15" t="s">
        <v>88</v>
      </c>
      <c r="L25" s="13" t="s">
        <v>89</v>
      </c>
      <c r="M25" s="15" t="s">
        <v>90</v>
      </c>
      <c r="N25" s="13" t="s">
        <v>91</v>
      </c>
      <c r="O25" s="15"/>
      <c r="P25" s="15"/>
      <c r="Q25" s="15" t="s">
        <v>194</v>
      </c>
      <c r="R25" s="13" t="s">
        <v>195</v>
      </c>
      <c r="S25" s="13" t="s">
        <v>182</v>
      </c>
      <c r="T25" s="13" t="s">
        <v>162</v>
      </c>
      <c r="U25" s="14">
        <v>43826</v>
      </c>
      <c r="V25" s="14">
        <v>45900</v>
      </c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43.5" x14ac:dyDescent="0.35">
      <c r="A26" s="13" t="s">
        <v>193</v>
      </c>
      <c r="B26" s="13" t="s">
        <v>81</v>
      </c>
      <c r="C26" s="14">
        <v>45995.637499999997</v>
      </c>
      <c r="D26" s="13" t="s">
        <v>82</v>
      </c>
      <c r="E26" s="15" t="s">
        <v>83</v>
      </c>
      <c r="F26" s="13" t="s">
        <v>84</v>
      </c>
      <c r="G26" s="15" t="s">
        <v>85</v>
      </c>
      <c r="H26" s="13" t="s">
        <v>86</v>
      </c>
      <c r="I26" s="15" t="s">
        <v>85</v>
      </c>
      <c r="J26" s="15" t="s">
        <v>87</v>
      </c>
      <c r="K26" s="15" t="s">
        <v>88</v>
      </c>
      <c r="L26" s="13" t="s">
        <v>89</v>
      </c>
      <c r="M26" s="15" t="s">
        <v>90</v>
      </c>
      <c r="N26" s="13" t="s">
        <v>91</v>
      </c>
      <c r="O26" s="15"/>
      <c r="P26" s="15"/>
      <c r="Q26" s="15" t="s">
        <v>194</v>
      </c>
      <c r="R26" s="13" t="s">
        <v>195</v>
      </c>
      <c r="S26" s="13" t="s">
        <v>182</v>
      </c>
      <c r="T26" s="13" t="s">
        <v>95</v>
      </c>
      <c r="U26" s="14">
        <v>45901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43.5" x14ac:dyDescent="0.35">
      <c r="A27" s="13" t="s">
        <v>193</v>
      </c>
      <c r="B27" s="13" t="s">
        <v>142</v>
      </c>
      <c r="C27" s="14">
        <v>45995.638888888891</v>
      </c>
      <c r="D27" s="13" t="s">
        <v>82</v>
      </c>
      <c r="E27" s="15" t="s">
        <v>83</v>
      </c>
      <c r="F27" s="13" t="s">
        <v>84</v>
      </c>
      <c r="G27" s="15" t="s">
        <v>85</v>
      </c>
      <c r="H27" s="13" t="s">
        <v>86</v>
      </c>
      <c r="I27" s="15" t="s">
        <v>85</v>
      </c>
      <c r="J27" s="15" t="s">
        <v>87</v>
      </c>
      <c r="K27" s="15" t="s">
        <v>88</v>
      </c>
      <c r="L27" s="13" t="s">
        <v>143</v>
      </c>
      <c r="M27" s="15" t="s">
        <v>144</v>
      </c>
      <c r="N27" s="13" t="s">
        <v>145</v>
      </c>
      <c r="O27" s="15"/>
      <c r="P27" s="15"/>
      <c r="Q27" s="15" t="s">
        <v>194</v>
      </c>
      <c r="R27" s="13" t="s">
        <v>195</v>
      </c>
      <c r="S27" s="13" t="s">
        <v>182</v>
      </c>
      <c r="T27" s="13" t="s">
        <v>162</v>
      </c>
      <c r="U27" s="14">
        <v>43826</v>
      </c>
      <c r="V27" s="14">
        <v>45900</v>
      </c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43.5" x14ac:dyDescent="0.35">
      <c r="A28" s="13" t="s">
        <v>193</v>
      </c>
      <c r="B28" s="13" t="s">
        <v>81</v>
      </c>
      <c r="C28" s="14">
        <v>45995.638888888891</v>
      </c>
      <c r="D28" s="13" t="s">
        <v>82</v>
      </c>
      <c r="E28" s="15" t="s">
        <v>83</v>
      </c>
      <c r="F28" s="13" t="s">
        <v>84</v>
      </c>
      <c r="G28" s="15" t="s">
        <v>85</v>
      </c>
      <c r="H28" s="13" t="s">
        <v>86</v>
      </c>
      <c r="I28" s="15" t="s">
        <v>85</v>
      </c>
      <c r="J28" s="15" t="s">
        <v>87</v>
      </c>
      <c r="K28" s="15" t="s">
        <v>88</v>
      </c>
      <c r="L28" s="13" t="s">
        <v>143</v>
      </c>
      <c r="M28" s="15" t="s">
        <v>144</v>
      </c>
      <c r="N28" s="13" t="s">
        <v>145</v>
      </c>
      <c r="O28" s="15"/>
      <c r="P28" s="15"/>
      <c r="Q28" s="15" t="s">
        <v>194</v>
      </c>
      <c r="R28" s="13" t="s">
        <v>195</v>
      </c>
      <c r="S28" s="13" t="s">
        <v>182</v>
      </c>
      <c r="T28" s="13" t="s">
        <v>95</v>
      </c>
      <c r="U28" s="14">
        <v>45901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43.5" x14ac:dyDescent="0.35">
      <c r="A29" s="13" t="s">
        <v>80</v>
      </c>
      <c r="B29" s="13" t="s">
        <v>81</v>
      </c>
      <c r="C29" s="14">
        <v>43894.628472222219</v>
      </c>
      <c r="D29" s="13" t="s">
        <v>82</v>
      </c>
      <c r="E29" s="15" t="s">
        <v>83</v>
      </c>
      <c r="F29" s="13" t="s">
        <v>84</v>
      </c>
      <c r="G29" s="15" t="s">
        <v>85</v>
      </c>
      <c r="H29" s="13" t="s">
        <v>86</v>
      </c>
      <c r="I29" s="15" t="s">
        <v>85</v>
      </c>
      <c r="J29" s="15" t="s">
        <v>87</v>
      </c>
      <c r="K29" s="15" t="s">
        <v>88</v>
      </c>
      <c r="L29" s="13" t="s">
        <v>89</v>
      </c>
      <c r="M29" s="15" t="s">
        <v>90</v>
      </c>
      <c r="N29" s="13" t="s">
        <v>91</v>
      </c>
      <c r="O29" s="15"/>
      <c r="P29" s="15"/>
      <c r="Q29" s="15" t="s">
        <v>201</v>
      </c>
      <c r="R29" s="13" t="s">
        <v>202</v>
      </c>
      <c r="S29" s="13" t="s">
        <v>182</v>
      </c>
      <c r="T29" s="13" t="s">
        <v>162</v>
      </c>
      <c r="U29" s="14">
        <v>43826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43.5" x14ac:dyDescent="0.35">
      <c r="A30" s="13" t="s">
        <v>80</v>
      </c>
      <c r="B30" s="13" t="s">
        <v>81</v>
      </c>
      <c r="C30" s="14">
        <v>43894.615277777775</v>
      </c>
      <c r="D30" s="13" t="s">
        <v>82</v>
      </c>
      <c r="E30" s="15" t="s">
        <v>83</v>
      </c>
      <c r="F30" s="13" t="s">
        <v>84</v>
      </c>
      <c r="G30" s="15" t="s">
        <v>85</v>
      </c>
      <c r="H30" s="13" t="s">
        <v>86</v>
      </c>
      <c r="I30" s="15" t="s">
        <v>85</v>
      </c>
      <c r="J30" s="15" t="s">
        <v>87</v>
      </c>
      <c r="K30" s="15" t="s">
        <v>88</v>
      </c>
      <c r="L30" s="13" t="s">
        <v>143</v>
      </c>
      <c r="M30" s="15" t="s">
        <v>144</v>
      </c>
      <c r="N30" s="13" t="s">
        <v>145</v>
      </c>
      <c r="O30" s="15"/>
      <c r="P30" s="15"/>
      <c r="Q30" s="15" t="s">
        <v>201</v>
      </c>
      <c r="R30" s="13" t="s">
        <v>202</v>
      </c>
      <c r="S30" s="13" t="s">
        <v>182</v>
      </c>
      <c r="T30" s="13" t="s">
        <v>162</v>
      </c>
      <c r="U30" s="14">
        <v>43826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43.5" x14ac:dyDescent="0.35">
      <c r="A31" s="13" t="s">
        <v>159</v>
      </c>
      <c r="B31" s="13" t="s">
        <v>81</v>
      </c>
      <c r="C31" s="14">
        <v>44959.599305555559</v>
      </c>
      <c r="D31" s="13" t="s">
        <v>82</v>
      </c>
      <c r="E31" s="15" t="s">
        <v>83</v>
      </c>
      <c r="F31" s="13" t="s">
        <v>84</v>
      </c>
      <c r="G31" s="15" t="s">
        <v>85</v>
      </c>
      <c r="H31" s="13" t="s">
        <v>203</v>
      </c>
      <c r="I31" s="15" t="s">
        <v>204</v>
      </c>
      <c r="J31" s="15" t="s">
        <v>205</v>
      </c>
      <c r="K31" s="15" t="s">
        <v>206</v>
      </c>
      <c r="L31" s="13" t="s">
        <v>207</v>
      </c>
      <c r="M31" s="15" t="s">
        <v>208</v>
      </c>
      <c r="N31" s="13" t="s">
        <v>91</v>
      </c>
      <c r="O31" s="15"/>
      <c r="P31" s="15"/>
      <c r="Q31" s="15" t="s">
        <v>92</v>
      </c>
      <c r="R31" s="13" t="s">
        <v>93</v>
      </c>
      <c r="S31" s="13" t="s">
        <v>94</v>
      </c>
      <c r="T31" s="13" t="s">
        <v>95</v>
      </c>
      <c r="U31" s="14">
        <v>44767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43.5" x14ac:dyDescent="0.35">
      <c r="A32" s="13" t="s">
        <v>159</v>
      </c>
      <c r="B32" s="13" t="s">
        <v>81</v>
      </c>
      <c r="C32" s="14">
        <v>44959.581250000003</v>
      </c>
      <c r="D32" s="13" t="s">
        <v>82</v>
      </c>
      <c r="E32" s="15" t="s">
        <v>83</v>
      </c>
      <c r="F32" s="13" t="s">
        <v>84</v>
      </c>
      <c r="G32" s="15" t="s">
        <v>85</v>
      </c>
      <c r="H32" s="13" t="s">
        <v>203</v>
      </c>
      <c r="I32" s="15" t="s">
        <v>204</v>
      </c>
      <c r="J32" s="15" t="s">
        <v>205</v>
      </c>
      <c r="K32" s="15" t="s">
        <v>206</v>
      </c>
      <c r="L32" s="13" t="s">
        <v>224</v>
      </c>
      <c r="M32" s="15" t="s">
        <v>225</v>
      </c>
      <c r="N32" s="13" t="s">
        <v>145</v>
      </c>
      <c r="O32" s="15"/>
      <c r="P32" s="15"/>
      <c r="Q32" s="15" t="s">
        <v>92</v>
      </c>
      <c r="R32" s="13" t="s">
        <v>93</v>
      </c>
      <c r="S32" s="13" t="s">
        <v>94</v>
      </c>
      <c r="T32" s="13" t="s">
        <v>95</v>
      </c>
      <c r="U32" s="14">
        <v>44767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43.5" x14ac:dyDescent="0.35">
      <c r="A33" s="13" t="s">
        <v>159</v>
      </c>
      <c r="B33" s="13" t="s">
        <v>81</v>
      </c>
      <c r="C33" s="14">
        <v>44959.574999999997</v>
      </c>
      <c r="D33" s="13" t="s">
        <v>82</v>
      </c>
      <c r="E33" s="15" t="s">
        <v>83</v>
      </c>
      <c r="F33" s="13" t="s">
        <v>84</v>
      </c>
      <c r="G33" s="15" t="s">
        <v>85</v>
      </c>
      <c r="H33" s="13" t="s">
        <v>203</v>
      </c>
      <c r="I33" s="15" t="s">
        <v>204</v>
      </c>
      <c r="J33" s="15" t="s">
        <v>205</v>
      </c>
      <c r="K33" s="15" t="s">
        <v>206</v>
      </c>
      <c r="L33" s="13" t="s">
        <v>207</v>
      </c>
      <c r="M33" s="15" t="s">
        <v>208</v>
      </c>
      <c r="N33" s="13" t="s">
        <v>91</v>
      </c>
      <c r="O33" s="15"/>
      <c r="P33" s="15"/>
      <c r="Q33" s="15" t="s">
        <v>160</v>
      </c>
      <c r="R33" s="13" t="s">
        <v>161</v>
      </c>
      <c r="S33" s="13" t="s">
        <v>94</v>
      </c>
      <c r="T33" s="13" t="s">
        <v>162</v>
      </c>
      <c r="U33" s="14">
        <v>44767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43.5" x14ac:dyDescent="0.35">
      <c r="A34" s="13" t="s">
        <v>159</v>
      </c>
      <c r="B34" s="13" t="s">
        <v>81</v>
      </c>
      <c r="C34" s="14">
        <v>44959.582638888889</v>
      </c>
      <c r="D34" s="13" t="s">
        <v>82</v>
      </c>
      <c r="E34" s="15" t="s">
        <v>83</v>
      </c>
      <c r="F34" s="13" t="s">
        <v>84</v>
      </c>
      <c r="G34" s="15" t="s">
        <v>85</v>
      </c>
      <c r="H34" s="13" t="s">
        <v>203</v>
      </c>
      <c r="I34" s="15" t="s">
        <v>204</v>
      </c>
      <c r="J34" s="15" t="s">
        <v>205</v>
      </c>
      <c r="K34" s="15" t="s">
        <v>206</v>
      </c>
      <c r="L34" s="13" t="s">
        <v>224</v>
      </c>
      <c r="M34" s="15" t="s">
        <v>225</v>
      </c>
      <c r="N34" s="13" t="s">
        <v>145</v>
      </c>
      <c r="O34" s="15"/>
      <c r="P34" s="15"/>
      <c r="Q34" s="15" t="s">
        <v>160</v>
      </c>
      <c r="R34" s="13" t="s">
        <v>161</v>
      </c>
      <c r="S34" s="13" t="s">
        <v>94</v>
      </c>
      <c r="T34" s="13" t="s">
        <v>162</v>
      </c>
      <c r="U34" s="14">
        <v>44767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43.5" x14ac:dyDescent="0.35">
      <c r="A35" s="13" t="s">
        <v>159</v>
      </c>
      <c r="B35" s="13" t="s">
        <v>81</v>
      </c>
      <c r="C35" s="14">
        <v>44959.599305555559</v>
      </c>
      <c r="D35" s="13" t="s">
        <v>82</v>
      </c>
      <c r="E35" s="15" t="s">
        <v>83</v>
      </c>
      <c r="F35" s="13" t="s">
        <v>84</v>
      </c>
      <c r="G35" s="15" t="s">
        <v>85</v>
      </c>
      <c r="H35" s="13" t="s">
        <v>203</v>
      </c>
      <c r="I35" s="15" t="s">
        <v>204</v>
      </c>
      <c r="J35" s="15" t="s">
        <v>205</v>
      </c>
      <c r="K35" s="15" t="s">
        <v>206</v>
      </c>
      <c r="L35" s="13" t="s">
        <v>207</v>
      </c>
      <c r="M35" s="15" t="s">
        <v>208</v>
      </c>
      <c r="N35" s="13" t="s">
        <v>91</v>
      </c>
      <c r="O35" s="15"/>
      <c r="P35" s="15"/>
      <c r="Q35" s="15" t="s">
        <v>163</v>
      </c>
      <c r="R35" s="13" t="s">
        <v>164</v>
      </c>
      <c r="S35" s="13" t="s">
        <v>94</v>
      </c>
      <c r="T35" s="13" t="s">
        <v>95</v>
      </c>
      <c r="U35" s="14">
        <v>44767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43.5" x14ac:dyDescent="0.35">
      <c r="A36" s="13" t="s">
        <v>159</v>
      </c>
      <c r="B36" s="13" t="s">
        <v>81</v>
      </c>
      <c r="C36" s="14">
        <v>44959.583333333336</v>
      </c>
      <c r="D36" s="13" t="s">
        <v>82</v>
      </c>
      <c r="E36" s="15" t="s">
        <v>83</v>
      </c>
      <c r="F36" s="13" t="s">
        <v>84</v>
      </c>
      <c r="G36" s="15" t="s">
        <v>85</v>
      </c>
      <c r="H36" s="13" t="s">
        <v>203</v>
      </c>
      <c r="I36" s="15" t="s">
        <v>204</v>
      </c>
      <c r="J36" s="15" t="s">
        <v>205</v>
      </c>
      <c r="K36" s="15" t="s">
        <v>206</v>
      </c>
      <c r="L36" s="13" t="s">
        <v>224</v>
      </c>
      <c r="M36" s="15" t="s">
        <v>225</v>
      </c>
      <c r="N36" s="13" t="s">
        <v>145</v>
      </c>
      <c r="O36" s="15"/>
      <c r="P36" s="15"/>
      <c r="Q36" s="15" t="s">
        <v>163</v>
      </c>
      <c r="R36" s="13" t="s">
        <v>164</v>
      </c>
      <c r="S36" s="13" t="s">
        <v>94</v>
      </c>
      <c r="T36" s="13" t="s">
        <v>95</v>
      </c>
      <c r="U36" s="14">
        <v>44767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43.5" x14ac:dyDescent="0.35">
      <c r="A37" s="13" t="s">
        <v>193</v>
      </c>
      <c r="B37" s="13" t="s">
        <v>142</v>
      </c>
      <c r="C37" s="14">
        <v>45993.489583333336</v>
      </c>
      <c r="D37" s="13" t="s">
        <v>82</v>
      </c>
      <c r="E37" s="15" t="s">
        <v>83</v>
      </c>
      <c r="F37" s="13" t="s">
        <v>84</v>
      </c>
      <c r="G37" s="15" t="s">
        <v>85</v>
      </c>
      <c r="H37" s="13" t="s">
        <v>203</v>
      </c>
      <c r="I37" s="15" t="s">
        <v>204</v>
      </c>
      <c r="J37" s="15" t="s">
        <v>205</v>
      </c>
      <c r="K37" s="15" t="s">
        <v>206</v>
      </c>
      <c r="L37" s="13" t="s">
        <v>207</v>
      </c>
      <c r="M37" s="15" t="s">
        <v>208</v>
      </c>
      <c r="N37" s="13" t="s">
        <v>91</v>
      </c>
      <c r="O37" s="15"/>
      <c r="P37" s="15"/>
      <c r="Q37" s="15" t="s">
        <v>172</v>
      </c>
      <c r="R37" s="13" t="s">
        <v>173</v>
      </c>
      <c r="S37" s="13" t="s">
        <v>94</v>
      </c>
      <c r="T37" s="13" t="s">
        <v>95</v>
      </c>
      <c r="U37" s="14">
        <v>44767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43.5" x14ac:dyDescent="0.35">
      <c r="A38" s="13" t="s">
        <v>193</v>
      </c>
      <c r="B38" s="13" t="s">
        <v>142</v>
      </c>
      <c r="C38" s="14">
        <v>45993.460416666669</v>
      </c>
      <c r="D38" s="13" t="s">
        <v>82</v>
      </c>
      <c r="E38" s="15" t="s">
        <v>83</v>
      </c>
      <c r="F38" s="13" t="s">
        <v>84</v>
      </c>
      <c r="G38" s="15" t="s">
        <v>85</v>
      </c>
      <c r="H38" s="13" t="s">
        <v>203</v>
      </c>
      <c r="I38" s="15" t="s">
        <v>204</v>
      </c>
      <c r="J38" s="15" t="s">
        <v>205</v>
      </c>
      <c r="K38" s="15" t="s">
        <v>206</v>
      </c>
      <c r="L38" s="13" t="s">
        <v>224</v>
      </c>
      <c r="M38" s="15" t="s">
        <v>225</v>
      </c>
      <c r="N38" s="13" t="s">
        <v>145</v>
      </c>
      <c r="O38" s="15"/>
      <c r="P38" s="15"/>
      <c r="Q38" s="15" t="s">
        <v>172</v>
      </c>
      <c r="R38" s="13" t="s">
        <v>173</v>
      </c>
      <c r="S38" s="13" t="s">
        <v>94</v>
      </c>
      <c r="T38" s="13" t="s">
        <v>95</v>
      </c>
      <c r="U38" s="14">
        <v>44767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43.5" x14ac:dyDescent="0.35">
      <c r="A39" s="13" t="s">
        <v>159</v>
      </c>
      <c r="B39" s="13" t="s">
        <v>81</v>
      </c>
      <c r="C39" s="14">
        <v>44959.601388888892</v>
      </c>
      <c r="D39" s="13" t="s">
        <v>82</v>
      </c>
      <c r="E39" s="15" t="s">
        <v>83</v>
      </c>
      <c r="F39" s="13" t="s">
        <v>84</v>
      </c>
      <c r="G39" s="15" t="s">
        <v>85</v>
      </c>
      <c r="H39" s="13" t="s">
        <v>203</v>
      </c>
      <c r="I39" s="15" t="s">
        <v>204</v>
      </c>
      <c r="J39" s="15" t="s">
        <v>205</v>
      </c>
      <c r="K39" s="15" t="s">
        <v>206</v>
      </c>
      <c r="L39" s="13" t="s">
        <v>207</v>
      </c>
      <c r="M39" s="15" t="s">
        <v>208</v>
      </c>
      <c r="N39" s="13" t="s">
        <v>91</v>
      </c>
      <c r="O39" s="15"/>
      <c r="P39" s="15"/>
      <c r="Q39" s="15" t="s">
        <v>177</v>
      </c>
      <c r="R39" s="13" t="s">
        <v>178</v>
      </c>
      <c r="S39" s="13" t="s">
        <v>94</v>
      </c>
      <c r="T39" s="13" t="s">
        <v>95</v>
      </c>
      <c r="U39" s="14">
        <v>44767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43.5" x14ac:dyDescent="0.35">
      <c r="A40" s="13" t="s">
        <v>159</v>
      </c>
      <c r="B40" s="13" t="s">
        <v>81</v>
      </c>
      <c r="C40" s="14">
        <v>44959.581944444442</v>
      </c>
      <c r="D40" s="13" t="s">
        <v>82</v>
      </c>
      <c r="E40" s="15" t="s">
        <v>83</v>
      </c>
      <c r="F40" s="13" t="s">
        <v>84</v>
      </c>
      <c r="G40" s="15" t="s">
        <v>85</v>
      </c>
      <c r="H40" s="13" t="s">
        <v>203</v>
      </c>
      <c r="I40" s="15" t="s">
        <v>204</v>
      </c>
      <c r="J40" s="15" t="s">
        <v>205</v>
      </c>
      <c r="K40" s="15" t="s">
        <v>206</v>
      </c>
      <c r="L40" s="13" t="s">
        <v>224</v>
      </c>
      <c r="M40" s="15" t="s">
        <v>225</v>
      </c>
      <c r="N40" s="13" t="s">
        <v>145</v>
      </c>
      <c r="O40" s="15"/>
      <c r="P40" s="15"/>
      <c r="Q40" s="15" t="s">
        <v>177</v>
      </c>
      <c r="R40" s="13" t="s">
        <v>178</v>
      </c>
      <c r="S40" s="13" t="s">
        <v>94</v>
      </c>
      <c r="T40" s="13" t="s">
        <v>95</v>
      </c>
      <c r="U40" s="14">
        <v>44767</v>
      </c>
      <c r="V40" s="14"/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43.5" x14ac:dyDescent="0.35">
      <c r="A41" s="13" t="s">
        <v>159</v>
      </c>
      <c r="B41" s="13" t="s">
        <v>81</v>
      </c>
      <c r="C41" s="14">
        <v>44959.545138888891</v>
      </c>
      <c r="D41" s="13" t="s">
        <v>82</v>
      </c>
      <c r="E41" s="15" t="s">
        <v>83</v>
      </c>
      <c r="F41" s="13" t="s">
        <v>84</v>
      </c>
      <c r="G41" s="15" t="s">
        <v>85</v>
      </c>
      <c r="H41" s="13" t="s">
        <v>203</v>
      </c>
      <c r="I41" s="15" t="s">
        <v>204</v>
      </c>
      <c r="J41" s="15" t="s">
        <v>205</v>
      </c>
      <c r="K41" s="15" t="s">
        <v>206</v>
      </c>
      <c r="L41" s="13" t="s">
        <v>207</v>
      </c>
      <c r="M41" s="15" t="s">
        <v>208</v>
      </c>
      <c r="N41" s="13" t="s">
        <v>91</v>
      </c>
      <c r="O41" s="15"/>
      <c r="P41" s="15"/>
      <c r="Q41" s="15" t="s">
        <v>180</v>
      </c>
      <c r="R41" s="13" t="s">
        <v>181</v>
      </c>
      <c r="S41" s="13" t="s">
        <v>182</v>
      </c>
      <c r="T41" s="13" t="s">
        <v>162</v>
      </c>
      <c r="U41" s="14">
        <v>44767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43.5" x14ac:dyDescent="0.35">
      <c r="A42" s="13" t="s">
        <v>159</v>
      </c>
      <c r="B42" s="13" t="s">
        <v>81</v>
      </c>
      <c r="C42" s="14">
        <v>44959.546527777777</v>
      </c>
      <c r="D42" s="13" t="s">
        <v>82</v>
      </c>
      <c r="E42" s="15" t="s">
        <v>83</v>
      </c>
      <c r="F42" s="13" t="s">
        <v>84</v>
      </c>
      <c r="G42" s="15" t="s">
        <v>85</v>
      </c>
      <c r="H42" s="13" t="s">
        <v>203</v>
      </c>
      <c r="I42" s="15" t="s">
        <v>204</v>
      </c>
      <c r="J42" s="15" t="s">
        <v>205</v>
      </c>
      <c r="K42" s="15" t="s">
        <v>206</v>
      </c>
      <c r="L42" s="13" t="s">
        <v>224</v>
      </c>
      <c r="M42" s="15" t="s">
        <v>225</v>
      </c>
      <c r="N42" s="13" t="s">
        <v>145</v>
      </c>
      <c r="O42" s="15"/>
      <c r="P42" s="15"/>
      <c r="Q42" s="15" t="s">
        <v>180</v>
      </c>
      <c r="R42" s="13" t="s">
        <v>181</v>
      </c>
      <c r="S42" s="13" t="s">
        <v>182</v>
      </c>
      <c r="T42" s="13" t="s">
        <v>162</v>
      </c>
      <c r="U42" s="14">
        <v>44767</v>
      </c>
      <c r="V42" s="14"/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43.5" x14ac:dyDescent="0.35">
      <c r="A43" s="13" t="s">
        <v>159</v>
      </c>
      <c r="B43" s="13" t="s">
        <v>81</v>
      </c>
      <c r="C43" s="14">
        <v>44959.545138888891</v>
      </c>
      <c r="D43" s="13" t="s">
        <v>82</v>
      </c>
      <c r="E43" s="15" t="s">
        <v>83</v>
      </c>
      <c r="F43" s="13" t="s">
        <v>84</v>
      </c>
      <c r="G43" s="15" t="s">
        <v>85</v>
      </c>
      <c r="H43" s="13" t="s">
        <v>203</v>
      </c>
      <c r="I43" s="15" t="s">
        <v>204</v>
      </c>
      <c r="J43" s="15" t="s">
        <v>205</v>
      </c>
      <c r="K43" s="15" t="s">
        <v>206</v>
      </c>
      <c r="L43" s="13" t="s">
        <v>207</v>
      </c>
      <c r="M43" s="15" t="s">
        <v>208</v>
      </c>
      <c r="N43" s="13" t="s">
        <v>91</v>
      </c>
      <c r="O43" s="15"/>
      <c r="P43" s="15"/>
      <c r="Q43" s="15" t="s">
        <v>183</v>
      </c>
      <c r="R43" s="13" t="s">
        <v>184</v>
      </c>
      <c r="S43" s="13" t="s">
        <v>182</v>
      </c>
      <c r="T43" s="13" t="s">
        <v>162</v>
      </c>
      <c r="U43" s="14">
        <v>44767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43.5" x14ac:dyDescent="0.35">
      <c r="A44" s="13" t="s">
        <v>159</v>
      </c>
      <c r="B44" s="13" t="s">
        <v>81</v>
      </c>
      <c r="C44" s="14">
        <v>44959.546527777777</v>
      </c>
      <c r="D44" s="13" t="s">
        <v>82</v>
      </c>
      <c r="E44" s="15" t="s">
        <v>83</v>
      </c>
      <c r="F44" s="13" t="s">
        <v>84</v>
      </c>
      <c r="G44" s="15" t="s">
        <v>85</v>
      </c>
      <c r="H44" s="13" t="s">
        <v>203</v>
      </c>
      <c r="I44" s="15" t="s">
        <v>204</v>
      </c>
      <c r="J44" s="15" t="s">
        <v>205</v>
      </c>
      <c r="K44" s="15" t="s">
        <v>206</v>
      </c>
      <c r="L44" s="13" t="s">
        <v>224</v>
      </c>
      <c r="M44" s="15" t="s">
        <v>225</v>
      </c>
      <c r="N44" s="13" t="s">
        <v>145</v>
      </c>
      <c r="O44" s="15"/>
      <c r="P44" s="15"/>
      <c r="Q44" s="15" t="s">
        <v>183</v>
      </c>
      <c r="R44" s="13" t="s">
        <v>184</v>
      </c>
      <c r="S44" s="13" t="s">
        <v>182</v>
      </c>
      <c r="T44" s="13" t="s">
        <v>162</v>
      </c>
      <c r="U44" s="14">
        <v>44767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43.5" x14ac:dyDescent="0.35">
      <c r="A45" s="13" t="s">
        <v>159</v>
      </c>
      <c r="B45" s="13" t="s">
        <v>81</v>
      </c>
      <c r="C45" s="14">
        <v>44959.545138888891</v>
      </c>
      <c r="D45" s="13" t="s">
        <v>82</v>
      </c>
      <c r="E45" s="15" t="s">
        <v>83</v>
      </c>
      <c r="F45" s="13" t="s">
        <v>84</v>
      </c>
      <c r="G45" s="15" t="s">
        <v>85</v>
      </c>
      <c r="H45" s="13" t="s">
        <v>203</v>
      </c>
      <c r="I45" s="15" t="s">
        <v>204</v>
      </c>
      <c r="J45" s="15" t="s">
        <v>205</v>
      </c>
      <c r="K45" s="15" t="s">
        <v>206</v>
      </c>
      <c r="L45" s="13" t="s">
        <v>207</v>
      </c>
      <c r="M45" s="15" t="s">
        <v>208</v>
      </c>
      <c r="N45" s="13" t="s">
        <v>91</v>
      </c>
      <c r="O45" s="15"/>
      <c r="P45" s="15"/>
      <c r="Q45" s="15" t="s">
        <v>185</v>
      </c>
      <c r="R45" s="13" t="s">
        <v>186</v>
      </c>
      <c r="S45" s="13" t="s">
        <v>182</v>
      </c>
      <c r="T45" s="13" t="s">
        <v>162</v>
      </c>
      <c r="U45" s="14">
        <v>44767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43.5" x14ac:dyDescent="0.35">
      <c r="A46" s="13" t="s">
        <v>159</v>
      </c>
      <c r="B46" s="13" t="s">
        <v>81</v>
      </c>
      <c r="C46" s="14">
        <v>44959.546527777777</v>
      </c>
      <c r="D46" s="13" t="s">
        <v>82</v>
      </c>
      <c r="E46" s="15" t="s">
        <v>83</v>
      </c>
      <c r="F46" s="13" t="s">
        <v>84</v>
      </c>
      <c r="G46" s="15" t="s">
        <v>85</v>
      </c>
      <c r="H46" s="13" t="s">
        <v>203</v>
      </c>
      <c r="I46" s="15" t="s">
        <v>204</v>
      </c>
      <c r="J46" s="15" t="s">
        <v>205</v>
      </c>
      <c r="K46" s="15" t="s">
        <v>206</v>
      </c>
      <c r="L46" s="13" t="s">
        <v>224</v>
      </c>
      <c r="M46" s="15" t="s">
        <v>225</v>
      </c>
      <c r="N46" s="13" t="s">
        <v>145</v>
      </c>
      <c r="O46" s="15"/>
      <c r="P46" s="15"/>
      <c r="Q46" s="15" t="s">
        <v>185</v>
      </c>
      <c r="R46" s="13" t="s">
        <v>186</v>
      </c>
      <c r="S46" s="13" t="s">
        <v>182</v>
      </c>
      <c r="T46" s="13" t="s">
        <v>162</v>
      </c>
      <c r="U46" s="14">
        <v>44767</v>
      </c>
      <c r="V46" s="14"/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43.5" x14ac:dyDescent="0.35">
      <c r="A47" s="13" t="s">
        <v>159</v>
      </c>
      <c r="B47" s="13" t="s">
        <v>81</v>
      </c>
      <c r="C47" s="14">
        <v>44959.545138888891</v>
      </c>
      <c r="D47" s="13" t="s">
        <v>82</v>
      </c>
      <c r="E47" s="15" t="s">
        <v>83</v>
      </c>
      <c r="F47" s="13" t="s">
        <v>84</v>
      </c>
      <c r="G47" s="15" t="s">
        <v>85</v>
      </c>
      <c r="H47" s="13" t="s">
        <v>203</v>
      </c>
      <c r="I47" s="15" t="s">
        <v>204</v>
      </c>
      <c r="J47" s="15" t="s">
        <v>205</v>
      </c>
      <c r="K47" s="15" t="s">
        <v>206</v>
      </c>
      <c r="L47" s="13" t="s">
        <v>207</v>
      </c>
      <c r="M47" s="15" t="s">
        <v>208</v>
      </c>
      <c r="N47" s="13" t="s">
        <v>91</v>
      </c>
      <c r="O47" s="15"/>
      <c r="P47" s="15"/>
      <c r="Q47" s="15" t="s">
        <v>187</v>
      </c>
      <c r="R47" s="13" t="s">
        <v>188</v>
      </c>
      <c r="S47" s="13" t="s">
        <v>182</v>
      </c>
      <c r="T47" s="13" t="s">
        <v>162</v>
      </c>
      <c r="U47" s="14">
        <v>44767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43.5" x14ac:dyDescent="0.35">
      <c r="A48" s="13" t="s">
        <v>159</v>
      </c>
      <c r="B48" s="13" t="s">
        <v>81</v>
      </c>
      <c r="C48" s="14">
        <v>44959.547222222223</v>
      </c>
      <c r="D48" s="13" t="s">
        <v>82</v>
      </c>
      <c r="E48" s="15" t="s">
        <v>83</v>
      </c>
      <c r="F48" s="13" t="s">
        <v>84</v>
      </c>
      <c r="G48" s="15" t="s">
        <v>85</v>
      </c>
      <c r="H48" s="13" t="s">
        <v>203</v>
      </c>
      <c r="I48" s="15" t="s">
        <v>204</v>
      </c>
      <c r="J48" s="15" t="s">
        <v>205</v>
      </c>
      <c r="K48" s="15" t="s">
        <v>206</v>
      </c>
      <c r="L48" s="13" t="s">
        <v>224</v>
      </c>
      <c r="M48" s="15" t="s">
        <v>225</v>
      </c>
      <c r="N48" s="13" t="s">
        <v>145</v>
      </c>
      <c r="O48" s="15"/>
      <c r="P48" s="15"/>
      <c r="Q48" s="15" t="s">
        <v>187</v>
      </c>
      <c r="R48" s="13" t="s">
        <v>188</v>
      </c>
      <c r="S48" s="13" t="s">
        <v>182</v>
      </c>
      <c r="T48" s="13" t="s">
        <v>162</v>
      </c>
      <c r="U48" s="14">
        <v>44767</v>
      </c>
      <c r="V48" s="14"/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43.5" x14ac:dyDescent="0.35">
      <c r="A49" s="13" t="s">
        <v>159</v>
      </c>
      <c r="B49" s="13" t="s">
        <v>81</v>
      </c>
      <c r="C49" s="14">
        <v>44959.54583333333</v>
      </c>
      <c r="D49" s="13" t="s">
        <v>82</v>
      </c>
      <c r="E49" s="15" t="s">
        <v>83</v>
      </c>
      <c r="F49" s="13" t="s">
        <v>84</v>
      </c>
      <c r="G49" s="15" t="s">
        <v>85</v>
      </c>
      <c r="H49" s="13" t="s">
        <v>203</v>
      </c>
      <c r="I49" s="15" t="s">
        <v>204</v>
      </c>
      <c r="J49" s="15" t="s">
        <v>205</v>
      </c>
      <c r="K49" s="15" t="s">
        <v>206</v>
      </c>
      <c r="L49" s="13" t="s">
        <v>207</v>
      </c>
      <c r="M49" s="15" t="s">
        <v>208</v>
      </c>
      <c r="N49" s="13" t="s">
        <v>91</v>
      </c>
      <c r="O49" s="15"/>
      <c r="P49" s="15"/>
      <c r="Q49" s="15" t="s">
        <v>189</v>
      </c>
      <c r="R49" s="13" t="s">
        <v>190</v>
      </c>
      <c r="S49" s="13" t="s">
        <v>182</v>
      </c>
      <c r="T49" s="13" t="s">
        <v>162</v>
      </c>
      <c r="U49" s="14">
        <v>44767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43.5" x14ac:dyDescent="0.35">
      <c r="A50" s="13" t="s">
        <v>159</v>
      </c>
      <c r="B50" s="13" t="s">
        <v>81</v>
      </c>
      <c r="C50" s="14">
        <v>44959.547222222223</v>
      </c>
      <c r="D50" s="13" t="s">
        <v>82</v>
      </c>
      <c r="E50" s="15" t="s">
        <v>83</v>
      </c>
      <c r="F50" s="13" t="s">
        <v>84</v>
      </c>
      <c r="G50" s="15" t="s">
        <v>85</v>
      </c>
      <c r="H50" s="13" t="s">
        <v>203</v>
      </c>
      <c r="I50" s="15" t="s">
        <v>204</v>
      </c>
      <c r="J50" s="15" t="s">
        <v>205</v>
      </c>
      <c r="K50" s="15" t="s">
        <v>206</v>
      </c>
      <c r="L50" s="13" t="s">
        <v>224</v>
      </c>
      <c r="M50" s="15" t="s">
        <v>225</v>
      </c>
      <c r="N50" s="13" t="s">
        <v>145</v>
      </c>
      <c r="O50" s="15"/>
      <c r="P50" s="15"/>
      <c r="Q50" s="15" t="s">
        <v>189</v>
      </c>
      <c r="R50" s="13" t="s">
        <v>190</v>
      </c>
      <c r="S50" s="13" t="s">
        <v>182</v>
      </c>
      <c r="T50" s="13" t="s">
        <v>162</v>
      </c>
      <c r="U50" s="14">
        <v>44767</v>
      </c>
      <c r="V50" s="14"/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43.5" x14ac:dyDescent="0.35">
      <c r="A51" s="13" t="s">
        <v>159</v>
      </c>
      <c r="B51" s="13" t="s">
        <v>81</v>
      </c>
      <c r="C51" s="14">
        <v>44959.54583333333</v>
      </c>
      <c r="D51" s="13" t="s">
        <v>82</v>
      </c>
      <c r="E51" s="15" t="s">
        <v>83</v>
      </c>
      <c r="F51" s="13" t="s">
        <v>84</v>
      </c>
      <c r="G51" s="15" t="s">
        <v>85</v>
      </c>
      <c r="H51" s="13" t="s">
        <v>203</v>
      </c>
      <c r="I51" s="15" t="s">
        <v>204</v>
      </c>
      <c r="J51" s="15" t="s">
        <v>205</v>
      </c>
      <c r="K51" s="15" t="s">
        <v>206</v>
      </c>
      <c r="L51" s="13" t="s">
        <v>207</v>
      </c>
      <c r="M51" s="15" t="s">
        <v>208</v>
      </c>
      <c r="N51" s="13" t="s">
        <v>91</v>
      </c>
      <c r="O51" s="15"/>
      <c r="P51" s="15"/>
      <c r="Q51" s="15" t="s">
        <v>191</v>
      </c>
      <c r="R51" s="13" t="s">
        <v>192</v>
      </c>
      <c r="S51" s="13" t="s">
        <v>182</v>
      </c>
      <c r="T51" s="13" t="s">
        <v>162</v>
      </c>
      <c r="U51" s="14">
        <v>44767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43.5" x14ac:dyDescent="0.35">
      <c r="A52" s="13" t="s">
        <v>159</v>
      </c>
      <c r="B52" s="13" t="s">
        <v>81</v>
      </c>
      <c r="C52" s="14">
        <v>44959.547222222223</v>
      </c>
      <c r="D52" s="13" t="s">
        <v>82</v>
      </c>
      <c r="E52" s="15" t="s">
        <v>83</v>
      </c>
      <c r="F52" s="13" t="s">
        <v>84</v>
      </c>
      <c r="G52" s="15" t="s">
        <v>85</v>
      </c>
      <c r="H52" s="13" t="s">
        <v>203</v>
      </c>
      <c r="I52" s="15" t="s">
        <v>204</v>
      </c>
      <c r="J52" s="15" t="s">
        <v>205</v>
      </c>
      <c r="K52" s="15" t="s">
        <v>206</v>
      </c>
      <c r="L52" s="13" t="s">
        <v>224</v>
      </c>
      <c r="M52" s="15" t="s">
        <v>225</v>
      </c>
      <c r="N52" s="13" t="s">
        <v>145</v>
      </c>
      <c r="O52" s="15"/>
      <c r="P52" s="15"/>
      <c r="Q52" s="15" t="s">
        <v>191</v>
      </c>
      <c r="R52" s="13" t="s">
        <v>192</v>
      </c>
      <c r="S52" s="13" t="s">
        <v>182</v>
      </c>
      <c r="T52" s="13" t="s">
        <v>162</v>
      </c>
      <c r="U52" s="14">
        <v>44767</v>
      </c>
      <c r="V52" s="14"/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43.5" x14ac:dyDescent="0.35">
      <c r="A53" s="13" t="s">
        <v>193</v>
      </c>
      <c r="B53" s="13" t="s">
        <v>142</v>
      </c>
      <c r="C53" s="14">
        <v>45995.640972222223</v>
      </c>
      <c r="D53" s="13" t="s">
        <v>82</v>
      </c>
      <c r="E53" s="15" t="s">
        <v>83</v>
      </c>
      <c r="F53" s="13" t="s">
        <v>84</v>
      </c>
      <c r="G53" s="15" t="s">
        <v>85</v>
      </c>
      <c r="H53" s="13" t="s">
        <v>203</v>
      </c>
      <c r="I53" s="15" t="s">
        <v>204</v>
      </c>
      <c r="J53" s="15" t="s">
        <v>205</v>
      </c>
      <c r="K53" s="15" t="s">
        <v>206</v>
      </c>
      <c r="L53" s="13" t="s">
        <v>207</v>
      </c>
      <c r="M53" s="15" t="s">
        <v>208</v>
      </c>
      <c r="N53" s="13" t="s">
        <v>91</v>
      </c>
      <c r="O53" s="15"/>
      <c r="P53" s="15"/>
      <c r="Q53" s="15" t="s">
        <v>194</v>
      </c>
      <c r="R53" s="13" t="s">
        <v>195</v>
      </c>
      <c r="S53" s="13" t="s">
        <v>182</v>
      </c>
      <c r="T53" s="13" t="s">
        <v>162</v>
      </c>
      <c r="U53" s="14">
        <v>44767</v>
      </c>
      <c r="V53" s="14">
        <v>45900</v>
      </c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43.5" x14ac:dyDescent="0.35">
      <c r="A54" s="13" t="s">
        <v>193</v>
      </c>
      <c r="B54" s="13" t="s">
        <v>81</v>
      </c>
      <c r="C54" s="14">
        <v>45995.640972222223</v>
      </c>
      <c r="D54" s="13" t="s">
        <v>82</v>
      </c>
      <c r="E54" s="15" t="s">
        <v>83</v>
      </c>
      <c r="F54" s="13" t="s">
        <v>84</v>
      </c>
      <c r="G54" s="15" t="s">
        <v>85</v>
      </c>
      <c r="H54" s="13" t="s">
        <v>203</v>
      </c>
      <c r="I54" s="15" t="s">
        <v>204</v>
      </c>
      <c r="J54" s="15" t="s">
        <v>205</v>
      </c>
      <c r="K54" s="15" t="s">
        <v>206</v>
      </c>
      <c r="L54" s="13" t="s">
        <v>207</v>
      </c>
      <c r="M54" s="15" t="s">
        <v>208</v>
      </c>
      <c r="N54" s="13" t="s">
        <v>91</v>
      </c>
      <c r="O54" s="15"/>
      <c r="P54" s="15"/>
      <c r="Q54" s="15" t="s">
        <v>194</v>
      </c>
      <c r="R54" s="13" t="s">
        <v>195</v>
      </c>
      <c r="S54" s="13" t="s">
        <v>182</v>
      </c>
      <c r="T54" s="13" t="s">
        <v>95</v>
      </c>
      <c r="U54" s="14">
        <v>45901</v>
      </c>
      <c r="V54" s="14"/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43.5" x14ac:dyDescent="0.35">
      <c r="A55" s="13" t="s">
        <v>193</v>
      </c>
      <c r="B55" s="13" t="s">
        <v>142</v>
      </c>
      <c r="C55" s="14">
        <v>45995.64166666667</v>
      </c>
      <c r="D55" s="13" t="s">
        <v>82</v>
      </c>
      <c r="E55" s="15" t="s">
        <v>83</v>
      </c>
      <c r="F55" s="13" t="s">
        <v>84</v>
      </c>
      <c r="G55" s="15" t="s">
        <v>85</v>
      </c>
      <c r="H55" s="13" t="s">
        <v>203</v>
      </c>
      <c r="I55" s="15" t="s">
        <v>204</v>
      </c>
      <c r="J55" s="15" t="s">
        <v>205</v>
      </c>
      <c r="K55" s="15" t="s">
        <v>206</v>
      </c>
      <c r="L55" s="13" t="s">
        <v>224</v>
      </c>
      <c r="M55" s="15" t="s">
        <v>225</v>
      </c>
      <c r="N55" s="13" t="s">
        <v>145</v>
      </c>
      <c r="O55" s="15"/>
      <c r="P55" s="15"/>
      <c r="Q55" s="15" t="s">
        <v>194</v>
      </c>
      <c r="R55" s="13" t="s">
        <v>195</v>
      </c>
      <c r="S55" s="13" t="s">
        <v>182</v>
      </c>
      <c r="T55" s="13" t="s">
        <v>162</v>
      </c>
      <c r="U55" s="14">
        <v>44767</v>
      </c>
      <c r="V55" s="14">
        <v>45900</v>
      </c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43.5" x14ac:dyDescent="0.35">
      <c r="A56" s="13" t="s">
        <v>193</v>
      </c>
      <c r="B56" s="13" t="s">
        <v>81</v>
      </c>
      <c r="C56" s="14">
        <v>45995.64166666667</v>
      </c>
      <c r="D56" s="13" t="s">
        <v>82</v>
      </c>
      <c r="E56" s="15" t="s">
        <v>83</v>
      </c>
      <c r="F56" s="13" t="s">
        <v>84</v>
      </c>
      <c r="G56" s="15" t="s">
        <v>85</v>
      </c>
      <c r="H56" s="13" t="s">
        <v>203</v>
      </c>
      <c r="I56" s="15" t="s">
        <v>204</v>
      </c>
      <c r="J56" s="15" t="s">
        <v>205</v>
      </c>
      <c r="K56" s="15" t="s">
        <v>206</v>
      </c>
      <c r="L56" s="13" t="s">
        <v>224</v>
      </c>
      <c r="M56" s="15" t="s">
        <v>225</v>
      </c>
      <c r="N56" s="13" t="s">
        <v>145</v>
      </c>
      <c r="O56" s="15"/>
      <c r="P56" s="15"/>
      <c r="Q56" s="15" t="s">
        <v>194</v>
      </c>
      <c r="R56" s="13" t="s">
        <v>195</v>
      </c>
      <c r="S56" s="13" t="s">
        <v>182</v>
      </c>
      <c r="T56" s="13" t="s">
        <v>95</v>
      </c>
      <c r="U56" s="14">
        <v>45901</v>
      </c>
      <c r="V56" s="14"/>
      <c r="W56" s="15"/>
      <c r="X56" s="15"/>
      <c r="Y56" s="13"/>
      <c r="Z56" s="15"/>
      <c r="AA56" s="15"/>
      <c r="AB56" s="15"/>
      <c r="AC56" s="13"/>
      <c r="AD56" s="15"/>
      <c r="AE56" s="15"/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  <row r="57" spans="1:41" ht="43.5" x14ac:dyDescent="0.35">
      <c r="A57" s="13" t="s">
        <v>159</v>
      </c>
      <c r="B57" s="13" t="s">
        <v>81</v>
      </c>
      <c r="C57" s="14">
        <v>44959.546527777777</v>
      </c>
      <c r="D57" s="13" t="s">
        <v>82</v>
      </c>
      <c r="E57" s="15" t="s">
        <v>83</v>
      </c>
      <c r="F57" s="13" t="s">
        <v>84</v>
      </c>
      <c r="G57" s="15" t="s">
        <v>85</v>
      </c>
      <c r="H57" s="13" t="s">
        <v>203</v>
      </c>
      <c r="I57" s="15" t="s">
        <v>204</v>
      </c>
      <c r="J57" s="15" t="s">
        <v>205</v>
      </c>
      <c r="K57" s="15" t="s">
        <v>206</v>
      </c>
      <c r="L57" s="13" t="s">
        <v>207</v>
      </c>
      <c r="M57" s="15" t="s">
        <v>208</v>
      </c>
      <c r="N57" s="13" t="s">
        <v>91</v>
      </c>
      <c r="O57" s="15"/>
      <c r="P57" s="15"/>
      <c r="Q57" s="15" t="s">
        <v>201</v>
      </c>
      <c r="R57" s="13" t="s">
        <v>202</v>
      </c>
      <c r="S57" s="13" t="s">
        <v>182</v>
      </c>
      <c r="T57" s="13" t="s">
        <v>162</v>
      </c>
      <c r="U57" s="14">
        <v>44767</v>
      </c>
      <c r="V57" s="14"/>
      <c r="W57" s="15"/>
      <c r="X57" s="15"/>
      <c r="Y57" s="13"/>
      <c r="Z57" s="15"/>
      <c r="AA57" s="15"/>
      <c r="AB57" s="15"/>
      <c r="AC57" s="13"/>
      <c r="AD57" s="15"/>
      <c r="AE57" s="15"/>
      <c r="AF57" s="15"/>
      <c r="AG57" s="13"/>
      <c r="AH57" s="15"/>
      <c r="AI57" s="15"/>
      <c r="AJ57" s="15"/>
      <c r="AK57" s="13"/>
      <c r="AL57" s="15"/>
      <c r="AM57" s="15"/>
      <c r="AN57" s="13"/>
      <c r="AO57" s="13"/>
    </row>
    <row r="58" spans="1:41" ht="43.5" x14ac:dyDescent="0.35">
      <c r="A58" s="13" t="s">
        <v>159</v>
      </c>
      <c r="B58" s="13" t="s">
        <v>81</v>
      </c>
      <c r="C58" s="14">
        <v>44959.54791666667</v>
      </c>
      <c r="D58" s="13" t="s">
        <v>82</v>
      </c>
      <c r="E58" s="15" t="s">
        <v>83</v>
      </c>
      <c r="F58" s="13" t="s">
        <v>84</v>
      </c>
      <c r="G58" s="15" t="s">
        <v>85</v>
      </c>
      <c r="H58" s="13" t="s">
        <v>203</v>
      </c>
      <c r="I58" s="15" t="s">
        <v>204</v>
      </c>
      <c r="J58" s="15" t="s">
        <v>205</v>
      </c>
      <c r="K58" s="15" t="s">
        <v>206</v>
      </c>
      <c r="L58" s="13" t="s">
        <v>224</v>
      </c>
      <c r="M58" s="15" t="s">
        <v>225</v>
      </c>
      <c r="N58" s="13" t="s">
        <v>145</v>
      </c>
      <c r="O58" s="15"/>
      <c r="P58" s="15"/>
      <c r="Q58" s="15" t="s">
        <v>201</v>
      </c>
      <c r="R58" s="13" t="s">
        <v>202</v>
      </c>
      <c r="S58" s="13" t="s">
        <v>182</v>
      </c>
      <c r="T58" s="13" t="s">
        <v>162</v>
      </c>
      <c r="U58" s="14">
        <v>44767</v>
      </c>
      <c r="V58" s="14"/>
      <c r="W58" s="15"/>
      <c r="X58" s="15"/>
      <c r="Y58" s="13"/>
      <c r="Z58" s="15"/>
      <c r="AA58" s="15"/>
      <c r="AB58" s="15"/>
      <c r="AC58" s="13"/>
      <c r="AD58" s="15"/>
      <c r="AE58" s="15"/>
      <c r="AF58" s="15"/>
      <c r="AG58" s="13"/>
      <c r="AH58" s="15"/>
      <c r="AI58" s="15"/>
      <c r="AJ58" s="15"/>
      <c r="AK58" s="13"/>
      <c r="AL58" s="15"/>
      <c r="AM58" s="15"/>
      <c r="AN58" s="13"/>
      <c r="AO58" s="13"/>
    </row>
  </sheetData>
  <autoFilter ref="A1:AS1" xr:uid="{6A9A85A0-22BD-4A95-8230-4B61A61D729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8500-6703-4D7F-9027-BE4CDD91ECF3}">
  <dimension ref="A1:U65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317</v>
      </c>
      <c r="E1" s="10" t="s">
        <v>318</v>
      </c>
      <c r="F1" s="10" t="s">
        <v>319</v>
      </c>
      <c r="G1" s="10" t="s">
        <v>320</v>
      </c>
      <c r="H1" s="11" t="s">
        <v>21</v>
      </c>
      <c r="I1" s="11" t="s">
        <v>22</v>
      </c>
      <c r="J1" s="10" t="s">
        <v>321</v>
      </c>
      <c r="K1" s="10" t="s">
        <v>322</v>
      </c>
      <c r="L1" s="10" t="s">
        <v>323</v>
      </c>
      <c r="M1" s="10" t="s">
        <v>313</v>
      </c>
      <c r="N1" s="10" t="s">
        <v>324</v>
      </c>
      <c r="O1" s="10" t="s">
        <v>325</v>
      </c>
      <c r="P1" s="10" t="s">
        <v>326</v>
      </c>
      <c r="Q1" s="10" t="s">
        <v>327</v>
      </c>
      <c r="R1" s="10" t="s">
        <v>78</v>
      </c>
      <c r="S1" s="10" t="s">
        <v>79</v>
      </c>
      <c r="T1" s="10" t="s">
        <v>328</v>
      </c>
      <c r="U1" s="10" t="s">
        <v>329</v>
      </c>
    </row>
    <row r="2" spans="1:21" ht="87" x14ac:dyDescent="0.35">
      <c r="A2" s="13" t="s">
        <v>80</v>
      </c>
      <c r="B2" s="13" t="s">
        <v>81</v>
      </c>
      <c r="C2" s="14">
        <v>43894.401388888888</v>
      </c>
      <c r="D2" s="13" t="s">
        <v>121</v>
      </c>
      <c r="E2" s="13" t="s">
        <v>321</v>
      </c>
      <c r="F2" s="15" t="s">
        <v>122</v>
      </c>
      <c r="G2" s="13" t="s">
        <v>330</v>
      </c>
      <c r="H2" s="14">
        <v>43826</v>
      </c>
      <c r="I2" s="14"/>
      <c r="J2" s="15"/>
      <c r="K2" s="15" t="s">
        <v>331</v>
      </c>
      <c r="L2" s="13" t="s">
        <v>332</v>
      </c>
      <c r="M2" s="15"/>
      <c r="N2" s="13" t="s">
        <v>333</v>
      </c>
      <c r="O2" s="13"/>
      <c r="P2" s="13"/>
      <c r="Q2" s="13"/>
      <c r="R2" s="13"/>
      <c r="S2" s="13"/>
      <c r="T2" s="13" t="s">
        <v>334</v>
      </c>
      <c r="U2" s="15" t="s">
        <v>122</v>
      </c>
    </row>
    <row r="3" spans="1:21" ht="43.5" x14ac:dyDescent="0.35">
      <c r="A3" s="13" t="s">
        <v>141</v>
      </c>
      <c r="B3" s="13" t="s">
        <v>142</v>
      </c>
      <c r="C3" s="14">
        <v>44713.706250000003</v>
      </c>
      <c r="D3" s="13" t="s">
        <v>123</v>
      </c>
      <c r="E3" s="13" t="s">
        <v>321</v>
      </c>
      <c r="F3" s="15" t="s">
        <v>124</v>
      </c>
      <c r="G3" s="13" t="s">
        <v>335</v>
      </c>
      <c r="H3" s="14">
        <v>43826</v>
      </c>
      <c r="I3" s="14"/>
      <c r="J3" s="15"/>
      <c r="K3" s="15" t="s">
        <v>336</v>
      </c>
      <c r="L3" s="13" t="s">
        <v>332</v>
      </c>
      <c r="M3" s="15"/>
      <c r="N3" s="13" t="s">
        <v>337</v>
      </c>
      <c r="O3" s="13"/>
      <c r="P3" s="13"/>
      <c r="Q3" s="13"/>
      <c r="R3" s="13"/>
      <c r="S3" s="13"/>
      <c r="T3" s="13" t="s">
        <v>334</v>
      </c>
      <c r="U3" s="15" t="s">
        <v>124</v>
      </c>
    </row>
    <row r="4" spans="1:21" ht="43.5" x14ac:dyDescent="0.35">
      <c r="A4" s="13" t="s">
        <v>80</v>
      </c>
      <c r="B4" s="13" t="s">
        <v>81</v>
      </c>
      <c r="C4" s="14">
        <v>43894.490277777775</v>
      </c>
      <c r="D4" s="13" t="s">
        <v>125</v>
      </c>
      <c r="E4" s="13" t="s">
        <v>321</v>
      </c>
      <c r="F4" s="15" t="s">
        <v>126</v>
      </c>
      <c r="G4" s="13" t="s">
        <v>338</v>
      </c>
      <c r="H4" s="14">
        <v>43826</v>
      </c>
      <c r="I4" s="14"/>
      <c r="J4" s="15" t="s">
        <v>339</v>
      </c>
      <c r="K4" s="15" t="s">
        <v>340</v>
      </c>
      <c r="L4" s="13" t="s">
        <v>332</v>
      </c>
      <c r="M4" s="15"/>
      <c r="N4" s="13" t="s">
        <v>341</v>
      </c>
      <c r="O4" s="13"/>
      <c r="P4" s="13"/>
      <c r="Q4" s="13"/>
      <c r="R4" s="13"/>
      <c r="S4" s="13"/>
      <c r="T4" s="13" t="s">
        <v>334</v>
      </c>
      <c r="U4" s="15" t="s">
        <v>126</v>
      </c>
    </row>
    <row r="5" spans="1:21" ht="29" x14ac:dyDescent="0.35">
      <c r="A5" s="13" t="s">
        <v>80</v>
      </c>
      <c r="B5" s="13" t="s">
        <v>81</v>
      </c>
      <c r="C5" s="14">
        <v>43894.488888888889</v>
      </c>
      <c r="D5" s="13" t="s">
        <v>166</v>
      </c>
      <c r="E5" s="13" t="s">
        <v>321</v>
      </c>
      <c r="F5" s="15" t="s">
        <v>124</v>
      </c>
      <c r="G5" s="13" t="s">
        <v>342</v>
      </c>
      <c r="H5" s="14">
        <v>43826</v>
      </c>
      <c r="I5" s="14"/>
      <c r="J5" s="15"/>
      <c r="K5" s="15" t="s">
        <v>336</v>
      </c>
      <c r="L5" s="13" t="s">
        <v>332</v>
      </c>
      <c r="M5" s="15"/>
      <c r="N5" s="13" t="s">
        <v>343</v>
      </c>
      <c r="O5" s="13"/>
      <c r="P5" s="13"/>
      <c r="Q5" s="13"/>
      <c r="R5" s="13"/>
      <c r="S5" s="13"/>
      <c r="T5" s="13" t="s">
        <v>334</v>
      </c>
      <c r="U5" s="15" t="s">
        <v>124</v>
      </c>
    </row>
    <row r="6" spans="1:21" ht="29" x14ac:dyDescent="0.35">
      <c r="A6" s="13" t="s">
        <v>159</v>
      </c>
      <c r="B6" s="13" t="s">
        <v>142</v>
      </c>
      <c r="C6" s="14">
        <v>44914.393750000003</v>
      </c>
      <c r="D6" s="13" t="s">
        <v>167</v>
      </c>
      <c r="E6" s="13" t="s">
        <v>321</v>
      </c>
      <c r="F6" s="15" t="s">
        <v>168</v>
      </c>
      <c r="G6" s="13" t="s">
        <v>344</v>
      </c>
      <c r="H6" s="14">
        <v>43826</v>
      </c>
      <c r="I6" s="14">
        <v>44677</v>
      </c>
      <c r="J6" s="15"/>
      <c r="K6" s="19" t="s">
        <v>345</v>
      </c>
      <c r="L6" s="13" t="s">
        <v>332</v>
      </c>
      <c r="M6" s="15"/>
      <c r="N6" s="13" t="s">
        <v>346</v>
      </c>
      <c r="O6" s="13"/>
      <c r="P6" s="13"/>
      <c r="Q6" s="13"/>
      <c r="R6" s="13"/>
      <c r="S6" s="13"/>
      <c r="T6" s="13" t="s">
        <v>334</v>
      </c>
      <c r="U6" s="15" t="s">
        <v>347</v>
      </c>
    </row>
    <row r="7" spans="1:21" ht="29" x14ac:dyDescent="0.35">
      <c r="A7" s="13" t="s">
        <v>159</v>
      </c>
      <c r="B7" s="13" t="s">
        <v>81</v>
      </c>
      <c r="C7" s="14">
        <v>44964.386111111111</v>
      </c>
      <c r="D7" s="13" t="s">
        <v>170</v>
      </c>
      <c r="E7" s="13" t="s">
        <v>321</v>
      </c>
      <c r="F7" s="15" t="s">
        <v>168</v>
      </c>
      <c r="G7" s="13" t="s">
        <v>348</v>
      </c>
      <c r="H7" s="14">
        <v>44677</v>
      </c>
      <c r="I7" s="14"/>
      <c r="J7" s="15"/>
      <c r="K7" s="19" t="s">
        <v>345</v>
      </c>
      <c r="L7" s="13" t="s">
        <v>332</v>
      </c>
      <c r="M7" s="15"/>
      <c r="N7" s="13" t="s">
        <v>346</v>
      </c>
      <c r="O7" s="13"/>
      <c r="P7" s="13"/>
      <c r="Q7" s="13"/>
      <c r="R7" s="13"/>
      <c r="S7" s="13"/>
      <c r="T7" s="13" t="s">
        <v>334</v>
      </c>
      <c r="U7" s="15" t="s">
        <v>168</v>
      </c>
    </row>
    <row r="8" spans="1:21" ht="58" x14ac:dyDescent="0.35">
      <c r="A8" s="13" t="s">
        <v>159</v>
      </c>
      <c r="B8" s="13" t="s">
        <v>81</v>
      </c>
      <c r="C8" s="14">
        <v>44946.400694444441</v>
      </c>
      <c r="D8" s="13" t="s">
        <v>222</v>
      </c>
      <c r="E8" s="13" t="s">
        <v>321</v>
      </c>
      <c r="F8" s="15" t="s">
        <v>223</v>
      </c>
      <c r="G8" s="13" t="s">
        <v>349</v>
      </c>
      <c r="H8" s="14">
        <v>44767</v>
      </c>
      <c r="I8" s="14"/>
      <c r="J8" s="15" t="s">
        <v>339</v>
      </c>
      <c r="K8" s="15" t="s">
        <v>350</v>
      </c>
      <c r="L8" s="13" t="s">
        <v>332</v>
      </c>
      <c r="M8" s="15"/>
      <c r="N8" s="13" t="s">
        <v>351</v>
      </c>
      <c r="O8" s="13"/>
      <c r="P8" s="13"/>
      <c r="Q8" s="13"/>
      <c r="R8" s="13"/>
      <c r="S8" s="13"/>
      <c r="T8" s="13" t="s">
        <v>334</v>
      </c>
      <c r="U8" s="15" t="s">
        <v>223</v>
      </c>
    </row>
    <row r="9" spans="1:21" ht="72.5" x14ac:dyDescent="0.35">
      <c r="A9" s="13" t="s">
        <v>159</v>
      </c>
      <c r="B9" s="13" t="s">
        <v>81</v>
      </c>
      <c r="C9" s="14">
        <v>44946.407638888886</v>
      </c>
      <c r="D9" s="13" t="s">
        <v>235</v>
      </c>
      <c r="E9" s="13" t="s">
        <v>321</v>
      </c>
      <c r="F9" s="15" t="s">
        <v>223</v>
      </c>
      <c r="G9" s="13" t="s">
        <v>352</v>
      </c>
      <c r="H9" s="14">
        <v>44767</v>
      </c>
      <c r="I9" s="14"/>
      <c r="J9" s="15" t="s">
        <v>339</v>
      </c>
      <c r="K9" s="15" t="s">
        <v>350</v>
      </c>
      <c r="L9" s="13" t="s">
        <v>332</v>
      </c>
      <c r="M9" s="15"/>
      <c r="N9" s="13" t="s">
        <v>353</v>
      </c>
      <c r="O9" s="13"/>
      <c r="P9" s="13"/>
      <c r="Q9" s="13"/>
      <c r="R9" s="13"/>
      <c r="S9" s="13"/>
      <c r="T9" s="13" t="s">
        <v>334</v>
      </c>
      <c r="U9" s="15" t="s">
        <v>223</v>
      </c>
    </row>
    <row r="10" spans="1:21" ht="43.5" x14ac:dyDescent="0.35">
      <c r="A10" s="13" t="s">
        <v>354</v>
      </c>
      <c r="B10" s="13" t="s">
        <v>81</v>
      </c>
      <c r="C10" s="14">
        <v>43152.5</v>
      </c>
      <c r="D10" s="13" t="s">
        <v>127</v>
      </c>
      <c r="E10" s="13" t="s">
        <v>355</v>
      </c>
      <c r="F10" s="15" t="s">
        <v>128</v>
      </c>
      <c r="G10" s="13"/>
      <c r="H10" s="14">
        <v>40725</v>
      </c>
      <c r="I10" s="14"/>
      <c r="J10" s="15"/>
      <c r="K10" s="15" t="s">
        <v>356</v>
      </c>
      <c r="L10" s="13" t="s">
        <v>332</v>
      </c>
      <c r="M10" s="15"/>
      <c r="N10" s="13"/>
      <c r="O10" s="13"/>
      <c r="P10" s="13"/>
      <c r="Q10" s="13"/>
      <c r="R10" s="13"/>
      <c r="S10" s="13"/>
      <c r="T10" s="13"/>
      <c r="U10" s="15"/>
    </row>
    <row r="11" spans="1:21" ht="43.5" x14ac:dyDescent="0.35">
      <c r="A11" s="13" t="s">
        <v>354</v>
      </c>
      <c r="B11" s="13" t="s">
        <v>81</v>
      </c>
      <c r="C11" s="14">
        <v>43152.5</v>
      </c>
      <c r="D11" s="13" t="s">
        <v>129</v>
      </c>
      <c r="E11" s="13" t="s">
        <v>355</v>
      </c>
      <c r="F11" s="15" t="s">
        <v>130</v>
      </c>
      <c r="G11" s="13"/>
      <c r="H11" s="14">
        <v>40725</v>
      </c>
      <c r="I11" s="14"/>
      <c r="J11" s="15"/>
      <c r="K11" s="15" t="s">
        <v>357</v>
      </c>
      <c r="L11" s="13" t="s">
        <v>332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ht="43.5" x14ac:dyDescent="0.35">
      <c r="A12" s="13" t="s">
        <v>354</v>
      </c>
      <c r="B12" s="13" t="s">
        <v>81</v>
      </c>
      <c r="C12" s="14">
        <v>43152.5</v>
      </c>
      <c r="D12" s="13" t="s">
        <v>131</v>
      </c>
      <c r="E12" s="13" t="s">
        <v>355</v>
      </c>
      <c r="F12" s="15" t="s">
        <v>132</v>
      </c>
      <c r="G12" s="13"/>
      <c r="H12" s="14">
        <v>40725</v>
      </c>
      <c r="I12" s="14"/>
      <c r="J12" s="15" t="s">
        <v>358</v>
      </c>
      <c r="K12" s="15" t="s">
        <v>359</v>
      </c>
      <c r="L12" s="13" t="s">
        <v>332</v>
      </c>
      <c r="M12" s="15"/>
      <c r="N12" s="13"/>
      <c r="O12" s="13"/>
      <c r="P12" s="13"/>
      <c r="Q12" s="13"/>
      <c r="R12" s="13"/>
      <c r="S12" s="13"/>
      <c r="T12" s="13"/>
      <c r="U12" s="15"/>
    </row>
    <row r="13" spans="1:21" ht="43.5" x14ac:dyDescent="0.35">
      <c r="A13" s="13" t="s">
        <v>354</v>
      </c>
      <c r="B13" s="13" t="s">
        <v>81</v>
      </c>
      <c r="C13" s="14">
        <v>43152.5</v>
      </c>
      <c r="D13" s="13" t="s">
        <v>133</v>
      </c>
      <c r="E13" s="13" t="s">
        <v>355</v>
      </c>
      <c r="F13" s="15" t="s">
        <v>134</v>
      </c>
      <c r="G13" s="13"/>
      <c r="H13" s="14">
        <v>40725</v>
      </c>
      <c r="I13" s="14"/>
      <c r="J13" s="15" t="s">
        <v>360</v>
      </c>
      <c r="K13" s="15" t="s">
        <v>361</v>
      </c>
      <c r="L13" s="13" t="s">
        <v>332</v>
      </c>
      <c r="M13" s="15"/>
      <c r="N13" s="13"/>
      <c r="O13" s="13"/>
      <c r="P13" s="13"/>
      <c r="Q13" s="13"/>
      <c r="R13" s="13"/>
      <c r="S13" s="13"/>
      <c r="T13" s="13"/>
      <c r="U13" s="15"/>
    </row>
    <row r="14" spans="1:21" ht="43.5" x14ac:dyDescent="0.35">
      <c r="A14" s="13" t="s">
        <v>354</v>
      </c>
      <c r="B14" s="13" t="s">
        <v>81</v>
      </c>
      <c r="C14" s="14">
        <v>43152.5</v>
      </c>
      <c r="D14" s="13" t="s">
        <v>149</v>
      </c>
      <c r="E14" s="13" t="s">
        <v>355</v>
      </c>
      <c r="F14" s="15" t="s">
        <v>150</v>
      </c>
      <c r="G14" s="13"/>
      <c r="H14" s="14">
        <v>40725</v>
      </c>
      <c r="I14" s="14"/>
      <c r="J14" s="15" t="s">
        <v>362</v>
      </c>
      <c r="K14" s="15" t="s">
        <v>363</v>
      </c>
      <c r="L14" s="13" t="s">
        <v>332</v>
      </c>
      <c r="M14" s="15"/>
      <c r="N14" s="13"/>
      <c r="O14" s="13"/>
      <c r="P14" s="13"/>
      <c r="Q14" s="13"/>
      <c r="R14" s="13"/>
      <c r="S14" s="13"/>
      <c r="T14" s="13"/>
      <c r="U14" s="15"/>
    </row>
    <row r="15" spans="1:21" ht="43.5" x14ac:dyDescent="0.35">
      <c r="A15" s="13" t="s">
        <v>354</v>
      </c>
      <c r="B15" s="13" t="s">
        <v>81</v>
      </c>
      <c r="C15" s="14">
        <v>43152.5</v>
      </c>
      <c r="D15" s="13" t="s">
        <v>151</v>
      </c>
      <c r="E15" s="13" t="s">
        <v>355</v>
      </c>
      <c r="F15" s="15" t="s">
        <v>152</v>
      </c>
      <c r="G15" s="13"/>
      <c r="H15" s="14">
        <v>40725</v>
      </c>
      <c r="I15" s="14"/>
      <c r="J15" s="15" t="s">
        <v>364</v>
      </c>
      <c r="K15" s="15" t="s">
        <v>365</v>
      </c>
      <c r="L15" s="13" t="s">
        <v>332</v>
      </c>
      <c r="M15" s="15"/>
      <c r="N15" s="13"/>
      <c r="O15" s="13"/>
      <c r="P15" s="13"/>
      <c r="Q15" s="13"/>
      <c r="R15" s="13"/>
      <c r="S15" s="13"/>
      <c r="T15" s="13"/>
      <c r="U15" s="15"/>
    </row>
    <row r="16" spans="1:21" ht="43.5" x14ac:dyDescent="0.35">
      <c r="A16" s="13" t="s">
        <v>354</v>
      </c>
      <c r="B16" s="13" t="s">
        <v>81</v>
      </c>
      <c r="C16" s="14">
        <v>43152.5</v>
      </c>
      <c r="D16" s="13" t="s">
        <v>153</v>
      </c>
      <c r="E16" s="13" t="s">
        <v>355</v>
      </c>
      <c r="F16" s="15" t="s">
        <v>154</v>
      </c>
      <c r="G16" s="13"/>
      <c r="H16" s="14">
        <v>40725</v>
      </c>
      <c r="I16" s="14"/>
      <c r="J16" s="15" t="s">
        <v>358</v>
      </c>
      <c r="K16" s="15" t="s">
        <v>366</v>
      </c>
      <c r="L16" s="13" t="s">
        <v>367</v>
      </c>
      <c r="M16" s="15"/>
      <c r="N16" s="13"/>
      <c r="O16" s="13"/>
      <c r="P16" s="13"/>
      <c r="Q16" s="13"/>
      <c r="R16" s="13"/>
      <c r="S16" s="13"/>
      <c r="T16" s="13"/>
      <c r="U16" s="15"/>
    </row>
    <row r="17" spans="1:21" ht="43.5" x14ac:dyDescent="0.35">
      <c r="A17" s="13" t="s">
        <v>354</v>
      </c>
      <c r="B17" s="13" t="s">
        <v>81</v>
      </c>
      <c r="C17" s="14">
        <v>43152.5</v>
      </c>
      <c r="D17" s="13" t="s">
        <v>155</v>
      </c>
      <c r="E17" s="13" t="s">
        <v>355</v>
      </c>
      <c r="F17" s="15" t="s">
        <v>156</v>
      </c>
      <c r="G17" s="13"/>
      <c r="H17" s="14">
        <v>40725</v>
      </c>
      <c r="I17" s="14"/>
      <c r="J17" s="15" t="s">
        <v>360</v>
      </c>
      <c r="K17" s="15" t="s">
        <v>368</v>
      </c>
      <c r="L17" s="13" t="s">
        <v>367</v>
      </c>
      <c r="M17" s="15"/>
      <c r="N17" s="13"/>
      <c r="O17" s="13"/>
      <c r="P17" s="13"/>
      <c r="Q17" s="13"/>
      <c r="R17" s="13"/>
      <c r="S17" s="13"/>
      <c r="T17" s="13"/>
      <c r="U17" s="15"/>
    </row>
    <row r="18" spans="1:21" ht="43.5" x14ac:dyDescent="0.35">
      <c r="A18" s="13" t="s">
        <v>354</v>
      </c>
      <c r="B18" s="13" t="s">
        <v>81</v>
      </c>
      <c r="C18" s="14">
        <v>43152.5</v>
      </c>
      <c r="D18" s="13" t="s">
        <v>157</v>
      </c>
      <c r="E18" s="13" t="s">
        <v>355</v>
      </c>
      <c r="F18" s="15" t="s">
        <v>158</v>
      </c>
      <c r="G18" s="13"/>
      <c r="H18" s="14">
        <v>40725</v>
      </c>
      <c r="I18" s="14"/>
      <c r="J18" s="15"/>
      <c r="K18" s="15" t="s">
        <v>369</v>
      </c>
      <c r="L18" s="13" t="s">
        <v>332</v>
      </c>
      <c r="M18" s="15"/>
      <c r="N18" s="13"/>
      <c r="O18" s="13"/>
      <c r="P18" s="13"/>
      <c r="Q18" s="13"/>
      <c r="R18" s="13"/>
      <c r="S18" s="13"/>
      <c r="T18" s="13"/>
      <c r="U18" s="15"/>
    </row>
    <row r="19" spans="1:21" ht="72.5" x14ac:dyDescent="0.35">
      <c r="A19" s="13" t="s">
        <v>354</v>
      </c>
      <c r="B19" s="13" t="s">
        <v>81</v>
      </c>
      <c r="C19" s="14">
        <v>44932.46875</v>
      </c>
      <c r="D19" s="13" t="s">
        <v>135</v>
      </c>
      <c r="E19" s="13" t="s">
        <v>355</v>
      </c>
      <c r="F19" s="15" t="s">
        <v>136</v>
      </c>
      <c r="G19" s="13"/>
      <c r="H19" s="14">
        <v>40725</v>
      </c>
      <c r="I19" s="14"/>
      <c r="J19" s="15" t="s">
        <v>370</v>
      </c>
      <c r="K19" s="15" t="s">
        <v>371</v>
      </c>
      <c r="L19" s="13" t="s">
        <v>332</v>
      </c>
      <c r="M19" s="15" t="s">
        <v>372</v>
      </c>
      <c r="N19" s="13"/>
      <c r="O19" s="13"/>
      <c r="P19" s="13"/>
      <c r="Q19" s="13"/>
      <c r="R19" s="13"/>
      <c r="S19" s="13"/>
      <c r="T19" s="13"/>
      <c r="U19" s="15"/>
    </row>
    <row r="20" spans="1:21" ht="72.5" x14ac:dyDescent="0.35">
      <c r="A20" s="13" t="s">
        <v>354</v>
      </c>
      <c r="B20" s="13" t="s">
        <v>81</v>
      </c>
      <c r="C20" s="14">
        <v>44932.470833333333</v>
      </c>
      <c r="D20" s="13" t="s">
        <v>137</v>
      </c>
      <c r="E20" s="13" t="s">
        <v>355</v>
      </c>
      <c r="F20" s="15" t="s">
        <v>138</v>
      </c>
      <c r="G20" s="13"/>
      <c r="H20" s="14">
        <v>40725</v>
      </c>
      <c r="I20" s="14"/>
      <c r="J20" s="15" t="s">
        <v>373</v>
      </c>
      <c r="K20" s="15" t="s">
        <v>374</v>
      </c>
      <c r="L20" s="13" t="s">
        <v>332</v>
      </c>
      <c r="M20" s="15" t="s">
        <v>372</v>
      </c>
      <c r="N20" s="13"/>
      <c r="O20" s="13"/>
      <c r="P20" s="13"/>
      <c r="Q20" s="13"/>
      <c r="R20" s="13"/>
      <c r="S20" s="13"/>
      <c r="T20" s="13"/>
      <c r="U20" s="15"/>
    </row>
    <row r="21" spans="1:21" ht="72.5" x14ac:dyDescent="0.35">
      <c r="A21" s="13" t="s">
        <v>375</v>
      </c>
      <c r="B21" s="13" t="s">
        <v>142</v>
      </c>
      <c r="C21" s="14">
        <v>43669.656944444447</v>
      </c>
      <c r="D21" s="13" t="s">
        <v>139</v>
      </c>
      <c r="E21" s="13" t="s">
        <v>355</v>
      </c>
      <c r="F21" s="15" t="s">
        <v>140</v>
      </c>
      <c r="G21" s="13"/>
      <c r="H21" s="14">
        <v>40725</v>
      </c>
      <c r="I21" s="14"/>
      <c r="J21" s="15"/>
      <c r="K21" s="15" t="s">
        <v>376</v>
      </c>
      <c r="L21" s="13" t="s">
        <v>332</v>
      </c>
      <c r="M21" s="15"/>
      <c r="N21" s="13"/>
      <c r="O21" s="13"/>
      <c r="P21" s="13"/>
      <c r="Q21" s="13"/>
      <c r="R21" s="13"/>
      <c r="S21" s="13"/>
      <c r="T21" s="13"/>
      <c r="U21" s="15"/>
    </row>
    <row r="22" spans="1:21" ht="72.5" x14ac:dyDescent="0.35">
      <c r="A22" s="13" t="s">
        <v>80</v>
      </c>
      <c r="B22" s="13" t="s">
        <v>81</v>
      </c>
      <c r="C22" s="14">
        <v>43894.586111111108</v>
      </c>
      <c r="D22" s="13" t="s">
        <v>97</v>
      </c>
      <c r="E22" s="13" t="s">
        <v>377</v>
      </c>
      <c r="F22" s="15" t="s">
        <v>98</v>
      </c>
      <c r="G22" s="13" t="s">
        <v>378</v>
      </c>
      <c r="H22" s="14">
        <v>43826</v>
      </c>
      <c r="I22" s="14"/>
      <c r="J22" s="15"/>
      <c r="K22" s="15"/>
      <c r="L22" s="13" t="s">
        <v>367</v>
      </c>
      <c r="M22" s="15"/>
      <c r="N22" s="13"/>
      <c r="O22" s="13"/>
      <c r="P22" s="13" t="s">
        <v>341</v>
      </c>
      <c r="Q22" s="13"/>
      <c r="R22" s="13"/>
      <c r="S22" s="13"/>
      <c r="T22" s="13" t="s">
        <v>334</v>
      </c>
      <c r="U22" s="15" t="s">
        <v>379</v>
      </c>
    </row>
    <row r="23" spans="1:21" ht="87" x14ac:dyDescent="0.35">
      <c r="A23" s="13" t="s">
        <v>80</v>
      </c>
      <c r="B23" s="13" t="s">
        <v>81</v>
      </c>
      <c r="C23" s="14">
        <v>43894.587500000001</v>
      </c>
      <c r="D23" s="13" t="s">
        <v>117</v>
      </c>
      <c r="E23" s="13" t="s">
        <v>377</v>
      </c>
      <c r="F23" s="15" t="s">
        <v>118</v>
      </c>
      <c r="G23" s="13" t="s">
        <v>342</v>
      </c>
      <c r="H23" s="14">
        <v>43826</v>
      </c>
      <c r="I23" s="14"/>
      <c r="J23" s="15"/>
      <c r="K23" s="15"/>
      <c r="L23" s="13" t="s">
        <v>367</v>
      </c>
      <c r="M23" s="15"/>
      <c r="N23" s="13"/>
      <c r="O23" s="13"/>
      <c r="P23" s="13" t="s">
        <v>333</v>
      </c>
      <c r="Q23" s="13"/>
      <c r="R23" s="13"/>
      <c r="S23" s="13"/>
      <c r="T23" s="13" t="s">
        <v>334</v>
      </c>
      <c r="U23" s="15" t="s">
        <v>380</v>
      </c>
    </row>
    <row r="24" spans="1:21" ht="43.5" x14ac:dyDescent="0.35">
      <c r="A24" s="13" t="s">
        <v>80</v>
      </c>
      <c r="B24" s="13" t="s">
        <v>81</v>
      </c>
      <c r="C24" s="14">
        <v>43894.591666666667</v>
      </c>
      <c r="D24" s="13" t="s">
        <v>99</v>
      </c>
      <c r="E24" s="13" t="s">
        <v>377</v>
      </c>
      <c r="F24" s="15" t="s">
        <v>100</v>
      </c>
      <c r="G24" s="13" t="s">
        <v>344</v>
      </c>
      <c r="H24" s="14">
        <v>43826</v>
      </c>
      <c r="I24" s="14"/>
      <c r="J24" s="15"/>
      <c r="K24" s="15"/>
      <c r="L24" s="13" t="s">
        <v>367</v>
      </c>
      <c r="M24" s="15"/>
      <c r="N24" s="13"/>
      <c r="O24" s="13"/>
      <c r="P24" s="13" t="s">
        <v>333</v>
      </c>
      <c r="Q24" s="13"/>
      <c r="R24" s="13"/>
      <c r="S24" s="13"/>
      <c r="T24" s="13" t="s">
        <v>334</v>
      </c>
      <c r="U24" s="15" t="s">
        <v>100</v>
      </c>
    </row>
    <row r="25" spans="1:21" ht="43.5" x14ac:dyDescent="0.35">
      <c r="A25" s="13" t="s">
        <v>80</v>
      </c>
      <c r="B25" s="13" t="s">
        <v>81</v>
      </c>
      <c r="C25" s="14">
        <v>43894.593055555553</v>
      </c>
      <c r="D25" s="13" t="s">
        <v>101</v>
      </c>
      <c r="E25" s="13" t="s">
        <v>377</v>
      </c>
      <c r="F25" s="15" t="s">
        <v>102</v>
      </c>
      <c r="G25" s="13" t="s">
        <v>342</v>
      </c>
      <c r="H25" s="14">
        <v>43826</v>
      </c>
      <c r="I25" s="14"/>
      <c r="J25" s="15"/>
      <c r="K25" s="15"/>
      <c r="L25" s="13" t="s">
        <v>367</v>
      </c>
      <c r="M25" s="15"/>
      <c r="N25" s="13"/>
      <c r="O25" s="13"/>
      <c r="P25" s="13" t="s">
        <v>333</v>
      </c>
      <c r="Q25" s="13"/>
      <c r="R25" s="13"/>
      <c r="S25" s="13"/>
      <c r="T25" s="13" t="s">
        <v>334</v>
      </c>
      <c r="U25" s="15" t="s">
        <v>102</v>
      </c>
    </row>
    <row r="26" spans="1:21" ht="87" x14ac:dyDescent="0.35">
      <c r="A26" s="13" t="s">
        <v>80</v>
      </c>
      <c r="B26" s="13" t="s">
        <v>81</v>
      </c>
      <c r="C26" s="14">
        <v>43894.595138888886</v>
      </c>
      <c r="D26" s="13" t="s">
        <v>103</v>
      </c>
      <c r="E26" s="13" t="s">
        <v>377</v>
      </c>
      <c r="F26" s="15" t="s">
        <v>104</v>
      </c>
      <c r="G26" s="13" t="s">
        <v>381</v>
      </c>
      <c r="H26" s="14">
        <v>43826</v>
      </c>
      <c r="I26" s="14"/>
      <c r="J26" s="15"/>
      <c r="K26" s="15"/>
      <c r="L26" s="13" t="s">
        <v>367</v>
      </c>
      <c r="M26" s="15"/>
      <c r="N26" s="13"/>
      <c r="O26" s="13"/>
      <c r="P26" s="13" t="s">
        <v>333</v>
      </c>
      <c r="Q26" s="13"/>
      <c r="R26" s="13"/>
      <c r="S26" s="13"/>
      <c r="T26" s="13" t="s">
        <v>334</v>
      </c>
      <c r="U26" s="15" t="s">
        <v>104</v>
      </c>
    </row>
    <row r="27" spans="1:21" ht="43.5" x14ac:dyDescent="0.35">
      <c r="A27" s="13" t="s">
        <v>80</v>
      </c>
      <c r="B27" s="13" t="s">
        <v>81</v>
      </c>
      <c r="C27" s="14">
        <v>43896.42083333333</v>
      </c>
      <c r="D27" s="13" t="s">
        <v>105</v>
      </c>
      <c r="E27" s="13" t="s">
        <v>377</v>
      </c>
      <c r="F27" s="15" t="s">
        <v>106</v>
      </c>
      <c r="G27" s="13" t="s">
        <v>338</v>
      </c>
      <c r="H27" s="14">
        <v>43826</v>
      </c>
      <c r="I27" s="14"/>
      <c r="J27" s="15"/>
      <c r="K27" s="15"/>
      <c r="L27" s="13" t="s">
        <v>367</v>
      </c>
      <c r="M27" s="15"/>
      <c r="N27" s="13"/>
      <c r="O27" s="13"/>
      <c r="P27" s="13" t="s">
        <v>333</v>
      </c>
      <c r="Q27" s="13"/>
      <c r="R27" s="13"/>
      <c r="S27" s="13"/>
      <c r="T27" s="13" t="s">
        <v>334</v>
      </c>
      <c r="U27" s="15" t="s">
        <v>106</v>
      </c>
    </row>
    <row r="28" spans="1:21" ht="43.5" x14ac:dyDescent="0.35">
      <c r="A28" s="13" t="s">
        <v>80</v>
      </c>
      <c r="B28" s="13" t="s">
        <v>81</v>
      </c>
      <c r="C28" s="14">
        <v>43894.597222222219</v>
      </c>
      <c r="D28" s="13" t="s">
        <v>107</v>
      </c>
      <c r="E28" s="13" t="s">
        <v>377</v>
      </c>
      <c r="F28" s="15" t="s">
        <v>108</v>
      </c>
      <c r="G28" s="13" t="s">
        <v>338</v>
      </c>
      <c r="H28" s="14">
        <v>43826</v>
      </c>
      <c r="I28" s="14"/>
      <c r="J28" s="15"/>
      <c r="K28" s="15"/>
      <c r="L28" s="13" t="s">
        <v>367</v>
      </c>
      <c r="M28" s="15"/>
      <c r="N28" s="13"/>
      <c r="O28" s="13"/>
      <c r="P28" s="13" t="s">
        <v>333</v>
      </c>
      <c r="Q28" s="13"/>
      <c r="R28" s="13"/>
      <c r="S28" s="13"/>
      <c r="T28" s="13" t="s">
        <v>334</v>
      </c>
      <c r="U28" s="15" t="s">
        <v>108</v>
      </c>
    </row>
    <row r="29" spans="1:21" ht="43.5" x14ac:dyDescent="0.35">
      <c r="A29" s="13" t="s">
        <v>80</v>
      </c>
      <c r="B29" s="13" t="s">
        <v>81</v>
      </c>
      <c r="C29" s="14">
        <v>43894.598611111112</v>
      </c>
      <c r="D29" s="13" t="s">
        <v>109</v>
      </c>
      <c r="E29" s="13" t="s">
        <v>377</v>
      </c>
      <c r="F29" s="15" t="s">
        <v>110</v>
      </c>
      <c r="G29" s="13" t="s">
        <v>338</v>
      </c>
      <c r="H29" s="14">
        <v>43826</v>
      </c>
      <c r="I29" s="14"/>
      <c r="J29" s="15"/>
      <c r="K29" s="15"/>
      <c r="L29" s="13" t="s">
        <v>367</v>
      </c>
      <c r="M29" s="15"/>
      <c r="N29" s="13"/>
      <c r="O29" s="13"/>
      <c r="P29" s="13" t="s">
        <v>341</v>
      </c>
      <c r="Q29" s="13"/>
      <c r="R29" s="13"/>
      <c r="S29" s="13"/>
      <c r="T29" s="13" t="s">
        <v>334</v>
      </c>
      <c r="U29" s="15" t="s">
        <v>110</v>
      </c>
    </row>
    <row r="30" spans="1:21" ht="43.5" x14ac:dyDescent="0.35">
      <c r="A30" s="13" t="s">
        <v>80</v>
      </c>
      <c r="B30" s="13" t="s">
        <v>81</v>
      </c>
      <c r="C30" s="14">
        <v>43894.599305555559</v>
      </c>
      <c r="D30" s="13" t="s">
        <v>111</v>
      </c>
      <c r="E30" s="13" t="s">
        <v>377</v>
      </c>
      <c r="F30" s="15" t="s">
        <v>112</v>
      </c>
      <c r="G30" s="13" t="s">
        <v>338</v>
      </c>
      <c r="H30" s="14">
        <v>43826</v>
      </c>
      <c r="I30" s="14"/>
      <c r="J30" s="15"/>
      <c r="K30" s="15"/>
      <c r="L30" s="13" t="s">
        <v>367</v>
      </c>
      <c r="M30" s="15"/>
      <c r="N30" s="13"/>
      <c r="O30" s="13"/>
      <c r="P30" s="13" t="s">
        <v>333</v>
      </c>
      <c r="Q30" s="13"/>
      <c r="R30" s="13"/>
      <c r="S30" s="13"/>
      <c r="T30" s="13" t="s">
        <v>334</v>
      </c>
      <c r="U30" s="15" t="s">
        <v>112</v>
      </c>
    </row>
    <row r="31" spans="1:21" ht="43.5" x14ac:dyDescent="0.35">
      <c r="A31" s="13" t="s">
        <v>80</v>
      </c>
      <c r="B31" s="13" t="s">
        <v>81</v>
      </c>
      <c r="C31" s="14">
        <v>43894.600694444445</v>
      </c>
      <c r="D31" s="13" t="s">
        <v>113</v>
      </c>
      <c r="E31" s="13" t="s">
        <v>377</v>
      </c>
      <c r="F31" s="15" t="s">
        <v>114</v>
      </c>
      <c r="G31" s="13" t="s">
        <v>338</v>
      </c>
      <c r="H31" s="14">
        <v>43826</v>
      </c>
      <c r="I31" s="14"/>
      <c r="J31" s="15"/>
      <c r="K31" s="15"/>
      <c r="L31" s="13" t="s">
        <v>367</v>
      </c>
      <c r="M31" s="15"/>
      <c r="N31" s="13"/>
      <c r="O31" s="13"/>
      <c r="P31" s="13" t="s">
        <v>333</v>
      </c>
      <c r="Q31" s="13"/>
      <c r="R31" s="13"/>
      <c r="S31" s="13"/>
      <c r="T31" s="13" t="s">
        <v>334</v>
      </c>
      <c r="U31" s="15" t="s">
        <v>114</v>
      </c>
    </row>
    <row r="32" spans="1:21" ht="58" x14ac:dyDescent="0.35">
      <c r="A32" s="13" t="s">
        <v>80</v>
      </c>
      <c r="B32" s="13" t="s">
        <v>81</v>
      </c>
      <c r="C32" s="14">
        <v>43894.602083333331</v>
      </c>
      <c r="D32" s="13" t="s">
        <v>115</v>
      </c>
      <c r="E32" s="13" t="s">
        <v>377</v>
      </c>
      <c r="F32" s="15" t="s">
        <v>116</v>
      </c>
      <c r="G32" s="13" t="s">
        <v>382</v>
      </c>
      <c r="H32" s="14">
        <v>43826</v>
      </c>
      <c r="I32" s="14"/>
      <c r="J32" s="15"/>
      <c r="K32" s="15"/>
      <c r="L32" s="13" t="s">
        <v>367</v>
      </c>
      <c r="M32" s="15"/>
      <c r="N32" s="13"/>
      <c r="O32" s="13"/>
      <c r="P32" s="13" t="s">
        <v>333</v>
      </c>
      <c r="Q32" s="13"/>
      <c r="R32" s="13"/>
      <c r="S32" s="13"/>
      <c r="T32" s="13" t="s">
        <v>334</v>
      </c>
      <c r="U32" s="15" t="s">
        <v>116</v>
      </c>
    </row>
    <row r="33" spans="1:21" ht="72.5" x14ac:dyDescent="0.35">
      <c r="A33" s="13" t="s">
        <v>80</v>
      </c>
      <c r="B33" s="13" t="s">
        <v>81</v>
      </c>
      <c r="C33" s="14">
        <v>43894.602777777778</v>
      </c>
      <c r="D33" s="13" t="s">
        <v>147</v>
      </c>
      <c r="E33" s="13" t="s">
        <v>377</v>
      </c>
      <c r="F33" s="15" t="s">
        <v>148</v>
      </c>
      <c r="G33" s="13" t="s">
        <v>342</v>
      </c>
      <c r="H33" s="14">
        <v>43826</v>
      </c>
      <c r="I33" s="14"/>
      <c r="J33" s="15"/>
      <c r="K33" s="15"/>
      <c r="L33" s="13" t="s">
        <v>367</v>
      </c>
      <c r="M33" s="15"/>
      <c r="N33" s="13"/>
      <c r="O33" s="13"/>
      <c r="P33" s="13" t="s">
        <v>341</v>
      </c>
      <c r="Q33" s="13"/>
      <c r="R33" s="13"/>
      <c r="S33" s="13"/>
      <c r="T33" s="13" t="s">
        <v>334</v>
      </c>
      <c r="U33" s="15" t="s">
        <v>148</v>
      </c>
    </row>
    <row r="34" spans="1:21" ht="58" x14ac:dyDescent="0.35">
      <c r="A34" s="13" t="s">
        <v>80</v>
      </c>
      <c r="B34" s="13" t="s">
        <v>81</v>
      </c>
      <c r="C34" s="14">
        <v>43894.604166666664</v>
      </c>
      <c r="D34" s="13" t="s">
        <v>175</v>
      </c>
      <c r="E34" s="13" t="s">
        <v>377</v>
      </c>
      <c r="F34" s="15" t="s">
        <v>176</v>
      </c>
      <c r="G34" s="13" t="s">
        <v>342</v>
      </c>
      <c r="H34" s="14">
        <v>43826</v>
      </c>
      <c r="I34" s="14"/>
      <c r="J34" s="15"/>
      <c r="K34" s="15"/>
      <c r="L34" s="13" t="s">
        <v>367</v>
      </c>
      <c r="M34" s="15"/>
      <c r="N34" s="13"/>
      <c r="O34" s="13"/>
      <c r="P34" s="13" t="s">
        <v>383</v>
      </c>
      <c r="Q34" s="13"/>
      <c r="R34" s="13"/>
      <c r="S34" s="13"/>
      <c r="T34" s="13" t="s">
        <v>334</v>
      </c>
      <c r="U34" s="15" t="s">
        <v>176</v>
      </c>
    </row>
    <row r="35" spans="1:21" ht="29" x14ac:dyDescent="0.35">
      <c r="A35" s="13" t="s">
        <v>80</v>
      </c>
      <c r="B35" s="13" t="s">
        <v>81</v>
      </c>
      <c r="C35" s="14">
        <v>43894.604861111111</v>
      </c>
      <c r="D35" s="13" t="s">
        <v>119</v>
      </c>
      <c r="E35" s="13" t="s">
        <v>377</v>
      </c>
      <c r="F35" s="15" t="s">
        <v>120</v>
      </c>
      <c r="G35" s="13" t="s">
        <v>338</v>
      </c>
      <c r="H35" s="14">
        <v>43826</v>
      </c>
      <c r="I35" s="14"/>
      <c r="J35" s="15"/>
      <c r="K35" s="15"/>
      <c r="L35" s="13" t="s">
        <v>367</v>
      </c>
      <c r="M35" s="15"/>
      <c r="N35" s="13"/>
      <c r="O35" s="13"/>
      <c r="P35" s="13" t="s">
        <v>341</v>
      </c>
      <c r="Q35" s="13"/>
      <c r="R35" s="13"/>
      <c r="S35" s="13"/>
      <c r="T35" s="13" t="s">
        <v>334</v>
      </c>
      <c r="U35" s="15" t="s">
        <v>120</v>
      </c>
    </row>
    <row r="36" spans="1:21" ht="58" x14ac:dyDescent="0.35">
      <c r="A36" s="13" t="s">
        <v>159</v>
      </c>
      <c r="B36" s="13" t="s">
        <v>81</v>
      </c>
      <c r="C36" s="14">
        <v>44946.410416666666</v>
      </c>
      <c r="D36" s="13" t="s">
        <v>220</v>
      </c>
      <c r="E36" s="13" t="s">
        <v>377</v>
      </c>
      <c r="F36" s="15" t="s">
        <v>221</v>
      </c>
      <c r="G36" s="13" t="s">
        <v>349</v>
      </c>
      <c r="H36" s="14">
        <v>44767</v>
      </c>
      <c r="I36" s="14"/>
      <c r="J36" s="15"/>
      <c r="K36" s="15"/>
      <c r="L36" s="13" t="s">
        <v>367</v>
      </c>
      <c r="M36" s="15"/>
      <c r="N36" s="13"/>
      <c r="O36" s="13"/>
      <c r="P36" s="13" t="s">
        <v>351</v>
      </c>
      <c r="Q36" s="13"/>
      <c r="R36" s="13"/>
      <c r="S36" s="13"/>
      <c r="T36" s="13" t="s">
        <v>334</v>
      </c>
      <c r="U36" s="15" t="s">
        <v>221</v>
      </c>
    </row>
    <row r="37" spans="1:21" ht="72.5" x14ac:dyDescent="0.35">
      <c r="A37" s="13" t="s">
        <v>159</v>
      </c>
      <c r="B37" s="13" t="s">
        <v>81</v>
      </c>
      <c r="C37" s="14">
        <v>44946.42083333333</v>
      </c>
      <c r="D37" s="13" t="s">
        <v>234</v>
      </c>
      <c r="E37" s="13" t="s">
        <v>377</v>
      </c>
      <c r="F37" s="15" t="s">
        <v>221</v>
      </c>
      <c r="G37" s="13" t="s">
        <v>352</v>
      </c>
      <c r="H37" s="14">
        <v>44767</v>
      </c>
      <c r="I37" s="14"/>
      <c r="J37" s="15"/>
      <c r="K37" s="15"/>
      <c r="L37" s="13" t="s">
        <v>367</v>
      </c>
      <c r="M37" s="15"/>
      <c r="N37" s="13"/>
      <c r="O37" s="13"/>
      <c r="P37" s="13" t="s">
        <v>353</v>
      </c>
      <c r="Q37" s="13"/>
      <c r="R37" s="13"/>
      <c r="S37" s="13"/>
      <c r="T37" s="13" t="s">
        <v>334</v>
      </c>
      <c r="U37" s="15" t="s">
        <v>221</v>
      </c>
    </row>
    <row r="38" spans="1:21" ht="72.5" x14ac:dyDescent="0.35">
      <c r="A38" s="13" t="s">
        <v>159</v>
      </c>
      <c r="B38" s="13" t="s">
        <v>81</v>
      </c>
      <c r="C38" s="14">
        <v>44960.472916666666</v>
      </c>
      <c r="D38" s="13" t="s">
        <v>210</v>
      </c>
      <c r="E38" s="13" t="s">
        <v>377</v>
      </c>
      <c r="F38" s="15" t="s">
        <v>211</v>
      </c>
      <c r="G38" s="13" t="s">
        <v>384</v>
      </c>
      <c r="H38" s="14">
        <v>44767</v>
      </c>
      <c r="I38" s="14"/>
      <c r="J38" s="15"/>
      <c r="K38" s="15"/>
      <c r="L38" s="13" t="s">
        <v>367</v>
      </c>
      <c r="M38" s="15"/>
      <c r="N38" s="13"/>
      <c r="O38" s="13"/>
      <c r="P38" s="13" t="s">
        <v>351</v>
      </c>
      <c r="Q38" s="13"/>
      <c r="R38" s="13"/>
      <c r="S38" s="13"/>
      <c r="T38" s="13" t="s">
        <v>334</v>
      </c>
      <c r="U38" s="15" t="s">
        <v>211</v>
      </c>
    </row>
    <row r="39" spans="1:21" ht="72.5" x14ac:dyDescent="0.35">
      <c r="A39" s="13" t="s">
        <v>159</v>
      </c>
      <c r="B39" s="13" t="s">
        <v>81</v>
      </c>
      <c r="C39" s="14">
        <v>44960.474305555559</v>
      </c>
      <c r="D39" s="13" t="s">
        <v>228</v>
      </c>
      <c r="E39" s="13" t="s">
        <v>377</v>
      </c>
      <c r="F39" s="15" t="s">
        <v>229</v>
      </c>
      <c r="G39" s="13" t="s">
        <v>385</v>
      </c>
      <c r="H39" s="14">
        <v>44767</v>
      </c>
      <c r="I39" s="14"/>
      <c r="J39" s="15"/>
      <c r="K39" s="15"/>
      <c r="L39" s="13" t="s">
        <v>367</v>
      </c>
      <c r="M39" s="15"/>
      <c r="N39" s="13"/>
      <c r="O39" s="13"/>
      <c r="P39" s="13" t="s">
        <v>353</v>
      </c>
      <c r="Q39" s="13"/>
      <c r="R39" s="13"/>
      <c r="S39" s="13"/>
      <c r="T39" s="13" t="s">
        <v>334</v>
      </c>
      <c r="U39" s="15" t="s">
        <v>229</v>
      </c>
    </row>
    <row r="40" spans="1:21" ht="72.5" x14ac:dyDescent="0.35">
      <c r="A40" s="13" t="s">
        <v>159</v>
      </c>
      <c r="B40" s="13" t="s">
        <v>81</v>
      </c>
      <c r="C40" s="14">
        <v>44964.42083333333</v>
      </c>
      <c r="D40" s="13" t="s">
        <v>212</v>
      </c>
      <c r="E40" s="13" t="s">
        <v>377</v>
      </c>
      <c r="F40" s="15" t="s">
        <v>213</v>
      </c>
      <c r="G40" s="13" t="s">
        <v>386</v>
      </c>
      <c r="H40" s="14">
        <v>44767</v>
      </c>
      <c r="I40" s="14"/>
      <c r="J40" s="15"/>
      <c r="K40" s="15"/>
      <c r="L40" s="13" t="s">
        <v>367</v>
      </c>
      <c r="M40" s="15"/>
      <c r="N40" s="13"/>
      <c r="O40" s="13"/>
      <c r="P40" s="13" t="s">
        <v>351</v>
      </c>
      <c r="Q40" s="13"/>
      <c r="R40" s="13"/>
      <c r="S40" s="13"/>
      <c r="T40" s="13" t="s">
        <v>334</v>
      </c>
      <c r="U40" s="15" t="s">
        <v>213</v>
      </c>
    </row>
    <row r="41" spans="1:21" ht="72.5" x14ac:dyDescent="0.35">
      <c r="A41" s="13" t="s">
        <v>159</v>
      </c>
      <c r="B41" s="13" t="s">
        <v>81</v>
      </c>
      <c r="C41" s="14">
        <v>44964.435416666667</v>
      </c>
      <c r="D41" s="13" t="s">
        <v>230</v>
      </c>
      <c r="E41" s="13" t="s">
        <v>377</v>
      </c>
      <c r="F41" s="15" t="s">
        <v>213</v>
      </c>
      <c r="G41" s="13" t="s">
        <v>387</v>
      </c>
      <c r="H41" s="14">
        <v>44767</v>
      </c>
      <c r="I41" s="14"/>
      <c r="J41" s="15"/>
      <c r="K41" s="15"/>
      <c r="L41" s="13" t="s">
        <v>367</v>
      </c>
      <c r="M41" s="15"/>
      <c r="N41" s="13"/>
      <c r="O41" s="13"/>
      <c r="P41" s="13" t="s">
        <v>353</v>
      </c>
      <c r="Q41" s="13"/>
      <c r="R41" s="13"/>
      <c r="S41" s="13"/>
      <c r="T41" s="13" t="s">
        <v>334</v>
      </c>
      <c r="U41" s="15" t="s">
        <v>213</v>
      </c>
    </row>
    <row r="42" spans="1:21" ht="43.5" x14ac:dyDescent="0.35">
      <c r="A42" s="13" t="s">
        <v>159</v>
      </c>
      <c r="B42" s="13" t="s">
        <v>81</v>
      </c>
      <c r="C42" s="14">
        <v>44960.475694444445</v>
      </c>
      <c r="D42" s="13" t="s">
        <v>214</v>
      </c>
      <c r="E42" s="13" t="s">
        <v>377</v>
      </c>
      <c r="F42" s="15" t="s">
        <v>215</v>
      </c>
      <c r="G42" s="13" t="s">
        <v>388</v>
      </c>
      <c r="H42" s="14">
        <v>44767</v>
      </c>
      <c r="I42" s="14"/>
      <c r="J42" s="15"/>
      <c r="K42" s="15"/>
      <c r="L42" s="13" t="s">
        <v>367</v>
      </c>
      <c r="M42" s="15"/>
      <c r="N42" s="13"/>
      <c r="O42" s="13"/>
      <c r="P42" s="13" t="s">
        <v>351</v>
      </c>
      <c r="Q42" s="13"/>
      <c r="R42" s="13"/>
      <c r="S42" s="13"/>
      <c r="T42" s="13" t="s">
        <v>334</v>
      </c>
      <c r="U42" s="15" t="s">
        <v>215</v>
      </c>
    </row>
    <row r="43" spans="1:21" ht="58" x14ac:dyDescent="0.35">
      <c r="A43" s="13" t="s">
        <v>159</v>
      </c>
      <c r="B43" s="13" t="s">
        <v>81</v>
      </c>
      <c r="C43" s="14">
        <v>44960.476388888892</v>
      </c>
      <c r="D43" s="13" t="s">
        <v>231</v>
      </c>
      <c r="E43" s="13" t="s">
        <v>377</v>
      </c>
      <c r="F43" s="15" t="s">
        <v>215</v>
      </c>
      <c r="G43" s="13" t="s">
        <v>389</v>
      </c>
      <c r="H43" s="14">
        <v>44767</v>
      </c>
      <c r="I43" s="14"/>
      <c r="J43" s="15"/>
      <c r="K43" s="15"/>
      <c r="L43" s="13" t="s">
        <v>367</v>
      </c>
      <c r="M43" s="15"/>
      <c r="N43" s="13"/>
      <c r="O43" s="13"/>
      <c r="P43" s="13" t="s">
        <v>353</v>
      </c>
      <c r="Q43" s="13"/>
      <c r="R43" s="13"/>
      <c r="S43" s="13"/>
      <c r="T43" s="13" t="s">
        <v>334</v>
      </c>
      <c r="U43" s="15" t="s">
        <v>215</v>
      </c>
    </row>
    <row r="44" spans="1:21" ht="72.5" x14ac:dyDescent="0.35">
      <c r="A44" s="13" t="s">
        <v>159</v>
      </c>
      <c r="B44" s="13" t="s">
        <v>81</v>
      </c>
      <c r="C44" s="14">
        <v>44960.477083333331</v>
      </c>
      <c r="D44" s="13" t="s">
        <v>216</v>
      </c>
      <c r="E44" s="13" t="s">
        <v>377</v>
      </c>
      <c r="F44" s="15" t="s">
        <v>217</v>
      </c>
      <c r="G44" s="13" t="s">
        <v>384</v>
      </c>
      <c r="H44" s="14">
        <v>44767</v>
      </c>
      <c r="I44" s="14"/>
      <c r="J44" s="15"/>
      <c r="K44" s="15"/>
      <c r="L44" s="13" t="s">
        <v>367</v>
      </c>
      <c r="M44" s="15"/>
      <c r="N44" s="13"/>
      <c r="O44" s="13"/>
      <c r="P44" s="13" t="s">
        <v>351</v>
      </c>
      <c r="Q44" s="13"/>
      <c r="R44" s="13"/>
      <c r="S44" s="13"/>
      <c r="T44" s="13" t="s">
        <v>334</v>
      </c>
      <c r="U44" s="15" t="s">
        <v>217</v>
      </c>
    </row>
    <row r="45" spans="1:21" ht="72.5" x14ac:dyDescent="0.35">
      <c r="A45" s="13" t="s">
        <v>159</v>
      </c>
      <c r="B45" s="13" t="s">
        <v>81</v>
      </c>
      <c r="C45" s="14">
        <v>44960.478472222225</v>
      </c>
      <c r="D45" s="13" t="s">
        <v>232</v>
      </c>
      <c r="E45" s="13" t="s">
        <v>377</v>
      </c>
      <c r="F45" s="15" t="s">
        <v>217</v>
      </c>
      <c r="G45" s="13" t="s">
        <v>385</v>
      </c>
      <c r="H45" s="14">
        <v>44767</v>
      </c>
      <c r="I45" s="14"/>
      <c r="J45" s="15"/>
      <c r="K45" s="15"/>
      <c r="L45" s="13" t="s">
        <v>367</v>
      </c>
      <c r="M45" s="15"/>
      <c r="N45" s="13"/>
      <c r="O45" s="13"/>
      <c r="P45" s="13" t="s">
        <v>353</v>
      </c>
      <c r="Q45" s="13"/>
      <c r="R45" s="13"/>
      <c r="S45" s="13"/>
      <c r="T45" s="13" t="s">
        <v>334</v>
      </c>
      <c r="U45" s="15" t="s">
        <v>217</v>
      </c>
    </row>
    <row r="46" spans="1:21" ht="58" x14ac:dyDescent="0.35">
      <c r="A46" s="13" t="s">
        <v>159</v>
      </c>
      <c r="B46" s="13" t="s">
        <v>81</v>
      </c>
      <c r="C46" s="14">
        <v>44946.462500000001</v>
      </c>
      <c r="D46" s="13" t="s">
        <v>218</v>
      </c>
      <c r="E46" s="13" t="s">
        <v>377</v>
      </c>
      <c r="F46" s="15" t="s">
        <v>219</v>
      </c>
      <c r="G46" s="13" t="s">
        <v>384</v>
      </c>
      <c r="H46" s="14">
        <v>44767</v>
      </c>
      <c r="I46" s="14"/>
      <c r="J46" s="15"/>
      <c r="K46" s="15"/>
      <c r="L46" s="13" t="s">
        <v>367</v>
      </c>
      <c r="M46" s="15"/>
      <c r="N46" s="13"/>
      <c r="O46" s="13"/>
      <c r="P46" s="13" t="s">
        <v>351</v>
      </c>
      <c r="Q46" s="13"/>
      <c r="R46" s="13"/>
      <c r="S46" s="13"/>
      <c r="T46" s="13" t="s">
        <v>334</v>
      </c>
      <c r="U46" s="15" t="s">
        <v>219</v>
      </c>
    </row>
    <row r="47" spans="1:21" ht="58" x14ac:dyDescent="0.35">
      <c r="A47" s="13" t="s">
        <v>159</v>
      </c>
      <c r="B47" s="13" t="s">
        <v>81</v>
      </c>
      <c r="C47" s="14">
        <v>44946.467361111114</v>
      </c>
      <c r="D47" s="13" t="s">
        <v>233</v>
      </c>
      <c r="E47" s="13" t="s">
        <v>377</v>
      </c>
      <c r="F47" s="15" t="s">
        <v>219</v>
      </c>
      <c r="G47" s="13" t="s">
        <v>385</v>
      </c>
      <c r="H47" s="14">
        <v>44767</v>
      </c>
      <c r="I47" s="14"/>
      <c r="J47" s="15"/>
      <c r="K47" s="15"/>
      <c r="L47" s="13" t="s">
        <v>367</v>
      </c>
      <c r="M47" s="15"/>
      <c r="N47" s="13"/>
      <c r="O47" s="13"/>
      <c r="P47" s="13" t="s">
        <v>353</v>
      </c>
      <c r="Q47" s="13"/>
      <c r="R47" s="13"/>
      <c r="S47" s="13"/>
      <c r="T47" s="13" t="s">
        <v>334</v>
      </c>
      <c r="U47" s="15" t="s">
        <v>219</v>
      </c>
    </row>
    <row r="48" spans="1:21" s="23" customFormat="1" ht="72.5" x14ac:dyDescent="0.35">
      <c r="A48" s="20" t="s">
        <v>193</v>
      </c>
      <c r="B48" s="20" t="s">
        <v>81</v>
      </c>
      <c r="C48" s="21">
        <v>45993.456250000003</v>
      </c>
      <c r="D48" s="20" t="s">
        <v>238</v>
      </c>
      <c r="E48" s="20" t="s">
        <v>377</v>
      </c>
      <c r="F48" s="22" t="s">
        <v>239</v>
      </c>
      <c r="G48" s="20" t="s">
        <v>390</v>
      </c>
      <c r="H48" s="21">
        <v>44767</v>
      </c>
      <c r="I48" s="21"/>
      <c r="J48" s="22"/>
      <c r="K48" s="22"/>
      <c r="L48" s="20" t="s">
        <v>367</v>
      </c>
      <c r="M48" s="22"/>
      <c r="N48" s="20"/>
      <c r="O48" s="20"/>
      <c r="P48" s="20" t="s">
        <v>391</v>
      </c>
      <c r="Q48" s="20"/>
      <c r="R48" s="20" t="s">
        <v>240</v>
      </c>
      <c r="S48" s="20"/>
      <c r="T48" s="20" t="s">
        <v>334</v>
      </c>
      <c r="U48" s="22" t="s">
        <v>239</v>
      </c>
    </row>
    <row r="49" spans="1:21" s="23" customFormat="1" ht="58" x14ac:dyDescent="0.35">
      <c r="A49" s="20" t="s">
        <v>193</v>
      </c>
      <c r="B49" s="20" t="s">
        <v>81</v>
      </c>
      <c r="C49" s="21">
        <v>45999.495833333334</v>
      </c>
      <c r="D49" s="20" t="s">
        <v>198</v>
      </c>
      <c r="E49" s="20" t="s">
        <v>377</v>
      </c>
      <c r="F49" s="22" t="s">
        <v>199</v>
      </c>
      <c r="G49" s="20" t="s">
        <v>392</v>
      </c>
      <c r="H49" s="21">
        <v>45901</v>
      </c>
      <c r="I49" s="21"/>
      <c r="J49" s="22"/>
      <c r="K49" s="22"/>
      <c r="L49" s="20" t="s">
        <v>367</v>
      </c>
      <c r="M49" s="22"/>
      <c r="N49" s="20"/>
      <c r="O49" s="20"/>
      <c r="P49" s="20" t="s">
        <v>393</v>
      </c>
      <c r="Q49" s="20"/>
      <c r="R49" s="20" t="s">
        <v>196</v>
      </c>
      <c r="S49" s="20"/>
      <c r="T49" s="20" t="s">
        <v>334</v>
      </c>
      <c r="U49" s="22" t="s">
        <v>199</v>
      </c>
    </row>
    <row r="50" spans="1:21" s="23" customFormat="1" ht="72.5" x14ac:dyDescent="0.35">
      <c r="A50" s="20" t="s">
        <v>193</v>
      </c>
      <c r="B50" s="20" t="s">
        <v>81</v>
      </c>
      <c r="C50" s="21">
        <v>45995.634027777778</v>
      </c>
      <c r="D50" s="20" t="s">
        <v>243</v>
      </c>
      <c r="E50" s="20" t="s">
        <v>377</v>
      </c>
      <c r="F50" s="22" t="s">
        <v>244</v>
      </c>
      <c r="G50" s="20" t="s">
        <v>394</v>
      </c>
      <c r="H50" s="21">
        <v>45901</v>
      </c>
      <c r="I50" s="21"/>
      <c r="J50" s="22"/>
      <c r="K50" s="22"/>
      <c r="L50" s="20" t="s">
        <v>367</v>
      </c>
      <c r="M50" s="22"/>
      <c r="N50" s="20"/>
      <c r="O50" s="20"/>
      <c r="P50" s="20" t="s">
        <v>395</v>
      </c>
      <c r="Q50" s="20"/>
      <c r="R50" s="20" t="s">
        <v>196</v>
      </c>
      <c r="S50" s="20"/>
      <c r="T50" s="20" t="s">
        <v>334</v>
      </c>
      <c r="U50" s="22" t="s">
        <v>244</v>
      </c>
    </row>
    <row r="51" spans="1:21" ht="87" x14ac:dyDescent="0.35">
      <c r="A51" s="13" t="s">
        <v>80</v>
      </c>
      <c r="B51" s="13" t="s">
        <v>81</v>
      </c>
      <c r="C51" s="14">
        <v>43899.543055555558</v>
      </c>
      <c r="D51" s="13" t="s">
        <v>264</v>
      </c>
      <c r="E51" s="13" t="s">
        <v>396</v>
      </c>
      <c r="F51" s="15" t="s">
        <v>265</v>
      </c>
      <c r="G51" s="13"/>
      <c r="H51" s="14">
        <v>43826</v>
      </c>
      <c r="I51" s="14"/>
      <c r="J51" s="15"/>
      <c r="K51" s="15"/>
      <c r="L51" s="13" t="s">
        <v>367</v>
      </c>
      <c r="M51" s="15"/>
      <c r="N51" s="13"/>
      <c r="O51" s="13"/>
      <c r="P51" s="13"/>
      <c r="Q51" s="13" t="s">
        <v>397</v>
      </c>
      <c r="R51" s="13"/>
      <c r="S51" s="13"/>
      <c r="T51" s="13" t="s">
        <v>334</v>
      </c>
      <c r="U51" s="15" t="s">
        <v>265</v>
      </c>
    </row>
    <row r="52" spans="1:21" ht="58" x14ac:dyDescent="0.35">
      <c r="A52" s="13" t="s">
        <v>80</v>
      </c>
      <c r="B52" s="13" t="s">
        <v>81</v>
      </c>
      <c r="C52" s="14">
        <v>43899.544444444444</v>
      </c>
      <c r="D52" s="13" t="s">
        <v>277</v>
      </c>
      <c r="E52" s="13" t="s">
        <v>396</v>
      </c>
      <c r="F52" s="15" t="s">
        <v>278</v>
      </c>
      <c r="G52" s="13"/>
      <c r="H52" s="14">
        <v>43826</v>
      </c>
      <c r="I52" s="14"/>
      <c r="J52" s="15"/>
      <c r="K52" s="15"/>
      <c r="L52" s="13" t="s">
        <v>367</v>
      </c>
      <c r="M52" s="15"/>
      <c r="N52" s="13"/>
      <c r="O52" s="13"/>
      <c r="P52" s="13"/>
      <c r="Q52" s="13" t="s">
        <v>398</v>
      </c>
      <c r="R52" s="13"/>
      <c r="S52" s="13"/>
      <c r="T52" s="13" t="s">
        <v>334</v>
      </c>
      <c r="U52" s="15" t="s">
        <v>278</v>
      </c>
    </row>
    <row r="53" spans="1:21" ht="29" x14ac:dyDescent="0.35">
      <c r="A53" s="13" t="s">
        <v>80</v>
      </c>
      <c r="B53" s="13" t="s">
        <v>81</v>
      </c>
      <c r="C53" s="14">
        <v>43899.545138888891</v>
      </c>
      <c r="D53" s="13" t="s">
        <v>291</v>
      </c>
      <c r="E53" s="13" t="s">
        <v>396</v>
      </c>
      <c r="F53" s="15" t="s">
        <v>292</v>
      </c>
      <c r="G53" s="13"/>
      <c r="H53" s="14">
        <v>43826</v>
      </c>
      <c r="I53" s="14"/>
      <c r="J53" s="15"/>
      <c r="K53" s="15"/>
      <c r="L53" s="13" t="s">
        <v>367</v>
      </c>
      <c r="M53" s="15"/>
      <c r="N53" s="13"/>
      <c r="O53" s="13"/>
      <c r="P53" s="13"/>
      <c r="Q53" s="13" t="s">
        <v>399</v>
      </c>
      <c r="R53" s="13"/>
      <c r="S53" s="13"/>
      <c r="T53" s="13" t="s">
        <v>334</v>
      </c>
      <c r="U53" s="15" t="s">
        <v>292</v>
      </c>
    </row>
    <row r="54" spans="1:21" ht="58" x14ac:dyDescent="0.35">
      <c r="A54" s="13" t="s">
        <v>80</v>
      </c>
      <c r="B54" s="13" t="s">
        <v>81</v>
      </c>
      <c r="C54" s="14">
        <v>43899.546527777777</v>
      </c>
      <c r="D54" s="13" t="s">
        <v>266</v>
      </c>
      <c r="E54" s="13" t="s">
        <v>396</v>
      </c>
      <c r="F54" s="15" t="s">
        <v>267</v>
      </c>
      <c r="G54" s="13"/>
      <c r="H54" s="14">
        <v>43826</v>
      </c>
      <c r="I54" s="14"/>
      <c r="J54" s="15"/>
      <c r="K54" s="15"/>
      <c r="L54" s="13" t="s">
        <v>367</v>
      </c>
      <c r="M54" s="15"/>
      <c r="N54" s="13"/>
      <c r="O54" s="13"/>
      <c r="P54" s="13"/>
      <c r="Q54" s="13" t="s">
        <v>400</v>
      </c>
      <c r="R54" s="13"/>
      <c r="S54" s="13"/>
      <c r="T54" s="13" t="s">
        <v>334</v>
      </c>
      <c r="U54" s="15" t="s">
        <v>267</v>
      </c>
    </row>
    <row r="55" spans="1:21" ht="58" x14ac:dyDescent="0.35">
      <c r="A55" s="13" t="s">
        <v>80</v>
      </c>
      <c r="B55" s="13" t="s">
        <v>81</v>
      </c>
      <c r="C55" s="14">
        <v>43899.569444444445</v>
      </c>
      <c r="D55" s="13" t="s">
        <v>284</v>
      </c>
      <c r="E55" s="13" t="s">
        <v>396</v>
      </c>
      <c r="F55" s="15" t="s">
        <v>285</v>
      </c>
      <c r="G55" s="13"/>
      <c r="H55" s="14">
        <v>43826</v>
      </c>
      <c r="I55" s="14"/>
      <c r="J55" s="15"/>
      <c r="K55" s="15"/>
      <c r="L55" s="13" t="s">
        <v>367</v>
      </c>
      <c r="M55" s="15"/>
      <c r="N55" s="13"/>
      <c r="O55" s="13"/>
      <c r="P55" s="13"/>
      <c r="Q55" s="13" t="s">
        <v>401</v>
      </c>
      <c r="R55" s="13"/>
      <c r="S55" s="13"/>
      <c r="T55" s="13" t="s">
        <v>334</v>
      </c>
      <c r="U55" s="15" t="s">
        <v>285</v>
      </c>
    </row>
    <row r="56" spans="1:21" ht="43.5" x14ac:dyDescent="0.35">
      <c r="A56" s="13" t="s">
        <v>80</v>
      </c>
      <c r="B56" s="13" t="s">
        <v>81</v>
      </c>
      <c r="C56" s="14">
        <v>43899.570833333331</v>
      </c>
      <c r="D56" s="13" t="s">
        <v>279</v>
      </c>
      <c r="E56" s="13" t="s">
        <v>396</v>
      </c>
      <c r="F56" s="15" t="s">
        <v>280</v>
      </c>
      <c r="G56" s="13"/>
      <c r="H56" s="14">
        <v>43826</v>
      </c>
      <c r="I56" s="14"/>
      <c r="J56" s="15"/>
      <c r="K56" s="15"/>
      <c r="L56" s="13" t="s">
        <v>367</v>
      </c>
      <c r="M56" s="15"/>
      <c r="N56" s="13"/>
      <c r="O56" s="13"/>
      <c r="P56" s="13"/>
      <c r="Q56" s="13" t="s">
        <v>402</v>
      </c>
      <c r="R56" s="13"/>
      <c r="S56" s="13"/>
      <c r="T56" s="13" t="s">
        <v>334</v>
      </c>
      <c r="U56" s="15" t="s">
        <v>280</v>
      </c>
    </row>
    <row r="57" spans="1:21" ht="87" x14ac:dyDescent="0.35">
      <c r="A57" s="13" t="s">
        <v>403</v>
      </c>
      <c r="B57" s="13" t="s">
        <v>142</v>
      </c>
      <c r="C57" s="14">
        <v>44196.402083333334</v>
      </c>
      <c r="D57" s="13" t="s">
        <v>286</v>
      </c>
      <c r="E57" s="13" t="s">
        <v>396</v>
      </c>
      <c r="F57" s="15" t="s">
        <v>287</v>
      </c>
      <c r="G57" s="13"/>
      <c r="H57" s="14">
        <v>43826</v>
      </c>
      <c r="I57" s="14"/>
      <c r="J57" s="15"/>
      <c r="K57" s="15"/>
      <c r="L57" s="13" t="s">
        <v>367</v>
      </c>
      <c r="M57" s="15"/>
      <c r="N57" s="13"/>
      <c r="O57" s="13"/>
      <c r="P57" s="13"/>
      <c r="Q57" s="13" t="s">
        <v>404</v>
      </c>
      <c r="R57" s="13"/>
      <c r="S57" s="13"/>
      <c r="T57" s="13" t="s">
        <v>334</v>
      </c>
      <c r="U57" s="15" t="s">
        <v>287</v>
      </c>
    </row>
    <row r="58" spans="1:21" ht="58" x14ac:dyDescent="0.35">
      <c r="A58" s="13" t="s">
        <v>80</v>
      </c>
      <c r="B58" s="13" t="s">
        <v>81</v>
      </c>
      <c r="C58" s="14">
        <v>43899.573611111111</v>
      </c>
      <c r="D58" s="13" t="s">
        <v>288</v>
      </c>
      <c r="E58" s="13" t="s">
        <v>396</v>
      </c>
      <c r="F58" s="15" t="s">
        <v>289</v>
      </c>
      <c r="G58" s="13"/>
      <c r="H58" s="14">
        <v>43826</v>
      </c>
      <c r="I58" s="14"/>
      <c r="J58" s="15"/>
      <c r="K58" s="15"/>
      <c r="L58" s="13" t="s">
        <v>367</v>
      </c>
      <c r="M58" s="15"/>
      <c r="N58" s="13"/>
      <c r="O58" s="13"/>
      <c r="P58" s="13"/>
      <c r="Q58" s="13" t="s">
        <v>405</v>
      </c>
      <c r="R58" s="13"/>
      <c r="S58" s="13"/>
      <c r="T58" s="13" t="s">
        <v>334</v>
      </c>
      <c r="U58" s="15" t="s">
        <v>289</v>
      </c>
    </row>
    <row r="59" spans="1:21" ht="43.5" x14ac:dyDescent="0.35">
      <c r="A59" s="13" t="s">
        <v>80</v>
      </c>
      <c r="B59" s="13" t="s">
        <v>81</v>
      </c>
      <c r="C59" s="14">
        <v>43899.574305555558</v>
      </c>
      <c r="D59" s="13" t="s">
        <v>268</v>
      </c>
      <c r="E59" s="13" t="s">
        <v>396</v>
      </c>
      <c r="F59" s="15" t="s">
        <v>269</v>
      </c>
      <c r="G59" s="13"/>
      <c r="H59" s="14">
        <v>43826</v>
      </c>
      <c r="I59" s="14"/>
      <c r="J59" s="15"/>
      <c r="K59" s="15"/>
      <c r="L59" s="13" t="s">
        <v>367</v>
      </c>
      <c r="M59" s="15"/>
      <c r="N59" s="13"/>
      <c r="O59" s="13"/>
      <c r="P59" s="13"/>
      <c r="Q59" s="13" t="s">
        <v>406</v>
      </c>
      <c r="R59" s="13"/>
      <c r="S59" s="13"/>
      <c r="T59" s="13" t="s">
        <v>334</v>
      </c>
      <c r="U59" s="15" t="s">
        <v>269</v>
      </c>
    </row>
    <row r="60" spans="1:21" ht="58" x14ac:dyDescent="0.35">
      <c r="A60" s="13" t="s">
        <v>80</v>
      </c>
      <c r="B60" s="13" t="s">
        <v>81</v>
      </c>
      <c r="C60" s="14">
        <v>43899.576388888891</v>
      </c>
      <c r="D60" s="13" t="s">
        <v>270</v>
      </c>
      <c r="E60" s="13" t="s">
        <v>396</v>
      </c>
      <c r="F60" s="15" t="s">
        <v>271</v>
      </c>
      <c r="G60" s="13"/>
      <c r="H60" s="14">
        <v>43826</v>
      </c>
      <c r="I60" s="14"/>
      <c r="J60" s="15"/>
      <c r="K60" s="15"/>
      <c r="L60" s="13" t="s">
        <v>367</v>
      </c>
      <c r="M60" s="15"/>
      <c r="N60" s="13"/>
      <c r="O60" s="13"/>
      <c r="P60" s="13"/>
      <c r="Q60" s="13" t="s">
        <v>407</v>
      </c>
      <c r="R60" s="13"/>
      <c r="S60" s="13"/>
      <c r="T60" s="13" t="s">
        <v>334</v>
      </c>
      <c r="U60" s="15" t="s">
        <v>271</v>
      </c>
    </row>
    <row r="61" spans="1:21" ht="58" x14ac:dyDescent="0.35">
      <c r="A61" s="13" t="s">
        <v>80</v>
      </c>
      <c r="B61" s="13" t="s">
        <v>81</v>
      </c>
      <c r="C61" s="14">
        <v>43899.613888888889</v>
      </c>
      <c r="D61" s="13" t="s">
        <v>281</v>
      </c>
      <c r="E61" s="13" t="s">
        <v>396</v>
      </c>
      <c r="F61" s="15" t="s">
        <v>282</v>
      </c>
      <c r="G61" s="13"/>
      <c r="H61" s="14">
        <v>43826</v>
      </c>
      <c r="I61" s="14"/>
      <c r="J61" s="15"/>
      <c r="K61" s="15"/>
      <c r="L61" s="13" t="s">
        <v>367</v>
      </c>
      <c r="M61" s="15"/>
      <c r="N61" s="13"/>
      <c r="O61" s="13"/>
      <c r="P61" s="13"/>
      <c r="Q61" s="13" t="s">
        <v>408</v>
      </c>
      <c r="R61" s="13"/>
      <c r="S61" s="13"/>
      <c r="T61" s="13" t="s">
        <v>334</v>
      </c>
      <c r="U61" s="15" t="s">
        <v>282</v>
      </c>
    </row>
    <row r="62" spans="1:21" ht="58" x14ac:dyDescent="0.35">
      <c r="A62" s="13" t="s">
        <v>80</v>
      </c>
      <c r="B62" s="13" t="s">
        <v>81</v>
      </c>
      <c r="C62" s="14">
        <v>43899.617361111108</v>
      </c>
      <c r="D62" s="13" t="s">
        <v>293</v>
      </c>
      <c r="E62" s="13" t="s">
        <v>396</v>
      </c>
      <c r="F62" s="15" t="s">
        <v>294</v>
      </c>
      <c r="G62" s="13"/>
      <c r="H62" s="14">
        <v>43826</v>
      </c>
      <c r="I62" s="14"/>
      <c r="J62" s="15"/>
      <c r="K62" s="15"/>
      <c r="L62" s="13" t="s">
        <v>367</v>
      </c>
      <c r="M62" s="15"/>
      <c r="N62" s="13"/>
      <c r="O62" s="13"/>
      <c r="P62" s="13"/>
      <c r="Q62" s="13" t="s">
        <v>409</v>
      </c>
      <c r="R62" s="13"/>
      <c r="S62" s="13"/>
      <c r="T62" s="13" t="s">
        <v>334</v>
      </c>
      <c r="U62" s="15" t="s">
        <v>294</v>
      </c>
    </row>
    <row r="63" spans="1:21" ht="29" x14ac:dyDescent="0.35">
      <c r="A63" s="13" t="s">
        <v>80</v>
      </c>
      <c r="B63" s="13" t="s">
        <v>81</v>
      </c>
      <c r="C63" s="14">
        <v>43899.679861111108</v>
      </c>
      <c r="D63" s="13" t="s">
        <v>272</v>
      </c>
      <c r="E63" s="13" t="s">
        <v>396</v>
      </c>
      <c r="F63" s="15" t="s">
        <v>273</v>
      </c>
      <c r="G63" s="13"/>
      <c r="H63" s="14">
        <v>43826</v>
      </c>
      <c r="I63" s="14"/>
      <c r="J63" s="15"/>
      <c r="K63" s="15"/>
      <c r="L63" s="13" t="s">
        <v>367</v>
      </c>
      <c r="M63" s="15"/>
      <c r="N63" s="13"/>
      <c r="O63" s="13"/>
      <c r="P63" s="13"/>
      <c r="Q63" s="13" t="s">
        <v>410</v>
      </c>
      <c r="R63" s="13"/>
      <c r="S63" s="13"/>
      <c r="T63" s="13" t="s">
        <v>334</v>
      </c>
      <c r="U63" s="15" t="s">
        <v>273</v>
      </c>
    </row>
    <row r="64" spans="1:21" ht="43.5" x14ac:dyDescent="0.35">
      <c r="A64" s="13" t="s">
        <v>80</v>
      </c>
      <c r="B64" s="13" t="s">
        <v>81</v>
      </c>
      <c r="C64" s="14">
        <v>43899.620138888888</v>
      </c>
      <c r="D64" s="13" t="s">
        <v>295</v>
      </c>
      <c r="E64" s="13" t="s">
        <v>396</v>
      </c>
      <c r="F64" s="15" t="s">
        <v>296</v>
      </c>
      <c r="G64" s="13"/>
      <c r="H64" s="14">
        <v>43826</v>
      </c>
      <c r="I64" s="14"/>
      <c r="J64" s="15"/>
      <c r="K64" s="15"/>
      <c r="L64" s="13" t="s">
        <v>367</v>
      </c>
      <c r="M64" s="15"/>
      <c r="N64" s="13"/>
      <c r="O64" s="13"/>
      <c r="P64" s="13"/>
      <c r="Q64" s="13" t="s">
        <v>411</v>
      </c>
      <c r="R64" s="13"/>
      <c r="S64" s="13"/>
      <c r="T64" s="13" t="s">
        <v>334</v>
      </c>
      <c r="U64" s="15" t="s">
        <v>296</v>
      </c>
    </row>
    <row r="65" spans="1:21" ht="29" x14ac:dyDescent="0.35">
      <c r="A65" s="13" t="s">
        <v>80</v>
      </c>
      <c r="B65" s="13" t="s">
        <v>81</v>
      </c>
      <c r="C65" s="14">
        <v>43899.620833333334</v>
      </c>
      <c r="D65" s="13" t="s">
        <v>274</v>
      </c>
      <c r="E65" s="13" t="s">
        <v>396</v>
      </c>
      <c r="F65" s="15" t="s">
        <v>275</v>
      </c>
      <c r="G65" s="13"/>
      <c r="H65" s="14">
        <v>43826</v>
      </c>
      <c r="I65" s="14"/>
      <c r="J65" s="15"/>
      <c r="K65" s="15"/>
      <c r="L65" s="13" t="s">
        <v>367</v>
      </c>
      <c r="M65" s="15"/>
      <c r="N65" s="13"/>
      <c r="O65" s="13"/>
      <c r="P65" s="13"/>
      <c r="Q65" s="13" t="s">
        <v>412</v>
      </c>
      <c r="R65" s="13"/>
      <c r="S65" s="13"/>
      <c r="T65" s="13" t="s">
        <v>334</v>
      </c>
      <c r="U65" s="15" t="s">
        <v>275</v>
      </c>
    </row>
  </sheetData>
  <autoFilter ref="A1:Z65" xr:uid="{4DDA8500-6703-4D7F-9027-BE4CDD91EC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2026-01-21T10:40:17Z</dcterms:created>
  <dcterms:modified xsi:type="dcterms:W3CDTF">2026-01-21T10:42:57Z</dcterms:modified>
</cp:coreProperties>
</file>