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parmantier-adc\Mes Documents\"/>
    </mc:Choice>
  </mc:AlternateContent>
  <xr:revisionPtr revIDLastSave="0" documentId="13_ncr:1_{F31FA44F-40AF-433B-848B-F59270A40105}" xr6:coauthVersionLast="47" xr6:coauthVersionMax="47" xr10:uidLastSave="{00000000-0000-0000-0000-000000000000}"/>
  <bookViews>
    <workbookView xWindow="25080" yWindow="-90" windowWidth="25440" windowHeight="15270" xr2:uid="{39105CCE-E304-4960-877E-0E92845A3C91}"/>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RG'!$A$1:$OJ$1</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gestion'!$A$1:$Z$1</definedName>
    <definedName name="date_DIADC">'Mode opératoire'!#REF!</definedName>
    <definedName name="notice_DIADC">'Mode opératoire'!#REF!</definedName>
    <definedName name="notice_ENCHN">'Mode opératoire'!$B$1:$B$4</definedName>
    <definedName name="notice_ICA">'Mode opératoire'!#REF!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B12" i="4" l="1"/>
  <c r="AB11" i="4"/>
  <c r="AB3" i="4"/>
  <c r="AB2" i="4"/>
  <c r="Z16" i="4"/>
  <c r="Z15" i="4"/>
  <c r="Z14" i="4"/>
  <c r="Z12" i="4"/>
  <c r="Z11" i="4"/>
  <c r="Z9" i="4"/>
  <c r="Z8" i="4"/>
  <c r="Z7" i="4"/>
  <c r="Z3" i="4"/>
  <c r="Z2" i="4"/>
  <c r="BJ16" i="5"/>
  <c r="BJ15" i="5"/>
  <c r="BJ14" i="5"/>
  <c r="BJ9" i="5"/>
  <c r="BJ8" i="5"/>
  <c r="BJ7" i="5"/>
  <c r="BH16" i="5"/>
  <c r="BH15" i="5"/>
  <c r="BH14" i="5"/>
  <c r="BH9" i="5"/>
  <c r="BH8" i="5"/>
  <c r="BH7" i="5"/>
  <c r="BF17" i="5"/>
  <c r="BF16" i="5"/>
  <c r="BF15" i="5"/>
  <c r="BF14" i="5"/>
  <c r="BF12" i="5"/>
  <c r="BF11" i="5"/>
  <c r="BF10" i="5"/>
  <c r="BF9" i="5"/>
  <c r="BF8" i="5"/>
  <c r="BF7" i="5"/>
  <c r="BF3" i="5"/>
  <c r="BF2" i="5"/>
  <c r="BD17" i="5"/>
  <c r="BD16" i="5"/>
  <c r="BD15" i="5"/>
  <c r="BD14" i="5"/>
  <c r="BD13" i="5"/>
  <c r="BD12" i="5"/>
  <c r="BD11" i="5"/>
  <c r="BD10" i="5"/>
  <c r="BD9" i="5"/>
  <c r="BD8" i="5"/>
  <c r="BD7" i="5"/>
  <c r="BD4" i="5"/>
  <c r="BD3" i="5"/>
  <c r="BD2" i="5"/>
  <c r="BB17" i="5"/>
  <c r="BB16" i="5"/>
  <c r="BB15" i="5"/>
  <c r="BB14" i="5"/>
  <c r="BB13" i="5"/>
  <c r="BB12" i="5"/>
  <c r="BB11" i="5"/>
  <c r="BB10" i="5"/>
  <c r="BB9" i="5"/>
  <c r="BB8" i="5"/>
  <c r="BB7" i="5"/>
  <c r="BB4" i="5"/>
  <c r="BB3" i="5"/>
  <c r="BB2" i="5"/>
  <c r="AZ16" i="5"/>
  <c r="AZ15" i="5"/>
  <c r="AZ14" i="5"/>
  <c r="AZ12" i="5"/>
  <c r="AZ11" i="5"/>
  <c r="AZ9" i="5"/>
  <c r="AZ8" i="5"/>
  <c r="AZ7" i="5"/>
  <c r="AZ3" i="5"/>
  <c r="AZ2" i="5"/>
  <c r="AX17" i="5"/>
  <c r="AX16" i="5"/>
  <c r="AX15" i="5"/>
  <c r="AX14" i="5"/>
  <c r="AX13" i="5"/>
  <c r="AX12" i="5"/>
  <c r="AX11" i="5"/>
  <c r="AX10" i="5"/>
  <c r="AX9" i="5"/>
  <c r="AX8" i="5"/>
  <c r="AX7" i="5"/>
  <c r="AX4" i="5"/>
  <c r="AX3" i="5"/>
  <c r="AX2" i="5"/>
  <c r="AV12" i="5"/>
  <c r="AV11" i="5"/>
  <c r="AV3" i="5"/>
  <c r="AV2" i="5"/>
  <c r="AT12" i="5"/>
  <c r="AT11" i="5"/>
  <c r="AT3" i="5"/>
  <c r="AT2" i="5"/>
  <c r="AR12" i="5"/>
  <c r="AR11" i="5"/>
  <c r="AR3" i="5"/>
  <c r="AR2" i="5"/>
  <c r="AP12" i="5"/>
  <c r="AP11" i="5"/>
  <c r="AP3" i="5"/>
  <c r="AP2" i="5"/>
  <c r="AN16" i="5"/>
  <c r="AN15" i="5"/>
  <c r="AN12" i="5"/>
  <c r="AN11" i="5"/>
  <c r="AN3" i="5"/>
  <c r="AN2" i="5"/>
  <c r="AL16" i="5"/>
  <c r="AL15" i="5"/>
  <c r="AL14" i="5"/>
  <c r="AL12" i="5"/>
  <c r="AL11" i="5"/>
  <c r="AL3" i="5"/>
  <c r="AL2" i="5"/>
  <c r="AJ16" i="5"/>
  <c r="AJ15" i="5"/>
  <c r="AJ14" i="5"/>
  <c r="AJ13" i="5"/>
  <c r="AJ12" i="5"/>
  <c r="AJ11" i="5"/>
  <c r="AJ9" i="5"/>
  <c r="AJ8" i="5"/>
  <c r="AJ4" i="5"/>
  <c r="AJ3" i="5"/>
  <c r="AJ2" i="5"/>
  <c r="AH17" i="5"/>
  <c r="AH16" i="5"/>
  <c r="AH15" i="5"/>
  <c r="AH14" i="5"/>
  <c r="AH13" i="5"/>
  <c r="AH12" i="5"/>
  <c r="AH11" i="5"/>
  <c r="AH10" i="5"/>
  <c r="AH9" i="5"/>
  <c r="AH8" i="5"/>
  <c r="AH7" i="5"/>
  <c r="AH4" i="5"/>
  <c r="AH3" i="5"/>
  <c r="AH2" i="5"/>
  <c r="AF17" i="5"/>
  <c r="AF16" i="5"/>
  <c r="AF15" i="5"/>
  <c r="AF14" i="5"/>
  <c r="AF13" i="5"/>
  <c r="AF12" i="5"/>
  <c r="AF11" i="5"/>
  <c r="AF10" i="5"/>
  <c r="AF9" i="5"/>
  <c r="AF8" i="5"/>
  <c r="AF7" i="5"/>
  <c r="AF4" i="5"/>
  <c r="AF3" i="5"/>
  <c r="AF2" i="5"/>
  <c r="AD17" i="5"/>
  <c r="AD16" i="5"/>
  <c r="AD15" i="5"/>
  <c r="AD14" i="5"/>
  <c r="AD13" i="5"/>
  <c r="AD12" i="5"/>
  <c r="AD11" i="5"/>
  <c r="AD10" i="5"/>
  <c r="AD9" i="5"/>
  <c r="AD8" i="5"/>
  <c r="AD7" i="5"/>
  <c r="AD4" i="5"/>
  <c r="AD3" i="5"/>
  <c r="AD2" i="5"/>
  <c r="AB17" i="5"/>
  <c r="AB16" i="5"/>
  <c r="AB15" i="5"/>
  <c r="AB14" i="5"/>
  <c r="AB13" i="5"/>
  <c r="AB12" i="5"/>
  <c r="AB11" i="5"/>
  <c r="AB10" i="5"/>
  <c r="AB9" i="5"/>
  <c r="AB8" i="5"/>
  <c r="AB7" i="5"/>
  <c r="AB4" i="5"/>
  <c r="AB3" i="5"/>
  <c r="AB2" i="5"/>
  <c r="Z17" i="5"/>
  <c r="Z16" i="5"/>
  <c r="Z15" i="5"/>
  <c r="Z14" i="5"/>
  <c r="Z13" i="5"/>
  <c r="Z12" i="5"/>
  <c r="Z11" i="5"/>
  <c r="Z10" i="5"/>
  <c r="Z9" i="5"/>
  <c r="Z8" i="5"/>
  <c r="Z7" i="5"/>
  <c r="Z4" i="5"/>
  <c r="Z3" i="5"/>
  <c r="Z2" i="5"/>
</calcChain>
</file>

<file path=xl/sharedStrings.xml><?xml version="1.0" encoding="utf-8"?>
<sst xmlns="http://schemas.openxmlformats.org/spreadsheetml/2006/main" count="3679" uniqueCount="325">
  <si>
    <t>MODE OPERATOIRE</t>
  </si>
  <si>
    <t>La transaction s'effectue au niveau de la rubrique "Retraite progressive".</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</si>
  <si>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</si>
  <si>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</si>
  <si>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</si>
  <si>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</si>
  <si>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</si>
  <si>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</si>
  <si>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</si>
  <si>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</si>
  <si>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</si>
  <si>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</si>
  <si>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</si>
  <si>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</si>
  <si>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</si>
  <si>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</si>
  <si>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</si>
  <si>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</si>
  <si>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</si>
  <si>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Typologie de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</si>
  <si>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</si>
  <si>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</si>
  <si>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</si>
  <si>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</si>
  <si>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</si>
  <si>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</si>
  <si>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</si>
  <si>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</si>
  <si>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</si>
  <si>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</si>
  <si>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</si>
  <si>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</si>
  <si>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</si>
  <si>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</si>
  <si>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</si>
  <si>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</si>
  <si>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</si>
  <si>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</si>
  <si>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</si>
  <si>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contrôle intellectuel 8</t>
  </si>
  <si>
    <t>Libellé Règle de contrôle intellectuel 8</t>
  </si>
  <si>
    <t>Identifiant Règle de contrôle intellectuel 9</t>
  </si>
  <si>
    <t>Libellé Règle de contrôle intellectuel 9</t>
  </si>
  <si>
    <t>Identifiant Règle de contrôle intellectuel 10</t>
  </si>
  <si>
    <t>Libellé Règle de contrôle intellectuel 10</t>
  </si>
  <si>
    <t>Identifiant Règle de contrôle intellectuel 11</t>
  </si>
  <si>
    <t>Libellé Règle de contrôle intellectuel 11</t>
  </si>
  <si>
    <t>Identifiant Règle de contrôle intellectuel 12</t>
  </si>
  <si>
    <t>Libellé Règle de contrôle intellectuel 12</t>
  </si>
  <si>
    <t>Identifiant Règle de condition  1</t>
  </si>
  <si>
    <t>Libellé Règle de condition  1</t>
  </si>
  <si>
    <t>Identifiant Règle de condition 2</t>
  </si>
  <si>
    <t>Libellé Règle de condition 2</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</si>
  <si>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</si>
  <si>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</si>
  <si>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</si>
  <si>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</si>
  <si>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</si>
  <si>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</si>
  <si>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</si>
  <si>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</si>
  <si>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</si>
  <si>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</si>
  <si>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FIME</t>
  </si>
  <si>
    <t>Statut de travail</t>
  </si>
  <si>
    <t>25.10.00</t>
  </si>
  <si>
    <t>M</t>
  </si>
  <si>
    <t>D0017</t>
  </si>
  <si>
    <t>Retraite progressive</t>
  </si>
  <si>
    <t>S0182</t>
  </si>
  <si>
    <t>E0969</t>
  </si>
  <si>
    <t>La date de début retraite progressive saisie est différente de vide</t>
  </si>
  <si>
    <t>A_RPR_DDRPRO [Saisi] &lt;&gt; VIDE</t>
  </si>
  <si>
    <t>T2354</t>
  </si>
  <si>
    <t>Retraite progressive - Demande</t>
  </si>
  <si>
    <t>Création</t>
  </si>
  <si>
    <t/>
  </si>
  <si>
    <t>Titulaire ou magistrat</t>
  </si>
  <si>
    <t>P0001</t>
  </si>
  <si>
    <t>T</t>
  </si>
  <si>
    <t>Général</t>
  </si>
  <si>
    <t>Passant</t>
  </si>
  <si>
    <t>RPR_I_004 ET RPR_I_013 ET RPR_I_005 ET RPR_I_011 ET RPR_I_002 ET RPR_I_003 ET RPR_I_001 ET RPR_I_009 ET RPR_I_014 ET RPR_I_015 ET RPR_I_016 ET RPR_I_018 ET RPR_D_001 ET RPR_D_002 ET RPR_C_001 ET RPR_C_002 ET RPR_C_003</t>
  </si>
  <si>
    <t>RPR_I_004</t>
  </si>
  <si>
    <t>L'agent doit avoir atteint l'âge plancher égal à son âge d'ouverture des droits diminué de 2 années, soit 62 ans, à l'issue de la montée en charge de la réforme.</t>
  </si>
  <si>
    <t>RPR_I_013</t>
  </si>
  <si>
    <t>La condition d'age s'applique pour l'ensemble des agents sédentaires, actifs ou superactifs.</t>
  </si>
  <si>
    <t>RPR_I_005</t>
  </si>
  <si>
    <t>L'agent doit justifier d'une durée d'assurance et de périodes reconnues équivalentes fixée à 150 trimestres auprès d'une ou plusieurs caisses de retraite de base.</t>
  </si>
  <si>
    <t>RPR_I_011</t>
  </si>
  <si>
    <t>L'agent ne peut pas exercer d'activité accessoire.</t>
  </si>
  <si>
    <t>RPR_I_002</t>
  </si>
  <si>
    <t>L'agent doit bénéficier d'une autorisation de temps partiel.</t>
  </si>
  <si>
    <t>RPR_I_003</t>
  </si>
  <si>
    <t>Les modalités de service à temps partiel éligibles sont : le temps partiel sur autorisation, de droit pour soins à conjoint, enfant, ascendant, de droit à l'occasion d'une naissance ou d'une adoption, de droit au profit des travailleurs handicapés.</t>
  </si>
  <si>
    <t>RPR_I_001</t>
  </si>
  <si>
    <t>L'agent effectue sa demande de retraite progressive auprès du service des retraites de l'Etat.</t>
  </si>
  <si>
    <t>RPR_I_009</t>
  </si>
  <si>
    <t>La demande contient la date d'effet souhaitée de la retraite progressive qui ne peut pas être antérieure à la date de cette demande.</t>
  </si>
  <si>
    <t>RPR_I_014</t>
  </si>
  <si>
    <t>La demande de temps partiel et de retraite progressive doivent être effectuées par l'agent au moins 6 mois avant la date de départ en retraite progressive souhaitée.</t>
  </si>
  <si>
    <t>RPR_I_015</t>
  </si>
  <si>
    <t>L'administration doit transmettre au moins 4 mois avant la date d'effet souhaitée l'autorisation de travail à temps partiel au service des retraites de l'Etat.</t>
  </si>
  <si>
    <t>RPR_I_016</t>
  </si>
  <si>
    <t>Si l'agent bénéficie déjà d'un temps partiel au moment où il fait la demande de retraite progressive, il doit l'indiquer dans sa demande.</t>
  </si>
  <si>
    <t>RPR_I_018</t>
  </si>
  <si>
    <t>La retraite progressive est notifiée à l'agent 1 mois avant la date d'effet souhaitée.</t>
  </si>
  <si>
    <t>RPR_D_001</t>
  </si>
  <si>
    <t>L'agent doit bénéficier d'une autorisation de temps partiel : temps partiel sur autorisation, de droit pour soins à conjoint, enfant, ascendant, de droit à l'occasion d'une naissance ou d'une adoption, de droit au profit des travailleurs handicapés.</t>
  </si>
  <si>
    <t>RPR_D_002</t>
  </si>
  <si>
    <t>L'agent né à partir du 1er janvier 1968 doit avoir au moins 62 ans à la date de début de la retraite progressive.</t>
  </si>
  <si>
    <t>RPR_C_001</t>
  </si>
  <si>
    <t>La date de début de la retraite progressive doit être postérieure ou égale à la date d'entrée dans la FPE ou dans la carrière militaire.</t>
  </si>
  <si>
    <t>RPR_C_002</t>
  </si>
  <si>
    <t>La date de début de la retraite progressive doit être antérieure ou égale à la date de fin de la retraite progressive.</t>
  </si>
  <si>
    <t>RPR_C_003</t>
  </si>
  <si>
    <t>La date de fin de la retraite progressive doit être antérieure à la date limite de départ à la retraite.</t>
  </si>
  <si>
    <t>A</t>
  </si>
  <si>
    <t>RPR_I_049 ET RPR_I_013 ET RPR_I_005 ET RPR_I_011 ET RPR_I_002 ET RPR_I_003 ET RPR_I_001 ET RPR_I_009 ET RPR_I_014 ET RPR_I_015 ET RPR_I_016 ET RPR_I_018 ET RPR_D_001 ET RPR_D_007 ET RPR_C_001 ET RPR_C_002 ET RPR_C_003</t>
  </si>
  <si>
    <t>RPR_I_049</t>
  </si>
  <si>
    <t>L'agent doit avoir 60 ans au moins à l'ouverture du droit à la retraite progressive.</t>
  </si>
  <si>
    <t>RPR_D_007</t>
  </si>
  <si>
    <t>L'âge d'ouverture du droit à la retraite progressive est égal à 60 ans.</t>
  </si>
  <si>
    <t>24.10.00</t>
  </si>
  <si>
    <t>T2355</t>
  </si>
  <si>
    <t>Retraite progressive - Modification / Fin</t>
  </si>
  <si>
    <t>Modification</t>
  </si>
  <si>
    <t>RPR_I_012 ET RPR_I_008 ET RPR_I_020 ET RPR_I_007 ET RPR_I_017 ET RPR_I_044 ET RPR_D_001 ET RPR_C_002 ET RPR_C_003</t>
  </si>
  <si>
    <t>RPR_I_012</t>
  </si>
  <si>
    <t>L'administration doit informer sans délai le service des retraites de l'Etat de toutes modifications (retour à temps plein, suspension, modification de la quotité de travail...) relatives à la retraite progressive.</t>
  </si>
  <si>
    <t>RPR_I_008</t>
  </si>
  <si>
    <t>Dans certains cas, la retraite progressive peut être suspendue (période de formation au cours de laquelle l'agent exerce à temps plein).</t>
  </si>
  <si>
    <t>RPR_I_020</t>
  </si>
  <si>
    <t>La suspension prend effet le 1er jour du mois suivant celui au cours duquel les conditions cessent d'être réunies ou le 1er jour du mois quand la suspension prend effet ce même jour.</t>
  </si>
  <si>
    <t>RPR_I_007</t>
  </si>
  <si>
    <t>Si l'agent reprend une activité professionnelle à temps plein alors la retraite progressive cesse définitivement le 1er jour du mois suivant.</t>
  </si>
  <si>
    <t>RPR_I_017</t>
  </si>
  <si>
    <t>Toutefois, si cette reprise intervient le 1er jour du mois, alors la cessation de la retraite progressive prend effet ce même jour.</t>
  </si>
  <si>
    <t>RPR_I_044</t>
  </si>
  <si>
    <t>Si l'agent demande sa retraite à taux plein, alors la retraite progressive cesse définitivement à compter de la date d'effet de la pension complète.</t>
  </si>
  <si>
    <t>Militaire</t>
  </si>
  <si>
    <t>P0002</t>
  </si>
  <si>
    <t>Exclu</t>
  </si>
  <si>
    <t>25.00.00</t>
  </si>
  <si>
    <t>Contractuel</t>
  </si>
  <si>
    <t>P0003</t>
  </si>
  <si>
    <t>N</t>
  </si>
  <si>
    <t>RPR_I_034 ET RPR_I_035 ET RPR_I_036 ET RPR_I_042 ET RPR_I_037 ET RPR_D_006 ET RPR_D_005 ET RPR_C_001 ET RPR_C_004 ET RPR_C_002 ET RPR_C_003 ET RPR_C_005</t>
  </si>
  <si>
    <t>RPR_I_034</t>
  </si>
  <si>
    <t>RPR_I_035</t>
  </si>
  <si>
    <t>RPR_I_036</t>
  </si>
  <si>
    <t>L'agent doit effectuer une demande.</t>
  </si>
  <si>
    <t>RPR_I_042</t>
  </si>
  <si>
    <t>Elle est accompagnée du contrat de travail, d'une déclaration sur l'honneur attestant qu'il n'exerce pas d'autre activité, d'une attestation de l'employeur indiquant la durée du travail à temps complet applicable et des 12 derniers bulletin de paie.</t>
  </si>
  <si>
    <t>RPR_I_037</t>
  </si>
  <si>
    <t>L'agent doit adresser sa demande de retraite progressive à l'organisme, l'établissement ou le service gérant l'un des régimes auxquels il est affilié à la date de sa demande.</t>
  </si>
  <si>
    <t>RPR_D_006</t>
  </si>
  <si>
    <t>L'agent doit être à temps partiel.</t>
  </si>
  <si>
    <t>RPR_D_005</t>
  </si>
  <si>
    <t>RPR_C_004</t>
  </si>
  <si>
    <t>La date de début de la retraite progressive doit être postérieure ou égale à la date de début du lien juridique.</t>
  </si>
  <si>
    <t>RPR_C_005</t>
  </si>
  <si>
    <t>La date de fin de la retraite progressive doit être antérieure ou égale à la date de fin du lien juridique.</t>
  </si>
  <si>
    <t>RPR_I_034 ET RPR_I_035 ET RPR_I_036 ET RPR_I_042 ET RPR_I_048 ET RPR_I_045 ET RPR_D_006 ET RPR_D_005 ET RPR_C_001 ET RPR_C_004 ET RPR_C_002 ET RPR_C_003 ET RPR_C_005</t>
  </si>
  <si>
    <t>RPR_I_048</t>
  </si>
  <si>
    <t>L'agent doit adresser sa demande de retraite progressive au moyen d'un formulaire commun à l'organisme, l'établissement ou le service gérant l'un des régimes auxquels il est affilié à la date de sa demande.</t>
  </si>
  <si>
    <t>RPR_I_045</t>
  </si>
  <si>
    <t>L'agent reçoit un récépissé de sa demande et des pièces qui l'accompagnent.</t>
  </si>
  <si>
    <t>RPR_I_050 ET RPR_I_035 ET RPR_I_036 ET RPR_I_042 ET RPR_I_048 ET RPR_I_045 ET RPR_D_006 ET RPR_D_008 ET RPR_C_001 ET RPR_C_004 ET RPR_C_002 ET RPR_C_003 ET RPR_C_005</t>
  </si>
  <si>
    <t>RPR_I_050</t>
  </si>
  <si>
    <t>RPR_D_008</t>
  </si>
  <si>
    <t>RPR_I_038 ET RPR_I_040 ET RPR_I_041 ET RPR_I_039 ET RPR_I_043 ET RPR_D_006 ET RPR_C_002 ET RPR_C_003 ET RPR_C_005</t>
  </si>
  <si>
    <t>RPR_I_038</t>
  </si>
  <si>
    <t>L'agent informe sa caisse de retraite de toutes modifications impactant sa retraite progressive.</t>
  </si>
  <si>
    <t>RPR_I_040</t>
  </si>
  <si>
    <t>Dans certains cas, la retraite progressive peut être suspendue.</t>
  </si>
  <si>
    <t>RPR_I_041</t>
  </si>
  <si>
    <t>La suspension prend effet le 1er jour du mois suivant celui au cours duquel les conditions cessent d'être réunies.</t>
  </si>
  <si>
    <t>RPR_I_039</t>
  </si>
  <si>
    <t>RPR_I_043</t>
  </si>
  <si>
    <t>Si l'agent demande sa retraite à taux plein, alors la retraite progressive cesse définitivement.</t>
  </si>
  <si>
    <t>Stagiaire ou auditeur ou élève</t>
  </si>
  <si>
    <t>P0004</t>
  </si>
  <si>
    <t>S</t>
  </si>
  <si>
    <t>Ouvrier d'état</t>
  </si>
  <si>
    <t>P0005</t>
  </si>
  <si>
    <t>O</t>
  </si>
  <si>
    <t>RPR_I_023 ET RPR_I_024 ET RPR_I_025 ET RPR_I_026 ET RPR_I_022 ET RPR_I_033 ET RPR_I_027 ET RPR_D_003 ET RPR_D_004 ET RPR_C_001 ET RPR_C_004 ET RPR_C_002 ET RPR_C_003 ET RPR_C_005</t>
  </si>
  <si>
    <t>RPR_I_023</t>
  </si>
  <si>
    <t>RPR_I_024</t>
  </si>
  <si>
    <t>L'agent doit justifier d'une durée d'assurance de 150 trimestres.</t>
  </si>
  <si>
    <t>RPR_I_025</t>
  </si>
  <si>
    <t>RPR_I_026</t>
  </si>
  <si>
    <t>Les modalités de service à temps partiel éligbles sont : le temps partiel sur autorisation, de droit pour soins à conjoint, enfant, ascendant, de droit à l'occasion d'une naissance ou d'une adoption, de droit au profit des travailleurs handicapés.</t>
  </si>
  <si>
    <t>RPR_I_022</t>
  </si>
  <si>
    <t>L'agent doit effectuer une demande auprès de l'administration.</t>
  </si>
  <si>
    <t>RPR_I_033</t>
  </si>
  <si>
    <t>RPR_I_027</t>
  </si>
  <si>
    <t>RPR_D_003</t>
  </si>
  <si>
    <t>RPR_D_004</t>
  </si>
  <si>
    <t>RPR_I_023 ET RPR_I_024 ET RPR_I_025 ET RPR_I_026 ET RPR_I_022 ET RPR_I_033 ET RPR_I_047 ET RPR_I_046 ET RPR_D_003 ET RPR_D_004 ET RPR_C_001 ET RPR_C_004 ET RPR_C_002 ET RPR_C_003 ET RPR_C_005</t>
  </si>
  <si>
    <t>RPR_I_047</t>
  </si>
  <si>
    <t>RPR_I_046</t>
  </si>
  <si>
    <t>RPR_I_051 ET RPR_I_024 ET RPR_I_025 ET RPR_I_026 ET RPR_I_022 ET RPR_I_033 ET RPR_I_047 ET RPR_I_046 ET RPR_D_003 ET RPR_D_009 ET RPR_C_001 ET RPR_C_004 ET RPR_C_002 ET RPR_C_003 ET RPR_C_005</t>
  </si>
  <si>
    <t>RPR_I_051</t>
  </si>
  <si>
    <t>RPR_D_009</t>
  </si>
  <si>
    <t>RPR_I_031 ET RPR_I_032 ET RPR_I_028 ET RPR_I_029 ET RPR_I_030 ET RPR_D_003 ET RPR_C_002 ET RPR_C_003 ET RPR_C_005</t>
  </si>
  <si>
    <t>RPR_I_031</t>
  </si>
  <si>
    <t>RPR_I_032</t>
  </si>
  <si>
    <t>RPR_I_028</t>
  </si>
  <si>
    <t>RPR_I_029</t>
  </si>
  <si>
    <t>RPR_I_030</t>
  </si>
  <si>
    <t>Si l'agent demande sa retraite à taux plein, alors la retraite progressive cesse définitivement à la date de prise d'effet de la pension complète.</t>
  </si>
  <si>
    <t>Impacts</t>
  </si>
  <si>
    <t>Identifiant Impacts  1</t>
  </si>
  <si>
    <t>Libellé Impacts  1</t>
  </si>
  <si>
    <t>Identifiant Impacts 2</t>
  </si>
  <si>
    <t>Libellé Impacts 2</t>
  </si>
  <si>
    <t>RPR_P_001 ET RPR_P_002</t>
  </si>
  <si>
    <t>RPR_P_001</t>
  </si>
  <si>
    <t>Pension : La fraction de pension de retraite versée à l'agent est égale à la différence entre 100 % et la quotité de travail à temps partiel.</t>
  </si>
  <si>
    <t>RPR_P_002</t>
  </si>
  <si>
    <t>Retraite : L'agent continue de cotiser à la retraite.</t>
  </si>
  <si>
    <t>RPR_P_004</t>
  </si>
  <si>
    <t>RPR_P_003</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</si>
  <si>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</si>
  <si>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</si>
  <si>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</si>
  <si>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</si>
  <si>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</si>
  <si>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</si>
  <si>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</si>
  <si>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</si>
  <si>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</si>
  <si>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</si>
  <si>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</si>
  <si>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</si>
  <si>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</si>
  <si>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</si>
  <si>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</si>
  <si>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</si>
  <si>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</si>
  <si>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22/02/2025</t>
  </si>
  <si>
    <t>Code de la règle</t>
  </si>
  <si>
    <t>Type de règle</t>
  </si>
  <si>
    <t>Règle littérale</t>
  </si>
  <si>
    <t>Références juridiques</t>
  </si>
  <si>
    <t>Condition</t>
  </si>
  <si>
    <t>Articulation</t>
  </si>
  <si>
    <t>Type de contrôle</t>
  </si>
  <si>
    <t>Typage RG exclusion</t>
  </si>
  <si>
    <t>Typage RG condition</t>
  </si>
  <si>
    <t>Typage RG contrôle</t>
  </si>
  <si>
    <t>Typage RG intellectuel</t>
  </si>
  <si>
    <t>Typage RG impact</t>
  </si>
  <si>
    <t>Règle retenue</t>
  </si>
  <si>
    <t>Expression littérale</t>
  </si>
  <si>
    <t>Code général de la fonction publique L612-1 / Code des pensions civiles et militaires L89 bis | D37-1</t>
  </si>
  <si>
    <t>A_MOS_MODSER [Dossier] DANS ('MS201', 'MS204', 'MS212', 'MS213')</t>
  </si>
  <si>
    <t>Bloquant</t>
  </si>
  <si>
    <t>P0001 / P0004 - E0969 - Demande / Fin</t>
  </si>
  <si>
    <t>Code de la sécurité sociale L161-22-1-5 | L161-17-2 / Code des pensions civiles et militaires L24 | L89 bis | D37-1</t>
  </si>
  <si>
    <t>SI P_CIV_DATNAI [Dossier] &gt;= '01/01/1968'</t>
  </si>
  <si>
    <t>A_RPR_DDRPRO [Saisi] - P_CIV_DATNAI [Dossier] &gt;= 62 AN_3D</t>
  </si>
  <si>
    <t>P0001 / P0004 - E0969 - Demande</t>
  </si>
  <si>
    <t>Décret 2004-1056 A34 bis / Décret 84-105</t>
  </si>
  <si>
    <t>P0005 - E0969 - Demande / Fin</t>
  </si>
  <si>
    <t>Décret 2004-1056 A34 bis | A21</t>
  </si>
  <si>
    <t>P0005 - E0969 - Demande</t>
  </si>
  <si>
    <t>Code de la sécurité sociale L161-22-1-5 | L161-17-2 | D161-2-24</t>
  </si>
  <si>
    <t>P0003 - E0969 - Demande</t>
  </si>
  <si>
    <t>Code de la sécurité sociale L161-22-1-5</t>
  </si>
  <si>
    <t>A_MOS_MODSER [Dossier] PAS DANS ('MS000', 'MS100')</t>
  </si>
  <si>
    <t>P0003 - E0969 - Demande / Fin</t>
  </si>
  <si>
    <t>x</t>
  </si>
  <si>
    <t>Code de la sécurité sociale D161-2-24 | L161-22-1-5 / Code des pensions civiles et militaires L89 bis | D37-1 / Décret 2025-681 A1</t>
  </si>
  <si>
    <t>A_RPR_DDRPRO [Saisi] - P_CIV_DATNAI [Dossier] &gt;= 60 AN_3D</t>
  </si>
  <si>
    <t>Code de la sécurité sociale D161-2-24 | L161-22-1-5 | L161-17-2 / Décret 2025-681 A1</t>
  </si>
  <si>
    <t>Code de la sécurité sociale D161-2-24 | L161-22-1-5 / Code des pensions civiles et militaires L89 bis / Décret 2025-680 A2 / Décret 2004-1056 A34 bis</t>
  </si>
  <si>
    <t>Contrôle</t>
  </si>
  <si>
    <t>A_RPR_DDRPRO [Saisi] &gt;= A_SAP_DENFPE [Dossier]</t>
  </si>
  <si>
    <t>P0001 / P0003 / P0004 / P0005 - E0969 - Demande</t>
  </si>
  <si>
    <t>SI A_RPR_DFRPRO [Saisi] &lt;&gt; Vide</t>
  </si>
  <si>
    <t>A_RPR_DDRPRO [Saisi] &lt;= A_RPR_DFRPRO [Saisi]</t>
  </si>
  <si>
    <t>P0001 / P0003 / P0004 / P0005 - E0969 - Demande / Fin</t>
  </si>
  <si>
    <t>A_RPR_DFRPRO [Saisi] &lt; A_SAP_DLDPRE [Dossier]</t>
  </si>
  <si>
    <t>Non Bloquant</t>
  </si>
  <si>
    <t>.</t>
  </si>
  <si>
    <t>A_RPR_DDRPRO [Saisi] &gt;= A_CAR_DDLIJU [Dossier]</t>
  </si>
  <si>
    <t>P0003 / P0005 - E0969 - Demande</t>
  </si>
  <si>
    <t>SI A_RPR_DFRPRO [Saisi] &lt;&gt; Vide ET A_CAR_TYPCOT [Dossier] = 'TC01'</t>
  </si>
  <si>
    <t>A_RPR_DDRPRO [Saisi] &lt;= [Date limite de fin réelle ou prévisionnelle du lien juridique]</t>
  </si>
  <si>
    <t>P0003 / P0005 - E0969 - Demande / Fin</t>
  </si>
  <si>
    <t>Intellectuel</t>
  </si>
  <si>
    <t>Code des pensions civiles et militaires L89 bis | D37-1</t>
  </si>
  <si>
    <t>Code général de la fonction publique L612-3 / Code des pensions civiles et militaires L89 bis</t>
  </si>
  <si>
    <t>Code des pensions civiles et militaires L24 | L89 bis | D37-1 / Code de la sécurité sociale L161-22-1-5 | L161-17-2</t>
  </si>
  <si>
    <t>Code des pensions civiles et militaires L89 bis | D37-1 / Code de la sécurité sociale L161-22-1-5</t>
  </si>
  <si>
    <t>Code des pensions civiles et militaires L89 ter | D37-2</t>
  </si>
  <si>
    <t>P0001 / P0004 - E0969 - Modification / Fin</t>
  </si>
  <si>
    <t>Code des pensions civiles et militaires L89 ter | D37-2 / Circulaire du 6 septembre 2023 2.6</t>
  </si>
  <si>
    <t>Code des pensions civiles et militaires D37-1</t>
  </si>
  <si>
    <t>Code des pensions civiles et militaires L89 bis</t>
  </si>
  <si>
    <t>Code des pensions civiles et militaires D37-2 / Circulaire du 6 septembre 2023 2.5</t>
  </si>
  <si>
    <t>Circulaire du 6 septembre 2023 1.1</t>
  </si>
  <si>
    <t>Circulaire du 6 septembre 2023 1.3</t>
  </si>
  <si>
    <t>Code des pensions civiles et militaires D37-1 / Circulaire du 6 septembre 2023 2.2</t>
  </si>
  <si>
    <t>Circulaire du 6 septembre 2023 2.1</t>
  </si>
  <si>
    <t>Décret 2004-1056 A34 bis</t>
  </si>
  <si>
    <t>Code de la sécurité sociale R161-19-8 / Décret 2004-1056 A34 bis</t>
  </si>
  <si>
    <t>Décret 2004-1056 A34 ter</t>
  </si>
  <si>
    <t>P0005 - E0969 - Modification / Fin</t>
  </si>
  <si>
    <t>Décret 2004-1056 A34 quater</t>
  </si>
  <si>
    <t>Code de la sécurité sociale L161-22-1-5 | R161-19-5</t>
  </si>
  <si>
    <t>Code de la sécurité sociale L161-22-1-5 | R161-19-7</t>
  </si>
  <si>
    <t>Code de la sécurité sociale R161-19-8</t>
  </si>
  <si>
    <t>Code de la sécurité sociale R161-19-10 | D161-2-24-4</t>
  </si>
  <si>
    <t>P0003 - E0969 - Modification / Fin</t>
  </si>
  <si>
    <t>Code de la sécurité sociale R161-19-11 | L161-22-1-8</t>
  </si>
  <si>
    <t>Code de la sécurité sociale L161-22-1-8</t>
  </si>
  <si>
    <t>Code de la sécurité sociale R161-19-11</t>
  </si>
  <si>
    <t>Code de la sécurité sociale L161-22-1-7</t>
  </si>
  <si>
    <t>Code de la sécurité sociale D161-2-24 | L161-17-2 | L161-22-1-5 / Décret 2025-681 A1</t>
  </si>
  <si>
    <t>Impact</t>
  </si>
  <si>
    <t>Code des pensions civiles et militaires D37-2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</si>
</sst>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49" fontId="2" fillId="2" borderId="1"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0" xfId="0" applyAlignment="1">
      <alignment wrapText="1"/>
    </xf>
    <xf numFmtId="49" fontId="0" fillId="0" borderId="1" xfId="0" applyNumberFormat="1" applyBorder="1" applyAlignment="1">
      <alignment horizontal="center" vertical="center" wrapText="1"/>
    </xf>
    <xf numFmtId="14" fontId="0" fillId="0" borderId="1" xfId="0" applyNumberFormat="1" applyBorder="1" applyAlignment="1">
      <alignment horizontal="center" vertical="center" wrapText="1"/>
    </xf>
    <xf numFmtId="49" fontId="0" fillId="0" borderId="1" xfId="0" applyNumberFormat="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9" fontId="0" fillId="0" borderId="0" xfId="0" applyNumberFormat="1" applyAlignment="1">
      <alignment wrapText="1"/>
    </xf>
    <xf numFmtId="49" fontId="0" fillId="0" borderId="0" xfId="0" applyNumberFormat="1" applyAlignment="1">
      <alignment horizontal="left" wrapText="1"/>
    </xf>
    <xf numFmtId="14" fontId="0" fillId="0" borderId="0" xfId="0" applyNumberFormat="1" applyAlignment="1">
      <alignment horizontal="left" wrapText="1"/>
    </xf>
    <xf numFmtId="14" fontId="0" fillId="0" borderId="0" xfId="0" applyNumberFormat="1" applyAlignment="1">
      <alignment wrapText="1"/>
    </xf>
    <xf numFmtId="0" fontId="0" fillId="0" borderId="0" xfId="0" applyAlignment="1">
      <alignment horizontal="center" wrapText="1"/>
    </xf>
    <xf numFmtId="0" fontId="0" fillId="0" borderId="0" xfId="0" applyAlignment="1">
      <alignment horizontal="left" wrapText="1"/>
    </xf>
    <xf numFmtId="49" fontId="0" fillId="0" borderId="0" xfId="0" applyNumberForma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5316C-02EE-44A1-BE1D-C364DCEFAE7A}">
  <sheetPr codeName="Feuil2"/>
  <dimension ref="A1:AG385"/>
  <sheetViews>
    <sheetView tabSelected="1" zoomScale="85" zoomScaleNormal="85" workbookViewId="0"/>
  </sheetViews>
  <sheetFormatPr baseColWidth="10" defaultRowHeight="15" x14ac:dyDescent="0.25"/>
  <cols>
    <col min="2" max="2" width="144.28515625" style="9" customWidth="1"/>
    <col min="3" max="3" width="64.85546875" style="2" bestFit="1" customWidth="1"/>
    <col min="18" max="19" width="11.42578125" style="2"/>
  </cols>
  <sheetData>
    <row r="1" spans="1:33" x14ac:dyDescent="0.25">
      <c r="B1" s="1" t="s">
        <v>0</v>
      </c>
    </row>
    <row r="2" spans="1:33" x14ac:dyDescent="0.25">
      <c r="B2" s="3" t="s">
        <v>1</v>
      </c>
    </row>
    <row r="3" spans="1:33" x14ac:dyDescent="0.25">
      <c r="B3" s="4"/>
    </row>
    <row r="4" spans="1:33" x14ac:dyDescent="0.25">
      <c r="B4" s="4"/>
    </row>
    <row r="5" spans="1:33" x14ac:dyDescent="0.25">
      <c r="B5" s="4"/>
    </row>
    <row r="6" spans="1:33" x14ac:dyDescent="0.25">
      <c r="B6" s="4"/>
    </row>
    <row r="7" spans="1:33" x14ac:dyDescent="0.25">
      <c r="B7" s="4"/>
    </row>
    <row r="8" spans="1:33" x14ac:dyDescent="0.25">
      <c r="B8" s="4"/>
    </row>
    <row r="9" spans="1:33" x14ac:dyDescent="0.25">
      <c r="B9" s="4"/>
    </row>
    <row r="10" spans="1:33" x14ac:dyDescent="0.25">
      <c r="B10" s="4"/>
    </row>
    <row r="11" spans="1:33" x14ac:dyDescent="0.2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2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2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2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25">
      <c r="B15" s="4"/>
      <c r="C15"/>
      <c r="R15"/>
      <c r="S15"/>
    </row>
    <row r="16" spans="1:33" x14ac:dyDescent="0.2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2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2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2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2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2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2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2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2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2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2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2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2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2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2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2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2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2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2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2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2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2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2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2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2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2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25">
      <c r="A42" s="5"/>
      <c r="B42" s="5"/>
      <c r="C42" s="5"/>
      <c r="D42" s="5"/>
      <c r="E42" s="5"/>
      <c r="F42" s="5"/>
      <c r="G42" s="5"/>
      <c r="H42" s="5"/>
      <c r="I42" s="5"/>
      <c r="J42" s="5"/>
      <c r="K42" s="5"/>
      <c r="L42" s="5"/>
      <c r="M42" s="5"/>
      <c r="N42" s="5"/>
      <c r="O42" s="5"/>
      <c r="P42" s="5"/>
      <c r="Q42" s="5"/>
      <c r="R42" s="5"/>
      <c r="S42" s="5"/>
      <c r="T42" s="5"/>
      <c r="U42" s="5"/>
      <c r="V42" s="5"/>
      <c r="W42" s="8"/>
      <c r="X42" s="5"/>
      <c r="Y42" s="5"/>
      <c r="Z42" s="5"/>
      <c r="AA42" s="5"/>
      <c r="AB42" s="5"/>
      <c r="AC42" s="5"/>
      <c r="AD42" s="5"/>
      <c r="AE42" s="5"/>
      <c r="AF42" s="5"/>
      <c r="AG42" s="5"/>
    </row>
    <row r="43" spans="1:33" x14ac:dyDescent="0.2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2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2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2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2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2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2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2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2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2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2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25">
      <c r="A54" s="5"/>
      <c r="B54" s="5"/>
      <c r="C54" s="5"/>
      <c r="D54" s="5"/>
      <c r="E54" s="5"/>
      <c r="F54" s="5"/>
      <c r="G54" s="5"/>
      <c r="H54" s="5"/>
      <c r="I54" s="5"/>
      <c r="J54" s="5"/>
      <c r="K54" s="5"/>
      <c r="L54" s="5"/>
      <c r="M54" s="5"/>
      <c r="N54" s="5"/>
      <c r="O54" s="5"/>
      <c r="P54" s="5"/>
      <c r="Q54" s="5"/>
      <c r="R54" s="5"/>
      <c r="S54" s="5"/>
      <c r="T54" s="5"/>
      <c r="U54" s="5"/>
      <c r="V54" s="5"/>
      <c r="W54" s="8"/>
      <c r="X54" s="5"/>
      <c r="Y54" s="5"/>
      <c r="Z54" s="5"/>
      <c r="AA54" s="5"/>
      <c r="AB54" s="5"/>
      <c r="AC54" s="5"/>
      <c r="AD54" s="5"/>
      <c r="AE54" s="5"/>
      <c r="AF54" s="5"/>
      <c r="AG54" s="5"/>
    </row>
    <row r="55" spans="1:33" x14ac:dyDescent="0.2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25">
      <c r="A56" s="5"/>
      <c r="B56" s="5"/>
      <c r="C56" s="5"/>
      <c r="D56" s="5"/>
      <c r="E56" s="5"/>
      <c r="F56" s="5"/>
      <c r="G56" s="5"/>
      <c r="H56" s="5"/>
      <c r="I56" s="5"/>
      <c r="J56" s="5"/>
      <c r="K56" s="5"/>
      <c r="L56" s="5"/>
      <c r="M56" s="5"/>
      <c r="N56" s="5"/>
      <c r="O56" s="5"/>
      <c r="P56" s="5"/>
      <c r="Q56" s="5"/>
      <c r="R56" s="5"/>
      <c r="S56" s="5"/>
      <c r="T56" s="5"/>
      <c r="U56" s="5"/>
      <c r="V56" s="5"/>
      <c r="W56" s="8"/>
      <c r="X56" s="5"/>
      <c r="Y56" s="5"/>
      <c r="Z56" s="5"/>
      <c r="AA56" s="5"/>
      <c r="AB56" s="5"/>
      <c r="AC56" s="5"/>
      <c r="AD56" s="5"/>
      <c r="AE56" s="5"/>
      <c r="AF56" s="5"/>
      <c r="AG56" s="5"/>
    </row>
    <row r="57" spans="1:33" x14ac:dyDescent="0.2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2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2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2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2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2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2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2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2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2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2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2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2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2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2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2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2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2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2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2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2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2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2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2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2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25">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row>
    <row r="83" spans="1:33" x14ac:dyDescent="0.2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2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2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2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2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25">
      <c r="A88" s="5"/>
      <c r="B88" s="5"/>
      <c r="C88" s="5"/>
      <c r="D88" s="5"/>
      <c r="E88" s="5"/>
      <c r="F88" s="5"/>
      <c r="G88" s="5"/>
      <c r="H88" s="5"/>
      <c r="I88" s="5"/>
      <c r="J88" s="5"/>
      <c r="K88" s="5"/>
      <c r="L88" s="5"/>
      <c r="M88" s="5"/>
      <c r="N88" s="5"/>
      <c r="O88" s="5"/>
      <c r="P88" s="5"/>
      <c r="Q88" s="5"/>
      <c r="R88" s="5"/>
      <c r="S88" s="5"/>
      <c r="T88" s="5"/>
      <c r="U88" s="5"/>
      <c r="V88" s="5"/>
      <c r="W88" s="8"/>
      <c r="X88" s="5"/>
      <c r="Y88" s="5"/>
      <c r="Z88" s="5"/>
      <c r="AA88" s="5"/>
      <c r="AB88" s="5"/>
      <c r="AC88" s="5"/>
      <c r="AD88" s="5"/>
      <c r="AE88" s="5"/>
      <c r="AF88" s="5"/>
      <c r="AG88" s="5"/>
    </row>
    <row r="89" spans="1:33" x14ac:dyDescent="0.2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2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25">
      <c r="A91" s="5"/>
      <c r="B91" s="5"/>
      <c r="C91" s="5"/>
      <c r="D91" s="5"/>
      <c r="E91" s="5"/>
      <c r="F91" s="5"/>
      <c r="G91" s="5"/>
      <c r="H91" s="5"/>
      <c r="I91" s="5"/>
      <c r="J91" s="5"/>
      <c r="K91" s="5"/>
      <c r="L91" s="5"/>
      <c r="M91" s="5"/>
      <c r="N91" s="5"/>
      <c r="O91" s="5"/>
      <c r="P91" s="5"/>
      <c r="Q91" s="5"/>
      <c r="R91" s="5"/>
      <c r="S91" s="5"/>
      <c r="T91" s="5"/>
      <c r="U91" s="5"/>
      <c r="V91" s="5"/>
      <c r="W91" s="8"/>
      <c r="X91" s="5"/>
      <c r="Y91" s="5"/>
      <c r="Z91" s="5"/>
      <c r="AA91" s="5"/>
      <c r="AB91" s="5"/>
      <c r="AC91" s="5"/>
      <c r="AD91" s="5"/>
      <c r="AE91" s="5"/>
      <c r="AF91" s="5"/>
      <c r="AG91" s="5"/>
    </row>
    <row r="92" spans="1:33" x14ac:dyDescent="0.2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2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25">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row>
    <row r="95" spans="1:33" x14ac:dyDescent="0.25">
      <c r="A95" s="5"/>
      <c r="B95" s="5"/>
      <c r="C95" s="5"/>
      <c r="D95" s="5"/>
      <c r="E95" s="5"/>
      <c r="F95" s="5"/>
      <c r="G95" s="5"/>
      <c r="H95" s="5"/>
      <c r="I95" s="5"/>
      <c r="J95" s="5"/>
      <c r="K95" s="5"/>
      <c r="L95" s="5"/>
      <c r="M95" s="5"/>
      <c r="N95" s="5"/>
      <c r="O95" s="5"/>
      <c r="P95" s="5"/>
      <c r="Q95" s="5"/>
      <c r="R95" s="5"/>
      <c r="S95" s="5"/>
      <c r="T95" s="5"/>
      <c r="U95" s="5"/>
      <c r="V95" s="5"/>
      <c r="W95" s="8"/>
      <c r="X95" s="5"/>
      <c r="Y95" s="5"/>
      <c r="Z95" s="5"/>
      <c r="AA95" s="5"/>
      <c r="AB95" s="5"/>
      <c r="AC95" s="5"/>
      <c r="AD95" s="5"/>
      <c r="AE95" s="5"/>
      <c r="AF95" s="5"/>
      <c r="AG95" s="5"/>
    </row>
    <row r="96" spans="1:33" x14ac:dyDescent="0.25">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row>
    <row r="97" spans="1:33" x14ac:dyDescent="0.2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2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2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2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2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25">
      <c r="A102" s="5"/>
      <c r="B102" s="5"/>
      <c r="C102" s="5"/>
      <c r="D102" s="5"/>
      <c r="E102" s="5"/>
      <c r="F102" s="5"/>
      <c r="G102" s="5"/>
      <c r="H102" s="5"/>
      <c r="I102" s="5"/>
      <c r="J102" s="5"/>
      <c r="K102" s="5"/>
      <c r="L102" s="5"/>
      <c r="M102" s="5"/>
      <c r="N102" s="5"/>
      <c r="O102" s="5"/>
      <c r="P102" s="5"/>
      <c r="Q102" s="5"/>
      <c r="R102" s="5"/>
      <c r="S102" s="5"/>
      <c r="T102" s="5"/>
      <c r="U102" s="5"/>
      <c r="V102" s="5"/>
      <c r="W102" s="8"/>
      <c r="X102" s="5"/>
      <c r="Y102" s="5"/>
      <c r="Z102" s="5"/>
      <c r="AA102" s="5"/>
      <c r="AB102" s="5"/>
      <c r="AC102" s="5"/>
      <c r="AD102" s="5"/>
      <c r="AE102" s="5"/>
      <c r="AF102" s="5"/>
      <c r="AG102" s="5"/>
    </row>
    <row r="103" spans="1:33" x14ac:dyDescent="0.2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2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2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25">
      <c r="A106" s="5"/>
      <c r="B106" s="5"/>
      <c r="C106" s="5"/>
      <c r="D106" s="5"/>
      <c r="E106" s="5"/>
      <c r="F106" s="5"/>
      <c r="G106" s="5"/>
      <c r="H106" s="5"/>
      <c r="I106" s="5"/>
      <c r="J106" s="5"/>
      <c r="K106" s="5"/>
      <c r="L106" s="5"/>
      <c r="M106" s="5"/>
      <c r="N106" s="5"/>
      <c r="O106" s="5"/>
      <c r="P106" s="5"/>
      <c r="Q106" s="5"/>
      <c r="R106" s="5"/>
      <c r="S106" s="5"/>
      <c r="T106" s="5"/>
      <c r="U106" s="5"/>
      <c r="V106" s="5"/>
      <c r="W106" s="8"/>
      <c r="X106" s="5"/>
      <c r="Y106" s="5"/>
      <c r="Z106" s="5"/>
      <c r="AA106" s="5"/>
      <c r="AB106" s="5"/>
      <c r="AC106" s="5"/>
      <c r="AD106" s="5"/>
      <c r="AE106" s="5"/>
      <c r="AF106" s="5"/>
      <c r="AG106" s="5"/>
    </row>
    <row r="107" spans="1:33" x14ac:dyDescent="0.25">
      <c r="A107" s="5"/>
      <c r="B107" s="5"/>
      <c r="C107" s="5"/>
      <c r="D107" s="5"/>
      <c r="E107" s="5"/>
      <c r="F107" s="5"/>
      <c r="G107" s="5"/>
      <c r="H107" s="5"/>
      <c r="I107" s="5"/>
      <c r="J107" s="5"/>
      <c r="K107" s="5"/>
      <c r="L107" s="5"/>
      <c r="M107" s="5"/>
      <c r="N107" s="5"/>
      <c r="O107" s="5"/>
      <c r="P107" s="5"/>
      <c r="Q107" s="5"/>
      <c r="R107" s="5"/>
      <c r="S107" s="5"/>
      <c r="T107" s="5"/>
      <c r="U107" s="5"/>
      <c r="V107" s="5"/>
      <c r="W107" s="8"/>
      <c r="X107" s="5"/>
      <c r="Y107" s="5"/>
      <c r="Z107" s="5"/>
      <c r="AA107" s="5"/>
      <c r="AB107" s="5"/>
      <c r="AC107" s="5"/>
      <c r="AD107" s="5"/>
      <c r="AE107" s="5"/>
      <c r="AF107" s="5"/>
      <c r="AG107" s="5"/>
    </row>
    <row r="108" spans="1:33" x14ac:dyDescent="0.25">
      <c r="A108" s="5"/>
      <c r="B108" s="5"/>
      <c r="C108" s="5"/>
      <c r="D108" s="5"/>
      <c r="E108" s="5"/>
      <c r="F108" s="5"/>
      <c r="G108" s="5"/>
      <c r="H108" s="5"/>
      <c r="I108" s="5"/>
      <c r="J108" s="5"/>
      <c r="K108" s="5"/>
      <c r="L108" s="5"/>
      <c r="M108" s="5"/>
      <c r="N108" s="5"/>
      <c r="O108" s="5"/>
      <c r="P108" s="5"/>
      <c r="Q108" s="5"/>
      <c r="R108" s="5"/>
      <c r="S108" s="5"/>
      <c r="T108" s="5"/>
      <c r="U108" s="5"/>
      <c r="V108" s="5"/>
      <c r="W108" s="8"/>
      <c r="X108" s="5"/>
      <c r="Y108" s="5"/>
      <c r="Z108" s="5"/>
      <c r="AA108" s="5"/>
      <c r="AB108" s="5"/>
      <c r="AC108" s="5"/>
      <c r="AD108" s="5"/>
      <c r="AE108" s="5"/>
      <c r="AF108" s="5"/>
      <c r="AG108" s="5"/>
    </row>
    <row r="109" spans="1:33" x14ac:dyDescent="0.2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2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2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2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2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25">
      <c r="A114" s="5"/>
      <c r="B114" s="5"/>
      <c r="C114" s="5"/>
      <c r="D114" s="5"/>
      <c r="E114" s="5"/>
      <c r="F114" s="5"/>
      <c r="G114" s="5"/>
      <c r="H114" s="5"/>
      <c r="I114" s="5"/>
      <c r="J114" s="5"/>
      <c r="K114" s="5"/>
      <c r="L114" s="5"/>
      <c r="M114" s="5"/>
      <c r="N114" s="5"/>
      <c r="O114" s="5"/>
      <c r="P114" s="5"/>
      <c r="Q114" s="5"/>
      <c r="R114" s="5"/>
      <c r="S114" s="5"/>
      <c r="T114" s="5"/>
      <c r="U114" s="5"/>
      <c r="V114" s="5"/>
      <c r="W114" s="8"/>
      <c r="X114" s="5"/>
      <c r="Y114" s="5"/>
      <c r="Z114" s="5"/>
      <c r="AA114" s="5"/>
      <c r="AB114" s="5"/>
      <c r="AC114" s="5"/>
      <c r="AD114" s="5"/>
      <c r="AE114" s="5"/>
      <c r="AF114" s="5"/>
      <c r="AG114" s="5"/>
    </row>
    <row r="115" spans="1:33" x14ac:dyDescent="0.25">
      <c r="A115" s="5"/>
      <c r="B115" s="5"/>
      <c r="C115" s="5"/>
      <c r="D115" s="5"/>
      <c r="E115" s="5"/>
      <c r="F115" s="5"/>
      <c r="G115" s="5"/>
      <c r="H115" s="5"/>
      <c r="I115" s="5"/>
      <c r="J115" s="5"/>
      <c r="K115" s="5"/>
      <c r="L115" s="5"/>
      <c r="M115" s="5"/>
      <c r="N115" s="5"/>
      <c r="O115" s="5"/>
      <c r="P115" s="5"/>
      <c r="Q115" s="5"/>
      <c r="R115" s="5"/>
      <c r="S115" s="5"/>
      <c r="T115" s="5"/>
      <c r="U115" s="5"/>
      <c r="V115" s="5"/>
      <c r="W115" s="8"/>
      <c r="X115" s="5"/>
      <c r="Y115" s="5"/>
      <c r="Z115" s="5"/>
      <c r="AA115" s="5"/>
      <c r="AB115" s="5"/>
      <c r="AC115" s="5"/>
      <c r="AD115" s="5"/>
      <c r="AE115" s="5"/>
      <c r="AF115" s="5"/>
      <c r="AG115" s="5"/>
    </row>
    <row r="116" spans="1:33" x14ac:dyDescent="0.25">
      <c r="A116" s="5"/>
      <c r="B116" s="5"/>
      <c r="C116" s="5"/>
      <c r="D116" s="5"/>
      <c r="E116" s="5"/>
      <c r="F116" s="5"/>
      <c r="G116" s="5"/>
      <c r="H116" s="5"/>
      <c r="I116" s="5"/>
      <c r="J116" s="5"/>
      <c r="K116" s="5"/>
      <c r="L116" s="5"/>
      <c r="M116" s="5"/>
      <c r="N116" s="5"/>
      <c r="O116" s="5"/>
      <c r="P116" s="5"/>
      <c r="Q116" s="5"/>
      <c r="R116" s="5"/>
      <c r="S116" s="5"/>
      <c r="T116" s="5"/>
      <c r="U116" s="5"/>
      <c r="V116" s="5"/>
      <c r="W116" s="8"/>
      <c r="X116" s="5"/>
      <c r="Y116" s="5"/>
      <c r="Z116" s="5"/>
      <c r="AA116" s="5"/>
      <c r="AB116" s="5"/>
      <c r="AC116" s="5"/>
      <c r="AD116" s="5"/>
      <c r="AE116" s="5"/>
      <c r="AF116" s="5"/>
      <c r="AG116" s="5"/>
    </row>
    <row r="117" spans="1:33" x14ac:dyDescent="0.2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2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2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2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2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2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2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25">
      <c r="A124" s="5"/>
      <c r="B124" s="5"/>
      <c r="C124" s="5"/>
      <c r="D124" s="5"/>
      <c r="E124" s="5"/>
      <c r="F124" s="5"/>
      <c r="G124" s="5"/>
      <c r="H124" s="5"/>
      <c r="I124" s="5"/>
      <c r="J124" s="5"/>
      <c r="K124" s="5"/>
      <c r="L124" s="5"/>
      <c r="M124" s="5"/>
      <c r="N124" s="5"/>
      <c r="O124" s="5"/>
      <c r="P124" s="5"/>
      <c r="Q124" s="5"/>
      <c r="R124" s="5"/>
      <c r="S124" s="5"/>
      <c r="T124" s="5"/>
      <c r="U124" s="5"/>
      <c r="V124" s="5"/>
      <c r="W124" s="8"/>
      <c r="X124" s="5"/>
      <c r="Y124" s="5"/>
      <c r="Z124" s="5"/>
      <c r="AA124" s="5"/>
      <c r="AB124" s="5"/>
      <c r="AC124" s="5"/>
      <c r="AD124" s="5"/>
      <c r="AE124" s="5"/>
      <c r="AF124" s="5"/>
      <c r="AG124" s="5"/>
    </row>
    <row r="125" spans="1:33" x14ac:dyDescent="0.25">
      <c r="A125" s="5"/>
      <c r="B125" s="5"/>
      <c r="C125" s="5"/>
      <c r="D125" s="5"/>
      <c r="E125" s="5"/>
      <c r="F125" s="5"/>
      <c r="G125" s="5"/>
      <c r="H125" s="5"/>
      <c r="I125" s="5"/>
      <c r="J125" s="5"/>
      <c r="K125" s="5"/>
      <c r="L125" s="5"/>
      <c r="M125" s="5"/>
      <c r="N125" s="5"/>
      <c r="O125" s="5"/>
      <c r="P125" s="5"/>
      <c r="Q125" s="5"/>
      <c r="R125" s="5"/>
      <c r="S125" s="5"/>
      <c r="T125" s="5"/>
      <c r="U125" s="5"/>
      <c r="V125" s="5"/>
      <c r="W125" s="8"/>
      <c r="X125" s="5"/>
      <c r="Y125" s="5"/>
      <c r="Z125" s="5"/>
      <c r="AA125" s="5"/>
      <c r="AB125" s="5"/>
      <c r="AC125" s="5"/>
      <c r="AD125" s="5"/>
      <c r="AE125" s="5"/>
      <c r="AF125" s="5"/>
      <c r="AG125" s="5"/>
    </row>
    <row r="126" spans="1:33" x14ac:dyDescent="0.2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2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2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2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2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2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row>
    <row r="132" spans="1:33" x14ac:dyDescent="0.2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25">
      <c r="A133" s="5"/>
      <c r="B133" s="5"/>
      <c r="C133" s="5"/>
      <c r="D133" s="5"/>
      <c r="E133" s="5"/>
      <c r="F133" s="5"/>
      <c r="G133" s="5"/>
      <c r="H133" s="5"/>
      <c r="I133" s="5"/>
      <c r="J133" s="5"/>
      <c r="K133" s="5"/>
      <c r="L133" s="5"/>
      <c r="M133" s="5"/>
      <c r="N133" s="5"/>
      <c r="O133" s="5"/>
      <c r="P133" s="5"/>
      <c r="Q133" s="5"/>
      <c r="R133" s="5"/>
      <c r="S133" s="5"/>
      <c r="T133" s="5"/>
      <c r="U133" s="5"/>
      <c r="V133" s="5"/>
      <c r="W133" s="8"/>
      <c r="X133" s="5"/>
      <c r="Y133" s="5"/>
      <c r="Z133" s="5"/>
      <c r="AA133" s="5"/>
      <c r="AB133" s="5"/>
      <c r="AC133" s="5"/>
      <c r="AD133" s="5"/>
      <c r="AE133" s="5"/>
      <c r="AF133" s="5"/>
      <c r="AG133" s="5"/>
    </row>
    <row r="134" spans="1:33" x14ac:dyDescent="0.2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2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2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2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2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2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2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25">
      <c r="A141" s="5"/>
      <c r="B141" s="5"/>
      <c r="C141" s="5"/>
      <c r="D141" s="5"/>
      <c r="E141" s="5"/>
      <c r="F141" s="5"/>
      <c r="G141" s="5"/>
      <c r="H141" s="5"/>
      <c r="I141" s="5"/>
      <c r="J141" s="5"/>
      <c r="K141" s="5"/>
      <c r="L141" s="5"/>
      <c r="M141" s="5"/>
      <c r="N141" s="5"/>
      <c r="O141" s="5"/>
      <c r="P141" s="5"/>
      <c r="Q141" s="5"/>
      <c r="R141" s="5"/>
      <c r="S141" s="5"/>
      <c r="T141" s="5"/>
      <c r="U141" s="5"/>
      <c r="V141" s="5"/>
      <c r="W141" s="8"/>
      <c r="X141" s="5"/>
      <c r="Y141" s="5"/>
      <c r="Z141" s="5"/>
      <c r="AA141" s="5"/>
      <c r="AB141" s="5"/>
      <c r="AC141" s="5"/>
      <c r="AD141" s="5"/>
      <c r="AE141" s="5"/>
      <c r="AF141" s="5"/>
      <c r="AG141" s="5"/>
    </row>
    <row r="142" spans="1:33" x14ac:dyDescent="0.2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row>
    <row r="143" spans="1:33" x14ac:dyDescent="0.2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2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2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2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row>
    <row r="147" spans="1:33" x14ac:dyDescent="0.2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row>
    <row r="148" spans="1:33" x14ac:dyDescent="0.2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2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2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2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2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2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2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row>
    <row r="155" spans="1:33" x14ac:dyDescent="0.2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row>
    <row r="156" spans="1:33" x14ac:dyDescent="0.2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row>
    <row r="157" spans="1:33" x14ac:dyDescent="0.25">
      <c r="A157" s="5"/>
      <c r="B157" s="5"/>
      <c r="C157" s="5"/>
      <c r="D157" s="5"/>
      <c r="E157" s="5"/>
      <c r="F157" s="5"/>
      <c r="G157" s="5"/>
      <c r="H157" s="5"/>
      <c r="I157" s="5"/>
      <c r="J157" s="5"/>
      <c r="K157" s="5"/>
      <c r="L157" s="5"/>
      <c r="M157" s="5"/>
      <c r="N157" s="5"/>
      <c r="O157" s="5"/>
      <c r="P157" s="5"/>
      <c r="Q157" s="5"/>
      <c r="R157" s="5"/>
      <c r="S157" s="5"/>
      <c r="T157" s="5"/>
      <c r="U157" s="5"/>
      <c r="V157" s="5"/>
      <c r="W157" s="8"/>
      <c r="X157" s="5"/>
      <c r="Y157" s="5"/>
      <c r="Z157" s="5"/>
      <c r="AA157" s="5"/>
      <c r="AB157" s="5"/>
      <c r="AC157" s="5"/>
      <c r="AD157" s="5"/>
      <c r="AE157" s="5"/>
      <c r="AF157" s="5"/>
      <c r="AG157" s="5"/>
    </row>
    <row r="158" spans="1:33" x14ac:dyDescent="0.25">
      <c r="A158" s="5"/>
      <c r="B158" s="5"/>
      <c r="C158" s="5"/>
      <c r="D158" s="5"/>
      <c r="E158" s="5"/>
      <c r="F158" s="5"/>
      <c r="G158" s="5"/>
      <c r="H158" s="5"/>
      <c r="I158" s="5"/>
      <c r="J158" s="5"/>
      <c r="K158" s="5"/>
      <c r="L158" s="5"/>
      <c r="M158" s="5"/>
      <c r="N158" s="5"/>
      <c r="O158" s="5"/>
      <c r="P158" s="5"/>
      <c r="Q158" s="5"/>
      <c r="R158" s="5"/>
      <c r="S158" s="5"/>
      <c r="T158" s="5"/>
      <c r="U158" s="5"/>
      <c r="V158" s="5"/>
      <c r="W158" s="8"/>
      <c r="X158" s="5"/>
      <c r="Y158" s="5"/>
      <c r="Z158" s="5"/>
      <c r="AA158" s="5"/>
      <c r="AB158" s="5"/>
      <c r="AC158" s="5"/>
      <c r="AD158" s="5"/>
      <c r="AE158" s="5"/>
      <c r="AF158" s="5"/>
      <c r="AG158" s="5"/>
    </row>
    <row r="159" spans="1:33" x14ac:dyDescent="0.2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2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2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2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25">
      <c r="A163" s="5"/>
      <c r="B163" s="5"/>
      <c r="C163" s="5"/>
      <c r="D163" s="5"/>
      <c r="E163" s="5"/>
      <c r="F163" s="5"/>
      <c r="G163" s="5"/>
      <c r="H163" s="5"/>
      <c r="I163" s="5"/>
      <c r="J163" s="5"/>
      <c r="K163" s="5"/>
      <c r="L163" s="5"/>
      <c r="M163" s="5"/>
      <c r="N163" s="5"/>
      <c r="O163" s="5"/>
      <c r="P163" s="5"/>
      <c r="Q163" s="5"/>
      <c r="R163" s="5"/>
      <c r="S163" s="5"/>
      <c r="T163" s="5"/>
      <c r="U163" s="5"/>
      <c r="V163" s="5"/>
      <c r="W163" s="8"/>
      <c r="X163" s="5"/>
      <c r="Y163" s="5"/>
      <c r="Z163" s="5"/>
      <c r="AA163" s="5"/>
      <c r="AB163" s="5"/>
      <c r="AC163" s="5"/>
      <c r="AD163" s="5"/>
      <c r="AE163" s="5"/>
      <c r="AF163" s="5"/>
      <c r="AG163" s="5"/>
    </row>
    <row r="164" spans="1:33" x14ac:dyDescent="0.2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row>
    <row r="165" spans="1:33" x14ac:dyDescent="0.2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row>
    <row r="166" spans="1:33" x14ac:dyDescent="0.2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2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2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2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2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2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2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2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row>
    <row r="174" spans="1:33" x14ac:dyDescent="0.2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2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row>
    <row r="176" spans="1:33" x14ac:dyDescent="0.2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2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2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2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2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2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row>
    <row r="182" spans="1:33" x14ac:dyDescent="0.2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2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2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2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2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2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2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row>
    <row r="189" spans="1:33" x14ac:dyDescent="0.2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2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2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2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2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2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2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2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2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row>
    <row r="198" spans="1:33" x14ac:dyDescent="0.2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row>
    <row r="199" spans="1:33" x14ac:dyDescent="0.2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2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2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2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2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row>
    <row r="204" spans="1:33" x14ac:dyDescent="0.2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2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2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2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2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row>
    <row r="209" spans="1:33" x14ac:dyDescent="0.2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2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2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2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2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2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2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2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2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2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2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2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2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2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2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2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2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2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2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2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2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2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2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2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2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2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2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2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2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2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2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2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2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2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2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2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2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2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2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2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2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2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2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2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2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2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2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2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2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2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25">
      <c r="A260" s="5"/>
      <c r="B260" s="5"/>
      <c r="C260" s="5"/>
      <c r="D260" s="5"/>
      <c r="E260" s="5"/>
      <c r="F260" s="5"/>
      <c r="G260" s="5"/>
      <c r="H260" s="5"/>
      <c r="I260" s="5"/>
      <c r="J260" s="5"/>
      <c r="K260" s="5"/>
      <c r="L260" s="5"/>
      <c r="M260" s="5"/>
      <c r="N260" s="5"/>
      <c r="O260" s="5"/>
      <c r="P260" s="5"/>
      <c r="Q260" s="5"/>
      <c r="R260" s="5"/>
      <c r="S260" s="5"/>
      <c r="T260" s="5"/>
      <c r="U260" s="5"/>
      <c r="V260" s="5"/>
      <c r="W260" s="8"/>
      <c r="X260" s="5"/>
      <c r="Y260" s="5"/>
      <c r="Z260" s="5"/>
      <c r="AA260" s="5"/>
      <c r="AB260" s="5"/>
      <c r="AC260" s="5"/>
      <c r="AD260" s="5"/>
      <c r="AE260" s="5"/>
      <c r="AF260" s="5"/>
      <c r="AG260" s="5"/>
    </row>
    <row r="261" spans="1:33" x14ac:dyDescent="0.2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2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25">
      <c r="A263" s="5"/>
      <c r="B263" s="5"/>
      <c r="C263" s="5"/>
      <c r="D263" s="5"/>
      <c r="E263" s="5"/>
      <c r="F263" s="5"/>
      <c r="G263" s="5"/>
      <c r="H263" s="5"/>
      <c r="I263" s="5"/>
      <c r="J263" s="5"/>
      <c r="K263" s="5"/>
      <c r="L263" s="5"/>
      <c r="M263" s="5"/>
      <c r="N263" s="5"/>
      <c r="O263" s="5"/>
      <c r="P263" s="5"/>
      <c r="Q263" s="5"/>
      <c r="R263" s="5"/>
      <c r="S263" s="5"/>
      <c r="T263" s="5"/>
      <c r="U263" s="5"/>
      <c r="V263" s="5"/>
      <c r="W263" s="8"/>
      <c r="X263" s="5"/>
      <c r="Y263" s="5"/>
      <c r="Z263" s="5"/>
      <c r="AA263" s="5"/>
      <c r="AB263" s="5"/>
      <c r="AC263" s="5"/>
      <c r="AD263" s="5"/>
      <c r="AE263" s="5"/>
      <c r="AF263" s="5"/>
      <c r="AG263" s="5"/>
    </row>
    <row r="264" spans="1:33" x14ac:dyDescent="0.2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2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2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2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2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2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2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25">
      <c r="A271" s="5"/>
      <c r="B271" s="5"/>
      <c r="C271" s="5"/>
      <c r="D271" s="5"/>
      <c r="E271" s="5"/>
      <c r="F271" s="5"/>
      <c r="G271" s="5"/>
      <c r="H271" s="5"/>
      <c r="I271" s="5"/>
      <c r="J271" s="5"/>
      <c r="K271" s="5"/>
      <c r="L271" s="5"/>
      <c r="M271" s="5"/>
      <c r="N271" s="5"/>
      <c r="O271" s="5"/>
      <c r="P271" s="5"/>
      <c r="Q271" s="5"/>
      <c r="R271" s="5"/>
      <c r="S271" s="5"/>
      <c r="T271" s="5"/>
      <c r="U271" s="5"/>
      <c r="V271" s="5"/>
      <c r="W271" s="8"/>
      <c r="X271" s="5"/>
      <c r="Y271" s="5"/>
      <c r="Z271" s="5"/>
      <c r="AA271" s="5"/>
      <c r="AB271" s="5"/>
      <c r="AC271" s="5"/>
      <c r="AD271" s="5"/>
      <c r="AE271" s="5"/>
      <c r="AF271" s="5"/>
      <c r="AG271" s="5"/>
    </row>
    <row r="272" spans="1:33" x14ac:dyDescent="0.25">
      <c r="A272" s="5"/>
      <c r="B272" s="5"/>
      <c r="C272" s="5"/>
      <c r="D272" s="5"/>
      <c r="E272" s="5"/>
      <c r="F272" s="5"/>
      <c r="G272" s="5"/>
      <c r="H272" s="5"/>
      <c r="I272" s="5"/>
      <c r="J272" s="5"/>
      <c r="K272" s="5"/>
      <c r="L272" s="5"/>
      <c r="M272" s="5"/>
      <c r="N272" s="5"/>
      <c r="O272" s="5"/>
      <c r="P272" s="5"/>
      <c r="Q272" s="5"/>
      <c r="R272" s="5"/>
      <c r="S272" s="5"/>
      <c r="T272" s="5"/>
      <c r="U272" s="5"/>
      <c r="V272" s="5"/>
      <c r="W272" s="8"/>
      <c r="X272" s="5"/>
      <c r="Y272" s="5"/>
      <c r="Z272" s="5"/>
      <c r="AA272" s="5"/>
      <c r="AB272" s="5"/>
      <c r="AC272" s="5"/>
      <c r="AD272" s="5"/>
      <c r="AE272" s="5"/>
      <c r="AF272" s="5"/>
      <c r="AG272" s="5"/>
    </row>
    <row r="273" spans="1:33" x14ac:dyDescent="0.2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2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2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2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2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2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2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2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2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2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2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2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2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25">
      <c r="A286" s="5"/>
      <c r="B286" s="5"/>
      <c r="C286" s="5"/>
      <c r="D286" s="5"/>
      <c r="E286" s="5"/>
      <c r="F286" s="5"/>
      <c r="G286" s="5"/>
      <c r="H286" s="5"/>
      <c r="I286" s="5"/>
      <c r="J286" s="5"/>
      <c r="K286" s="5"/>
      <c r="L286" s="5"/>
      <c r="M286" s="5"/>
      <c r="N286" s="5"/>
      <c r="O286" s="5"/>
      <c r="P286" s="5"/>
      <c r="Q286" s="5"/>
      <c r="R286" s="5"/>
      <c r="S286" s="5"/>
      <c r="T286" s="5"/>
      <c r="U286" s="5"/>
      <c r="V286" s="5"/>
      <c r="W286" s="8"/>
      <c r="X286" s="5"/>
      <c r="Y286" s="5"/>
      <c r="Z286" s="5"/>
      <c r="AA286" s="5"/>
      <c r="AB286" s="5"/>
      <c r="AC286" s="5"/>
      <c r="AD286" s="5"/>
      <c r="AE286" s="5"/>
      <c r="AF286" s="5"/>
      <c r="AG286" s="5"/>
    </row>
    <row r="287" spans="1:33" x14ac:dyDescent="0.2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2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2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2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2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2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25">
      <c r="A293" s="5"/>
      <c r="B293" s="5"/>
      <c r="C293" s="5"/>
      <c r="D293" s="5"/>
      <c r="E293" s="5"/>
      <c r="F293" s="5"/>
      <c r="G293" s="5"/>
      <c r="H293" s="5"/>
      <c r="I293" s="5"/>
      <c r="J293" s="5"/>
      <c r="K293" s="5"/>
      <c r="L293" s="5"/>
      <c r="M293" s="5"/>
      <c r="N293" s="5"/>
      <c r="O293" s="5"/>
      <c r="P293" s="5"/>
      <c r="Q293" s="5"/>
      <c r="R293" s="5"/>
      <c r="S293" s="5"/>
      <c r="T293" s="5"/>
      <c r="U293" s="5"/>
      <c r="V293" s="5"/>
      <c r="W293" s="8"/>
      <c r="X293" s="5"/>
      <c r="Y293" s="5"/>
      <c r="Z293" s="5"/>
      <c r="AA293" s="5"/>
      <c r="AB293" s="5"/>
      <c r="AC293" s="5"/>
      <c r="AD293" s="5"/>
      <c r="AE293" s="5"/>
      <c r="AF293" s="5"/>
      <c r="AG293" s="5"/>
    </row>
    <row r="294" spans="1:33" x14ac:dyDescent="0.2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2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2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2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2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2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2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row>
    <row r="301" spans="1:33" x14ac:dyDescent="0.2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2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2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row>
    <row r="304" spans="1:33" x14ac:dyDescent="0.2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2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2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2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2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2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2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2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row>
    <row r="312" spans="1:33" x14ac:dyDescent="0.2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row>
    <row r="313" spans="1:33" x14ac:dyDescent="0.2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2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2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2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2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2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2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2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2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2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2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2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2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row>
    <row r="327" spans="1:33" x14ac:dyDescent="0.2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2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2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2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2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2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2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row>
    <row r="334" spans="1:33" x14ac:dyDescent="0.2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2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2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2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2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2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2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2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2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2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2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2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2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2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2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2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2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2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2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2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2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2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2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2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2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2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2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2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2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2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2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2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2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2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2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2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2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2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2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2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2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2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2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2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2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2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2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2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2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2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2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2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AC861-E6CD-4744-B6CA-AEBDE7143AEF}">
  <dimension ref="A1:BL112"/>
  <sheetViews>
    <sheetView workbookViewId="0">
      <pane ySplit="1" topLeftCell="A2" activePane="bottomLeft" state="frozenSplit"/>
      <selection pane="bottomLeft"/>
    </sheetView>
  </sheetViews>
  <sheetFormatPr baseColWidth="10" defaultRowHeight="15" x14ac:dyDescent="0.25"/>
  <cols>
    <col min="1" max="1" width="8.7109375" style="13" customWidth="1"/>
    <col min="2" max="2" width="7.7109375" style="13" customWidth="1"/>
    <col min="3" max="3" width="12.7109375" style="13" customWidth="1"/>
    <col min="4" max="4" width="13.7109375" style="13" customWidth="1"/>
    <col min="5" max="5" width="25.7109375" style="24" customWidth="1"/>
    <col min="6" max="6" width="13.7109375" style="13" customWidth="1"/>
    <col min="7" max="7" width="25.7109375" style="24" customWidth="1"/>
    <col min="8" max="8" width="13.7109375" style="13" customWidth="1"/>
    <col min="9" max="11" width="25.7109375" style="24" customWidth="1"/>
    <col min="12" max="12" width="13.7109375" style="13" customWidth="1"/>
    <col min="13" max="13" width="25.7109375" style="24" customWidth="1"/>
    <col min="14" max="14" width="13.7109375" style="13" customWidth="1"/>
    <col min="15" max="16" width="30.7109375" style="24" customWidth="1"/>
    <col min="17" max="17" width="25.7109375" style="24" customWidth="1"/>
    <col min="18" max="18" width="13.7109375" style="13" customWidth="1"/>
    <col min="19" max="19" width="13.7109375" style="19" customWidth="1"/>
    <col min="20" max="21" width="13.7109375" style="13" customWidth="1"/>
    <col min="22" max="23" width="12.7109375" style="13" customWidth="1"/>
    <col min="24" max="24" width="40.7109375" style="24" customWidth="1"/>
    <col min="25" max="25" width="15.7109375" style="23" customWidth="1"/>
    <col min="26" max="26" width="25.7109375" style="24" customWidth="1"/>
    <col min="27" max="27" width="15.7109375" style="23" customWidth="1"/>
    <col min="28" max="28" width="25.7109375" style="24" customWidth="1"/>
    <col min="29" max="29" width="15.7109375" style="23" customWidth="1"/>
    <col min="30" max="30" width="25.7109375" style="24" customWidth="1"/>
    <col min="31" max="31" width="15.7109375" style="23" customWidth="1"/>
    <col min="32" max="32" width="25.7109375" style="24" customWidth="1"/>
    <col min="33" max="33" width="15.7109375" style="23" customWidth="1"/>
    <col min="34" max="34" width="25.7109375" style="24" customWidth="1"/>
    <col min="35" max="35" width="15.7109375" style="23" customWidth="1"/>
    <col min="36" max="36" width="25.7109375" style="24" customWidth="1"/>
    <col min="37" max="37" width="15.7109375" style="23" customWidth="1"/>
    <col min="38" max="38" width="25.7109375" style="24" customWidth="1"/>
    <col min="39" max="39" width="15.7109375" style="23" customWidth="1"/>
    <col min="40" max="40" width="25.7109375" style="24" customWidth="1"/>
    <col min="41" max="41" width="15.7109375" style="23" customWidth="1"/>
    <col min="42" max="42" width="25.7109375" style="24" customWidth="1"/>
    <col min="43" max="43" width="15.7109375" style="23" customWidth="1"/>
    <col min="44" max="44" width="25.7109375" style="24" customWidth="1"/>
    <col min="45" max="45" width="15.7109375" style="23" customWidth="1"/>
    <col min="46" max="46" width="25.7109375" style="24" customWidth="1"/>
    <col min="47" max="47" width="15.7109375" style="23" customWidth="1"/>
    <col min="48" max="48" width="25.7109375" style="24" customWidth="1"/>
    <col min="49" max="49" width="15.7109375" style="23" customWidth="1"/>
    <col min="50" max="50" width="25.7109375" style="24" customWidth="1"/>
    <col min="51" max="51" width="15.7109375" style="23" customWidth="1"/>
    <col min="52" max="52" width="25.7109375" style="24" customWidth="1"/>
    <col min="53" max="53" width="15.7109375" style="23" customWidth="1"/>
    <col min="54" max="54" width="25.7109375" style="24" customWidth="1"/>
    <col min="55" max="55" width="15.7109375" style="23" customWidth="1"/>
    <col min="56" max="56" width="25.7109375" style="24" customWidth="1"/>
    <col min="57" max="57" width="15.7109375" style="23" customWidth="1"/>
    <col min="58" max="58" width="25.7109375" style="24" customWidth="1"/>
    <col min="59" max="59" width="15.7109375" style="23" customWidth="1"/>
    <col min="60" max="60" width="25.7109375" style="24" customWidth="1"/>
    <col min="61" max="61" width="15.7109375" style="23" customWidth="1"/>
    <col min="62" max="62" width="25.7109375" style="24" customWidth="1"/>
    <col min="63" max="63" width="9.7109375" style="23" customWidth="1"/>
    <col min="64" max="64" width="15.7109375" style="24" customWidth="1"/>
    <col min="65" max="16384" width="11.42578125" style="13"/>
  </cols>
  <sheetData>
    <row r="1" spans="1:64" ht="60" x14ac:dyDescent="0.2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24</v>
      </c>
      <c r="Y1" s="12" t="s">
        <v>25</v>
      </c>
      <c r="Z1" s="12" t="s">
        <v>26</v>
      </c>
      <c r="AA1" s="12" t="s">
        <v>27</v>
      </c>
      <c r="AB1" s="12" t="s">
        <v>28</v>
      </c>
      <c r="AC1" s="12" t="s">
        <v>29</v>
      </c>
      <c r="AD1" s="12" t="s">
        <v>30</v>
      </c>
      <c r="AE1" s="12" t="s">
        <v>31</v>
      </c>
      <c r="AF1" s="12" t="s">
        <v>32</v>
      </c>
      <c r="AG1" s="12" t="s">
        <v>33</v>
      </c>
      <c r="AH1" s="12" t="s">
        <v>34</v>
      </c>
      <c r="AI1" s="12" t="s">
        <v>35</v>
      </c>
      <c r="AJ1" s="12" t="s">
        <v>36</v>
      </c>
      <c r="AK1" s="12" t="s">
        <v>37</v>
      </c>
      <c r="AL1" s="12" t="s">
        <v>38</v>
      </c>
      <c r="AM1" s="12" t="s">
        <v>39</v>
      </c>
      <c r="AN1" s="12" t="s">
        <v>40</v>
      </c>
      <c r="AO1" s="12" t="s">
        <v>41</v>
      </c>
      <c r="AP1" s="12" t="s">
        <v>42</v>
      </c>
      <c r="AQ1" s="12" t="s">
        <v>43</v>
      </c>
      <c r="AR1" s="12" t="s">
        <v>44</v>
      </c>
      <c r="AS1" s="12" t="s">
        <v>45</v>
      </c>
      <c r="AT1" s="12" t="s">
        <v>46</v>
      </c>
      <c r="AU1" s="12" t="s">
        <v>47</v>
      </c>
      <c r="AV1" s="12" t="s">
        <v>48</v>
      </c>
      <c r="AW1" s="12" t="s">
        <v>49</v>
      </c>
      <c r="AX1" s="12" t="s">
        <v>50</v>
      </c>
      <c r="AY1" s="12" t="s">
        <v>51</v>
      </c>
      <c r="AZ1" s="12" t="s">
        <v>52</v>
      </c>
      <c r="BA1" s="12" t="s">
        <v>53</v>
      </c>
      <c r="BB1" s="12" t="s">
        <v>54</v>
      </c>
      <c r="BC1" s="12" t="s">
        <v>55</v>
      </c>
      <c r="BD1" s="12" t="s">
        <v>56</v>
      </c>
      <c r="BE1" s="12" t="s">
        <v>57</v>
      </c>
      <c r="BF1" s="12" t="s">
        <v>58</v>
      </c>
      <c r="BG1" s="12" t="s">
        <v>59</v>
      </c>
      <c r="BH1" s="12" t="s">
        <v>60</v>
      </c>
      <c r="BI1" s="12" t="s">
        <v>61</v>
      </c>
      <c r="BJ1" s="12" t="s">
        <v>62</v>
      </c>
      <c r="BK1" s="10" t="s">
        <v>63</v>
      </c>
      <c r="BL1" s="10" t="s">
        <v>64</v>
      </c>
    </row>
    <row r="2" spans="1:64" ht="150" x14ac:dyDescent="0.25">
      <c r="A2" s="14" t="s">
        <v>65</v>
      </c>
      <c r="B2" s="14" t="s">
        <v>66</v>
      </c>
      <c r="C2" s="15">
        <v>45915.456250000003</v>
      </c>
      <c r="D2" s="14" t="s">
        <v>67</v>
      </c>
      <c r="E2" s="16" t="s">
        <v>68</v>
      </c>
      <c r="F2" s="14" t="s">
        <v>69</v>
      </c>
      <c r="G2" s="16" t="s">
        <v>68</v>
      </c>
      <c r="H2" s="14" t="s">
        <v>70</v>
      </c>
      <c r="I2" s="16" t="s">
        <v>68</v>
      </c>
      <c r="J2" s="16" t="s">
        <v>71</v>
      </c>
      <c r="K2" s="16" t="s">
        <v>72</v>
      </c>
      <c r="L2" s="14" t="s">
        <v>73</v>
      </c>
      <c r="M2" s="16" t="s">
        <v>74</v>
      </c>
      <c r="N2" s="14" t="s">
        <v>75</v>
      </c>
      <c r="O2" s="16" t="s">
        <v>76</v>
      </c>
      <c r="P2" s="16" t="s">
        <v>76</v>
      </c>
      <c r="Q2" s="16" t="s">
        <v>77</v>
      </c>
      <c r="R2" s="14" t="s">
        <v>78</v>
      </c>
      <c r="S2" s="14" t="s">
        <v>79</v>
      </c>
      <c r="T2" s="14" t="s">
        <v>80</v>
      </c>
      <c r="U2" s="14" t="s">
        <v>81</v>
      </c>
      <c r="V2" s="15">
        <v>45170</v>
      </c>
      <c r="W2" s="15">
        <v>45900</v>
      </c>
      <c r="X2" s="16" t="s">
        <v>82</v>
      </c>
      <c r="Y2" s="17" t="s">
        <v>83</v>
      </c>
      <c r="Z2" s="18" t="str">
        <f>VLOOKUP(Y2,'Axe 2 Règles de gestion'!$D$2:$F$66,3, FALSE)</f>
        <v>L'agent doit avoir atteint l'âge plancher égal à son âge d'ouverture des droits diminué de 2 années, soit 62 ans, à l'issue de la montée en charge de la réforme.</v>
      </c>
      <c r="AA2" s="17" t="s">
        <v>85</v>
      </c>
      <c r="AB2" s="18" t="str">
        <f>VLOOKUP(AA2,'Axe 2 Règles de gestion'!$D$2:$F$66,3, FALSE)</f>
        <v>La condition d'age s'applique pour l'ensemble des agents sédentaires, actifs ou superactifs.</v>
      </c>
      <c r="AC2" s="17" t="s">
        <v>87</v>
      </c>
      <c r="AD2" s="18" t="str">
        <f>VLOOKUP(AC2,'Axe 2 Règles de gestion'!$D$2:$F$66,3, FALSE)</f>
        <v>L'agent doit justifier d'une durée d'assurance et de périodes reconnues équivalentes fixée à 150 trimestres auprès d'une ou plusieurs caisses de retraite de base.</v>
      </c>
      <c r="AE2" s="17" t="s">
        <v>89</v>
      </c>
      <c r="AF2" s="18" t="str">
        <f>VLOOKUP(AE2,'Axe 2 Règles de gestion'!$D$2:$F$66,3, FALSE)</f>
        <v>L'agent ne peut pas exercer d'activité accessoire.</v>
      </c>
      <c r="AG2" s="17" t="s">
        <v>91</v>
      </c>
      <c r="AH2" s="18" t="str">
        <f>VLOOKUP(AG2,'Axe 2 Règles de gestion'!$D$2:$F$66,3, FALSE)</f>
        <v>L'agent doit bénéficier d'une autorisation de temps partiel.</v>
      </c>
      <c r="AI2" s="17" t="s">
        <v>93</v>
      </c>
      <c r="AJ2" s="18" t="str">
        <f>VLOOKUP(AI2,'Axe 2 Règles de gestion'!$D$2:$F$66,3, FALSE)</f>
        <v>Les modalités de service à temps partiel éligibles sont : le temps partiel sur autorisation, de droit pour soins à conjoint, enfant, ascendant, de droit à l'occasion d'une naissance ou d'une adoption, de droit au profit des travailleurs handicapés.</v>
      </c>
      <c r="AK2" s="17" t="s">
        <v>95</v>
      </c>
      <c r="AL2" s="18" t="str">
        <f>VLOOKUP(AK2,'Axe 2 Règles de gestion'!$D$2:$F$66,3, FALSE)</f>
        <v>L'agent effectue sa demande de retraite progressive auprès du service des retraites de l'Etat.</v>
      </c>
      <c r="AM2" s="17" t="s">
        <v>97</v>
      </c>
      <c r="AN2" s="18" t="str">
        <f>VLOOKUP(AM2,'Axe 2 Règles de gestion'!$D$2:$F$66,3, FALSE)</f>
        <v>La demande contient la date d'effet souhaitée de la retraite progressive qui ne peut pas être antérieure à la date de cette demande.</v>
      </c>
      <c r="AO2" s="17" t="s">
        <v>99</v>
      </c>
      <c r="AP2" s="18" t="str">
        <f>VLOOKUP(AO2,'Axe 2 Règles de gestion'!$D$2:$F$66,3, FALSE)</f>
        <v>La demande de temps partiel et de retraite progressive doivent être effectuées par l'agent au moins 6 mois avant la date de départ en retraite progressive souhaitée.</v>
      </c>
      <c r="AQ2" s="17" t="s">
        <v>101</v>
      </c>
      <c r="AR2" s="18" t="str">
        <f>VLOOKUP(AQ2,'Axe 2 Règles de gestion'!$D$2:$F$66,3, FALSE)</f>
        <v>L'administration doit transmettre au moins 4 mois avant la date d'effet souhaitée l'autorisation de travail à temps partiel au service des retraites de l'Etat.</v>
      </c>
      <c r="AS2" s="17" t="s">
        <v>103</v>
      </c>
      <c r="AT2" s="18" t="str">
        <f>VLOOKUP(AS2,'Axe 2 Règles de gestion'!$D$2:$F$66,3, FALSE)</f>
        <v>Si l'agent bénéficie déjà d'un temps partiel au moment où il fait la demande de retraite progressive, il doit l'indiquer dans sa demande.</v>
      </c>
      <c r="AU2" s="17" t="s">
        <v>105</v>
      </c>
      <c r="AV2" s="18" t="str">
        <f>VLOOKUP(AU2,'Axe 2 Règles de gestion'!$D$2:$F$66,3, FALSE)</f>
        <v>La retraite progressive est notifiée à l'agent 1 mois avant la date d'effet souhaitée.</v>
      </c>
      <c r="AW2" s="17" t="s">
        <v>107</v>
      </c>
      <c r="AX2" s="18" t="str">
        <f>VLOOKUP(AW2,'Axe 2 Règles de gestion'!$D$2:$F$66,3, FALSE)</f>
        <v>L'agent doit bénéficier d'une autorisation de temps partiel : temps partiel sur autorisation, de droit pour soins à conjoint, enfant, ascendant, de droit à l'occasion d'une naissance ou d'une adoption, de droit au profit des travailleurs handicapés.</v>
      </c>
      <c r="AY2" s="17" t="s">
        <v>109</v>
      </c>
      <c r="AZ2" s="18" t="str">
        <f>VLOOKUP(AY2,'Axe 2 Règles de gestion'!$D$2:$F$66,3, FALSE)</f>
        <v>L'agent né à partir du 1er janvier 1968 doit avoir au moins 62 ans à la date de début de la retraite progressive.</v>
      </c>
      <c r="BA2" s="17" t="s">
        <v>111</v>
      </c>
      <c r="BB2" s="18" t="str">
        <f>VLOOKUP(BA2,'Axe 2 Règles de gestion'!$D$2:$F$66,3, FALSE)</f>
        <v>La date de début de la retraite progressive doit être postérieure ou égale à la date d'entrée dans la FPE ou dans la carrière militaire.</v>
      </c>
      <c r="BC2" s="17" t="s">
        <v>113</v>
      </c>
      <c r="BD2" s="18" t="str">
        <f>VLOOKUP(BC2,'Axe 2 Règles de gestion'!$D$2:$F$66,3, FALSE)</f>
        <v>La date de début de la retraite progressive doit être antérieure ou égale à la date de fin de la retraite progressive.</v>
      </c>
      <c r="BE2" s="17" t="s">
        <v>115</v>
      </c>
      <c r="BF2" s="18" t="str">
        <f>VLOOKUP(BE2,'Axe 2 Règles de gestion'!$D$2:$F$66,3, FALSE)</f>
        <v>La date de fin de la retraite progressive doit être antérieure à la date limite de départ à la retraite.</v>
      </c>
      <c r="BG2" s="17"/>
      <c r="BH2" s="18"/>
      <c r="BI2" s="17"/>
      <c r="BJ2" s="18"/>
      <c r="BK2" s="14" t="s">
        <v>76</v>
      </c>
      <c r="BL2" s="16" t="s">
        <v>76</v>
      </c>
    </row>
    <row r="3" spans="1:64" ht="150" x14ac:dyDescent="0.25">
      <c r="A3" s="14" t="s">
        <v>65</v>
      </c>
      <c r="B3" s="14" t="s">
        <v>117</v>
      </c>
      <c r="C3" s="15">
        <v>45915.461111111108</v>
      </c>
      <c r="D3" s="14" t="s">
        <v>67</v>
      </c>
      <c r="E3" s="16" t="s">
        <v>68</v>
      </c>
      <c r="F3" s="14" t="s">
        <v>69</v>
      </c>
      <c r="G3" s="16" t="s">
        <v>68</v>
      </c>
      <c r="H3" s="14" t="s">
        <v>70</v>
      </c>
      <c r="I3" s="16" t="s">
        <v>68</v>
      </c>
      <c r="J3" s="16" t="s">
        <v>71</v>
      </c>
      <c r="K3" s="16" t="s">
        <v>72</v>
      </c>
      <c r="L3" s="14" t="s">
        <v>73</v>
      </c>
      <c r="M3" s="16" t="s">
        <v>74</v>
      </c>
      <c r="N3" s="14" t="s">
        <v>75</v>
      </c>
      <c r="O3" s="16" t="s">
        <v>76</v>
      </c>
      <c r="P3" s="16" t="s">
        <v>76</v>
      </c>
      <c r="Q3" s="16" t="s">
        <v>77</v>
      </c>
      <c r="R3" s="14" t="s">
        <v>78</v>
      </c>
      <c r="S3" s="14" t="s">
        <v>79</v>
      </c>
      <c r="T3" s="14" t="s">
        <v>80</v>
      </c>
      <c r="U3" s="14" t="s">
        <v>81</v>
      </c>
      <c r="V3" s="15">
        <v>45901</v>
      </c>
      <c r="W3" s="15"/>
      <c r="X3" s="16" t="s">
        <v>118</v>
      </c>
      <c r="Y3" s="17" t="s">
        <v>119</v>
      </c>
      <c r="Z3" s="18" t="str">
        <f>VLOOKUP(Y3,'Axe 2 Règles de gestion'!$D$2:$F$66,3, FALSE)</f>
        <v>L'agent doit avoir 60 ans au moins à l'ouverture du droit à la retraite progressive.</v>
      </c>
      <c r="AA3" s="17" t="s">
        <v>85</v>
      </c>
      <c r="AB3" s="18" t="str">
        <f>VLOOKUP(AA3,'Axe 2 Règles de gestion'!$D$2:$F$66,3, FALSE)</f>
        <v>La condition d'age s'applique pour l'ensemble des agents sédentaires, actifs ou superactifs.</v>
      </c>
      <c r="AC3" s="17" t="s">
        <v>87</v>
      </c>
      <c r="AD3" s="18" t="str">
        <f>VLOOKUP(AC3,'Axe 2 Règles de gestion'!$D$2:$F$66,3, FALSE)</f>
        <v>L'agent doit justifier d'une durée d'assurance et de périodes reconnues équivalentes fixée à 150 trimestres auprès d'une ou plusieurs caisses de retraite de base.</v>
      </c>
      <c r="AE3" s="17" t="s">
        <v>89</v>
      </c>
      <c r="AF3" s="18" t="str">
        <f>VLOOKUP(AE3,'Axe 2 Règles de gestion'!$D$2:$F$66,3, FALSE)</f>
        <v>L'agent ne peut pas exercer d'activité accessoire.</v>
      </c>
      <c r="AG3" s="17" t="s">
        <v>91</v>
      </c>
      <c r="AH3" s="18" t="str">
        <f>VLOOKUP(AG3,'Axe 2 Règles de gestion'!$D$2:$F$66,3, FALSE)</f>
        <v>L'agent doit bénéficier d'une autorisation de temps partiel.</v>
      </c>
      <c r="AI3" s="17" t="s">
        <v>93</v>
      </c>
      <c r="AJ3" s="18" t="str">
        <f>VLOOKUP(AI3,'Axe 2 Règles de gestion'!$D$2:$F$66,3, FALSE)</f>
        <v>Les modalités de service à temps partiel éligibles sont : le temps partiel sur autorisation, de droit pour soins à conjoint, enfant, ascendant, de droit à l'occasion d'une naissance ou d'une adoption, de droit au profit des travailleurs handicapés.</v>
      </c>
      <c r="AK3" s="17" t="s">
        <v>95</v>
      </c>
      <c r="AL3" s="18" t="str">
        <f>VLOOKUP(AK3,'Axe 2 Règles de gestion'!$D$2:$F$66,3, FALSE)</f>
        <v>L'agent effectue sa demande de retraite progressive auprès du service des retraites de l'Etat.</v>
      </c>
      <c r="AM3" s="17" t="s">
        <v>97</v>
      </c>
      <c r="AN3" s="18" t="str">
        <f>VLOOKUP(AM3,'Axe 2 Règles de gestion'!$D$2:$F$66,3, FALSE)</f>
        <v>La demande contient la date d'effet souhaitée de la retraite progressive qui ne peut pas être antérieure à la date de cette demande.</v>
      </c>
      <c r="AO3" s="17" t="s">
        <v>99</v>
      </c>
      <c r="AP3" s="18" t="str">
        <f>VLOOKUP(AO3,'Axe 2 Règles de gestion'!$D$2:$F$66,3, FALSE)</f>
        <v>La demande de temps partiel et de retraite progressive doivent être effectuées par l'agent au moins 6 mois avant la date de départ en retraite progressive souhaitée.</v>
      </c>
      <c r="AQ3" s="17" t="s">
        <v>101</v>
      </c>
      <c r="AR3" s="18" t="str">
        <f>VLOOKUP(AQ3,'Axe 2 Règles de gestion'!$D$2:$F$66,3, FALSE)</f>
        <v>L'administration doit transmettre au moins 4 mois avant la date d'effet souhaitée l'autorisation de travail à temps partiel au service des retraites de l'Etat.</v>
      </c>
      <c r="AS3" s="17" t="s">
        <v>103</v>
      </c>
      <c r="AT3" s="18" t="str">
        <f>VLOOKUP(AS3,'Axe 2 Règles de gestion'!$D$2:$F$66,3, FALSE)</f>
        <v>Si l'agent bénéficie déjà d'un temps partiel au moment où il fait la demande de retraite progressive, il doit l'indiquer dans sa demande.</v>
      </c>
      <c r="AU3" s="17" t="s">
        <v>105</v>
      </c>
      <c r="AV3" s="18" t="str">
        <f>VLOOKUP(AU3,'Axe 2 Règles de gestion'!$D$2:$F$66,3, FALSE)</f>
        <v>La retraite progressive est notifiée à l'agent 1 mois avant la date d'effet souhaitée.</v>
      </c>
      <c r="AW3" s="17" t="s">
        <v>107</v>
      </c>
      <c r="AX3" s="18" t="str">
        <f>VLOOKUP(AW3,'Axe 2 Règles de gestion'!$D$2:$F$66,3, FALSE)</f>
        <v>L'agent doit bénéficier d'une autorisation de temps partiel : temps partiel sur autorisation, de droit pour soins à conjoint, enfant, ascendant, de droit à l'occasion d'une naissance ou d'une adoption, de droit au profit des travailleurs handicapés.</v>
      </c>
      <c r="AY3" s="17" t="s">
        <v>121</v>
      </c>
      <c r="AZ3" s="18" t="str">
        <f>VLOOKUP(AY3,'Axe 2 Règles de gestion'!$D$2:$F$66,3, FALSE)</f>
        <v>L'âge d'ouverture du droit à la retraite progressive est égal à 60 ans.</v>
      </c>
      <c r="BA3" s="17" t="s">
        <v>111</v>
      </c>
      <c r="BB3" s="18" t="str">
        <f>VLOOKUP(BA3,'Axe 2 Règles de gestion'!$D$2:$F$66,3, FALSE)</f>
        <v>La date de début de la retraite progressive doit être postérieure ou égale à la date d'entrée dans la FPE ou dans la carrière militaire.</v>
      </c>
      <c r="BC3" s="17" t="s">
        <v>113</v>
      </c>
      <c r="BD3" s="18" t="str">
        <f>VLOOKUP(BC3,'Axe 2 Règles de gestion'!$D$2:$F$66,3, FALSE)</f>
        <v>La date de début de la retraite progressive doit être antérieure ou égale à la date de fin de la retraite progressive.</v>
      </c>
      <c r="BE3" s="17" t="s">
        <v>115</v>
      </c>
      <c r="BF3" s="18" t="str">
        <f>VLOOKUP(BE3,'Axe 2 Règles de gestion'!$D$2:$F$66,3, FALSE)</f>
        <v>La date de fin de la retraite progressive doit être antérieure à la date limite de départ à la retraite.</v>
      </c>
      <c r="BG3" s="17"/>
      <c r="BH3" s="18"/>
      <c r="BI3" s="17"/>
      <c r="BJ3" s="18"/>
      <c r="BK3" s="14" t="s">
        <v>76</v>
      </c>
      <c r="BL3" s="16" t="s">
        <v>76</v>
      </c>
    </row>
    <row r="4" spans="1:64" ht="150" x14ac:dyDescent="0.25">
      <c r="A4" s="14" t="s">
        <v>123</v>
      </c>
      <c r="B4" s="14" t="s">
        <v>117</v>
      </c>
      <c r="C4" s="15">
        <v>45622.508333333331</v>
      </c>
      <c r="D4" s="14" t="s">
        <v>67</v>
      </c>
      <c r="E4" s="16" t="s">
        <v>68</v>
      </c>
      <c r="F4" s="14" t="s">
        <v>69</v>
      </c>
      <c r="G4" s="16" t="s">
        <v>68</v>
      </c>
      <c r="H4" s="14" t="s">
        <v>70</v>
      </c>
      <c r="I4" s="16" t="s">
        <v>68</v>
      </c>
      <c r="J4" s="16" t="s">
        <v>71</v>
      </c>
      <c r="K4" s="16" t="s">
        <v>72</v>
      </c>
      <c r="L4" s="14" t="s">
        <v>124</v>
      </c>
      <c r="M4" s="16" t="s">
        <v>125</v>
      </c>
      <c r="N4" s="14" t="s">
        <v>126</v>
      </c>
      <c r="O4" s="16" t="s">
        <v>76</v>
      </c>
      <c r="P4" s="16" t="s">
        <v>76</v>
      </c>
      <c r="Q4" s="16" t="s">
        <v>77</v>
      </c>
      <c r="R4" s="14" t="s">
        <v>78</v>
      </c>
      <c r="S4" s="14" t="s">
        <v>79</v>
      </c>
      <c r="T4" s="14" t="s">
        <v>80</v>
      </c>
      <c r="U4" s="14" t="s">
        <v>81</v>
      </c>
      <c r="V4" s="15">
        <v>45170</v>
      </c>
      <c r="W4" s="15"/>
      <c r="X4" s="16" t="s">
        <v>127</v>
      </c>
      <c r="Y4" s="17" t="s">
        <v>128</v>
      </c>
      <c r="Z4" s="18" t="str">
        <f>VLOOKUP(Y4,'Axe 2 Règles de gestion'!$D$2:$F$66,3, FALSE)</f>
        <v>L'administration doit informer sans délai le service des retraites de l'Etat de toutes modifications (retour à temps plein, suspension, modification de la quotité de travail...) relatives à la retraite progressive.</v>
      </c>
      <c r="AA4" s="17" t="s">
        <v>130</v>
      </c>
      <c r="AB4" s="18" t="str">
        <f>VLOOKUP(AA4,'Axe 2 Règles de gestion'!$D$2:$F$66,3, FALSE)</f>
        <v>Dans certains cas, la retraite progressive peut être suspendue (période de formation au cours de laquelle l'agent exerce à temps plein).</v>
      </c>
      <c r="AC4" s="17" t="s">
        <v>132</v>
      </c>
      <c r="AD4" s="18" t="str">
        <f>VLOOKUP(AC4,'Axe 2 Règles de gestion'!$D$2:$F$66,3, FALSE)</f>
        <v>La suspension prend effet le 1er jour du mois suivant celui au cours duquel les conditions cessent d'être réunies ou le 1er jour du mois quand la suspension prend effet ce même jour.</v>
      </c>
      <c r="AE4" s="17" t="s">
        <v>134</v>
      </c>
      <c r="AF4" s="18" t="str">
        <f>VLOOKUP(AE4,'Axe 2 Règles de gestion'!$D$2:$F$66,3, FALSE)</f>
        <v>Si l'agent reprend une activité professionnelle à temps plein alors la retraite progressive cesse définitivement le 1er jour du mois suivant.</v>
      </c>
      <c r="AG4" s="17" t="s">
        <v>136</v>
      </c>
      <c r="AH4" s="18" t="str">
        <f>VLOOKUP(AG4,'Axe 2 Règles de gestion'!$D$2:$F$66,3, FALSE)</f>
        <v>Toutefois, si cette reprise intervient le 1er jour du mois, alors la cessation de la retraite progressive prend effet ce même jour.</v>
      </c>
      <c r="AI4" s="17" t="s">
        <v>138</v>
      </c>
      <c r="AJ4" s="18" t="str">
        <f>VLOOKUP(AI4,'Axe 2 Règles de gestion'!$D$2:$F$66,3, FALSE)</f>
        <v>Si l'agent demande sa retraite à taux plein, alors la retraite progressive cesse définitivement à compter de la date d'effet de la pension complète.</v>
      </c>
      <c r="AK4" s="17"/>
      <c r="AL4" s="18"/>
      <c r="AM4" s="17"/>
      <c r="AN4" s="18"/>
      <c r="AO4" s="17"/>
      <c r="AP4" s="18"/>
      <c r="AQ4" s="17"/>
      <c r="AR4" s="18"/>
      <c r="AS4" s="17"/>
      <c r="AT4" s="18"/>
      <c r="AU4" s="17"/>
      <c r="AV4" s="18"/>
      <c r="AW4" s="17" t="s">
        <v>107</v>
      </c>
      <c r="AX4" s="18" t="str">
        <f>VLOOKUP(AW4,'Axe 2 Règles de gestion'!$D$2:$F$66,3, FALSE)</f>
        <v>L'agent doit bénéficier d'une autorisation de temps partiel : temps partiel sur autorisation, de droit pour soins à conjoint, enfant, ascendant, de droit à l'occasion d'une naissance ou d'une adoption, de droit au profit des travailleurs handicapés.</v>
      </c>
      <c r="AY4" s="17"/>
      <c r="AZ4" s="18"/>
      <c r="BA4" s="17" t="s">
        <v>113</v>
      </c>
      <c r="BB4" s="18" t="str">
        <f>VLOOKUP(BA4,'Axe 2 Règles de gestion'!$D$2:$F$66,3, FALSE)</f>
        <v>La date de début de la retraite progressive doit être antérieure ou égale à la date de fin de la retraite progressive.</v>
      </c>
      <c r="BC4" s="17" t="s">
        <v>115</v>
      </c>
      <c r="BD4" s="18" t="str">
        <f>VLOOKUP(BC4,'Axe 2 Règles de gestion'!$D$2:$F$66,3, FALSE)</f>
        <v>La date de fin de la retraite progressive doit être antérieure à la date limite de départ à la retraite.</v>
      </c>
      <c r="BE4" s="17"/>
      <c r="BF4" s="18"/>
      <c r="BG4" s="17"/>
      <c r="BH4" s="18"/>
      <c r="BI4" s="17"/>
      <c r="BJ4" s="18"/>
      <c r="BK4" s="14" t="s">
        <v>76</v>
      </c>
      <c r="BL4" s="16" t="s">
        <v>76</v>
      </c>
    </row>
    <row r="5" spans="1:64" ht="45" x14ac:dyDescent="0.25">
      <c r="A5" s="14" t="s">
        <v>123</v>
      </c>
      <c r="B5" s="14" t="s">
        <v>117</v>
      </c>
      <c r="C5" s="15">
        <v>45622.507638888892</v>
      </c>
      <c r="D5" s="14" t="s">
        <v>67</v>
      </c>
      <c r="E5" s="16" t="s">
        <v>68</v>
      </c>
      <c r="F5" s="14" t="s">
        <v>69</v>
      </c>
      <c r="G5" s="16" t="s">
        <v>68</v>
      </c>
      <c r="H5" s="14" t="s">
        <v>70</v>
      </c>
      <c r="I5" s="16" t="s">
        <v>68</v>
      </c>
      <c r="J5" s="16" t="s">
        <v>71</v>
      </c>
      <c r="K5" s="16" t="s">
        <v>72</v>
      </c>
      <c r="L5" s="14" t="s">
        <v>73</v>
      </c>
      <c r="M5" s="16" t="s">
        <v>74</v>
      </c>
      <c r="N5" s="14" t="s">
        <v>75</v>
      </c>
      <c r="O5" s="16" t="s">
        <v>76</v>
      </c>
      <c r="P5" s="16" t="s">
        <v>76</v>
      </c>
      <c r="Q5" s="16" t="s">
        <v>140</v>
      </c>
      <c r="R5" s="14" t="s">
        <v>141</v>
      </c>
      <c r="S5" s="14" t="s">
        <v>66</v>
      </c>
      <c r="T5" s="14" t="s">
        <v>80</v>
      </c>
      <c r="U5" s="14" t="s">
        <v>142</v>
      </c>
      <c r="V5" s="15">
        <v>45170</v>
      </c>
      <c r="W5" s="15"/>
      <c r="X5" s="16" t="s">
        <v>76</v>
      </c>
      <c r="Y5" s="17"/>
      <c r="Z5" s="18"/>
      <c r="AA5" s="17"/>
      <c r="AB5" s="18"/>
      <c r="AC5" s="17"/>
      <c r="AD5" s="18"/>
      <c r="AE5" s="17"/>
      <c r="AF5" s="18"/>
      <c r="AG5" s="17"/>
      <c r="AH5" s="18"/>
      <c r="AI5" s="17"/>
      <c r="AJ5" s="18"/>
      <c r="AK5" s="17"/>
      <c r="AL5" s="18"/>
      <c r="AM5" s="17"/>
      <c r="AN5" s="18"/>
      <c r="AO5" s="17"/>
      <c r="AP5" s="18"/>
      <c r="AQ5" s="17"/>
      <c r="AR5" s="18"/>
      <c r="AS5" s="17"/>
      <c r="AT5" s="18"/>
      <c r="AU5" s="17"/>
      <c r="AV5" s="18"/>
      <c r="AW5" s="17"/>
      <c r="AX5" s="18"/>
      <c r="AY5" s="17"/>
      <c r="AZ5" s="18"/>
      <c r="BA5" s="17"/>
      <c r="BB5" s="18"/>
      <c r="BC5" s="17"/>
      <c r="BD5" s="18"/>
      <c r="BE5" s="17"/>
      <c r="BF5" s="18"/>
      <c r="BG5" s="17"/>
      <c r="BH5" s="18"/>
      <c r="BI5" s="17"/>
      <c r="BJ5" s="18"/>
      <c r="BK5" s="14" t="s">
        <v>76</v>
      </c>
      <c r="BL5" s="16" t="s">
        <v>76</v>
      </c>
    </row>
    <row r="6" spans="1:64" ht="45" x14ac:dyDescent="0.25">
      <c r="A6" s="14" t="s">
        <v>123</v>
      </c>
      <c r="B6" s="14" t="s">
        <v>117</v>
      </c>
      <c r="C6" s="15">
        <v>45622.508333333331</v>
      </c>
      <c r="D6" s="14" t="s">
        <v>67</v>
      </c>
      <c r="E6" s="16" t="s">
        <v>68</v>
      </c>
      <c r="F6" s="14" t="s">
        <v>69</v>
      </c>
      <c r="G6" s="16" t="s">
        <v>68</v>
      </c>
      <c r="H6" s="14" t="s">
        <v>70</v>
      </c>
      <c r="I6" s="16" t="s">
        <v>68</v>
      </c>
      <c r="J6" s="16" t="s">
        <v>71</v>
      </c>
      <c r="K6" s="16" t="s">
        <v>72</v>
      </c>
      <c r="L6" s="14" t="s">
        <v>124</v>
      </c>
      <c r="M6" s="16" t="s">
        <v>125</v>
      </c>
      <c r="N6" s="14" t="s">
        <v>126</v>
      </c>
      <c r="O6" s="16" t="s">
        <v>76</v>
      </c>
      <c r="P6" s="16" t="s">
        <v>76</v>
      </c>
      <c r="Q6" s="16" t="s">
        <v>140</v>
      </c>
      <c r="R6" s="14" t="s">
        <v>141</v>
      </c>
      <c r="S6" s="14" t="s">
        <v>66</v>
      </c>
      <c r="T6" s="14" t="s">
        <v>80</v>
      </c>
      <c r="U6" s="14" t="s">
        <v>142</v>
      </c>
      <c r="V6" s="15">
        <v>45170</v>
      </c>
      <c r="W6" s="15"/>
      <c r="X6" s="16" t="s">
        <v>76</v>
      </c>
      <c r="Y6" s="17"/>
      <c r="Z6" s="18"/>
      <c r="AA6" s="17"/>
      <c r="AB6" s="18"/>
      <c r="AC6" s="17"/>
      <c r="AD6" s="18"/>
      <c r="AE6" s="17"/>
      <c r="AF6" s="18"/>
      <c r="AG6" s="17"/>
      <c r="AH6" s="18"/>
      <c r="AI6" s="17"/>
      <c r="AJ6" s="18"/>
      <c r="AK6" s="17"/>
      <c r="AL6" s="18"/>
      <c r="AM6" s="17"/>
      <c r="AN6" s="18"/>
      <c r="AO6" s="17"/>
      <c r="AP6" s="18"/>
      <c r="AQ6" s="17"/>
      <c r="AR6" s="18"/>
      <c r="AS6" s="17"/>
      <c r="AT6" s="18"/>
      <c r="AU6" s="17"/>
      <c r="AV6" s="18"/>
      <c r="AW6" s="17"/>
      <c r="AX6" s="18"/>
      <c r="AY6" s="17"/>
      <c r="AZ6" s="18"/>
      <c r="BA6" s="17"/>
      <c r="BB6" s="18"/>
      <c r="BC6" s="17"/>
      <c r="BD6" s="18"/>
      <c r="BE6" s="17"/>
      <c r="BF6" s="18"/>
      <c r="BG6" s="17"/>
      <c r="BH6" s="18"/>
      <c r="BI6" s="17"/>
      <c r="BJ6" s="18"/>
      <c r="BK6" s="14" t="s">
        <v>76</v>
      </c>
      <c r="BL6" s="16" t="s">
        <v>76</v>
      </c>
    </row>
    <row r="7" spans="1:64" ht="150" x14ac:dyDescent="0.25">
      <c r="A7" s="14" t="s">
        <v>143</v>
      </c>
      <c r="B7" s="14" t="s">
        <v>66</v>
      </c>
      <c r="C7" s="15">
        <v>45779.490277777775</v>
      </c>
      <c r="D7" s="14" t="s">
        <v>67</v>
      </c>
      <c r="E7" s="16" t="s">
        <v>68</v>
      </c>
      <c r="F7" s="14" t="s">
        <v>69</v>
      </c>
      <c r="G7" s="16" t="s">
        <v>68</v>
      </c>
      <c r="H7" s="14" t="s">
        <v>70</v>
      </c>
      <c r="I7" s="16" t="s">
        <v>68</v>
      </c>
      <c r="J7" s="16" t="s">
        <v>71</v>
      </c>
      <c r="K7" s="16" t="s">
        <v>72</v>
      </c>
      <c r="L7" s="14" t="s">
        <v>73</v>
      </c>
      <c r="M7" s="16" t="s">
        <v>74</v>
      </c>
      <c r="N7" s="14" t="s">
        <v>75</v>
      </c>
      <c r="O7" s="16" t="s">
        <v>76</v>
      </c>
      <c r="P7" s="16" t="s">
        <v>76</v>
      </c>
      <c r="Q7" s="16" t="s">
        <v>144</v>
      </c>
      <c r="R7" s="14" t="s">
        <v>145</v>
      </c>
      <c r="S7" s="14" t="s">
        <v>146</v>
      </c>
      <c r="T7" s="14" t="s">
        <v>80</v>
      </c>
      <c r="U7" s="14" t="s">
        <v>81</v>
      </c>
      <c r="V7" s="15">
        <v>45170</v>
      </c>
      <c r="W7" s="15">
        <v>45709</v>
      </c>
      <c r="X7" s="16" t="s">
        <v>147</v>
      </c>
      <c r="Y7" s="17" t="s">
        <v>148</v>
      </c>
      <c r="Z7" s="18" t="str">
        <f>VLOOKUP(Y7,'Axe 2 Règles de gestion'!$D$2:$F$66,3, FALSE)</f>
        <v>L'agent doit avoir atteint l'âge plancher égal à son âge d'ouverture des droits diminué de 2 années, soit 62 ans, à l'issue de la montée en charge de la réforme.</v>
      </c>
      <c r="AA7" s="17" t="s">
        <v>149</v>
      </c>
      <c r="AB7" s="18" t="str">
        <f>VLOOKUP(AA7,'Axe 2 Règles de gestion'!$D$2:$F$66,3, FALSE)</f>
        <v>L'agent doit justifier d'une durée d'assurance et de périodes reconnues équivalentes fixée à 150 trimestres auprès d'une ou plusieurs caisses de retraite de base.</v>
      </c>
      <c r="AC7" s="17" t="s">
        <v>150</v>
      </c>
      <c r="AD7" s="18" t="str">
        <f>VLOOKUP(AC7,'Axe 2 Règles de gestion'!$D$2:$F$66,3, FALSE)</f>
        <v>L'agent doit effectuer une demande.</v>
      </c>
      <c r="AE7" s="17" t="s">
        <v>152</v>
      </c>
      <c r="AF7" s="18" t="str">
        <f>VLOOKUP(AE7,'Axe 2 Règles de gestion'!$D$2:$F$66,3, FALSE)</f>
        <v>Elle est accompagnée du contrat de travail, d'une déclaration sur l'honneur attestant qu'il n'exerce pas d'autre activité, d'une attestation de l'employeur indiquant la durée du travail à temps complet applicable et des 12 derniers bulletin de paie.</v>
      </c>
      <c r="AG7" s="17" t="s">
        <v>154</v>
      </c>
      <c r="AH7" s="18" t="str">
        <f>VLOOKUP(AG7,'Axe 2 Règles de gestion'!$D$2:$F$66,3, FALSE)</f>
        <v>L'agent doit adresser sa demande de retraite progressive à l'organisme, l'établissement ou le service gérant l'un des régimes auxquels il est affilié à la date de sa demande.</v>
      </c>
      <c r="AI7" s="17"/>
      <c r="AJ7" s="18"/>
      <c r="AK7" s="17"/>
      <c r="AL7" s="18"/>
      <c r="AM7" s="17"/>
      <c r="AN7" s="18"/>
      <c r="AO7" s="17"/>
      <c r="AP7" s="18"/>
      <c r="AQ7" s="17"/>
      <c r="AR7" s="18"/>
      <c r="AS7" s="17"/>
      <c r="AT7" s="18"/>
      <c r="AU7" s="17"/>
      <c r="AV7" s="18"/>
      <c r="AW7" s="17" t="s">
        <v>156</v>
      </c>
      <c r="AX7" s="18" t="str">
        <f>VLOOKUP(AW7,'Axe 2 Règles de gestion'!$D$2:$F$66,3, FALSE)</f>
        <v>L'agent doit être à temps partiel.</v>
      </c>
      <c r="AY7" s="17" t="s">
        <v>158</v>
      </c>
      <c r="AZ7" s="18" t="str">
        <f>VLOOKUP(AY7,'Axe 2 Règles de gestion'!$D$2:$F$66,3, FALSE)</f>
        <v>L'agent né à partir du 1er janvier 1968 doit avoir au moins 62 ans à la date de début de la retraite progressive.</v>
      </c>
      <c r="BA7" s="17" t="s">
        <v>111</v>
      </c>
      <c r="BB7" s="18" t="str">
        <f>VLOOKUP(BA7,'Axe 2 Règles de gestion'!$D$2:$F$66,3, FALSE)</f>
        <v>La date de début de la retraite progressive doit être postérieure ou égale à la date d'entrée dans la FPE ou dans la carrière militaire.</v>
      </c>
      <c r="BC7" s="17" t="s">
        <v>159</v>
      </c>
      <c r="BD7" s="18" t="str">
        <f>VLOOKUP(BC7,'Axe 2 Règles de gestion'!$D$2:$F$66,3, FALSE)</f>
        <v>La date de début de la retraite progressive doit être postérieure ou égale à la date de début du lien juridique.</v>
      </c>
      <c r="BE7" s="17" t="s">
        <v>113</v>
      </c>
      <c r="BF7" s="18" t="str">
        <f>VLOOKUP(BE7,'Axe 2 Règles de gestion'!$D$2:$F$66,3, FALSE)</f>
        <v>La date de début de la retraite progressive doit être antérieure ou égale à la date de fin de la retraite progressive.</v>
      </c>
      <c r="BG7" s="17" t="s">
        <v>115</v>
      </c>
      <c r="BH7" s="18" t="str">
        <f>VLOOKUP(BG7,'Axe 2 Règles de gestion'!$D$2:$F$66,3, FALSE)</f>
        <v>La date de fin de la retraite progressive doit être antérieure à la date limite de départ à la retraite.</v>
      </c>
      <c r="BI7" s="17" t="s">
        <v>161</v>
      </c>
      <c r="BJ7" s="18" t="str">
        <f>VLOOKUP(BI7,'Axe 2 Règles de gestion'!$D$2:$F$66,3, FALSE)</f>
        <v>La date de fin de la retraite progressive doit être antérieure ou égale à la date de fin du lien juridique.</v>
      </c>
      <c r="BK7" s="14" t="s">
        <v>76</v>
      </c>
      <c r="BL7" s="16" t="s">
        <v>76</v>
      </c>
    </row>
    <row r="8" spans="1:64" ht="150" x14ac:dyDescent="0.25">
      <c r="A8" s="14" t="s">
        <v>65</v>
      </c>
      <c r="B8" s="14" t="s">
        <v>66</v>
      </c>
      <c r="C8" s="15">
        <v>45915.459722222222</v>
      </c>
      <c r="D8" s="14" t="s">
        <v>67</v>
      </c>
      <c r="E8" s="16" t="s">
        <v>68</v>
      </c>
      <c r="F8" s="14" t="s">
        <v>69</v>
      </c>
      <c r="G8" s="16" t="s">
        <v>68</v>
      </c>
      <c r="H8" s="14" t="s">
        <v>70</v>
      </c>
      <c r="I8" s="16" t="s">
        <v>68</v>
      </c>
      <c r="J8" s="16" t="s">
        <v>71</v>
      </c>
      <c r="K8" s="16" t="s">
        <v>72</v>
      </c>
      <c r="L8" s="14" t="s">
        <v>73</v>
      </c>
      <c r="M8" s="16" t="s">
        <v>74</v>
      </c>
      <c r="N8" s="14" t="s">
        <v>75</v>
      </c>
      <c r="O8" s="16" t="s">
        <v>76</v>
      </c>
      <c r="P8" s="16" t="s">
        <v>76</v>
      </c>
      <c r="Q8" s="16" t="s">
        <v>144</v>
      </c>
      <c r="R8" s="14" t="s">
        <v>145</v>
      </c>
      <c r="S8" s="14" t="s">
        <v>146</v>
      </c>
      <c r="T8" s="14" t="s">
        <v>80</v>
      </c>
      <c r="U8" s="14" t="s">
        <v>81</v>
      </c>
      <c r="V8" s="15">
        <v>45710</v>
      </c>
      <c r="W8" s="15">
        <v>45900</v>
      </c>
      <c r="X8" s="16" t="s">
        <v>163</v>
      </c>
      <c r="Y8" s="17" t="s">
        <v>148</v>
      </c>
      <c r="Z8" s="18" t="str">
        <f>VLOOKUP(Y8,'Axe 2 Règles de gestion'!$D$2:$F$66,3, FALSE)</f>
        <v>L'agent doit avoir atteint l'âge plancher égal à son âge d'ouverture des droits diminué de 2 années, soit 62 ans, à l'issue de la montée en charge de la réforme.</v>
      </c>
      <c r="AA8" s="17" t="s">
        <v>149</v>
      </c>
      <c r="AB8" s="18" t="str">
        <f>VLOOKUP(AA8,'Axe 2 Règles de gestion'!$D$2:$F$66,3, FALSE)</f>
        <v>L'agent doit justifier d'une durée d'assurance et de périodes reconnues équivalentes fixée à 150 trimestres auprès d'une ou plusieurs caisses de retraite de base.</v>
      </c>
      <c r="AC8" s="17" t="s">
        <v>150</v>
      </c>
      <c r="AD8" s="18" t="str">
        <f>VLOOKUP(AC8,'Axe 2 Règles de gestion'!$D$2:$F$66,3, FALSE)</f>
        <v>L'agent doit effectuer une demande.</v>
      </c>
      <c r="AE8" s="17" t="s">
        <v>152</v>
      </c>
      <c r="AF8" s="18" t="str">
        <f>VLOOKUP(AE8,'Axe 2 Règles de gestion'!$D$2:$F$66,3, FALSE)</f>
        <v>Elle est accompagnée du contrat de travail, d'une déclaration sur l'honneur attestant qu'il n'exerce pas d'autre activité, d'une attestation de l'employeur indiquant la durée du travail à temps complet applicable et des 12 derniers bulletin de paie.</v>
      </c>
      <c r="AG8" s="17" t="s">
        <v>164</v>
      </c>
      <c r="AH8" s="18" t="str">
        <f>VLOOKUP(AG8,'Axe 2 Règles de gestion'!$D$2:$F$66,3, FALSE)</f>
        <v>L'agent doit adresser sa demande de retraite progressive au moyen d'un formulaire commun à l'organisme, l'établissement ou le service gérant l'un des régimes auxquels il est affilié à la date de sa demande.</v>
      </c>
      <c r="AI8" s="17" t="s">
        <v>166</v>
      </c>
      <c r="AJ8" s="18" t="str">
        <f>VLOOKUP(AI8,'Axe 2 Règles de gestion'!$D$2:$F$66,3, FALSE)</f>
        <v>L'agent reçoit un récépissé de sa demande et des pièces qui l'accompagnent.</v>
      </c>
      <c r="AK8" s="17"/>
      <c r="AL8" s="18"/>
      <c r="AM8" s="17"/>
      <c r="AN8" s="18"/>
      <c r="AO8" s="17"/>
      <c r="AP8" s="18"/>
      <c r="AQ8" s="17"/>
      <c r="AR8" s="18"/>
      <c r="AS8" s="17"/>
      <c r="AT8" s="18"/>
      <c r="AU8" s="17"/>
      <c r="AV8" s="18"/>
      <c r="AW8" s="17" t="s">
        <v>156</v>
      </c>
      <c r="AX8" s="18" t="str">
        <f>VLOOKUP(AW8,'Axe 2 Règles de gestion'!$D$2:$F$66,3, FALSE)</f>
        <v>L'agent doit être à temps partiel.</v>
      </c>
      <c r="AY8" s="17" t="s">
        <v>158</v>
      </c>
      <c r="AZ8" s="18" t="str">
        <f>VLOOKUP(AY8,'Axe 2 Règles de gestion'!$D$2:$F$66,3, FALSE)</f>
        <v>L'agent né à partir du 1er janvier 1968 doit avoir au moins 62 ans à la date de début de la retraite progressive.</v>
      </c>
      <c r="BA8" s="17" t="s">
        <v>111</v>
      </c>
      <c r="BB8" s="18" t="str">
        <f>VLOOKUP(BA8,'Axe 2 Règles de gestion'!$D$2:$F$66,3, FALSE)</f>
        <v>La date de début de la retraite progressive doit être postérieure ou égale à la date d'entrée dans la FPE ou dans la carrière militaire.</v>
      </c>
      <c r="BC8" s="17" t="s">
        <v>159</v>
      </c>
      <c r="BD8" s="18" t="str">
        <f>VLOOKUP(BC8,'Axe 2 Règles de gestion'!$D$2:$F$66,3, FALSE)</f>
        <v>La date de début de la retraite progressive doit être postérieure ou égale à la date de début du lien juridique.</v>
      </c>
      <c r="BE8" s="17" t="s">
        <v>113</v>
      </c>
      <c r="BF8" s="18" t="str">
        <f>VLOOKUP(BE8,'Axe 2 Règles de gestion'!$D$2:$F$66,3, FALSE)</f>
        <v>La date de début de la retraite progressive doit être antérieure ou égale à la date de fin de la retraite progressive.</v>
      </c>
      <c r="BG8" s="17" t="s">
        <v>115</v>
      </c>
      <c r="BH8" s="18" t="str">
        <f>VLOOKUP(BG8,'Axe 2 Règles de gestion'!$D$2:$F$66,3, FALSE)</f>
        <v>La date de fin de la retraite progressive doit être antérieure à la date limite de départ à la retraite.</v>
      </c>
      <c r="BI8" s="17" t="s">
        <v>161</v>
      </c>
      <c r="BJ8" s="18" t="str">
        <f>VLOOKUP(BI8,'Axe 2 Règles de gestion'!$D$2:$F$66,3, FALSE)</f>
        <v>La date de fin de la retraite progressive doit être antérieure ou égale à la date de fin du lien juridique.</v>
      </c>
      <c r="BK8" s="14" t="s">
        <v>76</v>
      </c>
      <c r="BL8" s="16" t="s">
        <v>76</v>
      </c>
    </row>
    <row r="9" spans="1:64" ht="150" x14ac:dyDescent="0.25">
      <c r="A9" s="14" t="s">
        <v>65</v>
      </c>
      <c r="B9" s="14" t="s">
        <v>117</v>
      </c>
      <c r="C9" s="15">
        <v>45915.460416666669</v>
      </c>
      <c r="D9" s="14" t="s">
        <v>67</v>
      </c>
      <c r="E9" s="16" t="s">
        <v>68</v>
      </c>
      <c r="F9" s="14" t="s">
        <v>69</v>
      </c>
      <c r="G9" s="16" t="s">
        <v>68</v>
      </c>
      <c r="H9" s="14" t="s">
        <v>70</v>
      </c>
      <c r="I9" s="16" t="s">
        <v>68</v>
      </c>
      <c r="J9" s="16" t="s">
        <v>71</v>
      </c>
      <c r="K9" s="16" t="s">
        <v>72</v>
      </c>
      <c r="L9" s="14" t="s">
        <v>73</v>
      </c>
      <c r="M9" s="16" t="s">
        <v>74</v>
      </c>
      <c r="N9" s="14" t="s">
        <v>75</v>
      </c>
      <c r="O9" s="16" t="s">
        <v>76</v>
      </c>
      <c r="P9" s="16" t="s">
        <v>76</v>
      </c>
      <c r="Q9" s="16" t="s">
        <v>144</v>
      </c>
      <c r="R9" s="14" t="s">
        <v>145</v>
      </c>
      <c r="S9" s="14" t="s">
        <v>146</v>
      </c>
      <c r="T9" s="14" t="s">
        <v>80</v>
      </c>
      <c r="U9" s="14" t="s">
        <v>81</v>
      </c>
      <c r="V9" s="15">
        <v>45901</v>
      </c>
      <c r="W9" s="15"/>
      <c r="X9" s="16" t="s">
        <v>168</v>
      </c>
      <c r="Y9" s="17" t="s">
        <v>169</v>
      </c>
      <c r="Z9" s="18" t="str">
        <f>VLOOKUP(Y9,'Axe 2 Règles de gestion'!$D$2:$F$66,3, FALSE)</f>
        <v>L'agent doit avoir 60 ans au moins à l'ouverture du droit à la retraite progressive.</v>
      </c>
      <c r="AA9" s="17" t="s">
        <v>149</v>
      </c>
      <c r="AB9" s="18" t="str">
        <f>VLOOKUP(AA9,'Axe 2 Règles de gestion'!$D$2:$F$66,3, FALSE)</f>
        <v>L'agent doit justifier d'une durée d'assurance et de périodes reconnues équivalentes fixée à 150 trimestres auprès d'une ou plusieurs caisses de retraite de base.</v>
      </c>
      <c r="AC9" s="17" t="s">
        <v>150</v>
      </c>
      <c r="AD9" s="18" t="str">
        <f>VLOOKUP(AC9,'Axe 2 Règles de gestion'!$D$2:$F$66,3, FALSE)</f>
        <v>L'agent doit effectuer une demande.</v>
      </c>
      <c r="AE9" s="17" t="s">
        <v>152</v>
      </c>
      <c r="AF9" s="18" t="str">
        <f>VLOOKUP(AE9,'Axe 2 Règles de gestion'!$D$2:$F$66,3, FALSE)</f>
        <v>Elle est accompagnée du contrat de travail, d'une déclaration sur l'honneur attestant qu'il n'exerce pas d'autre activité, d'une attestation de l'employeur indiquant la durée du travail à temps complet applicable et des 12 derniers bulletin de paie.</v>
      </c>
      <c r="AG9" s="17" t="s">
        <v>164</v>
      </c>
      <c r="AH9" s="18" t="str">
        <f>VLOOKUP(AG9,'Axe 2 Règles de gestion'!$D$2:$F$66,3, FALSE)</f>
        <v>L'agent doit adresser sa demande de retraite progressive au moyen d'un formulaire commun à l'organisme, l'établissement ou le service gérant l'un des régimes auxquels il est affilié à la date de sa demande.</v>
      </c>
      <c r="AI9" s="17" t="s">
        <v>166</v>
      </c>
      <c r="AJ9" s="18" t="str">
        <f>VLOOKUP(AI9,'Axe 2 Règles de gestion'!$D$2:$F$66,3, FALSE)</f>
        <v>L'agent reçoit un récépissé de sa demande et des pièces qui l'accompagnent.</v>
      </c>
      <c r="AK9" s="17"/>
      <c r="AL9" s="18"/>
      <c r="AM9" s="17"/>
      <c r="AN9" s="18"/>
      <c r="AO9" s="17"/>
      <c r="AP9" s="18"/>
      <c r="AQ9" s="17"/>
      <c r="AR9" s="18"/>
      <c r="AS9" s="17"/>
      <c r="AT9" s="18"/>
      <c r="AU9" s="17"/>
      <c r="AV9" s="18"/>
      <c r="AW9" s="17" t="s">
        <v>156</v>
      </c>
      <c r="AX9" s="18" t="str">
        <f>VLOOKUP(AW9,'Axe 2 Règles de gestion'!$D$2:$F$66,3, FALSE)</f>
        <v>L'agent doit être à temps partiel.</v>
      </c>
      <c r="AY9" s="17" t="s">
        <v>170</v>
      </c>
      <c r="AZ9" s="18" t="str">
        <f>VLOOKUP(AY9,'Axe 2 Règles de gestion'!$D$2:$F$66,3, FALSE)</f>
        <v>L'âge d'ouverture du droit à la retraite progressive est égal à 60 ans.</v>
      </c>
      <c r="BA9" s="17" t="s">
        <v>111</v>
      </c>
      <c r="BB9" s="18" t="str">
        <f>VLOOKUP(BA9,'Axe 2 Règles de gestion'!$D$2:$F$66,3, FALSE)</f>
        <v>La date de début de la retraite progressive doit être postérieure ou égale à la date d'entrée dans la FPE ou dans la carrière militaire.</v>
      </c>
      <c r="BC9" s="17" t="s">
        <v>159</v>
      </c>
      <c r="BD9" s="18" t="str">
        <f>VLOOKUP(BC9,'Axe 2 Règles de gestion'!$D$2:$F$66,3, FALSE)</f>
        <v>La date de début de la retraite progressive doit être postérieure ou égale à la date de début du lien juridique.</v>
      </c>
      <c r="BE9" s="17" t="s">
        <v>113</v>
      </c>
      <c r="BF9" s="18" t="str">
        <f>VLOOKUP(BE9,'Axe 2 Règles de gestion'!$D$2:$F$66,3, FALSE)</f>
        <v>La date de début de la retraite progressive doit être antérieure ou égale à la date de fin de la retraite progressive.</v>
      </c>
      <c r="BG9" s="17" t="s">
        <v>115</v>
      </c>
      <c r="BH9" s="18" t="str">
        <f>VLOOKUP(BG9,'Axe 2 Règles de gestion'!$D$2:$F$66,3, FALSE)</f>
        <v>La date de fin de la retraite progressive doit être antérieure à la date limite de départ à la retraite.</v>
      </c>
      <c r="BI9" s="17" t="s">
        <v>161</v>
      </c>
      <c r="BJ9" s="18" t="str">
        <f>VLOOKUP(BI9,'Axe 2 Règles de gestion'!$D$2:$F$66,3, FALSE)</f>
        <v>La date de fin de la retraite progressive doit être antérieure ou égale à la date de fin du lien juridique.</v>
      </c>
      <c r="BK9" s="14" t="s">
        <v>76</v>
      </c>
      <c r="BL9" s="16" t="s">
        <v>76</v>
      </c>
    </row>
    <row r="10" spans="1:64" ht="90" x14ac:dyDescent="0.25">
      <c r="A10" s="14" t="s">
        <v>123</v>
      </c>
      <c r="B10" s="14" t="s">
        <v>117</v>
      </c>
      <c r="C10" s="15">
        <v>45623.563888888886</v>
      </c>
      <c r="D10" s="14" t="s">
        <v>67</v>
      </c>
      <c r="E10" s="16" t="s">
        <v>68</v>
      </c>
      <c r="F10" s="14" t="s">
        <v>69</v>
      </c>
      <c r="G10" s="16" t="s">
        <v>68</v>
      </c>
      <c r="H10" s="14" t="s">
        <v>70</v>
      </c>
      <c r="I10" s="16" t="s">
        <v>68</v>
      </c>
      <c r="J10" s="16" t="s">
        <v>71</v>
      </c>
      <c r="K10" s="16" t="s">
        <v>72</v>
      </c>
      <c r="L10" s="14" t="s">
        <v>124</v>
      </c>
      <c r="M10" s="16" t="s">
        <v>125</v>
      </c>
      <c r="N10" s="14" t="s">
        <v>126</v>
      </c>
      <c r="O10" s="16" t="s">
        <v>76</v>
      </c>
      <c r="P10" s="16" t="s">
        <v>76</v>
      </c>
      <c r="Q10" s="16" t="s">
        <v>144</v>
      </c>
      <c r="R10" s="14" t="s">
        <v>145</v>
      </c>
      <c r="S10" s="14" t="s">
        <v>146</v>
      </c>
      <c r="T10" s="14" t="s">
        <v>80</v>
      </c>
      <c r="U10" s="14" t="s">
        <v>81</v>
      </c>
      <c r="V10" s="15">
        <v>45170</v>
      </c>
      <c r="W10" s="15"/>
      <c r="X10" s="16" t="s">
        <v>171</v>
      </c>
      <c r="Y10" s="17" t="s">
        <v>172</v>
      </c>
      <c r="Z10" s="18" t="str">
        <f>VLOOKUP(Y10,'Axe 2 Règles de gestion'!$D$2:$F$66,3, FALSE)</f>
        <v>L'agent informe sa caisse de retraite de toutes modifications impactant sa retraite progressive.</v>
      </c>
      <c r="AA10" s="17" t="s">
        <v>174</v>
      </c>
      <c r="AB10" s="18" t="str">
        <f>VLOOKUP(AA10,'Axe 2 Règles de gestion'!$D$2:$F$66,3, FALSE)</f>
        <v>Dans certains cas, la retraite progressive peut être suspendue.</v>
      </c>
      <c r="AC10" s="17" t="s">
        <v>176</v>
      </c>
      <c r="AD10" s="18" t="str">
        <f>VLOOKUP(AC10,'Axe 2 Règles de gestion'!$D$2:$F$66,3, FALSE)</f>
        <v>La suspension prend effet le 1er jour du mois suivant celui au cours duquel les conditions cessent d'être réunies.</v>
      </c>
      <c r="AE10" s="17" t="s">
        <v>178</v>
      </c>
      <c r="AF10" s="18" t="str">
        <f>VLOOKUP(AE10,'Axe 2 Règles de gestion'!$D$2:$F$66,3, FALSE)</f>
        <v>Si l'agent reprend une activité professionnelle à temps plein alors la retraite progressive cesse définitivement le 1er jour du mois suivant.</v>
      </c>
      <c r="AG10" s="17" t="s">
        <v>179</v>
      </c>
      <c r="AH10" s="18" t="str">
        <f>VLOOKUP(AG10,'Axe 2 Règles de gestion'!$D$2:$F$66,3, FALSE)</f>
        <v>Si l'agent demande sa retraite à taux plein, alors la retraite progressive cesse définitivement.</v>
      </c>
      <c r="AI10" s="17"/>
      <c r="AJ10" s="18"/>
      <c r="AK10" s="17"/>
      <c r="AL10" s="18"/>
      <c r="AM10" s="17"/>
      <c r="AN10" s="18"/>
      <c r="AO10" s="17"/>
      <c r="AP10" s="18"/>
      <c r="AQ10" s="17"/>
      <c r="AR10" s="18"/>
      <c r="AS10" s="17"/>
      <c r="AT10" s="18"/>
      <c r="AU10" s="17"/>
      <c r="AV10" s="18"/>
      <c r="AW10" s="17" t="s">
        <v>156</v>
      </c>
      <c r="AX10" s="18" t="str">
        <f>VLOOKUP(AW10,'Axe 2 Règles de gestion'!$D$2:$F$66,3, FALSE)</f>
        <v>L'agent doit être à temps partiel.</v>
      </c>
      <c r="AY10" s="17"/>
      <c r="AZ10" s="18"/>
      <c r="BA10" s="17" t="s">
        <v>113</v>
      </c>
      <c r="BB10" s="18" t="str">
        <f>VLOOKUP(BA10,'Axe 2 Règles de gestion'!$D$2:$F$66,3, FALSE)</f>
        <v>La date de début de la retraite progressive doit être antérieure ou égale à la date de fin de la retraite progressive.</v>
      </c>
      <c r="BC10" s="17" t="s">
        <v>115</v>
      </c>
      <c r="BD10" s="18" t="str">
        <f>VLOOKUP(BC10,'Axe 2 Règles de gestion'!$D$2:$F$66,3, FALSE)</f>
        <v>La date de fin de la retraite progressive doit être antérieure à la date limite de départ à la retraite.</v>
      </c>
      <c r="BE10" s="17" t="s">
        <v>161</v>
      </c>
      <c r="BF10" s="18" t="str">
        <f>VLOOKUP(BE10,'Axe 2 Règles de gestion'!$D$2:$F$66,3, FALSE)</f>
        <v>La date de fin de la retraite progressive doit être antérieure ou égale à la date de fin du lien juridique.</v>
      </c>
      <c r="BG10" s="17"/>
      <c r="BH10" s="18"/>
      <c r="BI10" s="17"/>
      <c r="BJ10" s="18"/>
      <c r="BK10" s="14" t="s">
        <v>76</v>
      </c>
      <c r="BL10" s="16" t="s">
        <v>76</v>
      </c>
    </row>
    <row r="11" spans="1:64" ht="150" x14ac:dyDescent="0.25">
      <c r="A11" s="14" t="s">
        <v>65</v>
      </c>
      <c r="B11" s="14" t="s">
        <v>66</v>
      </c>
      <c r="C11" s="15">
        <v>45915.456944444442</v>
      </c>
      <c r="D11" s="14" t="s">
        <v>67</v>
      </c>
      <c r="E11" s="16" t="s">
        <v>68</v>
      </c>
      <c r="F11" s="14" t="s">
        <v>69</v>
      </c>
      <c r="G11" s="16" t="s">
        <v>68</v>
      </c>
      <c r="H11" s="14" t="s">
        <v>70</v>
      </c>
      <c r="I11" s="16" t="s">
        <v>68</v>
      </c>
      <c r="J11" s="16" t="s">
        <v>71</v>
      </c>
      <c r="K11" s="16" t="s">
        <v>72</v>
      </c>
      <c r="L11" s="14" t="s">
        <v>73</v>
      </c>
      <c r="M11" s="16" t="s">
        <v>74</v>
      </c>
      <c r="N11" s="14" t="s">
        <v>75</v>
      </c>
      <c r="O11" s="16" t="s">
        <v>76</v>
      </c>
      <c r="P11" s="16" t="s">
        <v>76</v>
      </c>
      <c r="Q11" s="16" t="s">
        <v>181</v>
      </c>
      <c r="R11" s="14" t="s">
        <v>182</v>
      </c>
      <c r="S11" s="14" t="s">
        <v>183</v>
      </c>
      <c r="T11" s="14" t="s">
        <v>80</v>
      </c>
      <c r="U11" s="14" t="s">
        <v>81</v>
      </c>
      <c r="V11" s="15">
        <v>45170</v>
      </c>
      <c r="W11" s="15">
        <v>45900</v>
      </c>
      <c r="X11" s="16" t="s">
        <v>82</v>
      </c>
      <c r="Y11" s="17" t="s">
        <v>83</v>
      </c>
      <c r="Z11" s="18" t="str">
        <f>VLOOKUP(Y11,'Axe 2 Règles de gestion'!$D$2:$F$66,3, FALSE)</f>
        <v>L'agent doit avoir atteint l'âge plancher égal à son âge d'ouverture des droits diminué de 2 années, soit 62 ans, à l'issue de la montée en charge de la réforme.</v>
      </c>
      <c r="AA11" s="17" t="s">
        <v>85</v>
      </c>
      <c r="AB11" s="18" t="str">
        <f>VLOOKUP(AA11,'Axe 2 Règles de gestion'!$D$2:$F$66,3, FALSE)</f>
        <v>La condition d'age s'applique pour l'ensemble des agents sédentaires, actifs ou superactifs.</v>
      </c>
      <c r="AC11" s="17" t="s">
        <v>87</v>
      </c>
      <c r="AD11" s="18" t="str">
        <f>VLOOKUP(AC11,'Axe 2 Règles de gestion'!$D$2:$F$66,3, FALSE)</f>
        <v>L'agent doit justifier d'une durée d'assurance et de périodes reconnues équivalentes fixée à 150 trimestres auprès d'une ou plusieurs caisses de retraite de base.</v>
      </c>
      <c r="AE11" s="17" t="s">
        <v>89</v>
      </c>
      <c r="AF11" s="18" t="str">
        <f>VLOOKUP(AE11,'Axe 2 Règles de gestion'!$D$2:$F$66,3, FALSE)</f>
        <v>L'agent ne peut pas exercer d'activité accessoire.</v>
      </c>
      <c r="AG11" s="17" t="s">
        <v>91</v>
      </c>
      <c r="AH11" s="18" t="str">
        <f>VLOOKUP(AG11,'Axe 2 Règles de gestion'!$D$2:$F$66,3, FALSE)</f>
        <v>L'agent doit bénéficier d'une autorisation de temps partiel.</v>
      </c>
      <c r="AI11" s="17" t="s">
        <v>93</v>
      </c>
      <c r="AJ11" s="18" t="str">
        <f>VLOOKUP(AI11,'Axe 2 Règles de gestion'!$D$2:$F$66,3, FALSE)</f>
        <v>Les modalités de service à temps partiel éligibles sont : le temps partiel sur autorisation, de droit pour soins à conjoint, enfant, ascendant, de droit à l'occasion d'une naissance ou d'une adoption, de droit au profit des travailleurs handicapés.</v>
      </c>
      <c r="AK11" s="17" t="s">
        <v>95</v>
      </c>
      <c r="AL11" s="18" t="str">
        <f>VLOOKUP(AK11,'Axe 2 Règles de gestion'!$D$2:$F$66,3, FALSE)</f>
        <v>L'agent effectue sa demande de retraite progressive auprès du service des retraites de l'Etat.</v>
      </c>
      <c r="AM11" s="17" t="s">
        <v>97</v>
      </c>
      <c r="AN11" s="18" t="str">
        <f>VLOOKUP(AM11,'Axe 2 Règles de gestion'!$D$2:$F$66,3, FALSE)</f>
        <v>La demande contient la date d'effet souhaitée de la retraite progressive qui ne peut pas être antérieure à la date de cette demande.</v>
      </c>
      <c r="AO11" s="17" t="s">
        <v>99</v>
      </c>
      <c r="AP11" s="18" t="str">
        <f>VLOOKUP(AO11,'Axe 2 Règles de gestion'!$D$2:$F$66,3, FALSE)</f>
        <v>La demande de temps partiel et de retraite progressive doivent être effectuées par l'agent au moins 6 mois avant la date de départ en retraite progressive souhaitée.</v>
      </c>
      <c r="AQ11" s="17" t="s">
        <v>101</v>
      </c>
      <c r="AR11" s="18" t="str">
        <f>VLOOKUP(AQ11,'Axe 2 Règles de gestion'!$D$2:$F$66,3, FALSE)</f>
        <v>L'administration doit transmettre au moins 4 mois avant la date d'effet souhaitée l'autorisation de travail à temps partiel au service des retraites de l'Etat.</v>
      </c>
      <c r="AS11" s="17" t="s">
        <v>103</v>
      </c>
      <c r="AT11" s="18" t="str">
        <f>VLOOKUP(AS11,'Axe 2 Règles de gestion'!$D$2:$F$66,3, FALSE)</f>
        <v>Si l'agent bénéficie déjà d'un temps partiel au moment où il fait la demande de retraite progressive, il doit l'indiquer dans sa demande.</v>
      </c>
      <c r="AU11" s="17" t="s">
        <v>105</v>
      </c>
      <c r="AV11" s="18" t="str">
        <f>VLOOKUP(AU11,'Axe 2 Règles de gestion'!$D$2:$F$66,3, FALSE)</f>
        <v>La retraite progressive est notifiée à l'agent 1 mois avant la date d'effet souhaitée.</v>
      </c>
      <c r="AW11" s="17" t="s">
        <v>107</v>
      </c>
      <c r="AX11" s="18" t="str">
        <f>VLOOKUP(AW11,'Axe 2 Règles de gestion'!$D$2:$F$66,3, FALSE)</f>
        <v>L'agent doit bénéficier d'une autorisation de temps partiel : temps partiel sur autorisation, de droit pour soins à conjoint, enfant, ascendant, de droit à l'occasion d'une naissance ou d'une adoption, de droit au profit des travailleurs handicapés.</v>
      </c>
      <c r="AY11" s="17" t="s">
        <v>109</v>
      </c>
      <c r="AZ11" s="18" t="str">
        <f>VLOOKUP(AY11,'Axe 2 Règles de gestion'!$D$2:$F$66,3, FALSE)</f>
        <v>L'agent né à partir du 1er janvier 1968 doit avoir au moins 62 ans à la date de début de la retraite progressive.</v>
      </c>
      <c r="BA11" s="17" t="s">
        <v>111</v>
      </c>
      <c r="BB11" s="18" t="str">
        <f>VLOOKUP(BA11,'Axe 2 Règles de gestion'!$D$2:$F$66,3, FALSE)</f>
        <v>La date de début de la retraite progressive doit être postérieure ou égale à la date d'entrée dans la FPE ou dans la carrière militaire.</v>
      </c>
      <c r="BC11" s="17" t="s">
        <v>113</v>
      </c>
      <c r="BD11" s="18" t="str">
        <f>VLOOKUP(BC11,'Axe 2 Règles de gestion'!$D$2:$F$66,3, FALSE)</f>
        <v>La date de début de la retraite progressive doit être antérieure ou égale à la date de fin de la retraite progressive.</v>
      </c>
      <c r="BE11" s="17" t="s">
        <v>115</v>
      </c>
      <c r="BF11" s="18" t="str">
        <f>VLOOKUP(BE11,'Axe 2 Règles de gestion'!$D$2:$F$66,3, FALSE)</f>
        <v>La date de fin de la retraite progressive doit être antérieure à la date limite de départ à la retraite.</v>
      </c>
      <c r="BG11" s="17"/>
      <c r="BH11" s="18"/>
      <c r="BI11" s="17"/>
      <c r="BJ11" s="18"/>
      <c r="BK11" s="14" t="s">
        <v>76</v>
      </c>
      <c r="BL11" s="16" t="s">
        <v>76</v>
      </c>
    </row>
    <row r="12" spans="1:64" ht="150" x14ac:dyDescent="0.25">
      <c r="A12" s="14" t="s">
        <v>65</v>
      </c>
      <c r="B12" s="14" t="s">
        <v>117</v>
      </c>
      <c r="C12" s="15">
        <v>45915.461111111108</v>
      </c>
      <c r="D12" s="14" t="s">
        <v>67</v>
      </c>
      <c r="E12" s="16" t="s">
        <v>68</v>
      </c>
      <c r="F12" s="14" t="s">
        <v>69</v>
      </c>
      <c r="G12" s="16" t="s">
        <v>68</v>
      </c>
      <c r="H12" s="14" t="s">
        <v>70</v>
      </c>
      <c r="I12" s="16" t="s">
        <v>68</v>
      </c>
      <c r="J12" s="16" t="s">
        <v>71</v>
      </c>
      <c r="K12" s="16" t="s">
        <v>72</v>
      </c>
      <c r="L12" s="14" t="s">
        <v>73</v>
      </c>
      <c r="M12" s="16" t="s">
        <v>74</v>
      </c>
      <c r="N12" s="14" t="s">
        <v>75</v>
      </c>
      <c r="O12" s="16" t="s">
        <v>76</v>
      </c>
      <c r="P12" s="16" t="s">
        <v>76</v>
      </c>
      <c r="Q12" s="16" t="s">
        <v>181</v>
      </c>
      <c r="R12" s="14" t="s">
        <v>182</v>
      </c>
      <c r="S12" s="14" t="s">
        <v>183</v>
      </c>
      <c r="T12" s="14" t="s">
        <v>80</v>
      </c>
      <c r="U12" s="14" t="s">
        <v>81</v>
      </c>
      <c r="V12" s="15">
        <v>45901</v>
      </c>
      <c r="W12" s="15"/>
      <c r="X12" s="16" t="s">
        <v>118</v>
      </c>
      <c r="Y12" s="17" t="s">
        <v>119</v>
      </c>
      <c r="Z12" s="18" t="str">
        <f>VLOOKUP(Y12,'Axe 2 Règles de gestion'!$D$2:$F$66,3, FALSE)</f>
        <v>L'agent doit avoir 60 ans au moins à l'ouverture du droit à la retraite progressive.</v>
      </c>
      <c r="AA12" s="17" t="s">
        <v>85</v>
      </c>
      <c r="AB12" s="18" t="str">
        <f>VLOOKUP(AA12,'Axe 2 Règles de gestion'!$D$2:$F$66,3, FALSE)</f>
        <v>La condition d'age s'applique pour l'ensemble des agents sédentaires, actifs ou superactifs.</v>
      </c>
      <c r="AC12" s="17" t="s">
        <v>87</v>
      </c>
      <c r="AD12" s="18" t="str">
        <f>VLOOKUP(AC12,'Axe 2 Règles de gestion'!$D$2:$F$66,3, FALSE)</f>
        <v>L'agent doit justifier d'une durée d'assurance et de périodes reconnues équivalentes fixée à 150 trimestres auprès d'une ou plusieurs caisses de retraite de base.</v>
      </c>
      <c r="AE12" s="17" t="s">
        <v>89</v>
      </c>
      <c r="AF12" s="18" t="str">
        <f>VLOOKUP(AE12,'Axe 2 Règles de gestion'!$D$2:$F$66,3, FALSE)</f>
        <v>L'agent ne peut pas exercer d'activité accessoire.</v>
      </c>
      <c r="AG12" s="17" t="s">
        <v>91</v>
      </c>
      <c r="AH12" s="18" t="str">
        <f>VLOOKUP(AG12,'Axe 2 Règles de gestion'!$D$2:$F$66,3, FALSE)</f>
        <v>L'agent doit bénéficier d'une autorisation de temps partiel.</v>
      </c>
      <c r="AI12" s="17" t="s">
        <v>93</v>
      </c>
      <c r="AJ12" s="18" t="str">
        <f>VLOOKUP(AI12,'Axe 2 Règles de gestion'!$D$2:$F$66,3, FALSE)</f>
        <v>Les modalités de service à temps partiel éligibles sont : le temps partiel sur autorisation, de droit pour soins à conjoint, enfant, ascendant, de droit à l'occasion d'une naissance ou d'une adoption, de droit au profit des travailleurs handicapés.</v>
      </c>
      <c r="AK12" s="17" t="s">
        <v>95</v>
      </c>
      <c r="AL12" s="18" t="str">
        <f>VLOOKUP(AK12,'Axe 2 Règles de gestion'!$D$2:$F$66,3, FALSE)</f>
        <v>L'agent effectue sa demande de retraite progressive auprès du service des retraites de l'Etat.</v>
      </c>
      <c r="AM12" s="17" t="s">
        <v>97</v>
      </c>
      <c r="AN12" s="18" t="str">
        <f>VLOOKUP(AM12,'Axe 2 Règles de gestion'!$D$2:$F$66,3, FALSE)</f>
        <v>La demande contient la date d'effet souhaitée de la retraite progressive qui ne peut pas être antérieure à la date de cette demande.</v>
      </c>
      <c r="AO12" s="17" t="s">
        <v>99</v>
      </c>
      <c r="AP12" s="18" t="str">
        <f>VLOOKUP(AO12,'Axe 2 Règles de gestion'!$D$2:$F$66,3, FALSE)</f>
        <v>La demande de temps partiel et de retraite progressive doivent être effectuées par l'agent au moins 6 mois avant la date de départ en retraite progressive souhaitée.</v>
      </c>
      <c r="AQ12" s="17" t="s">
        <v>101</v>
      </c>
      <c r="AR12" s="18" t="str">
        <f>VLOOKUP(AQ12,'Axe 2 Règles de gestion'!$D$2:$F$66,3, FALSE)</f>
        <v>L'administration doit transmettre au moins 4 mois avant la date d'effet souhaitée l'autorisation de travail à temps partiel au service des retraites de l'Etat.</v>
      </c>
      <c r="AS12" s="17" t="s">
        <v>103</v>
      </c>
      <c r="AT12" s="18" t="str">
        <f>VLOOKUP(AS12,'Axe 2 Règles de gestion'!$D$2:$F$66,3, FALSE)</f>
        <v>Si l'agent bénéficie déjà d'un temps partiel au moment où il fait la demande de retraite progressive, il doit l'indiquer dans sa demande.</v>
      </c>
      <c r="AU12" s="17" t="s">
        <v>105</v>
      </c>
      <c r="AV12" s="18" t="str">
        <f>VLOOKUP(AU12,'Axe 2 Règles de gestion'!$D$2:$F$66,3, FALSE)</f>
        <v>La retraite progressive est notifiée à l'agent 1 mois avant la date d'effet souhaitée.</v>
      </c>
      <c r="AW12" s="17" t="s">
        <v>107</v>
      </c>
      <c r="AX12" s="18" t="str">
        <f>VLOOKUP(AW12,'Axe 2 Règles de gestion'!$D$2:$F$66,3, FALSE)</f>
        <v>L'agent doit bénéficier d'une autorisation de temps partiel : temps partiel sur autorisation, de droit pour soins à conjoint, enfant, ascendant, de droit à l'occasion d'une naissance ou d'une adoption, de droit au profit des travailleurs handicapés.</v>
      </c>
      <c r="AY12" s="17" t="s">
        <v>121</v>
      </c>
      <c r="AZ12" s="18" t="str">
        <f>VLOOKUP(AY12,'Axe 2 Règles de gestion'!$D$2:$F$66,3, FALSE)</f>
        <v>L'âge d'ouverture du droit à la retraite progressive est égal à 60 ans.</v>
      </c>
      <c r="BA12" s="17" t="s">
        <v>111</v>
      </c>
      <c r="BB12" s="18" t="str">
        <f>VLOOKUP(BA12,'Axe 2 Règles de gestion'!$D$2:$F$66,3, FALSE)</f>
        <v>La date de début de la retraite progressive doit être postérieure ou égale à la date d'entrée dans la FPE ou dans la carrière militaire.</v>
      </c>
      <c r="BC12" s="17" t="s">
        <v>113</v>
      </c>
      <c r="BD12" s="18" t="str">
        <f>VLOOKUP(BC12,'Axe 2 Règles de gestion'!$D$2:$F$66,3, FALSE)</f>
        <v>La date de début de la retraite progressive doit être antérieure ou égale à la date de fin de la retraite progressive.</v>
      </c>
      <c r="BE12" s="17" t="s">
        <v>115</v>
      </c>
      <c r="BF12" s="18" t="str">
        <f>VLOOKUP(BE12,'Axe 2 Règles de gestion'!$D$2:$F$66,3, FALSE)</f>
        <v>La date de fin de la retraite progressive doit être antérieure à la date limite de départ à la retraite.</v>
      </c>
      <c r="BG12" s="17"/>
      <c r="BH12" s="18"/>
      <c r="BI12" s="17"/>
      <c r="BJ12" s="18"/>
      <c r="BK12" s="14" t="s">
        <v>76</v>
      </c>
      <c r="BL12" s="16" t="s">
        <v>76</v>
      </c>
    </row>
    <row r="13" spans="1:64" ht="150" x14ac:dyDescent="0.25">
      <c r="A13" s="14" t="s">
        <v>123</v>
      </c>
      <c r="B13" s="14" t="s">
        <v>117</v>
      </c>
      <c r="C13" s="15">
        <v>45623.564583333333</v>
      </c>
      <c r="D13" s="14" t="s">
        <v>67</v>
      </c>
      <c r="E13" s="16" t="s">
        <v>68</v>
      </c>
      <c r="F13" s="14" t="s">
        <v>69</v>
      </c>
      <c r="G13" s="16" t="s">
        <v>68</v>
      </c>
      <c r="H13" s="14" t="s">
        <v>70</v>
      </c>
      <c r="I13" s="16" t="s">
        <v>68</v>
      </c>
      <c r="J13" s="16" t="s">
        <v>71</v>
      </c>
      <c r="K13" s="16" t="s">
        <v>72</v>
      </c>
      <c r="L13" s="14" t="s">
        <v>124</v>
      </c>
      <c r="M13" s="16" t="s">
        <v>125</v>
      </c>
      <c r="N13" s="14" t="s">
        <v>126</v>
      </c>
      <c r="O13" s="16" t="s">
        <v>76</v>
      </c>
      <c r="P13" s="16" t="s">
        <v>76</v>
      </c>
      <c r="Q13" s="16" t="s">
        <v>181</v>
      </c>
      <c r="R13" s="14" t="s">
        <v>182</v>
      </c>
      <c r="S13" s="14" t="s">
        <v>183</v>
      </c>
      <c r="T13" s="14" t="s">
        <v>80</v>
      </c>
      <c r="U13" s="14" t="s">
        <v>81</v>
      </c>
      <c r="V13" s="15">
        <v>45170</v>
      </c>
      <c r="W13" s="15"/>
      <c r="X13" s="16" t="s">
        <v>127</v>
      </c>
      <c r="Y13" s="17" t="s">
        <v>128</v>
      </c>
      <c r="Z13" s="18" t="str">
        <f>VLOOKUP(Y13,'Axe 2 Règles de gestion'!$D$2:$F$66,3, FALSE)</f>
        <v>L'administration doit informer sans délai le service des retraites de l'Etat de toutes modifications (retour à temps plein, suspension, modification de la quotité de travail...) relatives à la retraite progressive.</v>
      </c>
      <c r="AA13" s="17" t="s">
        <v>130</v>
      </c>
      <c r="AB13" s="18" t="str">
        <f>VLOOKUP(AA13,'Axe 2 Règles de gestion'!$D$2:$F$66,3, FALSE)</f>
        <v>Dans certains cas, la retraite progressive peut être suspendue (période de formation au cours de laquelle l'agent exerce à temps plein).</v>
      </c>
      <c r="AC13" s="17" t="s">
        <v>132</v>
      </c>
      <c r="AD13" s="18" t="str">
        <f>VLOOKUP(AC13,'Axe 2 Règles de gestion'!$D$2:$F$66,3, FALSE)</f>
        <v>La suspension prend effet le 1er jour du mois suivant celui au cours duquel les conditions cessent d'être réunies ou le 1er jour du mois quand la suspension prend effet ce même jour.</v>
      </c>
      <c r="AE13" s="17" t="s">
        <v>134</v>
      </c>
      <c r="AF13" s="18" t="str">
        <f>VLOOKUP(AE13,'Axe 2 Règles de gestion'!$D$2:$F$66,3, FALSE)</f>
        <v>Si l'agent reprend une activité professionnelle à temps plein alors la retraite progressive cesse définitivement le 1er jour du mois suivant.</v>
      </c>
      <c r="AG13" s="17" t="s">
        <v>136</v>
      </c>
      <c r="AH13" s="18" t="str">
        <f>VLOOKUP(AG13,'Axe 2 Règles de gestion'!$D$2:$F$66,3, FALSE)</f>
        <v>Toutefois, si cette reprise intervient le 1er jour du mois, alors la cessation de la retraite progressive prend effet ce même jour.</v>
      </c>
      <c r="AI13" s="17" t="s">
        <v>138</v>
      </c>
      <c r="AJ13" s="18" t="str">
        <f>VLOOKUP(AI13,'Axe 2 Règles de gestion'!$D$2:$F$66,3, FALSE)</f>
        <v>Si l'agent demande sa retraite à taux plein, alors la retraite progressive cesse définitivement à compter de la date d'effet de la pension complète.</v>
      </c>
      <c r="AK13" s="17"/>
      <c r="AL13" s="18"/>
      <c r="AM13" s="17"/>
      <c r="AN13" s="18"/>
      <c r="AO13" s="17"/>
      <c r="AP13" s="18"/>
      <c r="AQ13" s="17"/>
      <c r="AR13" s="18"/>
      <c r="AS13" s="17"/>
      <c r="AT13" s="18"/>
      <c r="AU13" s="17"/>
      <c r="AV13" s="18"/>
      <c r="AW13" s="17" t="s">
        <v>107</v>
      </c>
      <c r="AX13" s="18" t="str">
        <f>VLOOKUP(AW13,'Axe 2 Règles de gestion'!$D$2:$F$66,3, FALSE)</f>
        <v>L'agent doit bénéficier d'une autorisation de temps partiel : temps partiel sur autorisation, de droit pour soins à conjoint, enfant, ascendant, de droit à l'occasion d'une naissance ou d'une adoption, de droit au profit des travailleurs handicapés.</v>
      </c>
      <c r="AY13" s="17"/>
      <c r="AZ13" s="18"/>
      <c r="BA13" s="17" t="s">
        <v>113</v>
      </c>
      <c r="BB13" s="18" t="str">
        <f>VLOOKUP(BA13,'Axe 2 Règles de gestion'!$D$2:$F$66,3, FALSE)</f>
        <v>La date de début de la retraite progressive doit être antérieure ou égale à la date de fin de la retraite progressive.</v>
      </c>
      <c r="BC13" s="17" t="s">
        <v>115</v>
      </c>
      <c r="BD13" s="18" t="str">
        <f>VLOOKUP(BC13,'Axe 2 Règles de gestion'!$D$2:$F$66,3, FALSE)</f>
        <v>La date de fin de la retraite progressive doit être antérieure à la date limite de départ à la retraite.</v>
      </c>
      <c r="BE13" s="17"/>
      <c r="BF13" s="18"/>
      <c r="BG13" s="17"/>
      <c r="BH13" s="18"/>
      <c r="BI13" s="17"/>
      <c r="BJ13" s="18"/>
      <c r="BK13" s="14" t="s">
        <v>76</v>
      </c>
      <c r="BL13" s="16" t="s">
        <v>76</v>
      </c>
    </row>
    <row r="14" spans="1:64" ht="150" x14ac:dyDescent="0.25">
      <c r="A14" s="14" t="s">
        <v>143</v>
      </c>
      <c r="B14" s="14" t="s">
        <v>66</v>
      </c>
      <c r="C14" s="15">
        <v>45779.493750000001</v>
      </c>
      <c r="D14" s="14" t="s">
        <v>67</v>
      </c>
      <c r="E14" s="16" t="s">
        <v>68</v>
      </c>
      <c r="F14" s="14" t="s">
        <v>69</v>
      </c>
      <c r="G14" s="16" t="s">
        <v>68</v>
      </c>
      <c r="H14" s="14" t="s">
        <v>70</v>
      </c>
      <c r="I14" s="16" t="s">
        <v>68</v>
      </c>
      <c r="J14" s="16" t="s">
        <v>71</v>
      </c>
      <c r="K14" s="16" t="s">
        <v>72</v>
      </c>
      <c r="L14" s="14" t="s">
        <v>73</v>
      </c>
      <c r="M14" s="16" t="s">
        <v>74</v>
      </c>
      <c r="N14" s="14" t="s">
        <v>75</v>
      </c>
      <c r="O14" s="16" t="s">
        <v>76</v>
      </c>
      <c r="P14" s="16" t="s">
        <v>76</v>
      </c>
      <c r="Q14" s="16" t="s">
        <v>184</v>
      </c>
      <c r="R14" s="14" t="s">
        <v>185</v>
      </c>
      <c r="S14" s="14" t="s">
        <v>186</v>
      </c>
      <c r="T14" s="14" t="s">
        <v>80</v>
      </c>
      <c r="U14" s="14" t="s">
        <v>81</v>
      </c>
      <c r="V14" s="15">
        <v>45170</v>
      </c>
      <c r="W14" s="15">
        <v>45709</v>
      </c>
      <c r="X14" s="16" t="s">
        <v>187</v>
      </c>
      <c r="Y14" s="17" t="s">
        <v>188</v>
      </c>
      <c r="Z14" s="18" t="str">
        <f>VLOOKUP(Y14,'Axe 2 Règles de gestion'!$D$2:$F$66,3, FALSE)</f>
        <v>L'agent doit avoir atteint l'âge plancher égal à son âge d'ouverture des droits diminué de 2 années, soit 62 ans, à l'issue de la montée en charge de la réforme.</v>
      </c>
      <c r="AA14" s="17" t="s">
        <v>189</v>
      </c>
      <c r="AB14" s="18" t="str">
        <f>VLOOKUP(AA14,'Axe 2 Règles de gestion'!$D$2:$F$66,3, FALSE)</f>
        <v>L'agent doit justifier d'une durée d'assurance de 150 trimestres.</v>
      </c>
      <c r="AC14" s="17" t="s">
        <v>191</v>
      </c>
      <c r="AD14" s="18" t="str">
        <f>VLOOKUP(AC14,'Axe 2 Règles de gestion'!$D$2:$F$66,3, FALSE)</f>
        <v>L'agent doit bénéficier d'une autorisation de temps partiel.</v>
      </c>
      <c r="AE14" s="17" t="s">
        <v>192</v>
      </c>
      <c r="AF14" s="18" t="str">
        <f>VLOOKUP(AE14,'Axe 2 Règles de gestion'!$D$2:$F$66,3, FALSE)</f>
        <v>Les modalités de service à temps partiel éligbles sont : le temps partiel sur autorisation, de droit pour soins à conjoint, enfant, ascendant, de droit à l'occasion d'une naissance ou d'une adoption, de droit au profit des travailleurs handicapés.</v>
      </c>
      <c r="AG14" s="17" t="s">
        <v>194</v>
      </c>
      <c r="AH14" s="18" t="str">
        <f>VLOOKUP(AG14,'Axe 2 Règles de gestion'!$D$2:$F$66,3, FALSE)</f>
        <v>L'agent doit effectuer une demande auprès de l'administration.</v>
      </c>
      <c r="AI14" s="17" t="s">
        <v>196</v>
      </c>
      <c r="AJ14" s="18" t="str">
        <f>VLOOKUP(AI14,'Axe 2 Règles de gestion'!$D$2:$F$66,3, FALSE)</f>
        <v>La demande contient la date d'effet souhaitée de la retraite progressive qui ne peut pas être antérieure à la date de cette demande.</v>
      </c>
      <c r="AK14" s="17" t="s">
        <v>197</v>
      </c>
      <c r="AL14" s="18" t="str">
        <f>VLOOKUP(AK14,'Axe 2 Règles de gestion'!$D$2:$F$66,3, FALSE)</f>
        <v>L'agent doit adresser sa demande de retraite progressive à l'organisme, l'établissement ou le service gérant l'un des régimes auxquels il est affilié à la date de sa demande.</v>
      </c>
      <c r="AM14" s="17"/>
      <c r="AN14" s="18"/>
      <c r="AO14" s="17"/>
      <c r="AP14" s="18"/>
      <c r="AQ14" s="17"/>
      <c r="AR14" s="18"/>
      <c r="AS14" s="17"/>
      <c r="AT14" s="18"/>
      <c r="AU14" s="17"/>
      <c r="AV14" s="18"/>
      <c r="AW14" s="17" t="s">
        <v>198</v>
      </c>
      <c r="AX14" s="18" t="str">
        <f>VLOOKUP(AW14,'Axe 2 Règles de gestion'!$D$2:$F$66,3, FALSE)</f>
        <v>L'agent doit bénéficier d'une autorisation de temps partiel : temps partiel sur autorisation, de droit pour soins à conjoint, enfant, ascendant, de droit à l'occasion d'une naissance ou d'une adoption, de droit au profit des travailleurs handicapés.</v>
      </c>
      <c r="AY14" s="17" t="s">
        <v>199</v>
      </c>
      <c r="AZ14" s="18" t="str">
        <f>VLOOKUP(AY14,'Axe 2 Règles de gestion'!$D$2:$F$66,3, FALSE)</f>
        <v>L'agent né à partir du 1er janvier 1968 doit avoir au moins 62 ans à la date de début de la retraite progressive.</v>
      </c>
      <c r="BA14" s="17" t="s">
        <v>111</v>
      </c>
      <c r="BB14" s="18" t="str">
        <f>VLOOKUP(BA14,'Axe 2 Règles de gestion'!$D$2:$F$66,3, FALSE)</f>
        <v>La date de début de la retraite progressive doit être postérieure ou égale à la date d'entrée dans la FPE ou dans la carrière militaire.</v>
      </c>
      <c r="BC14" s="17" t="s">
        <v>159</v>
      </c>
      <c r="BD14" s="18" t="str">
        <f>VLOOKUP(BC14,'Axe 2 Règles de gestion'!$D$2:$F$66,3, FALSE)</f>
        <v>La date de début de la retraite progressive doit être postérieure ou égale à la date de début du lien juridique.</v>
      </c>
      <c r="BE14" s="17" t="s">
        <v>113</v>
      </c>
      <c r="BF14" s="18" t="str">
        <f>VLOOKUP(BE14,'Axe 2 Règles de gestion'!$D$2:$F$66,3, FALSE)</f>
        <v>La date de début de la retraite progressive doit être antérieure ou égale à la date de fin de la retraite progressive.</v>
      </c>
      <c r="BG14" s="17" t="s">
        <v>115</v>
      </c>
      <c r="BH14" s="18" t="str">
        <f>VLOOKUP(BG14,'Axe 2 Règles de gestion'!$D$2:$F$66,3, FALSE)</f>
        <v>La date de fin de la retraite progressive doit être antérieure à la date limite de départ à la retraite.</v>
      </c>
      <c r="BI14" s="17" t="s">
        <v>161</v>
      </c>
      <c r="BJ14" s="18" t="str">
        <f>VLOOKUP(BI14,'Axe 2 Règles de gestion'!$D$2:$F$66,3, FALSE)</f>
        <v>La date de fin de la retraite progressive doit être antérieure ou égale à la date de fin du lien juridique.</v>
      </c>
      <c r="BK14" s="14" t="s">
        <v>76</v>
      </c>
      <c r="BL14" s="16" t="s">
        <v>76</v>
      </c>
    </row>
    <row r="15" spans="1:64" ht="150" x14ac:dyDescent="0.25">
      <c r="A15" s="14" t="s">
        <v>65</v>
      </c>
      <c r="B15" s="14" t="s">
        <v>66</v>
      </c>
      <c r="C15" s="15">
        <v>45915.459722222222</v>
      </c>
      <c r="D15" s="14" t="s">
        <v>67</v>
      </c>
      <c r="E15" s="16" t="s">
        <v>68</v>
      </c>
      <c r="F15" s="14" t="s">
        <v>69</v>
      </c>
      <c r="G15" s="16" t="s">
        <v>68</v>
      </c>
      <c r="H15" s="14" t="s">
        <v>70</v>
      </c>
      <c r="I15" s="16" t="s">
        <v>68</v>
      </c>
      <c r="J15" s="16" t="s">
        <v>71</v>
      </c>
      <c r="K15" s="16" t="s">
        <v>72</v>
      </c>
      <c r="L15" s="14" t="s">
        <v>73</v>
      </c>
      <c r="M15" s="16" t="s">
        <v>74</v>
      </c>
      <c r="N15" s="14" t="s">
        <v>75</v>
      </c>
      <c r="O15" s="16" t="s">
        <v>76</v>
      </c>
      <c r="P15" s="16" t="s">
        <v>76</v>
      </c>
      <c r="Q15" s="16" t="s">
        <v>184</v>
      </c>
      <c r="R15" s="14" t="s">
        <v>185</v>
      </c>
      <c r="S15" s="14" t="s">
        <v>186</v>
      </c>
      <c r="T15" s="14" t="s">
        <v>80</v>
      </c>
      <c r="U15" s="14" t="s">
        <v>81</v>
      </c>
      <c r="V15" s="15">
        <v>45710</v>
      </c>
      <c r="W15" s="15">
        <v>45900</v>
      </c>
      <c r="X15" s="16" t="s">
        <v>200</v>
      </c>
      <c r="Y15" s="17" t="s">
        <v>188</v>
      </c>
      <c r="Z15" s="18" t="str">
        <f>VLOOKUP(Y15,'Axe 2 Règles de gestion'!$D$2:$F$66,3, FALSE)</f>
        <v>L'agent doit avoir atteint l'âge plancher égal à son âge d'ouverture des droits diminué de 2 années, soit 62 ans, à l'issue de la montée en charge de la réforme.</v>
      </c>
      <c r="AA15" s="17" t="s">
        <v>189</v>
      </c>
      <c r="AB15" s="18" t="str">
        <f>VLOOKUP(AA15,'Axe 2 Règles de gestion'!$D$2:$F$66,3, FALSE)</f>
        <v>L'agent doit justifier d'une durée d'assurance de 150 trimestres.</v>
      </c>
      <c r="AC15" s="17" t="s">
        <v>191</v>
      </c>
      <c r="AD15" s="18" t="str">
        <f>VLOOKUP(AC15,'Axe 2 Règles de gestion'!$D$2:$F$66,3, FALSE)</f>
        <v>L'agent doit bénéficier d'une autorisation de temps partiel.</v>
      </c>
      <c r="AE15" s="17" t="s">
        <v>192</v>
      </c>
      <c r="AF15" s="18" t="str">
        <f>VLOOKUP(AE15,'Axe 2 Règles de gestion'!$D$2:$F$66,3, FALSE)</f>
        <v>Les modalités de service à temps partiel éligbles sont : le temps partiel sur autorisation, de droit pour soins à conjoint, enfant, ascendant, de droit à l'occasion d'une naissance ou d'une adoption, de droit au profit des travailleurs handicapés.</v>
      </c>
      <c r="AG15" s="17" t="s">
        <v>194</v>
      </c>
      <c r="AH15" s="18" t="str">
        <f>VLOOKUP(AG15,'Axe 2 Règles de gestion'!$D$2:$F$66,3, FALSE)</f>
        <v>L'agent doit effectuer une demande auprès de l'administration.</v>
      </c>
      <c r="AI15" s="17" t="s">
        <v>196</v>
      </c>
      <c r="AJ15" s="18" t="str">
        <f>VLOOKUP(AI15,'Axe 2 Règles de gestion'!$D$2:$F$66,3, FALSE)</f>
        <v>La demande contient la date d'effet souhaitée de la retraite progressive qui ne peut pas être antérieure à la date de cette demande.</v>
      </c>
      <c r="AK15" s="17" t="s">
        <v>201</v>
      </c>
      <c r="AL15" s="18" t="str">
        <f>VLOOKUP(AK15,'Axe 2 Règles de gestion'!$D$2:$F$66,3, FALSE)</f>
        <v>L'agent doit adresser sa demande de retraite progressive au moyen d'un formulaire commun à l'organisme, l'établissement ou le service gérant l'un des régimes auxquels il est affilié à la date de sa demande.</v>
      </c>
      <c r="AM15" s="17" t="s">
        <v>202</v>
      </c>
      <c r="AN15" s="18" t="str">
        <f>VLOOKUP(AM15,'Axe 2 Règles de gestion'!$D$2:$F$66,3, FALSE)</f>
        <v>L'agent reçoit un récépissé de sa demande et des pièces qui l'accompagnent.</v>
      </c>
      <c r="AO15" s="17"/>
      <c r="AP15" s="18"/>
      <c r="AQ15" s="17"/>
      <c r="AR15" s="18"/>
      <c r="AS15" s="17"/>
      <c r="AT15" s="18"/>
      <c r="AU15" s="17"/>
      <c r="AV15" s="18"/>
      <c r="AW15" s="17" t="s">
        <v>198</v>
      </c>
      <c r="AX15" s="18" t="str">
        <f>VLOOKUP(AW15,'Axe 2 Règles de gestion'!$D$2:$F$66,3, FALSE)</f>
        <v>L'agent doit bénéficier d'une autorisation de temps partiel : temps partiel sur autorisation, de droit pour soins à conjoint, enfant, ascendant, de droit à l'occasion d'une naissance ou d'une adoption, de droit au profit des travailleurs handicapés.</v>
      </c>
      <c r="AY15" s="17" t="s">
        <v>199</v>
      </c>
      <c r="AZ15" s="18" t="str">
        <f>VLOOKUP(AY15,'Axe 2 Règles de gestion'!$D$2:$F$66,3, FALSE)</f>
        <v>L'agent né à partir du 1er janvier 1968 doit avoir au moins 62 ans à la date de début de la retraite progressive.</v>
      </c>
      <c r="BA15" s="17" t="s">
        <v>111</v>
      </c>
      <c r="BB15" s="18" t="str">
        <f>VLOOKUP(BA15,'Axe 2 Règles de gestion'!$D$2:$F$66,3, FALSE)</f>
        <v>La date de début de la retraite progressive doit être postérieure ou égale à la date d'entrée dans la FPE ou dans la carrière militaire.</v>
      </c>
      <c r="BC15" s="17" t="s">
        <v>159</v>
      </c>
      <c r="BD15" s="18" t="str">
        <f>VLOOKUP(BC15,'Axe 2 Règles de gestion'!$D$2:$F$66,3, FALSE)</f>
        <v>La date de début de la retraite progressive doit être postérieure ou égale à la date de début du lien juridique.</v>
      </c>
      <c r="BE15" s="17" t="s">
        <v>113</v>
      </c>
      <c r="BF15" s="18" t="str">
        <f>VLOOKUP(BE15,'Axe 2 Règles de gestion'!$D$2:$F$66,3, FALSE)</f>
        <v>La date de début de la retraite progressive doit être antérieure ou égale à la date de fin de la retraite progressive.</v>
      </c>
      <c r="BG15" s="17" t="s">
        <v>115</v>
      </c>
      <c r="BH15" s="18" t="str">
        <f>VLOOKUP(BG15,'Axe 2 Règles de gestion'!$D$2:$F$66,3, FALSE)</f>
        <v>La date de fin de la retraite progressive doit être antérieure à la date limite de départ à la retraite.</v>
      </c>
      <c r="BI15" s="17" t="s">
        <v>161</v>
      </c>
      <c r="BJ15" s="18" t="str">
        <f>VLOOKUP(BI15,'Axe 2 Règles de gestion'!$D$2:$F$66,3, FALSE)</f>
        <v>La date de fin de la retraite progressive doit être antérieure ou égale à la date de fin du lien juridique.</v>
      </c>
      <c r="BK15" s="14" t="s">
        <v>76</v>
      </c>
      <c r="BL15" s="16" t="s">
        <v>76</v>
      </c>
    </row>
    <row r="16" spans="1:64" ht="150" x14ac:dyDescent="0.25">
      <c r="A16" s="14" t="s">
        <v>65</v>
      </c>
      <c r="B16" s="14" t="s">
        <v>117</v>
      </c>
      <c r="C16" s="15">
        <v>45915.461111111108</v>
      </c>
      <c r="D16" s="14" t="s">
        <v>67</v>
      </c>
      <c r="E16" s="16" t="s">
        <v>68</v>
      </c>
      <c r="F16" s="14" t="s">
        <v>69</v>
      </c>
      <c r="G16" s="16" t="s">
        <v>68</v>
      </c>
      <c r="H16" s="14" t="s">
        <v>70</v>
      </c>
      <c r="I16" s="16" t="s">
        <v>68</v>
      </c>
      <c r="J16" s="16" t="s">
        <v>71</v>
      </c>
      <c r="K16" s="16" t="s">
        <v>72</v>
      </c>
      <c r="L16" s="14" t="s">
        <v>73</v>
      </c>
      <c r="M16" s="16" t="s">
        <v>74</v>
      </c>
      <c r="N16" s="14" t="s">
        <v>75</v>
      </c>
      <c r="O16" s="16" t="s">
        <v>76</v>
      </c>
      <c r="P16" s="16" t="s">
        <v>76</v>
      </c>
      <c r="Q16" s="16" t="s">
        <v>184</v>
      </c>
      <c r="R16" s="14" t="s">
        <v>185</v>
      </c>
      <c r="S16" s="14" t="s">
        <v>186</v>
      </c>
      <c r="T16" s="14" t="s">
        <v>80</v>
      </c>
      <c r="U16" s="14" t="s">
        <v>81</v>
      </c>
      <c r="V16" s="15">
        <v>45901</v>
      </c>
      <c r="W16" s="15"/>
      <c r="X16" s="16" t="s">
        <v>203</v>
      </c>
      <c r="Y16" s="17" t="s">
        <v>204</v>
      </c>
      <c r="Z16" s="18" t="str">
        <f>VLOOKUP(Y16,'Axe 2 Règles de gestion'!$D$2:$F$66,3, FALSE)</f>
        <v>L'agent doit avoir 60 ans au moins à l'ouverture du droit à la retraite progressive.</v>
      </c>
      <c r="AA16" s="17" t="s">
        <v>189</v>
      </c>
      <c r="AB16" s="18" t="str">
        <f>VLOOKUP(AA16,'Axe 2 Règles de gestion'!$D$2:$F$66,3, FALSE)</f>
        <v>L'agent doit justifier d'une durée d'assurance de 150 trimestres.</v>
      </c>
      <c r="AC16" s="17" t="s">
        <v>191</v>
      </c>
      <c r="AD16" s="18" t="str">
        <f>VLOOKUP(AC16,'Axe 2 Règles de gestion'!$D$2:$F$66,3, FALSE)</f>
        <v>L'agent doit bénéficier d'une autorisation de temps partiel.</v>
      </c>
      <c r="AE16" s="17" t="s">
        <v>192</v>
      </c>
      <c r="AF16" s="18" t="str">
        <f>VLOOKUP(AE16,'Axe 2 Règles de gestion'!$D$2:$F$66,3, FALSE)</f>
        <v>Les modalités de service à temps partiel éligbles sont : le temps partiel sur autorisation, de droit pour soins à conjoint, enfant, ascendant, de droit à l'occasion d'une naissance ou d'une adoption, de droit au profit des travailleurs handicapés.</v>
      </c>
      <c r="AG16" s="17" t="s">
        <v>194</v>
      </c>
      <c r="AH16" s="18" t="str">
        <f>VLOOKUP(AG16,'Axe 2 Règles de gestion'!$D$2:$F$66,3, FALSE)</f>
        <v>L'agent doit effectuer une demande auprès de l'administration.</v>
      </c>
      <c r="AI16" s="17" t="s">
        <v>196</v>
      </c>
      <c r="AJ16" s="18" t="str">
        <f>VLOOKUP(AI16,'Axe 2 Règles de gestion'!$D$2:$F$66,3, FALSE)</f>
        <v>La demande contient la date d'effet souhaitée de la retraite progressive qui ne peut pas être antérieure à la date de cette demande.</v>
      </c>
      <c r="AK16" s="17" t="s">
        <v>201</v>
      </c>
      <c r="AL16" s="18" t="str">
        <f>VLOOKUP(AK16,'Axe 2 Règles de gestion'!$D$2:$F$66,3, FALSE)</f>
        <v>L'agent doit adresser sa demande de retraite progressive au moyen d'un formulaire commun à l'organisme, l'établissement ou le service gérant l'un des régimes auxquels il est affilié à la date de sa demande.</v>
      </c>
      <c r="AM16" s="17" t="s">
        <v>202</v>
      </c>
      <c r="AN16" s="18" t="str">
        <f>VLOOKUP(AM16,'Axe 2 Règles de gestion'!$D$2:$F$66,3, FALSE)</f>
        <v>L'agent reçoit un récépissé de sa demande et des pièces qui l'accompagnent.</v>
      </c>
      <c r="AO16" s="17"/>
      <c r="AP16" s="18"/>
      <c r="AQ16" s="17"/>
      <c r="AR16" s="18"/>
      <c r="AS16" s="17"/>
      <c r="AT16" s="18"/>
      <c r="AU16" s="17"/>
      <c r="AV16" s="18"/>
      <c r="AW16" s="17" t="s">
        <v>198</v>
      </c>
      <c r="AX16" s="18" t="str">
        <f>VLOOKUP(AW16,'Axe 2 Règles de gestion'!$D$2:$F$66,3, FALSE)</f>
        <v>L'agent doit bénéficier d'une autorisation de temps partiel : temps partiel sur autorisation, de droit pour soins à conjoint, enfant, ascendant, de droit à l'occasion d'une naissance ou d'une adoption, de droit au profit des travailleurs handicapés.</v>
      </c>
      <c r="AY16" s="17" t="s">
        <v>205</v>
      </c>
      <c r="AZ16" s="18" t="str">
        <f>VLOOKUP(AY16,'Axe 2 Règles de gestion'!$D$2:$F$66,3, FALSE)</f>
        <v>L'âge d'ouverture du droit à la retraite progressive est égal à 60 ans.</v>
      </c>
      <c r="BA16" s="17" t="s">
        <v>111</v>
      </c>
      <c r="BB16" s="18" t="str">
        <f>VLOOKUP(BA16,'Axe 2 Règles de gestion'!$D$2:$F$66,3, FALSE)</f>
        <v>La date de début de la retraite progressive doit être postérieure ou égale à la date d'entrée dans la FPE ou dans la carrière militaire.</v>
      </c>
      <c r="BC16" s="17" t="s">
        <v>159</v>
      </c>
      <c r="BD16" s="18" t="str">
        <f>VLOOKUP(BC16,'Axe 2 Règles de gestion'!$D$2:$F$66,3, FALSE)</f>
        <v>La date de début de la retraite progressive doit être postérieure ou égale à la date de début du lien juridique.</v>
      </c>
      <c r="BE16" s="17" t="s">
        <v>113</v>
      </c>
      <c r="BF16" s="18" t="str">
        <f>VLOOKUP(BE16,'Axe 2 Règles de gestion'!$D$2:$F$66,3, FALSE)</f>
        <v>La date de début de la retraite progressive doit être antérieure ou égale à la date de fin de la retraite progressive.</v>
      </c>
      <c r="BG16" s="17" t="s">
        <v>115</v>
      </c>
      <c r="BH16" s="18" t="str">
        <f>VLOOKUP(BG16,'Axe 2 Règles de gestion'!$D$2:$F$66,3, FALSE)</f>
        <v>La date de fin de la retraite progressive doit être antérieure à la date limite de départ à la retraite.</v>
      </c>
      <c r="BI16" s="17" t="s">
        <v>161</v>
      </c>
      <c r="BJ16" s="18" t="str">
        <f>VLOOKUP(BI16,'Axe 2 Règles de gestion'!$D$2:$F$66,3, FALSE)</f>
        <v>La date de fin de la retraite progressive doit être antérieure ou égale à la date de fin du lien juridique.</v>
      </c>
      <c r="BK16" s="14" t="s">
        <v>76</v>
      </c>
      <c r="BL16" s="16" t="s">
        <v>76</v>
      </c>
    </row>
    <row r="17" spans="1:64" ht="150" x14ac:dyDescent="0.25">
      <c r="A17" s="14" t="s">
        <v>123</v>
      </c>
      <c r="B17" s="14" t="s">
        <v>117</v>
      </c>
      <c r="C17" s="15">
        <v>45623.563888888886</v>
      </c>
      <c r="D17" s="14" t="s">
        <v>67</v>
      </c>
      <c r="E17" s="16" t="s">
        <v>68</v>
      </c>
      <c r="F17" s="14" t="s">
        <v>69</v>
      </c>
      <c r="G17" s="16" t="s">
        <v>68</v>
      </c>
      <c r="H17" s="14" t="s">
        <v>70</v>
      </c>
      <c r="I17" s="16" t="s">
        <v>68</v>
      </c>
      <c r="J17" s="16" t="s">
        <v>71</v>
      </c>
      <c r="K17" s="16" t="s">
        <v>72</v>
      </c>
      <c r="L17" s="14" t="s">
        <v>124</v>
      </c>
      <c r="M17" s="16" t="s">
        <v>125</v>
      </c>
      <c r="N17" s="14" t="s">
        <v>126</v>
      </c>
      <c r="O17" s="16" t="s">
        <v>76</v>
      </c>
      <c r="P17" s="16" t="s">
        <v>76</v>
      </c>
      <c r="Q17" s="16" t="s">
        <v>184</v>
      </c>
      <c r="R17" s="14" t="s">
        <v>185</v>
      </c>
      <c r="S17" s="14" t="s">
        <v>186</v>
      </c>
      <c r="T17" s="14" t="s">
        <v>80</v>
      </c>
      <c r="U17" s="14" t="s">
        <v>81</v>
      </c>
      <c r="V17" s="15">
        <v>45170</v>
      </c>
      <c r="W17" s="15"/>
      <c r="X17" s="16" t="s">
        <v>206</v>
      </c>
      <c r="Y17" s="17" t="s">
        <v>207</v>
      </c>
      <c r="Z17" s="18" t="str">
        <f>VLOOKUP(Y17,'Axe 2 Règles de gestion'!$D$2:$F$66,3, FALSE)</f>
        <v>Dans certains cas, la retraite progressive peut être suspendue.</v>
      </c>
      <c r="AA17" s="17" t="s">
        <v>208</v>
      </c>
      <c r="AB17" s="18" t="str">
        <f>VLOOKUP(AA17,'Axe 2 Règles de gestion'!$D$2:$F$66,3, FALSE)</f>
        <v>La suspension prend effet le 1er jour du mois suivant celui au cours duquel les conditions cessent d'être réunies ou le 1er jour du mois quand la suspension prend effet ce même jour.</v>
      </c>
      <c r="AC17" s="17" t="s">
        <v>209</v>
      </c>
      <c r="AD17" s="18" t="str">
        <f>VLOOKUP(AC17,'Axe 2 Règles de gestion'!$D$2:$F$66,3, FALSE)</f>
        <v>Si l'agent reprend une activité professionnelle à temps plein alors la retraite progressive cesse définitivement le 1er jour du mois suivant.</v>
      </c>
      <c r="AE17" s="17" t="s">
        <v>210</v>
      </c>
      <c r="AF17" s="18" t="str">
        <f>VLOOKUP(AE17,'Axe 2 Règles de gestion'!$D$2:$F$66,3, FALSE)</f>
        <v>Toutefois, si cette reprise intervient le 1er jour du mois, alors la cessation de la retraite progressive prend effet ce même jour.</v>
      </c>
      <c r="AG17" s="17" t="s">
        <v>211</v>
      </c>
      <c r="AH17" s="18" t="str">
        <f>VLOOKUP(AG17,'Axe 2 Règles de gestion'!$D$2:$F$66,3, FALSE)</f>
        <v>Si l'agent demande sa retraite à taux plein, alors la retraite progressive cesse définitivement à la date de prise d'effet de la pension complète.</v>
      </c>
      <c r="AI17" s="17"/>
      <c r="AJ17" s="18"/>
      <c r="AK17" s="17"/>
      <c r="AL17" s="18"/>
      <c r="AM17" s="17"/>
      <c r="AN17" s="18"/>
      <c r="AO17" s="17"/>
      <c r="AP17" s="18"/>
      <c r="AQ17" s="17"/>
      <c r="AR17" s="18"/>
      <c r="AS17" s="17"/>
      <c r="AT17" s="18"/>
      <c r="AU17" s="17"/>
      <c r="AV17" s="18"/>
      <c r="AW17" s="17" t="s">
        <v>198</v>
      </c>
      <c r="AX17" s="18" t="str">
        <f>VLOOKUP(AW17,'Axe 2 Règles de gestion'!$D$2:$F$66,3, FALSE)</f>
        <v>L'agent doit bénéficier d'une autorisation de temps partiel : temps partiel sur autorisation, de droit pour soins à conjoint, enfant, ascendant, de droit à l'occasion d'une naissance ou d'une adoption, de droit au profit des travailleurs handicapés.</v>
      </c>
      <c r="AY17" s="17"/>
      <c r="AZ17" s="18"/>
      <c r="BA17" s="17" t="s">
        <v>113</v>
      </c>
      <c r="BB17" s="18" t="str">
        <f>VLOOKUP(BA17,'Axe 2 Règles de gestion'!$D$2:$F$66,3, FALSE)</f>
        <v>La date de début de la retraite progressive doit être antérieure ou égale à la date de fin de la retraite progressive.</v>
      </c>
      <c r="BC17" s="17" t="s">
        <v>115</v>
      </c>
      <c r="BD17" s="18" t="str">
        <f>VLOOKUP(BC17,'Axe 2 Règles de gestion'!$D$2:$F$66,3, FALSE)</f>
        <v>La date de fin de la retraite progressive doit être antérieure à la date limite de départ à la retraite.</v>
      </c>
      <c r="BE17" s="17" t="s">
        <v>161</v>
      </c>
      <c r="BF17" s="18" t="str">
        <f>VLOOKUP(BE17,'Axe 2 Règles de gestion'!$D$2:$F$66,3, FALSE)</f>
        <v>La date de fin de la retraite progressive doit être antérieure ou égale à la date de fin du lien juridique.</v>
      </c>
      <c r="BG17" s="17"/>
      <c r="BH17" s="18"/>
      <c r="BI17" s="17"/>
      <c r="BJ17" s="18"/>
      <c r="BK17" s="14" t="s">
        <v>76</v>
      </c>
      <c r="BL17" s="16" t="s">
        <v>76</v>
      </c>
    </row>
    <row r="18" spans="1:64" x14ac:dyDescent="0.25">
      <c r="A18" s="19"/>
      <c r="B18" s="20"/>
      <c r="C18" s="21"/>
      <c r="D18" s="19"/>
      <c r="E18" s="20"/>
      <c r="F18" s="19"/>
      <c r="G18" s="20"/>
      <c r="H18" s="19"/>
      <c r="I18" s="20"/>
      <c r="J18" s="20" t="s">
        <v>76</v>
      </c>
      <c r="K18" s="20" t="s">
        <v>76</v>
      </c>
      <c r="L18" s="20"/>
      <c r="M18" s="20"/>
      <c r="N18" s="20" t="s">
        <v>76</v>
      </c>
      <c r="O18" s="20" t="s">
        <v>76</v>
      </c>
      <c r="P18" s="20" t="s">
        <v>76</v>
      </c>
      <c r="Q18" s="20"/>
      <c r="R18" s="20"/>
      <c r="T18" s="20"/>
      <c r="U18" s="19"/>
      <c r="V18" s="22"/>
      <c r="W18" s="22"/>
      <c r="X18" s="20"/>
      <c r="BK18" s="25"/>
      <c r="BL18" s="20"/>
    </row>
    <row r="19" spans="1:64" x14ac:dyDescent="0.25">
      <c r="A19" s="19"/>
      <c r="B19" s="20"/>
      <c r="C19" s="21"/>
      <c r="D19" s="19"/>
      <c r="E19" s="20"/>
      <c r="F19" s="19"/>
      <c r="G19" s="20"/>
      <c r="H19" s="19"/>
      <c r="I19" s="20"/>
      <c r="J19" s="20" t="s">
        <v>76</v>
      </c>
      <c r="K19" s="20" t="s">
        <v>76</v>
      </c>
      <c r="L19" s="20"/>
      <c r="M19" s="20"/>
      <c r="N19" s="20" t="s">
        <v>76</v>
      </c>
      <c r="O19" s="20" t="s">
        <v>76</v>
      </c>
      <c r="P19" s="20" t="s">
        <v>76</v>
      </c>
      <c r="Q19" s="20"/>
      <c r="R19" s="20"/>
      <c r="T19" s="20"/>
      <c r="U19" s="19"/>
      <c r="V19" s="22"/>
      <c r="W19" s="22"/>
      <c r="X19" s="20"/>
      <c r="BK19" s="25"/>
      <c r="BL19" s="20"/>
    </row>
    <row r="20" spans="1:64" x14ac:dyDescent="0.25">
      <c r="A20" s="19"/>
      <c r="B20" s="20"/>
      <c r="C20" s="21"/>
      <c r="D20" s="19"/>
      <c r="E20" s="20"/>
      <c r="F20" s="19"/>
      <c r="G20" s="20"/>
      <c r="H20" s="19"/>
      <c r="I20" s="20"/>
      <c r="J20" s="20" t="s">
        <v>76</v>
      </c>
      <c r="K20" s="20" t="s">
        <v>76</v>
      </c>
      <c r="L20" s="20"/>
      <c r="M20" s="20"/>
      <c r="N20" s="20" t="s">
        <v>76</v>
      </c>
      <c r="O20" s="20" t="s">
        <v>76</v>
      </c>
      <c r="P20" s="20" t="s">
        <v>76</v>
      </c>
      <c r="Q20" s="20"/>
      <c r="R20" s="20"/>
      <c r="T20" s="20"/>
      <c r="U20" s="19"/>
      <c r="V20" s="22"/>
      <c r="W20" s="22"/>
      <c r="X20" s="20"/>
      <c r="BK20" s="25"/>
      <c r="BL20" s="20"/>
    </row>
    <row r="21" spans="1:64" x14ac:dyDescent="0.25">
      <c r="A21" s="19"/>
      <c r="B21" s="20"/>
      <c r="C21" s="21"/>
      <c r="D21" s="19"/>
      <c r="E21" s="20"/>
      <c r="F21" s="19"/>
      <c r="G21" s="20"/>
      <c r="H21" s="19"/>
      <c r="I21" s="20"/>
      <c r="J21" s="20" t="s">
        <v>76</v>
      </c>
      <c r="K21" s="20" t="s">
        <v>76</v>
      </c>
      <c r="L21" s="20"/>
      <c r="M21" s="20"/>
      <c r="N21" s="20" t="s">
        <v>76</v>
      </c>
      <c r="O21" s="20" t="s">
        <v>76</v>
      </c>
      <c r="P21" s="20" t="s">
        <v>76</v>
      </c>
      <c r="Q21" s="20"/>
      <c r="R21" s="20"/>
      <c r="T21" s="20"/>
      <c r="U21" s="19"/>
      <c r="V21" s="22"/>
      <c r="W21" s="22"/>
      <c r="X21" s="20"/>
      <c r="BK21" s="25"/>
      <c r="BL21" s="20"/>
    </row>
    <row r="22" spans="1:64" x14ac:dyDescent="0.25">
      <c r="A22" s="19"/>
      <c r="B22" s="20"/>
      <c r="C22" s="21"/>
      <c r="D22" s="19"/>
      <c r="E22" s="20"/>
      <c r="F22" s="19"/>
      <c r="G22" s="20"/>
      <c r="H22" s="19"/>
      <c r="I22" s="20"/>
      <c r="J22" s="20" t="s">
        <v>76</v>
      </c>
      <c r="K22" s="20" t="s">
        <v>76</v>
      </c>
      <c r="L22" s="20"/>
      <c r="M22" s="20"/>
      <c r="N22" s="20" t="s">
        <v>76</v>
      </c>
      <c r="O22" s="20" t="s">
        <v>76</v>
      </c>
      <c r="P22" s="20" t="s">
        <v>76</v>
      </c>
      <c r="Q22" s="20"/>
      <c r="R22" s="20"/>
      <c r="T22" s="20"/>
      <c r="U22" s="19"/>
      <c r="V22" s="22"/>
      <c r="W22" s="22"/>
      <c r="X22" s="20"/>
      <c r="BK22" s="25"/>
      <c r="BL22" s="20"/>
    </row>
    <row r="23" spans="1:64" x14ac:dyDescent="0.25">
      <c r="A23" s="19"/>
      <c r="B23" s="20"/>
      <c r="C23" s="21"/>
      <c r="D23" s="19"/>
      <c r="E23" s="20"/>
      <c r="F23" s="19"/>
      <c r="G23" s="20"/>
      <c r="H23" s="19"/>
      <c r="I23" s="20"/>
      <c r="J23" s="20" t="s">
        <v>76</v>
      </c>
      <c r="K23" s="20" t="s">
        <v>76</v>
      </c>
      <c r="L23" s="20"/>
      <c r="M23" s="20"/>
      <c r="N23" s="20" t="s">
        <v>76</v>
      </c>
      <c r="O23" s="20" t="s">
        <v>76</v>
      </c>
      <c r="P23" s="20" t="s">
        <v>76</v>
      </c>
      <c r="Q23" s="20"/>
      <c r="R23" s="20"/>
      <c r="T23" s="20"/>
      <c r="U23" s="19"/>
      <c r="V23" s="22"/>
      <c r="W23" s="22"/>
      <c r="X23" s="20"/>
      <c r="BK23" s="25"/>
      <c r="BL23" s="20"/>
    </row>
    <row r="24" spans="1:64" x14ac:dyDescent="0.25">
      <c r="A24" s="19"/>
      <c r="B24" s="20"/>
      <c r="C24" s="21"/>
      <c r="D24" s="19"/>
      <c r="E24" s="20"/>
      <c r="F24" s="19"/>
      <c r="G24" s="20"/>
      <c r="H24" s="19"/>
      <c r="I24" s="20"/>
      <c r="J24" s="20" t="s">
        <v>76</v>
      </c>
      <c r="K24" s="20" t="s">
        <v>76</v>
      </c>
      <c r="L24" s="20"/>
      <c r="M24" s="20"/>
      <c r="N24" s="20" t="s">
        <v>76</v>
      </c>
      <c r="O24" s="20" t="s">
        <v>76</v>
      </c>
      <c r="P24" s="20" t="s">
        <v>76</v>
      </c>
      <c r="Q24" s="20"/>
      <c r="R24" s="20"/>
      <c r="T24" s="20"/>
      <c r="U24" s="19"/>
      <c r="V24" s="22"/>
      <c r="W24" s="22"/>
      <c r="X24" s="20"/>
      <c r="BK24" s="25"/>
      <c r="BL24" s="20"/>
    </row>
    <row r="25" spans="1:64" x14ac:dyDescent="0.25">
      <c r="A25" s="19"/>
      <c r="B25" s="20"/>
      <c r="C25" s="21"/>
      <c r="D25" s="19"/>
      <c r="E25" s="20"/>
      <c r="F25" s="19"/>
      <c r="G25" s="20"/>
      <c r="H25" s="19"/>
      <c r="I25" s="20"/>
      <c r="J25" s="20" t="s">
        <v>76</v>
      </c>
      <c r="K25" s="20" t="s">
        <v>76</v>
      </c>
      <c r="L25" s="20"/>
      <c r="M25" s="20"/>
      <c r="N25" s="20" t="s">
        <v>76</v>
      </c>
      <c r="O25" s="20" t="s">
        <v>76</v>
      </c>
      <c r="P25" s="20" t="s">
        <v>76</v>
      </c>
      <c r="Q25" s="20"/>
      <c r="R25" s="20"/>
      <c r="T25" s="20"/>
      <c r="U25" s="19"/>
      <c r="V25" s="22"/>
      <c r="W25" s="22"/>
      <c r="X25" s="20"/>
      <c r="BK25" s="25"/>
      <c r="BL25" s="20"/>
    </row>
    <row r="26" spans="1:64" x14ac:dyDescent="0.25">
      <c r="A26" s="19"/>
      <c r="B26" s="20"/>
      <c r="C26" s="21"/>
      <c r="D26" s="19"/>
      <c r="E26" s="20"/>
      <c r="F26" s="19"/>
      <c r="G26" s="20"/>
      <c r="H26" s="19"/>
      <c r="I26" s="20"/>
      <c r="J26" s="20" t="s">
        <v>76</v>
      </c>
      <c r="K26" s="20" t="s">
        <v>76</v>
      </c>
      <c r="L26" s="20"/>
      <c r="M26" s="20"/>
      <c r="N26" s="20" t="s">
        <v>76</v>
      </c>
      <c r="O26" s="20" t="s">
        <v>76</v>
      </c>
      <c r="P26" s="20" t="s">
        <v>76</v>
      </c>
      <c r="Q26" s="20"/>
      <c r="R26" s="20"/>
      <c r="T26" s="20"/>
      <c r="U26" s="19"/>
      <c r="V26" s="22"/>
      <c r="W26" s="22"/>
      <c r="X26" s="20"/>
      <c r="BK26" s="25"/>
      <c r="BL26" s="20"/>
    </row>
    <row r="27" spans="1:64" x14ac:dyDescent="0.25">
      <c r="A27" s="19"/>
      <c r="B27" s="20"/>
      <c r="C27" s="21"/>
      <c r="D27" s="19"/>
      <c r="E27" s="20"/>
      <c r="F27" s="19"/>
      <c r="G27" s="20"/>
      <c r="H27" s="19"/>
      <c r="I27" s="20"/>
      <c r="J27" s="20" t="s">
        <v>76</v>
      </c>
      <c r="K27" s="20" t="s">
        <v>76</v>
      </c>
      <c r="L27" s="20"/>
      <c r="M27" s="20"/>
      <c r="N27" s="20" t="s">
        <v>76</v>
      </c>
      <c r="O27" s="20" t="s">
        <v>76</v>
      </c>
      <c r="P27" s="20" t="s">
        <v>76</v>
      </c>
      <c r="Q27" s="20"/>
      <c r="R27" s="20"/>
      <c r="T27" s="20"/>
      <c r="U27" s="19"/>
      <c r="V27" s="22"/>
      <c r="W27" s="22"/>
      <c r="X27" s="20"/>
      <c r="BK27" s="25"/>
      <c r="BL27" s="20"/>
    </row>
    <row r="28" spans="1:64" x14ac:dyDescent="0.25">
      <c r="A28" s="19"/>
      <c r="B28" s="20"/>
      <c r="C28" s="21"/>
      <c r="D28" s="19"/>
      <c r="E28" s="20"/>
      <c r="F28" s="19"/>
      <c r="G28" s="20"/>
      <c r="H28" s="19"/>
      <c r="I28" s="20"/>
      <c r="J28" s="20" t="s">
        <v>76</v>
      </c>
      <c r="K28" s="20" t="s">
        <v>76</v>
      </c>
      <c r="L28" s="20"/>
      <c r="M28" s="20"/>
      <c r="N28" s="20" t="s">
        <v>76</v>
      </c>
      <c r="O28" s="20" t="s">
        <v>76</v>
      </c>
      <c r="P28" s="20" t="s">
        <v>76</v>
      </c>
      <c r="Q28" s="20"/>
      <c r="R28" s="20"/>
      <c r="T28" s="20"/>
      <c r="U28" s="19"/>
      <c r="V28" s="22"/>
      <c r="W28" s="22"/>
      <c r="X28" s="20"/>
      <c r="BK28" s="25"/>
      <c r="BL28" s="20"/>
    </row>
    <row r="29" spans="1:64" x14ac:dyDescent="0.25">
      <c r="A29" s="19"/>
      <c r="B29" s="20"/>
      <c r="C29" s="21"/>
      <c r="D29" s="19"/>
      <c r="E29" s="20"/>
      <c r="F29" s="19"/>
      <c r="G29" s="20"/>
      <c r="H29" s="19"/>
      <c r="I29" s="20"/>
      <c r="J29" s="20" t="s">
        <v>76</v>
      </c>
      <c r="K29" s="20" t="s">
        <v>76</v>
      </c>
      <c r="L29" s="20"/>
      <c r="M29" s="20"/>
      <c r="N29" s="20" t="s">
        <v>76</v>
      </c>
      <c r="O29" s="20" t="s">
        <v>76</v>
      </c>
      <c r="P29" s="20" t="s">
        <v>76</v>
      </c>
      <c r="Q29" s="20"/>
      <c r="R29" s="20"/>
      <c r="T29" s="20"/>
      <c r="U29" s="19"/>
      <c r="V29" s="22"/>
      <c r="W29" s="22"/>
      <c r="X29" s="20"/>
      <c r="BK29" s="25"/>
      <c r="BL29" s="20"/>
    </row>
    <row r="30" spans="1:64" x14ac:dyDescent="0.25">
      <c r="A30" s="19"/>
      <c r="B30" s="20"/>
      <c r="C30" s="21"/>
      <c r="D30" s="19"/>
      <c r="E30" s="20"/>
      <c r="F30" s="19"/>
      <c r="G30" s="20"/>
      <c r="H30" s="19"/>
      <c r="I30" s="20"/>
      <c r="J30" s="20" t="s">
        <v>76</v>
      </c>
      <c r="K30" s="20" t="s">
        <v>76</v>
      </c>
      <c r="L30" s="20"/>
      <c r="M30" s="20"/>
      <c r="N30" s="20" t="s">
        <v>76</v>
      </c>
      <c r="O30" s="20" t="s">
        <v>76</v>
      </c>
      <c r="P30" s="20" t="s">
        <v>76</v>
      </c>
      <c r="Q30" s="20"/>
      <c r="R30" s="20"/>
      <c r="T30" s="20"/>
      <c r="U30" s="19"/>
      <c r="V30" s="22"/>
      <c r="W30" s="22"/>
      <c r="X30" s="20"/>
      <c r="BK30" s="25"/>
      <c r="BL30" s="20"/>
    </row>
    <row r="31" spans="1:64" x14ac:dyDescent="0.25">
      <c r="A31" s="19"/>
      <c r="B31" s="20"/>
      <c r="C31" s="21"/>
      <c r="D31" s="19"/>
      <c r="E31" s="20"/>
      <c r="F31" s="19"/>
      <c r="G31" s="20"/>
      <c r="H31" s="19"/>
      <c r="I31" s="20"/>
      <c r="J31" s="20" t="s">
        <v>76</v>
      </c>
      <c r="K31" s="20" t="s">
        <v>76</v>
      </c>
      <c r="L31" s="20"/>
      <c r="M31" s="20"/>
      <c r="N31" s="20" t="s">
        <v>76</v>
      </c>
      <c r="O31" s="20" t="s">
        <v>76</v>
      </c>
      <c r="P31" s="20" t="s">
        <v>76</v>
      </c>
      <c r="Q31" s="20"/>
      <c r="R31" s="20"/>
      <c r="T31" s="20"/>
      <c r="U31" s="19"/>
      <c r="V31" s="22"/>
      <c r="W31" s="22"/>
      <c r="X31" s="20"/>
      <c r="BK31" s="25"/>
      <c r="BL31" s="20"/>
    </row>
    <row r="32" spans="1:64" x14ac:dyDescent="0.25">
      <c r="A32" s="19"/>
      <c r="B32" s="20"/>
      <c r="C32" s="21"/>
      <c r="D32" s="19"/>
      <c r="E32" s="20"/>
      <c r="F32" s="19"/>
      <c r="G32" s="20"/>
      <c r="H32" s="19"/>
      <c r="I32" s="20"/>
      <c r="J32" s="20" t="s">
        <v>76</v>
      </c>
      <c r="K32" s="20" t="s">
        <v>76</v>
      </c>
      <c r="L32" s="20"/>
      <c r="M32" s="20"/>
      <c r="N32" s="20" t="s">
        <v>76</v>
      </c>
      <c r="O32" s="20" t="s">
        <v>76</v>
      </c>
      <c r="P32" s="20" t="s">
        <v>76</v>
      </c>
      <c r="Q32" s="20"/>
      <c r="R32" s="20"/>
      <c r="T32" s="20"/>
      <c r="U32" s="19"/>
      <c r="V32" s="22"/>
      <c r="W32" s="22"/>
      <c r="X32" s="20"/>
      <c r="BK32" s="25"/>
      <c r="BL32" s="20"/>
    </row>
    <row r="33" spans="1:64" x14ac:dyDescent="0.25">
      <c r="A33" s="19"/>
      <c r="B33" s="20"/>
      <c r="C33" s="21"/>
      <c r="D33" s="19"/>
      <c r="E33" s="20"/>
      <c r="F33" s="19"/>
      <c r="G33" s="20"/>
      <c r="H33" s="19"/>
      <c r="I33" s="20"/>
      <c r="J33" s="20" t="s">
        <v>76</v>
      </c>
      <c r="K33" s="20" t="s">
        <v>76</v>
      </c>
      <c r="L33" s="20"/>
      <c r="M33" s="20"/>
      <c r="N33" s="20" t="s">
        <v>76</v>
      </c>
      <c r="O33" s="20" t="s">
        <v>76</v>
      </c>
      <c r="P33" s="20" t="s">
        <v>76</v>
      </c>
      <c r="Q33" s="20"/>
      <c r="R33" s="20"/>
      <c r="T33" s="20"/>
      <c r="U33" s="19"/>
      <c r="V33" s="22"/>
      <c r="W33" s="22"/>
      <c r="X33" s="20"/>
      <c r="BK33" s="25"/>
      <c r="BL33" s="20"/>
    </row>
    <row r="34" spans="1:64" x14ac:dyDescent="0.25">
      <c r="A34" s="19"/>
      <c r="B34" s="20"/>
      <c r="C34" s="21"/>
      <c r="D34" s="19"/>
      <c r="E34" s="20"/>
      <c r="F34" s="19"/>
      <c r="G34" s="20"/>
      <c r="H34" s="19"/>
      <c r="I34" s="20"/>
      <c r="J34" s="20" t="s">
        <v>76</v>
      </c>
      <c r="K34" s="20" t="s">
        <v>76</v>
      </c>
      <c r="L34" s="20"/>
      <c r="M34" s="20"/>
      <c r="N34" s="20" t="s">
        <v>76</v>
      </c>
      <c r="O34" s="20" t="s">
        <v>76</v>
      </c>
      <c r="P34" s="20" t="s">
        <v>76</v>
      </c>
      <c r="Q34" s="20"/>
      <c r="R34" s="20"/>
      <c r="T34" s="20"/>
      <c r="U34" s="19"/>
      <c r="V34" s="22"/>
      <c r="W34" s="22"/>
      <c r="X34" s="20"/>
      <c r="BK34" s="25"/>
      <c r="BL34" s="20"/>
    </row>
    <row r="35" spans="1:64" x14ac:dyDescent="0.25">
      <c r="A35" s="19"/>
      <c r="B35" s="20"/>
      <c r="C35" s="21"/>
      <c r="D35" s="19"/>
      <c r="E35" s="20"/>
      <c r="F35" s="19"/>
      <c r="G35" s="20"/>
      <c r="H35" s="19"/>
      <c r="I35" s="20"/>
      <c r="J35" s="20" t="s">
        <v>76</v>
      </c>
      <c r="K35" s="20" t="s">
        <v>76</v>
      </c>
      <c r="L35" s="20"/>
      <c r="M35" s="20"/>
      <c r="N35" s="20" t="s">
        <v>76</v>
      </c>
      <c r="O35" s="20" t="s">
        <v>76</v>
      </c>
      <c r="P35" s="20" t="s">
        <v>76</v>
      </c>
      <c r="Q35" s="20"/>
      <c r="R35" s="20"/>
      <c r="T35" s="20"/>
      <c r="U35" s="19"/>
      <c r="V35" s="22"/>
      <c r="W35" s="22"/>
      <c r="X35" s="20"/>
      <c r="BK35" s="25"/>
      <c r="BL35" s="20"/>
    </row>
    <row r="36" spans="1:64" x14ac:dyDescent="0.25">
      <c r="A36" s="19"/>
      <c r="B36" s="20"/>
      <c r="C36" s="21"/>
      <c r="D36" s="19"/>
      <c r="E36" s="20"/>
      <c r="F36" s="19"/>
      <c r="G36" s="20"/>
      <c r="H36" s="19"/>
      <c r="I36" s="20"/>
      <c r="J36" s="20" t="s">
        <v>76</v>
      </c>
      <c r="K36" s="20" t="s">
        <v>76</v>
      </c>
      <c r="L36" s="20"/>
      <c r="M36" s="20"/>
      <c r="N36" s="20" t="s">
        <v>76</v>
      </c>
      <c r="O36" s="20" t="s">
        <v>76</v>
      </c>
      <c r="P36" s="20" t="s">
        <v>76</v>
      </c>
      <c r="Q36" s="20"/>
      <c r="R36" s="20"/>
      <c r="T36" s="20"/>
      <c r="U36" s="19"/>
      <c r="V36" s="22"/>
      <c r="W36" s="22"/>
      <c r="X36" s="20"/>
      <c r="BK36" s="25"/>
      <c r="BL36" s="20"/>
    </row>
    <row r="37" spans="1:64" x14ac:dyDescent="0.25">
      <c r="A37" s="19"/>
      <c r="B37" s="20"/>
      <c r="C37" s="21"/>
      <c r="D37" s="19"/>
      <c r="E37" s="20"/>
      <c r="F37" s="19"/>
      <c r="G37" s="20"/>
      <c r="H37" s="19"/>
      <c r="I37" s="20"/>
      <c r="J37" s="20" t="s">
        <v>76</v>
      </c>
      <c r="K37" s="20" t="s">
        <v>76</v>
      </c>
      <c r="L37" s="20"/>
      <c r="M37" s="20"/>
      <c r="N37" s="20" t="s">
        <v>76</v>
      </c>
      <c r="O37" s="20" t="s">
        <v>76</v>
      </c>
      <c r="P37" s="20" t="s">
        <v>76</v>
      </c>
      <c r="Q37" s="20"/>
      <c r="R37" s="20"/>
      <c r="T37" s="20"/>
      <c r="U37" s="19"/>
      <c r="V37" s="22"/>
      <c r="W37" s="22"/>
      <c r="X37" s="20"/>
      <c r="BK37" s="25"/>
      <c r="BL37" s="20"/>
    </row>
    <row r="38" spans="1:64" x14ac:dyDescent="0.25">
      <c r="A38" s="19"/>
      <c r="B38" s="20"/>
      <c r="C38" s="21"/>
      <c r="D38" s="19"/>
      <c r="E38" s="20"/>
      <c r="F38" s="19"/>
      <c r="G38" s="20"/>
      <c r="H38" s="19"/>
      <c r="I38" s="20"/>
      <c r="J38" s="20" t="s">
        <v>76</v>
      </c>
      <c r="K38" s="20" t="s">
        <v>76</v>
      </c>
      <c r="L38" s="20"/>
      <c r="M38" s="20"/>
      <c r="N38" s="20" t="s">
        <v>76</v>
      </c>
      <c r="O38" s="20" t="s">
        <v>76</v>
      </c>
      <c r="P38" s="20" t="s">
        <v>76</v>
      </c>
      <c r="Q38" s="20"/>
      <c r="R38" s="20"/>
      <c r="T38" s="20"/>
      <c r="U38" s="19"/>
      <c r="V38" s="22"/>
      <c r="W38" s="22"/>
      <c r="X38" s="20"/>
      <c r="BK38" s="25"/>
      <c r="BL38" s="20"/>
    </row>
    <row r="39" spans="1:64" x14ac:dyDescent="0.25">
      <c r="A39" s="19"/>
      <c r="B39" s="20"/>
      <c r="C39" s="21"/>
      <c r="D39" s="19"/>
      <c r="E39" s="20"/>
      <c r="F39" s="19"/>
      <c r="G39" s="20"/>
      <c r="H39" s="19"/>
      <c r="I39" s="20"/>
      <c r="J39" s="20" t="s">
        <v>76</v>
      </c>
      <c r="K39" s="20" t="s">
        <v>76</v>
      </c>
      <c r="L39" s="20"/>
      <c r="M39" s="20"/>
      <c r="N39" s="20" t="s">
        <v>76</v>
      </c>
      <c r="O39" s="20" t="s">
        <v>76</v>
      </c>
      <c r="P39" s="20" t="s">
        <v>76</v>
      </c>
      <c r="Q39" s="20"/>
      <c r="R39" s="20"/>
      <c r="T39" s="20"/>
      <c r="U39" s="19"/>
      <c r="V39" s="22"/>
      <c r="W39" s="22"/>
      <c r="X39" s="20"/>
      <c r="BK39" s="25"/>
      <c r="BL39" s="20"/>
    </row>
    <row r="40" spans="1:64" x14ac:dyDescent="0.25">
      <c r="A40" s="19"/>
      <c r="B40" s="20"/>
      <c r="C40" s="21"/>
      <c r="D40" s="19"/>
      <c r="E40" s="20"/>
      <c r="F40" s="19"/>
      <c r="G40" s="20"/>
      <c r="H40" s="19"/>
      <c r="I40" s="20"/>
      <c r="J40" s="20" t="s">
        <v>76</v>
      </c>
      <c r="K40" s="20" t="s">
        <v>76</v>
      </c>
      <c r="L40" s="20"/>
      <c r="M40" s="20"/>
      <c r="N40" s="20" t="s">
        <v>76</v>
      </c>
      <c r="O40" s="20" t="s">
        <v>76</v>
      </c>
      <c r="P40" s="20" t="s">
        <v>76</v>
      </c>
      <c r="Q40" s="20"/>
      <c r="R40" s="20"/>
      <c r="T40" s="20"/>
      <c r="U40" s="19"/>
      <c r="V40" s="22"/>
      <c r="W40" s="22"/>
      <c r="X40" s="20"/>
      <c r="BK40" s="25"/>
      <c r="BL40" s="20"/>
    </row>
    <row r="41" spans="1:64" x14ac:dyDescent="0.25">
      <c r="A41" s="19"/>
      <c r="B41" s="20"/>
      <c r="C41" s="21"/>
      <c r="D41" s="19"/>
      <c r="E41" s="20"/>
      <c r="F41" s="19"/>
      <c r="G41" s="20"/>
      <c r="H41" s="19"/>
      <c r="I41" s="20"/>
      <c r="J41" s="20" t="s">
        <v>76</v>
      </c>
      <c r="K41" s="20" t="s">
        <v>76</v>
      </c>
      <c r="L41" s="20"/>
      <c r="M41" s="20"/>
      <c r="N41" s="20" t="s">
        <v>76</v>
      </c>
      <c r="O41" s="20" t="s">
        <v>76</v>
      </c>
      <c r="P41" s="20" t="s">
        <v>76</v>
      </c>
      <c r="Q41" s="20"/>
      <c r="R41" s="20"/>
      <c r="T41" s="20"/>
      <c r="U41" s="19"/>
      <c r="V41" s="22"/>
      <c r="W41" s="22"/>
      <c r="X41" s="20"/>
      <c r="BK41" s="25"/>
      <c r="BL41" s="20"/>
    </row>
    <row r="42" spans="1:64" x14ac:dyDescent="0.25">
      <c r="A42" s="19"/>
      <c r="B42" s="20"/>
      <c r="C42" s="21"/>
      <c r="D42" s="19"/>
      <c r="E42" s="20"/>
      <c r="F42" s="19"/>
      <c r="G42" s="20"/>
      <c r="H42" s="19"/>
      <c r="I42" s="20"/>
      <c r="J42" s="20" t="s">
        <v>76</v>
      </c>
      <c r="K42" s="20" t="s">
        <v>76</v>
      </c>
      <c r="L42" s="20"/>
      <c r="M42" s="20"/>
      <c r="N42" s="20" t="s">
        <v>76</v>
      </c>
      <c r="O42" s="20" t="s">
        <v>76</v>
      </c>
      <c r="P42" s="20" t="s">
        <v>76</v>
      </c>
      <c r="Q42" s="20"/>
      <c r="R42" s="20"/>
      <c r="T42" s="20"/>
      <c r="U42" s="19"/>
      <c r="V42" s="22"/>
      <c r="W42" s="22"/>
      <c r="X42" s="20"/>
      <c r="BK42" s="25"/>
      <c r="BL42" s="20"/>
    </row>
    <row r="43" spans="1:64" x14ac:dyDescent="0.25">
      <c r="A43" s="19"/>
      <c r="B43" s="20"/>
      <c r="C43" s="21"/>
      <c r="D43" s="19"/>
      <c r="E43" s="20"/>
      <c r="F43" s="19"/>
      <c r="G43" s="20"/>
      <c r="H43" s="19"/>
      <c r="I43" s="20"/>
      <c r="J43" s="20" t="s">
        <v>76</v>
      </c>
      <c r="K43" s="20" t="s">
        <v>76</v>
      </c>
      <c r="L43" s="20"/>
      <c r="M43" s="20"/>
      <c r="N43" s="20" t="s">
        <v>76</v>
      </c>
      <c r="O43" s="20" t="s">
        <v>76</v>
      </c>
      <c r="P43" s="20" t="s">
        <v>76</v>
      </c>
      <c r="Q43" s="20"/>
      <c r="R43" s="20"/>
      <c r="T43" s="20"/>
      <c r="U43" s="19"/>
      <c r="V43" s="22"/>
      <c r="W43" s="22"/>
      <c r="X43" s="20"/>
      <c r="BK43" s="25"/>
      <c r="BL43" s="20"/>
    </row>
    <row r="44" spans="1:64" x14ac:dyDescent="0.25">
      <c r="A44" s="19"/>
      <c r="B44" s="20"/>
      <c r="C44" s="21"/>
      <c r="D44" s="19"/>
      <c r="E44" s="20"/>
      <c r="F44" s="19"/>
      <c r="G44" s="20"/>
      <c r="H44" s="19"/>
      <c r="I44" s="20"/>
      <c r="J44" s="20" t="s">
        <v>76</v>
      </c>
      <c r="K44" s="20" t="s">
        <v>76</v>
      </c>
      <c r="L44" s="20"/>
      <c r="M44" s="20"/>
      <c r="N44" s="20" t="s">
        <v>76</v>
      </c>
      <c r="O44" s="20" t="s">
        <v>76</v>
      </c>
      <c r="P44" s="20" t="s">
        <v>76</v>
      </c>
      <c r="Q44" s="20"/>
      <c r="R44" s="20"/>
      <c r="T44" s="20"/>
      <c r="U44" s="19"/>
      <c r="V44" s="22"/>
      <c r="W44" s="22"/>
      <c r="X44" s="20"/>
      <c r="BK44" s="25"/>
      <c r="BL44" s="20"/>
    </row>
    <row r="45" spans="1:64" x14ac:dyDescent="0.25">
      <c r="A45" s="19"/>
      <c r="B45" s="20"/>
      <c r="C45" s="21"/>
      <c r="D45" s="19"/>
      <c r="E45" s="20"/>
      <c r="F45" s="19"/>
      <c r="G45" s="20"/>
      <c r="H45" s="19"/>
      <c r="I45" s="20"/>
      <c r="J45" s="20" t="s">
        <v>76</v>
      </c>
      <c r="K45" s="20" t="s">
        <v>76</v>
      </c>
      <c r="L45" s="20"/>
      <c r="M45" s="20"/>
      <c r="N45" s="20" t="s">
        <v>76</v>
      </c>
      <c r="O45" s="20" t="s">
        <v>76</v>
      </c>
      <c r="P45" s="20" t="s">
        <v>76</v>
      </c>
      <c r="Q45" s="20"/>
      <c r="R45" s="20"/>
      <c r="T45" s="20"/>
      <c r="U45" s="19"/>
      <c r="V45" s="22"/>
      <c r="W45" s="22"/>
      <c r="X45" s="20"/>
      <c r="BK45" s="25"/>
      <c r="BL45" s="20"/>
    </row>
    <row r="46" spans="1:64" x14ac:dyDescent="0.25">
      <c r="A46" s="19"/>
      <c r="B46" s="20"/>
      <c r="C46" s="21"/>
      <c r="D46" s="19"/>
      <c r="E46" s="20"/>
      <c r="F46" s="19"/>
      <c r="G46" s="20"/>
      <c r="H46" s="19"/>
      <c r="I46" s="20"/>
      <c r="J46" s="20" t="s">
        <v>76</v>
      </c>
      <c r="K46" s="20" t="s">
        <v>76</v>
      </c>
      <c r="L46" s="20"/>
      <c r="M46" s="20"/>
      <c r="N46" s="20" t="s">
        <v>76</v>
      </c>
      <c r="O46" s="20" t="s">
        <v>76</v>
      </c>
      <c r="P46" s="20" t="s">
        <v>76</v>
      </c>
      <c r="Q46" s="20"/>
      <c r="R46" s="20"/>
      <c r="T46" s="20"/>
      <c r="U46" s="19"/>
      <c r="V46" s="22"/>
      <c r="W46" s="22"/>
      <c r="X46" s="20"/>
      <c r="BK46" s="25"/>
      <c r="BL46" s="20"/>
    </row>
    <row r="47" spans="1:64" x14ac:dyDescent="0.25">
      <c r="A47" s="19"/>
      <c r="B47" s="20"/>
      <c r="C47" s="21"/>
      <c r="D47" s="19"/>
      <c r="E47" s="20"/>
      <c r="F47" s="19"/>
      <c r="G47" s="20"/>
      <c r="H47" s="19"/>
      <c r="I47" s="20"/>
      <c r="J47" s="20" t="s">
        <v>76</v>
      </c>
      <c r="K47" s="20" t="s">
        <v>76</v>
      </c>
      <c r="L47" s="20"/>
      <c r="M47" s="20"/>
      <c r="N47" s="20" t="s">
        <v>76</v>
      </c>
      <c r="O47" s="20" t="s">
        <v>76</v>
      </c>
      <c r="P47" s="20" t="s">
        <v>76</v>
      </c>
      <c r="Q47" s="20"/>
      <c r="R47" s="20"/>
      <c r="T47" s="20"/>
      <c r="U47" s="19"/>
      <c r="V47" s="22"/>
      <c r="W47" s="22"/>
      <c r="X47" s="20"/>
      <c r="BK47" s="25"/>
      <c r="BL47" s="20"/>
    </row>
    <row r="48" spans="1:64" x14ac:dyDescent="0.25">
      <c r="A48" s="19"/>
      <c r="B48" s="20"/>
      <c r="C48" s="21"/>
      <c r="D48" s="19"/>
      <c r="E48" s="20"/>
      <c r="F48" s="19"/>
      <c r="G48" s="20"/>
      <c r="H48" s="19"/>
      <c r="I48" s="20"/>
      <c r="J48" s="20" t="s">
        <v>76</v>
      </c>
      <c r="K48" s="20" t="s">
        <v>76</v>
      </c>
      <c r="L48" s="20"/>
      <c r="M48" s="20"/>
      <c r="N48" s="20" t="s">
        <v>76</v>
      </c>
      <c r="O48" s="20" t="s">
        <v>76</v>
      </c>
      <c r="P48" s="20" t="s">
        <v>76</v>
      </c>
      <c r="Q48" s="20"/>
      <c r="R48" s="20"/>
      <c r="T48" s="20"/>
      <c r="U48" s="19"/>
      <c r="V48" s="22"/>
      <c r="W48" s="22"/>
      <c r="X48" s="20"/>
      <c r="BK48" s="25"/>
      <c r="BL48" s="20"/>
    </row>
    <row r="49" spans="1:64" x14ac:dyDescent="0.25">
      <c r="A49" s="19"/>
      <c r="B49" s="20"/>
      <c r="C49" s="21"/>
      <c r="D49" s="19"/>
      <c r="E49" s="20"/>
      <c r="F49" s="19"/>
      <c r="G49" s="20"/>
      <c r="H49" s="19"/>
      <c r="I49" s="20"/>
      <c r="J49" s="20" t="s">
        <v>76</v>
      </c>
      <c r="K49" s="20" t="s">
        <v>76</v>
      </c>
      <c r="L49" s="20"/>
      <c r="M49" s="20"/>
      <c r="N49" s="20" t="s">
        <v>76</v>
      </c>
      <c r="O49" s="20" t="s">
        <v>76</v>
      </c>
      <c r="P49" s="20" t="s">
        <v>76</v>
      </c>
      <c r="Q49" s="20"/>
      <c r="R49" s="20"/>
      <c r="T49" s="20"/>
      <c r="U49" s="19"/>
      <c r="V49" s="22"/>
      <c r="W49" s="22"/>
      <c r="X49" s="20"/>
      <c r="BK49" s="25"/>
      <c r="BL49" s="20"/>
    </row>
    <row r="50" spans="1:64" x14ac:dyDescent="0.25">
      <c r="A50" s="19"/>
      <c r="B50" s="20"/>
      <c r="C50" s="21"/>
      <c r="D50" s="19"/>
      <c r="E50" s="20"/>
      <c r="F50" s="19"/>
      <c r="G50" s="20"/>
      <c r="H50" s="19"/>
      <c r="I50" s="20"/>
      <c r="J50" s="20" t="s">
        <v>76</v>
      </c>
      <c r="K50" s="20" t="s">
        <v>76</v>
      </c>
      <c r="L50" s="20"/>
      <c r="M50" s="20"/>
      <c r="N50" s="20" t="s">
        <v>76</v>
      </c>
      <c r="O50" s="20" t="s">
        <v>76</v>
      </c>
      <c r="P50" s="20" t="s">
        <v>76</v>
      </c>
      <c r="Q50" s="20"/>
      <c r="R50" s="20"/>
      <c r="T50" s="20"/>
      <c r="U50" s="19"/>
      <c r="V50" s="22"/>
      <c r="W50" s="22"/>
      <c r="X50" s="20"/>
      <c r="BK50" s="25"/>
      <c r="BL50" s="20"/>
    </row>
    <row r="51" spans="1:64" x14ac:dyDescent="0.25">
      <c r="A51" s="19"/>
      <c r="B51" s="20"/>
      <c r="C51" s="21"/>
      <c r="D51" s="19"/>
      <c r="E51" s="20"/>
      <c r="F51" s="19"/>
      <c r="G51" s="20"/>
      <c r="H51" s="19"/>
      <c r="I51" s="20"/>
      <c r="J51" s="20" t="s">
        <v>76</v>
      </c>
      <c r="K51" s="20" t="s">
        <v>76</v>
      </c>
      <c r="L51" s="20"/>
      <c r="M51" s="20"/>
      <c r="N51" s="20" t="s">
        <v>76</v>
      </c>
      <c r="O51" s="20" t="s">
        <v>76</v>
      </c>
      <c r="P51" s="20" t="s">
        <v>76</v>
      </c>
      <c r="Q51" s="20"/>
      <c r="R51" s="20"/>
      <c r="T51" s="20"/>
      <c r="U51" s="19"/>
      <c r="V51" s="22"/>
      <c r="W51" s="22"/>
      <c r="X51" s="20"/>
      <c r="BK51" s="25"/>
      <c r="BL51" s="20"/>
    </row>
    <row r="52" spans="1:64" x14ac:dyDescent="0.25">
      <c r="A52" s="19"/>
      <c r="B52" s="20"/>
      <c r="C52" s="21"/>
      <c r="D52" s="19"/>
      <c r="E52" s="20"/>
      <c r="F52" s="19"/>
      <c r="G52" s="20"/>
      <c r="H52" s="19"/>
      <c r="I52" s="20"/>
      <c r="J52" s="20" t="s">
        <v>76</v>
      </c>
      <c r="K52" s="20" t="s">
        <v>76</v>
      </c>
      <c r="L52" s="20"/>
      <c r="M52" s="20"/>
      <c r="N52" s="20" t="s">
        <v>76</v>
      </c>
      <c r="O52" s="20" t="s">
        <v>76</v>
      </c>
      <c r="P52" s="20" t="s">
        <v>76</v>
      </c>
      <c r="Q52" s="20"/>
      <c r="R52" s="20"/>
      <c r="T52" s="20"/>
      <c r="U52" s="19"/>
      <c r="V52" s="22"/>
      <c r="W52" s="22"/>
      <c r="X52" s="20"/>
      <c r="BK52" s="25"/>
      <c r="BL52" s="20"/>
    </row>
    <row r="53" spans="1:64" x14ac:dyDescent="0.25">
      <c r="A53" s="19"/>
      <c r="B53" s="20"/>
      <c r="C53" s="21"/>
      <c r="D53" s="19"/>
      <c r="E53" s="20"/>
      <c r="F53" s="19"/>
      <c r="G53" s="20"/>
      <c r="H53" s="19"/>
      <c r="I53" s="20"/>
      <c r="J53" s="20" t="s">
        <v>76</v>
      </c>
      <c r="K53" s="20" t="s">
        <v>76</v>
      </c>
      <c r="L53" s="20"/>
      <c r="M53" s="20"/>
      <c r="N53" s="20" t="s">
        <v>76</v>
      </c>
      <c r="O53" s="20" t="s">
        <v>76</v>
      </c>
      <c r="P53" s="20" t="s">
        <v>76</v>
      </c>
      <c r="Q53" s="20"/>
      <c r="R53" s="20"/>
      <c r="T53" s="20"/>
      <c r="U53" s="19"/>
      <c r="V53" s="22"/>
      <c r="W53" s="22"/>
      <c r="X53" s="20"/>
      <c r="BK53" s="25"/>
      <c r="BL53" s="20"/>
    </row>
    <row r="54" spans="1:64" x14ac:dyDescent="0.25">
      <c r="A54" s="19"/>
      <c r="B54" s="20"/>
      <c r="C54" s="21"/>
      <c r="D54" s="19"/>
      <c r="E54" s="20"/>
      <c r="F54" s="19"/>
      <c r="G54" s="20"/>
      <c r="H54" s="19"/>
      <c r="I54" s="20"/>
      <c r="J54" s="20" t="s">
        <v>76</v>
      </c>
      <c r="K54" s="20" t="s">
        <v>76</v>
      </c>
      <c r="L54" s="20"/>
      <c r="M54" s="20"/>
      <c r="N54" s="20" t="s">
        <v>76</v>
      </c>
      <c r="O54" s="20" t="s">
        <v>76</v>
      </c>
      <c r="P54" s="20" t="s">
        <v>76</v>
      </c>
      <c r="Q54" s="20"/>
      <c r="R54" s="20"/>
      <c r="T54" s="20"/>
      <c r="U54" s="19"/>
      <c r="V54" s="22"/>
      <c r="W54" s="22"/>
      <c r="X54" s="20"/>
      <c r="BK54" s="25"/>
      <c r="BL54" s="20"/>
    </row>
    <row r="55" spans="1:64" x14ac:dyDescent="0.25">
      <c r="A55" s="19"/>
      <c r="B55" s="20"/>
      <c r="C55" s="21"/>
      <c r="D55" s="19"/>
      <c r="E55" s="20"/>
      <c r="F55" s="19"/>
      <c r="G55" s="20"/>
      <c r="H55" s="19"/>
      <c r="I55" s="20"/>
      <c r="J55" s="20" t="s">
        <v>76</v>
      </c>
      <c r="K55" s="20" t="s">
        <v>76</v>
      </c>
      <c r="L55" s="20"/>
      <c r="M55" s="20"/>
      <c r="N55" s="20" t="s">
        <v>76</v>
      </c>
      <c r="O55" s="20" t="s">
        <v>76</v>
      </c>
      <c r="P55" s="20" t="s">
        <v>76</v>
      </c>
      <c r="Q55" s="20"/>
      <c r="R55" s="20"/>
      <c r="T55" s="20"/>
      <c r="U55" s="19"/>
      <c r="V55" s="22"/>
      <c r="W55" s="22"/>
      <c r="X55" s="20"/>
      <c r="BK55" s="25"/>
      <c r="BL55" s="20"/>
    </row>
    <row r="56" spans="1:64" x14ac:dyDescent="0.25">
      <c r="A56" s="19"/>
      <c r="B56" s="20"/>
      <c r="C56" s="21"/>
      <c r="D56" s="19"/>
      <c r="E56" s="20"/>
      <c r="F56" s="19"/>
      <c r="G56" s="20"/>
      <c r="H56" s="19"/>
      <c r="I56" s="20"/>
      <c r="J56" s="20" t="s">
        <v>76</v>
      </c>
      <c r="K56" s="20" t="s">
        <v>76</v>
      </c>
      <c r="L56" s="20"/>
      <c r="M56" s="20"/>
      <c r="N56" s="20" t="s">
        <v>76</v>
      </c>
      <c r="O56" s="20" t="s">
        <v>76</v>
      </c>
      <c r="P56" s="20" t="s">
        <v>76</v>
      </c>
      <c r="Q56" s="20"/>
      <c r="R56" s="20"/>
      <c r="T56" s="20"/>
      <c r="U56" s="19"/>
      <c r="V56" s="22"/>
      <c r="W56" s="22"/>
      <c r="X56" s="20"/>
      <c r="BK56" s="25"/>
      <c r="BL56" s="20"/>
    </row>
    <row r="57" spans="1:64" x14ac:dyDescent="0.25">
      <c r="A57" s="19"/>
      <c r="B57" s="20"/>
      <c r="C57" s="21"/>
      <c r="D57" s="19"/>
      <c r="E57" s="20"/>
      <c r="F57" s="19"/>
      <c r="G57" s="20"/>
      <c r="H57" s="19"/>
      <c r="I57" s="20"/>
      <c r="J57" s="20" t="s">
        <v>76</v>
      </c>
      <c r="K57" s="20" t="s">
        <v>76</v>
      </c>
      <c r="L57" s="20"/>
      <c r="M57" s="20"/>
      <c r="N57" s="20" t="s">
        <v>76</v>
      </c>
      <c r="O57" s="20" t="s">
        <v>76</v>
      </c>
      <c r="P57" s="20" t="s">
        <v>76</v>
      </c>
      <c r="Q57" s="20"/>
      <c r="R57" s="20"/>
      <c r="T57" s="20"/>
      <c r="U57" s="19"/>
      <c r="V57" s="22"/>
      <c r="W57" s="22"/>
      <c r="X57" s="20"/>
      <c r="BK57" s="25"/>
      <c r="BL57" s="20"/>
    </row>
    <row r="58" spans="1:64" x14ac:dyDescent="0.25">
      <c r="A58" s="19"/>
      <c r="B58" s="20"/>
      <c r="C58" s="21"/>
      <c r="D58" s="19"/>
      <c r="E58" s="20"/>
      <c r="F58" s="19"/>
      <c r="G58" s="20"/>
      <c r="H58" s="19"/>
      <c r="I58" s="20"/>
      <c r="J58" s="20" t="s">
        <v>76</v>
      </c>
      <c r="K58" s="20" t="s">
        <v>76</v>
      </c>
      <c r="L58" s="20"/>
      <c r="M58" s="20"/>
      <c r="N58" s="20" t="s">
        <v>76</v>
      </c>
      <c r="O58" s="20" t="s">
        <v>76</v>
      </c>
      <c r="P58" s="20" t="s">
        <v>76</v>
      </c>
      <c r="Q58" s="20"/>
      <c r="R58" s="20"/>
      <c r="T58" s="20"/>
      <c r="U58" s="19"/>
      <c r="V58" s="22"/>
      <c r="W58" s="22"/>
      <c r="X58" s="20"/>
      <c r="BK58" s="25"/>
      <c r="BL58" s="20"/>
    </row>
    <row r="59" spans="1:64" x14ac:dyDescent="0.25">
      <c r="A59" s="19"/>
      <c r="B59" s="20"/>
      <c r="C59" s="21"/>
      <c r="D59" s="19"/>
      <c r="E59" s="20"/>
      <c r="F59" s="19"/>
      <c r="G59" s="20"/>
      <c r="H59" s="19"/>
      <c r="I59" s="20"/>
      <c r="J59" s="20" t="s">
        <v>76</v>
      </c>
      <c r="K59" s="20" t="s">
        <v>76</v>
      </c>
      <c r="L59" s="20"/>
      <c r="M59" s="20"/>
      <c r="N59" s="20" t="s">
        <v>76</v>
      </c>
      <c r="O59" s="20" t="s">
        <v>76</v>
      </c>
      <c r="P59" s="20" t="s">
        <v>76</v>
      </c>
      <c r="Q59" s="20"/>
      <c r="R59" s="20"/>
      <c r="T59" s="20"/>
      <c r="U59" s="19"/>
      <c r="V59" s="22"/>
      <c r="W59" s="22"/>
      <c r="X59" s="20"/>
      <c r="BK59" s="25"/>
      <c r="BL59" s="20"/>
    </row>
    <row r="60" spans="1:64" x14ac:dyDescent="0.25">
      <c r="A60" s="19"/>
      <c r="B60" s="20"/>
      <c r="C60" s="21"/>
      <c r="D60" s="19"/>
      <c r="E60" s="20"/>
      <c r="F60" s="19"/>
      <c r="G60" s="20"/>
      <c r="H60" s="19"/>
      <c r="I60" s="20"/>
      <c r="J60" s="20" t="s">
        <v>76</v>
      </c>
      <c r="K60" s="20" t="s">
        <v>76</v>
      </c>
      <c r="L60" s="20"/>
      <c r="M60" s="20"/>
      <c r="N60" s="20" t="s">
        <v>76</v>
      </c>
      <c r="O60" s="20" t="s">
        <v>76</v>
      </c>
      <c r="P60" s="20" t="s">
        <v>76</v>
      </c>
      <c r="Q60" s="20"/>
      <c r="R60" s="20"/>
      <c r="T60" s="20"/>
      <c r="U60" s="19"/>
      <c r="V60" s="22"/>
      <c r="W60" s="22"/>
      <c r="X60" s="20"/>
      <c r="BK60" s="25"/>
      <c r="BL60" s="20"/>
    </row>
    <row r="61" spans="1:64" x14ac:dyDescent="0.25">
      <c r="A61" s="19"/>
      <c r="B61" s="20"/>
      <c r="C61" s="21"/>
      <c r="D61" s="19"/>
      <c r="E61" s="20"/>
      <c r="F61" s="19"/>
      <c r="G61" s="20"/>
      <c r="H61" s="19"/>
      <c r="I61" s="20"/>
      <c r="J61" s="20" t="s">
        <v>76</v>
      </c>
      <c r="K61" s="20" t="s">
        <v>76</v>
      </c>
      <c r="L61" s="20"/>
      <c r="M61" s="20"/>
      <c r="N61" s="20" t="s">
        <v>76</v>
      </c>
      <c r="O61" s="20" t="s">
        <v>76</v>
      </c>
      <c r="P61" s="20" t="s">
        <v>76</v>
      </c>
      <c r="Q61" s="20"/>
      <c r="R61" s="20"/>
      <c r="T61" s="20"/>
      <c r="U61" s="19"/>
      <c r="V61" s="22"/>
      <c r="W61" s="22"/>
      <c r="X61" s="20"/>
      <c r="BK61" s="25"/>
      <c r="BL61" s="20"/>
    </row>
    <row r="62" spans="1:64" x14ac:dyDescent="0.25">
      <c r="A62" s="19"/>
      <c r="B62" s="20"/>
      <c r="C62" s="21"/>
      <c r="D62" s="19"/>
      <c r="E62" s="20"/>
      <c r="F62" s="19"/>
      <c r="G62" s="20"/>
      <c r="H62" s="19"/>
      <c r="I62" s="20"/>
      <c r="J62" s="20" t="s">
        <v>76</v>
      </c>
      <c r="K62" s="20" t="s">
        <v>76</v>
      </c>
      <c r="L62" s="20"/>
      <c r="M62" s="20"/>
      <c r="N62" s="20" t="s">
        <v>76</v>
      </c>
      <c r="O62" s="20" t="s">
        <v>76</v>
      </c>
      <c r="P62" s="20" t="s">
        <v>76</v>
      </c>
      <c r="Q62" s="20"/>
      <c r="R62" s="20"/>
      <c r="T62" s="20"/>
      <c r="U62" s="19"/>
      <c r="V62" s="22"/>
      <c r="W62" s="22"/>
      <c r="X62" s="20"/>
      <c r="BK62" s="25"/>
      <c r="BL62" s="20"/>
    </row>
    <row r="63" spans="1:64" x14ac:dyDescent="0.25">
      <c r="A63" s="19"/>
      <c r="B63" s="20"/>
      <c r="C63" s="21"/>
      <c r="D63" s="19"/>
      <c r="E63" s="20"/>
      <c r="F63" s="19"/>
      <c r="G63" s="20"/>
      <c r="H63" s="19"/>
      <c r="I63" s="20"/>
      <c r="J63" s="20" t="s">
        <v>76</v>
      </c>
      <c r="K63" s="20" t="s">
        <v>76</v>
      </c>
      <c r="L63" s="20"/>
      <c r="M63" s="20"/>
      <c r="N63" s="20" t="s">
        <v>76</v>
      </c>
      <c r="O63" s="20" t="s">
        <v>76</v>
      </c>
      <c r="P63" s="20" t="s">
        <v>76</v>
      </c>
      <c r="Q63" s="20"/>
      <c r="R63" s="20"/>
      <c r="T63" s="20"/>
      <c r="U63" s="19"/>
      <c r="V63" s="22"/>
      <c r="W63" s="22"/>
      <c r="X63" s="20"/>
      <c r="BK63" s="25"/>
      <c r="BL63" s="20"/>
    </row>
    <row r="64" spans="1:64" x14ac:dyDescent="0.25">
      <c r="A64" s="19"/>
      <c r="B64" s="20"/>
      <c r="C64" s="21"/>
      <c r="D64" s="19"/>
      <c r="E64" s="20"/>
      <c r="F64" s="19"/>
      <c r="G64" s="20"/>
      <c r="H64" s="19"/>
      <c r="I64" s="20"/>
      <c r="J64" s="20" t="s">
        <v>76</v>
      </c>
      <c r="K64" s="20" t="s">
        <v>76</v>
      </c>
      <c r="L64" s="20"/>
      <c r="M64" s="20"/>
      <c r="N64" s="20" t="s">
        <v>76</v>
      </c>
      <c r="O64" s="20" t="s">
        <v>76</v>
      </c>
      <c r="P64" s="20" t="s">
        <v>76</v>
      </c>
      <c r="Q64" s="20"/>
      <c r="R64" s="20"/>
      <c r="T64" s="20"/>
      <c r="U64" s="19"/>
      <c r="V64" s="22"/>
      <c r="W64" s="22"/>
      <c r="X64" s="20"/>
      <c r="BK64" s="25"/>
      <c r="BL64" s="20"/>
    </row>
    <row r="65" spans="1:64" x14ac:dyDescent="0.25">
      <c r="A65" s="19"/>
      <c r="B65" s="20"/>
      <c r="C65" s="21"/>
      <c r="D65" s="19"/>
      <c r="E65" s="20"/>
      <c r="F65" s="19"/>
      <c r="G65" s="20"/>
      <c r="H65" s="19"/>
      <c r="I65" s="20"/>
      <c r="J65" s="20" t="s">
        <v>76</v>
      </c>
      <c r="K65" s="20" t="s">
        <v>76</v>
      </c>
      <c r="L65" s="20"/>
      <c r="M65" s="20"/>
      <c r="N65" s="20" t="s">
        <v>76</v>
      </c>
      <c r="O65" s="20" t="s">
        <v>76</v>
      </c>
      <c r="P65" s="20" t="s">
        <v>76</v>
      </c>
      <c r="Q65" s="20"/>
      <c r="R65" s="20"/>
      <c r="T65" s="20"/>
      <c r="U65" s="19"/>
      <c r="V65" s="22"/>
      <c r="W65" s="22"/>
      <c r="X65" s="20"/>
      <c r="BK65" s="25"/>
      <c r="BL65" s="20"/>
    </row>
    <row r="66" spans="1:64" x14ac:dyDescent="0.25">
      <c r="A66" s="19"/>
      <c r="B66" s="20"/>
      <c r="C66" s="21"/>
      <c r="D66" s="19"/>
      <c r="E66" s="20"/>
      <c r="F66" s="19"/>
      <c r="G66" s="20"/>
      <c r="H66" s="19"/>
      <c r="I66" s="20"/>
      <c r="J66" s="20" t="s">
        <v>76</v>
      </c>
      <c r="K66" s="20" t="s">
        <v>76</v>
      </c>
      <c r="L66" s="20"/>
      <c r="M66" s="20"/>
      <c r="N66" s="20" t="s">
        <v>76</v>
      </c>
      <c r="O66" s="20" t="s">
        <v>76</v>
      </c>
      <c r="P66" s="20" t="s">
        <v>76</v>
      </c>
      <c r="Q66" s="20"/>
      <c r="R66" s="20"/>
      <c r="T66" s="20"/>
      <c r="U66" s="19"/>
      <c r="V66" s="22"/>
      <c r="W66" s="22"/>
      <c r="X66" s="20"/>
      <c r="BK66" s="25"/>
      <c r="BL66" s="20"/>
    </row>
    <row r="67" spans="1:64" x14ac:dyDescent="0.25">
      <c r="A67" s="19"/>
      <c r="B67" s="20"/>
      <c r="C67" s="21"/>
      <c r="D67" s="19"/>
      <c r="E67" s="20"/>
      <c r="F67" s="19"/>
      <c r="G67" s="20"/>
      <c r="H67" s="19"/>
      <c r="I67" s="20"/>
      <c r="J67" s="20" t="s">
        <v>76</v>
      </c>
      <c r="K67" s="20" t="s">
        <v>76</v>
      </c>
      <c r="L67" s="20"/>
      <c r="M67" s="20"/>
      <c r="N67" s="20" t="s">
        <v>76</v>
      </c>
      <c r="O67" s="20" t="s">
        <v>76</v>
      </c>
      <c r="P67" s="20" t="s">
        <v>76</v>
      </c>
      <c r="Q67" s="20"/>
      <c r="R67" s="20"/>
      <c r="T67" s="20"/>
      <c r="U67" s="19"/>
      <c r="V67" s="22"/>
      <c r="W67" s="22"/>
      <c r="X67" s="20"/>
      <c r="BK67" s="25"/>
      <c r="BL67" s="20"/>
    </row>
    <row r="68" spans="1:64" x14ac:dyDescent="0.25">
      <c r="A68" s="19"/>
      <c r="B68" s="20"/>
      <c r="C68" s="21"/>
      <c r="D68" s="19"/>
      <c r="E68" s="20"/>
      <c r="F68" s="19"/>
      <c r="G68" s="20"/>
      <c r="H68" s="19"/>
      <c r="I68" s="20"/>
      <c r="J68" s="20" t="s">
        <v>76</v>
      </c>
      <c r="K68" s="20" t="s">
        <v>76</v>
      </c>
      <c r="L68" s="20"/>
      <c r="M68" s="20"/>
      <c r="N68" s="20" t="s">
        <v>76</v>
      </c>
      <c r="O68" s="20" t="s">
        <v>76</v>
      </c>
      <c r="P68" s="20" t="s">
        <v>76</v>
      </c>
      <c r="Q68" s="20"/>
      <c r="R68" s="20"/>
      <c r="T68" s="20"/>
      <c r="U68" s="19"/>
      <c r="V68" s="22"/>
      <c r="W68" s="22"/>
      <c r="X68" s="20"/>
      <c r="BK68" s="25"/>
      <c r="BL68" s="20"/>
    </row>
    <row r="69" spans="1:64" x14ac:dyDescent="0.25">
      <c r="A69" s="19"/>
      <c r="B69" s="20"/>
      <c r="C69" s="21"/>
      <c r="D69" s="19"/>
      <c r="E69" s="20"/>
      <c r="F69" s="19"/>
      <c r="G69" s="20"/>
      <c r="H69" s="19"/>
      <c r="I69" s="20"/>
      <c r="J69" s="20" t="s">
        <v>76</v>
      </c>
      <c r="K69" s="20" t="s">
        <v>76</v>
      </c>
      <c r="L69" s="20"/>
      <c r="M69" s="20"/>
      <c r="N69" s="20" t="s">
        <v>76</v>
      </c>
      <c r="O69" s="20" t="s">
        <v>76</v>
      </c>
      <c r="P69" s="20" t="s">
        <v>76</v>
      </c>
      <c r="Q69" s="20"/>
      <c r="R69" s="20"/>
      <c r="T69" s="20"/>
      <c r="U69" s="19"/>
      <c r="V69" s="22"/>
      <c r="W69" s="22"/>
      <c r="X69" s="20"/>
      <c r="BK69" s="25"/>
      <c r="BL69" s="20"/>
    </row>
    <row r="70" spans="1:64" x14ac:dyDescent="0.25">
      <c r="A70" s="19"/>
      <c r="B70" s="20"/>
      <c r="C70" s="21"/>
      <c r="D70" s="19"/>
      <c r="E70" s="20"/>
      <c r="F70" s="19"/>
      <c r="G70" s="20"/>
      <c r="H70" s="19"/>
      <c r="I70" s="20"/>
      <c r="J70" s="20" t="s">
        <v>76</v>
      </c>
      <c r="K70" s="20" t="s">
        <v>76</v>
      </c>
      <c r="L70" s="20"/>
      <c r="M70" s="20"/>
      <c r="N70" s="20" t="s">
        <v>76</v>
      </c>
      <c r="O70" s="20" t="s">
        <v>76</v>
      </c>
      <c r="P70" s="20" t="s">
        <v>76</v>
      </c>
      <c r="Q70" s="20"/>
      <c r="R70" s="20"/>
      <c r="T70" s="20"/>
      <c r="U70" s="19"/>
      <c r="V70" s="22"/>
      <c r="W70" s="22"/>
      <c r="X70" s="20"/>
      <c r="BK70" s="25"/>
      <c r="BL70" s="20"/>
    </row>
    <row r="71" spans="1:64" x14ac:dyDescent="0.25">
      <c r="A71" s="19"/>
      <c r="B71" s="20"/>
      <c r="C71" s="21"/>
      <c r="D71" s="19"/>
      <c r="E71" s="20"/>
      <c r="F71" s="19"/>
      <c r="G71" s="20"/>
      <c r="H71" s="19"/>
      <c r="I71" s="20"/>
      <c r="J71" s="20" t="s">
        <v>76</v>
      </c>
      <c r="K71" s="20" t="s">
        <v>76</v>
      </c>
      <c r="L71" s="20"/>
      <c r="M71" s="20"/>
      <c r="N71" s="20" t="s">
        <v>76</v>
      </c>
      <c r="O71" s="20" t="s">
        <v>76</v>
      </c>
      <c r="P71" s="20" t="s">
        <v>76</v>
      </c>
      <c r="Q71" s="20"/>
      <c r="R71" s="20"/>
      <c r="T71" s="20"/>
      <c r="U71" s="19"/>
      <c r="V71" s="22"/>
      <c r="W71" s="22"/>
      <c r="X71" s="20"/>
      <c r="BK71" s="25"/>
      <c r="BL71" s="20"/>
    </row>
    <row r="72" spans="1:64" x14ac:dyDescent="0.25">
      <c r="A72" s="19"/>
      <c r="B72" s="20"/>
      <c r="C72" s="21"/>
      <c r="D72" s="19"/>
      <c r="E72" s="20"/>
      <c r="F72" s="19"/>
      <c r="G72" s="20"/>
      <c r="H72" s="19"/>
      <c r="I72" s="20"/>
      <c r="J72" s="20" t="s">
        <v>76</v>
      </c>
      <c r="K72" s="20" t="s">
        <v>76</v>
      </c>
      <c r="L72" s="20"/>
      <c r="M72" s="20"/>
      <c r="N72" s="20" t="s">
        <v>76</v>
      </c>
      <c r="O72" s="20" t="s">
        <v>76</v>
      </c>
      <c r="P72" s="20" t="s">
        <v>76</v>
      </c>
      <c r="Q72" s="20"/>
      <c r="R72" s="20"/>
      <c r="T72" s="20"/>
      <c r="U72" s="19"/>
      <c r="V72" s="22"/>
      <c r="W72" s="22"/>
      <c r="X72" s="20"/>
      <c r="BK72" s="25"/>
      <c r="BL72" s="20"/>
    </row>
    <row r="73" spans="1:64" x14ac:dyDescent="0.25">
      <c r="A73" s="19"/>
      <c r="B73" s="20"/>
      <c r="C73" s="21"/>
      <c r="D73" s="19"/>
      <c r="E73" s="20"/>
      <c r="F73" s="19"/>
      <c r="G73" s="20"/>
      <c r="H73" s="19"/>
      <c r="I73" s="20"/>
      <c r="J73" s="20" t="s">
        <v>76</v>
      </c>
      <c r="K73" s="20" t="s">
        <v>76</v>
      </c>
      <c r="L73" s="20"/>
      <c r="M73" s="20"/>
      <c r="N73" s="20" t="s">
        <v>76</v>
      </c>
      <c r="O73" s="20" t="s">
        <v>76</v>
      </c>
      <c r="P73" s="20" t="s">
        <v>76</v>
      </c>
      <c r="Q73" s="20"/>
      <c r="R73" s="20"/>
      <c r="T73" s="20"/>
      <c r="U73" s="19"/>
      <c r="V73" s="22"/>
      <c r="W73" s="22"/>
      <c r="X73" s="20"/>
      <c r="BK73" s="25"/>
      <c r="BL73" s="20"/>
    </row>
    <row r="74" spans="1:64" x14ac:dyDescent="0.25">
      <c r="A74" s="19"/>
      <c r="B74" s="20"/>
      <c r="C74" s="21"/>
      <c r="D74" s="19"/>
      <c r="E74" s="20"/>
      <c r="F74" s="19"/>
      <c r="G74" s="20"/>
      <c r="H74" s="19"/>
      <c r="I74" s="20"/>
      <c r="J74" s="20" t="s">
        <v>76</v>
      </c>
      <c r="K74" s="20" t="s">
        <v>76</v>
      </c>
      <c r="L74" s="20"/>
      <c r="M74" s="20"/>
      <c r="N74" s="20" t="s">
        <v>76</v>
      </c>
      <c r="O74" s="20" t="s">
        <v>76</v>
      </c>
      <c r="P74" s="20" t="s">
        <v>76</v>
      </c>
      <c r="Q74" s="20"/>
      <c r="R74" s="20"/>
      <c r="T74" s="20"/>
      <c r="U74" s="19"/>
      <c r="V74" s="22"/>
      <c r="W74" s="22"/>
      <c r="X74" s="20"/>
      <c r="BK74" s="25"/>
      <c r="BL74" s="20"/>
    </row>
    <row r="75" spans="1:64" x14ac:dyDescent="0.25">
      <c r="A75" s="19"/>
      <c r="B75" s="20"/>
      <c r="C75" s="21"/>
      <c r="D75" s="19"/>
      <c r="E75" s="20"/>
      <c r="F75" s="19"/>
      <c r="G75" s="20"/>
      <c r="H75" s="19"/>
      <c r="I75" s="20"/>
      <c r="J75" s="20" t="s">
        <v>76</v>
      </c>
      <c r="K75" s="20" t="s">
        <v>76</v>
      </c>
      <c r="L75" s="20"/>
      <c r="M75" s="20"/>
      <c r="N75" s="20" t="s">
        <v>76</v>
      </c>
      <c r="O75" s="20" t="s">
        <v>76</v>
      </c>
      <c r="P75" s="20" t="s">
        <v>76</v>
      </c>
      <c r="Q75" s="20"/>
      <c r="R75" s="20"/>
      <c r="T75" s="20"/>
      <c r="U75" s="19"/>
      <c r="V75" s="22"/>
      <c r="W75" s="22"/>
      <c r="X75" s="20"/>
      <c r="BK75" s="25"/>
      <c r="BL75" s="20"/>
    </row>
    <row r="76" spans="1:64" x14ac:dyDescent="0.25">
      <c r="A76" s="19"/>
      <c r="B76" s="20"/>
      <c r="C76" s="21"/>
      <c r="D76" s="19"/>
      <c r="E76" s="20"/>
      <c r="F76" s="19"/>
      <c r="G76" s="20"/>
      <c r="H76" s="19"/>
      <c r="I76" s="20"/>
      <c r="J76" s="20" t="s">
        <v>76</v>
      </c>
      <c r="K76" s="20" t="s">
        <v>76</v>
      </c>
      <c r="L76" s="20"/>
      <c r="M76" s="20"/>
      <c r="N76" s="20" t="s">
        <v>76</v>
      </c>
      <c r="O76" s="20" t="s">
        <v>76</v>
      </c>
      <c r="P76" s="20" t="s">
        <v>76</v>
      </c>
      <c r="Q76" s="20"/>
      <c r="R76" s="20"/>
      <c r="T76" s="20"/>
      <c r="U76" s="19"/>
      <c r="V76" s="22"/>
      <c r="W76" s="22"/>
      <c r="X76" s="20"/>
      <c r="BK76" s="25"/>
      <c r="BL76" s="20"/>
    </row>
    <row r="77" spans="1:64" x14ac:dyDescent="0.25">
      <c r="A77" s="19"/>
      <c r="B77" s="20"/>
      <c r="C77" s="21"/>
      <c r="D77" s="19"/>
      <c r="E77" s="20"/>
      <c r="F77" s="19"/>
      <c r="G77" s="20"/>
      <c r="H77" s="19"/>
      <c r="I77" s="20"/>
      <c r="J77" s="20" t="s">
        <v>76</v>
      </c>
      <c r="K77" s="20" t="s">
        <v>76</v>
      </c>
      <c r="L77" s="20"/>
      <c r="M77" s="20"/>
      <c r="N77" s="20" t="s">
        <v>76</v>
      </c>
      <c r="O77" s="20" t="s">
        <v>76</v>
      </c>
      <c r="P77" s="20" t="s">
        <v>76</v>
      </c>
      <c r="Q77" s="20"/>
      <c r="R77" s="20"/>
      <c r="T77" s="20"/>
      <c r="U77" s="19"/>
      <c r="V77" s="22"/>
      <c r="W77" s="22"/>
      <c r="X77" s="20"/>
      <c r="BK77" s="25"/>
      <c r="BL77" s="20"/>
    </row>
    <row r="78" spans="1:64" x14ac:dyDescent="0.25">
      <c r="A78" s="19"/>
      <c r="B78" s="20"/>
      <c r="C78" s="21"/>
      <c r="D78" s="19"/>
      <c r="E78" s="20"/>
      <c r="F78" s="19"/>
      <c r="G78" s="20"/>
      <c r="H78" s="19"/>
      <c r="I78" s="20"/>
      <c r="J78" s="20" t="s">
        <v>76</v>
      </c>
      <c r="K78" s="20" t="s">
        <v>76</v>
      </c>
      <c r="L78" s="20"/>
      <c r="M78" s="20"/>
      <c r="N78" s="20" t="s">
        <v>76</v>
      </c>
      <c r="O78" s="20" t="s">
        <v>76</v>
      </c>
      <c r="P78" s="20" t="s">
        <v>76</v>
      </c>
      <c r="Q78" s="20"/>
      <c r="R78" s="20"/>
      <c r="T78" s="20"/>
      <c r="U78" s="19"/>
      <c r="V78" s="22"/>
      <c r="W78" s="22"/>
      <c r="X78" s="20"/>
      <c r="BK78" s="25"/>
      <c r="BL78" s="20"/>
    </row>
    <row r="79" spans="1:64" x14ac:dyDescent="0.25">
      <c r="A79" s="19"/>
      <c r="B79" s="20"/>
      <c r="C79" s="21"/>
      <c r="D79" s="19"/>
      <c r="E79" s="20"/>
      <c r="F79" s="19"/>
      <c r="G79" s="20"/>
      <c r="H79" s="19"/>
      <c r="I79" s="20"/>
      <c r="J79" s="20" t="s">
        <v>76</v>
      </c>
      <c r="K79" s="20" t="s">
        <v>76</v>
      </c>
      <c r="L79" s="20"/>
      <c r="M79" s="20"/>
      <c r="N79" s="20" t="s">
        <v>76</v>
      </c>
      <c r="O79" s="20" t="s">
        <v>76</v>
      </c>
      <c r="P79" s="20" t="s">
        <v>76</v>
      </c>
      <c r="Q79" s="20"/>
      <c r="R79" s="20"/>
      <c r="T79" s="20"/>
      <c r="U79" s="19"/>
      <c r="V79" s="22"/>
      <c r="W79" s="22"/>
      <c r="X79" s="20"/>
      <c r="BK79" s="25"/>
      <c r="BL79" s="20"/>
    </row>
    <row r="80" spans="1:64" x14ac:dyDescent="0.25">
      <c r="A80" s="19"/>
      <c r="B80" s="20"/>
      <c r="C80" s="21"/>
      <c r="D80" s="19"/>
      <c r="E80" s="20"/>
      <c r="F80" s="19"/>
      <c r="G80" s="20"/>
      <c r="H80" s="19"/>
      <c r="I80" s="20"/>
      <c r="J80" s="20" t="s">
        <v>76</v>
      </c>
      <c r="K80" s="20" t="s">
        <v>76</v>
      </c>
      <c r="L80" s="20"/>
      <c r="M80" s="20"/>
      <c r="N80" s="20" t="s">
        <v>76</v>
      </c>
      <c r="O80" s="20" t="s">
        <v>76</v>
      </c>
      <c r="P80" s="20" t="s">
        <v>76</v>
      </c>
      <c r="Q80" s="20"/>
      <c r="R80" s="20"/>
      <c r="T80" s="20"/>
      <c r="U80" s="19"/>
      <c r="V80" s="22"/>
      <c r="W80" s="22"/>
      <c r="X80" s="20"/>
      <c r="BK80" s="25"/>
      <c r="BL80" s="20"/>
    </row>
    <row r="81" spans="1:64" x14ac:dyDescent="0.25">
      <c r="A81" s="19"/>
      <c r="B81" s="20"/>
      <c r="C81" s="21"/>
      <c r="D81" s="19"/>
      <c r="E81" s="20"/>
      <c r="F81" s="19"/>
      <c r="G81" s="20"/>
      <c r="H81" s="19"/>
      <c r="I81" s="20"/>
      <c r="J81" s="20" t="s">
        <v>76</v>
      </c>
      <c r="K81" s="20" t="s">
        <v>76</v>
      </c>
      <c r="L81" s="20"/>
      <c r="M81" s="20"/>
      <c r="N81" s="20" t="s">
        <v>76</v>
      </c>
      <c r="O81" s="20" t="s">
        <v>76</v>
      </c>
      <c r="P81" s="20" t="s">
        <v>76</v>
      </c>
      <c r="Q81" s="20"/>
      <c r="R81" s="20"/>
      <c r="T81" s="20"/>
      <c r="U81" s="19"/>
      <c r="V81" s="22"/>
      <c r="W81" s="22"/>
      <c r="X81" s="20"/>
      <c r="BK81" s="25"/>
      <c r="BL81" s="20"/>
    </row>
    <row r="82" spans="1:64" x14ac:dyDescent="0.25">
      <c r="A82" s="19"/>
      <c r="B82" s="20"/>
      <c r="C82" s="21"/>
      <c r="D82" s="19"/>
      <c r="E82" s="20"/>
      <c r="F82" s="19"/>
      <c r="G82" s="20"/>
      <c r="H82" s="19"/>
      <c r="I82" s="20"/>
      <c r="J82" s="20" t="s">
        <v>76</v>
      </c>
      <c r="K82" s="20" t="s">
        <v>76</v>
      </c>
      <c r="L82" s="20"/>
      <c r="M82" s="20"/>
      <c r="N82" s="20" t="s">
        <v>76</v>
      </c>
      <c r="O82" s="20" t="s">
        <v>76</v>
      </c>
      <c r="P82" s="20" t="s">
        <v>76</v>
      </c>
      <c r="Q82" s="20"/>
      <c r="R82" s="20"/>
      <c r="T82" s="20"/>
      <c r="U82" s="19"/>
      <c r="V82" s="22"/>
      <c r="W82" s="22"/>
      <c r="X82" s="20"/>
      <c r="BK82" s="25"/>
      <c r="BL82" s="20"/>
    </row>
    <row r="83" spans="1:64" x14ac:dyDescent="0.25">
      <c r="A83" s="19"/>
      <c r="B83" s="20"/>
      <c r="C83" s="21"/>
      <c r="D83" s="19"/>
      <c r="E83" s="20"/>
      <c r="F83" s="19"/>
      <c r="G83" s="20"/>
      <c r="H83" s="19"/>
      <c r="I83" s="20"/>
      <c r="J83" s="20" t="s">
        <v>76</v>
      </c>
      <c r="K83" s="20" t="s">
        <v>76</v>
      </c>
      <c r="L83" s="20"/>
      <c r="M83" s="20"/>
      <c r="N83" s="20" t="s">
        <v>76</v>
      </c>
      <c r="O83" s="20" t="s">
        <v>76</v>
      </c>
      <c r="P83" s="20" t="s">
        <v>76</v>
      </c>
      <c r="Q83" s="20"/>
      <c r="R83" s="20"/>
      <c r="T83" s="20"/>
      <c r="U83" s="19"/>
      <c r="V83" s="22"/>
      <c r="W83" s="22"/>
      <c r="X83" s="20"/>
      <c r="BK83" s="25"/>
      <c r="BL83" s="20"/>
    </row>
    <row r="84" spans="1:64" x14ac:dyDescent="0.25">
      <c r="A84" s="19"/>
      <c r="B84" s="20"/>
      <c r="C84" s="21"/>
      <c r="D84" s="19"/>
      <c r="E84" s="20"/>
      <c r="F84" s="19"/>
      <c r="G84" s="20"/>
      <c r="H84" s="19"/>
      <c r="I84" s="20"/>
      <c r="J84" s="20" t="s">
        <v>76</v>
      </c>
      <c r="K84" s="20" t="s">
        <v>76</v>
      </c>
      <c r="L84" s="20"/>
      <c r="M84" s="20"/>
      <c r="N84" s="20" t="s">
        <v>76</v>
      </c>
      <c r="O84" s="20" t="s">
        <v>76</v>
      </c>
      <c r="P84" s="20" t="s">
        <v>76</v>
      </c>
      <c r="Q84" s="20"/>
      <c r="R84" s="20"/>
      <c r="T84" s="20"/>
      <c r="U84" s="19"/>
      <c r="V84" s="22"/>
      <c r="W84" s="22"/>
      <c r="X84" s="20"/>
      <c r="BK84" s="25"/>
      <c r="BL84" s="20"/>
    </row>
    <row r="85" spans="1:64" x14ac:dyDescent="0.25">
      <c r="A85" s="19"/>
      <c r="B85" s="20"/>
      <c r="C85" s="21"/>
      <c r="D85" s="19"/>
      <c r="E85" s="20"/>
      <c r="F85" s="19"/>
      <c r="G85" s="20"/>
      <c r="H85" s="19"/>
      <c r="I85" s="20"/>
      <c r="J85" s="20" t="s">
        <v>76</v>
      </c>
      <c r="K85" s="20" t="s">
        <v>76</v>
      </c>
      <c r="L85" s="20"/>
      <c r="M85" s="20"/>
      <c r="N85" s="20" t="s">
        <v>76</v>
      </c>
      <c r="O85" s="20" t="s">
        <v>76</v>
      </c>
      <c r="P85" s="20" t="s">
        <v>76</v>
      </c>
      <c r="Q85" s="20"/>
      <c r="R85" s="20"/>
      <c r="T85" s="20"/>
      <c r="U85" s="19"/>
      <c r="V85" s="22"/>
      <c r="W85" s="22"/>
      <c r="X85" s="20"/>
      <c r="BK85" s="25"/>
      <c r="BL85" s="20"/>
    </row>
    <row r="86" spans="1:64" x14ac:dyDescent="0.25">
      <c r="A86" s="19"/>
      <c r="B86" s="20"/>
      <c r="C86" s="21"/>
      <c r="D86" s="19"/>
      <c r="E86" s="20"/>
      <c r="F86" s="19"/>
      <c r="G86" s="20"/>
      <c r="H86" s="19"/>
      <c r="I86" s="20"/>
      <c r="J86" s="20" t="s">
        <v>76</v>
      </c>
      <c r="K86" s="20" t="s">
        <v>76</v>
      </c>
      <c r="L86" s="20"/>
      <c r="M86" s="20"/>
      <c r="N86" s="20" t="s">
        <v>76</v>
      </c>
      <c r="O86" s="20" t="s">
        <v>76</v>
      </c>
      <c r="P86" s="20" t="s">
        <v>76</v>
      </c>
      <c r="Q86" s="20"/>
      <c r="R86" s="20"/>
      <c r="T86" s="20"/>
      <c r="U86" s="19"/>
      <c r="V86" s="22"/>
      <c r="W86" s="22"/>
      <c r="X86" s="20"/>
      <c r="BK86" s="25"/>
      <c r="BL86" s="20"/>
    </row>
    <row r="87" spans="1:64" x14ac:dyDescent="0.25">
      <c r="A87" s="19"/>
      <c r="B87" s="20"/>
      <c r="C87" s="21"/>
      <c r="D87" s="19"/>
      <c r="E87" s="20"/>
      <c r="F87" s="19"/>
      <c r="G87" s="20"/>
      <c r="H87" s="19"/>
      <c r="I87" s="20"/>
      <c r="J87" s="20" t="s">
        <v>76</v>
      </c>
      <c r="K87" s="20" t="s">
        <v>76</v>
      </c>
      <c r="L87" s="20"/>
      <c r="M87" s="20"/>
      <c r="N87" s="20" t="s">
        <v>76</v>
      </c>
      <c r="O87" s="20" t="s">
        <v>76</v>
      </c>
      <c r="P87" s="20" t="s">
        <v>76</v>
      </c>
      <c r="Q87" s="20"/>
      <c r="R87" s="20"/>
      <c r="T87" s="20"/>
      <c r="U87" s="19"/>
      <c r="V87" s="22"/>
      <c r="W87" s="22"/>
      <c r="X87" s="20"/>
      <c r="BK87" s="25"/>
      <c r="BL87" s="20"/>
    </row>
    <row r="88" spans="1:64" x14ac:dyDescent="0.25">
      <c r="A88" s="19"/>
      <c r="B88" s="20"/>
      <c r="C88" s="21"/>
      <c r="D88" s="19"/>
      <c r="E88" s="20"/>
      <c r="F88" s="19"/>
      <c r="G88" s="20"/>
      <c r="H88" s="19"/>
      <c r="I88" s="20"/>
      <c r="J88" s="20" t="s">
        <v>76</v>
      </c>
      <c r="K88" s="20" t="s">
        <v>76</v>
      </c>
      <c r="L88" s="20"/>
      <c r="M88" s="20"/>
      <c r="N88" s="20" t="s">
        <v>76</v>
      </c>
      <c r="O88" s="20" t="s">
        <v>76</v>
      </c>
      <c r="P88" s="20" t="s">
        <v>76</v>
      </c>
      <c r="Q88" s="20"/>
      <c r="R88" s="20"/>
      <c r="T88" s="20"/>
      <c r="U88" s="19"/>
      <c r="V88" s="22"/>
      <c r="W88" s="22"/>
      <c r="X88" s="20"/>
      <c r="BK88" s="25"/>
      <c r="BL88" s="20"/>
    </row>
    <row r="89" spans="1:64" x14ac:dyDescent="0.25">
      <c r="A89" s="19"/>
      <c r="B89" s="20"/>
      <c r="C89" s="21"/>
      <c r="D89" s="19"/>
      <c r="E89" s="20"/>
      <c r="F89" s="19"/>
      <c r="G89" s="20"/>
      <c r="H89" s="19"/>
      <c r="I89" s="20"/>
      <c r="J89" s="20" t="s">
        <v>76</v>
      </c>
      <c r="K89" s="20" t="s">
        <v>76</v>
      </c>
      <c r="L89" s="20"/>
      <c r="M89" s="20"/>
      <c r="N89" s="20" t="s">
        <v>76</v>
      </c>
      <c r="O89" s="20" t="s">
        <v>76</v>
      </c>
      <c r="P89" s="20" t="s">
        <v>76</v>
      </c>
      <c r="Q89" s="20"/>
      <c r="R89" s="20"/>
      <c r="T89" s="20"/>
      <c r="U89" s="19"/>
      <c r="V89" s="22"/>
      <c r="W89" s="22"/>
      <c r="X89" s="20"/>
      <c r="BK89" s="25"/>
      <c r="BL89" s="20"/>
    </row>
    <row r="90" spans="1:64" x14ac:dyDescent="0.25">
      <c r="A90" s="19"/>
      <c r="B90" s="20"/>
      <c r="C90" s="21"/>
      <c r="D90" s="19"/>
      <c r="E90" s="20"/>
      <c r="F90" s="19"/>
      <c r="G90" s="20"/>
      <c r="H90" s="19"/>
      <c r="I90" s="20"/>
      <c r="J90" s="20" t="s">
        <v>76</v>
      </c>
      <c r="K90" s="20" t="s">
        <v>76</v>
      </c>
      <c r="L90" s="20"/>
      <c r="M90" s="20"/>
      <c r="N90" s="20" t="s">
        <v>76</v>
      </c>
      <c r="O90" s="20" t="s">
        <v>76</v>
      </c>
      <c r="P90" s="20" t="s">
        <v>76</v>
      </c>
      <c r="Q90" s="20"/>
      <c r="R90" s="20"/>
      <c r="T90" s="20"/>
      <c r="U90" s="19"/>
      <c r="V90" s="22"/>
      <c r="W90" s="22"/>
      <c r="X90" s="20"/>
      <c r="BK90" s="25"/>
      <c r="BL90" s="20"/>
    </row>
    <row r="91" spans="1:64" x14ac:dyDescent="0.25">
      <c r="A91" s="19"/>
      <c r="B91" s="20"/>
      <c r="C91" s="21"/>
      <c r="D91" s="19"/>
      <c r="E91" s="20"/>
      <c r="F91" s="19"/>
      <c r="G91" s="20"/>
      <c r="H91" s="19"/>
      <c r="I91" s="20"/>
      <c r="J91" s="20" t="s">
        <v>76</v>
      </c>
      <c r="K91" s="20" t="s">
        <v>76</v>
      </c>
      <c r="L91" s="20"/>
      <c r="M91" s="20"/>
      <c r="N91" s="20" t="s">
        <v>76</v>
      </c>
      <c r="O91" s="20" t="s">
        <v>76</v>
      </c>
      <c r="P91" s="20" t="s">
        <v>76</v>
      </c>
      <c r="Q91" s="20"/>
      <c r="R91" s="20"/>
      <c r="T91" s="20"/>
      <c r="U91" s="19"/>
      <c r="V91" s="22"/>
      <c r="W91" s="22"/>
      <c r="X91" s="20"/>
      <c r="BK91" s="25"/>
      <c r="BL91" s="20"/>
    </row>
    <row r="92" spans="1:64" x14ac:dyDescent="0.25">
      <c r="A92" s="19"/>
      <c r="B92" s="20"/>
      <c r="C92" s="21"/>
      <c r="D92" s="19"/>
      <c r="E92" s="20"/>
      <c r="F92" s="19"/>
      <c r="G92" s="20"/>
      <c r="H92" s="19"/>
      <c r="I92" s="20"/>
      <c r="J92" s="20" t="s">
        <v>76</v>
      </c>
      <c r="K92" s="20" t="s">
        <v>76</v>
      </c>
      <c r="L92" s="20"/>
      <c r="M92" s="20"/>
      <c r="N92" s="20" t="s">
        <v>76</v>
      </c>
      <c r="O92" s="20" t="s">
        <v>76</v>
      </c>
      <c r="P92" s="20" t="s">
        <v>76</v>
      </c>
      <c r="Q92" s="20"/>
      <c r="R92" s="20"/>
      <c r="T92" s="20"/>
      <c r="U92" s="19"/>
      <c r="V92" s="22"/>
      <c r="W92" s="22"/>
      <c r="X92" s="20"/>
      <c r="BK92" s="25"/>
      <c r="BL92" s="20"/>
    </row>
    <row r="93" spans="1:64" x14ac:dyDescent="0.25">
      <c r="A93" s="19"/>
      <c r="B93" s="20"/>
      <c r="C93" s="21"/>
      <c r="D93" s="19"/>
      <c r="E93" s="20"/>
      <c r="F93" s="19"/>
      <c r="G93" s="20"/>
      <c r="H93" s="19"/>
      <c r="I93" s="20"/>
      <c r="J93" s="20" t="s">
        <v>76</v>
      </c>
      <c r="K93" s="20" t="s">
        <v>76</v>
      </c>
      <c r="L93" s="20"/>
      <c r="M93" s="20"/>
      <c r="N93" s="20" t="s">
        <v>76</v>
      </c>
      <c r="O93" s="20" t="s">
        <v>76</v>
      </c>
      <c r="P93" s="20" t="s">
        <v>76</v>
      </c>
      <c r="Q93" s="20"/>
      <c r="R93" s="20"/>
      <c r="T93" s="20"/>
      <c r="U93" s="19"/>
      <c r="V93" s="22"/>
      <c r="W93" s="22"/>
      <c r="X93" s="20"/>
      <c r="BK93" s="25"/>
      <c r="BL93" s="20"/>
    </row>
    <row r="94" spans="1:64" x14ac:dyDescent="0.25">
      <c r="A94" s="19"/>
      <c r="B94" s="20"/>
      <c r="C94" s="21"/>
      <c r="D94" s="19"/>
      <c r="E94" s="20"/>
      <c r="F94" s="19"/>
      <c r="G94" s="20"/>
      <c r="H94" s="19"/>
      <c r="I94" s="20"/>
      <c r="J94" s="20" t="s">
        <v>76</v>
      </c>
      <c r="K94" s="20" t="s">
        <v>76</v>
      </c>
      <c r="L94" s="20"/>
      <c r="M94" s="20"/>
      <c r="N94" s="20" t="s">
        <v>76</v>
      </c>
      <c r="O94" s="20" t="s">
        <v>76</v>
      </c>
      <c r="P94" s="20" t="s">
        <v>76</v>
      </c>
      <c r="Q94" s="20"/>
      <c r="R94" s="20"/>
      <c r="T94" s="20"/>
      <c r="U94" s="19"/>
      <c r="V94" s="22"/>
      <c r="W94" s="22"/>
      <c r="X94" s="20"/>
      <c r="BK94" s="25"/>
      <c r="BL94" s="20"/>
    </row>
    <row r="95" spans="1:64" x14ac:dyDescent="0.25">
      <c r="A95" s="19"/>
      <c r="B95" s="20"/>
      <c r="C95" s="21"/>
      <c r="D95" s="19"/>
      <c r="E95" s="20"/>
      <c r="F95" s="19"/>
      <c r="G95" s="20"/>
      <c r="H95" s="19"/>
      <c r="I95" s="20"/>
      <c r="J95" s="20" t="s">
        <v>76</v>
      </c>
      <c r="K95" s="20" t="s">
        <v>76</v>
      </c>
      <c r="L95" s="20"/>
      <c r="M95" s="20"/>
      <c r="N95" s="20" t="s">
        <v>76</v>
      </c>
      <c r="O95" s="20" t="s">
        <v>76</v>
      </c>
      <c r="P95" s="20" t="s">
        <v>76</v>
      </c>
      <c r="Q95" s="20"/>
      <c r="R95" s="20"/>
      <c r="T95" s="20"/>
      <c r="U95" s="19"/>
      <c r="V95" s="22"/>
      <c r="W95" s="22"/>
      <c r="X95" s="20"/>
      <c r="BK95" s="25"/>
      <c r="BL95" s="20"/>
    </row>
    <row r="96" spans="1:64" x14ac:dyDescent="0.25">
      <c r="A96" s="19"/>
      <c r="B96" s="20"/>
      <c r="C96" s="21"/>
      <c r="D96" s="19"/>
      <c r="E96" s="20"/>
      <c r="F96" s="19"/>
      <c r="G96" s="20"/>
      <c r="H96" s="19"/>
      <c r="I96" s="20"/>
      <c r="J96" s="20" t="s">
        <v>76</v>
      </c>
      <c r="K96" s="20" t="s">
        <v>76</v>
      </c>
      <c r="L96" s="20"/>
      <c r="M96" s="20"/>
      <c r="N96" s="20" t="s">
        <v>76</v>
      </c>
      <c r="O96" s="20" t="s">
        <v>76</v>
      </c>
      <c r="P96" s="20" t="s">
        <v>76</v>
      </c>
      <c r="Q96" s="20"/>
      <c r="R96" s="20"/>
      <c r="T96" s="20"/>
      <c r="U96" s="19"/>
      <c r="V96" s="22"/>
      <c r="W96" s="22"/>
      <c r="X96" s="20"/>
      <c r="BK96" s="25"/>
      <c r="BL96" s="20"/>
    </row>
    <row r="97" spans="1:64" x14ac:dyDescent="0.25">
      <c r="A97" s="19"/>
      <c r="B97" s="20"/>
      <c r="C97" s="21"/>
      <c r="D97" s="19"/>
      <c r="E97" s="20"/>
      <c r="F97" s="19"/>
      <c r="G97" s="20"/>
      <c r="H97" s="19"/>
      <c r="I97" s="20"/>
      <c r="J97" s="20" t="s">
        <v>76</v>
      </c>
      <c r="K97" s="20" t="s">
        <v>76</v>
      </c>
      <c r="L97" s="20"/>
      <c r="M97" s="20"/>
      <c r="N97" s="20" t="s">
        <v>76</v>
      </c>
      <c r="O97" s="20" t="s">
        <v>76</v>
      </c>
      <c r="P97" s="20" t="s">
        <v>76</v>
      </c>
      <c r="Q97" s="20"/>
      <c r="R97" s="20"/>
      <c r="T97" s="20"/>
      <c r="U97" s="19"/>
      <c r="V97" s="22"/>
      <c r="W97" s="22"/>
      <c r="X97" s="20"/>
      <c r="BK97" s="25"/>
      <c r="BL97" s="20"/>
    </row>
    <row r="98" spans="1:64" x14ac:dyDescent="0.25">
      <c r="A98" s="19"/>
      <c r="B98" s="20"/>
      <c r="C98" s="21"/>
      <c r="D98" s="19"/>
      <c r="E98" s="20"/>
      <c r="F98" s="19"/>
      <c r="G98" s="20"/>
      <c r="H98" s="19"/>
      <c r="I98" s="20"/>
      <c r="J98" s="20" t="s">
        <v>76</v>
      </c>
      <c r="K98" s="20" t="s">
        <v>76</v>
      </c>
      <c r="L98" s="20"/>
      <c r="M98" s="20"/>
      <c r="N98" s="20" t="s">
        <v>76</v>
      </c>
      <c r="O98" s="20" t="s">
        <v>76</v>
      </c>
      <c r="P98" s="20" t="s">
        <v>76</v>
      </c>
      <c r="Q98" s="20"/>
      <c r="R98" s="20"/>
      <c r="T98" s="20"/>
      <c r="U98" s="19"/>
      <c r="V98" s="22"/>
      <c r="W98" s="22"/>
      <c r="X98" s="20"/>
      <c r="BK98" s="25"/>
      <c r="BL98" s="20"/>
    </row>
    <row r="99" spans="1:64" x14ac:dyDescent="0.25">
      <c r="A99" s="19"/>
      <c r="B99" s="20"/>
      <c r="C99" s="21"/>
      <c r="D99" s="19"/>
      <c r="E99" s="20"/>
      <c r="F99" s="19"/>
      <c r="G99" s="20"/>
      <c r="H99" s="19"/>
      <c r="I99" s="20"/>
      <c r="J99" s="20" t="s">
        <v>76</v>
      </c>
      <c r="K99" s="20" t="s">
        <v>76</v>
      </c>
      <c r="L99" s="20"/>
      <c r="M99" s="20"/>
      <c r="N99" s="20" t="s">
        <v>76</v>
      </c>
      <c r="O99" s="20" t="s">
        <v>76</v>
      </c>
      <c r="P99" s="20" t="s">
        <v>76</v>
      </c>
      <c r="Q99" s="20"/>
      <c r="R99" s="20"/>
      <c r="T99" s="20"/>
      <c r="U99" s="19"/>
      <c r="V99" s="22"/>
      <c r="W99" s="22"/>
      <c r="X99" s="20"/>
      <c r="BK99" s="25"/>
      <c r="BL99" s="20"/>
    </row>
    <row r="100" spans="1:64" x14ac:dyDescent="0.25">
      <c r="A100" s="19"/>
      <c r="B100" s="20"/>
      <c r="C100" s="21"/>
      <c r="D100" s="19"/>
      <c r="E100" s="20"/>
      <c r="F100" s="19"/>
      <c r="G100" s="20"/>
      <c r="H100" s="19"/>
      <c r="I100" s="20"/>
      <c r="J100" s="20" t="s">
        <v>76</v>
      </c>
      <c r="K100" s="20" t="s">
        <v>76</v>
      </c>
      <c r="L100" s="20"/>
      <c r="M100" s="20"/>
      <c r="N100" s="20" t="s">
        <v>76</v>
      </c>
      <c r="O100" s="20" t="s">
        <v>76</v>
      </c>
      <c r="P100" s="20" t="s">
        <v>76</v>
      </c>
      <c r="Q100" s="20"/>
      <c r="R100" s="20"/>
      <c r="T100" s="20"/>
      <c r="U100" s="19"/>
      <c r="V100" s="22"/>
      <c r="W100" s="22"/>
      <c r="X100" s="20"/>
      <c r="BK100" s="25"/>
      <c r="BL100" s="20"/>
    </row>
    <row r="101" spans="1:64" x14ac:dyDescent="0.25">
      <c r="A101" s="19"/>
      <c r="B101" s="20"/>
      <c r="C101" s="21"/>
      <c r="D101" s="19"/>
      <c r="E101" s="20"/>
      <c r="F101" s="19"/>
      <c r="G101" s="20"/>
      <c r="H101" s="19"/>
      <c r="I101" s="20"/>
      <c r="J101" s="20" t="s">
        <v>76</v>
      </c>
      <c r="K101" s="20" t="s">
        <v>76</v>
      </c>
      <c r="L101" s="20"/>
      <c r="M101" s="20"/>
      <c r="N101" s="20" t="s">
        <v>76</v>
      </c>
      <c r="O101" s="20" t="s">
        <v>76</v>
      </c>
      <c r="P101" s="20" t="s">
        <v>76</v>
      </c>
      <c r="Q101" s="20"/>
      <c r="R101" s="20"/>
      <c r="T101" s="20"/>
      <c r="U101" s="19"/>
      <c r="V101" s="22"/>
      <c r="W101" s="22"/>
      <c r="X101" s="20"/>
      <c r="BK101" s="25"/>
      <c r="BL101" s="20"/>
    </row>
    <row r="102" spans="1:64" x14ac:dyDescent="0.25">
      <c r="A102" s="19"/>
      <c r="B102" s="20"/>
      <c r="C102" s="21"/>
      <c r="D102" s="19"/>
      <c r="E102" s="20"/>
      <c r="F102" s="19"/>
      <c r="G102" s="20"/>
      <c r="H102" s="19"/>
      <c r="I102" s="20"/>
      <c r="J102" s="20" t="s">
        <v>76</v>
      </c>
      <c r="K102" s="20" t="s">
        <v>76</v>
      </c>
      <c r="L102" s="20"/>
      <c r="M102" s="20"/>
      <c r="N102" s="20" t="s">
        <v>76</v>
      </c>
      <c r="O102" s="20" t="s">
        <v>76</v>
      </c>
      <c r="P102" s="20" t="s">
        <v>76</v>
      </c>
      <c r="Q102" s="20"/>
      <c r="R102" s="20"/>
      <c r="T102" s="20"/>
      <c r="U102" s="19"/>
      <c r="V102" s="22"/>
      <c r="W102" s="22"/>
      <c r="X102" s="20"/>
      <c r="BK102" s="25"/>
      <c r="BL102" s="20"/>
    </row>
    <row r="103" spans="1:64" x14ac:dyDescent="0.25">
      <c r="A103" s="19"/>
      <c r="B103" s="20"/>
      <c r="C103" s="21"/>
      <c r="D103" s="19"/>
      <c r="E103" s="20"/>
      <c r="F103" s="19"/>
      <c r="G103" s="20"/>
      <c r="H103" s="19"/>
      <c r="I103" s="20"/>
      <c r="J103" s="20" t="s">
        <v>76</v>
      </c>
      <c r="K103" s="20" t="s">
        <v>76</v>
      </c>
      <c r="L103" s="20"/>
      <c r="M103" s="20"/>
      <c r="N103" s="20" t="s">
        <v>76</v>
      </c>
      <c r="O103" s="20" t="s">
        <v>76</v>
      </c>
      <c r="P103" s="20" t="s">
        <v>76</v>
      </c>
      <c r="Q103" s="20"/>
      <c r="R103" s="20"/>
      <c r="T103" s="20"/>
      <c r="U103" s="19"/>
      <c r="V103" s="22"/>
      <c r="W103" s="22"/>
      <c r="X103" s="20"/>
      <c r="BK103" s="25"/>
      <c r="BL103" s="20"/>
    </row>
    <row r="104" spans="1:64" x14ac:dyDescent="0.25">
      <c r="A104" s="19"/>
      <c r="B104" s="20"/>
      <c r="C104" s="21"/>
      <c r="D104" s="19"/>
      <c r="E104" s="20"/>
      <c r="F104" s="19"/>
      <c r="G104" s="20"/>
      <c r="H104" s="19"/>
      <c r="I104" s="20"/>
      <c r="J104" s="20" t="s">
        <v>76</v>
      </c>
      <c r="K104" s="20" t="s">
        <v>76</v>
      </c>
      <c r="L104" s="20"/>
      <c r="M104" s="20"/>
      <c r="N104" s="20" t="s">
        <v>76</v>
      </c>
      <c r="O104" s="20" t="s">
        <v>76</v>
      </c>
      <c r="P104" s="20" t="s">
        <v>76</v>
      </c>
      <c r="Q104" s="20"/>
      <c r="R104" s="20"/>
      <c r="T104" s="20"/>
      <c r="U104" s="19"/>
      <c r="V104" s="22"/>
      <c r="W104" s="22"/>
      <c r="X104" s="20"/>
      <c r="BK104" s="25"/>
      <c r="BL104" s="20"/>
    </row>
    <row r="105" spans="1:64" x14ac:dyDescent="0.25">
      <c r="A105" s="19"/>
      <c r="B105" s="20"/>
      <c r="C105" s="21"/>
      <c r="D105" s="19"/>
      <c r="E105" s="20"/>
      <c r="F105" s="19"/>
      <c r="G105" s="20"/>
      <c r="H105" s="19"/>
      <c r="I105" s="20"/>
      <c r="J105" s="20" t="s">
        <v>76</v>
      </c>
      <c r="K105" s="20" t="s">
        <v>76</v>
      </c>
      <c r="L105" s="20"/>
      <c r="M105" s="20"/>
      <c r="N105" s="20" t="s">
        <v>76</v>
      </c>
      <c r="O105" s="20" t="s">
        <v>76</v>
      </c>
      <c r="P105" s="20" t="s">
        <v>76</v>
      </c>
      <c r="Q105" s="20"/>
      <c r="R105" s="20"/>
      <c r="T105" s="20"/>
      <c r="U105" s="19"/>
      <c r="V105" s="22"/>
      <c r="W105" s="22"/>
      <c r="X105" s="20"/>
      <c r="BK105" s="25"/>
      <c r="BL105" s="20"/>
    </row>
    <row r="106" spans="1:64" x14ac:dyDescent="0.25">
      <c r="A106" s="19"/>
      <c r="B106" s="20"/>
      <c r="C106" s="21"/>
      <c r="D106" s="19"/>
      <c r="E106" s="20"/>
      <c r="F106" s="19"/>
      <c r="G106" s="20"/>
      <c r="H106" s="19"/>
      <c r="I106" s="20"/>
      <c r="J106" s="20" t="s">
        <v>76</v>
      </c>
      <c r="K106" s="20" t="s">
        <v>76</v>
      </c>
      <c r="L106" s="20"/>
      <c r="M106" s="20"/>
      <c r="N106" s="20" t="s">
        <v>76</v>
      </c>
      <c r="O106" s="20" t="s">
        <v>76</v>
      </c>
      <c r="P106" s="20" t="s">
        <v>76</v>
      </c>
      <c r="Q106" s="20"/>
      <c r="R106" s="20"/>
      <c r="T106" s="20"/>
      <c r="U106" s="19"/>
      <c r="V106" s="22"/>
      <c r="W106" s="22"/>
      <c r="X106" s="20"/>
      <c r="BK106" s="25"/>
      <c r="BL106" s="20"/>
    </row>
    <row r="107" spans="1:64" x14ac:dyDescent="0.25">
      <c r="A107" s="19"/>
      <c r="B107" s="20"/>
      <c r="C107" s="21"/>
      <c r="D107" s="19"/>
      <c r="E107" s="20"/>
      <c r="F107" s="19"/>
      <c r="G107" s="20"/>
      <c r="H107" s="19"/>
      <c r="I107" s="20"/>
      <c r="J107" s="20" t="s">
        <v>76</v>
      </c>
      <c r="K107" s="20" t="s">
        <v>76</v>
      </c>
      <c r="L107" s="20"/>
      <c r="M107" s="20"/>
      <c r="N107" s="20" t="s">
        <v>76</v>
      </c>
      <c r="O107" s="20" t="s">
        <v>76</v>
      </c>
      <c r="P107" s="20" t="s">
        <v>76</v>
      </c>
      <c r="Q107" s="20"/>
      <c r="R107" s="20"/>
      <c r="T107" s="20"/>
      <c r="U107" s="19"/>
      <c r="V107" s="22"/>
      <c r="W107" s="22"/>
      <c r="X107" s="20"/>
      <c r="BK107" s="25"/>
      <c r="BL107" s="20"/>
    </row>
    <row r="108" spans="1:64" x14ac:dyDescent="0.25">
      <c r="A108" s="19"/>
      <c r="B108" s="20"/>
      <c r="C108" s="21"/>
      <c r="D108" s="19"/>
      <c r="E108" s="20"/>
      <c r="F108" s="19"/>
      <c r="G108" s="20"/>
      <c r="H108" s="19"/>
      <c r="I108" s="20"/>
      <c r="J108" s="20" t="s">
        <v>76</v>
      </c>
      <c r="K108" s="20" t="s">
        <v>76</v>
      </c>
      <c r="L108" s="20"/>
      <c r="M108" s="20"/>
      <c r="N108" s="20" t="s">
        <v>76</v>
      </c>
      <c r="O108" s="20" t="s">
        <v>76</v>
      </c>
      <c r="P108" s="20" t="s">
        <v>76</v>
      </c>
      <c r="Q108" s="20"/>
      <c r="R108" s="20"/>
      <c r="T108" s="20"/>
      <c r="U108" s="19"/>
      <c r="V108" s="22"/>
      <c r="W108" s="22"/>
      <c r="X108" s="20"/>
      <c r="BK108" s="25"/>
      <c r="BL108" s="20"/>
    </row>
    <row r="109" spans="1:64" x14ac:dyDescent="0.25">
      <c r="A109" s="19"/>
      <c r="B109" s="20"/>
      <c r="C109" s="21"/>
      <c r="D109" s="19"/>
      <c r="E109" s="20"/>
      <c r="F109" s="19"/>
      <c r="G109" s="20"/>
      <c r="H109" s="19"/>
      <c r="I109" s="20"/>
      <c r="J109" s="20" t="s">
        <v>76</v>
      </c>
      <c r="K109" s="20" t="s">
        <v>76</v>
      </c>
      <c r="L109" s="20"/>
      <c r="M109" s="20"/>
      <c r="N109" s="20" t="s">
        <v>76</v>
      </c>
      <c r="O109" s="20" t="s">
        <v>76</v>
      </c>
      <c r="P109" s="20" t="s">
        <v>76</v>
      </c>
      <c r="Q109" s="20"/>
      <c r="R109" s="20"/>
      <c r="T109" s="20"/>
      <c r="U109" s="19"/>
      <c r="V109" s="22"/>
      <c r="W109" s="22"/>
      <c r="X109" s="20"/>
      <c r="BK109" s="25"/>
      <c r="BL109" s="20"/>
    </row>
    <row r="110" spans="1:64" x14ac:dyDescent="0.25">
      <c r="A110" s="19"/>
      <c r="B110" s="20"/>
      <c r="C110" s="21"/>
      <c r="D110" s="19"/>
      <c r="E110" s="20"/>
      <c r="F110" s="19"/>
      <c r="G110" s="20"/>
      <c r="H110" s="19"/>
      <c r="I110" s="20"/>
      <c r="J110" s="20" t="s">
        <v>76</v>
      </c>
      <c r="K110" s="20" t="s">
        <v>76</v>
      </c>
      <c r="L110" s="20"/>
      <c r="M110" s="20"/>
      <c r="N110" s="20" t="s">
        <v>76</v>
      </c>
      <c r="O110" s="20" t="s">
        <v>76</v>
      </c>
      <c r="P110" s="20" t="s">
        <v>76</v>
      </c>
      <c r="Q110" s="20"/>
      <c r="R110" s="20"/>
      <c r="T110" s="20"/>
      <c r="U110" s="19"/>
      <c r="V110" s="22"/>
      <c r="W110" s="22"/>
      <c r="X110" s="20"/>
      <c r="BK110" s="25"/>
      <c r="BL110" s="20"/>
    </row>
    <row r="111" spans="1:64" x14ac:dyDescent="0.25">
      <c r="A111" s="19"/>
      <c r="B111" s="20"/>
      <c r="C111" s="21"/>
      <c r="D111" s="19"/>
      <c r="E111" s="20"/>
      <c r="F111" s="19"/>
      <c r="G111" s="20"/>
      <c r="H111" s="19"/>
      <c r="I111" s="20"/>
      <c r="J111" s="20" t="s">
        <v>76</v>
      </c>
      <c r="K111" s="20" t="s">
        <v>76</v>
      </c>
      <c r="L111" s="20"/>
      <c r="M111" s="20"/>
      <c r="N111" s="20" t="s">
        <v>76</v>
      </c>
      <c r="O111" s="20" t="s">
        <v>76</v>
      </c>
      <c r="P111" s="20" t="s">
        <v>76</v>
      </c>
      <c r="Q111" s="20"/>
      <c r="R111" s="20"/>
      <c r="T111" s="20"/>
      <c r="U111" s="19"/>
      <c r="V111" s="22"/>
      <c r="W111" s="22"/>
      <c r="X111" s="20"/>
      <c r="BK111" s="25"/>
      <c r="BL111" s="20"/>
    </row>
    <row r="112" spans="1:64" x14ac:dyDescent="0.25">
      <c r="A112" s="19"/>
      <c r="B112" s="20"/>
      <c r="C112" s="21"/>
      <c r="D112" s="19"/>
      <c r="E112" s="20"/>
      <c r="F112" s="19"/>
      <c r="G112" s="20"/>
      <c r="H112" s="19"/>
      <c r="I112" s="20"/>
      <c r="J112" s="20" t="s">
        <v>76</v>
      </c>
      <c r="K112" s="20" t="s">
        <v>76</v>
      </c>
      <c r="L112" s="20"/>
      <c r="M112" s="20"/>
      <c r="N112" s="20" t="s">
        <v>76</v>
      </c>
      <c r="O112" s="20" t="s">
        <v>76</v>
      </c>
      <c r="P112" s="20" t="s">
        <v>76</v>
      </c>
      <c r="Q112" s="20"/>
      <c r="R112" s="20"/>
      <c r="T112" s="20"/>
      <c r="U112" s="19"/>
      <c r="V112" s="22"/>
      <c r="W112" s="22"/>
      <c r="X112" s="20"/>
      <c r="BK112" s="25"/>
      <c r="BL112" s="20"/>
    </row>
  </sheetData>
  <autoFilter ref="A1:OJ1" xr:uid="{618AC861-E6CD-4744-B6CA-AEBDE7143AEF}"/>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EE061-178C-4982-833F-CD33A3D7D858}">
  <dimension ref="A1:AD112"/>
  <sheetViews>
    <sheetView workbookViewId="0">
      <pane ySplit="1" topLeftCell="A2" activePane="bottomLeft" state="frozenSplit"/>
      <selection pane="bottomLeft"/>
    </sheetView>
  </sheetViews>
  <sheetFormatPr baseColWidth="10" defaultRowHeight="15" x14ac:dyDescent="0.25"/>
  <cols>
    <col min="1" max="1" width="8.7109375" style="13" customWidth="1"/>
    <col min="2" max="2" width="7.7109375" style="13" customWidth="1"/>
    <col min="3" max="3" width="12.7109375" style="13" customWidth="1"/>
    <col min="4" max="4" width="13.7109375" style="13" customWidth="1"/>
    <col min="5" max="5" width="25.7109375" style="24" customWidth="1"/>
    <col min="6" max="6" width="13.7109375" style="13" customWidth="1"/>
    <col min="7" max="7" width="25.7109375" style="24" customWidth="1"/>
    <col min="8" max="8" width="13.7109375" style="13" customWidth="1"/>
    <col min="9" max="11" width="25.7109375" style="24" customWidth="1"/>
    <col min="12" max="12" width="13.7109375" style="13" customWidth="1"/>
    <col min="13" max="13" width="25.7109375" style="24" customWidth="1"/>
    <col min="14" max="14" width="13.7109375" style="13" customWidth="1"/>
    <col min="15" max="16" width="30.7109375" style="24" customWidth="1"/>
    <col min="17" max="17" width="25.7109375" style="24" customWidth="1"/>
    <col min="18" max="21" width="13.7109375" style="13" customWidth="1"/>
    <col min="22" max="23" width="12.7109375" style="13" customWidth="1"/>
    <col min="24" max="24" width="40.7109375" style="24" customWidth="1"/>
    <col min="25" max="25" width="15.7109375" style="23" customWidth="1"/>
    <col min="26" max="26" width="25.7109375" style="24" customWidth="1"/>
    <col min="27" max="27" width="15.7109375" style="23" customWidth="1"/>
    <col min="28" max="28" width="25.7109375" style="24" customWidth="1"/>
    <col min="29" max="29" width="9.7109375" style="23" customWidth="1"/>
    <col min="30" max="30" width="15.7109375" style="24" customWidth="1"/>
    <col min="31" max="16384" width="11.42578125" style="13"/>
  </cols>
  <sheetData>
    <row r="1" spans="1:30" ht="60" x14ac:dyDescent="0.2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213</v>
      </c>
      <c r="Y1" s="12" t="s">
        <v>214</v>
      </c>
      <c r="Z1" s="12" t="s">
        <v>215</v>
      </c>
      <c r="AA1" s="12" t="s">
        <v>216</v>
      </c>
      <c r="AB1" s="12" t="s">
        <v>217</v>
      </c>
      <c r="AC1" s="10" t="s">
        <v>63</v>
      </c>
      <c r="AD1" s="10" t="s">
        <v>64</v>
      </c>
    </row>
    <row r="2" spans="1:30" ht="90" x14ac:dyDescent="0.25">
      <c r="A2" s="14" t="s">
        <v>65</v>
      </c>
      <c r="B2" s="14" t="s">
        <v>66</v>
      </c>
      <c r="C2" s="15">
        <v>45915.456250000003</v>
      </c>
      <c r="D2" s="14" t="s">
        <v>67</v>
      </c>
      <c r="E2" s="16" t="s">
        <v>68</v>
      </c>
      <c r="F2" s="14" t="s">
        <v>69</v>
      </c>
      <c r="G2" s="16" t="s">
        <v>68</v>
      </c>
      <c r="H2" s="14" t="s">
        <v>70</v>
      </c>
      <c r="I2" s="16" t="s">
        <v>68</v>
      </c>
      <c r="J2" s="16" t="s">
        <v>71</v>
      </c>
      <c r="K2" s="16" t="s">
        <v>72</v>
      </c>
      <c r="L2" s="14" t="s">
        <v>73</v>
      </c>
      <c r="M2" s="16" t="s">
        <v>74</v>
      </c>
      <c r="N2" s="14" t="s">
        <v>75</v>
      </c>
      <c r="O2" s="16" t="s">
        <v>76</v>
      </c>
      <c r="P2" s="16" t="s">
        <v>76</v>
      </c>
      <c r="Q2" s="16" t="s">
        <v>77</v>
      </c>
      <c r="R2" s="14" t="s">
        <v>78</v>
      </c>
      <c r="S2" s="14" t="s">
        <v>79</v>
      </c>
      <c r="T2" s="14" t="s">
        <v>80</v>
      </c>
      <c r="U2" s="14" t="s">
        <v>81</v>
      </c>
      <c r="V2" s="15">
        <v>45170</v>
      </c>
      <c r="W2" s="15">
        <v>45900</v>
      </c>
      <c r="X2" s="16" t="s">
        <v>218</v>
      </c>
      <c r="Y2" s="17" t="s">
        <v>219</v>
      </c>
      <c r="Z2" s="18" t="str">
        <f>VLOOKUP(Y2,'Axe 2 Règles de gestion'!$D$2:$F$66,3, FALSE)</f>
        <v>Pension : La fraction de pension de retraite versée à l'agent est égale à la différence entre 100 % et la quotité de travail à temps partiel.</v>
      </c>
      <c r="AA2" s="17" t="s">
        <v>221</v>
      </c>
      <c r="AB2" s="18" t="str">
        <f>VLOOKUP(AA2,'Axe 2 Règles de gestion'!$D$2:$F$66,3, FALSE)</f>
        <v>Retraite : L'agent continue de cotiser à la retraite.</v>
      </c>
      <c r="AC2" s="14" t="s">
        <v>76</v>
      </c>
      <c r="AD2" s="16" t="s">
        <v>76</v>
      </c>
    </row>
    <row r="3" spans="1:30" ht="90" x14ac:dyDescent="0.25">
      <c r="A3" s="14" t="s">
        <v>65</v>
      </c>
      <c r="B3" s="14" t="s">
        <v>117</v>
      </c>
      <c r="C3" s="15">
        <v>45915.461111111108</v>
      </c>
      <c r="D3" s="14" t="s">
        <v>67</v>
      </c>
      <c r="E3" s="16" t="s">
        <v>68</v>
      </c>
      <c r="F3" s="14" t="s">
        <v>69</v>
      </c>
      <c r="G3" s="16" t="s">
        <v>68</v>
      </c>
      <c r="H3" s="14" t="s">
        <v>70</v>
      </c>
      <c r="I3" s="16" t="s">
        <v>68</v>
      </c>
      <c r="J3" s="16" t="s">
        <v>71</v>
      </c>
      <c r="K3" s="16" t="s">
        <v>72</v>
      </c>
      <c r="L3" s="14" t="s">
        <v>73</v>
      </c>
      <c r="M3" s="16" t="s">
        <v>74</v>
      </c>
      <c r="N3" s="14" t="s">
        <v>75</v>
      </c>
      <c r="O3" s="16" t="s">
        <v>76</v>
      </c>
      <c r="P3" s="16" t="s">
        <v>76</v>
      </c>
      <c r="Q3" s="16" t="s">
        <v>77</v>
      </c>
      <c r="R3" s="14" t="s">
        <v>78</v>
      </c>
      <c r="S3" s="14" t="s">
        <v>79</v>
      </c>
      <c r="T3" s="14" t="s">
        <v>80</v>
      </c>
      <c r="U3" s="14" t="s">
        <v>81</v>
      </c>
      <c r="V3" s="15">
        <v>45901</v>
      </c>
      <c r="W3" s="15"/>
      <c r="X3" s="16" t="s">
        <v>218</v>
      </c>
      <c r="Y3" s="17" t="s">
        <v>219</v>
      </c>
      <c r="Z3" s="18" t="str">
        <f>VLOOKUP(Y3,'Axe 2 Règles de gestion'!$D$2:$F$66,3, FALSE)</f>
        <v>Pension : La fraction de pension de retraite versée à l'agent est égale à la différence entre 100 % et la quotité de travail à temps partiel.</v>
      </c>
      <c r="AA3" s="17" t="s">
        <v>221</v>
      </c>
      <c r="AB3" s="18" t="str">
        <f>VLOOKUP(AA3,'Axe 2 Règles de gestion'!$D$2:$F$66,3, FALSE)</f>
        <v>Retraite : L'agent continue de cotiser à la retraite.</v>
      </c>
      <c r="AC3" s="14" t="s">
        <v>76</v>
      </c>
      <c r="AD3" s="16" t="s">
        <v>76</v>
      </c>
    </row>
    <row r="4" spans="1:30" ht="45" x14ac:dyDescent="0.25">
      <c r="A4" s="14" t="s">
        <v>123</v>
      </c>
      <c r="B4" s="14" t="s">
        <v>117</v>
      </c>
      <c r="C4" s="15">
        <v>45622.508333333331</v>
      </c>
      <c r="D4" s="14" t="s">
        <v>67</v>
      </c>
      <c r="E4" s="16" t="s">
        <v>68</v>
      </c>
      <c r="F4" s="14" t="s">
        <v>69</v>
      </c>
      <c r="G4" s="16" t="s">
        <v>68</v>
      </c>
      <c r="H4" s="14" t="s">
        <v>70</v>
      </c>
      <c r="I4" s="16" t="s">
        <v>68</v>
      </c>
      <c r="J4" s="16" t="s">
        <v>71</v>
      </c>
      <c r="K4" s="16" t="s">
        <v>72</v>
      </c>
      <c r="L4" s="14" t="s">
        <v>124</v>
      </c>
      <c r="M4" s="16" t="s">
        <v>125</v>
      </c>
      <c r="N4" s="14" t="s">
        <v>126</v>
      </c>
      <c r="O4" s="16" t="s">
        <v>76</v>
      </c>
      <c r="P4" s="16" t="s">
        <v>76</v>
      </c>
      <c r="Q4" s="16" t="s">
        <v>77</v>
      </c>
      <c r="R4" s="14" t="s">
        <v>78</v>
      </c>
      <c r="S4" s="14" t="s">
        <v>79</v>
      </c>
      <c r="T4" s="14" t="s">
        <v>80</v>
      </c>
      <c r="U4" s="14" t="s">
        <v>81</v>
      </c>
      <c r="V4" s="15">
        <v>45170</v>
      </c>
      <c r="W4" s="15"/>
      <c r="X4" s="16" t="s">
        <v>76</v>
      </c>
      <c r="Y4" s="17"/>
      <c r="Z4" s="18"/>
      <c r="AA4" s="17"/>
      <c r="AB4" s="18"/>
      <c r="AC4" s="14" t="s">
        <v>76</v>
      </c>
      <c r="AD4" s="16" t="s">
        <v>76</v>
      </c>
    </row>
    <row r="5" spans="1:30" ht="45" x14ac:dyDescent="0.25">
      <c r="A5" s="14" t="s">
        <v>123</v>
      </c>
      <c r="B5" s="14" t="s">
        <v>117</v>
      </c>
      <c r="C5" s="15">
        <v>45622.507638888892</v>
      </c>
      <c r="D5" s="14" t="s">
        <v>67</v>
      </c>
      <c r="E5" s="16" t="s">
        <v>68</v>
      </c>
      <c r="F5" s="14" t="s">
        <v>69</v>
      </c>
      <c r="G5" s="16" t="s">
        <v>68</v>
      </c>
      <c r="H5" s="14" t="s">
        <v>70</v>
      </c>
      <c r="I5" s="16" t="s">
        <v>68</v>
      </c>
      <c r="J5" s="16" t="s">
        <v>71</v>
      </c>
      <c r="K5" s="16" t="s">
        <v>72</v>
      </c>
      <c r="L5" s="14" t="s">
        <v>73</v>
      </c>
      <c r="M5" s="16" t="s">
        <v>74</v>
      </c>
      <c r="N5" s="14" t="s">
        <v>75</v>
      </c>
      <c r="O5" s="16" t="s">
        <v>76</v>
      </c>
      <c r="P5" s="16" t="s">
        <v>76</v>
      </c>
      <c r="Q5" s="16" t="s">
        <v>140</v>
      </c>
      <c r="R5" s="14" t="s">
        <v>141</v>
      </c>
      <c r="S5" s="14" t="s">
        <v>66</v>
      </c>
      <c r="T5" s="14" t="s">
        <v>80</v>
      </c>
      <c r="U5" s="14" t="s">
        <v>142</v>
      </c>
      <c r="V5" s="15">
        <v>45170</v>
      </c>
      <c r="W5" s="15"/>
      <c r="X5" s="16" t="s">
        <v>76</v>
      </c>
      <c r="Y5" s="17"/>
      <c r="Z5" s="18"/>
      <c r="AA5" s="17"/>
      <c r="AB5" s="18"/>
      <c r="AC5" s="14" t="s">
        <v>76</v>
      </c>
      <c r="AD5" s="16" t="s">
        <v>76</v>
      </c>
    </row>
    <row r="6" spans="1:30" ht="45" x14ac:dyDescent="0.25">
      <c r="A6" s="14" t="s">
        <v>123</v>
      </c>
      <c r="B6" s="14" t="s">
        <v>117</v>
      </c>
      <c r="C6" s="15">
        <v>45622.508333333331</v>
      </c>
      <c r="D6" s="14" t="s">
        <v>67</v>
      </c>
      <c r="E6" s="16" t="s">
        <v>68</v>
      </c>
      <c r="F6" s="14" t="s">
        <v>69</v>
      </c>
      <c r="G6" s="16" t="s">
        <v>68</v>
      </c>
      <c r="H6" s="14" t="s">
        <v>70</v>
      </c>
      <c r="I6" s="16" t="s">
        <v>68</v>
      </c>
      <c r="J6" s="16" t="s">
        <v>71</v>
      </c>
      <c r="K6" s="16" t="s">
        <v>72</v>
      </c>
      <c r="L6" s="14" t="s">
        <v>124</v>
      </c>
      <c r="M6" s="16" t="s">
        <v>125</v>
      </c>
      <c r="N6" s="14" t="s">
        <v>126</v>
      </c>
      <c r="O6" s="16" t="s">
        <v>76</v>
      </c>
      <c r="P6" s="16" t="s">
        <v>76</v>
      </c>
      <c r="Q6" s="16" t="s">
        <v>140</v>
      </c>
      <c r="R6" s="14" t="s">
        <v>141</v>
      </c>
      <c r="S6" s="14" t="s">
        <v>66</v>
      </c>
      <c r="T6" s="14" t="s">
        <v>80</v>
      </c>
      <c r="U6" s="14" t="s">
        <v>142</v>
      </c>
      <c r="V6" s="15">
        <v>45170</v>
      </c>
      <c r="W6" s="15"/>
      <c r="X6" s="16" t="s">
        <v>76</v>
      </c>
      <c r="Y6" s="17"/>
      <c r="Z6" s="18"/>
      <c r="AA6" s="17"/>
      <c r="AB6" s="18"/>
      <c r="AC6" s="14" t="s">
        <v>76</v>
      </c>
      <c r="AD6" s="16" t="s">
        <v>76</v>
      </c>
    </row>
    <row r="7" spans="1:30" ht="90" x14ac:dyDescent="0.25">
      <c r="A7" s="14" t="s">
        <v>143</v>
      </c>
      <c r="B7" s="14" t="s">
        <v>66</v>
      </c>
      <c r="C7" s="15">
        <v>45779.490277777775</v>
      </c>
      <c r="D7" s="14" t="s">
        <v>67</v>
      </c>
      <c r="E7" s="16" t="s">
        <v>68</v>
      </c>
      <c r="F7" s="14" t="s">
        <v>69</v>
      </c>
      <c r="G7" s="16" t="s">
        <v>68</v>
      </c>
      <c r="H7" s="14" t="s">
        <v>70</v>
      </c>
      <c r="I7" s="16" t="s">
        <v>68</v>
      </c>
      <c r="J7" s="16" t="s">
        <v>71</v>
      </c>
      <c r="K7" s="16" t="s">
        <v>72</v>
      </c>
      <c r="L7" s="14" t="s">
        <v>73</v>
      </c>
      <c r="M7" s="16" t="s">
        <v>74</v>
      </c>
      <c r="N7" s="14" t="s">
        <v>75</v>
      </c>
      <c r="O7" s="16" t="s">
        <v>76</v>
      </c>
      <c r="P7" s="16" t="s">
        <v>76</v>
      </c>
      <c r="Q7" s="16" t="s">
        <v>144</v>
      </c>
      <c r="R7" s="14" t="s">
        <v>145</v>
      </c>
      <c r="S7" s="14" t="s">
        <v>146</v>
      </c>
      <c r="T7" s="14" t="s">
        <v>80</v>
      </c>
      <c r="U7" s="14" t="s">
        <v>81</v>
      </c>
      <c r="V7" s="15">
        <v>45170</v>
      </c>
      <c r="W7" s="15">
        <v>45709</v>
      </c>
      <c r="X7" s="16" t="s">
        <v>223</v>
      </c>
      <c r="Y7" s="17" t="s">
        <v>223</v>
      </c>
      <c r="Z7" s="18" t="str">
        <f>VLOOKUP(Y7,'Axe 2 Règles de gestion'!$D$2:$F$66,3, FALSE)</f>
        <v>Pension : La fraction de pension de retraite versée à l'agent est égale à la différence entre 100 % et la quotité de travail à temps partiel.</v>
      </c>
      <c r="AA7" s="17"/>
      <c r="AB7" s="18"/>
      <c r="AC7" s="14" t="s">
        <v>76</v>
      </c>
      <c r="AD7" s="16" t="s">
        <v>76</v>
      </c>
    </row>
    <row r="8" spans="1:30" ht="90" x14ac:dyDescent="0.25">
      <c r="A8" s="14" t="s">
        <v>65</v>
      </c>
      <c r="B8" s="14" t="s">
        <v>66</v>
      </c>
      <c r="C8" s="15">
        <v>45915.459722222222</v>
      </c>
      <c r="D8" s="14" t="s">
        <v>67</v>
      </c>
      <c r="E8" s="16" t="s">
        <v>68</v>
      </c>
      <c r="F8" s="14" t="s">
        <v>69</v>
      </c>
      <c r="G8" s="16" t="s">
        <v>68</v>
      </c>
      <c r="H8" s="14" t="s">
        <v>70</v>
      </c>
      <c r="I8" s="16" t="s">
        <v>68</v>
      </c>
      <c r="J8" s="16" t="s">
        <v>71</v>
      </c>
      <c r="K8" s="16" t="s">
        <v>72</v>
      </c>
      <c r="L8" s="14" t="s">
        <v>73</v>
      </c>
      <c r="M8" s="16" t="s">
        <v>74</v>
      </c>
      <c r="N8" s="14" t="s">
        <v>75</v>
      </c>
      <c r="O8" s="16" t="s">
        <v>76</v>
      </c>
      <c r="P8" s="16" t="s">
        <v>76</v>
      </c>
      <c r="Q8" s="16" t="s">
        <v>144</v>
      </c>
      <c r="R8" s="14" t="s">
        <v>145</v>
      </c>
      <c r="S8" s="14" t="s">
        <v>146</v>
      </c>
      <c r="T8" s="14" t="s">
        <v>80</v>
      </c>
      <c r="U8" s="14" t="s">
        <v>81</v>
      </c>
      <c r="V8" s="15">
        <v>45710</v>
      </c>
      <c r="W8" s="15">
        <v>45900</v>
      </c>
      <c r="X8" s="16" t="s">
        <v>223</v>
      </c>
      <c r="Y8" s="17" t="s">
        <v>223</v>
      </c>
      <c r="Z8" s="18" t="str">
        <f>VLOOKUP(Y8,'Axe 2 Règles de gestion'!$D$2:$F$66,3, FALSE)</f>
        <v>Pension : La fraction de pension de retraite versée à l'agent est égale à la différence entre 100 % et la quotité de travail à temps partiel.</v>
      </c>
      <c r="AA8" s="17"/>
      <c r="AB8" s="18"/>
      <c r="AC8" s="14" t="s">
        <v>76</v>
      </c>
      <c r="AD8" s="16" t="s">
        <v>76</v>
      </c>
    </row>
    <row r="9" spans="1:30" ht="90" x14ac:dyDescent="0.25">
      <c r="A9" s="14" t="s">
        <v>65</v>
      </c>
      <c r="B9" s="14" t="s">
        <v>117</v>
      </c>
      <c r="C9" s="15">
        <v>45915.460416666669</v>
      </c>
      <c r="D9" s="14" t="s">
        <v>67</v>
      </c>
      <c r="E9" s="16" t="s">
        <v>68</v>
      </c>
      <c r="F9" s="14" t="s">
        <v>69</v>
      </c>
      <c r="G9" s="16" t="s">
        <v>68</v>
      </c>
      <c r="H9" s="14" t="s">
        <v>70</v>
      </c>
      <c r="I9" s="16" t="s">
        <v>68</v>
      </c>
      <c r="J9" s="16" t="s">
        <v>71</v>
      </c>
      <c r="K9" s="16" t="s">
        <v>72</v>
      </c>
      <c r="L9" s="14" t="s">
        <v>73</v>
      </c>
      <c r="M9" s="16" t="s">
        <v>74</v>
      </c>
      <c r="N9" s="14" t="s">
        <v>75</v>
      </c>
      <c r="O9" s="16" t="s">
        <v>76</v>
      </c>
      <c r="P9" s="16" t="s">
        <v>76</v>
      </c>
      <c r="Q9" s="16" t="s">
        <v>144</v>
      </c>
      <c r="R9" s="14" t="s">
        <v>145</v>
      </c>
      <c r="S9" s="14" t="s">
        <v>146</v>
      </c>
      <c r="T9" s="14" t="s">
        <v>80</v>
      </c>
      <c r="U9" s="14" t="s">
        <v>81</v>
      </c>
      <c r="V9" s="15">
        <v>45901</v>
      </c>
      <c r="W9" s="15"/>
      <c r="X9" s="16" t="s">
        <v>223</v>
      </c>
      <c r="Y9" s="17" t="s">
        <v>223</v>
      </c>
      <c r="Z9" s="18" t="str">
        <f>VLOOKUP(Y9,'Axe 2 Règles de gestion'!$D$2:$F$66,3, FALSE)</f>
        <v>Pension : La fraction de pension de retraite versée à l'agent est égale à la différence entre 100 % et la quotité de travail à temps partiel.</v>
      </c>
      <c r="AA9" s="17"/>
      <c r="AB9" s="18"/>
      <c r="AC9" s="14" t="s">
        <v>76</v>
      </c>
      <c r="AD9" s="16" t="s">
        <v>76</v>
      </c>
    </row>
    <row r="10" spans="1:30" ht="45" x14ac:dyDescent="0.25">
      <c r="A10" s="14" t="s">
        <v>123</v>
      </c>
      <c r="B10" s="14" t="s">
        <v>117</v>
      </c>
      <c r="C10" s="15">
        <v>45623.563888888886</v>
      </c>
      <c r="D10" s="14" t="s">
        <v>67</v>
      </c>
      <c r="E10" s="16" t="s">
        <v>68</v>
      </c>
      <c r="F10" s="14" t="s">
        <v>69</v>
      </c>
      <c r="G10" s="16" t="s">
        <v>68</v>
      </c>
      <c r="H10" s="14" t="s">
        <v>70</v>
      </c>
      <c r="I10" s="16" t="s">
        <v>68</v>
      </c>
      <c r="J10" s="16" t="s">
        <v>71</v>
      </c>
      <c r="K10" s="16" t="s">
        <v>72</v>
      </c>
      <c r="L10" s="14" t="s">
        <v>124</v>
      </c>
      <c r="M10" s="16" t="s">
        <v>125</v>
      </c>
      <c r="N10" s="14" t="s">
        <v>126</v>
      </c>
      <c r="O10" s="16" t="s">
        <v>76</v>
      </c>
      <c r="P10" s="16" t="s">
        <v>76</v>
      </c>
      <c r="Q10" s="16" t="s">
        <v>144</v>
      </c>
      <c r="R10" s="14" t="s">
        <v>145</v>
      </c>
      <c r="S10" s="14" t="s">
        <v>146</v>
      </c>
      <c r="T10" s="14" t="s">
        <v>80</v>
      </c>
      <c r="U10" s="14" t="s">
        <v>81</v>
      </c>
      <c r="V10" s="15">
        <v>45170</v>
      </c>
      <c r="W10" s="15"/>
      <c r="X10" s="16" t="s">
        <v>76</v>
      </c>
      <c r="Y10" s="17"/>
      <c r="Z10" s="18"/>
      <c r="AA10" s="17"/>
      <c r="AB10" s="18"/>
      <c r="AC10" s="14" t="s">
        <v>76</v>
      </c>
      <c r="AD10" s="16" t="s">
        <v>76</v>
      </c>
    </row>
    <row r="11" spans="1:30" ht="90" x14ac:dyDescent="0.25">
      <c r="A11" s="14" t="s">
        <v>65</v>
      </c>
      <c r="B11" s="14" t="s">
        <v>66</v>
      </c>
      <c r="C11" s="15">
        <v>45915.456944444442</v>
      </c>
      <c r="D11" s="14" t="s">
        <v>67</v>
      </c>
      <c r="E11" s="16" t="s">
        <v>68</v>
      </c>
      <c r="F11" s="14" t="s">
        <v>69</v>
      </c>
      <c r="G11" s="16" t="s">
        <v>68</v>
      </c>
      <c r="H11" s="14" t="s">
        <v>70</v>
      </c>
      <c r="I11" s="16" t="s">
        <v>68</v>
      </c>
      <c r="J11" s="16" t="s">
        <v>71</v>
      </c>
      <c r="K11" s="16" t="s">
        <v>72</v>
      </c>
      <c r="L11" s="14" t="s">
        <v>73</v>
      </c>
      <c r="M11" s="16" t="s">
        <v>74</v>
      </c>
      <c r="N11" s="14" t="s">
        <v>75</v>
      </c>
      <c r="O11" s="16" t="s">
        <v>76</v>
      </c>
      <c r="P11" s="16" t="s">
        <v>76</v>
      </c>
      <c r="Q11" s="16" t="s">
        <v>181</v>
      </c>
      <c r="R11" s="14" t="s">
        <v>182</v>
      </c>
      <c r="S11" s="14" t="s">
        <v>183</v>
      </c>
      <c r="T11" s="14" t="s">
        <v>80</v>
      </c>
      <c r="U11" s="14" t="s">
        <v>81</v>
      </c>
      <c r="V11" s="15">
        <v>45170</v>
      </c>
      <c r="W11" s="15">
        <v>45900</v>
      </c>
      <c r="X11" s="16" t="s">
        <v>218</v>
      </c>
      <c r="Y11" s="17" t="s">
        <v>219</v>
      </c>
      <c r="Z11" s="18" t="str">
        <f>VLOOKUP(Y11,'Axe 2 Règles de gestion'!$D$2:$F$66,3, FALSE)</f>
        <v>Pension : La fraction de pension de retraite versée à l'agent est égale à la différence entre 100 % et la quotité de travail à temps partiel.</v>
      </c>
      <c r="AA11" s="17" t="s">
        <v>221</v>
      </c>
      <c r="AB11" s="18" t="str">
        <f>VLOOKUP(AA11,'Axe 2 Règles de gestion'!$D$2:$F$66,3, FALSE)</f>
        <v>Retraite : L'agent continue de cotiser à la retraite.</v>
      </c>
      <c r="AC11" s="14" t="s">
        <v>76</v>
      </c>
      <c r="AD11" s="16" t="s">
        <v>76</v>
      </c>
    </row>
    <row r="12" spans="1:30" ht="90" x14ac:dyDescent="0.25">
      <c r="A12" s="14" t="s">
        <v>65</v>
      </c>
      <c r="B12" s="14" t="s">
        <v>117</v>
      </c>
      <c r="C12" s="15">
        <v>45915.461111111108</v>
      </c>
      <c r="D12" s="14" t="s">
        <v>67</v>
      </c>
      <c r="E12" s="16" t="s">
        <v>68</v>
      </c>
      <c r="F12" s="14" t="s">
        <v>69</v>
      </c>
      <c r="G12" s="16" t="s">
        <v>68</v>
      </c>
      <c r="H12" s="14" t="s">
        <v>70</v>
      </c>
      <c r="I12" s="16" t="s">
        <v>68</v>
      </c>
      <c r="J12" s="16" t="s">
        <v>71</v>
      </c>
      <c r="K12" s="16" t="s">
        <v>72</v>
      </c>
      <c r="L12" s="14" t="s">
        <v>73</v>
      </c>
      <c r="M12" s="16" t="s">
        <v>74</v>
      </c>
      <c r="N12" s="14" t="s">
        <v>75</v>
      </c>
      <c r="O12" s="16" t="s">
        <v>76</v>
      </c>
      <c r="P12" s="16" t="s">
        <v>76</v>
      </c>
      <c r="Q12" s="16" t="s">
        <v>181</v>
      </c>
      <c r="R12" s="14" t="s">
        <v>182</v>
      </c>
      <c r="S12" s="14" t="s">
        <v>183</v>
      </c>
      <c r="T12" s="14" t="s">
        <v>80</v>
      </c>
      <c r="U12" s="14" t="s">
        <v>81</v>
      </c>
      <c r="V12" s="15">
        <v>45901</v>
      </c>
      <c r="W12" s="15"/>
      <c r="X12" s="16" t="s">
        <v>218</v>
      </c>
      <c r="Y12" s="17" t="s">
        <v>219</v>
      </c>
      <c r="Z12" s="18" t="str">
        <f>VLOOKUP(Y12,'Axe 2 Règles de gestion'!$D$2:$F$66,3, FALSE)</f>
        <v>Pension : La fraction de pension de retraite versée à l'agent est égale à la différence entre 100 % et la quotité de travail à temps partiel.</v>
      </c>
      <c r="AA12" s="17" t="s">
        <v>221</v>
      </c>
      <c r="AB12" s="18" t="str">
        <f>VLOOKUP(AA12,'Axe 2 Règles de gestion'!$D$2:$F$66,3, FALSE)</f>
        <v>Retraite : L'agent continue de cotiser à la retraite.</v>
      </c>
      <c r="AC12" s="14" t="s">
        <v>76</v>
      </c>
      <c r="AD12" s="16" t="s">
        <v>76</v>
      </c>
    </row>
    <row r="13" spans="1:30" ht="45" x14ac:dyDescent="0.25">
      <c r="A13" s="14" t="s">
        <v>123</v>
      </c>
      <c r="B13" s="14" t="s">
        <v>117</v>
      </c>
      <c r="C13" s="15">
        <v>45623.564583333333</v>
      </c>
      <c r="D13" s="14" t="s">
        <v>67</v>
      </c>
      <c r="E13" s="16" t="s">
        <v>68</v>
      </c>
      <c r="F13" s="14" t="s">
        <v>69</v>
      </c>
      <c r="G13" s="16" t="s">
        <v>68</v>
      </c>
      <c r="H13" s="14" t="s">
        <v>70</v>
      </c>
      <c r="I13" s="16" t="s">
        <v>68</v>
      </c>
      <c r="J13" s="16" t="s">
        <v>71</v>
      </c>
      <c r="K13" s="16" t="s">
        <v>72</v>
      </c>
      <c r="L13" s="14" t="s">
        <v>124</v>
      </c>
      <c r="M13" s="16" t="s">
        <v>125</v>
      </c>
      <c r="N13" s="14" t="s">
        <v>126</v>
      </c>
      <c r="O13" s="16" t="s">
        <v>76</v>
      </c>
      <c r="P13" s="16" t="s">
        <v>76</v>
      </c>
      <c r="Q13" s="16" t="s">
        <v>181</v>
      </c>
      <c r="R13" s="14" t="s">
        <v>182</v>
      </c>
      <c r="S13" s="14" t="s">
        <v>183</v>
      </c>
      <c r="T13" s="14" t="s">
        <v>80</v>
      </c>
      <c r="U13" s="14" t="s">
        <v>81</v>
      </c>
      <c r="V13" s="15">
        <v>45170</v>
      </c>
      <c r="W13" s="15"/>
      <c r="X13" s="16" t="s">
        <v>76</v>
      </c>
      <c r="Y13" s="17"/>
      <c r="Z13" s="18"/>
      <c r="AA13" s="17"/>
      <c r="AB13" s="18"/>
      <c r="AC13" s="14" t="s">
        <v>76</v>
      </c>
      <c r="AD13" s="16" t="s">
        <v>76</v>
      </c>
    </row>
    <row r="14" spans="1:30" ht="90" x14ac:dyDescent="0.25">
      <c r="A14" s="14" t="s">
        <v>143</v>
      </c>
      <c r="B14" s="14" t="s">
        <v>66</v>
      </c>
      <c r="C14" s="15">
        <v>45779.493750000001</v>
      </c>
      <c r="D14" s="14" t="s">
        <v>67</v>
      </c>
      <c r="E14" s="16" t="s">
        <v>68</v>
      </c>
      <c r="F14" s="14" t="s">
        <v>69</v>
      </c>
      <c r="G14" s="16" t="s">
        <v>68</v>
      </c>
      <c r="H14" s="14" t="s">
        <v>70</v>
      </c>
      <c r="I14" s="16" t="s">
        <v>68</v>
      </c>
      <c r="J14" s="16" t="s">
        <v>71</v>
      </c>
      <c r="K14" s="16" t="s">
        <v>72</v>
      </c>
      <c r="L14" s="14" t="s">
        <v>73</v>
      </c>
      <c r="M14" s="16" t="s">
        <v>74</v>
      </c>
      <c r="N14" s="14" t="s">
        <v>75</v>
      </c>
      <c r="O14" s="16" t="s">
        <v>76</v>
      </c>
      <c r="P14" s="16" t="s">
        <v>76</v>
      </c>
      <c r="Q14" s="16" t="s">
        <v>184</v>
      </c>
      <c r="R14" s="14" t="s">
        <v>185</v>
      </c>
      <c r="S14" s="14" t="s">
        <v>186</v>
      </c>
      <c r="T14" s="14" t="s">
        <v>80</v>
      </c>
      <c r="U14" s="14" t="s">
        <v>81</v>
      </c>
      <c r="V14" s="15">
        <v>45170</v>
      </c>
      <c r="W14" s="15">
        <v>45709</v>
      </c>
      <c r="X14" s="16" t="s">
        <v>224</v>
      </c>
      <c r="Y14" s="17" t="s">
        <v>224</v>
      </c>
      <c r="Z14" s="18" t="str">
        <f>VLOOKUP(Y14,'Axe 2 Règles de gestion'!$D$2:$F$66,3, FALSE)</f>
        <v>Pension : La fraction de pension de retraite versée à l'agent est égale à la différence entre 100 % et la quotité de travail à temps partiel.</v>
      </c>
      <c r="AA14" s="17"/>
      <c r="AB14" s="18"/>
      <c r="AC14" s="14" t="s">
        <v>76</v>
      </c>
      <c r="AD14" s="16" t="s">
        <v>76</v>
      </c>
    </row>
    <row r="15" spans="1:30" ht="90" x14ac:dyDescent="0.25">
      <c r="A15" s="14" t="s">
        <v>65</v>
      </c>
      <c r="B15" s="14" t="s">
        <v>66</v>
      </c>
      <c r="C15" s="15">
        <v>45915.459722222222</v>
      </c>
      <c r="D15" s="14" t="s">
        <v>67</v>
      </c>
      <c r="E15" s="16" t="s">
        <v>68</v>
      </c>
      <c r="F15" s="14" t="s">
        <v>69</v>
      </c>
      <c r="G15" s="16" t="s">
        <v>68</v>
      </c>
      <c r="H15" s="14" t="s">
        <v>70</v>
      </c>
      <c r="I15" s="16" t="s">
        <v>68</v>
      </c>
      <c r="J15" s="16" t="s">
        <v>71</v>
      </c>
      <c r="K15" s="16" t="s">
        <v>72</v>
      </c>
      <c r="L15" s="14" t="s">
        <v>73</v>
      </c>
      <c r="M15" s="16" t="s">
        <v>74</v>
      </c>
      <c r="N15" s="14" t="s">
        <v>75</v>
      </c>
      <c r="O15" s="16" t="s">
        <v>76</v>
      </c>
      <c r="P15" s="16" t="s">
        <v>76</v>
      </c>
      <c r="Q15" s="16" t="s">
        <v>184</v>
      </c>
      <c r="R15" s="14" t="s">
        <v>185</v>
      </c>
      <c r="S15" s="14" t="s">
        <v>186</v>
      </c>
      <c r="T15" s="14" t="s">
        <v>80</v>
      </c>
      <c r="U15" s="14" t="s">
        <v>81</v>
      </c>
      <c r="V15" s="15">
        <v>45710</v>
      </c>
      <c r="W15" s="15">
        <v>45900</v>
      </c>
      <c r="X15" s="16" t="s">
        <v>224</v>
      </c>
      <c r="Y15" s="17" t="s">
        <v>224</v>
      </c>
      <c r="Z15" s="18" t="str">
        <f>VLOOKUP(Y15,'Axe 2 Règles de gestion'!$D$2:$F$66,3, FALSE)</f>
        <v>Pension : La fraction de pension de retraite versée à l'agent est égale à la différence entre 100 % et la quotité de travail à temps partiel.</v>
      </c>
      <c r="AA15" s="17"/>
      <c r="AB15" s="18"/>
      <c r="AC15" s="14" t="s">
        <v>76</v>
      </c>
      <c r="AD15" s="16" t="s">
        <v>76</v>
      </c>
    </row>
    <row r="16" spans="1:30" ht="90" x14ac:dyDescent="0.25">
      <c r="A16" s="14" t="s">
        <v>65</v>
      </c>
      <c r="B16" s="14" t="s">
        <v>117</v>
      </c>
      <c r="C16" s="15">
        <v>45915.461111111108</v>
      </c>
      <c r="D16" s="14" t="s">
        <v>67</v>
      </c>
      <c r="E16" s="16" t="s">
        <v>68</v>
      </c>
      <c r="F16" s="14" t="s">
        <v>69</v>
      </c>
      <c r="G16" s="16" t="s">
        <v>68</v>
      </c>
      <c r="H16" s="14" t="s">
        <v>70</v>
      </c>
      <c r="I16" s="16" t="s">
        <v>68</v>
      </c>
      <c r="J16" s="16" t="s">
        <v>71</v>
      </c>
      <c r="K16" s="16" t="s">
        <v>72</v>
      </c>
      <c r="L16" s="14" t="s">
        <v>73</v>
      </c>
      <c r="M16" s="16" t="s">
        <v>74</v>
      </c>
      <c r="N16" s="14" t="s">
        <v>75</v>
      </c>
      <c r="O16" s="16" t="s">
        <v>76</v>
      </c>
      <c r="P16" s="16" t="s">
        <v>76</v>
      </c>
      <c r="Q16" s="16" t="s">
        <v>184</v>
      </c>
      <c r="R16" s="14" t="s">
        <v>185</v>
      </c>
      <c r="S16" s="14" t="s">
        <v>186</v>
      </c>
      <c r="T16" s="14" t="s">
        <v>80</v>
      </c>
      <c r="U16" s="14" t="s">
        <v>81</v>
      </c>
      <c r="V16" s="15">
        <v>45901</v>
      </c>
      <c r="W16" s="15"/>
      <c r="X16" s="16" t="s">
        <v>224</v>
      </c>
      <c r="Y16" s="17" t="s">
        <v>224</v>
      </c>
      <c r="Z16" s="18" t="str">
        <f>VLOOKUP(Y16,'Axe 2 Règles de gestion'!$D$2:$F$66,3, FALSE)</f>
        <v>Pension : La fraction de pension de retraite versée à l'agent est égale à la différence entre 100 % et la quotité de travail à temps partiel.</v>
      </c>
      <c r="AA16" s="17"/>
      <c r="AB16" s="18"/>
      <c r="AC16" s="14" t="s">
        <v>76</v>
      </c>
      <c r="AD16" s="16" t="s">
        <v>76</v>
      </c>
    </row>
    <row r="17" spans="1:30" ht="45" x14ac:dyDescent="0.25">
      <c r="A17" s="14" t="s">
        <v>123</v>
      </c>
      <c r="B17" s="14" t="s">
        <v>117</v>
      </c>
      <c r="C17" s="15">
        <v>45623.563888888886</v>
      </c>
      <c r="D17" s="14" t="s">
        <v>67</v>
      </c>
      <c r="E17" s="16" t="s">
        <v>68</v>
      </c>
      <c r="F17" s="14" t="s">
        <v>69</v>
      </c>
      <c r="G17" s="16" t="s">
        <v>68</v>
      </c>
      <c r="H17" s="14" t="s">
        <v>70</v>
      </c>
      <c r="I17" s="16" t="s">
        <v>68</v>
      </c>
      <c r="J17" s="16" t="s">
        <v>71</v>
      </c>
      <c r="K17" s="16" t="s">
        <v>72</v>
      </c>
      <c r="L17" s="14" t="s">
        <v>124</v>
      </c>
      <c r="M17" s="16" t="s">
        <v>125</v>
      </c>
      <c r="N17" s="14" t="s">
        <v>126</v>
      </c>
      <c r="O17" s="16" t="s">
        <v>76</v>
      </c>
      <c r="P17" s="16" t="s">
        <v>76</v>
      </c>
      <c r="Q17" s="16" t="s">
        <v>184</v>
      </c>
      <c r="R17" s="14" t="s">
        <v>185</v>
      </c>
      <c r="S17" s="14" t="s">
        <v>186</v>
      </c>
      <c r="T17" s="14" t="s">
        <v>80</v>
      </c>
      <c r="U17" s="14" t="s">
        <v>81</v>
      </c>
      <c r="V17" s="15">
        <v>45170</v>
      </c>
      <c r="W17" s="15"/>
      <c r="X17" s="16" t="s">
        <v>76</v>
      </c>
      <c r="Y17" s="17"/>
      <c r="Z17" s="18"/>
      <c r="AA17" s="17"/>
      <c r="AB17" s="18"/>
      <c r="AC17" s="14" t="s">
        <v>76</v>
      </c>
      <c r="AD17" s="16" t="s">
        <v>76</v>
      </c>
    </row>
    <row r="18" spans="1:30" x14ac:dyDescent="0.25">
      <c r="A18" s="19"/>
      <c r="B18" s="20"/>
      <c r="C18" s="21"/>
      <c r="D18" s="19"/>
      <c r="E18" s="20"/>
      <c r="F18" s="19"/>
      <c r="G18" s="20"/>
      <c r="H18" s="19"/>
      <c r="I18" s="20"/>
      <c r="J18" s="20" t="s">
        <v>76</v>
      </c>
      <c r="K18" s="20" t="s">
        <v>76</v>
      </c>
      <c r="L18" s="20"/>
      <c r="M18" s="20"/>
      <c r="N18" s="20" t="s">
        <v>76</v>
      </c>
      <c r="O18" s="20" t="s">
        <v>76</v>
      </c>
      <c r="P18" s="20" t="s">
        <v>76</v>
      </c>
      <c r="Q18" s="20"/>
      <c r="R18" s="20"/>
      <c r="S18" s="19"/>
      <c r="T18" s="20"/>
      <c r="U18" s="19"/>
      <c r="V18" s="22"/>
      <c r="W18" s="22"/>
      <c r="X18" s="20"/>
      <c r="AC18" s="25"/>
      <c r="AD18" s="20"/>
    </row>
    <row r="19" spans="1:30" x14ac:dyDescent="0.25">
      <c r="A19" s="19"/>
      <c r="B19" s="20"/>
      <c r="C19" s="21"/>
      <c r="D19" s="19"/>
      <c r="E19" s="20"/>
      <c r="F19" s="19"/>
      <c r="G19" s="20"/>
      <c r="H19" s="19"/>
      <c r="I19" s="20"/>
      <c r="J19" s="20" t="s">
        <v>76</v>
      </c>
      <c r="K19" s="20" t="s">
        <v>76</v>
      </c>
      <c r="L19" s="20"/>
      <c r="M19" s="20"/>
      <c r="N19" s="20" t="s">
        <v>76</v>
      </c>
      <c r="O19" s="20" t="s">
        <v>76</v>
      </c>
      <c r="P19" s="20" t="s">
        <v>76</v>
      </c>
      <c r="Q19" s="20"/>
      <c r="R19" s="20"/>
      <c r="S19" s="19"/>
      <c r="T19" s="20"/>
      <c r="U19" s="19"/>
      <c r="V19" s="22"/>
      <c r="W19" s="22"/>
      <c r="X19" s="20"/>
      <c r="AC19" s="25"/>
      <c r="AD19" s="20"/>
    </row>
    <row r="20" spans="1:30" x14ac:dyDescent="0.25">
      <c r="A20" s="19"/>
      <c r="B20" s="20"/>
      <c r="C20" s="21"/>
      <c r="D20" s="19"/>
      <c r="E20" s="20"/>
      <c r="F20" s="19"/>
      <c r="G20" s="20"/>
      <c r="H20" s="19"/>
      <c r="I20" s="20"/>
      <c r="J20" s="20" t="s">
        <v>76</v>
      </c>
      <c r="K20" s="20" t="s">
        <v>76</v>
      </c>
      <c r="L20" s="20"/>
      <c r="M20" s="20"/>
      <c r="N20" s="20" t="s">
        <v>76</v>
      </c>
      <c r="O20" s="20" t="s">
        <v>76</v>
      </c>
      <c r="P20" s="20" t="s">
        <v>76</v>
      </c>
      <c r="Q20" s="20"/>
      <c r="R20" s="20"/>
      <c r="S20" s="19"/>
      <c r="T20" s="20"/>
      <c r="U20" s="19"/>
      <c r="V20" s="22"/>
      <c r="W20" s="22"/>
      <c r="X20" s="20"/>
      <c r="AC20" s="25"/>
      <c r="AD20" s="20"/>
    </row>
    <row r="21" spans="1:30" x14ac:dyDescent="0.25">
      <c r="A21" s="19"/>
      <c r="B21" s="20"/>
      <c r="C21" s="21"/>
      <c r="D21" s="19"/>
      <c r="E21" s="20"/>
      <c r="F21" s="19"/>
      <c r="G21" s="20"/>
      <c r="H21" s="19"/>
      <c r="I21" s="20"/>
      <c r="J21" s="20" t="s">
        <v>76</v>
      </c>
      <c r="K21" s="20" t="s">
        <v>76</v>
      </c>
      <c r="L21" s="20"/>
      <c r="M21" s="20"/>
      <c r="N21" s="20" t="s">
        <v>76</v>
      </c>
      <c r="O21" s="20" t="s">
        <v>76</v>
      </c>
      <c r="P21" s="20" t="s">
        <v>76</v>
      </c>
      <c r="Q21" s="20"/>
      <c r="R21" s="20"/>
      <c r="S21" s="19"/>
      <c r="T21" s="20"/>
      <c r="U21" s="19"/>
      <c r="V21" s="22"/>
      <c r="W21" s="22"/>
      <c r="X21" s="20"/>
      <c r="AC21" s="25"/>
      <c r="AD21" s="20"/>
    </row>
    <row r="22" spans="1:30" x14ac:dyDescent="0.25">
      <c r="A22" s="19"/>
      <c r="B22" s="20"/>
      <c r="C22" s="21"/>
      <c r="D22" s="19"/>
      <c r="E22" s="20"/>
      <c r="F22" s="19"/>
      <c r="G22" s="20"/>
      <c r="H22" s="19"/>
      <c r="I22" s="20"/>
      <c r="J22" s="20" t="s">
        <v>76</v>
      </c>
      <c r="K22" s="20" t="s">
        <v>76</v>
      </c>
      <c r="L22" s="20"/>
      <c r="M22" s="20"/>
      <c r="N22" s="20" t="s">
        <v>76</v>
      </c>
      <c r="O22" s="20" t="s">
        <v>76</v>
      </c>
      <c r="P22" s="20" t="s">
        <v>76</v>
      </c>
      <c r="Q22" s="20"/>
      <c r="R22" s="20"/>
      <c r="S22" s="19"/>
      <c r="T22" s="20"/>
      <c r="U22" s="19"/>
      <c r="V22" s="22"/>
      <c r="W22" s="22"/>
      <c r="X22" s="20"/>
      <c r="AC22" s="25"/>
      <c r="AD22" s="20"/>
    </row>
    <row r="23" spans="1:30" x14ac:dyDescent="0.25">
      <c r="A23" s="19"/>
      <c r="B23" s="20"/>
      <c r="C23" s="21"/>
      <c r="D23" s="19"/>
      <c r="E23" s="20"/>
      <c r="F23" s="19"/>
      <c r="G23" s="20"/>
      <c r="H23" s="19"/>
      <c r="I23" s="20"/>
      <c r="J23" s="20" t="s">
        <v>76</v>
      </c>
      <c r="K23" s="20" t="s">
        <v>76</v>
      </c>
      <c r="L23" s="20"/>
      <c r="M23" s="20"/>
      <c r="N23" s="20" t="s">
        <v>76</v>
      </c>
      <c r="O23" s="20" t="s">
        <v>76</v>
      </c>
      <c r="P23" s="20" t="s">
        <v>76</v>
      </c>
      <c r="Q23" s="20"/>
      <c r="R23" s="20"/>
      <c r="S23" s="19"/>
      <c r="T23" s="20"/>
      <c r="U23" s="19"/>
      <c r="V23" s="22"/>
      <c r="W23" s="22"/>
      <c r="X23" s="20"/>
      <c r="AC23" s="25"/>
      <c r="AD23" s="20"/>
    </row>
    <row r="24" spans="1:30" x14ac:dyDescent="0.25">
      <c r="A24" s="19"/>
      <c r="B24" s="20"/>
      <c r="C24" s="21"/>
      <c r="D24" s="19"/>
      <c r="E24" s="20"/>
      <c r="F24" s="19"/>
      <c r="G24" s="20"/>
      <c r="H24" s="19"/>
      <c r="I24" s="20"/>
      <c r="J24" s="20" t="s">
        <v>76</v>
      </c>
      <c r="K24" s="20" t="s">
        <v>76</v>
      </c>
      <c r="L24" s="20"/>
      <c r="M24" s="20"/>
      <c r="N24" s="20" t="s">
        <v>76</v>
      </c>
      <c r="O24" s="20" t="s">
        <v>76</v>
      </c>
      <c r="P24" s="20" t="s">
        <v>76</v>
      </c>
      <c r="Q24" s="20"/>
      <c r="R24" s="20"/>
      <c r="S24" s="19"/>
      <c r="T24" s="20"/>
      <c r="U24" s="19"/>
      <c r="V24" s="22"/>
      <c r="W24" s="22"/>
      <c r="X24" s="20"/>
      <c r="AC24" s="25"/>
      <c r="AD24" s="20"/>
    </row>
    <row r="25" spans="1:30" x14ac:dyDescent="0.25">
      <c r="A25" s="19"/>
      <c r="B25" s="20"/>
      <c r="C25" s="21"/>
      <c r="D25" s="19"/>
      <c r="E25" s="20"/>
      <c r="F25" s="19"/>
      <c r="G25" s="20"/>
      <c r="H25" s="19"/>
      <c r="I25" s="20"/>
      <c r="J25" s="20" t="s">
        <v>76</v>
      </c>
      <c r="K25" s="20" t="s">
        <v>76</v>
      </c>
      <c r="L25" s="20"/>
      <c r="M25" s="20"/>
      <c r="N25" s="20" t="s">
        <v>76</v>
      </c>
      <c r="O25" s="20" t="s">
        <v>76</v>
      </c>
      <c r="P25" s="20" t="s">
        <v>76</v>
      </c>
      <c r="Q25" s="20"/>
      <c r="R25" s="20"/>
      <c r="S25" s="19"/>
      <c r="T25" s="20"/>
      <c r="U25" s="19"/>
      <c r="V25" s="22"/>
      <c r="W25" s="22"/>
      <c r="X25" s="20"/>
      <c r="AC25" s="25"/>
      <c r="AD25" s="20"/>
    </row>
    <row r="26" spans="1:30" x14ac:dyDescent="0.25">
      <c r="A26" s="19"/>
      <c r="B26" s="20"/>
      <c r="C26" s="21"/>
      <c r="D26" s="19"/>
      <c r="E26" s="20"/>
      <c r="F26" s="19"/>
      <c r="G26" s="20"/>
      <c r="H26" s="19"/>
      <c r="I26" s="20"/>
      <c r="J26" s="20" t="s">
        <v>76</v>
      </c>
      <c r="K26" s="20" t="s">
        <v>76</v>
      </c>
      <c r="L26" s="20"/>
      <c r="M26" s="20"/>
      <c r="N26" s="20" t="s">
        <v>76</v>
      </c>
      <c r="O26" s="20" t="s">
        <v>76</v>
      </c>
      <c r="P26" s="20" t="s">
        <v>76</v>
      </c>
      <c r="Q26" s="20"/>
      <c r="R26" s="20"/>
      <c r="S26" s="19"/>
      <c r="T26" s="20"/>
      <c r="U26" s="19"/>
      <c r="V26" s="22"/>
      <c r="W26" s="22"/>
      <c r="X26" s="20"/>
      <c r="AC26" s="25"/>
      <c r="AD26" s="20"/>
    </row>
    <row r="27" spans="1:30" x14ac:dyDescent="0.25">
      <c r="A27" s="19"/>
      <c r="B27" s="20"/>
      <c r="C27" s="21"/>
      <c r="D27" s="19"/>
      <c r="E27" s="20"/>
      <c r="F27" s="19"/>
      <c r="G27" s="20"/>
      <c r="H27" s="19"/>
      <c r="I27" s="20"/>
      <c r="J27" s="20" t="s">
        <v>76</v>
      </c>
      <c r="K27" s="20" t="s">
        <v>76</v>
      </c>
      <c r="L27" s="20"/>
      <c r="M27" s="20"/>
      <c r="N27" s="20" t="s">
        <v>76</v>
      </c>
      <c r="O27" s="20" t="s">
        <v>76</v>
      </c>
      <c r="P27" s="20" t="s">
        <v>76</v>
      </c>
      <c r="Q27" s="20"/>
      <c r="R27" s="20"/>
      <c r="S27" s="19"/>
      <c r="T27" s="20"/>
      <c r="U27" s="19"/>
      <c r="V27" s="22"/>
      <c r="W27" s="22"/>
      <c r="X27" s="20"/>
      <c r="AC27" s="25"/>
      <c r="AD27" s="20"/>
    </row>
    <row r="28" spans="1:30" x14ac:dyDescent="0.25">
      <c r="A28" s="19"/>
      <c r="B28" s="20"/>
      <c r="C28" s="21"/>
      <c r="D28" s="19"/>
      <c r="E28" s="20"/>
      <c r="F28" s="19"/>
      <c r="G28" s="20"/>
      <c r="H28" s="19"/>
      <c r="I28" s="20"/>
      <c r="J28" s="20" t="s">
        <v>76</v>
      </c>
      <c r="K28" s="20" t="s">
        <v>76</v>
      </c>
      <c r="L28" s="20"/>
      <c r="M28" s="20"/>
      <c r="N28" s="20" t="s">
        <v>76</v>
      </c>
      <c r="O28" s="20" t="s">
        <v>76</v>
      </c>
      <c r="P28" s="20" t="s">
        <v>76</v>
      </c>
      <c r="Q28" s="20"/>
      <c r="R28" s="20"/>
      <c r="S28" s="19"/>
      <c r="T28" s="20"/>
      <c r="U28" s="19"/>
      <c r="V28" s="22"/>
      <c r="W28" s="22"/>
      <c r="X28" s="20"/>
      <c r="AC28" s="25"/>
      <c r="AD28" s="20"/>
    </row>
    <row r="29" spans="1:30" x14ac:dyDescent="0.25">
      <c r="A29" s="19"/>
      <c r="B29" s="20"/>
      <c r="C29" s="21"/>
      <c r="D29" s="19"/>
      <c r="E29" s="20"/>
      <c r="F29" s="19"/>
      <c r="G29" s="20"/>
      <c r="H29" s="19"/>
      <c r="I29" s="20"/>
      <c r="J29" s="20" t="s">
        <v>76</v>
      </c>
      <c r="K29" s="20" t="s">
        <v>76</v>
      </c>
      <c r="L29" s="20"/>
      <c r="M29" s="20"/>
      <c r="N29" s="20" t="s">
        <v>76</v>
      </c>
      <c r="O29" s="20" t="s">
        <v>76</v>
      </c>
      <c r="P29" s="20" t="s">
        <v>76</v>
      </c>
      <c r="Q29" s="20"/>
      <c r="R29" s="20"/>
      <c r="S29" s="19"/>
      <c r="T29" s="20"/>
      <c r="U29" s="19"/>
      <c r="V29" s="22"/>
      <c r="W29" s="22"/>
      <c r="X29" s="20"/>
      <c r="AC29" s="25"/>
      <c r="AD29" s="20"/>
    </row>
    <row r="30" spans="1:30" x14ac:dyDescent="0.25">
      <c r="A30" s="19"/>
      <c r="B30" s="20"/>
      <c r="C30" s="21"/>
      <c r="D30" s="19"/>
      <c r="E30" s="20"/>
      <c r="F30" s="19"/>
      <c r="G30" s="20"/>
      <c r="H30" s="19"/>
      <c r="I30" s="20"/>
      <c r="J30" s="20" t="s">
        <v>76</v>
      </c>
      <c r="K30" s="20" t="s">
        <v>76</v>
      </c>
      <c r="L30" s="20"/>
      <c r="M30" s="20"/>
      <c r="N30" s="20" t="s">
        <v>76</v>
      </c>
      <c r="O30" s="20" t="s">
        <v>76</v>
      </c>
      <c r="P30" s="20" t="s">
        <v>76</v>
      </c>
      <c r="Q30" s="20"/>
      <c r="R30" s="20"/>
      <c r="S30" s="19"/>
      <c r="T30" s="20"/>
      <c r="U30" s="19"/>
      <c r="V30" s="22"/>
      <c r="W30" s="22"/>
      <c r="X30" s="20"/>
      <c r="AC30" s="25"/>
      <c r="AD30" s="20"/>
    </row>
    <row r="31" spans="1:30" x14ac:dyDescent="0.25">
      <c r="A31" s="19"/>
      <c r="B31" s="20"/>
      <c r="C31" s="21"/>
      <c r="D31" s="19"/>
      <c r="E31" s="20"/>
      <c r="F31" s="19"/>
      <c r="G31" s="20"/>
      <c r="H31" s="19"/>
      <c r="I31" s="20"/>
      <c r="J31" s="20" t="s">
        <v>76</v>
      </c>
      <c r="K31" s="20" t="s">
        <v>76</v>
      </c>
      <c r="L31" s="20"/>
      <c r="M31" s="20"/>
      <c r="N31" s="20" t="s">
        <v>76</v>
      </c>
      <c r="O31" s="20" t="s">
        <v>76</v>
      </c>
      <c r="P31" s="20" t="s">
        <v>76</v>
      </c>
      <c r="Q31" s="20"/>
      <c r="R31" s="20"/>
      <c r="S31" s="19"/>
      <c r="T31" s="20"/>
      <c r="U31" s="19"/>
      <c r="V31" s="22"/>
      <c r="W31" s="22"/>
      <c r="X31" s="20"/>
      <c r="AC31" s="25"/>
      <c r="AD31" s="20"/>
    </row>
    <row r="32" spans="1:30" x14ac:dyDescent="0.25">
      <c r="A32" s="19"/>
      <c r="B32" s="20"/>
      <c r="C32" s="21"/>
      <c r="D32" s="19"/>
      <c r="E32" s="20"/>
      <c r="F32" s="19"/>
      <c r="G32" s="20"/>
      <c r="H32" s="19"/>
      <c r="I32" s="20"/>
      <c r="J32" s="20" t="s">
        <v>76</v>
      </c>
      <c r="K32" s="20" t="s">
        <v>76</v>
      </c>
      <c r="L32" s="20"/>
      <c r="M32" s="20"/>
      <c r="N32" s="20" t="s">
        <v>76</v>
      </c>
      <c r="O32" s="20" t="s">
        <v>76</v>
      </c>
      <c r="P32" s="20" t="s">
        <v>76</v>
      </c>
      <c r="Q32" s="20"/>
      <c r="R32" s="20"/>
      <c r="S32" s="19"/>
      <c r="T32" s="20"/>
      <c r="U32" s="19"/>
      <c r="V32" s="22"/>
      <c r="W32" s="22"/>
      <c r="X32" s="20"/>
      <c r="AC32" s="25"/>
      <c r="AD32" s="20"/>
    </row>
    <row r="33" spans="1:30" x14ac:dyDescent="0.25">
      <c r="A33" s="19"/>
      <c r="B33" s="20"/>
      <c r="C33" s="21"/>
      <c r="D33" s="19"/>
      <c r="E33" s="20"/>
      <c r="F33" s="19"/>
      <c r="G33" s="20"/>
      <c r="H33" s="19"/>
      <c r="I33" s="20"/>
      <c r="J33" s="20" t="s">
        <v>76</v>
      </c>
      <c r="K33" s="20" t="s">
        <v>76</v>
      </c>
      <c r="L33" s="20"/>
      <c r="M33" s="20"/>
      <c r="N33" s="20" t="s">
        <v>76</v>
      </c>
      <c r="O33" s="20" t="s">
        <v>76</v>
      </c>
      <c r="P33" s="20" t="s">
        <v>76</v>
      </c>
      <c r="Q33" s="20"/>
      <c r="R33" s="20"/>
      <c r="S33" s="19"/>
      <c r="T33" s="20"/>
      <c r="U33" s="19"/>
      <c r="V33" s="22"/>
      <c r="W33" s="22"/>
      <c r="X33" s="20"/>
      <c r="AC33" s="25"/>
      <c r="AD33" s="20"/>
    </row>
    <row r="34" spans="1:30" x14ac:dyDescent="0.25">
      <c r="A34" s="19"/>
      <c r="B34" s="20"/>
      <c r="C34" s="21"/>
      <c r="D34" s="19"/>
      <c r="E34" s="20"/>
      <c r="F34" s="19"/>
      <c r="G34" s="20"/>
      <c r="H34" s="19"/>
      <c r="I34" s="20"/>
      <c r="J34" s="20" t="s">
        <v>76</v>
      </c>
      <c r="K34" s="20" t="s">
        <v>76</v>
      </c>
      <c r="L34" s="20"/>
      <c r="M34" s="20"/>
      <c r="N34" s="20" t="s">
        <v>76</v>
      </c>
      <c r="O34" s="20" t="s">
        <v>76</v>
      </c>
      <c r="P34" s="20" t="s">
        <v>76</v>
      </c>
      <c r="Q34" s="20"/>
      <c r="R34" s="20"/>
      <c r="S34" s="19"/>
      <c r="T34" s="20"/>
      <c r="U34" s="19"/>
      <c r="V34" s="22"/>
      <c r="W34" s="22"/>
      <c r="X34" s="20"/>
      <c r="AC34" s="25"/>
      <c r="AD34" s="20"/>
    </row>
    <row r="35" spans="1:30" x14ac:dyDescent="0.25">
      <c r="A35" s="19"/>
      <c r="B35" s="20"/>
      <c r="C35" s="21"/>
      <c r="D35" s="19"/>
      <c r="E35" s="20"/>
      <c r="F35" s="19"/>
      <c r="G35" s="20"/>
      <c r="H35" s="19"/>
      <c r="I35" s="20"/>
      <c r="J35" s="20" t="s">
        <v>76</v>
      </c>
      <c r="K35" s="20" t="s">
        <v>76</v>
      </c>
      <c r="L35" s="20"/>
      <c r="M35" s="20"/>
      <c r="N35" s="20" t="s">
        <v>76</v>
      </c>
      <c r="O35" s="20" t="s">
        <v>76</v>
      </c>
      <c r="P35" s="20" t="s">
        <v>76</v>
      </c>
      <c r="Q35" s="20"/>
      <c r="R35" s="20"/>
      <c r="S35" s="19"/>
      <c r="T35" s="20"/>
      <c r="U35" s="19"/>
      <c r="V35" s="22"/>
      <c r="W35" s="22"/>
      <c r="X35" s="20"/>
      <c r="AC35" s="25"/>
      <c r="AD35" s="20"/>
    </row>
    <row r="36" spans="1:30" x14ac:dyDescent="0.25">
      <c r="A36" s="19"/>
      <c r="B36" s="20"/>
      <c r="C36" s="21"/>
      <c r="D36" s="19"/>
      <c r="E36" s="20"/>
      <c r="F36" s="19"/>
      <c r="G36" s="20"/>
      <c r="H36" s="19"/>
      <c r="I36" s="20"/>
      <c r="J36" s="20" t="s">
        <v>76</v>
      </c>
      <c r="K36" s="20" t="s">
        <v>76</v>
      </c>
      <c r="L36" s="20"/>
      <c r="M36" s="20"/>
      <c r="N36" s="20" t="s">
        <v>76</v>
      </c>
      <c r="O36" s="20" t="s">
        <v>76</v>
      </c>
      <c r="P36" s="20" t="s">
        <v>76</v>
      </c>
      <c r="Q36" s="20"/>
      <c r="R36" s="20"/>
      <c r="S36" s="19"/>
      <c r="T36" s="20"/>
      <c r="U36" s="19"/>
      <c r="V36" s="22"/>
      <c r="W36" s="22"/>
      <c r="X36" s="20"/>
      <c r="AC36" s="25"/>
      <c r="AD36" s="20"/>
    </row>
    <row r="37" spans="1:30" x14ac:dyDescent="0.25">
      <c r="A37" s="19"/>
      <c r="B37" s="20"/>
      <c r="C37" s="21"/>
      <c r="D37" s="19"/>
      <c r="E37" s="20"/>
      <c r="F37" s="19"/>
      <c r="G37" s="20"/>
      <c r="H37" s="19"/>
      <c r="I37" s="20"/>
      <c r="J37" s="20" t="s">
        <v>76</v>
      </c>
      <c r="K37" s="20" t="s">
        <v>76</v>
      </c>
      <c r="L37" s="20"/>
      <c r="M37" s="20"/>
      <c r="N37" s="20" t="s">
        <v>76</v>
      </c>
      <c r="O37" s="20" t="s">
        <v>76</v>
      </c>
      <c r="P37" s="20" t="s">
        <v>76</v>
      </c>
      <c r="Q37" s="20"/>
      <c r="R37" s="20"/>
      <c r="S37" s="19"/>
      <c r="T37" s="20"/>
      <c r="U37" s="19"/>
      <c r="V37" s="22"/>
      <c r="W37" s="22"/>
      <c r="X37" s="20"/>
      <c r="AC37" s="25"/>
      <c r="AD37" s="20"/>
    </row>
    <row r="38" spans="1:30" x14ac:dyDescent="0.25">
      <c r="A38" s="19"/>
      <c r="B38" s="20"/>
      <c r="C38" s="21"/>
      <c r="D38" s="19"/>
      <c r="E38" s="20"/>
      <c r="F38" s="19"/>
      <c r="G38" s="20"/>
      <c r="H38" s="19"/>
      <c r="I38" s="20"/>
      <c r="J38" s="20" t="s">
        <v>76</v>
      </c>
      <c r="K38" s="20" t="s">
        <v>76</v>
      </c>
      <c r="L38" s="20"/>
      <c r="M38" s="20"/>
      <c r="N38" s="20" t="s">
        <v>76</v>
      </c>
      <c r="O38" s="20" t="s">
        <v>76</v>
      </c>
      <c r="P38" s="20" t="s">
        <v>76</v>
      </c>
      <c r="Q38" s="20"/>
      <c r="R38" s="20"/>
      <c r="S38" s="19"/>
      <c r="T38" s="20"/>
      <c r="U38" s="19"/>
      <c r="V38" s="22"/>
      <c r="W38" s="22"/>
      <c r="X38" s="20"/>
      <c r="AC38" s="25"/>
      <c r="AD38" s="20"/>
    </row>
    <row r="39" spans="1:30" x14ac:dyDescent="0.25">
      <c r="A39" s="19"/>
      <c r="B39" s="20"/>
      <c r="C39" s="21"/>
      <c r="D39" s="19"/>
      <c r="E39" s="20"/>
      <c r="F39" s="19"/>
      <c r="G39" s="20"/>
      <c r="H39" s="19"/>
      <c r="I39" s="20"/>
      <c r="J39" s="20" t="s">
        <v>76</v>
      </c>
      <c r="K39" s="20" t="s">
        <v>76</v>
      </c>
      <c r="L39" s="20"/>
      <c r="M39" s="20"/>
      <c r="N39" s="20" t="s">
        <v>76</v>
      </c>
      <c r="O39" s="20" t="s">
        <v>76</v>
      </c>
      <c r="P39" s="20" t="s">
        <v>76</v>
      </c>
      <c r="Q39" s="20"/>
      <c r="R39" s="20"/>
      <c r="S39" s="19"/>
      <c r="T39" s="20"/>
      <c r="U39" s="19"/>
      <c r="V39" s="22"/>
      <c r="W39" s="22"/>
      <c r="X39" s="20"/>
      <c r="AC39" s="25"/>
      <c r="AD39" s="20"/>
    </row>
    <row r="40" spans="1:30" x14ac:dyDescent="0.25">
      <c r="A40" s="19"/>
      <c r="B40" s="20"/>
      <c r="C40" s="21"/>
      <c r="D40" s="19"/>
      <c r="E40" s="20"/>
      <c r="F40" s="19"/>
      <c r="G40" s="20"/>
      <c r="H40" s="19"/>
      <c r="I40" s="20"/>
      <c r="J40" s="20" t="s">
        <v>76</v>
      </c>
      <c r="K40" s="20" t="s">
        <v>76</v>
      </c>
      <c r="L40" s="20"/>
      <c r="M40" s="20"/>
      <c r="N40" s="20" t="s">
        <v>76</v>
      </c>
      <c r="O40" s="20" t="s">
        <v>76</v>
      </c>
      <c r="P40" s="20" t="s">
        <v>76</v>
      </c>
      <c r="Q40" s="20"/>
      <c r="R40" s="20"/>
      <c r="S40" s="19"/>
      <c r="T40" s="20"/>
      <c r="U40" s="19"/>
      <c r="V40" s="22"/>
      <c r="W40" s="22"/>
      <c r="X40" s="20"/>
      <c r="AC40" s="25"/>
      <c r="AD40" s="20"/>
    </row>
    <row r="41" spans="1:30" x14ac:dyDescent="0.25">
      <c r="A41" s="19"/>
      <c r="B41" s="20"/>
      <c r="C41" s="21"/>
      <c r="D41" s="19"/>
      <c r="E41" s="20"/>
      <c r="F41" s="19"/>
      <c r="G41" s="20"/>
      <c r="H41" s="19"/>
      <c r="I41" s="20"/>
      <c r="J41" s="20" t="s">
        <v>76</v>
      </c>
      <c r="K41" s="20" t="s">
        <v>76</v>
      </c>
      <c r="L41" s="20"/>
      <c r="M41" s="20"/>
      <c r="N41" s="20" t="s">
        <v>76</v>
      </c>
      <c r="O41" s="20" t="s">
        <v>76</v>
      </c>
      <c r="P41" s="20" t="s">
        <v>76</v>
      </c>
      <c r="Q41" s="20"/>
      <c r="R41" s="20"/>
      <c r="S41" s="19"/>
      <c r="T41" s="20"/>
      <c r="U41" s="19"/>
      <c r="V41" s="22"/>
      <c r="W41" s="22"/>
      <c r="X41" s="20"/>
      <c r="AC41" s="25"/>
      <c r="AD41" s="20"/>
    </row>
    <row r="42" spans="1:30" x14ac:dyDescent="0.25">
      <c r="A42" s="19"/>
      <c r="B42" s="20"/>
      <c r="C42" s="21"/>
      <c r="D42" s="19"/>
      <c r="E42" s="20"/>
      <c r="F42" s="19"/>
      <c r="G42" s="20"/>
      <c r="H42" s="19"/>
      <c r="I42" s="20"/>
      <c r="J42" s="20" t="s">
        <v>76</v>
      </c>
      <c r="K42" s="20" t="s">
        <v>76</v>
      </c>
      <c r="L42" s="20"/>
      <c r="M42" s="20"/>
      <c r="N42" s="20" t="s">
        <v>76</v>
      </c>
      <c r="O42" s="20" t="s">
        <v>76</v>
      </c>
      <c r="P42" s="20" t="s">
        <v>76</v>
      </c>
      <c r="Q42" s="20"/>
      <c r="R42" s="20"/>
      <c r="S42" s="19"/>
      <c r="T42" s="20"/>
      <c r="U42" s="19"/>
      <c r="V42" s="22"/>
      <c r="W42" s="22"/>
      <c r="X42" s="20"/>
      <c r="AC42" s="25"/>
      <c r="AD42" s="20"/>
    </row>
    <row r="43" spans="1:30" x14ac:dyDescent="0.25">
      <c r="A43" s="19"/>
      <c r="B43" s="20"/>
      <c r="C43" s="21"/>
      <c r="D43" s="19"/>
      <c r="E43" s="20"/>
      <c r="F43" s="19"/>
      <c r="G43" s="20"/>
      <c r="H43" s="19"/>
      <c r="I43" s="20"/>
      <c r="J43" s="20" t="s">
        <v>76</v>
      </c>
      <c r="K43" s="20" t="s">
        <v>76</v>
      </c>
      <c r="L43" s="20"/>
      <c r="M43" s="20"/>
      <c r="N43" s="20" t="s">
        <v>76</v>
      </c>
      <c r="O43" s="20" t="s">
        <v>76</v>
      </c>
      <c r="P43" s="20" t="s">
        <v>76</v>
      </c>
      <c r="Q43" s="20"/>
      <c r="R43" s="20"/>
      <c r="S43" s="19"/>
      <c r="T43" s="20"/>
      <c r="U43" s="19"/>
      <c r="V43" s="22"/>
      <c r="W43" s="22"/>
      <c r="X43" s="20"/>
      <c r="AC43" s="25"/>
      <c r="AD43" s="20"/>
    </row>
    <row r="44" spans="1:30" x14ac:dyDescent="0.25">
      <c r="A44" s="19"/>
      <c r="B44" s="20"/>
      <c r="C44" s="21"/>
      <c r="D44" s="19"/>
      <c r="E44" s="20"/>
      <c r="F44" s="19"/>
      <c r="G44" s="20"/>
      <c r="H44" s="19"/>
      <c r="I44" s="20"/>
      <c r="J44" s="20" t="s">
        <v>76</v>
      </c>
      <c r="K44" s="20" t="s">
        <v>76</v>
      </c>
      <c r="L44" s="20"/>
      <c r="M44" s="20"/>
      <c r="N44" s="20" t="s">
        <v>76</v>
      </c>
      <c r="O44" s="20" t="s">
        <v>76</v>
      </c>
      <c r="P44" s="20" t="s">
        <v>76</v>
      </c>
      <c r="Q44" s="20"/>
      <c r="R44" s="20"/>
      <c r="S44" s="19"/>
      <c r="T44" s="20"/>
      <c r="U44" s="19"/>
      <c r="V44" s="22"/>
      <c r="W44" s="22"/>
      <c r="X44" s="20"/>
      <c r="AC44" s="25"/>
      <c r="AD44" s="20"/>
    </row>
    <row r="45" spans="1:30" x14ac:dyDescent="0.25">
      <c r="A45" s="19"/>
      <c r="B45" s="20"/>
      <c r="C45" s="21"/>
      <c r="D45" s="19"/>
      <c r="E45" s="20"/>
      <c r="F45" s="19"/>
      <c r="G45" s="20"/>
      <c r="H45" s="19"/>
      <c r="I45" s="20"/>
      <c r="J45" s="20" t="s">
        <v>76</v>
      </c>
      <c r="K45" s="20" t="s">
        <v>76</v>
      </c>
      <c r="L45" s="20"/>
      <c r="M45" s="20"/>
      <c r="N45" s="20" t="s">
        <v>76</v>
      </c>
      <c r="O45" s="20" t="s">
        <v>76</v>
      </c>
      <c r="P45" s="20" t="s">
        <v>76</v>
      </c>
      <c r="Q45" s="20"/>
      <c r="R45" s="20"/>
      <c r="S45" s="19"/>
      <c r="T45" s="20"/>
      <c r="U45" s="19"/>
      <c r="V45" s="22"/>
      <c r="W45" s="22"/>
      <c r="X45" s="20"/>
      <c r="AC45" s="25"/>
      <c r="AD45" s="20"/>
    </row>
    <row r="46" spans="1:30" x14ac:dyDescent="0.25">
      <c r="A46" s="19"/>
      <c r="B46" s="20"/>
      <c r="C46" s="21"/>
      <c r="D46" s="19"/>
      <c r="E46" s="20"/>
      <c r="F46" s="19"/>
      <c r="G46" s="20"/>
      <c r="H46" s="19"/>
      <c r="I46" s="20"/>
      <c r="J46" s="20" t="s">
        <v>76</v>
      </c>
      <c r="K46" s="20" t="s">
        <v>76</v>
      </c>
      <c r="L46" s="20"/>
      <c r="M46" s="20"/>
      <c r="N46" s="20" t="s">
        <v>76</v>
      </c>
      <c r="O46" s="20" t="s">
        <v>76</v>
      </c>
      <c r="P46" s="20" t="s">
        <v>76</v>
      </c>
      <c r="Q46" s="20"/>
      <c r="R46" s="20"/>
      <c r="S46" s="19"/>
      <c r="T46" s="20"/>
      <c r="U46" s="19"/>
      <c r="V46" s="22"/>
      <c r="W46" s="22"/>
      <c r="X46" s="20"/>
      <c r="AC46" s="25"/>
      <c r="AD46" s="20"/>
    </row>
    <row r="47" spans="1:30" x14ac:dyDescent="0.25">
      <c r="A47" s="19"/>
      <c r="B47" s="20"/>
      <c r="C47" s="21"/>
      <c r="D47" s="19"/>
      <c r="E47" s="20"/>
      <c r="F47" s="19"/>
      <c r="G47" s="20"/>
      <c r="H47" s="19"/>
      <c r="I47" s="20"/>
      <c r="J47" s="20" t="s">
        <v>76</v>
      </c>
      <c r="K47" s="20" t="s">
        <v>76</v>
      </c>
      <c r="L47" s="20"/>
      <c r="M47" s="20"/>
      <c r="N47" s="20" t="s">
        <v>76</v>
      </c>
      <c r="O47" s="20" t="s">
        <v>76</v>
      </c>
      <c r="P47" s="20" t="s">
        <v>76</v>
      </c>
      <c r="Q47" s="20"/>
      <c r="R47" s="20"/>
      <c r="S47" s="19"/>
      <c r="T47" s="20"/>
      <c r="U47" s="19"/>
      <c r="V47" s="22"/>
      <c r="W47" s="22"/>
      <c r="X47" s="20"/>
      <c r="AC47" s="25"/>
      <c r="AD47" s="20"/>
    </row>
    <row r="48" spans="1:30" x14ac:dyDescent="0.25">
      <c r="A48" s="19"/>
      <c r="B48" s="20"/>
      <c r="C48" s="21"/>
      <c r="D48" s="19"/>
      <c r="E48" s="20"/>
      <c r="F48" s="19"/>
      <c r="G48" s="20"/>
      <c r="H48" s="19"/>
      <c r="I48" s="20"/>
      <c r="J48" s="20" t="s">
        <v>76</v>
      </c>
      <c r="K48" s="20" t="s">
        <v>76</v>
      </c>
      <c r="L48" s="20"/>
      <c r="M48" s="20"/>
      <c r="N48" s="20" t="s">
        <v>76</v>
      </c>
      <c r="O48" s="20" t="s">
        <v>76</v>
      </c>
      <c r="P48" s="20" t="s">
        <v>76</v>
      </c>
      <c r="Q48" s="20"/>
      <c r="R48" s="20"/>
      <c r="S48" s="19"/>
      <c r="T48" s="20"/>
      <c r="U48" s="19"/>
      <c r="V48" s="22"/>
      <c r="W48" s="22"/>
      <c r="X48" s="20"/>
      <c r="AC48" s="25"/>
      <c r="AD48" s="20"/>
    </row>
    <row r="49" spans="1:30" x14ac:dyDescent="0.25">
      <c r="A49" s="19"/>
      <c r="B49" s="20"/>
      <c r="C49" s="21"/>
      <c r="D49" s="19"/>
      <c r="E49" s="20"/>
      <c r="F49" s="19"/>
      <c r="G49" s="20"/>
      <c r="H49" s="19"/>
      <c r="I49" s="20"/>
      <c r="J49" s="20" t="s">
        <v>76</v>
      </c>
      <c r="K49" s="20" t="s">
        <v>76</v>
      </c>
      <c r="L49" s="20"/>
      <c r="M49" s="20"/>
      <c r="N49" s="20" t="s">
        <v>76</v>
      </c>
      <c r="O49" s="20" t="s">
        <v>76</v>
      </c>
      <c r="P49" s="20" t="s">
        <v>76</v>
      </c>
      <c r="Q49" s="20"/>
      <c r="R49" s="20"/>
      <c r="S49" s="19"/>
      <c r="T49" s="20"/>
      <c r="U49" s="19"/>
      <c r="V49" s="22"/>
      <c r="W49" s="22"/>
      <c r="X49" s="20"/>
      <c r="AC49" s="25"/>
      <c r="AD49" s="20"/>
    </row>
    <row r="50" spans="1:30" x14ac:dyDescent="0.25">
      <c r="A50" s="19"/>
      <c r="B50" s="20"/>
      <c r="C50" s="21"/>
      <c r="D50" s="19"/>
      <c r="E50" s="20"/>
      <c r="F50" s="19"/>
      <c r="G50" s="20"/>
      <c r="H50" s="19"/>
      <c r="I50" s="20"/>
      <c r="J50" s="20" t="s">
        <v>76</v>
      </c>
      <c r="K50" s="20" t="s">
        <v>76</v>
      </c>
      <c r="L50" s="20"/>
      <c r="M50" s="20"/>
      <c r="N50" s="20" t="s">
        <v>76</v>
      </c>
      <c r="O50" s="20" t="s">
        <v>76</v>
      </c>
      <c r="P50" s="20" t="s">
        <v>76</v>
      </c>
      <c r="Q50" s="20"/>
      <c r="R50" s="20"/>
      <c r="S50" s="19"/>
      <c r="T50" s="20"/>
      <c r="U50" s="19"/>
      <c r="V50" s="22"/>
      <c r="W50" s="22"/>
      <c r="X50" s="20"/>
      <c r="AC50" s="25"/>
      <c r="AD50" s="20"/>
    </row>
    <row r="51" spans="1:30" x14ac:dyDescent="0.25">
      <c r="A51" s="19"/>
      <c r="B51" s="20"/>
      <c r="C51" s="21"/>
      <c r="D51" s="19"/>
      <c r="E51" s="20"/>
      <c r="F51" s="19"/>
      <c r="G51" s="20"/>
      <c r="H51" s="19"/>
      <c r="I51" s="20"/>
      <c r="J51" s="20" t="s">
        <v>76</v>
      </c>
      <c r="K51" s="20" t="s">
        <v>76</v>
      </c>
      <c r="L51" s="20"/>
      <c r="M51" s="20"/>
      <c r="N51" s="20" t="s">
        <v>76</v>
      </c>
      <c r="O51" s="20" t="s">
        <v>76</v>
      </c>
      <c r="P51" s="20" t="s">
        <v>76</v>
      </c>
      <c r="Q51" s="20"/>
      <c r="R51" s="20"/>
      <c r="S51" s="19"/>
      <c r="T51" s="20"/>
      <c r="U51" s="19"/>
      <c r="V51" s="22"/>
      <c r="W51" s="22"/>
      <c r="X51" s="20"/>
      <c r="AC51" s="25"/>
      <c r="AD51" s="20"/>
    </row>
    <row r="52" spans="1:30" x14ac:dyDescent="0.25">
      <c r="A52" s="19"/>
      <c r="B52" s="20"/>
      <c r="C52" s="21"/>
      <c r="D52" s="19"/>
      <c r="E52" s="20"/>
      <c r="F52" s="19"/>
      <c r="G52" s="20"/>
      <c r="H52" s="19"/>
      <c r="I52" s="20"/>
      <c r="J52" s="20" t="s">
        <v>76</v>
      </c>
      <c r="K52" s="20" t="s">
        <v>76</v>
      </c>
      <c r="L52" s="20"/>
      <c r="M52" s="20"/>
      <c r="N52" s="20" t="s">
        <v>76</v>
      </c>
      <c r="O52" s="20" t="s">
        <v>76</v>
      </c>
      <c r="P52" s="20" t="s">
        <v>76</v>
      </c>
      <c r="Q52" s="20"/>
      <c r="R52" s="20"/>
      <c r="S52" s="19"/>
      <c r="T52" s="20"/>
      <c r="U52" s="19"/>
      <c r="V52" s="22"/>
      <c r="W52" s="22"/>
      <c r="X52" s="20"/>
      <c r="AC52" s="25"/>
      <c r="AD52" s="20"/>
    </row>
    <row r="53" spans="1:30" x14ac:dyDescent="0.25">
      <c r="A53" s="19"/>
      <c r="B53" s="20"/>
      <c r="C53" s="21"/>
      <c r="D53" s="19"/>
      <c r="E53" s="20"/>
      <c r="F53" s="19"/>
      <c r="G53" s="20"/>
      <c r="H53" s="19"/>
      <c r="I53" s="20"/>
      <c r="J53" s="20" t="s">
        <v>76</v>
      </c>
      <c r="K53" s="20" t="s">
        <v>76</v>
      </c>
      <c r="L53" s="20"/>
      <c r="M53" s="20"/>
      <c r="N53" s="20" t="s">
        <v>76</v>
      </c>
      <c r="O53" s="20" t="s">
        <v>76</v>
      </c>
      <c r="P53" s="20" t="s">
        <v>76</v>
      </c>
      <c r="Q53" s="20"/>
      <c r="R53" s="20"/>
      <c r="S53" s="19"/>
      <c r="T53" s="20"/>
      <c r="U53" s="19"/>
      <c r="V53" s="22"/>
      <c r="W53" s="22"/>
      <c r="X53" s="20"/>
      <c r="AC53" s="25"/>
      <c r="AD53" s="20"/>
    </row>
    <row r="54" spans="1:30" x14ac:dyDescent="0.25">
      <c r="A54" s="19"/>
      <c r="B54" s="20"/>
      <c r="C54" s="21"/>
      <c r="D54" s="19"/>
      <c r="E54" s="20"/>
      <c r="F54" s="19"/>
      <c r="G54" s="20"/>
      <c r="H54" s="19"/>
      <c r="I54" s="20"/>
      <c r="J54" s="20" t="s">
        <v>76</v>
      </c>
      <c r="K54" s="20" t="s">
        <v>76</v>
      </c>
      <c r="L54" s="20"/>
      <c r="M54" s="20"/>
      <c r="N54" s="20" t="s">
        <v>76</v>
      </c>
      <c r="O54" s="20" t="s">
        <v>76</v>
      </c>
      <c r="P54" s="20" t="s">
        <v>76</v>
      </c>
      <c r="Q54" s="20"/>
      <c r="R54" s="20"/>
      <c r="S54" s="19"/>
      <c r="T54" s="20"/>
      <c r="U54" s="19"/>
      <c r="V54" s="22"/>
      <c r="W54" s="22"/>
      <c r="X54" s="20"/>
      <c r="AC54" s="25"/>
      <c r="AD54" s="20"/>
    </row>
    <row r="55" spans="1:30" x14ac:dyDescent="0.25">
      <c r="A55" s="19"/>
      <c r="B55" s="20"/>
      <c r="C55" s="21"/>
      <c r="D55" s="19"/>
      <c r="E55" s="20"/>
      <c r="F55" s="19"/>
      <c r="G55" s="20"/>
      <c r="H55" s="19"/>
      <c r="I55" s="20"/>
      <c r="J55" s="20" t="s">
        <v>76</v>
      </c>
      <c r="K55" s="20" t="s">
        <v>76</v>
      </c>
      <c r="L55" s="20"/>
      <c r="M55" s="20"/>
      <c r="N55" s="20" t="s">
        <v>76</v>
      </c>
      <c r="O55" s="20" t="s">
        <v>76</v>
      </c>
      <c r="P55" s="20" t="s">
        <v>76</v>
      </c>
      <c r="Q55" s="20"/>
      <c r="R55" s="20"/>
      <c r="S55" s="19"/>
      <c r="T55" s="20"/>
      <c r="U55" s="19"/>
      <c r="V55" s="22"/>
      <c r="W55" s="22"/>
      <c r="X55" s="20"/>
      <c r="AC55" s="25"/>
      <c r="AD55" s="20"/>
    </row>
    <row r="56" spans="1:30" x14ac:dyDescent="0.25">
      <c r="A56" s="19"/>
      <c r="B56" s="20"/>
      <c r="C56" s="21"/>
      <c r="D56" s="19"/>
      <c r="E56" s="20"/>
      <c r="F56" s="19"/>
      <c r="G56" s="20"/>
      <c r="H56" s="19"/>
      <c r="I56" s="20"/>
      <c r="J56" s="20" t="s">
        <v>76</v>
      </c>
      <c r="K56" s="20" t="s">
        <v>76</v>
      </c>
      <c r="L56" s="20"/>
      <c r="M56" s="20"/>
      <c r="N56" s="20" t="s">
        <v>76</v>
      </c>
      <c r="O56" s="20" t="s">
        <v>76</v>
      </c>
      <c r="P56" s="20" t="s">
        <v>76</v>
      </c>
      <c r="Q56" s="20"/>
      <c r="R56" s="20"/>
      <c r="S56" s="19"/>
      <c r="T56" s="20"/>
      <c r="U56" s="19"/>
      <c r="V56" s="22"/>
      <c r="W56" s="22"/>
      <c r="X56" s="20"/>
      <c r="AC56" s="25"/>
      <c r="AD56" s="20"/>
    </row>
    <row r="57" spans="1:30" x14ac:dyDescent="0.25">
      <c r="A57" s="19"/>
      <c r="B57" s="20"/>
      <c r="C57" s="21"/>
      <c r="D57" s="19"/>
      <c r="E57" s="20"/>
      <c r="F57" s="19"/>
      <c r="G57" s="20"/>
      <c r="H57" s="19"/>
      <c r="I57" s="20"/>
      <c r="J57" s="20" t="s">
        <v>76</v>
      </c>
      <c r="K57" s="20" t="s">
        <v>76</v>
      </c>
      <c r="L57" s="20"/>
      <c r="M57" s="20"/>
      <c r="N57" s="20" t="s">
        <v>76</v>
      </c>
      <c r="O57" s="20" t="s">
        <v>76</v>
      </c>
      <c r="P57" s="20" t="s">
        <v>76</v>
      </c>
      <c r="Q57" s="20"/>
      <c r="R57" s="20"/>
      <c r="S57" s="19"/>
      <c r="T57" s="20"/>
      <c r="U57" s="19"/>
      <c r="V57" s="22"/>
      <c r="W57" s="22"/>
      <c r="X57" s="20"/>
      <c r="AC57" s="25"/>
      <c r="AD57" s="20"/>
    </row>
    <row r="58" spans="1:30" x14ac:dyDescent="0.25">
      <c r="A58" s="19"/>
      <c r="B58" s="20"/>
      <c r="C58" s="21"/>
      <c r="D58" s="19"/>
      <c r="E58" s="20"/>
      <c r="F58" s="19"/>
      <c r="G58" s="20"/>
      <c r="H58" s="19"/>
      <c r="I58" s="20"/>
      <c r="J58" s="20" t="s">
        <v>76</v>
      </c>
      <c r="K58" s="20" t="s">
        <v>76</v>
      </c>
      <c r="L58" s="20"/>
      <c r="M58" s="20"/>
      <c r="N58" s="20" t="s">
        <v>76</v>
      </c>
      <c r="O58" s="20" t="s">
        <v>76</v>
      </c>
      <c r="P58" s="20" t="s">
        <v>76</v>
      </c>
      <c r="Q58" s="20"/>
      <c r="R58" s="20"/>
      <c r="S58" s="19"/>
      <c r="T58" s="20"/>
      <c r="U58" s="19"/>
      <c r="V58" s="22"/>
      <c r="W58" s="22"/>
      <c r="X58" s="20"/>
      <c r="AC58" s="25"/>
      <c r="AD58" s="20"/>
    </row>
    <row r="59" spans="1:30" x14ac:dyDescent="0.25">
      <c r="A59" s="19"/>
      <c r="B59" s="20"/>
      <c r="C59" s="21"/>
      <c r="D59" s="19"/>
      <c r="E59" s="20"/>
      <c r="F59" s="19"/>
      <c r="G59" s="20"/>
      <c r="H59" s="19"/>
      <c r="I59" s="20"/>
      <c r="J59" s="20" t="s">
        <v>76</v>
      </c>
      <c r="K59" s="20" t="s">
        <v>76</v>
      </c>
      <c r="L59" s="20"/>
      <c r="M59" s="20"/>
      <c r="N59" s="20" t="s">
        <v>76</v>
      </c>
      <c r="O59" s="20" t="s">
        <v>76</v>
      </c>
      <c r="P59" s="20" t="s">
        <v>76</v>
      </c>
      <c r="Q59" s="20"/>
      <c r="R59" s="20"/>
      <c r="S59" s="19"/>
      <c r="T59" s="20"/>
      <c r="U59" s="19"/>
      <c r="V59" s="22"/>
      <c r="W59" s="22"/>
      <c r="X59" s="20"/>
      <c r="AC59" s="25"/>
      <c r="AD59" s="20"/>
    </row>
    <row r="60" spans="1:30" x14ac:dyDescent="0.25">
      <c r="A60" s="19"/>
      <c r="B60" s="20"/>
      <c r="C60" s="21"/>
      <c r="D60" s="19"/>
      <c r="E60" s="20"/>
      <c r="F60" s="19"/>
      <c r="G60" s="20"/>
      <c r="H60" s="19"/>
      <c r="I60" s="20"/>
      <c r="J60" s="20" t="s">
        <v>76</v>
      </c>
      <c r="K60" s="20" t="s">
        <v>76</v>
      </c>
      <c r="L60" s="20"/>
      <c r="M60" s="20"/>
      <c r="N60" s="20" t="s">
        <v>76</v>
      </c>
      <c r="O60" s="20" t="s">
        <v>76</v>
      </c>
      <c r="P60" s="20" t="s">
        <v>76</v>
      </c>
      <c r="Q60" s="20"/>
      <c r="R60" s="20"/>
      <c r="S60" s="19"/>
      <c r="T60" s="20"/>
      <c r="U60" s="19"/>
      <c r="V60" s="22"/>
      <c r="W60" s="22"/>
      <c r="X60" s="20"/>
      <c r="AC60" s="25"/>
      <c r="AD60" s="20"/>
    </row>
    <row r="61" spans="1:30" x14ac:dyDescent="0.25">
      <c r="A61" s="19"/>
      <c r="B61" s="20"/>
      <c r="C61" s="21"/>
      <c r="D61" s="19"/>
      <c r="E61" s="20"/>
      <c r="F61" s="19"/>
      <c r="G61" s="20"/>
      <c r="H61" s="19"/>
      <c r="I61" s="20"/>
      <c r="J61" s="20" t="s">
        <v>76</v>
      </c>
      <c r="K61" s="20" t="s">
        <v>76</v>
      </c>
      <c r="L61" s="20"/>
      <c r="M61" s="20"/>
      <c r="N61" s="20" t="s">
        <v>76</v>
      </c>
      <c r="O61" s="20" t="s">
        <v>76</v>
      </c>
      <c r="P61" s="20" t="s">
        <v>76</v>
      </c>
      <c r="Q61" s="20"/>
      <c r="R61" s="20"/>
      <c r="S61" s="19"/>
      <c r="T61" s="20"/>
      <c r="U61" s="19"/>
      <c r="V61" s="22"/>
      <c r="W61" s="22"/>
      <c r="X61" s="20"/>
      <c r="AC61" s="25"/>
      <c r="AD61" s="20"/>
    </row>
    <row r="62" spans="1:30" x14ac:dyDescent="0.25">
      <c r="A62" s="19"/>
      <c r="B62" s="20"/>
      <c r="C62" s="21"/>
      <c r="D62" s="19"/>
      <c r="E62" s="20"/>
      <c r="F62" s="19"/>
      <c r="G62" s="20"/>
      <c r="H62" s="19"/>
      <c r="I62" s="20"/>
      <c r="J62" s="20" t="s">
        <v>76</v>
      </c>
      <c r="K62" s="20" t="s">
        <v>76</v>
      </c>
      <c r="L62" s="20"/>
      <c r="M62" s="20"/>
      <c r="N62" s="20" t="s">
        <v>76</v>
      </c>
      <c r="O62" s="20" t="s">
        <v>76</v>
      </c>
      <c r="P62" s="20" t="s">
        <v>76</v>
      </c>
      <c r="Q62" s="20"/>
      <c r="R62" s="20"/>
      <c r="S62" s="19"/>
      <c r="T62" s="20"/>
      <c r="U62" s="19"/>
      <c r="V62" s="22"/>
      <c r="W62" s="22"/>
      <c r="X62" s="20"/>
      <c r="AC62" s="25"/>
      <c r="AD62" s="20"/>
    </row>
    <row r="63" spans="1:30" x14ac:dyDescent="0.25">
      <c r="A63" s="19"/>
      <c r="B63" s="20"/>
      <c r="C63" s="21"/>
      <c r="D63" s="19"/>
      <c r="E63" s="20"/>
      <c r="F63" s="19"/>
      <c r="G63" s="20"/>
      <c r="H63" s="19"/>
      <c r="I63" s="20"/>
      <c r="J63" s="20" t="s">
        <v>76</v>
      </c>
      <c r="K63" s="20" t="s">
        <v>76</v>
      </c>
      <c r="L63" s="20"/>
      <c r="M63" s="20"/>
      <c r="N63" s="20" t="s">
        <v>76</v>
      </c>
      <c r="O63" s="20" t="s">
        <v>76</v>
      </c>
      <c r="P63" s="20" t="s">
        <v>76</v>
      </c>
      <c r="Q63" s="20"/>
      <c r="R63" s="20"/>
      <c r="S63" s="19"/>
      <c r="T63" s="20"/>
      <c r="U63" s="19"/>
      <c r="V63" s="22"/>
      <c r="W63" s="22"/>
      <c r="X63" s="20"/>
      <c r="AC63" s="25"/>
      <c r="AD63" s="20"/>
    </row>
    <row r="64" spans="1:30" x14ac:dyDescent="0.25">
      <c r="A64" s="19"/>
      <c r="B64" s="20"/>
      <c r="C64" s="21"/>
      <c r="D64" s="19"/>
      <c r="E64" s="20"/>
      <c r="F64" s="19"/>
      <c r="G64" s="20"/>
      <c r="H64" s="19"/>
      <c r="I64" s="20"/>
      <c r="J64" s="20" t="s">
        <v>76</v>
      </c>
      <c r="K64" s="20" t="s">
        <v>76</v>
      </c>
      <c r="L64" s="20"/>
      <c r="M64" s="20"/>
      <c r="N64" s="20" t="s">
        <v>76</v>
      </c>
      <c r="O64" s="20" t="s">
        <v>76</v>
      </c>
      <c r="P64" s="20" t="s">
        <v>76</v>
      </c>
      <c r="Q64" s="20"/>
      <c r="R64" s="20"/>
      <c r="S64" s="19"/>
      <c r="T64" s="20"/>
      <c r="U64" s="19"/>
      <c r="V64" s="22"/>
      <c r="W64" s="22"/>
      <c r="X64" s="20"/>
      <c r="AC64" s="25"/>
      <c r="AD64" s="20"/>
    </row>
    <row r="65" spans="1:30" x14ac:dyDescent="0.25">
      <c r="A65" s="19"/>
      <c r="B65" s="20"/>
      <c r="C65" s="21"/>
      <c r="D65" s="19"/>
      <c r="E65" s="20"/>
      <c r="F65" s="19"/>
      <c r="G65" s="20"/>
      <c r="H65" s="19"/>
      <c r="I65" s="20"/>
      <c r="J65" s="20" t="s">
        <v>76</v>
      </c>
      <c r="K65" s="20" t="s">
        <v>76</v>
      </c>
      <c r="L65" s="20"/>
      <c r="M65" s="20"/>
      <c r="N65" s="20" t="s">
        <v>76</v>
      </c>
      <c r="O65" s="20" t="s">
        <v>76</v>
      </c>
      <c r="P65" s="20" t="s">
        <v>76</v>
      </c>
      <c r="Q65" s="20"/>
      <c r="R65" s="20"/>
      <c r="S65" s="19"/>
      <c r="T65" s="20"/>
      <c r="U65" s="19"/>
      <c r="V65" s="22"/>
      <c r="W65" s="22"/>
      <c r="X65" s="20"/>
      <c r="AC65" s="25"/>
      <c r="AD65" s="20"/>
    </row>
    <row r="66" spans="1:30" x14ac:dyDescent="0.25">
      <c r="A66" s="19"/>
      <c r="B66" s="20"/>
      <c r="C66" s="21"/>
      <c r="D66" s="19"/>
      <c r="E66" s="20"/>
      <c r="F66" s="19"/>
      <c r="G66" s="20"/>
      <c r="H66" s="19"/>
      <c r="I66" s="20"/>
      <c r="J66" s="20" t="s">
        <v>76</v>
      </c>
      <c r="K66" s="20" t="s">
        <v>76</v>
      </c>
      <c r="L66" s="20"/>
      <c r="M66" s="20"/>
      <c r="N66" s="20" t="s">
        <v>76</v>
      </c>
      <c r="O66" s="20" t="s">
        <v>76</v>
      </c>
      <c r="P66" s="20" t="s">
        <v>76</v>
      </c>
      <c r="Q66" s="20"/>
      <c r="R66" s="20"/>
      <c r="S66" s="19"/>
      <c r="T66" s="20"/>
      <c r="U66" s="19"/>
      <c r="V66" s="22"/>
      <c r="W66" s="22"/>
      <c r="X66" s="20"/>
      <c r="AC66" s="25"/>
      <c r="AD66" s="20"/>
    </row>
    <row r="67" spans="1:30" x14ac:dyDescent="0.25">
      <c r="A67" s="19"/>
      <c r="B67" s="20"/>
      <c r="C67" s="21"/>
      <c r="D67" s="19"/>
      <c r="E67" s="20"/>
      <c r="F67" s="19"/>
      <c r="G67" s="20"/>
      <c r="H67" s="19"/>
      <c r="I67" s="20"/>
      <c r="J67" s="20" t="s">
        <v>76</v>
      </c>
      <c r="K67" s="20" t="s">
        <v>76</v>
      </c>
      <c r="L67" s="20"/>
      <c r="M67" s="20"/>
      <c r="N67" s="20" t="s">
        <v>76</v>
      </c>
      <c r="O67" s="20" t="s">
        <v>76</v>
      </c>
      <c r="P67" s="20" t="s">
        <v>76</v>
      </c>
      <c r="Q67" s="20"/>
      <c r="R67" s="20"/>
      <c r="S67" s="19"/>
      <c r="T67" s="20"/>
      <c r="U67" s="19"/>
      <c r="V67" s="22"/>
      <c r="W67" s="22"/>
      <c r="X67" s="20"/>
      <c r="AC67" s="25"/>
      <c r="AD67" s="20"/>
    </row>
    <row r="68" spans="1:30" x14ac:dyDescent="0.25">
      <c r="A68" s="19"/>
      <c r="B68" s="20"/>
      <c r="C68" s="21"/>
      <c r="D68" s="19"/>
      <c r="E68" s="20"/>
      <c r="F68" s="19"/>
      <c r="G68" s="20"/>
      <c r="H68" s="19"/>
      <c r="I68" s="20"/>
      <c r="J68" s="20" t="s">
        <v>76</v>
      </c>
      <c r="K68" s="20" t="s">
        <v>76</v>
      </c>
      <c r="L68" s="20"/>
      <c r="M68" s="20"/>
      <c r="N68" s="20" t="s">
        <v>76</v>
      </c>
      <c r="O68" s="20" t="s">
        <v>76</v>
      </c>
      <c r="P68" s="20" t="s">
        <v>76</v>
      </c>
      <c r="Q68" s="20"/>
      <c r="R68" s="20"/>
      <c r="S68" s="19"/>
      <c r="T68" s="20"/>
      <c r="U68" s="19"/>
      <c r="V68" s="22"/>
      <c r="W68" s="22"/>
      <c r="X68" s="20"/>
      <c r="AC68" s="25"/>
      <c r="AD68" s="20"/>
    </row>
    <row r="69" spans="1:30" x14ac:dyDescent="0.25">
      <c r="A69" s="19"/>
      <c r="B69" s="20"/>
      <c r="C69" s="21"/>
      <c r="D69" s="19"/>
      <c r="E69" s="20"/>
      <c r="F69" s="19"/>
      <c r="G69" s="20"/>
      <c r="H69" s="19"/>
      <c r="I69" s="20"/>
      <c r="J69" s="20" t="s">
        <v>76</v>
      </c>
      <c r="K69" s="20" t="s">
        <v>76</v>
      </c>
      <c r="L69" s="20"/>
      <c r="M69" s="20"/>
      <c r="N69" s="20" t="s">
        <v>76</v>
      </c>
      <c r="O69" s="20" t="s">
        <v>76</v>
      </c>
      <c r="P69" s="20" t="s">
        <v>76</v>
      </c>
      <c r="Q69" s="20"/>
      <c r="R69" s="20"/>
      <c r="S69" s="19"/>
      <c r="T69" s="20"/>
      <c r="U69" s="19"/>
      <c r="V69" s="22"/>
      <c r="W69" s="22"/>
      <c r="X69" s="20"/>
      <c r="AC69" s="25"/>
      <c r="AD69" s="20"/>
    </row>
    <row r="70" spans="1:30" x14ac:dyDescent="0.25">
      <c r="A70" s="19"/>
      <c r="B70" s="20"/>
      <c r="C70" s="21"/>
      <c r="D70" s="19"/>
      <c r="E70" s="20"/>
      <c r="F70" s="19"/>
      <c r="G70" s="20"/>
      <c r="H70" s="19"/>
      <c r="I70" s="20"/>
      <c r="J70" s="20" t="s">
        <v>76</v>
      </c>
      <c r="K70" s="20" t="s">
        <v>76</v>
      </c>
      <c r="L70" s="20"/>
      <c r="M70" s="20"/>
      <c r="N70" s="20" t="s">
        <v>76</v>
      </c>
      <c r="O70" s="20" t="s">
        <v>76</v>
      </c>
      <c r="P70" s="20" t="s">
        <v>76</v>
      </c>
      <c r="Q70" s="20"/>
      <c r="R70" s="20"/>
      <c r="S70" s="19"/>
      <c r="T70" s="20"/>
      <c r="U70" s="19"/>
      <c r="V70" s="22"/>
      <c r="W70" s="22"/>
      <c r="X70" s="20"/>
      <c r="AC70" s="25"/>
      <c r="AD70" s="20"/>
    </row>
    <row r="71" spans="1:30" x14ac:dyDescent="0.25">
      <c r="A71" s="19"/>
      <c r="B71" s="20"/>
      <c r="C71" s="21"/>
      <c r="D71" s="19"/>
      <c r="E71" s="20"/>
      <c r="F71" s="19"/>
      <c r="G71" s="20"/>
      <c r="H71" s="19"/>
      <c r="I71" s="20"/>
      <c r="J71" s="20" t="s">
        <v>76</v>
      </c>
      <c r="K71" s="20" t="s">
        <v>76</v>
      </c>
      <c r="L71" s="20"/>
      <c r="M71" s="20"/>
      <c r="N71" s="20" t="s">
        <v>76</v>
      </c>
      <c r="O71" s="20" t="s">
        <v>76</v>
      </c>
      <c r="P71" s="20" t="s">
        <v>76</v>
      </c>
      <c r="Q71" s="20"/>
      <c r="R71" s="20"/>
      <c r="S71" s="19"/>
      <c r="T71" s="20"/>
      <c r="U71" s="19"/>
      <c r="V71" s="22"/>
      <c r="W71" s="22"/>
      <c r="X71" s="20"/>
      <c r="AC71" s="25"/>
      <c r="AD71" s="20"/>
    </row>
    <row r="72" spans="1:30" x14ac:dyDescent="0.25">
      <c r="A72" s="19"/>
      <c r="B72" s="20"/>
      <c r="C72" s="21"/>
      <c r="D72" s="19"/>
      <c r="E72" s="20"/>
      <c r="F72" s="19"/>
      <c r="G72" s="20"/>
      <c r="H72" s="19"/>
      <c r="I72" s="20"/>
      <c r="J72" s="20" t="s">
        <v>76</v>
      </c>
      <c r="K72" s="20" t="s">
        <v>76</v>
      </c>
      <c r="L72" s="20"/>
      <c r="M72" s="20"/>
      <c r="N72" s="20" t="s">
        <v>76</v>
      </c>
      <c r="O72" s="20" t="s">
        <v>76</v>
      </c>
      <c r="P72" s="20" t="s">
        <v>76</v>
      </c>
      <c r="Q72" s="20"/>
      <c r="R72" s="20"/>
      <c r="S72" s="19"/>
      <c r="T72" s="20"/>
      <c r="U72" s="19"/>
      <c r="V72" s="22"/>
      <c r="W72" s="22"/>
      <c r="X72" s="20"/>
      <c r="AC72" s="25"/>
      <c r="AD72" s="20"/>
    </row>
    <row r="73" spans="1:30" x14ac:dyDescent="0.25">
      <c r="A73" s="19"/>
      <c r="B73" s="20"/>
      <c r="C73" s="21"/>
      <c r="D73" s="19"/>
      <c r="E73" s="20"/>
      <c r="F73" s="19"/>
      <c r="G73" s="20"/>
      <c r="H73" s="19"/>
      <c r="I73" s="20"/>
      <c r="J73" s="20" t="s">
        <v>76</v>
      </c>
      <c r="K73" s="20" t="s">
        <v>76</v>
      </c>
      <c r="L73" s="20"/>
      <c r="M73" s="20"/>
      <c r="N73" s="20" t="s">
        <v>76</v>
      </c>
      <c r="O73" s="20" t="s">
        <v>76</v>
      </c>
      <c r="P73" s="20" t="s">
        <v>76</v>
      </c>
      <c r="Q73" s="20"/>
      <c r="R73" s="20"/>
      <c r="S73" s="19"/>
      <c r="T73" s="20"/>
      <c r="U73" s="19"/>
      <c r="V73" s="22"/>
      <c r="W73" s="22"/>
      <c r="X73" s="20"/>
      <c r="AC73" s="25"/>
      <c r="AD73" s="20"/>
    </row>
    <row r="74" spans="1:30" x14ac:dyDescent="0.25">
      <c r="A74" s="19"/>
      <c r="B74" s="20"/>
      <c r="C74" s="21"/>
      <c r="D74" s="19"/>
      <c r="E74" s="20"/>
      <c r="F74" s="19"/>
      <c r="G74" s="20"/>
      <c r="H74" s="19"/>
      <c r="I74" s="20"/>
      <c r="J74" s="20" t="s">
        <v>76</v>
      </c>
      <c r="K74" s="20" t="s">
        <v>76</v>
      </c>
      <c r="L74" s="20"/>
      <c r="M74" s="20"/>
      <c r="N74" s="20" t="s">
        <v>76</v>
      </c>
      <c r="O74" s="20" t="s">
        <v>76</v>
      </c>
      <c r="P74" s="20" t="s">
        <v>76</v>
      </c>
      <c r="Q74" s="20"/>
      <c r="R74" s="20"/>
      <c r="S74" s="19"/>
      <c r="T74" s="20"/>
      <c r="U74" s="19"/>
      <c r="V74" s="22"/>
      <c r="W74" s="22"/>
      <c r="X74" s="20"/>
      <c r="AC74" s="25"/>
      <c r="AD74" s="20"/>
    </row>
    <row r="75" spans="1:30" x14ac:dyDescent="0.25">
      <c r="A75" s="19"/>
      <c r="B75" s="20"/>
      <c r="C75" s="21"/>
      <c r="D75" s="19"/>
      <c r="E75" s="20"/>
      <c r="F75" s="19"/>
      <c r="G75" s="20"/>
      <c r="H75" s="19"/>
      <c r="I75" s="20"/>
      <c r="J75" s="20" t="s">
        <v>76</v>
      </c>
      <c r="K75" s="20" t="s">
        <v>76</v>
      </c>
      <c r="L75" s="20"/>
      <c r="M75" s="20"/>
      <c r="N75" s="20" t="s">
        <v>76</v>
      </c>
      <c r="O75" s="20" t="s">
        <v>76</v>
      </c>
      <c r="P75" s="20" t="s">
        <v>76</v>
      </c>
      <c r="Q75" s="20"/>
      <c r="R75" s="20"/>
      <c r="S75" s="19"/>
      <c r="T75" s="20"/>
      <c r="U75" s="19"/>
      <c r="V75" s="22"/>
      <c r="W75" s="22"/>
      <c r="X75" s="20"/>
      <c r="AC75" s="25"/>
      <c r="AD75" s="20"/>
    </row>
    <row r="76" spans="1:30" x14ac:dyDescent="0.25">
      <c r="A76" s="19"/>
      <c r="B76" s="20"/>
      <c r="C76" s="21"/>
      <c r="D76" s="19"/>
      <c r="E76" s="20"/>
      <c r="F76" s="19"/>
      <c r="G76" s="20"/>
      <c r="H76" s="19"/>
      <c r="I76" s="20"/>
      <c r="J76" s="20" t="s">
        <v>76</v>
      </c>
      <c r="K76" s="20" t="s">
        <v>76</v>
      </c>
      <c r="L76" s="20"/>
      <c r="M76" s="20"/>
      <c r="N76" s="20" t="s">
        <v>76</v>
      </c>
      <c r="O76" s="20" t="s">
        <v>76</v>
      </c>
      <c r="P76" s="20" t="s">
        <v>76</v>
      </c>
      <c r="Q76" s="20"/>
      <c r="R76" s="20"/>
      <c r="S76" s="19"/>
      <c r="T76" s="20"/>
      <c r="U76" s="19"/>
      <c r="V76" s="22"/>
      <c r="W76" s="22"/>
      <c r="X76" s="20"/>
      <c r="AC76" s="25"/>
      <c r="AD76" s="20"/>
    </row>
    <row r="77" spans="1:30" x14ac:dyDescent="0.25">
      <c r="A77" s="19"/>
      <c r="B77" s="20"/>
      <c r="C77" s="21"/>
      <c r="D77" s="19"/>
      <c r="E77" s="20"/>
      <c r="F77" s="19"/>
      <c r="G77" s="20"/>
      <c r="H77" s="19"/>
      <c r="I77" s="20"/>
      <c r="J77" s="20" t="s">
        <v>76</v>
      </c>
      <c r="K77" s="20" t="s">
        <v>76</v>
      </c>
      <c r="L77" s="20"/>
      <c r="M77" s="20"/>
      <c r="N77" s="20" t="s">
        <v>76</v>
      </c>
      <c r="O77" s="20" t="s">
        <v>76</v>
      </c>
      <c r="P77" s="20" t="s">
        <v>76</v>
      </c>
      <c r="Q77" s="20"/>
      <c r="R77" s="20"/>
      <c r="S77" s="19"/>
      <c r="T77" s="20"/>
      <c r="U77" s="19"/>
      <c r="V77" s="22"/>
      <c r="W77" s="22"/>
      <c r="X77" s="20"/>
      <c r="AC77" s="25"/>
      <c r="AD77" s="20"/>
    </row>
    <row r="78" spans="1:30" x14ac:dyDescent="0.25">
      <c r="A78" s="19"/>
      <c r="B78" s="20"/>
      <c r="C78" s="21"/>
      <c r="D78" s="19"/>
      <c r="E78" s="20"/>
      <c r="F78" s="19"/>
      <c r="G78" s="20"/>
      <c r="H78" s="19"/>
      <c r="I78" s="20"/>
      <c r="J78" s="20" t="s">
        <v>76</v>
      </c>
      <c r="K78" s="20" t="s">
        <v>76</v>
      </c>
      <c r="L78" s="20"/>
      <c r="M78" s="20"/>
      <c r="N78" s="20" t="s">
        <v>76</v>
      </c>
      <c r="O78" s="20" t="s">
        <v>76</v>
      </c>
      <c r="P78" s="20" t="s">
        <v>76</v>
      </c>
      <c r="Q78" s="20"/>
      <c r="R78" s="20"/>
      <c r="S78" s="19"/>
      <c r="T78" s="20"/>
      <c r="U78" s="19"/>
      <c r="V78" s="22"/>
      <c r="W78" s="22"/>
      <c r="X78" s="20"/>
      <c r="AC78" s="25"/>
      <c r="AD78" s="20"/>
    </row>
    <row r="79" spans="1:30" x14ac:dyDescent="0.25">
      <c r="A79" s="19"/>
      <c r="B79" s="20"/>
      <c r="C79" s="21"/>
      <c r="D79" s="19"/>
      <c r="E79" s="20"/>
      <c r="F79" s="19"/>
      <c r="G79" s="20"/>
      <c r="H79" s="19"/>
      <c r="I79" s="20"/>
      <c r="J79" s="20" t="s">
        <v>76</v>
      </c>
      <c r="K79" s="20" t="s">
        <v>76</v>
      </c>
      <c r="L79" s="20"/>
      <c r="M79" s="20"/>
      <c r="N79" s="20" t="s">
        <v>76</v>
      </c>
      <c r="O79" s="20" t="s">
        <v>76</v>
      </c>
      <c r="P79" s="20" t="s">
        <v>76</v>
      </c>
      <c r="Q79" s="20"/>
      <c r="R79" s="20"/>
      <c r="S79" s="19"/>
      <c r="T79" s="20"/>
      <c r="U79" s="19"/>
      <c r="V79" s="22"/>
      <c r="W79" s="22"/>
      <c r="X79" s="20"/>
      <c r="AC79" s="25"/>
      <c r="AD79" s="20"/>
    </row>
    <row r="80" spans="1:30" x14ac:dyDescent="0.25">
      <c r="A80" s="19"/>
      <c r="B80" s="20"/>
      <c r="C80" s="21"/>
      <c r="D80" s="19"/>
      <c r="E80" s="20"/>
      <c r="F80" s="19"/>
      <c r="G80" s="20"/>
      <c r="H80" s="19"/>
      <c r="I80" s="20"/>
      <c r="J80" s="20" t="s">
        <v>76</v>
      </c>
      <c r="K80" s="20" t="s">
        <v>76</v>
      </c>
      <c r="L80" s="20"/>
      <c r="M80" s="20"/>
      <c r="N80" s="20" t="s">
        <v>76</v>
      </c>
      <c r="O80" s="20" t="s">
        <v>76</v>
      </c>
      <c r="P80" s="20" t="s">
        <v>76</v>
      </c>
      <c r="Q80" s="20"/>
      <c r="R80" s="20"/>
      <c r="S80" s="19"/>
      <c r="T80" s="20"/>
      <c r="U80" s="19"/>
      <c r="V80" s="22"/>
      <c r="W80" s="22"/>
      <c r="X80" s="20"/>
      <c r="AC80" s="25"/>
      <c r="AD80" s="20"/>
    </row>
    <row r="81" spans="1:30" x14ac:dyDescent="0.25">
      <c r="A81" s="19"/>
      <c r="B81" s="20"/>
      <c r="C81" s="21"/>
      <c r="D81" s="19"/>
      <c r="E81" s="20"/>
      <c r="F81" s="19"/>
      <c r="G81" s="20"/>
      <c r="H81" s="19"/>
      <c r="I81" s="20"/>
      <c r="J81" s="20" t="s">
        <v>76</v>
      </c>
      <c r="K81" s="20" t="s">
        <v>76</v>
      </c>
      <c r="L81" s="20"/>
      <c r="M81" s="20"/>
      <c r="N81" s="20" t="s">
        <v>76</v>
      </c>
      <c r="O81" s="20" t="s">
        <v>76</v>
      </c>
      <c r="P81" s="20" t="s">
        <v>76</v>
      </c>
      <c r="Q81" s="20"/>
      <c r="R81" s="20"/>
      <c r="S81" s="19"/>
      <c r="T81" s="20"/>
      <c r="U81" s="19"/>
      <c r="V81" s="22"/>
      <c r="W81" s="22"/>
      <c r="X81" s="20"/>
      <c r="AC81" s="25"/>
      <c r="AD81" s="20"/>
    </row>
    <row r="82" spans="1:30" x14ac:dyDescent="0.25">
      <c r="A82" s="19"/>
      <c r="B82" s="20"/>
      <c r="C82" s="21"/>
      <c r="D82" s="19"/>
      <c r="E82" s="20"/>
      <c r="F82" s="19"/>
      <c r="G82" s="20"/>
      <c r="H82" s="19"/>
      <c r="I82" s="20"/>
      <c r="J82" s="20" t="s">
        <v>76</v>
      </c>
      <c r="K82" s="20" t="s">
        <v>76</v>
      </c>
      <c r="L82" s="20"/>
      <c r="M82" s="20"/>
      <c r="N82" s="20" t="s">
        <v>76</v>
      </c>
      <c r="O82" s="20" t="s">
        <v>76</v>
      </c>
      <c r="P82" s="20" t="s">
        <v>76</v>
      </c>
      <c r="Q82" s="20"/>
      <c r="R82" s="20"/>
      <c r="S82" s="19"/>
      <c r="T82" s="20"/>
      <c r="U82" s="19"/>
      <c r="V82" s="22"/>
      <c r="W82" s="22"/>
      <c r="X82" s="20"/>
      <c r="AC82" s="25"/>
      <c r="AD82" s="20"/>
    </row>
    <row r="83" spans="1:30" x14ac:dyDescent="0.25">
      <c r="A83" s="19"/>
      <c r="B83" s="20"/>
      <c r="C83" s="21"/>
      <c r="D83" s="19"/>
      <c r="E83" s="20"/>
      <c r="F83" s="19"/>
      <c r="G83" s="20"/>
      <c r="H83" s="19"/>
      <c r="I83" s="20"/>
      <c r="J83" s="20" t="s">
        <v>76</v>
      </c>
      <c r="K83" s="20" t="s">
        <v>76</v>
      </c>
      <c r="L83" s="20"/>
      <c r="M83" s="20"/>
      <c r="N83" s="20" t="s">
        <v>76</v>
      </c>
      <c r="O83" s="20" t="s">
        <v>76</v>
      </c>
      <c r="P83" s="20" t="s">
        <v>76</v>
      </c>
      <c r="Q83" s="20"/>
      <c r="R83" s="20"/>
      <c r="S83" s="19"/>
      <c r="T83" s="20"/>
      <c r="U83" s="19"/>
      <c r="V83" s="22"/>
      <c r="W83" s="22"/>
      <c r="X83" s="20"/>
      <c r="AC83" s="25"/>
      <c r="AD83" s="20"/>
    </row>
    <row r="84" spans="1:30" x14ac:dyDescent="0.25">
      <c r="A84" s="19"/>
      <c r="B84" s="20"/>
      <c r="C84" s="21"/>
      <c r="D84" s="19"/>
      <c r="E84" s="20"/>
      <c r="F84" s="19"/>
      <c r="G84" s="20"/>
      <c r="H84" s="19"/>
      <c r="I84" s="20"/>
      <c r="J84" s="20" t="s">
        <v>76</v>
      </c>
      <c r="K84" s="20" t="s">
        <v>76</v>
      </c>
      <c r="L84" s="20"/>
      <c r="M84" s="20"/>
      <c r="N84" s="20" t="s">
        <v>76</v>
      </c>
      <c r="O84" s="20" t="s">
        <v>76</v>
      </c>
      <c r="P84" s="20" t="s">
        <v>76</v>
      </c>
      <c r="Q84" s="20"/>
      <c r="R84" s="20"/>
      <c r="S84" s="19"/>
      <c r="T84" s="20"/>
      <c r="U84" s="19"/>
      <c r="V84" s="22"/>
      <c r="W84" s="22"/>
      <c r="X84" s="20"/>
      <c r="AC84" s="25"/>
      <c r="AD84" s="20"/>
    </row>
    <row r="85" spans="1:30" x14ac:dyDescent="0.25">
      <c r="A85" s="19"/>
      <c r="B85" s="20"/>
      <c r="C85" s="21"/>
      <c r="D85" s="19"/>
      <c r="E85" s="20"/>
      <c r="F85" s="19"/>
      <c r="G85" s="20"/>
      <c r="H85" s="19"/>
      <c r="I85" s="20"/>
      <c r="J85" s="20" t="s">
        <v>76</v>
      </c>
      <c r="K85" s="20" t="s">
        <v>76</v>
      </c>
      <c r="L85" s="20"/>
      <c r="M85" s="20"/>
      <c r="N85" s="20" t="s">
        <v>76</v>
      </c>
      <c r="O85" s="20" t="s">
        <v>76</v>
      </c>
      <c r="P85" s="20" t="s">
        <v>76</v>
      </c>
      <c r="Q85" s="20"/>
      <c r="R85" s="20"/>
      <c r="S85" s="19"/>
      <c r="T85" s="20"/>
      <c r="U85" s="19"/>
      <c r="V85" s="22"/>
      <c r="W85" s="22"/>
      <c r="X85" s="20"/>
      <c r="AC85" s="25"/>
      <c r="AD85" s="20"/>
    </row>
    <row r="86" spans="1:30" x14ac:dyDescent="0.25">
      <c r="A86" s="19"/>
      <c r="B86" s="20"/>
      <c r="C86" s="21"/>
      <c r="D86" s="19"/>
      <c r="E86" s="20"/>
      <c r="F86" s="19"/>
      <c r="G86" s="20"/>
      <c r="H86" s="19"/>
      <c r="I86" s="20"/>
      <c r="J86" s="20" t="s">
        <v>76</v>
      </c>
      <c r="K86" s="20" t="s">
        <v>76</v>
      </c>
      <c r="L86" s="20"/>
      <c r="M86" s="20"/>
      <c r="N86" s="20" t="s">
        <v>76</v>
      </c>
      <c r="O86" s="20" t="s">
        <v>76</v>
      </c>
      <c r="P86" s="20" t="s">
        <v>76</v>
      </c>
      <c r="Q86" s="20"/>
      <c r="R86" s="20"/>
      <c r="S86" s="19"/>
      <c r="T86" s="20"/>
      <c r="U86" s="19"/>
      <c r="V86" s="22"/>
      <c r="W86" s="22"/>
      <c r="X86" s="20"/>
      <c r="AC86" s="25"/>
      <c r="AD86" s="20"/>
    </row>
    <row r="87" spans="1:30" x14ac:dyDescent="0.25">
      <c r="A87" s="19"/>
      <c r="B87" s="20"/>
      <c r="C87" s="21"/>
      <c r="D87" s="19"/>
      <c r="E87" s="20"/>
      <c r="F87" s="19"/>
      <c r="G87" s="20"/>
      <c r="H87" s="19"/>
      <c r="I87" s="20"/>
      <c r="J87" s="20" t="s">
        <v>76</v>
      </c>
      <c r="K87" s="20" t="s">
        <v>76</v>
      </c>
      <c r="L87" s="20"/>
      <c r="M87" s="20"/>
      <c r="N87" s="20" t="s">
        <v>76</v>
      </c>
      <c r="O87" s="20" t="s">
        <v>76</v>
      </c>
      <c r="P87" s="20" t="s">
        <v>76</v>
      </c>
      <c r="Q87" s="20"/>
      <c r="R87" s="20"/>
      <c r="S87" s="19"/>
      <c r="T87" s="20"/>
      <c r="U87" s="19"/>
      <c r="V87" s="22"/>
      <c r="W87" s="22"/>
      <c r="X87" s="20"/>
      <c r="AC87" s="25"/>
      <c r="AD87" s="20"/>
    </row>
    <row r="88" spans="1:30" x14ac:dyDescent="0.25">
      <c r="A88" s="19"/>
      <c r="B88" s="20"/>
      <c r="C88" s="21"/>
      <c r="D88" s="19"/>
      <c r="E88" s="20"/>
      <c r="F88" s="19"/>
      <c r="G88" s="20"/>
      <c r="H88" s="19"/>
      <c r="I88" s="20"/>
      <c r="J88" s="20" t="s">
        <v>76</v>
      </c>
      <c r="K88" s="20" t="s">
        <v>76</v>
      </c>
      <c r="L88" s="20"/>
      <c r="M88" s="20"/>
      <c r="N88" s="20" t="s">
        <v>76</v>
      </c>
      <c r="O88" s="20" t="s">
        <v>76</v>
      </c>
      <c r="P88" s="20" t="s">
        <v>76</v>
      </c>
      <c r="Q88" s="20"/>
      <c r="R88" s="20"/>
      <c r="S88" s="19"/>
      <c r="T88" s="20"/>
      <c r="U88" s="19"/>
      <c r="V88" s="22"/>
      <c r="W88" s="22"/>
      <c r="X88" s="20"/>
      <c r="AC88" s="25"/>
      <c r="AD88" s="20"/>
    </row>
    <row r="89" spans="1:30" x14ac:dyDescent="0.25">
      <c r="A89" s="19"/>
      <c r="B89" s="20"/>
      <c r="C89" s="21"/>
      <c r="D89" s="19"/>
      <c r="E89" s="20"/>
      <c r="F89" s="19"/>
      <c r="G89" s="20"/>
      <c r="H89" s="19"/>
      <c r="I89" s="20"/>
      <c r="J89" s="20" t="s">
        <v>76</v>
      </c>
      <c r="K89" s="20" t="s">
        <v>76</v>
      </c>
      <c r="L89" s="20"/>
      <c r="M89" s="20"/>
      <c r="N89" s="20" t="s">
        <v>76</v>
      </c>
      <c r="O89" s="20" t="s">
        <v>76</v>
      </c>
      <c r="P89" s="20" t="s">
        <v>76</v>
      </c>
      <c r="Q89" s="20"/>
      <c r="R89" s="20"/>
      <c r="S89" s="19"/>
      <c r="T89" s="20"/>
      <c r="U89" s="19"/>
      <c r="V89" s="22"/>
      <c r="W89" s="22"/>
      <c r="X89" s="20"/>
      <c r="AC89" s="25"/>
      <c r="AD89" s="20"/>
    </row>
    <row r="90" spans="1:30" x14ac:dyDescent="0.25">
      <c r="A90" s="19"/>
      <c r="B90" s="20"/>
      <c r="C90" s="21"/>
      <c r="D90" s="19"/>
      <c r="E90" s="20"/>
      <c r="F90" s="19"/>
      <c r="G90" s="20"/>
      <c r="H90" s="19"/>
      <c r="I90" s="20"/>
      <c r="J90" s="20" t="s">
        <v>76</v>
      </c>
      <c r="K90" s="20" t="s">
        <v>76</v>
      </c>
      <c r="L90" s="20"/>
      <c r="M90" s="20"/>
      <c r="N90" s="20" t="s">
        <v>76</v>
      </c>
      <c r="O90" s="20" t="s">
        <v>76</v>
      </c>
      <c r="P90" s="20" t="s">
        <v>76</v>
      </c>
      <c r="Q90" s="20"/>
      <c r="R90" s="20"/>
      <c r="S90" s="19"/>
      <c r="T90" s="20"/>
      <c r="U90" s="19"/>
      <c r="V90" s="22"/>
      <c r="W90" s="22"/>
      <c r="X90" s="20"/>
      <c r="AC90" s="25"/>
      <c r="AD90" s="20"/>
    </row>
    <row r="91" spans="1:30" x14ac:dyDescent="0.25">
      <c r="A91" s="19"/>
      <c r="B91" s="20"/>
      <c r="C91" s="21"/>
      <c r="D91" s="19"/>
      <c r="E91" s="20"/>
      <c r="F91" s="19"/>
      <c r="G91" s="20"/>
      <c r="H91" s="19"/>
      <c r="I91" s="20"/>
      <c r="J91" s="20" t="s">
        <v>76</v>
      </c>
      <c r="K91" s="20" t="s">
        <v>76</v>
      </c>
      <c r="L91" s="20"/>
      <c r="M91" s="20"/>
      <c r="N91" s="20" t="s">
        <v>76</v>
      </c>
      <c r="O91" s="20" t="s">
        <v>76</v>
      </c>
      <c r="P91" s="20" t="s">
        <v>76</v>
      </c>
      <c r="Q91" s="20"/>
      <c r="R91" s="20"/>
      <c r="S91" s="19"/>
      <c r="T91" s="20"/>
      <c r="U91" s="19"/>
      <c r="V91" s="22"/>
      <c r="W91" s="22"/>
      <c r="X91" s="20"/>
      <c r="AC91" s="25"/>
      <c r="AD91" s="20"/>
    </row>
    <row r="92" spans="1:30" x14ac:dyDescent="0.25">
      <c r="A92" s="19"/>
      <c r="B92" s="20"/>
      <c r="C92" s="21"/>
      <c r="D92" s="19"/>
      <c r="E92" s="20"/>
      <c r="F92" s="19"/>
      <c r="G92" s="20"/>
      <c r="H92" s="19"/>
      <c r="I92" s="20"/>
      <c r="J92" s="20" t="s">
        <v>76</v>
      </c>
      <c r="K92" s="20" t="s">
        <v>76</v>
      </c>
      <c r="L92" s="20"/>
      <c r="M92" s="20"/>
      <c r="N92" s="20" t="s">
        <v>76</v>
      </c>
      <c r="O92" s="20" t="s">
        <v>76</v>
      </c>
      <c r="P92" s="20" t="s">
        <v>76</v>
      </c>
      <c r="Q92" s="20"/>
      <c r="R92" s="20"/>
      <c r="S92" s="19"/>
      <c r="T92" s="20"/>
      <c r="U92" s="19"/>
      <c r="V92" s="22"/>
      <c r="W92" s="22"/>
      <c r="X92" s="20"/>
      <c r="AC92" s="25"/>
      <c r="AD92" s="20"/>
    </row>
    <row r="93" spans="1:30" x14ac:dyDescent="0.25">
      <c r="A93" s="19"/>
      <c r="B93" s="20"/>
      <c r="C93" s="21"/>
      <c r="D93" s="19"/>
      <c r="E93" s="20"/>
      <c r="F93" s="19"/>
      <c r="G93" s="20"/>
      <c r="H93" s="19"/>
      <c r="I93" s="20"/>
      <c r="J93" s="20" t="s">
        <v>76</v>
      </c>
      <c r="K93" s="20" t="s">
        <v>76</v>
      </c>
      <c r="L93" s="20"/>
      <c r="M93" s="20"/>
      <c r="N93" s="20" t="s">
        <v>76</v>
      </c>
      <c r="O93" s="20" t="s">
        <v>76</v>
      </c>
      <c r="P93" s="20" t="s">
        <v>76</v>
      </c>
      <c r="Q93" s="20"/>
      <c r="R93" s="20"/>
      <c r="S93" s="19"/>
      <c r="T93" s="20"/>
      <c r="U93" s="19"/>
      <c r="V93" s="22"/>
      <c r="W93" s="22"/>
      <c r="X93" s="20"/>
      <c r="AC93" s="25"/>
      <c r="AD93" s="20"/>
    </row>
    <row r="94" spans="1:30" x14ac:dyDescent="0.25">
      <c r="A94" s="19"/>
      <c r="B94" s="20"/>
      <c r="C94" s="21"/>
      <c r="D94" s="19"/>
      <c r="E94" s="20"/>
      <c r="F94" s="19"/>
      <c r="G94" s="20"/>
      <c r="H94" s="19"/>
      <c r="I94" s="20"/>
      <c r="J94" s="20" t="s">
        <v>76</v>
      </c>
      <c r="K94" s="20" t="s">
        <v>76</v>
      </c>
      <c r="L94" s="20"/>
      <c r="M94" s="20"/>
      <c r="N94" s="20" t="s">
        <v>76</v>
      </c>
      <c r="O94" s="20" t="s">
        <v>76</v>
      </c>
      <c r="P94" s="20" t="s">
        <v>76</v>
      </c>
      <c r="Q94" s="20"/>
      <c r="R94" s="20"/>
      <c r="S94" s="19"/>
      <c r="T94" s="20"/>
      <c r="U94" s="19"/>
      <c r="V94" s="22"/>
      <c r="W94" s="22"/>
      <c r="X94" s="20"/>
      <c r="AC94" s="25"/>
      <c r="AD94" s="20"/>
    </row>
    <row r="95" spans="1:30" x14ac:dyDescent="0.25">
      <c r="A95" s="19"/>
      <c r="B95" s="20"/>
      <c r="C95" s="21"/>
      <c r="D95" s="19"/>
      <c r="E95" s="20"/>
      <c r="F95" s="19"/>
      <c r="G95" s="20"/>
      <c r="H95" s="19"/>
      <c r="I95" s="20"/>
      <c r="J95" s="20" t="s">
        <v>76</v>
      </c>
      <c r="K95" s="20" t="s">
        <v>76</v>
      </c>
      <c r="L95" s="20"/>
      <c r="M95" s="20"/>
      <c r="N95" s="20" t="s">
        <v>76</v>
      </c>
      <c r="O95" s="20" t="s">
        <v>76</v>
      </c>
      <c r="P95" s="20" t="s">
        <v>76</v>
      </c>
      <c r="Q95" s="20"/>
      <c r="R95" s="20"/>
      <c r="S95" s="19"/>
      <c r="T95" s="20"/>
      <c r="U95" s="19"/>
      <c r="V95" s="22"/>
      <c r="W95" s="22"/>
      <c r="X95" s="20"/>
      <c r="AC95" s="25"/>
      <c r="AD95" s="20"/>
    </row>
    <row r="96" spans="1:30" x14ac:dyDescent="0.25">
      <c r="A96" s="19"/>
      <c r="B96" s="20"/>
      <c r="C96" s="21"/>
      <c r="D96" s="19"/>
      <c r="E96" s="20"/>
      <c r="F96" s="19"/>
      <c r="G96" s="20"/>
      <c r="H96" s="19"/>
      <c r="I96" s="20"/>
      <c r="J96" s="20" t="s">
        <v>76</v>
      </c>
      <c r="K96" s="20" t="s">
        <v>76</v>
      </c>
      <c r="L96" s="20"/>
      <c r="M96" s="20"/>
      <c r="N96" s="20" t="s">
        <v>76</v>
      </c>
      <c r="O96" s="20" t="s">
        <v>76</v>
      </c>
      <c r="P96" s="20" t="s">
        <v>76</v>
      </c>
      <c r="Q96" s="20"/>
      <c r="R96" s="20"/>
      <c r="S96" s="19"/>
      <c r="T96" s="20"/>
      <c r="U96" s="19"/>
      <c r="V96" s="22"/>
      <c r="W96" s="22"/>
      <c r="X96" s="20"/>
      <c r="AC96" s="25"/>
      <c r="AD96" s="20"/>
    </row>
    <row r="97" spans="1:30" x14ac:dyDescent="0.25">
      <c r="A97" s="19"/>
      <c r="B97" s="20"/>
      <c r="C97" s="21"/>
      <c r="D97" s="19"/>
      <c r="E97" s="20"/>
      <c r="F97" s="19"/>
      <c r="G97" s="20"/>
      <c r="H97" s="19"/>
      <c r="I97" s="20"/>
      <c r="J97" s="20" t="s">
        <v>76</v>
      </c>
      <c r="K97" s="20" t="s">
        <v>76</v>
      </c>
      <c r="L97" s="20"/>
      <c r="M97" s="20"/>
      <c r="N97" s="20" t="s">
        <v>76</v>
      </c>
      <c r="O97" s="20" t="s">
        <v>76</v>
      </c>
      <c r="P97" s="20" t="s">
        <v>76</v>
      </c>
      <c r="Q97" s="20"/>
      <c r="R97" s="20"/>
      <c r="S97" s="19"/>
      <c r="T97" s="20"/>
      <c r="U97" s="19"/>
      <c r="V97" s="22"/>
      <c r="W97" s="22"/>
      <c r="X97" s="20"/>
      <c r="AC97" s="25"/>
      <c r="AD97" s="20"/>
    </row>
    <row r="98" spans="1:30" x14ac:dyDescent="0.25">
      <c r="A98" s="19"/>
      <c r="B98" s="20"/>
      <c r="C98" s="21"/>
      <c r="D98" s="19"/>
      <c r="E98" s="20"/>
      <c r="F98" s="19"/>
      <c r="G98" s="20"/>
      <c r="H98" s="19"/>
      <c r="I98" s="20"/>
      <c r="J98" s="20" t="s">
        <v>76</v>
      </c>
      <c r="K98" s="20" t="s">
        <v>76</v>
      </c>
      <c r="L98" s="20"/>
      <c r="M98" s="20"/>
      <c r="N98" s="20" t="s">
        <v>76</v>
      </c>
      <c r="O98" s="20" t="s">
        <v>76</v>
      </c>
      <c r="P98" s="20" t="s">
        <v>76</v>
      </c>
      <c r="Q98" s="20"/>
      <c r="R98" s="20"/>
      <c r="S98" s="19"/>
      <c r="T98" s="20"/>
      <c r="U98" s="19"/>
      <c r="V98" s="22"/>
      <c r="W98" s="22"/>
      <c r="X98" s="20"/>
      <c r="AC98" s="25"/>
      <c r="AD98" s="20"/>
    </row>
    <row r="99" spans="1:30" x14ac:dyDescent="0.25">
      <c r="A99" s="19"/>
      <c r="B99" s="20"/>
      <c r="C99" s="21"/>
      <c r="D99" s="19"/>
      <c r="E99" s="20"/>
      <c r="F99" s="19"/>
      <c r="G99" s="20"/>
      <c r="H99" s="19"/>
      <c r="I99" s="20"/>
      <c r="J99" s="20" t="s">
        <v>76</v>
      </c>
      <c r="K99" s="20" t="s">
        <v>76</v>
      </c>
      <c r="L99" s="20"/>
      <c r="M99" s="20"/>
      <c r="N99" s="20" t="s">
        <v>76</v>
      </c>
      <c r="O99" s="20" t="s">
        <v>76</v>
      </c>
      <c r="P99" s="20" t="s">
        <v>76</v>
      </c>
      <c r="Q99" s="20"/>
      <c r="R99" s="20"/>
      <c r="S99" s="19"/>
      <c r="T99" s="20"/>
      <c r="U99" s="19"/>
      <c r="V99" s="22"/>
      <c r="W99" s="22"/>
      <c r="X99" s="20"/>
      <c r="AC99" s="25"/>
      <c r="AD99" s="20"/>
    </row>
    <row r="100" spans="1:30" x14ac:dyDescent="0.25">
      <c r="A100" s="19"/>
      <c r="B100" s="20"/>
      <c r="C100" s="21"/>
      <c r="D100" s="19"/>
      <c r="E100" s="20"/>
      <c r="F100" s="19"/>
      <c r="G100" s="20"/>
      <c r="H100" s="19"/>
      <c r="I100" s="20"/>
      <c r="J100" s="20" t="s">
        <v>76</v>
      </c>
      <c r="K100" s="20" t="s">
        <v>76</v>
      </c>
      <c r="L100" s="20"/>
      <c r="M100" s="20"/>
      <c r="N100" s="20" t="s">
        <v>76</v>
      </c>
      <c r="O100" s="20" t="s">
        <v>76</v>
      </c>
      <c r="P100" s="20" t="s">
        <v>76</v>
      </c>
      <c r="Q100" s="20"/>
      <c r="R100" s="20"/>
      <c r="S100" s="19"/>
      <c r="T100" s="20"/>
      <c r="U100" s="19"/>
      <c r="V100" s="22"/>
      <c r="W100" s="22"/>
      <c r="X100" s="20"/>
      <c r="AC100" s="25"/>
      <c r="AD100" s="20"/>
    </row>
    <row r="101" spans="1:30" x14ac:dyDescent="0.25">
      <c r="A101" s="19"/>
      <c r="B101" s="20"/>
      <c r="C101" s="21"/>
      <c r="D101" s="19"/>
      <c r="E101" s="20"/>
      <c r="F101" s="19"/>
      <c r="G101" s="20"/>
      <c r="H101" s="19"/>
      <c r="I101" s="20"/>
      <c r="J101" s="20" t="s">
        <v>76</v>
      </c>
      <c r="K101" s="20" t="s">
        <v>76</v>
      </c>
      <c r="L101" s="20"/>
      <c r="M101" s="20"/>
      <c r="N101" s="20" t="s">
        <v>76</v>
      </c>
      <c r="O101" s="20" t="s">
        <v>76</v>
      </c>
      <c r="P101" s="20" t="s">
        <v>76</v>
      </c>
      <c r="Q101" s="20"/>
      <c r="R101" s="20"/>
      <c r="S101" s="19"/>
      <c r="T101" s="20"/>
      <c r="U101" s="19"/>
      <c r="V101" s="22"/>
      <c r="W101" s="22"/>
      <c r="X101" s="20"/>
      <c r="AC101" s="25"/>
      <c r="AD101" s="20"/>
    </row>
    <row r="102" spans="1:30" x14ac:dyDescent="0.25">
      <c r="A102" s="19"/>
      <c r="B102" s="20"/>
      <c r="C102" s="21"/>
      <c r="D102" s="19"/>
      <c r="E102" s="20"/>
      <c r="F102" s="19"/>
      <c r="G102" s="20"/>
      <c r="H102" s="19"/>
      <c r="I102" s="20"/>
      <c r="J102" s="20" t="s">
        <v>76</v>
      </c>
      <c r="K102" s="20" t="s">
        <v>76</v>
      </c>
      <c r="L102" s="20"/>
      <c r="M102" s="20"/>
      <c r="N102" s="20" t="s">
        <v>76</v>
      </c>
      <c r="O102" s="20" t="s">
        <v>76</v>
      </c>
      <c r="P102" s="20" t="s">
        <v>76</v>
      </c>
      <c r="Q102" s="20"/>
      <c r="R102" s="20"/>
      <c r="S102" s="19"/>
      <c r="T102" s="20"/>
      <c r="U102" s="19"/>
      <c r="V102" s="22"/>
      <c r="W102" s="22"/>
      <c r="X102" s="20"/>
      <c r="AC102" s="25"/>
      <c r="AD102" s="20"/>
    </row>
    <row r="103" spans="1:30" x14ac:dyDescent="0.25">
      <c r="A103" s="19"/>
      <c r="B103" s="20"/>
      <c r="C103" s="21"/>
      <c r="D103" s="19"/>
      <c r="E103" s="20"/>
      <c r="F103" s="19"/>
      <c r="G103" s="20"/>
      <c r="H103" s="19"/>
      <c r="I103" s="20"/>
      <c r="J103" s="20" t="s">
        <v>76</v>
      </c>
      <c r="K103" s="20" t="s">
        <v>76</v>
      </c>
      <c r="L103" s="20"/>
      <c r="M103" s="20"/>
      <c r="N103" s="20" t="s">
        <v>76</v>
      </c>
      <c r="O103" s="20" t="s">
        <v>76</v>
      </c>
      <c r="P103" s="20" t="s">
        <v>76</v>
      </c>
      <c r="Q103" s="20"/>
      <c r="R103" s="20"/>
      <c r="S103" s="19"/>
      <c r="T103" s="20"/>
      <c r="U103" s="19"/>
      <c r="V103" s="22"/>
      <c r="W103" s="22"/>
      <c r="X103" s="20"/>
      <c r="AC103" s="25"/>
      <c r="AD103" s="20"/>
    </row>
    <row r="104" spans="1:30" x14ac:dyDescent="0.25">
      <c r="A104" s="19"/>
      <c r="B104" s="20"/>
      <c r="C104" s="21"/>
      <c r="D104" s="19"/>
      <c r="E104" s="20"/>
      <c r="F104" s="19"/>
      <c r="G104" s="20"/>
      <c r="H104" s="19"/>
      <c r="I104" s="20"/>
      <c r="J104" s="20" t="s">
        <v>76</v>
      </c>
      <c r="K104" s="20" t="s">
        <v>76</v>
      </c>
      <c r="L104" s="20"/>
      <c r="M104" s="20"/>
      <c r="N104" s="20" t="s">
        <v>76</v>
      </c>
      <c r="O104" s="20" t="s">
        <v>76</v>
      </c>
      <c r="P104" s="20" t="s">
        <v>76</v>
      </c>
      <c r="Q104" s="20"/>
      <c r="R104" s="20"/>
      <c r="S104" s="19"/>
      <c r="T104" s="20"/>
      <c r="U104" s="19"/>
      <c r="V104" s="22"/>
      <c r="W104" s="22"/>
      <c r="X104" s="20"/>
      <c r="AC104" s="25"/>
      <c r="AD104" s="20"/>
    </row>
    <row r="105" spans="1:30" x14ac:dyDescent="0.25">
      <c r="A105" s="19"/>
      <c r="B105" s="20"/>
      <c r="C105" s="21"/>
      <c r="D105" s="19"/>
      <c r="E105" s="20"/>
      <c r="F105" s="19"/>
      <c r="G105" s="20"/>
      <c r="H105" s="19"/>
      <c r="I105" s="20"/>
      <c r="J105" s="20" t="s">
        <v>76</v>
      </c>
      <c r="K105" s="20" t="s">
        <v>76</v>
      </c>
      <c r="L105" s="20"/>
      <c r="M105" s="20"/>
      <c r="N105" s="20" t="s">
        <v>76</v>
      </c>
      <c r="O105" s="20" t="s">
        <v>76</v>
      </c>
      <c r="P105" s="20" t="s">
        <v>76</v>
      </c>
      <c r="Q105" s="20"/>
      <c r="R105" s="20"/>
      <c r="S105" s="19"/>
      <c r="T105" s="20"/>
      <c r="U105" s="19"/>
      <c r="V105" s="22"/>
      <c r="W105" s="22"/>
      <c r="X105" s="20"/>
      <c r="AC105" s="25"/>
      <c r="AD105" s="20"/>
    </row>
    <row r="106" spans="1:30" x14ac:dyDescent="0.25">
      <c r="A106" s="19"/>
      <c r="B106" s="20"/>
      <c r="C106" s="21"/>
      <c r="D106" s="19"/>
      <c r="E106" s="20"/>
      <c r="F106" s="19"/>
      <c r="G106" s="20"/>
      <c r="H106" s="19"/>
      <c r="I106" s="20"/>
      <c r="J106" s="20" t="s">
        <v>76</v>
      </c>
      <c r="K106" s="20" t="s">
        <v>76</v>
      </c>
      <c r="L106" s="20"/>
      <c r="M106" s="20"/>
      <c r="N106" s="20" t="s">
        <v>76</v>
      </c>
      <c r="O106" s="20" t="s">
        <v>76</v>
      </c>
      <c r="P106" s="20" t="s">
        <v>76</v>
      </c>
      <c r="Q106" s="20"/>
      <c r="R106" s="20"/>
      <c r="S106" s="19"/>
      <c r="T106" s="20"/>
      <c r="U106" s="19"/>
      <c r="V106" s="22"/>
      <c r="W106" s="22"/>
      <c r="X106" s="20"/>
      <c r="AC106" s="25"/>
      <c r="AD106" s="20"/>
    </row>
    <row r="107" spans="1:30" x14ac:dyDescent="0.25">
      <c r="A107" s="19"/>
      <c r="B107" s="20"/>
      <c r="C107" s="21"/>
      <c r="D107" s="19"/>
      <c r="E107" s="20"/>
      <c r="F107" s="19"/>
      <c r="G107" s="20"/>
      <c r="H107" s="19"/>
      <c r="I107" s="20"/>
      <c r="J107" s="20" t="s">
        <v>76</v>
      </c>
      <c r="K107" s="20" t="s">
        <v>76</v>
      </c>
      <c r="L107" s="20"/>
      <c r="M107" s="20"/>
      <c r="N107" s="20" t="s">
        <v>76</v>
      </c>
      <c r="O107" s="20" t="s">
        <v>76</v>
      </c>
      <c r="P107" s="20" t="s">
        <v>76</v>
      </c>
      <c r="Q107" s="20"/>
      <c r="R107" s="20"/>
      <c r="S107" s="19"/>
      <c r="T107" s="20"/>
      <c r="U107" s="19"/>
      <c r="V107" s="22"/>
      <c r="W107" s="22"/>
      <c r="X107" s="20"/>
      <c r="AC107" s="25"/>
      <c r="AD107" s="20"/>
    </row>
    <row r="108" spans="1:30" x14ac:dyDescent="0.25">
      <c r="A108" s="19"/>
      <c r="B108" s="20"/>
      <c r="C108" s="21"/>
      <c r="D108" s="19"/>
      <c r="E108" s="20"/>
      <c r="F108" s="19"/>
      <c r="G108" s="20"/>
      <c r="H108" s="19"/>
      <c r="I108" s="20"/>
      <c r="J108" s="20" t="s">
        <v>76</v>
      </c>
      <c r="K108" s="20" t="s">
        <v>76</v>
      </c>
      <c r="L108" s="20"/>
      <c r="M108" s="20"/>
      <c r="N108" s="20" t="s">
        <v>76</v>
      </c>
      <c r="O108" s="20" t="s">
        <v>76</v>
      </c>
      <c r="P108" s="20" t="s">
        <v>76</v>
      </c>
      <c r="Q108" s="20"/>
      <c r="R108" s="20"/>
      <c r="S108" s="19"/>
      <c r="T108" s="20"/>
      <c r="U108" s="19"/>
      <c r="V108" s="22"/>
      <c r="W108" s="22"/>
      <c r="X108" s="20"/>
      <c r="AC108" s="25"/>
      <c r="AD108" s="20"/>
    </row>
    <row r="109" spans="1:30" x14ac:dyDescent="0.25">
      <c r="A109" s="19"/>
      <c r="B109" s="20"/>
      <c r="C109" s="21"/>
      <c r="D109" s="19"/>
      <c r="E109" s="20"/>
      <c r="F109" s="19"/>
      <c r="G109" s="20"/>
      <c r="H109" s="19"/>
      <c r="I109" s="20"/>
      <c r="J109" s="20" t="s">
        <v>76</v>
      </c>
      <c r="K109" s="20" t="s">
        <v>76</v>
      </c>
      <c r="L109" s="20"/>
      <c r="M109" s="20"/>
      <c r="N109" s="20" t="s">
        <v>76</v>
      </c>
      <c r="O109" s="20" t="s">
        <v>76</v>
      </c>
      <c r="P109" s="20" t="s">
        <v>76</v>
      </c>
      <c r="Q109" s="20"/>
      <c r="R109" s="20"/>
      <c r="S109" s="19"/>
      <c r="T109" s="20"/>
      <c r="U109" s="19"/>
      <c r="V109" s="22"/>
      <c r="W109" s="22"/>
      <c r="X109" s="20"/>
      <c r="AC109" s="25"/>
      <c r="AD109" s="20"/>
    </row>
    <row r="110" spans="1:30" x14ac:dyDescent="0.25">
      <c r="A110" s="19"/>
      <c r="B110" s="20"/>
      <c r="C110" s="21"/>
      <c r="D110" s="19"/>
      <c r="E110" s="20"/>
      <c r="F110" s="19"/>
      <c r="G110" s="20"/>
      <c r="H110" s="19"/>
      <c r="I110" s="20"/>
      <c r="J110" s="20" t="s">
        <v>76</v>
      </c>
      <c r="K110" s="20" t="s">
        <v>76</v>
      </c>
      <c r="L110" s="20"/>
      <c r="M110" s="20"/>
      <c r="N110" s="20" t="s">
        <v>76</v>
      </c>
      <c r="O110" s="20" t="s">
        <v>76</v>
      </c>
      <c r="P110" s="20" t="s">
        <v>76</v>
      </c>
      <c r="Q110" s="20"/>
      <c r="R110" s="20"/>
      <c r="S110" s="19"/>
      <c r="T110" s="20"/>
      <c r="U110" s="19"/>
      <c r="V110" s="22"/>
      <c r="W110" s="22"/>
      <c r="X110" s="20"/>
      <c r="AC110" s="25"/>
      <c r="AD110" s="20"/>
    </row>
    <row r="111" spans="1:30" x14ac:dyDescent="0.25">
      <c r="A111" s="19"/>
      <c r="B111" s="20"/>
      <c r="C111" s="21"/>
      <c r="D111" s="19"/>
      <c r="E111" s="20"/>
      <c r="F111" s="19"/>
      <c r="G111" s="20"/>
      <c r="H111" s="19"/>
      <c r="I111" s="20"/>
      <c r="J111" s="20" t="s">
        <v>76</v>
      </c>
      <c r="K111" s="20" t="s">
        <v>76</v>
      </c>
      <c r="L111" s="20"/>
      <c r="M111" s="20"/>
      <c r="N111" s="20" t="s">
        <v>76</v>
      </c>
      <c r="O111" s="20" t="s">
        <v>76</v>
      </c>
      <c r="P111" s="20" t="s">
        <v>76</v>
      </c>
      <c r="Q111" s="20"/>
      <c r="R111" s="20"/>
      <c r="S111" s="19"/>
      <c r="T111" s="20"/>
      <c r="U111" s="19"/>
      <c r="V111" s="22"/>
      <c r="W111" s="22"/>
      <c r="X111" s="20"/>
      <c r="AC111" s="25"/>
      <c r="AD111" s="20"/>
    </row>
    <row r="112" spans="1:30" x14ac:dyDescent="0.25">
      <c r="A112" s="19"/>
      <c r="B112" s="20"/>
      <c r="C112" s="21"/>
      <c r="D112" s="19"/>
      <c r="E112" s="20"/>
      <c r="F112" s="19"/>
      <c r="G112" s="20"/>
      <c r="H112" s="19"/>
      <c r="I112" s="20"/>
      <c r="J112" s="20" t="s">
        <v>76</v>
      </c>
      <c r="K112" s="20" t="s">
        <v>76</v>
      </c>
      <c r="L112" s="20"/>
      <c r="M112" s="20"/>
      <c r="N112" s="20" t="s">
        <v>76</v>
      </c>
      <c r="O112" s="20" t="s">
        <v>76</v>
      </c>
      <c r="P112" s="20" t="s">
        <v>76</v>
      </c>
      <c r="Q112" s="20"/>
      <c r="R112" s="20"/>
      <c r="S112" s="19"/>
      <c r="T112" s="20"/>
      <c r="U112" s="19"/>
      <c r="V112" s="22"/>
      <c r="W112" s="22"/>
      <c r="X112" s="20"/>
      <c r="AC112" s="25"/>
      <c r="AD112" s="20"/>
    </row>
  </sheetData>
  <autoFilter ref="A1:OJ1" xr:uid="{565EE061-178C-4982-833F-CD33A3D7D858}"/>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1064E-C149-4826-A033-140BA5ED5929}">
  <dimension ref="A1:AO17"/>
  <sheetViews>
    <sheetView workbookViewId="0">
      <pane ySplit="1" topLeftCell="A2" activePane="bottomLeft" state="frozenSplit"/>
      <selection pane="bottomLeft"/>
    </sheetView>
  </sheetViews>
  <sheetFormatPr baseColWidth="10" defaultRowHeight="15" x14ac:dyDescent="0.25"/>
  <cols>
    <col min="1" max="1" width="8.7109375" style="13" customWidth="1"/>
    <col min="2" max="2" width="7.7109375" style="13" customWidth="1"/>
    <col min="3" max="3" width="12.7109375" style="13" customWidth="1"/>
    <col min="4" max="4" width="13.7109375" style="13" customWidth="1"/>
    <col min="5" max="5" width="25.7109375" style="24" customWidth="1"/>
    <col min="6" max="6" width="13.7109375" style="13" customWidth="1"/>
    <col min="7" max="7" width="25.7109375" style="24" customWidth="1"/>
    <col min="8" max="8" width="13.7109375" style="13" customWidth="1"/>
    <col min="9" max="11" width="25.7109375" style="24" customWidth="1"/>
    <col min="12" max="12" width="8.7109375" style="13" customWidth="1"/>
    <col min="13" max="13" width="25.7109375" style="24" customWidth="1"/>
    <col min="14" max="14" width="13.7109375" style="13" customWidth="1"/>
    <col min="15" max="16" width="30.7109375" style="24" customWidth="1"/>
    <col min="17" max="17" width="25.7109375" style="24" customWidth="1"/>
    <col min="18" max="20" width="13.7109375" style="13" customWidth="1"/>
    <col min="21" max="22" width="12.7109375" style="13" customWidth="1"/>
    <col min="23" max="24" width="25.7109375" style="24" customWidth="1"/>
    <col min="25" max="25" width="15.7109375" style="13" customWidth="1"/>
    <col min="26" max="28" width="25.7109375" style="24" customWidth="1"/>
    <col min="29" max="29" width="15.7109375" style="13" customWidth="1"/>
    <col min="30" max="32" width="25.7109375" style="24" customWidth="1"/>
    <col min="33" max="33" width="15.7109375" style="13" customWidth="1"/>
    <col min="34" max="36" width="25.7109375" style="24" customWidth="1"/>
    <col min="37" max="37" width="15.7109375" style="13" customWidth="1"/>
    <col min="38" max="38" width="25.7109375" style="24" customWidth="1"/>
    <col min="39" max="39" width="40.7109375" style="24" customWidth="1"/>
    <col min="40" max="40" width="9.7109375" style="13" customWidth="1"/>
    <col min="41" max="41" width="15.7109375" style="13" customWidth="1"/>
    <col min="42" max="16384" width="11.42578125" style="13"/>
  </cols>
  <sheetData>
    <row r="1" spans="1:41" ht="60" x14ac:dyDescent="0.2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20</v>
      </c>
      <c r="T1" s="10" t="s">
        <v>21</v>
      </c>
      <c r="U1" s="11" t="s">
        <v>22</v>
      </c>
      <c r="V1" s="11" t="s">
        <v>23</v>
      </c>
      <c r="W1" s="10" t="s">
        <v>225</v>
      </c>
      <c r="X1" s="10" t="s">
        <v>226</v>
      </c>
      <c r="Y1" s="10" t="s">
        <v>227</v>
      </c>
      <c r="Z1" s="10" t="s">
        <v>228</v>
      </c>
      <c r="AA1" s="10" t="s">
        <v>229</v>
      </c>
      <c r="AB1" s="10" t="s">
        <v>230</v>
      </c>
      <c r="AC1" s="10" t="s">
        <v>231</v>
      </c>
      <c r="AD1" s="10" t="s">
        <v>232</v>
      </c>
      <c r="AE1" s="10" t="s">
        <v>233</v>
      </c>
      <c r="AF1" s="10" t="s">
        <v>234</v>
      </c>
      <c r="AG1" s="10" t="s">
        <v>235</v>
      </c>
      <c r="AH1" s="10" t="s">
        <v>236</v>
      </c>
      <c r="AI1" s="10" t="s">
        <v>237</v>
      </c>
      <c r="AJ1" s="10" t="s">
        <v>238</v>
      </c>
      <c r="AK1" s="10" t="s">
        <v>239</v>
      </c>
      <c r="AL1" s="10" t="s">
        <v>240</v>
      </c>
      <c r="AM1" s="10" t="s">
        <v>241</v>
      </c>
      <c r="AN1" s="10" t="s">
        <v>63</v>
      </c>
      <c r="AO1" s="10" t="s">
        <v>64</v>
      </c>
    </row>
    <row r="2" spans="1:41" ht="45" x14ac:dyDescent="0.25">
      <c r="A2" s="14" t="s">
        <v>65</v>
      </c>
      <c r="B2" s="14" t="s">
        <v>66</v>
      </c>
      <c r="C2" s="15">
        <v>45915.456250000003</v>
      </c>
      <c r="D2" s="14" t="s">
        <v>67</v>
      </c>
      <c r="E2" s="16" t="s">
        <v>68</v>
      </c>
      <c r="F2" s="14" t="s">
        <v>69</v>
      </c>
      <c r="G2" s="16" t="s">
        <v>68</v>
      </c>
      <c r="H2" s="14" t="s">
        <v>70</v>
      </c>
      <c r="I2" s="16" t="s">
        <v>68</v>
      </c>
      <c r="J2" s="16" t="s">
        <v>71</v>
      </c>
      <c r="K2" s="16" t="s">
        <v>72</v>
      </c>
      <c r="L2" s="14" t="s">
        <v>73</v>
      </c>
      <c r="M2" s="16" t="s">
        <v>74</v>
      </c>
      <c r="N2" s="14" t="s">
        <v>75</v>
      </c>
      <c r="O2" s="16" t="s">
        <v>76</v>
      </c>
      <c r="P2" s="16" t="s">
        <v>76</v>
      </c>
      <c r="Q2" s="16" t="s">
        <v>77</v>
      </c>
      <c r="R2" s="14" t="s">
        <v>78</v>
      </c>
      <c r="S2" s="14" t="s">
        <v>80</v>
      </c>
      <c r="T2" s="14" t="s">
        <v>81</v>
      </c>
      <c r="U2" s="15">
        <v>44935</v>
      </c>
      <c r="V2" s="15">
        <v>45900</v>
      </c>
      <c r="W2" s="16"/>
      <c r="X2" s="16" t="s">
        <v>76</v>
      </c>
      <c r="Y2" s="14" t="s">
        <v>76</v>
      </c>
      <c r="Z2" s="16" t="s">
        <v>76</v>
      </c>
      <c r="AA2" s="16" t="s">
        <v>76</v>
      </c>
      <c r="AB2" s="16" t="s">
        <v>76</v>
      </c>
      <c r="AC2" s="14" t="s">
        <v>76</v>
      </c>
      <c r="AD2" s="16" t="s">
        <v>76</v>
      </c>
      <c r="AE2" s="16" t="s">
        <v>76</v>
      </c>
      <c r="AF2" s="16" t="s">
        <v>76</v>
      </c>
      <c r="AG2" s="14" t="s">
        <v>76</v>
      </c>
      <c r="AH2" s="16" t="s">
        <v>76</v>
      </c>
      <c r="AI2" s="16" t="s">
        <v>76</v>
      </c>
      <c r="AJ2" s="16" t="s">
        <v>76</v>
      </c>
      <c r="AK2" s="14" t="s">
        <v>76</v>
      </c>
      <c r="AL2" s="16" t="s">
        <v>76</v>
      </c>
      <c r="AM2" s="16" t="s">
        <v>76</v>
      </c>
      <c r="AN2" s="14" t="s">
        <v>76</v>
      </c>
      <c r="AO2" s="14" t="s">
        <v>76</v>
      </c>
    </row>
    <row r="3" spans="1:41" ht="45" x14ac:dyDescent="0.25">
      <c r="A3" s="14" t="s">
        <v>65</v>
      </c>
      <c r="B3" s="14" t="s">
        <v>117</v>
      </c>
      <c r="C3" s="15">
        <v>45915.461111111108</v>
      </c>
      <c r="D3" s="14" t="s">
        <v>67</v>
      </c>
      <c r="E3" s="16" t="s">
        <v>68</v>
      </c>
      <c r="F3" s="14" t="s">
        <v>69</v>
      </c>
      <c r="G3" s="16" t="s">
        <v>68</v>
      </c>
      <c r="H3" s="14" t="s">
        <v>70</v>
      </c>
      <c r="I3" s="16" t="s">
        <v>68</v>
      </c>
      <c r="J3" s="16" t="s">
        <v>71</v>
      </c>
      <c r="K3" s="16" t="s">
        <v>72</v>
      </c>
      <c r="L3" s="14" t="s">
        <v>73</v>
      </c>
      <c r="M3" s="16" t="s">
        <v>74</v>
      </c>
      <c r="N3" s="14" t="s">
        <v>75</v>
      </c>
      <c r="O3" s="16" t="s">
        <v>76</v>
      </c>
      <c r="P3" s="16" t="s">
        <v>76</v>
      </c>
      <c r="Q3" s="16" t="s">
        <v>77</v>
      </c>
      <c r="R3" s="14" t="s">
        <v>78</v>
      </c>
      <c r="S3" s="14" t="s">
        <v>80</v>
      </c>
      <c r="T3" s="14" t="s">
        <v>81</v>
      </c>
      <c r="U3" s="15">
        <v>45666</v>
      </c>
      <c r="V3" s="15"/>
      <c r="W3" s="16"/>
      <c r="X3" s="16" t="s">
        <v>76</v>
      </c>
      <c r="Y3" s="14" t="s">
        <v>76</v>
      </c>
      <c r="Z3" s="16" t="s">
        <v>76</v>
      </c>
      <c r="AA3" s="16" t="s">
        <v>76</v>
      </c>
      <c r="AB3" s="16" t="s">
        <v>76</v>
      </c>
      <c r="AC3" s="14" t="s">
        <v>76</v>
      </c>
      <c r="AD3" s="16" t="s">
        <v>76</v>
      </c>
      <c r="AE3" s="16" t="s">
        <v>76</v>
      </c>
      <c r="AF3" s="16" t="s">
        <v>76</v>
      </c>
      <c r="AG3" s="14" t="s">
        <v>76</v>
      </c>
      <c r="AH3" s="16" t="s">
        <v>76</v>
      </c>
      <c r="AI3" s="16" t="s">
        <v>76</v>
      </c>
      <c r="AJ3" s="16" t="s">
        <v>76</v>
      </c>
      <c r="AK3" s="14" t="s">
        <v>76</v>
      </c>
      <c r="AL3" s="16" t="s">
        <v>76</v>
      </c>
      <c r="AM3" s="16" t="s">
        <v>76</v>
      </c>
      <c r="AN3" s="14" t="s">
        <v>76</v>
      </c>
      <c r="AO3" s="14" t="s">
        <v>76</v>
      </c>
    </row>
    <row r="4" spans="1:41" ht="45" x14ac:dyDescent="0.25">
      <c r="A4" s="14" t="s">
        <v>123</v>
      </c>
      <c r="B4" s="14" t="s">
        <v>117</v>
      </c>
      <c r="C4" s="15">
        <v>45622.508333333331</v>
      </c>
      <c r="D4" s="14" t="s">
        <v>67</v>
      </c>
      <c r="E4" s="16" t="s">
        <v>68</v>
      </c>
      <c r="F4" s="14" t="s">
        <v>69</v>
      </c>
      <c r="G4" s="16" t="s">
        <v>68</v>
      </c>
      <c r="H4" s="14" t="s">
        <v>70</v>
      </c>
      <c r="I4" s="16" t="s">
        <v>68</v>
      </c>
      <c r="J4" s="16" t="s">
        <v>71</v>
      </c>
      <c r="K4" s="16" t="s">
        <v>72</v>
      </c>
      <c r="L4" s="14" t="s">
        <v>124</v>
      </c>
      <c r="M4" s="16" t="s">
        <v>125</v>
      </c>
      <c r="N4" s="14" t="s">
        <v>126</v>
      </c>
      <c r="O4" s="16" t="s">
        <v>76</v>
      </c>
      <c r="P4" s="16" t="s">
        <v>76</v>
      </c>
      <c r="Q4" s="16" t="s">
        <v>77</v>
      </c>
      <c r="R4" s="14" t="s">
        <v>78</v>
      </c>
      <c r="S4" s="14" t="s">
        <v>80</v>
      </c>
      <c r="T4" s="14" t="s">
        <v>81</v>
      </c>
      <c r="U4" s="15">
        <v>44935</v>
      </c>
      <c r="V4" s="15"/>
      <c r="W4" s="16"/>
      <c r="X4" s="16" t="s">
        <v>76</v>
      </c>
      <c r="Y4" s="14" t="s">
        <v>76</v>
      </c>
      <c r="Z4" s="16" t="s">
        <v>76</v>
      </c>
      <c r="AA4" s="16" t="s">
        <v>76</v>
      </c>
      <c r="AB4" s="16" t="s">
        <v>76</v>
      </c>
      <c r="AC4" s="14" t="s">
        <v>76</v>
      </c>
      <c r="AD4" s="16" t="s">
        <v>76</v>
      </c>
      <c r="AE4" s="16" t="s">
        <v>76</v>
      </c>
      <c r="AF4" s="16" t="s">
        <v>76</v>
      </c>
      <c r="AG4" s="14" t="s">
        <v>76</v>
      </c>
      <c r="AH4" s="16" t="s">
        <v>76</v>
      </c>
      <c r="AI4" s="16" t="s">
        <v>76</v>
      </c>
      <c r="AJ4" s="16" t="s">
        <v>76</v>
      </c>
      <c r="AK4" s="14" t="s">
        <v>76</v>
      </c>
      <c r="AL4" s="16" t="s">
        <v>76</v>
      </c>
      <c r="AM4" s="16" t="s">
        <v>76</v>
      </c>
      <c r="AN4" s="14" t="s">
        <v>76</v>
      </c>
      <c r="AO4" s="14" t="s">
        <v>76</v>
      </c>
    </row>
    <row r="5" spans="1:41" ht="45" x14ac:dyDescent="0.25">
      <c r="A5" s="14" t="s">
        <v>123</v>
      </c>
      <c r="B5" s="14" t="s">
        <v>117</v>
      </c>
      <c r="C5" s="15">
        <v>45622.507638888892</v>
      </c>
      <c r="D5" s="14" t="s">
        <v>67</v>
      </c>
      <c r="E5" s="16" t="s">
        <v>68</v>
      </c>
      <c r="F5" s="14" t="s">
        <v>69</v>
      </c>
      <c r="G5" s="16" t="s">
        <v>68</v>
      </c>
      <c r="H5" s="14" t="s">
        <v>70</v>
      </c>
      <c r="I5" s="16" t="s">
        <v>68</v>
      </c>
      <c r="J5" s="16" t="s">
        <v>71</v>
      </c>
      <c r="K5" s="16" t="s">
        <v>72</v>
      </c>
      <c r="L5" s="14" t="s">
        <v>73</v>
      </c>
      <c r="M5" s="16" t="s">
        <v>74</v>
      </c>
      <c r="N5" s="14" t="s">
        <v>75</v>
      </c>
      <c r="O5" s="16" t="s">
        <v>76</v>
      </c>
      <c r="P5" s="16" t="s">
        <v>76</v>
      </c>
      <c r="Q5" s="16" t="s">
        <v>140</v>
      </c>
      <c r="R5" s="14" t="s">
        <v>141</v>
      </c>
      <c r="S5" s="14" t="s">
        <v>80</v>
      </c>
      <c r="T5" s="14" t="s">
        <v>142</v>
      </c>
      <c r="U5" s="15">
        <v>44935</v>
      </c>
      <c r="V5" s="15"/>
      <c r="W5" s="16"/>
      <c r="X5" s="16" t="s">
        <v>76</v>
      </c>
      <c r="Y5" s="14" t="s">
        <v>76</v>
      </c>
      <c r="Z5" s="16" t="s">
        <v>76</v>
      </c>
      <c r="AA5" s="16" t="s">
        <v>76</v>
      </c>
      <c r="AB5" s="16" t="s">
        <v>76</v>
      </c>
      <c r="AC5" s="14" t="s">
        <v>76</v>
      </c>
      <c r="AD5" s="16" t="s">
        <v>76</v>
      </c>
      <c r="AE5" s="16" t="s">
        <v>76</v>
      </c>
      <c r="AF5" s="16" t="s">
        <v>76</v>
      </c>
      <c r="AG5" s="14" t="s">
        <v>76</v>
      </c>
      <c r="AH5" s="16" t="s">
        <v>76</v>
      </c>
      <c r="AI5" s="16" t="s">
        <v>76</v>
      </c>
      <c r="AJ5" s="16" t="s">
        <v>76</v>
      </c>
      <c r="AK5" s="14" t="s">
        <v>76</v>
      </c>
      <c r="AL5" s="16" t="s">
        <v>76</v>
      </c>
      <c r="AM5" s="16" t="s">
        <v>76</v>
      </c>
      <c r="AN5" s="14" t="s">
        <v>76</v>
      </c>
      <c r="AO5" s="14" t="s">
        <v>76</v>
      </c>
    </row>
    <row r="6" spans="1:41" ht="45" x14ac:dyDescent="0.25">
      <c r="A6" s="14" t="s">
        <v>123</v>
      </c>
      <c r="B6" s="14" t="s">
        <v>117</v>
      </c>
      <c r="C6" s="15">
        <v>45622.508333333331</v>
      </c>
      <c r="D6" s="14" t="s">
        <v>67</v>
      </c>
      <c r="E6" s="16" t="s">
        <v>68</v>
      </c>
      <c r="F6" s="14" t="s">
        <v>69</v>
      </c>
      <c r="G6" s="16" t="s">
        <v>68</v>
      </c>
      <c r="H6" s="14" t="s">
        <v>70</v>
      </c>
      <c r="I6" s="16" t="s">
        <v>68</v>
      </c>
      <c r="J6" s="16" t="s">
        <v>71</v>
      </c>
      <c r="K6" s="16" t="s">
        <v>72</v>
      </c>
      <c r="L6" s="14" t="s">
        <v>124</v>
      </c>
      <c r="M6" s="16" t="s">
        <v>125</v>
      </c>
      <c r="N6" s="14" t="s">
        <v>126</v>
      </c>
      <c r="O6" s="16" t="s">
        <v>76</v>
      </c>
      <c r="P6" s="16" t="s">
        <v>76</v>
      </c>
      <c r="Q6" s="16" t="s">
        <v>140</v>
      </c>
      <c r="R6" s="14" t="s">
        <v>141</v>
      </c>
      <c r="S6" s="14" t="s">
        <v>80</v>
      </c>
      <c r="T6" s="14" t="s">
        <v>142</v>
      </c>
      <c r="U6" s="15">
        <v>44935</v>
      </c>
      <c r="V6" s="15"/>
      <c r="W6" s="16"/>
      <c r="X6" s="16" t="s">
        <v>76</v>
      </c>
      <c r="Y6" s="14" t="s">
        <v>76</v>
      </c>
      <c r="Z6" s="16" t="s">
        <v>76</v>
      </c>
      <c r="AA6" s="16" t="s">
        <v>76</v>
      </c>
      <c r="AB6" s="16" t="s">
        <v>76</v>
      </c>
      <c r="AC6" s="14" t="s">
        <v>76</v>
      </c>
      <c r="AD6" s="16" t="s">
        <v>76</v>
      </c>
      <c r="AE6" s="16" t="s">
        <v>76</v>
      </c>
      <c r="AF6" s="16" t="s">
        <v>76</v>
      </c>
      <c r="AG6" s="14" t="s">
        <v>76</v>
      </c>
      <c r="AH6" s="16" t="s">
        <v>76</v>
      </c>
      <c r="AI6" s="16" t="s">
        <v>76</v>
      </c>
      <c r="AJ6" s="16" t="s">
        <v>76</v>
      </c>
      <c r="AK6" s="14" t="s">
        <v>76</v>
      </c>
      <c r="AL6" s="16" t="s">
        <v>76</v>
      </c>
      <c r="AM6" s="16" t="s">
        <v>76</v>
      </c>
      <c r="AN6" s="14" t="s">
        <v>76</v>
      </c>
      <c r="AO6" s="14" t="s">
        <v>76</v>
      </c>
    </row>
    <row r="7" spans="1:41" ht="45" x14ac:dyDescent="0.25">
      <c r="A7" s="14" t="s">
        <v>143</v>
      </c>
      <c r="B7" s="14" t="s">
        <v>66</v>
      </c>
      <c r="C7" s="15">
        <v>45779.490277777775</v>
      </c>
      <c r="D7" s="14" t="s">
        <v>67</v>
      </c>
      <c r="E7" s="16" t="s">
        <v>68</v>
      </c>
      <c r="F7" s="14" t="s">
        <v>69</v>
      </c>
      <c r="G7" s="16" t="s">
        <v>68</v>
      </c>
      <c r="H7" s="14" t="s">
        <v>70</v>
      </c>
      <c r="I7" s="16" t="s">
        <v>68</v>
      </c>
      <c r="J7" s="16" t="s">
        <v>71</v>
      </c>
      <c r="K7" s="16" t="s">
        <v>72</v>
      </c>
      <c r="L7" s="14" t="s">
        <v>73</v>
      </c>
      <c r="M7" s="16" t="s">
        <v>74</v>
      </c>
      <c r="N7" s="14" t="s">
        <v>75</v>
      </c>
      <c r="O7" s="16" t="s">
        <v>76</v>
      </c>
      <c r="P7" s="16" t="s">
        <v>76</v>
      </c>
      <c r="Q7" s="16" t="s">
        <v>144</v>
      </c>
      <c r="R7" s="14" t="s">
        <v>145</v>
      </c>
      <c r="S7" s="14" t="s">
        <v>80</v>
      </c>
      <c r="T7" s="14" t="s">
        <v>81</v>
      </c>
      <c r="U7" s="15">
        <v>44935</v>
      </c>
      <c r="V7" s="15">
        <v>45709</v>
      </c>
      <c r="W7" s="16"/>
      <c r="X7" s="16" t="s">
        <v>76</v>
      </c>
      <c r="Y7" s="14" t="s">
        <v>76</v>
      </c>
      <c r="Z7" s="16" t="s">
        <v>76</v>
      </c>
      <c r="AA7" s="16" t="s">
        <v>76</v>
      </c>
      <c r="AB7" s="16" t="s">
        <v>76</v>
      </c>
      <c r="AC7" s="14" t="s">
        <v>76</v>
      </c>
      <c r="AD7" s="16" t="s">
        <v>76</v>
      </c>
      <c r="AE7" s="16" t="s">
        <v>76</v>
      </c>
      <c r="AF7" s="16" t="s">
        <v>76</v>
      </c>
      <c r="AG7" s="14" t="s">
        <v>76</v>
      </c>
      <c r="AH7" s="16" t="s">
        <v>76</v>
      </c>
      <c r="AI7" s="16" t="s">
        <v>76</v>
      </c>
      <c r="AJ7" s="16" t="s">
        <v>76</v>
      </c>
      <c r="AK7" s="14" t="s">
        <v>76</v>
      </c>
      <c r="AL7" s="16" t="s">
        <v>76</v>
      </c>
      <c r="AM7" s="16" t="s">
        <v>76</v>
      </c>
      <c r="AN7" s="14" t="s">
        <v>76</v>
      </c>
      <c r="AO7" s="14" t="s">
        <v>76</v>
      </c>
    </row>
    <row r="8" spans="1:41" ht="45" x14ac:dyDescent="0.25">
      <c r="A8" s="14" t="s">
        <v>65</v>
      </c>
      <c r="B8" s="14" t="s">
        <v>66</v>
      </c>
      <c r="C8" s="15">
        <v>45915.459722222222</v>
      </c>
      <c r="D8" s="14" t="s">
        <v>67</v>
      </c>
      <c r="E8" s="16" t="s">
        <v>68</v>
      </c>
      <c r="F8" s="14" t="s">
        <v>69</v>
      </c>
      <c r="G8" s="16" t="s">
        <v>68</v>
      </c>
      <c r="H8" s="14" t="s">
        <v>70</v>
      </c>
      <c r="I8" s="16" t="s">
        <v>68</v>
      </c>
      <c r="J8" s="16" t="s">
        <v>71</v>
      </c>
      <c r="K8" s="16" t="s">
        <v>72</v>
      </c>
      <c r="L8" s="14" t="s">
        <v>73</v>
      </c>
      <c r="M8" s="16" t="s">
        <v>74</v>
      </c>
      <c r="N8" s="14" t="s">
        <v>75</v>
      </c>
      <c r="O8" s="16" t="s">
        <v>76</v>
      </c>
      <c r="P8" s="16" t="s">
        <v>76</v>
      </c>
      <c r="Q8" s="16" t="s">
        <v>144</v>
      </c>
      <c r="R8" s="14" t="s">
        <v>145</v>
      </c>
      <c r="S8" s="14" t="s">
        <v>80</v>
      </c>
      <c r="T8" s="14" t="s">
        <v>81</v>
      </c>
      <c r="U8" s="15" t="s">
        <v>242</v>
      </c>
      <c r="V8" s="15">
        <v>45900</v>
      </c>
      <c r="W8" s="16"/>
      <c r="X8" s="16" t="s">
        <v>76</v>
      </c>
      <c r="Y8" s="14" t="s">
        <v>76</v>
      </c>
      <c r="Z8" s="16" t="s">
        <v>76</v>
      </c>
      <c r="AA8" s="16" t="s">
        <v>76</v>
      </c>
      <c r="AB8" s="16" t="s">
        <v>76</v>
      </c>
      <c r="AC8" s="14" t="s">
        <v>76</v>
      </c>
      <c r="AD8" s="16" t="s">
        <v>76</v>
      </c>
      <c r="AE8" s="16" t="s">
        <v>76</v>
      </c>
      <c r="AF8" s="16" t="s">
        <v>76</v>
      </c>
      <c r="AG8" s="14" t="s">
        <v>76</v>
      </c>
      <c r="AH8" s="16" t="s">
        <v>76</v>
      </c>
      <c r="AI8" s="16" t="s">
        <v>76</v>
      </c>
      <c r="AJ8" s="16" t="s">
        <v>76</v>
      </c>
      <c r="AK8" s="14" t="s">
        <v>76</v>
      </c>
      <c r="AL8" s="16" t="s">
        <v>76</v>
      </c>
      <c r="AM8" s="16" t="s">
        <v>76</v>
      </c>
      <c r="AN8" s="14" t="s">
        <v>76</v>
      </c>
      <c r="AO8" s="14" t="s">
        <v>76</v>
      </c>
    </row>
    <row r="9" spans="1:41" ht="45" x14ac:dyDescent="0.25">
      <c r="A9" s="14" t="s">
        <v>65</v>
      </c>
      <c r="B9" s="14" t="s">
        <v>117</v>
      </c>
      <c r="C9" s="15">
        <v>45915.460416666669</v>
      </c>
      <c r="D9" s="14" t="s">
        <v>67</v>
      </c>
      <c r="E9" s="16" t="s">
        <v>68</v>
      </c>
      <c r="F9" s="14" t="s">
        <v>69</v>
      </c>
      <c r="G9" s="16" t="s">
        <v>68</v>
      </c>
      <c r="H9" s="14" t="s">
        <v>70</v>
      </c>
      <c r="I9" s="16" t="s">
        <v>68</v>
      </c>
      <c r="J9" s="16" t="s">
        <v>71</v>
      </c>
      <c r="K9" s="16" t="s">
        <v>72</v>
      </c>
      <c r="L9" s="14" t="s">
        <v>73</v>
      </c>
      <c r="M9" s="16" t="s">
        <v>74</v>
      </c>
      <c r="N9" s="14" t="s">
        <v>75</v>
      </c>
      <c r="O9" s="16" t="s">
        <v>76</v>
      </c>
      <c r="P9" s="16" t="s">
        <v>76</v>
      </c>
      <c r="Q9" s="16" t="s">
        <v>144</v>
      </c>
      <c r="R9" s="14" t="s">
        <v>145</v>
      </c>
      <c r="S9" s="14" t="s">
        <v>80</v>
      </c>
      <c r="T9" s="14" t="s">
        <v>81</v>
      </c>
      <c r="U9" s="15">
        <v>45666</v>
      </c>
      <c r="V9" s="15"/>
      <c r="W9" s="16"/>
      <c r="X9" s="16" t="s">
        <v>76</v>
      </c>
      <c r="Y9" s="14" t="s">
        <v>76</v>
      </c>
      <c r="Z9" s="16" t="s">
        <v>76</v>
      </c>
      <c r="AA9" s="16" t="s">
        <v>76</v>
      </c>
      <c r="AB9" s="16" t="s">
        <v>76</v>
      </c>
      <c r="AC9" s="14" t="s">
        <v>76</v>
      </c>
      <c r="AD9" s="16" t="s">
        <v>76</v>
      </c>
      <c r="AE9" s="16" t="s">
        <v>76</v>
      </c>
      <c r="AF9" s="16" t="s">
        <v>76</v>
      </c>
      <c r="AG9" s="14" t="s">
        <v>76</v>
      </c>
      <c r="AH9" s="16" t="s">
        <v>76</v>
      </c>
      <c r="AI9" s="16" t="s">
        <v>76</v>
      </c>
      <c r="AJ9" s="16" t="s">
        <v>76</v>
      </c>
      <c r="AK9" s="14" t="s">
        <v>76</v>
      </c>
      <c r="AL9" s="16" t="s">
        <v>76</v>
      </c>
      <c r="AM9" s="16" t="s">
        <v>76</v>
      </c>
      <c r="AN9" s="14" t="s">
        <v>76</v>
      </c>
      <c r="AO9" s="14" t="s">
        <v>76</v>
      </c>
    </row>
    <row r="10" spans="1:41" ht="45" x14ac:dyDescent="0.25">
      <c r="A10" s="14" t="s">
        <v>123</v>
      </c>
      <c r="B10" s="14" t="s">
        <v>117</v>
      </c>
      <c r="C10" s="15">
        <v>45623.563888888886</v>
      </c>
      <c r="D10" s="14" t="s">
        <v>67</v>
      </c>
      <c r="E10" s="16" t="s">
        <v>68</v>
      </c>
      <c r="F10" s="14" t="s">
        <v>69</v>
      </c>
      <c r="G10" s="16" t="s">
        <v>68</v>
      </c>
      <c r="H10" s="14" t="s">
        <v>70</v>
      </c>
      <c r="I10" s="16" t="s">
        <v>68</v>
      </c>
      <c r="J10" s="16" t="s">
        <v>71</v>
      </c>
      <c r="K10" s="16" t="s">
        <v>72</v>
      </c>
      <c r="L10" s="14" t="s">
        <v>124</v>
      </c>
      <c r="M10" s="16" t="s">
        <v>125</v>
      </c>
      <c r="N10" s="14" t="s">
        <v>126</v>
      </c>
      <c r="O10" s="16" t="s">
        <v>76</v>
      </c>
      <c r="P10" s="16" t="s">
        <v>76</v>
      </c>
      <c r="Q10" s="16" t="s">
        <v>144</v>
      </c>
      <c r="R10" s="14" t="s">
        <v>145</v>
      </c>
      <c r="S10" s="14" t="s">
        <v>80</v>
      </c>
      <c r="T10" s="14" t="s">
        <v>81</v>
      </c>
      <c r="U10" s="15">
        <v>44935</v>
      </c>
      <c r="V10" s="15"/>
      <c r="W10" s="16"/>
      <c r="X10" s="16" t="s">
        <v>76</v>
      </c>
      <c r="Y10" s="14" t="s">
        <v>76</v>
      </c>
      <c r="Z10" s="16" t="s">
        <v>76</v>
      </c>
      <c r="AA10" s="16" t="s">
        <v>76</v>
      </c>
      <c r="AB10" s="16" t="s">
        <v>76</v>
      </c>
      <c r="AC10" s="14" t="s">
        <v>76</v>
      </c>
      <c r="AD10" s="16" t="s">
        <v>76</v>
      </c>
      <c r="AE10" s="16" t="s">
        <v>76</v>
      </c>
      <c r="AF10" s="16" t="s">
        <v>76</v>
      </c>
      <c r="AG10" s="14" t="s">
        <v>76</v>
      </c>
      <c r="AH10" s="16" t="s">
        <v>76</v>
      </c>
      <c r="AI10" s="16" t="s">
        <v>76</v>
      </c>
      <c r="AJ10" s="16" t="s">
        <v>76</v>
      </c>
      <c r="AK10" s="14" t="s">
        <v>76</v>
      </c>
      <c r="AL10" s="16" t="s">
        <v>76</v>
      </c>
      <c r="AM10" s="16" t="s">
        <v>76</v>
      </c>
      <c r="AN10" s="14" t="s">
        <v>76</v>
      </c>
      <c r="AO10" s="14" t="s">
        <v>76</v>
      </c>
    </row>
    <row r="11" spans="1:41" ht="45" x14ac:dyDescent="0.25">
      <c r="A11" s="14" t="s">
        <v>65</v>
      </c>
      <c r="B11" s="14" t="s">
        <v>66</v>
      </c>
      <c r="C11" s="15">
        <v>45915.456944444442</v>
      </c>
      <c r="D11" s="14" t="s">
        <v>67</v>
      </c>
      <c r="E11" s="16" t="s">
        <v>68</v>
      </c>
      <c r="F11" s="14" t="s">
        <v>69</v>
      </c>
      <c r="G11" s="16" t="s">
        <v>68</v>
      </c>
      <c r="H11" s="14" t="s">
        <v>70</v>
      </c>
      <c r="I11" s="16" t="s">
        <v>68</v>
      </c>
      <c r="J11" s="16" t="s">
        <v>71</v>
      </c>
      <c r="K11" s="16" t="s">
        <v>72</v>
      </c>
      <c r="L11" s="14" t="s">
        <v>73</v>
      </c>
      <c r="M11" s="16" t="s">
        <v>74</v>
      </c>
      <c r="N11" s="14" t="s">
        <v>75</v>
      </c>
      <c r="O11" s="16" t="s">
        <v>76</v>
      </c>
      <c r="P11" s="16" t="s">
        <v>76</v>
      </c>
      <c r="Q11" s="16" t="s">
        <v>181</v>
      </c>
      <c r="R11" s="14" t="s">
        <v>182</v>
      </c>
      <c r="S11" s="14" t="s">
        <v>80</v>
      </c>
      <c r="T11" s="14" t="s">
        <v>81</v>
      </c>
      <c r="U11" s="15">
        <v>44935</v>
      </c>
      <c r="V11" s="15">
        <v>45900</v>
      </c>
      <c r="W11" s="16"/>
      <c r="X11" s="16" t="s">
        <v>76</v>
      </c>
      <c r="Y11" s="14" t="s">
        <v>76</v>
      </c>
      <c r="Z11" s="16" t="s">
        <v>76</v>
      </c>
      <c r="AA11" s="16" t="s">
        <v>76</v>
      </c>
      <c r="AB11" s="16" t="s">
        <v>76</v>
      </c>
      <c r="AC11" s="14" t="s">
        <v>76</v>
      </c>
      <c r="AD11" s="16" t="s">
        <v>76</v>
      </c>
      <c r="AE11" s="16" t="s">
        <v>76</v>
      </c>
      <c r="AF11" s="16" t="s">
        <v>76</v>
      </c>
      <c r="AG11" s="14" t="s">
        <v>76</v>
      </c>
      <c r="AH11" s="16" t="s">
        <v>76</v>
      </c>
      <c r="AI11" s="16" t="s">
        <v>76</v>
      </c>
      <c r="AJ11" s="16" t="s">
        <v>76</v>
      </c>
      <c r="AK11" s="14" t="s">
        <v>76</v>
      </c>
      <c r="AL11" s="16" t="s">
        <v>76</v>
      </c>
      <c r="AM11" s="16" t="s">
        <v>76</v>
      </c>
      <c r="AN11" s="14" t="s">
        <v>76</v>
      </c>
      <c r="AO11" s="14" t="s">
        <v>76</v>
      </c>
    </row>
    <row r="12" spans="1:41" ht="45" x14ac:dyDescent="0.25">
      <c r="A12" s="14" t="s">
        <v>65</v>
      </c>
      <c r="B12" s="14" t="s">
        <v>117</v>
      </c>
      <c r="C12" s="15">
        <v>45915.461111111108</v>
      </c>
      <c r="D12" s="14" t="s">
        <v>67</v>
      </c>
      <c r="E12" s="16" t="s">
        <v>68</v>
      </c>
      <c r="F12" s="14" t="s">
        <v>69</v>
      </c>
      <c r="G12" s="16" t="s">
        <v>68</v>
      </c>
      <c r="H12" s="14" t="s">
        <v>70</v>
      </c>
      <c r="I12" s="16" t="s">
        <v>68</v>
      </c>
      <c r="J12" s="16" t="s">
        <v>71</v>
      </c>
      <c r="K12" s="16" t="s">
        <v>72</v>
      </c>
      <c r="L12" s="14" t="s">
        <v>73</v>
      </c>
      <c r="M12" s="16" t="s">
        <v>74</v>
      </c>
      <c r="N12" s="14" t="s">
        <v>75</v>
      </c>
      <c r="O12" s="16" t="s">
        <v>76</v>
      </c>
      <c r="P12" s="16" t="s">
        <v>76</v>
      </c>
      <c r="Q12" s="16" t="s">
        <v>181</v>
      </c>
      <c r="R12" s="14" t="s">
        <v>182</v>
      </c>
      <c r="S12" s="14" t="s">
        <v>80</v>
      </c>
      <c r="T12" s="14" t="s">
        <v>81</v>
      </c>
      <c r="U12" s="15">
        <v>45666</v>
      </c>
      <c r="V12" s="15"/>
      <c r="W12" s="16"/>
      <c r="X12" s="16" t="s">
        <v>76</v>
      </c>
      <c r="Y12" s="14" t="s">
        <v>76</v>
      </c>
      <c r="Z12" s="16" t="s">
        <v>76</v>
      </c>
      <c r="AA12" s="16" t="s">
        <v>76</v>
      </c>
      <c r="AB12" s="16" t="s">
        <v>76</v>
      </c>
      <c r="AC12" s="14" t="s">
        <v>76</v>
      </c>
      <c r="AD12" s="16" t="s">
        <v>76</v>
      </c>
      <c r="AE12" s="16" t="s">
        <v>76</v>
      </c>
      <c r="AF12" s="16" t="s">
        <v>76</v>
      </c>
      <c r="AG12" s="14" t="s">
        <v>76</v>
      </c>
      <c r="AH12" s="16" t="s">
        <v>76</v>
      </c>
      <c r="AI12" s="16" t="s">
        <v>76</v>
      </c>
      <c r="AJ12" s="16" t="s">
        <v>76</v>
      </c>
      <c r="AK12" s="14" t="s">
        <v>76</v>
      </c>
      <c r="AL12" s="16" t="s">
        <v>76</v>
      </c>
      <c r="AM12" s="16" t="s">
        <v>76</v>
      </c>
      <c r="AN12" s="14" t="s">
        <v>76</v>
      </c>
      <c r="AO12" s="14" t="s">
        <v>76</v>
      </c>
    </row>
    <row r="13" spans="1:41" ht="45" x14ac:dyDescent="0.25">
      <c r="A13" s="14" t="s">
        <v>123</v>
      </c>
      <c r="B13" s="14" t="s">
        <v>117</v>
      </c>
      <c r="C13" s="15">
        <v>45623.564583333333</v>
      </c>
      <c r="D13" s="14" t="s">
        <v>67</v>
      </c>
      <c r="E13" s="16" t="s">
        <v>68</v>
      </c>
      <c r="F13" s="14" t="s">
        <v>69</v>
      </c>
      <c r="G13" s="16" t="s">
        <v>68</v>
      </c>
      <c r="H13" s="14" t="s">
        <v>70</v>
      </c>
      <c r="I13" s="16" t="s">
        <v>68</v>
      </c>
      <c r="J13" s="16" t="s">
        <v>71</v>
      </c>
      <c r="K13" s="16" t="s">
        <v>72</v>
      </c>
      <c r="L13" s="14" t="s">
        <v>124</v>
      </c>
      <c r="M13" s="16" t="s">
        <v>125</v>
      </c>
      <c r="N13" s="14" t="s">
        <v>126</v>
      </c>
      <c r="O13" s="16" t="s">
        <v>76</v>
      </c>
      <c r="P13" s="16" t="s">
        <v>76</v>
      </c>
      <c r="Q13" s="16" t="s">
        <v>181</v>
      </c>
      <c r="R13" s="14" t="s">
        <v>182</v>
      </c>
      <c r="S13" s="14" t="s">
        <v>80</v>
      </c>
      <c r="T13" s="14" t="s">
        <v>81</v>
      </c>
      <c r="U13" s="15">
        <v>44935</v>
      </c>
      <c r="V13" s="15"/>
      <c r="W13" s="16"/>
      <c r="X13" s="16" t="s">
        <v>76</v>
      </c>
      <c r="Y13" s="14" t="s">
        <v>76</v>
      </c>
      <c r="Z13" s="16" t="s">
        <v>76</v>
      </c>
      <c r="AA13" s="16" t="s">
        <v>76</v>
      </c>
      <c r="AB13" s="16" t="s">
        <v>76</v>
      </c>
      <c r="AC13" s="14" t="s">
        <v>76</v>
      </c>
      <c r="AD13" s="16" t="s">
        <v>76</v>
      </c>
      <c r="AE13" s="16" t="s">
        <v>76</v>
      </c>
      <c r="AF13" s="16" t="s">
        <v>76</v>
      </c>
      <c r="AG13" s="14" t="s">
        <v>76</v>
      </c>
      <c r="AH13" s="16" t="s">
        <v>76</v>
      </c>
      <c r="AI13" s="16" t="s">
        <v>76</v>
      </c>
      <c r="AJ13" s="16" t="s">
        <v>76</v>
      </c>
      <c r="AK13" s="14" t="s">
        <v>76</v>
      </c>
      <c r="AL13" s="16" t="s">
        <v>76</v>
      </c>
      <c r="AM13" s="16" t="s">
        <v>76</v>
      </c>
      <c r="AN13" s="14" t="s">
        <v>76</v>
      </c>
      <c r="AO13" s="14" t="s">
        <v>76</v>
      </c>
    </row>
    <row r="14" spans="1:41" ht="45" x14ac:dyDescent="0.25">
      <c r="A14" s="14" t="s">
        <v>143</v>
      </c>
      <c r="B14" s="14" t="s">
        <v>66</v>
      </c>
      <c r="C14" s="15">
        <v>45779.493750000001</v>
      </c>
      <c r="D14" s="14" t="s">
        <v>67</v>
      </c>
      <c r="E14" s="16" t="s">
        <v>68</v>
      </c>
      <c r="F14" s="14" t="s">
        <v>69</v>
      </c>
      <c r="G14" s="16" t="s">
        <v>68</v>
      </c>
      <c r="H14" s="14" t="s">
        <v>70</v>
      </c>
      <c r="I14" s="16" t="s">
        <v>68</v>
      </c>
      <c r="J14" s="16" t="s">
        <v>71</v>
      </c>
      <c r="K14" s="16" t="s">
        <v>72</v>
      </c>
      <c r="L14" s="14" t="s">
        <v>73</v>
      </c>
      <c r="M14" s="16" t="s">
        <v>74</v>
      </c>
      <c r="N14" s="14" t="s">
        <v>75</v>
      </c>
      <c r="O14" s="16" t="s">
        <v>76</v>
      </c>
      <c r="P14" s="16" t="s">
        <v>76</v>
      </c>
      <c r="Q14" s="16" t="s">
        <v>184</v>
      </c>
      <c r="R14" s="14" t="s">
        <v>185</v>
      </c>
      <c r="S14" s="14" t="s">
        <v>80</v>
      </c>
      <c r="T14" s="14" t="s">
        <v>81</v>
      </c>
      <c r="U14" s="15">
        <v>44935</v>
      </c>
      <c r="V14" s="15">
        <v>45709</v>
      </c>
      <c r="W14" s="16"/>
      <c r="X14" s="16" t="s">
        <v>76</v>
      </c>
      <c r="Y14" s="14" t="s">
        <v>76</v>
      </c>
      <c r="Z14" s="16" t="s">
        <v>76</v>
      </c>
      <c r="AA14" s="16" t="s">
        <v>76</v>
      </c>
      <c r="AB14" s="16" t="s">
        <v>76</v>
      </c>
      <c r="AC14" s="14" t="s">
        <v>76</v>
      </c>
      <c r="AD14" s="16" t="s">
        <v>76</v>
      </c>
      <c r="AE14" s="16" t="s">
        <v>76</v>
      </c>
      <c r="AF14" s="16" t="s">
        <v>76</v>
      </c>
      <c r="AG14" s="14" t="s">
        <v>76</v>
      </c>
      <c r="AH14" s="16" t="s">
        <v>76</v>
      </c>
      <c r="AI14" s="16" t="s">
        <v>76</v>
      </c>
      <c r="AJ14" s="16" t="s">
        <v>76</v>
      </c>
      <c r="AK14" s="14" t="s">
        <v>76</v>
      </c>
      <c r="AL14" s="16" t="s">
        <v>76</v>
      </c>
      <c r="AM14" s="16" t="s">
        <v>76</v>
      </c>
      <c r="AN14" s="14" t="s">
        <v>76</v>
      </c>
      <c r="AO14" s="14" t="s">
        <v>76</v>
      </c>
    </row>
    <row r="15" spans="1:41" ht="45" x14ac:dyDescent="0.25">
      <c r="A15" s="14" t="s">
        <v>65</v>
      </c>
      <c r="B15" s="14" t="s">
        <v>66</v>
      </c>
      <c r="C15" s="15">
        <v>45915.459722222222</v>
      </c>
      <c r="D15" s="14" t="s">
        <v>67</v>
      </c>
      <c r="E15" s="16" t="s">
        <v>68</v>
      </c>
      <c r="F15" s="14" t="s">
        <v>69</v>
      </c>
      <c r="G15" s="16" t="s">
        <v>68</v>
      </c>
      <c r="H15" s="14" t="s">
        <v>70</v>
      </c>
      <c r="I15" s="16" t="s">
        <v>68</v>
      </c>
      <c r="J15" s="16" t="s">
        <v>71</v>
      </c>
      <c r="K15" s="16" t="s">
        <v>72</v>
      </c>
      <c r="L15" s="14" t="s">
        <v>73</v>
      </c>
      <c r="M15" s="16" t="s">
        <v>74</v>
      </c>
      <c r="N15" s="14" t="s">
        <v>75</v>
      </c>
      <c r="O15" s="16" t="s">
        <v>76</v>
      </c>
      <c r="P15" s="16" t="s">
        <v>76</v>
      </c>
      <c r="Q15" s="16" t="s">
        <v>184</v>
      </c>
      <c r="R15" s="14" t="s">
        <v>185</v>
      </c>
      <c r="S15" s="14" t="s">
        <v>80</v>
      </c>
      <c r="T15" s="14" t="s">
        <v>81</v>
      </c>
      <c r="U15" s="15" t="s">
        <v>242</v>
      </c>
      <c r="V15" s="15">
        <v>45900</v>
      </c>
      <c r="W15" s="16"/>
      <c r="X15" s="16" t="s">
        <v>76</v>
      </c>
      <c r="Y15" s="14" t="s">
        <v>76</v>
      </c>
      <c r="Z15" s="16" t="s">
        <v>76</v>
      </c>
      <c r="AA15" s="16" t="s">
        <v>76</v>
      </c>
      <c r="AB15" s="16" t="s">
        <v>76</v>
      </c>
      <c r="AC15" s="14" t="s">
        <v>76</v>
      </c>
      <c r="AD15" s="16" t="s">
        <v>76</v>
      </c>
      <c r="AE15" s="16" t="s">
        <v>76</v>
      </c>
      <c r="AF15" s="16" t="s">
        <v>76</v>
      </c>
      <c r="AG15" s="14" t="s">
        <v>76</v>
      </c>
      <c r="AH15" s="16" t="s">
        <v>76</v>
      </c>
      <c r="AI15" s="16" t="s">
        <v>76</v>
      </c>
      <c r="AJ15" s="16" t="s">
        <v>76</v>
      </c>
      <c r="AK15" s="14" t="s">
        <v>76</v>
      </c>
      <c r="AL15" s="16" t="s">
        <v>76</v>
      </c>
      <c r="AM15" s="16" t="s">
        <v>76</v>
      </c>
      <c r="AN15" s="14" t="s">
        <v>76</v>
      </c>
      <c r="AO15" s="14" t="s">
        <v>76</v>
      </c>
    </row>
    <row r="16" spans="1:41" ht="45" x14ac:dyDescent="0.25">
      <c r="A16" s="14" t="s">
        <v>65</v>
      </c>
      <c r="B16" s="14" t="s">
        <v>117</v>
      </c>
      <c r="C16" s="15">
        <v>45915.461111111108</v>
      </c>
      <c r="D16" s="14" t="s">
        <v>67</v>
      </c>
      <c r="E16" s="16" t="s">
        <v>68</v>
      </c>
      <c r="F16" s="14" t="s">
        <v>69</v>
      </c>
      <c r="G16" s="16" t="s">
        <v>68</v>
      </c>
      <c r="H16" s="14" t="s">
        <v>70</v>
      </c>
      <c r="I16" s="16" t="s">
        <v>68</v>
      </c>
      <c r="J16" s="16" t="s">
        <v>71</v>
      </c>
      <c r="K16" s="16" t="s">
        <v>72</v>
      </c>
      <c r="L16" s="14" t="s">
        <v>73</v>
      </c>
      <c r="M16" s="16" t="s">
        <v>74</v>
      </c>
      <c r="N16" s="14" t="s">
        <v>75</v>
      </c>
      <c r="O16" s="16" t="s">
        <v>76</v>
      </c>
      <c r="P16" s="16" t="s">
        <v>76</v>
      </c>
      <c r="Q16" s="16" t="s">
        <v>184</v>
      </c>
      <c r="R16" s="14" t="s">
        <v>185</v>
      </c>
      <c r="S16" s="14" t="s">
        <v>80</v>
      </c>
      <c r="T16" s="14" t="s">
        <v>81</v>
      </c>
      <c r="U16" s="15">
        <v>45666</v>
      </c>
      <c r="V16" s="15"/>
      <c r="W16" s="16"/>
      <c r="X16" s="16" t="s">
        <v>76</v>
      </c>
      <c r="Y16" s="14" t="s">
        <v>76</v>
      </c>
      <c r="Z16" s="16" t="s">
        <v>76</v>
      </c>
      <c r="AA16" s="16" t="s">
        <v>76</v>
      </c>
      <c r="AB16" s="16" t="s">
        <v>76</v>
      </c>
      <c r="AC16" s="14" t="s">
        <v>76</v>
      </c>
      <c r="AD16" s="16" t="s">
        <v>76</v>
      </c>
      <c r="AE16" s="16" t="s">
        <v>76</v>
      </c>
      <c r="AF16" s="16" t="s">
        <v>76</v>
      </c>
      <c r="AG16" s="14" t="s">
        <v>76</v>
      </c>
      <c r="AH16" s="16" t="s">
        <v>76</v>
      </c>
      <c r="AI16" s="16" t="s">
        <v>76</v>
      </c>
      <c r="AJ16" s="16" t="s">
        <v>76</v>
      </c>
      <c r="AK16" s="14" t="s">
        <v>76</v>
      </c>
      <c r="AL16" s="16" t="s">
        <v>76</v>
      </c>
      <c r="AM16" s="16" t="s">
        <v>76</v>
      </c>
      <c r="AN16" s="14" t="s">
        <v>76</v>
      </c>
      <c r="AO16" s="14" t="s">
        <v>76</v>
      </c>
    </row>
    <row r="17" spans="1:41" ht="45" x14ac:dyDescent="0.25">
      <c r="A17" s="14" t="s">
        <v>123</v>
      </c>
      <c r="B17" s="14" t="s">
        <v>117</v>
      </c>
      <c r="C17" s="15">
        <v>45623.563888888886</v>
      </c>
      <c r="D17" s="14" t="s">
        <v>67</v>
      </c>
      <c r="E17" s="16" t="s">
        <v>68</v>
      </c>
      <c r="F17" s="14" t="s">
        <v>69</v>
      </c>
      <c r="G17" s="16" t="s">
        <v>68</v>
      </c>
      <c r="H17" s="14" t="s">
        <v>70</v>
      </c>
      <c r="I17" s="16" t="s">
        <v>68</v>
      </c>
      <c r="J17" s="16" t="s">
        <v>71</v>
      </c>
      <c r="K17" s="16" t="s">
        <v>72</v>
      </c>
      <c r="L17" s="14" t="s">
        <v>124</v>
      </c>
      <c r="M17" s="16" t="s">
        <v>125</v>
      </c>
      <c r="N17" s="14" t="s">
        <v>126</v>
      </c>
      <c r="O17" s="16" t="s">
        <v>76</v>
      </c>
      <c r="P17" s="16" t="s">
        <v>76</v>
      </c>
      <c r="Q17" s="16" t="s">
        <v>184</v>
      </c>
      <c r="R17" s="14" t="s">
        <v>185</v>
      </c>
      <c r="S17" s="14" t="s">
        <v>80</v>
      </c>
      <c r="T17" s="14" t="s">
        <v>81</v>
      </c>
      <c r="U17" s="15">
        <v>44935</v>
      </c>
      <c r="V17" s="15"/>
      <c r="W17" s="16"/>
      <c r="X17" s="16" t="s">
        <v>76</v>
      </c>
      <c r="Y17" s="14" t="s">
        <v>76</v>
      </c>
      <c r="Z17" s="16" t="s">
        <v>76</v>
      </c>
      <c r="AA17" s="16" t="s">
        <v>76</v>
      </c>
      <c r="AB17" s="16" t="s">
        <v>76</v>
      </c>
      <c r="AC17" s="14" t="s">
        <v>76</v>
      </c>
      <c r="AD17" s="16" t="s">
        <v>76</v>
      </c>
      <c r="AE17" s="16" t="s">
        <v>76</v>
      </c>
      <c r="AF17" s="16" t="s">
        <v>76</v>
      </c>
      <c r="AG17" s="14" t="s">
        <v>76</v>
      </c>
      <c r="AH17" s="16" t="s">
        <v>76</v>
      </c>
      <c r="AI17" s="16" t="s">
        <v>76</v>
      </c>
      <c r="AJ17" s="16" t="s">
        <v>76</v>
      </c>
      <c r="AK17" s="14" t="s">
        <v>76</v>
      </c>
      <c r="AL17" s="16" t="s">
        <v>76</v>
      </c>
      <c r="AM17" s="16" t="s">
        <v>76</v>
      </c>
      <c r="AN17" s="14" t="s">
        <v>76</v>
      </c>
      <c r="AO17" s="14" t="s">
        <v>76</v>
      </c>
    </row>
  </sheetData>
  <autoFilter ref="A1:AS1" xr:uid="{7571064E-C149-4826-A033-140BA5ED5929}"/>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CF5A6-D04D-43CD-896E-64C08620E47A}">
  <dimension ref="A1:V66"/>
  <sheetViews>
    <sheetView workbookViewId="0">
      <pane ySplit="1" topLeftCell="A2" activePane="bottomLeft" state="frozenSplit"/>
      <selection pane="bottomLeft"/>
    </sheetView>
  </sheetViews>
  <sheetFormatPr baseColWidth="10" defaultRowHeight="15" x14ac:dyDescent="0.25"/>
  <cols>
    <col min="1" max="1" width="8.7109375" style="13" customWidth="1"/>
    <col min="2" max="2" width="7.7109375" style="13" customWidth="1"/>
    <col min="3" max="4" width="12.7109375" style="13" customWidth="1"/>
    <col min="5" max="5" width="14.7109375" style="13" customWidth="1"/>
    <col min="6" max="6" width="40.7109375" style="24" customWidth="1"/>
    <col min="7" max="7" width="25.7109375" style="13" customWidth="1"/>
    <col min="8" max="9" width="12.7109375" style="13" customWidth="1"/>
    <col min="10" max="11" width="40.7109375" style="24" customWidth="1"/>
    <col min="12" max="12" width="14.7109375" style="13" customWidth="1"/>
    <col min="13" max="13" width="25.7109375" style="24" customWidth="1"/>
    <col min="14" max="18" width="25.7109375" style="13" customWidth="1"/>
    <col min="19" max="19" width="9.7109375" style="13" customWidth="1"/>
    <col min="20" max="21" width="15.7109375" style="13" customWidth="1"/>
    <col min="22" max="22" width="40.7109375" style="24" customWidth="1"/>
    <col min="23" max="16384" width="11.42578125" style="13"/>
  </cols>
  <sheetData>
    <row r="1" spans="1:22" ht="60" x14ac:dyDescent="0.25">
      <c r="A1" s="10" t="s">
        <v>2</v>
      </c>
      <c r="B1" s="10" t="s">
        <v>3</v>
      </c>
      <c r="C1" s="11" t="s">
        <v>4</v>
      </c>
      <c r="D1" s="10" t="s">
        <v>243</v>
      </c>
      <c r="E1" s="10" t="s">
        <v>244</v>
      </c>
      <c r="F1" s="10" t="s">
        <v>245</v>
      </c>
      <c r="G1" s="10" t="s">
        <v>246</v>
      </c>
      <c r="H1" s="11" t="s">
        <v>22</v>
      </c>
      <c r="I1" s="11" t="s">
        <v>23</v>
      </c>
      <c r="J1" s="10" t="s">
        <v>247</v>
      </c>
      <c r="K1" s="10" t="s">
        <v>248</v>
      </c>
      <c r="L1" s="10" t="s">
        <v>249</v>
      </c>
      <c r="M1" s="10" t="s">
        <v>241</v>
      </c>
      <c r="N1" s="10" t="s">
        <v>250</v>
      </c>
      <c r="O1" s="12" t="s">
        <v>251</v>
      </c>
      <c r="P1" s="12" t="s">
        <v>252</v>
      </c>
      <c r="Q1" s="12" t="s">
        <v>253</v>
      </c>
      <c r="R1" s="12" t="s">
        <v>254</v>
      </c>
      <c r="S1" s="10" t="s">
        <v>63</v>
      </c>
      <c r="T1" s="10" t="s">
        <v>64</v>
      </c>
      <c r="U1" s="10" t="s">
        <v>255</v>
      </c>
      <c r="V1" s="10" t="s">
        <v>256</v>
      </c>
    </row>
    <row r="2" spans="1:22" ht="90" x14ac:dyDescent="0.25">
      <c r="A2" s="14" t="s">
        <v>123</v>
      </c>
      <c r="B2" s="14" t="s">
        <v>117</v>
      </c>
      <c r="C2" s="15">
        <v>45622.482638888891</v>
      </c>
      <c r="D2" s="14" t="s">
        <v>107</v>
      </c>
      <c r="E2" s="14" t="s">
        <v>247</v>
      </c>
      <c r="F2" s="16" t="s">
        <v>108</v>
      </c>
      <c r="G2" s="14" t="s">
        <v>257</v>
      </c>
      <c r="H2" s="15">
        <v>45170</v>
      </c>
      <c r="I2" s="15"/>
      <c r="J2" s="16" t="s">
        <v>76</v>
      </c>
      <c r="K2" s="16" t="s">
        <v>258</v>
      </c>
      <c r="L2" s="14" t="s">
        <v>259</v>
      </c>
      <c r="M2" s="16" t="s">
        <v>76</v>
      </c>
      <c r="N2" s="14" t="s">
        <v>76</v>
      </c>
      <c r="O2" s="17" t="s">
        <v>260</v>
      </c>
      <c r="P2" s="17"/>
      <c r="Q2" s="17"/>
      <c r="R2" s="17"/>
      <c r="S2" s="14" t="s">
        <v>76</v>
      </c>
      <c r="T2" s="14" t="s">
        <v>76</v>
      </c>
      <c r="U2" s="14" t="s">
        <v>76</v>
      </c>
      <c r="V2" s="16" t="s">
        <v>76</v>
      </c>
    </row>
    <row r="3" spans="1:22" ht="75" x14ac:dyDescent="0.25">
      <c r="A3" s="14" t="s">
        <v>65</v>
      </c>
      <c r="B3" s="14" t="s">
        <v>66</v>
      </c>
      <c r="C3" s="15">
        <v>45915.461805555555</v>
      </c>
      <c r="D3" s="14" t="s">
        <v>109</v>
      </c>
      <c r="E3" s="14" t="s">
        <v>247</v>
      </c>
      <c r="F3" s="16" t="s">
        <v>110</v>
      </c>
      <c r="G3" s="14" t="s">
        <v>261</v>
      </c>
      <c r="H3" s="15">
        <v>45170</v>
      </c>
      <c r="I3" s="15">
        <v>45900</v>
      </c>
      <c r="J3" s="16" t="s">
        <v>262</v>
      </c>
      <c r="K3" s="16" t="s">
        <v>263</v>
      </c>
      <c r="L3" s="14" t="s">
        <v>259</v>
      </c>
      <c r="M3" s="16" t="s">
        <v>76</v>
      </c>
      <c r="N3" s="14" t="s">
        <v>76</v>
      </c>
      <c r="O3" s="17" t="s">
        <v>264</v>
      </c>
      <c r="P3" s="17"/>
      <c r="Q3" s="17"/>
      <c r="R3" s="17"/>
      <c r="S3" s="14" t="s">
        <v>76</v>
      </c>
      <c r="T3" s="14" t="s">
        <v>76</v>
      </c>
      <c r="U3" s="14" t="s">
        <v>76</v>
      </c>
      <c r="V3" s="16" t="s">
        <v>76</v>
      </c>
    </row>
    <row r="4" spans="1:22" ht="90" x14ac:dyDescent="0.25">
      <c r="A4" s="14" t="s">
        <v>123</v>
      </c>
      <c r="B4" s="14" t="s">
        <v>117</v>
      </c>
      <c r="C4" s="15">
        <v>45622.484027777777</v>
      </c>
      <c r="D4" s="14" t="s">
        <v>198</v>
      </c>
      <c r="E4" s="14" t="s">
        <v>247</v>
      </c>
      <c r="F4" s="16" t="s">
        <v>108</v>
      </c>
      <c r="G4" s="14" t="s">
        <v>265</v>
      </c>
      <c r="H4" s="15">
        <v>45170</v>
      </c>
      <c r="I4" s="15"/>
      <c r="J4" s="16" t="s">
        <v>76</v>
      </c>
      <c r="K4" s="16" t="s">
        <v>258</v>
      </c>
      <c r="L4" s="14" t="s">
        <v>259</v>
      </c>
      <c r="M4" s="16" t="s">
        <v>76</v>
      </c>
      <c r="N4" s="14" t="s">
        <v>76</v>
      </c>
      <c r="O4" s="17" t="s">
        <v>266</v>
      </c>
      <c r="P4" s="17"/>
      <c r="Q4" s="17"/>
      <c r="R4" s="17"/>
      <c r="S4" s="14" t="s">
        <v>76</v>
      </c>
      <c r="T4" s="14" t="s">
        <v>76</v>
      </c>
      <c r="U4" s="14" t="s">
        <v>76</v>
      </c>
      <c r="V4" s="16" t="s">
        <v>76</v>
      </c>
    </row>
    <row r="5" spans="1:22" ht="45" x14ac:dyDescent="0.25">
      <c r="A5" s="14" t="s">
        <v>65</v>
      </c>
      <c r="B5" s="14" t="s">
        <v>66</v>
      </c>
      <c r="C5" s="15">
        <v>45915.461805555555</v>
      </c>
      <c r="D5" s="14" t="s">
        <v>199</v>
      </c>
      <c r="E5" s="14" t="s">
        <v>247</v>
      </c>
      <c r="F5" s="16" t="s">
        <v>110</v>
      </c>
      <c r="G5" s="14" t="s">
        <v>267</v>
      </c>
      <c r="H5" s="15">
        <v>45170</v>
      </c>
      <c r="I5" s="15">
        <v>45900</v>
      </c>
      <c r="J5" s="16" t="s">
        <v>262</v>
      </c>
      <c r="K5" s="16" t="s">
        <v>263</v>
      </c>
      <c r="L5" s="14" t="s">
        <v>259</v>
      </c>
      <c r="M5" s="16" t="s">
        <v>76</v>
      </c>
      <c r="N5" s="14" t="s">
        <v>76</v>
      </c>
      <c r="O5" s="17" t="s">
        <v>268</v>
      </c>
      <c r="P5" s="17"/>
      <c r="Q5" s="17"/>
      <c r="R5" s="17"/>
      <c r="S5" s="14" t="s">
        <v>76</v>
      </c>
      <c r="T5" s="14" t="s">
        <v>76</v>
      </c>
      <c r="U5" s="14" t="s">
        <v>76</v>
      </c>
      <c r="V5" s="16" t="s">
        <v>76</v>
      </c>
    </row>
    <row r="6" spans="1:22" ht="45" x14ac:dyDescent="0.25">
      <c r="A6" s="14" t="s">
        <v>65</v>
      </c>
      <c r="B6" s="14" t="s">
        <v>66</v>
      </c>
      <c r="C6" s="15">
        <v>45915.462500000001</v>
      </c>
      <c r="D6" s="14" t="s">
        <v>158</v>
      </c>
      <c r="E6" s="14" t="s">
        <v>247</v>
      </c>
      <c r="F6" s="16" t="s">
        <v>110</v>
      </c>
      <c r="G6" s="14" t="s">
        <v>269</v>
      </c>
      <c r="H6" s="15">
        <v>45170</v>
      </c>
      <c r="I6" s="15">
        <v>45900</v>
      </c>
      <c r="J6" s="16" t="s">
        <v>262</v>
      </c>
      <c r="K6" s="16" t="s">
        <v>263</v>
      </c>
      <c r="L6" s="14" t="s">
        <v>259</v>
      </c>
      <c r="M6" s="16" t="s">
        <v>76</v>
      </c>
      <c r="N6" s="14" t="s">
        <v>76</v>
      </c>
      <c r="O6" s="17" t="s">
        <v>270</v>
      </c>
      <c r="P6" s="17"/>
      <c r="Q6" s="17"/>
      <c r="R6" s="17"/>
      <c r="S6" s="14" t="s">
        <v>76</v>
      </c>
      <c r="T6" s="14" t="s">
        <v>76</v>
      </c>
      <c r="U6" s="14" t="s">
        <v>76</v>
      </c>
      <c r="V6" s="16" t="s">
        <v>76</v>
      </c>
    </row>
    <row r="7" spans="1:22" ht="30" x14ac:dyDescent="0.25">
      <c r="A7" s="14" t="s">
        <v>123</v>
      </c>
      <c r="B7" s="14" t="s">
        <v>117</v>
      </c>
      <c r="C7" s="15">
        <v>45622.484722222223</v>
      </c>
      <c r="D7" s="14" t="s">
        <v>156</v>
      </c>
      <c r="E7" s="14" t="s">
        <v>247</v>
      </c>
      <c r="F7" s="16" t="s">
        <v>157</v>
      </c>
      <c r="G7" s="14" t="s">
        <v>271</v>
      </c>
      <c r="H7" s="15">
        <v>45170</v>
      </c>
      <c r="I7" s="15"/>
      <c r="J7" s="16" t="s">
        <v>76</v>
      </c>
      <c r="K7" s="16" t="s">
        <v>272</v>
      </c>
      <c r="L7" s="14" t="s">
        <v>259</v>
      </c>
      <c r="M7" s="16" t="s">
        <v>76</v>
      </c>
      <c r="N7" s="14" t="s">
        <v>76</v>
      </c>
      <c r="O7" s="17" t="s">
        <v>273</v>
      </c>
      <c r="P7" s="17"/>
      <c r="Q7" s="17"/>
      <c r="R7" s="17"/>
      <c r="S7" s="14" t="s">
        <v>76</v>
      </c>
      <c r="T7" s="14" t="s">
        <v>76</v>
      </c>
      <c r="U7" s="14" t="s">
        <v>274</v>
      </c>
      <c r="V7" s="16" t="s">
        <v>157</v>
      </c>
    </row>
    <row r="8" spans="1:22" ht="75" x14ac:dyDescent="0.25">
      <c r="A8" s="14" t="s">
        <v>65</v>
      </c>
      <c r="B8" s="14" t="s">
        <v>117</v>
      </c>
      <c r="C8" s="15">
        <v>45980.581250000003</v>
      </c>
      <c r="D8" s="14" t="s">
        <v>121</v>
      </c>
      <c r="E8" s="14" t="s">
        <v>247</v>
      </c>
      <c r="F8" s="16" t="s">
        <v>122</v>
      </c>
      <c r="G8" s="14" t="s">
        <v>275</v>
      </c>
      <c r="H8" s="15">
        <v>45901</v>
      </c>
      <c r="I8" s="15"/>
      <c r="J8" s="16" t="s">
        <v>76</v>
      </c>
      <c r="K8" s="16" t="s">
        <v>276</v>
      </c>
      <c r="L8" s="14" t="s">
        <v>259</v>
      </c>
      <c r="M8" s="16" t="s">
        <v>76</v>
      </c>
      <c r="N8" s="14" t="s">
        <v>76</v>
      </c>
      <c r="O8" s="17" t="s">
        <v>264</v>
      </c>
      <c r="P8" s="17"/>
      <c r="Q8" s="17"/>
      <c r="R8" s="17"/>
      <c r="S8" s="14" t="s">
        <v>76</v>
      </c>
      <c r="T8" s="14" t="s">
        <v>76</v>
      </c>
      <c r="U8" s="14" t="s">
        <v>76</v>
      </c>
      <c r="V8" s="16" t="s">
        <v>76</v>
      </c>
    </row>
    <row r="9" spans="1:22" ht="60" x14ac:dyDescent="0.25">
      <c r="A9" s="14" t="s">
        <v>65</v>
      </c>
      <c r="B9" s="14" t="s">
        <v>117</v>
      </c>
      <c r="C9" s="15">
        <v>46003.57708333333</v>
      </c>
      <c r="D9" s="14" t="s">
        <v>170</v>
      </c>
      <c r="E9" s="14" t="s">
        <v>247</v>
      </c>
      <c r="F9" s="16" t="s">
        <v>122</v>
      </c>
      <c r="G9" s="14" t="s">
        <v>277</v>
      </c>
      <c r="H9" s="15">
        <v>45901</v>
      </c>
      <c r="I9" s="15"/>
      <c r="J9" s="16" t="s">
        <v>76</v>
      </c>
      <c r="K9" s="16" t="s">
        <v>276</v>
      </c>
      <c r="L9" s="14" t="s">
        <v>259</v>
      </c>
      <c r="M9" s="16" t="s">
        <v>76</v>
      </c>
      <c r="N9" s="14" t="s">
        <v>76</v>
      </c>
      <c r="O9" s="17" t="s">
        <v>270</v>
      </c>
      <c r="P9" s="17"/>
      <c r="Q9" s="17"/>
      <c r="R9" s="17"/>
      <c r="S9" s="14" t="s">
        <v>76</v>
      </c>
      <c r="T9" s="14" t="s">
        <v>76</v>
      </c>
      <c r="U9" s="14" t="s">
        <v>76</v>
      </c>
      <c r="V9" s="16" t="s">
        <v>76</v>
      </c>
    </row>
    <row r="10" spans="1:22" ht="90" x14ac:dyDescent="0.25">
      <c r="A10" s="14" t="s">
        <v>65</v>
      </c>
      <c r="B10" s="14" t="s">
        <v>117</v>
      </c>
      <c r="C10" s="15">
        <v>46003.573611111111</v>
      </c>
      <c r="D10" s="14" t="s">
        <v>205</v>
      </c>
      <c r="E10" s="14" t="s">
        <v>247</v>
      </c>
      <c r="F10" s="16" t="s">
        <v>122</v>
      </c>
      <c r="G10" s="14" t="s">
        <v>278</v>
      </c>
      <c r="H10" s="15">
        <v>45901</v>
      </c>
      <c r="I10" s="15"/>
      <c r="J10" s="16" t="s">
        <v>76</v>
      </c>
      <c r="K10" s="16" t="s">
        <v>276</v>
      </c>
      <c r="L10" s="14" t="s">
        <v>259</v>
      </c>
      <c r="M10" s="16" t="s">
        <v>76</v>
      </c>
      <c r="N10" s="14" t="s">
        <v>76</v>
      </c>
      <c r="O10" s="17" t="s">
        <v>268</v>
      </c>
      <c r="P10" s="17"/>
      <c r="Q10" s="17"/>
      <c r="R10" s="17"/>
      <c r="S10" s="14" t="s">
        <v>76</v>
      </c>
      <c r="T10" s="14" t="s">
        <v>76</v>
      </c>
      <c r="U10" s="14" t="s">
        <v>76</v>
      </c>
      <c r="V10" s="16" t="s">
        <v>76</v>
      </c>
    </row>
    <row r="11" spans="1:22" ht="60" x14ac:dyDescent="0.25">
      <c r="A11" s="14" t="s">
        <v>123</v>
      </c>
      <c r="B11" s="14" t="s">
        <v>117</v>
      </c>
      <c r="C11" s="15">
        <v>45621.554861111108</v>
      </c>
      <c r="D11" s="14" t="s">
        <v>111</v>
      </c>
      <c r="E11" s="14" t="s">
        <v>279</v>
      </c>
      <c r="F11" s="16" t="s">
        <v>112</v>
      </c>
      <c r="G11" s="14" t="s">
        <v>76</v>
      </c>
      <c r="H11" s="15">
        <v>45170</v>
      </c>
      <c r="I11" s="15"/>
      <c r="J11" s="16" t="s">
        <v>76</v>
      </c>
      <c r="K11" s="16" t="s">
        <v>280</v>
      </c>
      <c r="L11" s="14" t="s">
        <v>259</v>
      </c>
      <c r="M11" s="16" t="s">
        <v>76</v>
      </c>
      <c r="N11" s="14" t="s">
        <v>76</v>
      </c>
      <c r="O11" s="17"/>
      <c r="P11" s="17" t="s">
        <v>281</v>
      </c>
      <c r="Q11" s="17"/>
      <c r="R11" s="17"/>
      <c r="S11" s="14" t="s">
        <v>76</v>
      </c>
      <c r="T11" s="14" t="s">
        <v>76</v>
      </c>
      <c r="U11" s="14" t="s">
        <v>76</v>
      </c>
      <c r="V11" s="16" t="s">
        <v>76</v>
      </c>
    </row>
    <row r="12" spans="1:22" ht="45" x14ac:dyDescent="0.25">
      <c r="A12" s="14" t="s">
        <v>123</v>
      </c>
      <c r="B12" s="14" t="s">
        <v>117</v>
      </c>
      <c r="C12" s="15">
        <v>45621.555555555555</v>
      </c>
      <c r="D12" s="14" t="s">
        <v>113</v>
      </c>
      <c r="E12" s="14" t="s">
        <v>279</v>
      </c>
      <c r="F12" s="16" t="s">
        <v>114</v>
      </c>
      <c r="G12" s="14" t="s">
        <v>76</v>
      </c>
      <c r="H12" s="15">
        <v>45170</v>
      </c>
      <c r="I12" s="15"/>
      <c r="J12" s="16" t="s">
        <v>282</v>
      </c>
      <c r="K12" s="16" t="s">
        <v>283</v>
      </c>
      <c r="L12" s="14" t="s">
        <v>259</v>
      </c>
      <c r="M12" s="16" t="s">
        <v>76</v>
      </c>
      <c r="N12" s="14" t="s">
        <v>76</v>
      </c>
      <c r="O12" s="17"/>
      <c r="P12" s="17" t="s">
        <v>284</v>
      </c>
      <c r="Q12" s="17"/>
      <c r="R12" s="17"/>
      <c r="S12" s="14" t="s">
        <v>76</v>
      </c>
      <c r="T12" s="14" t="s">
        <v>76</v>
      </c>
      <c r="U12" s="14" t="s">
        <v>76</v>
      </c>
      <c r="V12" s="16" t="s">
        <v>76</v>
      </c>
    </row>
    <row r="13" spans="1:22" ht="45" x14ac:dyDescent="0.25">
      <c r="A13" s="14" t="s">
        <v>123</v>
      </c>
      <c r="B13" s="14" t="s">
        <v>117</v>
      </c>
      <c r="C13" s="15">
        <v>45621.556944444441</v>
      </c>
      <c r="D13" s="14" t="s">
        <v>115</v>
      </c>
      <c r="E13" s="14" t="s">
        <v>279</v>
      </c>
      <c r="F13" s="16" t="s">
        <v>116</v>
      </c>
      <c r="G13" s="14" t="s">
        <v>76</v>
      </c>
      <c r="H13" s="15">
        <v>45170</v>
      </c>
      <c r="I13" s="15"/>
      <c r="J13" s="16" t="s">
        <v>282</v>
      </c>
      <c r="K13" s="16" t="s">
        <v>285</v>
      </c>
      <c r="L13" s="14" t="s">
        <v>286</v>
      </c>
      <c r="M13" s="16" t="s">
        <v>287</v>
      </c>
      <c r="N13" s="14" t="s">
        <v>76</v>
      </c>
      <c r="O13" s="17"/>
      <c r="P13" s="17" t="s">
        <v>284</v>
      </c>
      <c r="Q13" s="17"/>
      <c r="R13" s="17"/>
      <c r="S13" s="14" t="s">
        <v>76</v>
      </c>
      <c r="T13" s="14" t="s">
        <v>76</v>
      </c>
      <c r="U13" s="14" t="s">
        <v>76</v>
      </c>
      <c r="V13" s="16" t="s">
        <v>76</v>
      </c>
    </row>
    <row r="14" spans="1:22" ht="45" x14ac:dyDescent="0.25">
      <c r="A14" s="14" t="s">
        <v>123</v>
      </c>
      <c r="B14" s="14" t="s">
        <v>117</v>
      </c>
      <c r="C14" s="15">
        <v>45621.5625</v>
      </c>
      <c r="D14" s="14" t="s">
        <v>159</v>
      </c>
      <c r="E14" s="14" t="s">
        <v>279</v>
      </c>
      <c r="F14" s="16" t="s">
        <v>160</v>
      </c>
      <c r="G14" s="14" t="s">
        <v>76</v>
      </c>
      <c r="H14" s="15">
        <v>45170</v>
      </c>
      <c r="I14" s="15"/>
      <c r="J14" s="16" t="s">
        <v>76</v>
      </c>
      <c r="K14" s="16" t="s">
        <v>288</v>
      </c>
      <c r="L14" s="14" t="s">
        <v>259</v>
      </c>
      <c r="M14" s="16" t="s">
        <v>76</v>
      </c>
      <c r="N14" s="14" t="s">
        <v>76</v>
      </c>
      <c r="O14" s="17"/>
      <c r="P14" s="17" t="s">
        <v>289</v>
      </c>
      <c r="Q14" s="17"/>
      <c r="R14" s="17"/>
      <c r="S14" s="14" t="s">
        <v>76</v>
      </c>
      <c r="T14" s="14" t="s">
        <v>76</v>
      </c>
      <c r="U14" s="14" t="s">
        <v>76</v>
      </c>
      <c r="V14" s="16" t="s">
        <v>76</v>
      </c>
    </row>
    <row r="15" spans="1:22" ht="45" x14ac:dyDescent="0.25">
      <c r="A15" s="14" t="s">
        <v>123</v>
      </c>
      <c r="B15" s="14" t="s">
        <v>117</v>
      </c>
      <c r="C15" s="15">
        <v>45621.563888888886</v>
      </c>
      <c r="D15" s="14" t="s">
        <v>161</v>
      </c>
      <c r="E15" s="14" t="s">
        <v>279</v>
      </c>
      <c r="F15" s="16" t="s">
        <v>162</v>
      </c>
      <c r="G15" s="14" t="s">
        <v>76</v>
      </c>
      <c r="H15" s="15">
        <v>45170</v>
      </c>
      <c r="I15" s="15"/>
      <c r="J15" s="16" t="s">
        <v>290</v>
      </c>
      <c r="K15" s="16" t="s">
        <v>291</v>
      </c>
      <c r="L15" s="14" t="s">
        <v>259</v>
      </c>
      <c r="M15" s="16" t="s">
        <v>76</v>
      </c>
      <c r="N15" s="14" t="s">
        <v>76</v>
      </c>
      <c r="O15" s="17"/>
      <c r="P15" s="17" t="s">
        <v>292</v>
      </c>
      <c r="Q15" s="17"/>
      <c r="R15" s="17"/>
      <c r="S15" s="14" t="s">
        <v>76</v>
      </c>
      <c r="T15" s="14" t="s">
        <v>76</v>
      </c>
      <c r="U15" s="14" t="s">
        <v>76</v>
      </c>
      <c r="V15" s="16" t="s">
        <v>76</v>
      </c>
    </row>
    <row r="16" spans="1:22" ht="45" x14ac:dyDescent="0.25">
      <c r="A16" s="14" t="s">
        <v>123</v>
      </c>
      <c r="B16" s="14" t="s">
        <v>117</v>
      </c>
      <c r="C16" s="15">
        <v>45622.486111111109</v>
      </c>
      <c r="D16" s="14" t="s">
        <v>95</v>
      </c>
      <c r="E16" s="14" t="s">
        <v>293</v>
      </c>
      <c r="F16" s="16" t="s">
        <v>96</v>
      </c>
      <c r="G16" s="14" t="s">
        <v>294</v>
      </c>
      <c r="H16" s="15">
        <v>45170</v>
      </c>
      <c r="I16" s="15"/>
      <c r="J16" s="16" t="s">
        <v>76</v>
      </c>
      <c r="K16" s="16" t="s">
        <v>76</v>
      </c>
      <c r="L16" s="14" t="s">
        <v>286</v>
      </c>
      <c r="M16" s="16" t="s">
        <v>76</v>
      </c>
      <c r="N16" s="14" t="s">
        <v>76</v>
      </c>
      <c r="O16" s="17"/>
      <c r="P16" s="17"/>
      <c r="Q16" s="17" t="s">
        <v>264</v>
      </c>
      <c r="R16" s="17"/>
      <c r="S16" s="14" t="s">
        <v>76</v>
      </c>
      <c r="T16" s="14" t="s">
        <v>76</v>
      </c>
      <c r="U16" s="14" t="s">
        <v>274</v>
      </c>
      <c r="V16" s="16" t="s">
        <v>96</v>
      </c>
    </row>
    <row r="17" spans="1:22" ht="60" x14ac:dyDescent="0.25">
      <c r="A17" s="14" t="s">
        <v>123</v>
      </c>
      <c r="B17" s="14" t="s">
        <v>117</v>
      </c>
      <c r="C17" s="15">
        <v>45622.486111111109</v>
      </c>
      <c r="D17" s="14" t="s">
        <v>91</v>
      </c>
      <c r="E17" s="14" t="s">
        <v>293</v>
      </c>
      <c r="F17" s="16" t="s">
        <v>92</v>
      </c>
      <c r="G17" s="14" t="s">
        <v>257</v>
      </c>
      <c r="H17" s="15">
        <v>45170</v>
      </c>
      <c r="I17" s="15"/>
      <c r="J17" s="16" t="s">
        <v>76</v>
      </c>
      <c r="K17" s="16" t="s">
        <v>76</v>
      </c>
      <c r="L17" s="14" t="s">
        <v>286</v>
      </c>
      <c r="M17" s="16" t="s">
        <v>76</v>
      </c>
      <c r="N17" s="14" t="s">
        <v>76</v>
      </c>
      <c r="O17" s="17"/>
      <c r="P17" s="17"/>
      <c r="Q17" s="17" t="s">
        <v>264</v>
      </c>
      <c r="R17" s="17"/>
      <c r="S17" s="14" t="s">
        <v>76</v>
      </c>
      <c r="T17" s="14" t="s">
        <v>76</v>
      </c>
      <c r="U17" s="14" t="s">
        <v>274</v>
      </c>
      <c r="V17" s="16" t="s">
        <v>92</v>
      </c>
    </row>
    <row r="18" spans="1:22" ht="90" x14ac:dyDescent="0.25">
      <c r="A18" s="14" t="s">
        <v>123</v>
      </c>
      <c r="B18" s="14" t="s">
        <v>117</v>
      </c>
      <c r="C18" s="15">
        <v>45622.488888888889</v>
      </c>
      <c r="D18" s="14" t="s">
        <v>93</v>
      </c>
      <c r="E18" s="14" t="s">
        <v>293</v>
      </c>
      <c r="F18" s="16" t="s">
        <v>94</v>
      </c>
      <c r="G18" s="14" t="s">
        <v>295</v>
      </c>
      <c r="H18" s="15">
        <v>45170</v>
      </c>
      <c r="I18" s="15"/>
      <c r="J18" s="16" t="s">
        <v>76</v>
      </c>
      <c r="K18" s="16" t="s">
        <v>76</v>
      </c>
      <c r="L18" s="14" t="s">
        <v>286</v>
      </c>
      <c r="M18" s="16" t="s">
        <v>76</v>
      </c>
      <c r="N18" s="14" t="s">
        <v>76</v>
      </c>
      <c r="O18" s="17"/>
      <c r="P18" s="17"/>
      <c r="Q18" s="17" t="s">
        <v>264</v>
      </c>
      <c r="R18" s="17"/>
      <c r="S18" s="14" t="s">
        <v>76</v>
      </c>
      <c r="T18" s="14" t="s">
        <v>76</v>
      </c>
      <c r="U18" s="14" t="s">
        <v>274</v>
      </c>
      <c r="V18" s="16" t="s">
        <v>94</v>
      </c>
    </row>
    <row r="19" spans="1:22" ht="75" x14ac:dyDescent="0.25">
      <c r="A19" s="14" t="s">
        <v>65</v>
      </c>
      <c r="B19" s="14" t="s">
        <v>66</v>
      </c>
      <c r="C19" s="15">
        <v>45915.462500000001</v>
      </c>
      <c r="D19" s="14" t="s">
        <v>83</v>
      </c>
      <c r="E19" s="14" t="s">
        <v>293</v>
      </c>
      <c r="F19" s="16" t="s">
        <v>84</v>
      </c>
      <c r="G19" s="14" t="s">
        <v>296</v>
      </c>
      <c r="H19" s="15">
        <v>45170</v>
      </c>
      <c r="I19" s="15">
        <v>45900</v>
      </c>
      <c r="J19" s="16" t="s">
        <v>76</v>
      </c>
      <c r="K19" s="16" t="s">
        <v>76</v>
      </c>
      <c r="L19" s="14" t="s">
        <v>286</v>
      </c>
      <c r="M19" s="16" t="s">
        <v>76</v>
      </c>
      <c r="N19" s="14" t="s">
        <v>76</v>
      </c>
      <c r="O19" s="17"/>
      <c r="P19" s="17"/>
      <c r="Q19" s="17" t="s">
        <v>264</v>
      </c>
      <c r="R19" s="17"/>
      <c r="S19" s="14" t="s">
        <v>76</v>
      </c>
      <c r="T19" s="14" t="s">
        <v>76</v>
      </c>
      <c r="U19" s="14" t="s">
        <v>274</v>
      </c>
      <c r="V19" s="16" t="s">
        <v>84</v>
      </c>
    </row>
    <row r="20" spans="1:22" ht="75" x14ac:dyDescent="0.25">
      <c r="A20" s="14" t="s">
        <v>123</v>
      </c>
      <c r="B20" s="14" t="s">
        <v>117</v>
      </c>
      <c r="C20" s="15">
        <v>45623.558333333334</v>
      </c>
      <c r="D20" s="14" t="s">
        <v>87</v>
      </c>
      <c r="E20" s="14" t="s">
        <v>293</v>
      </c>
      <c r="F20" s="16" t="s">
        <v>88</v>
      </c>
      <c r="G20" s="14" t="s">
        <v>297</v>
      </c>
      <c r="H20" s="15">
        <v>45170</v>
      </c>
      <c r="I20" s="15"/>
      <c r="J20" s="16" t="s">
        <v>76</v>
      </c>
      <c r="K20" s="16" t="s">
        <v>76</v>
      </c>
      <c r="L20" s="14" t="s">
        <v>286</v>
      </c>
      <c r="M20" s="16" t="s">
        <v>76</v>
      </c>
      <c r="N20" s="14" t="s">
        <v>76</v>
      </c>
      <c r="O20" s="17"/>
      <c r="P20" s="17"/>
      <c r="Q20" s="17" t="s">
        <v>264</v>
      </c>
      <c r="R20" s="17"/>
      <c r="S20" s="14" t="s">
        <v>76</v>
      </c>
      <c r="T20" s="14" t="s">
        <v>76</v>
      </c>
      <c r="U20" s="14" t="s">
        <v>274</v>
      </c>
      <c r="V20" s="16" t="s">
        <v>88</v>
      </c>
    </row>
    <row r="21" spans="1:22" ht="60" x14ac:dyDescent="0.25">
      <c r="A21" s="14" t="s">
        <v>123</v>
      </c>
      <c r="B21" s="14" t="s">
        <v>117</v>
      </c>
      <c r="C21" s="15">
        <v>45622.488888888889</v>
      </c>
      <c r="D21" s="14" t="s">
        <v>134</v>
      </c>
      <c r="E21" s="14" t="s">
        <v>293</v>
      </c>
      <c r="F21" s="16" t="s">
        <v>135</v>
      </c>
      <c r="G21" s="14" t="s">
        <v>298</v>
      </c>
      <c r="H21" s="15">
        <v>45170</v>
      </c>
      <c r="I21" s="15"/>
      <c r="J21" s="16" t="s">
        <v>76</v>
      </c>
      <c r="K21" s="16" t="s">
        <v>76</v>
      </c>
      <c r="L21" s="14" t="s">
        <v>286</v>
      </c>
      <c r="M21" s="16" t="s">
        <v>76</v>
      </c>
      <c r="N21" s="14" t="s">
        <v>76</v>
      </c>
      <c r="O21" s="17"/>
      <c r="P21" s="17"/>
      <c r="Q21" s="17" t="s">
        <v>299</v>
      </c>
      <c r="R21" s="17"/>
      <c r="S21" s="14" t="s">
        <v>76</v>
      </c>
      <c r="T21" s="14" t="s">
        <v>76</v>
      </c>
      <c r="U21" s="14" t="s">
        <v>274</v>
      </c>
      <c r="V21" s="16" t="s">
        <v>135</v>
      </c>
    </row>
    <row r="22" spans="1:22" ht="60" x14ac:dyDescent="0.25">
      <c r="A22" s="14" t="s">
        <v>123</v>
      </c>
      <c r="B22" s="14" t="s">
        <v>117</v>
      </c>
      <c r="C22" s="15">
        <v>45622.573611111111</v>
      </c>
      <c r="D22" s="14" t="s">
        <v>130</v>
      </c>
      <c r="E22" s="14" t="s">
        <v>293</v>
      </c>
      <c r="F22" s="16" t="s">
        <v>131</v>
      </c>
      <c r="G22" s="14" t="s">
        <v>300</v>
      </c>
      <c r="H22" s="15">
        <v>45170</v>
      </c>
      <c r="I22" s="15"/>
      <c r="J22" s="16" t="s">
        <v>76</v>
      </c>
      <c r="K22" s="16" t="s">
        <v>76</v>
      </c>
      <c r="L22" s="14" t="s">
        <v>286</v>
      </c>
      <c r="M22" s="16" t="s">
        <v>76</v>
      </c>
      <c r="N22" s="14" t="s">
        <v>76</v>
      </c>
      <c r="O22" s="17"/>
      <c r="P22" s="17"/>
      <c r="Q22" s="17" t="s">
        <v>299</v>
      </c>
      <c r="R22" s="17"/>
      <c r="S22" s="14" t="s">
        <v>76</v>
      </c>
      <c r="T22" s="14" t="s">
        <v>76</v>
      </c>
      <c r="U22" s="14" t="s">
        <v>274</v>
      </c>
      <c r="V22" s="16" t="s">
        <v>131</v>
      </c>
    </row>
    <row r="23" spans="1:22" ht="60" x14ac:dyDescent="0.25">
      <c r="A23" s="14" t="s">
        <v>123</v>
      </c>
      <c r="B23" s="14" t="s">
        <v>117</v>
      </c>
      <c r="C23" s="15">
        <v>45622.488888888889</v>
      </c>
      <c r="D23" s="14" t="s">
        <v>97</v>
      </c>
      <c r="E23" s="14" t="s">
        <v>293</v>
      </c>
      <c r="F23" s="16" t="s">
        <v>98</v>
      </c>
      <c r="G23" s="14" t="s">
        <v>301</v>
      </c>
      <c r="H23" s="15">
        <v>45170</v>
      </c>
      <c r="I23" s="15"/>
      <c r="J23" s="16" t="s">
        <v>76</v>
      </c>
      <c r="K23" s="16" t="s">
        <v>76</v>
      </c>
      <c r="L23" s="14" t="s">
        <v>286</v>
      </c>
      <c r="M23" s="16" t="s">
        <v>76</v>
      </c>
      <c r="N23" s="14" t="s">
        <v>76</v>
      </c>
      <c r="O23" s="17"/>
      <c r="P23" s="17"/>
      <c r="Q23" s="17" t="s">
        <v>264</v>
      </c>
      <c r="R23" s="17"/>
      <c r="S23" s="14" t="s">
        <v>76</v>
      </c>
      <c r="T23" s="14" t="s">
        <v>76</v>
      </c>
      <c r="U23" s="14" t="s">
        <v>274</v>
      </c>
      <c r="V23" s="16" t="s">
        <v>98</v>
      </c>
    </row>
    <row r="24" spans="1:22" ht="30" x14ac:dyDescent="0.25">
      <c r="A24" s="14" t="s">
        <v>123</v>
      </c>
      <c r="B24" s="14" t="s">
        <v>117</v>
      </c>
      <c r="C24" s="15">
        <v>45622.506249999999</v>
      </c>
      <c r="D24" s="14" t="s">
        <v>89</v>
      </c>
      <c r="E24" s="14" t="s">
        <v>293</v>
      </c>
      <c r="F24" s="16" t="s">
        <v>90</v>
      </c>
      <c r="G24" s="14" t="s">
        <v>302</v>
      </c>
      <c r="H24" s="15">
        <v>45170</v>
      </c>
      <c r="I24" s="15"/>
      <c r="J24" s="16" t="s">
        <v>76</v>
      </c>
      <c r="K24" s="16" t="s">
        <v>76</v>
      </c>
      <c r="L24" s="14" t="s">
        <v>286</v>
      </c>
      <c r="M24" s="16" t="s">
        <v>76</v>
      </c>
      <c r="N24" s="14" t="s">
        <v>76</v>
      </c>
      <c r="O24" s="17"/>
      <c r="P24" s="17"/>
      <c r="Q24" s="17" t="s">
        <v>264</v>
      </c>
      <c r="R24" s="17"/>
      <c r="S24" s="14" t="s">
        <v>76</v>
      </c>
      <c r="T24" s="14" t="s">
        <v>76</v>
      </c>
      <c r="U24" s="14" t="s">
        <v>274</v>
      </c>
      <c r="V24" s="16" t="s">
        <v>90</v>
      </c>
    </row>
    <row r="25" spans="1:22" ht="75" x14ac:dyDescent="0.25">
      <c r="A25" s="14" t="s">
        <v>123</v>
      </c>
      <c r="B25" s="14" t="s">
        <v>117</v>
      </c>
      <c r="C25" s="15">
        <v>45622.573611111111</v>
      </c>
      <c r="D25" s="14" t="s">
        <v>128</v>
      </c>
      <c r="E25" s="14" t="s">
        <v>293</v>
      </c>
      <c r="F25" s="16" t="s">
        <v>129</v>
      </c>
      <c r="G25" s="14" t="s">
        <v>303</v>
      </c>
      <c r="H25" s="15">
        <v>45170</v>
      </c>
      <c r="I25" s="15"/>
      <c r="J25" s="16" t="s">
        <v>76</v>
      </c>
      <c r="K25" s="16" t="s">
        <v>76</v>
      </c>
      <c r="L25" s="14" t="s">
        <v>286</v>
      </c>
      <c r="M25" s="16" t="s">
        <v>76</v>
      </c>
      <c r="N25" s="14" t="s">
        <v>76</v>
      </c>
      <c r="O25" s="17"/>
      <c r="P25" s="17"/>
      <c r="Q25" s="17" t="s">
        <v>299</v>
      </c>
      <c r="R25" s="17"/>
      <c r="S25" s="14" t="s">
        <v>76</v>
      </c>
      <c r="T25" s="14" t="s">
        <v>76</v>
      </c>
      <c r="U25" s="14" t="s">
        <v>274</v>
      </c>
      <c r="V25" s="16" t="s">
        <v>129</v>
      </c>
    </row>
    <row r="26" spans="1:22" ht="45" x14ac:dyDescent="0.25">
      <c r="A26" s="14" t="s">
        <v>123</v>
      </c>
      <c r="B26" s="14" t="s">
        <v>117</v>
      </c>
      <c r="C26" s="15">
        <v>45622.573611111111</v>
      </c>
      <c r="D26" s="14" t="s">
        <v>85</v>
      </c>
      <c r="E26" s="14" t="s">
        <v>293</v>
      </c>
      <c r="F26" s="16" t="s">
        <v>86</v>
      </c>
      <c r="G26" s="14" t="s">
        <v>304</v>
      </c>
      <c r="H26" s="15">
        <v>45170</v>
      </c>
      <c r="I26" s="15"/>
      <c r="J26" s="16" t="s">
        <v>76</v>
      </c>
      <c r="K26" s="16" t="s">
        <v>76</v>
      </c>
      <c r="L26" s="14" t="s">
        <v>286</v>
      </c>
      <c r="M26" s="16" t="s">
        <v>76</v>
      </c>
      <c r="N26" s="14" t="s">
        <v>76</v>
      </c>
      <c r="O26" s="17"/>
      <c r="P26" s="17"/>
      <c r="Q26" s="17" t="s">
        <v>264</v>
      </c>
      <c r="R26" s="17"/>
      <c r="S26" s="14" t="s">
        <v>76</v>
      </c>
      <c r="T26" s="14" t="s">
        <v>76</v>
      </c>
      <c r="U26" s="14" t="s">
        <v>274</v>
      </c>
      <c r="V26" s="16" t="s">
        <v>86</v>
      </c>
    </row>
    <row r="27" spans="1:22" ht="60" x14ac:dyDescent="0.25">
      <c r="A27" s="14" t="s">
        <v>123</v>
      </c>
      <c r="B27" s="14" t="s">
        <v>117</v>
      </c>
      <c r="C27" s="15">
        <v>45622.573611111111</v>
      </c>
      <c r="D27" s="14" t="s">
        <v>99</v>
      </c>
      <c r="E27" s="14" t="s">
        <v>293</v>
      </c>
      <c r="F27" s="16" t="s">
        <v>100</v>
      </c>
      <c r="G27" s="14" t="s">
        <v>305</v>
      </c>
      <c r="H27" s="15">
        <v>45170</v>
      </c>
      <c r="I27" s="15"/>
      <c r="J27" s="16" t="s">
        <v>76</v>
      </c>
      <c r="K27" s="16" t="s">
        <v>76</v>
      </c>
      <c r="L27" s="14" t="s">
        <v>286</v>
      </c>
      <c r="M27" s="16" t="s">
        <v>76</v>
      </c>
      <c r="N27" s="14" t="s">
        <v>76</v>
      </c>
      <c r="O27" s="17"/>
      <c r="P27" s="17"/>
      <c r="Q27" s="17" t="s">
        <v>264</v>
      </c>
      <c r="R27" s="17"/>
      <c r="S27" s="14" t="s">
        <v>76</v>
      </c>
      <c r="T27" s="14" t="s">
        <v>76</v>
      </c>
      <c r="U27" s="14" t="s">
        <v>274</v>
      </c>
      <c r="V27" s="16" t="s">
        <v>100</v>
      </c>
    </row>
    <row r="28" spans="1:22" ht="60" x14ac:dyDescent="0.25">
      <c r="A28" s="14" t="s">
        <v>123</v>
      </c>
      <c r="B28" s="14" t="s">
        <v>117</v>
      </c>
      <c r="C28" s="15">
        <v>45622.573611111111</v>
      </c>
      <c r="D28" s="14" t="s">
        <v>101</v>
      </c>
      <c r="E28" s="14" t="s">
        <v>293</v>
      </c>
      <c r="F28" s="16" t="s">
        <v>102</v>
      </c>
      <c r="G28" s="14" t="s">
        <v>306</v>
      </c>
      <c r="H28" s="15">
        <v>45170</v>
      </c>
      <c r="I28" s="15"/>
      <c r="J28" s="16" t="s">
        <v>76</v>
      </c>
      <c r="K28" s="16" t="s">
        <v>76</v>
      </c>
      <c r="L28" s="14" t="s">
        <v>286</v>
      </c>
      <c r="M28" s="16" t="s">
        <v>76</v>
      </c>
      <c r="N28" s="14" t="s">
        <v>76</v>
      </c>
      <c r="O28" s="17"/>
      <c r="P28" s="17"/>
      <c r="Q28" s="17" t="s">
        <v>264</v>
      </c>
      <c r="R28" s="17"/>
      <c r="S28" s="14" t="s">
        <v>76</v>
      </c>
      <c r="T28" s="14" t="s">
        <v>76</v>
      </c>
      <c r="U28" s="14" t="s">
        <v>274</v>
      </c>
      <c r="V28" s="16" t="s">
        <v>102</v>
      </c>
    </row>
    <row r="29" spans="1:22" ht="60" x14ac:dyDescent="0.25">
      <c r="A29" s="14" t="s">
        <v>123</v>
      </c>
      <c r="B29" s="14" t="s">
        <v>117</v>
      </c>
      <c r="C29" s="15">
        <v>45623.559027777781</v>
      </c>
      <c r="D29" s="14" t="s">
        <v>103</v>
      </c>
      <c r="E29" s="14" t="s">
        <v>293</v>
      </c>
      <c r="F29" s="16" t="s">
        <v>104</v>
      </c>
      <c r="G29" s="14" t="s">
        <v>307</v>
      </c>
      <c r="H29" s="15">
        <v>45170</v>
      </c>
      <c r="I29" s="15"/>
      <c r="J29" s="16" t="s">
        <v>76</v>
      </c>
      <c r="K29" s="16" t="s">
        <v>76</v>
      </c>
      <c r="L29" s="14" t="s">
        <v>286</v>
      </c>
      <c r="M29" s="16" t="s">
        <v>76</v>
      </c>
      <c r="N29" s="14" t="s">
        <v>76</v>
      </c>
      <c r="O29" s="17"/>
      <c r="P29" s="17"/>
      <c r="Q29" s="17" t="s">
        <v>264</v>
      </c>
      <c r="R29" s="17"/>
      <c r="S29" s="14" t="s">
        <v>76</v>
      </c>
      <c r="T29" s="14" t="s">
        <v>76</v>
      </c>
      <c r="U29" s="14" t="s">
        <v>274</v>
      </c>
      <c r="V29" s="16" t="s">
        <v>104</v>
      </c>
    </row>
    <row r="30" spans="1:22" ht="45" x14ac:dyDescent="0.25">
      <c r="A30" s="14" t="s">
        <v>123</v>
      </c>
      <c r="B30" s="14" t="s">
        <v>117</v>
      </c>
      <c r="C30" s="15">
        <v>45622.490972222222</v>
      </c>
      <c r="D30" s="14" t="s">
        <v>136</v>
      </c>
      <c r="E30" s="14" t="s">
        <v>293</v>
      </c>
      <c r="F30" s="16" t="s">
        <v>137</v>
      </c>
      <c r="G30" s="14" t="s">
        <v>298</v>
      </c>
      <c r="H30" s="15">
        <v>45170</v>
      </c>
      <c r="I30" s="15"/>
      <c r="J30" s="16" t="s">
        <v>76</v>
      </c>
      <c r="K30" s="16" t="s">
        <v>76</v>
      </c>
      <c r="L30" s="14" t="s">
        <v>286</v>
      </c>
      <c r="M30" s="16" t="s">
        <v>76</v>
      </c>
      <c r="N30" s="14" t="s">
        <v>76</v>
      </c>
      <c r="O30" s="17"/>
      <c r="P30" s="17"/>
      <c r="Q30" s="17" t="s">
        <v>299</v>
      </c>
      <c r="R30" s="17"/>
      <c r="S30" s="14" t="s">
        <v>76</v>
      </c>
      <c r="T30" s="14" t="s">
        <v>76</v>
      </c>
      <c r="U30" s="14" t="s">
        <v>274</v>
      </c>
      <c r="V30" s="16" t="s">
        <v>137</v>
      </c>
    </row>
    <row r="31" spans="1:22" ht="30" x14ac:dyDescent="0.25">
      <c r="A31" s="14" t="s">
        <v>123</v>
      </c>
      <c r="B31" s="14" t="s">
        <v>117</v>
      </c>
      <c r="C31" s="15">
        <v>45622.573611111111</v>
      </c>
      <c r="D31" s="14" t="s">
        <v>105</v>
      </c>
      <c r="E31" s="14" t="s">
        <v>293</v>
      </c>
      <c r="F31" s="16" t="s">
        <v>106</v>
      </c>
      <c r="G31" s="14" t="s">
        <v>307</v>
      </c>
      <c r="H31" s="15">
        <v>45170</v>
      </c>
      <c r="I31" s="15"/>
      <c r="J31" s="16" t="s">
        <v>76</v>
      </c>
      <c r="K31" s="16" t="s">
        <v>76</v>
      </c>
      <c r="L31" s="14" t="s">
        <v>286</v>
      </c>
      <c r="M31" s="16" t="s">
        <v>76</v>
      </c>
      <c r="N31" s="14" t="s">
        <v>76</v>
      </c>
      <c r="O31" s="17"/>
      <c r="P31" s="17"/>
      <c r="Q31" s="17" t="s">
        <v>264</v>
      </c>
      <c r="R31" s="17"/>
      <c r="S31" s="14" t="s">
        <v>76</v>
      </c>
      <c r="T31" s="14" t="s">
        <v>76</v>
      </c>
      <c r="U31" s="14" t="s">
        <v>274</v>
      </c>
      <c r="V31" s="16" t="s">
        <v>106</v>
      </c>
    </row>
    <row r="32" spans="1:22" ht="75" x14ac:dyDescent="0.25">
      <c r="A32" s="14" t="s">
        <v>123</v>
      </c>
      <c r="B32" s="14" t="s">
        <v>117</v>
      </c>
      <c r="C32" s="15">
        <v>45622.573611111111</v>
      </c>
      <c r="D32" s="14" t="s">
        <v>132</v>
      </c>
      <c r="E32" s="14" t="s">
        <v>293</v>
      </c>
      <c r="F32" s="16" t="s">
        <v>133</v>
      </c>
      <c r="G32" s="14" t="s">
        <v>300</v>
      </c>
      <c r="H32" s="15">
        <v>45170</v>
      </c>
      <c r="I32" s="15"/>
      <c r="J32" s="16" t="s">
        <v>76</v>
      </c>
      <c r="K32" s="16" t="s">
        <v>76</v>
      </c>
      <c r="L32" s="14" t="s">
        <v>286</v>
      </c>
      <c r="M32" s="16" t="s">
        <v>76</v>
      </c>
      <c r="N32" s="14" t="s">
        <v>76</v>
      </c>
      <c r="O32" s="17"/>
      <c r="P32" s="17"/>
      <c r="Q32" s="17" t="s">
        <v>299</v>
      </c>
      <c r="R32" s="17"/>
      <c r="S32" s="14" t="s">
        <v>76</v>
      </c>
      <c r="T32" s="14" t="s">
        <v>76</v>
      </c>
      <c r="U32" s="14" t="s">
        <v>274</v>
      </c>
      <c r="V32" s="16" t="s">
        <v>133</v>
      </c>
    </row>
    <row r="33" spans="1:22" ht="30" x14ac:dyDescent="0.25">
      <c r="A33" s="14" t="s">
        <v>123</v>
      </c>
      <c r="B33" s="14" t="s">
        <v>117</v>
      </c>
      <c r="C33" s="15">
        <v>45622.491666666669</v>
      </c>
      <c r="D33" s="14" t="s">
        <v>194</v>
      </c>
      <c r="E33" s="14" t="s">
        <v>293</v>
      </c>
      <c r="F33" s="16" t="s">
        <v>195</v>
      </c>
      <c r="G33" s="14" t="s">
        <v>308</v>
      </c>
      <c r="H33" s="15">
        <v>45170</v>
      </c>
      <c r="I33" s="15"/>
      <c r="J33" s="16" t="s">
        <v>76</v>
      </c>
      <c r="K33" s="16" t="s">
        <v>76</v>
      </c>
      <c r="L33" s="14" t="s">
        <v>286</v>
      </c>
      <c r="M33" s="16" t="s">
        <v>76</v>
      </c>
      <c r="N33" s="14" t="s">
        <v>76</v>
      </c>
      <c r="O33" s="17"/>
      <c r="P33" s="17"/>
      <c r="Q33" s="17" t="s">
        <v>268</v>
      </c>
      <c r="R33" s="17"/>
      <c r="S33" s="14" t="s">
        <v>76</v>
      </c>
      <c r="T33" s="14" t="s">
        <v>76</v>
      </c>
      <c r="U33" s="14" t="s">
        <v>274</v>
      </c>
      <c r="V33" s="16" t="s">
        <v>195</v>
      </c>
    </row>
    <row r="34" spans="1:22" ht="60" x14ac:dyDescent="0.25">
      <c r="A34" s="14" t="s">
        <v>65</v>
      </c>
      <c r="B34" s="14" t="s">
        <v>66</v>
      </c>
      <c r="C34" s="15">
        <v>45915.463194444441</v>
      </c>
      <c r="D34" s="14" t="s">
        <v>188</v>
      </c>
      <c r="E34" s="14" t="s">
        <v>293</v>
      </c>
      <c r="F34" s="16" t="s">
        <v>84</v>
      </c>
      <c r="G34" s="14" t="s">
        <v>267</v>
      </c>
      <c r="H34" s="15">
        <v>45170</v>
      </c>
      <c r="I34" s="15">
        <v>45900</v>
      </c>
      <c r="J34" s="16" t="s">
        <v>76</v>
      </c>
      <c r="K34" s="16" t="s">
        <v>76</v>
      </c>
      <c r="L34" s="14" t="s">
        <v>286</v>
      </c>
      <c r="M34" s="16" t="s">
        <v>76</v>
      </c>
      <c r="N34" s="14" t="s">
        <v>76</v>
      </c>
      <c r="O34" s="17"/>
      <c r="P34" s="17"/>
      <c r="Q34" s="17" t="s">
        <v>268</v>
      </c>
      <c r="R34" s="17"/>
      <c r="S34" s="14" t="s">
        <v>76</v>
      </c>
      <c r="T34" s="14" t="s">
        <v>76</v>
      </c>
      <c r="U34" s="14" t="s">
        <v>274</v>
      </c>
      <c r="V34" s="16" t="s">
        <v>84</v>
      </c>
    </row>
    <row r="35" spans="1:22" ht="30" x14ac:dyDescent="0.25">
      <c r="A35" s="14" t="s">
        <v>123</v>
      </c>
      <c r="B35" s="14" t="s">
        <v>117</v>
      </c>
      <c r="C35" s="15">
        <v>45622.495833333334</v>
      </c>
      <c r="D35" s="14" t="s">
        <v>189</v>
      </c>
      <c r="E35" s="14" t="s">
        <v>293</v>
      </c>
      <c r="F35" s="16" t="s">
        <v>190</v>
      </c>
      <c r="G35" s="14" t="s">
        <v>308</v>
      </c>
      <c r="H35" s="15">
        <v>45170</v>
      </c>
      <c r="I35" s="15"/>
      <c r="J35" s="16" t="s">
        <v>76</v>
      </c>
      <c r="K35" s="16" t="s">
        <v>76</v>
      </c>
      <c r="L35" s="14" t="s">
        <v>286</v>
      </c>
      <c r="M35" s="16" t="s">
        <v>76</v>
      </c>
      <c r="N35" s="14" t="s">
        <v>76</v>
      </c>
      <c r="O35" s="17"/>
      <c r="P35" s="17"/>
      <c r="Q35" s="17" t="s">
        <v>268</v>
      </c>
      <c r="R35" s="17"/>
      <c r="S35" s="14" t="s">
        <v>76</v>
      </c>
      <c r="T35" s="14" t="s">
        <v>76</v>
      </c>
      <c r="U35" s="14" t="s">
        <v>274</v>
      </c>
      <c r="V35" s="16" t="s">
        <v>190</v>
      </c>
    </row>
    <row r="36" spans="1:22" ht="30" x14ac:dyDescent="0.25">
      <c r="A36" s="14" t="s">
        <v>123</v>
      </c>
      <c r="B36" s="14" t="s">
        <v>117</v>
      </c>
      <c r="C36" s="15">
        <v>45622.495833333334</v>
      </c>
      <c r="D36" s="14" t="s">
        <v>191</v>
      </c>
      <c r="E36" s="14" t="s">
        <v>293</v>
      </c>
      <c r="F36" s="16" t="s">
        <v>92</v>
      </c>
      <c r="G36" s="14" t="s">
        <v>265</v>
      </c>
      <c r="H36" s="15">
        <v>45170</v>
      </c>
      <c r="I36" s="15"/>
      <c r="J36" s="16" t="s">
        <v>76</v>
      </c>
      <c r="K36" s="16" t="s">
        <v>76</v>
      </c>
      <c r="L36" s="14" t="s">
        <v>286</v>
      </c>
      <c r="M36" s="16" t="s">
        <v>76</v>
      </c>
      <c r="N36" s="14" t="s">
        <v>76</v>
      </c>
      <c r="O36" s="17"/>
      <c r="P36" s="17"/>
      <c r="Q36" s="17" t="s">
        <v>268</v>
      </c>
      <c r="R36" s="17"/>
      <c r="S36" s="14" t="s">
        <v>76</v>
      </c>
      <c r="T36" s="14" t="s">
        <v>76</v>
      </c>
      <c r="U36" s="14" t="s">
        <v>274</v>
      </c>
      <c r="V36" s="16" t="s">
        <v>92</v>
      </c>
    </row>
    <row r="37" spans="1:22" ht="90" x14ac:dyDescent="0.25">
      <c r="A37" s="14" t="s">
        <v>123</v>
      </c>
      <c r="B37" s="14" t="s">
        <v>117</v>
      </c>
      <c r="C37" s="15">
        <v>45622.496527777781</v>
      </c>
      <c r="D37" s="14" t="s">
        <v>192</v>
      </c>
      <c r="E37" s="14" t="s">
        <v>293</v>
      </c>
      <c r="F37" s="16" t="s">
        <v>193</v>
      </c>
      <c r="G37" s="14" t="s">
        <v>265</v>
      </c>
      <c r="H37" s="15">
        <v>45170</v>
      </c>
      <c r="I37" s="15"/>
      <c r="J37" s="16" t="s">
        <v>76</v>
      </c>
      <c r="K37" s="16" t="s">
        <v>76</v>
      </c>
      <c r="L37" s="14" t="s">
        <v>286</v>
      </c>
      <c r="M37" s="16" t="s">
        <v>76</v>
      </c>
      <c r="N37" s="14" t="s">
        <v>76</v>
      </c>
      <c r="O37" s="17"/>
      <c r="P37" s="17"/>
      <c r="Q37" s="17" t="s">
        <v>268</v>
      </c>
      <c r="R37" s="17"/>
      <c r="S37" s="14" t="s">
        <v>76</v>
      </c>
      <c r="T37" s="14" t="s">
        <v>76</v>
      </c>
      <c r="U37" s="14" t="s">
        <v>274</v>
      </c>
      <c r="V37" s="16" t="s">
        <v>193</v>
      </c>
    </row>
    <row r="38" spans="1:22" ht="75" x14ac:dyDescent="0.25">
      <c r="A38" s="14" t="s">
        <v>143</v>
      </c>
      <c r="B38" s="14" t="s">
        <v>66</v>
      </c>
      <c r="C38" s="15">
        <v>45779.495833333334</v>
      </c>
      <c r="D38" s="14" t="s">
        <v>197</v>
      </c>
      <c r="E38" s="14" t="s">
        <v>293</v>
      </c>
      <c r="F38" s="16" t="s">
        <v>155</v>
      </c>
      <c r="G38" s="14" t="s">
        <v>309</v>
      </c>
      <c r="H38" s="15">
        <v>45170</v>
      </c>
      <c r="I38" s="15">
        <v>45709</v>
      </c>
      <c r="J38" s="16" t="s">
        <v>76</v>
      </c>
      <c r="K38" s="16" t="s">
        <v>76</v>
      </c>
      <c r="L38" s="14" t="s">
        <v>286</v>
      </c>
      <c r="M38" s="16" t="s">
        <v>76</v>
      </c>
      <c r="N38" s="14" t="s">
        <v>76</v>
      </c>
      <c r="O38" s="17"/>
      <c r="P38" s="17"/>
      <c r="Q38" s="17" t="s">
        <v>268</v>
      </c>
      <c r="R38" s="17"/>
      <c r="S38" s="14" t="s">
        <v>76</v>
      </c>
      <c r="T38" s="14" t="s">
        <v>76</v>
      </c>
      <c r="U38" s="14" t="s">
        <v>274</v>
      </c>
      <c r="V38" s="16" t="s">
        <v>155</v>
      </c>
    </row>
    <row r="39" spans="1:22" ht="60" x14ac:dyDescent="0.25">
      <c r="A39" s="14" t="s">
        <v>123</v>
      </c>
      <c r="B39" s="14" t="s">
        <v>117</v>
      </c>
      <c r="C39" s="15">
        <v>45622.501388888886</v>
      </c>
      <c r="D39" s="14" t="s">
        <v>209</v>
      </c>
      <c r="E39" s="14" t="s">
        <v>293</v>
      </c>
      <c r="F39" s="16" t="s">
        <v>135</v>
      </c>
      <c r="G39" s="14" t="s">
        <v>310</v>
      </c>
      <c r="H39" s="15">
        <v>45170</v>
      </c>
      <c r="I39" s="15"/>
      <c r="J39" s="16" t="s">
        <v>76</v>
      </c>
      <c r="K39" s="16" t="s">
        <v>76</v>
      </c>
      <c r="L39" s="14" t="s">
        <v>286</v>
      </c>
      <c r="M39" s="16" t="s">
        <v>76</v>
      </c>
      <c r="N39" s="14" t="s">
        <v>76</v>
      </c>
      <c r="O39" s="17"/>
      <c r="P39" s="17"/>
      <c r="Q39" s="17" t="s">
        <v>311</v>
      </c>
      <c r="R39" s="17"/>
      <c r="S39" s="14" t="s">
        <v>76</v>
      </c>
      <c r="T39" s="14" t="s">
        <v>76</v>
      </c>
      <c r="U39" s="14" t="s">
        <v>274</v>
      </c>
      <c r="V39" s="16" t="s">
        <v>135</v>
      </c>
    </row>
    <row r="40" spans="1:22" ht="45" x14ac:dyDescent="0.25">
      <c r="A40" s="14" t="s">
        <v>123</v>
      </c>
      <c r="B40" s="14" t="s">
        <v>117</v>
      </c>
      <c r="C40" s="15">
        <v>45622.501388888886</v>
      </c>
      <c r="D40" s="14" t="s">
        <v>210</v>
      </c>
      <c r="E40" s="14" t="s">
        <v>293</v>
      </c>
      <c r="F40" s="16" t="s">
        <v>137</v>
      </c>
      <c r="G40" s="14" t="s">
        <v>310</v>
      </c>
      <c r="H40" s="15">
        <v>45170</v>
      </c>
      <c r="I40" s="15"/>
      <c r="J40" s="16" t="s">
        <v>76</v>
      </c>
      <c r="K40" s="16" t="s">
        <v>76</v>
      </c>
      <c r="L40" s="14" t="s">
        <v>286</v>
      </c>
      <c r="M40" s="16" t="s">
        <v>76</v>
      </c>
      <c r="N40" s="14" t="s">
        <v>76</v>
      </c>
      <c r="O40" s="17"/>
      <c r="P40" s="17"/>
      <c r="Q40" s="17" t="s">
        <v>311</v>
      </c>
      <c r="R40" s="17"/>
      <c r="S40" s="14" t="s">
        <v>76</v>
      </c>
      <c r="T40" s="14" t="s">
        <v>76</v>
      </c>
      <c r="U40" s="14" t="s">
        <v>274</v>
      </c>
      <c r="V40" s="16" t="s">
        <v>137</v>
      </c>
    </row>
    <row r="41" spans="1:22" ht="60" x14ac:dyDescent="0.25">
      <c r="A41" s="14" t="s">
        <v>123</v>
      </c>
      <c r="B41" s="14" t="s">
        <v>117</v>
      </c>
      <c r="C41" s="15">
        <v>45622.501388888886</v>
      </c>
      <c r="D41" s="14" t="s">
        <v>211</v>
      </c>
      <c r="E41" s="14" t="s">
        <v>293</v>
      </c>
      <c r="F41" s="16" t="s">
        <v>212</v>
      </c>
      <c r="G41" s="14" t="s">
        <v>310</v>
      </c>
      <c r="H41" s="15">
        <v>45170</v>
      </c>
      <c r="I41" s="15"/>
      <c r="J41" s="16" t="s">
        <v>76</v>
      </c>
      <c r="K41" s="16" t="s">
        <v>76</v>
      </c>
      <c r="L41" s="14" t="s">
        <v>286</v>
      </c>
      <c r="M41" s="16" t="s">
        <v>76</v>
      </c>
      <c r="N41" s="14" t="s">
        <v>76</v>
      </c>
      <c r="O41" s="17"/>
      <c r="P41" s="17"/>
      <c r="Q41" s="17" t="s">
        <v>311</v>
      </c>
      <c r="R41" s="17"/>
      <c r="S41" s="14" t="s">
        <v>76</v>
      </c>
      <c r="T41" s="14" t="s">
        <v>76</v>
      </c>
      <c r="U41" s="14" t="s">
        <v>274</v>
      </c>
      <c r="V41" s="16" t="s">
        <v>212</v>
      </c>
    </row>
    <row r="42" spans="1:22" ht="30" x14ac:dyDescent="0.25">
      <c r="A42" s="14" t="s">
        <v>123</v>
      </c>
      <c r="B42" s="14" t="s">
        <v>117</v>
      </c>
      <c r="C42" s="15">
        <v>45622.501388888886</v>
      </c>
      <c r="D42" s="14" t="s">
        <v>207</v>
      </c>
      <c r="E42" s="14" t="s">
        <v>293</v>
      </c>
      <c r="F42" s="16" t="s">
        <v>175</v>
      </c>
      <c r="G42" s="14" t="s">
        <v>310</v>
      </c>
      <c r="H42" s="15">
        <v>45170</v>
      </c>
      <c r="I42" s="15"/>
      <c r="J42" s="16" t="s">
        <v>76</v>
      </c>
      <c r="K42" s="16" t="s">
        <v>76</v>
      </c>
      <c r="L42" s="14" t="s">
        <v>286</v>
      </c>
      <c r="M42" s="16" t="s">
        <v>76</v>
      </c>
      <c r="N42" s="14" t="s">
        <v>76</v>
      </c>
      <c r="O42" s="17"/>
      <c r="P42" s="17"/>
      <c r="Q42" s="17" t="s">
        <v>311</v>
      </c>
      <c r="R42" s="17"/>
      <c r="S42" s="14" t="s">
        <v>76</v>
      </c>
      <c r="T42" s="14" t="s">
        <v>76</v>
      </c>
      <c r="U42" s="14" t="s">
        <v>274</v>
      </c>
      <c r="V42" s="16" t="s">
        <v>175</v>
      </c>
    </row>
    <row r="43" spans="1:22" ht="75" x14ac:dyDescent="0.25">
      <c r="A43" s="14" t="s">
        <v>123</v>
      </c>
      <c r="B43" s="14" t="s">
        <v>117</v>
      </c>
      <c r="C43" s="15">
        <v>45622.501388888886</v>
      </c>
      <c r="D43" s="14" t="s">
        <v>208</v>
      </c>
      <c r="E43" s="14" t="s">
        <v>293</v>
      </c>
      <c r="F43" s="16" t="s">
        <v>133</v>
      </c>
      <c r="G43" s="14" t="s">
        <v>310</v>
      </c>
      <c r="H43" s="15">
        <v>45170</v>
      </c>
      <c r="I43" s="15"/>
      <c r="J43" s="16" t="s">
        <v>76</v>
      </c>
      <c r="K43" s="16" t="s">
        <v>76</v>
      </c>
      <c r="L43" s="14" t="s">
        <v>286</v>
      </c>
      <c r="M43" s="16" t="s">
        <v>76</v>
      </c>
      <c r="N43" s="14" t="s">
        <v>76</v>
      </c>
      <c r="O43" s="17"/>
      <c r="P43" s="17"/>
      <c r="Q43" s="17" t="s">
        <v>311</v>
      </c>
      <c r="R43" s="17"/>
      <c r="S43" s="14" t="s">
        <v>76</v>
      </c>
      <c r="T43" s="14" t="s">
        <v>76</v>
      </c>
      <c r="U43" s="14" t="s">
        <v>274</v>
      </c>
      <c r="V43" s="16" t="s">
        <v>133</v>
      </c>
    </row>
    <row r="44" spans="1:22" ht="60" x14ac:dyDescent="0.25">
      <c r="A44" s="14" t="s">
        <v>123</v>
      </c>
      <c r="B44" s="14" t="s">
        <v>117</v>
      </c>
      <c r="C44" s="15">
        <v>45622.501388888886</v>
      </c>
      <c r="D44" s="14" t="s">
        <v>196</v>
      </c>
      <c r="E44" s="14" t="s">
        <v>293</v>
      </c>
      <c r="F44" s="16" t="s">
        <v>98</v>
      </c>
      <c r="G44" s="14" t="s">
        <v>312</v>
      </c>
      <c r="H44" s="15">
        <v>45170</v>
      </c>
      <c r="I44" s="15"/>
      <c r="J44" s="16" t="s">
        <v>76</v>
      </c>
      <c r="K44" s="16" t="s">
        <v>76</v>
      </c>
      <c r="L44" s="14" t="s">
        <v>286</v>
      </c>
      <c r="M44" s="16" t="s">
        <v>76</v>
      </c>
      <c r="N44" s="14" t="s">
        <v>76</v>
      </c>
      <c r="O44" s="17"/>
      <c r="P44" s="17"/>
      <c r="Q44" s="17" t="s">
        <v>268</v>
      </c>
      <c r="R44" s="17"/>
      <c r="S44" s="14" t="s">
        <v>76</v>
      </c>
      <c r="T44" s="14" t="s">
        <v>76</v>
      </c>
      <c r="U44" s="14" t="s">
        <v>274</v>
      </c>
      <c r="V44" s="16" t="s">
        <v>98</v>
      </c>
    </row>
    <row r="45" spans="1:22" ht="75" x14ac:dyDescent="0.25">
      <c r="A45" s="14" t="s">
        <v>65</v>
      </c>
      <c r="B45" s="14" t="s">
        <v>66</v>
      </c>
      <c r="C45" s="15">
        <v>45980.586805555555</v>
      </c>
      <c r="D45" s="14" t="s">
        <v>148</v>
      </c>
      <c r="E45" s="14" t="s">
        <v>293</v>
      </c>
      <c r="F45" s="16" t="s">
        <v>84</v>
      </c>
      <c r="G45" s="14" t="s">
        <v>275</v>
      </c>
      <c r="H45" s="15">
        <v>45170</v>
      </c>
      <c r="I45" s="15">
        <v>45900</v>
      </c>
      <c r="J45" s="16" t="s">
        <v>76</v>
      </c>
      <c r="K45" s="16" t="s">
        <v>76</v>
      </c>
      <c r="L45" s="14" t="s">
        <v>286</v>
      </c>
      <c r="M45" s="16" t="s">
        <v>76</v>
      </c>
      <c r="N45" s="14" t="s">
        <v>76</v>
      </c>
      <c r="O45" s="17"/>
      <c r="P45" s="17"/>
      <c r="Q45" s="17" t="s">
        <v>270</v>
      </c>
      <c r="R45" s="17"/>
      <c r="S45" s="14" t="s">
        <v>76</v>
      </c>
      <c r="T45" s="14" t="s">
        <v>76</v>
      </c>
      <c r="U45" s="14" t="s">
        <v>274</v>
      </c>
      <c r="V45" s="16" t="s">
        <v>84</v>
      </c>
    </row>
    <row r="46" spans="1:22" ht="75" x14ac:dyDescent="0.25">
      <c r="A46" s="14" t="s">
        <v>123</v>
      </c>
      <c r="B46" s="14" t="s">
        <v>117</v>
      </c>
      <c r="C46" s="15">
        <v>45623.559027777781</v>
      </c>
      <c r="D46" s="14" t="s">
        <v>149</v>
      </c>
      <c r="E46" s="14" t="s">
        <v>293</v>
      </c>
      <c r="F46" s="16" t="s">
        <v>88</v>
      </c>
      <c r="G46" s="14" t="s">
        <v>313</v>
      </c>
      <c r="H46" s="15">
        <v>45170</v>
      </c>
      <c r="I46" s="15"/>
      <c r="J46" s="16" t="s">
        <v>76</v>
      </c>
      <c r="K46" s="16" t="s">
        <v>76</v>
      </c>
      <c r="L46" s="14" t="s">
        <v>286</v>
      </c>
      <c r="M46" s="16" t="s">
        <v>76</v>
      </c>
      <c r="N46" s="14" t="s">
        <v>76</v>
      </c>
      <c r="O46" s="17"/>
      <c r="P46" s="17"/>
      <c r="Q46" s="17" t="s">
        <v>270</v>
      </c>
      <c r="R46" s="17"/>
      <c r="S46" s="14" t="s">
        <v>76</v>
      </c>
      <c r="T46" s="14" t="s">
        <v>76</v>
      </c>
      <c r="U46" s="14" t="s">
        <v>274</v>
      </c>
      <c r="V46" s="16" t="s">
        <v>88</v>
      </c>
    </row>
    <row r="47" spans="1:22" ht="30" x14ac:dyDescent="0.25">
      <c r="A47" s="14" t="s">
        <v>123</v>
      </c>
      <c r="B47" s="14" t="s">
        <v>117</v>
      </c>
      <c r="C47" s="15">
        <v>45622.503472222219</v>
      </c>
      <c r="D47" s="14" t="s">
        <v>150</v>
      </c>
      <c r="E47" s="14" t="s">
        <v>293</v>
      </c>
      <c r="F47" s="16" t="s">
        <v>151</v>
      </c>
      <c r="G47" s="14" t="s">
        <v>314</v>
      </c>
      <c r="H47" s="15">
        <v>45170</v>
      </c>
      <c r="I47" s="15"/>
      <c r="J47" s="16" t="s">
        <v>76</v>
      </c>
      <c r="K47" s="16" t="s">
        <v>76</v>
      </c>
      <c r="L47" s="14" t="s">
        <v>286</v>
      </c>
      <c r="M47" s="16" t="s">
        <v>76</v>
      </c>
      <c r="N47" s="14" t="s">
        <v>76</v>
      </c>
      <c r="O47" s="17"/>
      <c r="P47" s="17"/>
      <c r="Q47" s="17" t="s">
        <v>270</v>
      </c>
      <c r="R47" s="17"/>
      <c r="S47" s="14" t="s">
        <v>76</v>
      </c>
      <c r="T47" s="14" t="s">
        <v>76</v>
      </c>
      <c r="U47" s="14" t="s">
        <v>274</v>
      </c>
      <c r="V47" s="16" t="s">
        <v>151</v>
      </c>
    </row>
    <row r="48" spans="1:22" ht="75" x14ac:dyDescent="0.25">
      <c r="A48" s="14" t="s">
        <v>143</v>
      </c>
      <c r="B48" s="14" t="s">
        <v>66</v>
      </c>
      <c r="C48" s="15">
        <v>45779.49722222222</v>
      </c>
      <c r="D48" s="14" t="s">
        <v>154</v>
      </c>
      <c r="E48" s="14" t="s">
        <v>293</v>
      </c>
      <c r="F48" s="16" t="s">
        <v>155</v>
      </c>
      <c r="G48" s="14" t="s">
        <v>315</v>
      </c>
      <c r="H48" s="15">
        <v>45170</v>
      </c>
      <c r="I48" s="15">
        <v>45709</v>
      </c>
      <c r="J48" s="16" t="s">
        <v>76</v>
      </c>
      <c r="K48" s="16" t="s">
        <v>76</v>
      </c>
      <c r="L48" s="14" t="s">
        <v>286</v>
      </c>
      <c r="M48" s="16" t="s">
        <v>76</v>
      </c>
      <c r="N48" s="14" t="s">
        <v>76</v>
      </c>
      <c r="O48" s="17"/>
      <c r="P48" s="17"/>
      <c r="Q48" s="17" t="s">
        <v>270</v>
      </c>
      <c r="R48" s="17"/>
      <c r="S48" s="14" t="s">
        <v>76</v>
      </c>
      <c r="T48" s="14" t="s">
        <v>76</v>
      </c>
      <c r="U48" s="14" t="s">
        <v>274</v>
      </c>
      <c r="V48" s="16" t="s">
        <v>155</v>
      </c>
    </row>
    <row r="49" spans="1:22" ht="45" x14ac:dyDescent="0.25">
      <c r="A49" s="14" t="s">
        <v>123</v>
      </c>
      <c r="B49" s="14" t="s">
        <v>117</v>
      </c>
      <c r="C49" s="15">
        <v>45622.503472222219</v>
      </c>
      <c r="D49" s="14" t="s">
        <v>172</v>
      </c>
      <c r="E49" s="14" t="s">
        <v>293</v>
      </c>
      <c r="F49" s="16" t="s">
        <v>173</v>
      </c>
      <c r="G49" s="14" t="s">
        <v>316</v>
      </c>
      <c r="H49" s="15">
        <v>45170</v>
      </c>
      <c r="I49" s="15"/>
      <c r="J49" s="16" t="s">
        <v>76</v>
      </c>
      <c r="K49" s="16" t="s">
        <v>76</v>
      </c>
      <c r="L49" s="14" t="s">
        <v>286</v>
      </c>
      <c r="M49" s="16" t="s">
        <v>76</v>
      </c>
      <c r="N49" s="14" t="s">
        <v>76</v>
      </c>
      <c r="O49" s="17"/>
      <c r="P49" s="17"/>
      <c r="Q49" s="17" t="s">
        <v>317</v>
      </c>
      <c r="R49" s="17"/>
      <c r="S49" s="14" t="s">
        <v>76</v>
      </c>
      <c r="T49" s="14" t="s">
        <v>76</v>
      </c>
      <c r="U49" s="14" t="s">
        <v>274</v>
      </c>
      <c r="V49" s="16" t="s">
        <v>173</v>
      </c>
    </row>
    <row r="50" spans="1:22" ht="60" x14ac:dyDescent="0.25">
      <c r="A50" s="14" t="s">
        <v>123</v>
      </c>
      <c r="B50" s="14" t="s">
        <v>117</v>
      </c>
      <c r="C50" s="15">
        <v>45622.503472222219</v>
      </c>
      <c r="D50" s="14" t="s">
        <v>178</v>
      </c>
      <c r="E50" s="14" t="s">
        <v>293</v>
      </c>
      <c r="F50" s="16" t="s">
        <v>135</v>
      </c>
      <c r="G50" s="14" t="s">
        <v>318</v>
      </c>
      <c r="H50" s="15">
        <v>45170</v>
      </c>
      <c r="I50" s="15"/>
      <c r="J50" s="16" t="s">
        <v>76</v>
      </c>
      <c r="K50" s="16" t="s">
        <v>76</v>
      </c>
      <c r="L50" s="14" t="s">
        <v>286</v>
      </c>
      <c r="M50" s="16" t="s">
        <v>76</v>
      </c>
      <c r="N50" s="14" t="s">
        <v>76</v>
      </c>
      <c r="O50" s="17"/>
      <c r="P50" s="17"/>
      <c r="Q50" s="17" t="s">
        <v>317</v>
      </c>
      <c r="R50" s="17"/>
      <c r="S50" s="14" t="s">
        <v>76</v>
      </c>
      <c r="T50" s="14" t="s">
        <v>76</v>
      </c>
      <c r="U50" s="14" t="s">
        <v>274</v>
      </c>
      <c r="V50" s="16" t="s">
        <v>135</v>
      </c>
    </row>
    <row r="51" spans="1:22" ht="30" x14ac:dyDescent="0.25">
      <c r="A51" s="14" t="s">
        <v>123</v>
      </c>
      <c r="B51" s="14" t="s">
        <v>117</v>
      </c>
      <c r="C51" s="15">
        <v>45622.503472222219</v>
      </c>
      <c r="D51" s="14" t="s">
        <v>174</v>
      </c>
      <c r="E51" s="14" t="s">
        <v>293</v>
      </c>
      <c r="F51" s="16" t="s">
        <v>175</v>
      </c>
      <c r="G51" s="14" t="s">
        <v>319</v>
      </c>
      <c r="H51" s="15">
        <v>45170</v>
      </c>
      <c r="I51" s="15"/>
      <c r="J51" s="16" t="s">
        <v>76</v>
      </c>
      <c r="K51" s="16" t="s">
        <v>76</v>
      </c>
      <c r="L51" s="14" t="s">
        <v>286</v>
      </c>
      <c r="M51" s="16" t="s">
        <v>76</v>
      </c>
      <c r="N51" s="14" t="s">
        <v>76</v>
      </c>
      <c r="O51" s="17"/>
      <c r="P51" s="17"/>
      <c r="Q51" s="17" t="s">
        <v>317</v>
      </c>
      <c r="R51" s="17"/>
      <c r="S51" s="14" t="s">
        <v>76</v>
      </c>
      <c r="T51" s="14" t="s">
        <v>76</v>
      </c>
      <c r="U51" s="14" t="s">
        <v>274</v>
      </c>
      <c r="V51" s="16" t="s">
        <v>175</v>
      </c>
    </row>
    <row r="52" spans="1:22" ht="45" x14ac:dyDescent="0.25">
      <c r="A52" s="14" t="s">
        <v>123</v>
      </c>
      <c r="B52" s="14" t="s">
        <v>117</v>
      </c>
      <c r="C52" s="15">
        <v>45622.503472222219</v>
      </c>
      <c r="D52" s="14" t="s">
        <v>176</v>
      </c>
      <c r="E52" s="14" t="s">
        <v>293</v>
      </c>
      <c r="F52" s="16" t="s">
        <v>177</v>
      </c>
      <c r="G52" s="14" t="s">
        <v>320</v>
      </c>
      <c r="H52" s="15">
        <v>45170</v>
      </c>
      <c r="I52" s="15"/>
      <c r="J52" s="16" t="s">
        <v>76</v>
      </c>
      <c r="K52" s="16" t="s">
        <v>76</v>
      </c>
      <c r="L52" s="14" t="s">
        <v>286</v>
      </c>
      <c r="M52" s="16" t="s">
        <v>76</v>
      </c>
      <c r="N52" s="14" t="s">
        <v>76</v>
      </c>
      <c r="O52" s="17"/>
      <c r="P52" s="17"/>
      <c r="Q52" s="17" t="s">
        <v>317</v>
      </c>
      <c r="R52" s="17"/>
      <c r="S52" s="14" t="s">
        <v>76</v>
      </c>
      <c r="T52" s="14" t="s">
        <v>76</v>
      </c>
      <c r="U52" s="14" t="s">
        <v>274</v>
      </c>
      <c r="V52" s="16" t="s">
        <v>177</v>
      </c>
    </row>
    <row r="53" spans="1:22" ht="90" x14ac:dyDescent="0.25">
      <c r="A53" s="14" t="s">
        <v>123</v>
      </c>
      <c r="B53" s="14" t="s">
        <v>117</v>
      </c>
      <c r="C53" s="15">
        <v>45623.55972222222</v>
      </c>
      <c r="D53" s="14" t="s">
        <v>152</v>
      </c>
      <c r="E53" s="14" t="s">
        <v>293</v>
      </c>
      <c r="F53" s="16" t="s">
        <v>153</v>
      </c>
      <c r="G53" s="14" t="s">
        <v>314</v>
      </c>
      <c r="H53" s="15">
        <v>45170</v>
      </c>
      <c r="I53" s="15"/>
      <c r="J53" s="16" t="s">
        <v>76</v>
      </c>
      <c r="K53" s="16" t="s">
        <v>76</v>
      </c>
      <c r="L53" s="14" t="s">
        <v>286</v>
      </c>
      <c r="M53" s="16" t="s">
        <v>76</v>
      </c>
      <c r="N53" s="14" t="s">
        <v>76</v>
      </c>
      <c r="O53" s="17"/>
      <c r="P53" s="17"/>
      <c r="Q53" s="17" t="s">
        <v>270</v>
      </c>
      <c r="R53" s="17"/>
      <c r="S53" s="14" t="s">
        <v>76</v>
      </c>
      <c r="T53" s="14" t="s">
        <v>76</v>
      </c>
      <c r="U53" s="14" t="s">
        <v>274</v>
      </c>
      <c r="V53" s="16" t="s">
        <v>153</v>
      </c>
    </row>
    <row r="54" spans="1:22" ht="45" x14ac:dyDescent="0.25">
      <c r="A54" s="14" t="s">
        <v>123</v>
      </c>
      <c r="B54" s="14" t="s">
        <v>117</v>
      </c>
      <c r="C54" s="15">
        <v>45622.503472222219</v>
      </c>
      <c r="D54" s="14" t="s">
        <v>179</v>
      </c>
      <c r="E54" s="14" t="s">
        <v>293</v>
      </c>
      <c r="F54" s="16" t="s">
        <v>180</v>
      </c>
      <c r="G54" s="14" t="s">
        <v>321</v>
      </c>
      <c r="H54" s="15">
        <v>45170</v>
      </c>
      <c r="I54" s="15"/>
      <c r="J54" s="16" t="s">
        <v>76</v>
      </c>
      <c r="K54" s="16" t="s">
        <v>76</v>
      </c>
      <c r="L54" s="14" t="s">
        <v>286</v>
      </c>
      <c r="M54" s="16" t="s">
        <v>76</v>
      </c>
      <c r="N54" s="14" t="s">
        <v>76</v>
      </c>
      <c r="O54" s="17"/>
      <c r="P54" s="17"/>
      <c r="Q54" s="17" t="s">
        <v>317</v>
      </c>
      <c r="R54" s="17"/>
      <c r="S54" s="14" t="s">
        <v>76</v>
      </c>
      <c r="T54" s="14" t="s">
        <v>76</v>
      </c>
      <c r="U54" s="14" t="s">
        <v>274</v>
      </c>
      <c r="V54" s="16" t="s">
        <v>180</v>
      </c>
    </row>
    <row r="55" spans="1:22" ht="60" x14ac:dyDescent="0.25">
      <c r="A55" s="14" t="s">
        <v>123</v>
      </c>
      <c r="B55" s="14" t="s">
        <v>117</v>
      </c>
      <c r="C55" s="15">
        <v>45622.490277777775</v>
      </c>
      <c r="D55" s="14" t="s">
        <v>138</v>
      </c>
      <c r="E55" s="14" t="s">
        <v>293</v>
      </c>
      <c r="F55" s="16" t="s">
        <v>139</v>
      </c>
      <c r="G55" s="14" t="s">
        <v>298</v>
      </c>
      <c r="H55" s="15">
        <v>45170</v>
      </c>
      <c r="I55" s="15"/>
      <c r="J55" s="16" t="s">
        <v>76</v>
      </c>
      <c r="K55" s="16" t="s">
        <v>76</v>
      </c>
      <c r="L55" s="14" t="s">
        <v>286</v>
      </c>
      <c r="M55" s="16" t="s">
        <v>76</v>
      </c>
      <c r="N55" s="14" t="s">
        <v>76</v>
      </c>
      <c r="O55" s="17"/>
      <c r="P55" s="17"/>
      <c r="Q55" s="17" t="s">
        <v>299</v>
      </c>
      <c r="R55" s="17"/>
      <c r="S55" s="14" t="s">
        <v>76</v>
      </c>
      <c r="T55" s="14" t="s">
        <v>76</v>
      </c>
      <c r="U55" s="14" t="s">
        <v>274</v>
      </c>
      <c r="V55" s="16" t="s">
        <v>139</v>
      </c>
    </row>
    <row r="56" spans="1:22" ht="30" x14ac:dyDescent="0.25">
      <c r="A56" s="14" t="s">
        <v>143</v>
      </c>
      <c r="B56" s="14" t="s">
        <v>117</v>
      </c>
      <c r="C56" s="15">
        <v>45779.476388888892</v>
      </c>
      <c r="D56" s="14" t="s">
        <v>166</v>
      </c>
      <c r="E56" s="14" t="s">
        <v>293</v>
      </c>
      <c r="F56" s="16" t="s">
        <v>167</v>
      </c>
      <c r="G56" s="14" t="s">
        <v>315</v>
      </c>
      <c r="H56" s="15">
        <v>45710</v>
      </c>
      <c r="I56" s="15"/>
      <c r="J56" s="16" t="s">
        <v>76</v>
      </c>
      <c r="K56" s="16" t="s">
        <v>76</v>
      </c>
      <c r="L56" s="14" t="s">
        <v>286</v>
      </c>
      <c r="M56" s="16" t="s">
        <v>76</v>
      </c>
      <c r="N56" s="14" t="s">
        <v>76</v>
      </c>
      <c r="O56" s="17"/>
      <c r="P56" s="17"/>
      <c r="Q56" s="17" t="s">
        <v>270</v>
      </c>
      <c r="R56" s="17"/>
      <c r="S56" s="14" t="s">
        <v>76</v>
      </c>
      <c r="T56" s="14" t="s">
        <v>76</v>
      </c>
      <c r="U56" s="14" t="s">
        <v>274</v>
      </c>
      <c r="V56" s="16" t="s">
        <v>167</v>
      </c>
    </row>
    <row r="57" spans="1:22" ht="45" x14ac:dyDescent="0.25">
      <c r="A57" s="14" t="s">
        <v>143</v>
      </c>
      <c r="B57" s="14" t="s">
        <v>117</v>
      </c>
      <c r="C57" s="15">
        <v>45779.479166666664</v>
      </c>
      <c r="D57" s="14" t="s">
        <v>202</v>
      </c>
      <c r="E57" s="14" t="s">
        <v>293</v>
      </c>
      <c r="F57" s="16" t="s">
        <v>167</v>
      </c>
      <c r="G57" s="14" t="s">
        <v>309</v>
      </c>
      <c r="H57" s="15">
        <v>45710</v>
      </c>
      <c r="I57" s="15"/>
      <c r="J57" s="16" t="s">
        <v>76</v>
      </c>
      <c r="K57" s="16" t="s">
        <v>76</v>
      </c>
      <c r="L57" s="14" t="s">
        <v>286</v>
      </c>
      <c r="M57" s="16" t="s">
        <v>76</v>
      </c>
      <c r="N57" s="14" t="s">
        <v>76</v>
      </c>
      <c r="O57" s="17"/>
      <c r="P57" s="17"/>
      <c r="Q57" s="17" t="s">
        <v>268</v>
      </c>
      <c r="R57" s="17"/>
      <c r="S57" s="14" t="s">
        <v>76</v>
      </c>
      <c r="T57" s="14" t="s">
        <v>76</v>
      </c>
      <c r="U57" s="14" t="s">
        <v>274</v>
      </c>
      <c r="V57" s="16" t="s">
        <v>167</v>
      </c>
    </row>
    <row r="58" spans="1:22" ht="90" x14ac:dyDescent="0.25">
      <c r="A58" s="14" t="s">
        <v>143</v>
      </c>
      <c r="B58" s="14" t="s">
        <v>117</v>
      </c>
      <c r="C58" s="15">
        <v>45779.481249999997</v>
      </c>
      <c r="D58" s="14" t="s">
        <v>201</v>
      </c>
      <c r="E58" s="14" t="s">
        <v>293</v>
      </c>
      <c r="F58" s="16" t="s">
        <v>165</v>
      </c>
      <c r="G58" s="14" t="s">
        <v>309</v>
      </c>
      <c r="H58" s="15">
        <v>45710</v>
      </c>
      <c r="I58" s="15"/>
      <c r="J58" s="16" t="s">
        <v>76</v>
      </c>
      <c r="K58" s="16" t="s">
        <v>76</v>
      </c>
      <c r="L58" s="14" t="s">
        <v>286</v>
      </c>
      <c r="M58" s="16" t="s">
        <v>76</v>
      </c>
      <c r="N58" s="14" t="s">
        <v>76</v>
      </c>
      <c r="O58" s="17"/>
      <c r="P58" s="17"/>
      <c r="Q58" s="17" t="s">
        <v>268</v>
      </c>
      <c r="R58" s="17"/>
      <c r="S58" s="14" t="s">
        <v>76</v>
      </c>
      <c r="T58" s="14" t="s">
        <v>76</v>
      </c>
      <c r="U58" s="14" t="s">
        <v>274</v>
      </c>
      <c r="V58" s="16" t="s">
        <v>165</v>
      </c>
    </row>
    <row r="59" spans="1:22" ht="90" x14ac:dyDescent="0.25">
      <c r="A59" s="14" t="s">
        <v>143</v>
      </c>
      <c r="B59" s="14" t="s">
        <v>117</v>
      </c>
      <c r="C59" s="15">
        <v>45779.48333333333</v>
      </c>
      <c r="D59" s="14" t="s">
        <v>164</v>
      </c>
      <c r="E59" s="14" t="s">
        <v>293</v>
      </c>
      <c r="F59" s="16" t="s">
        <v>165</v>
      </c>
      <c r="G59" s="14" t="s">
        <v>315</v>
      </c>
      <c r="H59" s="15">
        <v>45710</v>
      </c>
      <c r="I59" s="15"/>
      <c r="J59" s="16" t="s">
        <v>76</v>
      </c>
      <c r="K59" s="16" t="s">
        <v>76</v>
      </c>
      <c r="L59" s="14" t="s">
        <v>286</v>
      </c>
      <c r="M59" s="16" t="s">
        <v>76</v>
      </c>
      <c r="N59" s="14" t="s">
        <v>76</v>
      </c>
      <c r="O59" s="17"/>
      <c r="P59" s="17"/>
      <c r="Q59" s="17" t="s">
        <v>270</v>
      </c>
      <c r="R59" s="17"/>
      <c r="S59" s="14" t="s">
        <v>76</v>
      </c>
      <c r="T59" s="14" t="s">
        <v>76</v>
      </c>
      <c r="U59" s="14" t="s">
        <v>274</v>
      </c>
      <c r="V59" s="16" t="s">
        <v>165</v>
      </c>
    </row>
    <row r="60" spans="1:22" ht="75" x14ac:dyDescent="0.25">
      <c r="A60" s="14" t="s">
        <v>65</v>
      </c>
      <c r="B60" s="14" t="s">
        <v>117</v>
      </c>
      <c r="C60" s="15">
        <v>45981.396527777775</v>
      </c>
      <c r="D60" s="14" t="s">
        <v>119</v>
      </c>
      <c r="E60" s="14" t="s">
        <v>293</v>
      </c>
      <c r="F60" s="16" t="s">
        <v>120</v>
      </c>
      <c r="G60" s="14" t="s">
        <v>275</v>
      </c>
      <c r="H60" s="15">
        <v>45901</v>
      </c>
      <c r="I60" s="15"/>
      <c r="J60" s="16" t="s">
        <v>76</v>
      </c>
      <c r="K60" s="16" t="s">
        <v>76</v>
      </c>
      <c r="L60" s="14" t="s">
        <v>286</v>
      </c>
      <c r="M60" s="16" t="s">
        <v>76</v>
      </c>
      <c r="N60" s="14" t="s">
        <v>76</v>
      </c>
      <c r="O60" s="17"/>
      <c r="P60" s="17"/>
      <c r="Q60" s="17" t="s">
        <v>264</v>
      </c>
      <c r="R60" s="17"/>
      <c r="S60" s="14" t="s">
        <v>76</v>
      </c>
      <c r="T60" s="14" t="s">
        <v>76</v>
      </c>
      <c r="U60" s="14" t="s">
        <v>274</v>
      </c>
      <c r="V60" s="16" t="s">
        <v>120</v>
      </c>
    </row>
    <row r="61" spans="1:22" ht="60" x14ac:dyDescent="0.25">
      <c r="A61" s="14" t="s">
        <v>65</v>
      </c>
      <c r="B61" s="14" t="s">
        <v>117</v>
      </c>
      <c r="C61" s="15">
        <v>45981.420138888891</v>
      </c>
      <c r="D61" s="14" t="s">
        <v>169</v>
      </c>
      <c r="E61" s="14" t="s">
        <v>293</v>
      </c>
      <c r="F61" s="16" t="s">
        <v>120</v>
      </c>
      <c r="G61" s="14" t="s">
        <v>322</v>
      </c>
      <c r="H61" s="15">
        <v>45901</v>
      </c>
      <c r="I61" s="15"/>
      <c r="J61" s="16" t="s">
        <v>76</v>
      </c>
      <c r="K61" s="16" t="s">
        <v>76</v>
      </c>
      <c r="L61" s="14" t="s">
        <v>286</v>
      </c>
      <c r="M61" s="16" t="s">
        <v>76</v>
      </c>
      <c r="N61" s="14" t="s">
        <v>76</v>
      </c>
      <c r="O61" s="17"/>
      <c r="P61" s="17"/>
      <c r="Q61" s="17" t="s">
        <v>270</v>
      </c>
      <c r="R61" s="17"/>
      <c r="S61" s="14" t="s">
        <v>76</v>
      </c>
      <c r="T61" s="14" t="s">
        <v>76</v>
      </c>
      <c r="U61" s="14" t="s">
        <v>274</v>
      </c>
      <c r="V61" s="16" t="s">
        <v>120</v>
      </c>
    </row>
    <row r="62" spans="1:22" ht="90" x14ac:dyDescent="0.25">
      <c r="A62" s="14" t="s">
        <v>65</v>
      </c>
      <c r="B62" s="14" t="s">
        <v>117</v>
      </c>
      <c r="C62" s="15">
        <v>46003.580555555556</v>
      </c>
      <c r="D62" s="14" t="s">
        <v>204</v>
      </c>
      <c r="E62" s="14" t="s">
        <v>293</v>
      </c>
      <c r="F62" s="16" t="s">
        <v>120</v>
      </c>
      <c r="G62" s="14" t="s">
        <v>278</v>
      </c>
      <c r="H62" s="15">
        <v>45901</v>
      </c>
      <c r="I62" s="15"/>
      <c r="J62" s="16" t="s">
        <v>76</v>
      </c>
      <c r="K62" s="16" t="s">
        <v>76</v>
      </c>
      <c r="L62" s="14" t="s">
        <v>286</v>
      </c>
      <c r="M62" s="16" t="s">
        <v>76</v>
      </c>
      <c r="N62" s="14" t="s">
        <v>76</v>
      </c>
      <c r="O62" s="17"/>
      <c r="P62" s="17"/>
      <c r="Q62" s="17" t="s">
        <v>268</v>
      </c>
      <c r="R62" s="17"/>
      <c r="S62" s="14" t="s">
        <v>76</v>
      </c>
      <c r="T62" s="14" t="s">
        <v>76</v>
      </c>
      <c r="U62" s="14" t="s">
        <v>274</v>
      </c>
      <c r="V62" s="16" t="s">
        <v>120</v>
      </c>
    </row>
    <row r="63" spans="1:22" ht="60" x14ac:dyDescent="0.25">
      <c r="A63" s="14" t="s">
        <v>123</v>
      </c>
      <c r="B63" s="14" t="s">
        <v>117</v>
      </c>
      <c r="C63" s="15">
        <v>45622.48541666667</v>
      </c>
      <c r="D63" s="14" t="s">
        <v>219</v>
      </c>
      <c r="E63" s="14" t="s">
        <v>323</v>
      </c>
      <c r="F63" s="16" t="s">
        <v>220</v>
      </c>
      <c r="G63" s="14" t="s">
        <v>324</v>
      </c>
      <c r="H63" s="15">
        <v>45170</v>
      </c>
      <c r="I63" s="15"/>
      <c r="J63" s="16" t="s">
        <v>76</v>
      </c>
      <c r="K63" s="16" t="s">
        <v>76</v>
      </c>
      <c r="L63" s="14" t="s">
        <v>286</v>
      </c>
      <c r="M63" s="16" t="s">
        <v>76</v>
      </c>
      <c r="N63" s="14" t="s">
        <v>76</v>
      </c>
      <c r="O63" s="17"/>
      <c r="P63" s="17"/>
      <c r="Q63" s="17"/>
      <c r="R63" s="17" t="s">
        <v>264</v>
      </c>
      <c r="S63" s="14" t="s">
        <v>76</v>
      </c>
      <c r="T63" s="14" t="s">
        <v>76</v>
      </c>
      <c r="U63" s="14" t="s">
        <v>274</v>
      </c>
      <c r="V63" s="16" t="s">
        <v>220</v>
      </c>
    </row>
    <row r="64" spans="1:22" ht="30" x14ac:dyDescent="0.25">
      <c r="A64" s="14" t="s">
        <v>123</v>
      </c>
      <c r="B64" s="14" t="s">
        <v>117</v>
      </c>
      <c r="C64" s="15">
        <v>45622.48541666667</v>
      </c>
      <c r="D64" s="14" t="s">
        <v>221</v>
      </c>
      <c r="E64" s="14" t="s">
        <v>323</v>
      </c>
      <c r="F64" s="16" t="s">
        <v>222</v>
      </c>
      <c r="G64" s="14" t="s">
        <v>324</v>
      </c>
      <c r="H64" s="15">
        <v>45170</v>
      </c>
      <c r="I64" s="15"/>
      <c r="J64" s="16" t="s">
        <v>76</v>
      </c>
      <c r="K64" s="16" t="s">
        <v>76</v>
      </c>
      <c r="L64" s="14" t="s">
        <v>286</v>
      </c>
      <c r="M64" s="16" t="s">
        <v>76</v>
      </c>
      <c r="N64" s="14" t="s">
        <v>76</v>
      </c>
      <c r="O64" s="17"/>
      <c r="P64" s="17"/>
      <c r="Q64" s="17"/>
      <c r="R64" s="17" t="s">
        <v>264</v>
      </c>
      <c r="S64" s="14" t="s">
        <v>76</v>
      </c>
      <c r="T64" s="14" t="s">
        <v>76</v>
      </c>
      <c r="U64" s="14" t="s">
        <v>274</v>
      </c>
      <c r="V64" s="16" t="s">
        <v>222</v>
      </c>
    </row>
    <row r="65" spans="1:22" ht="60" x14ac:dyDescent="0.25">
      <c r="A65" s="14" t="s">
        <v>123</v>
      </c>
      <c r="B65" s="14" t="s">
        <v>117</v>
      </c>
      <c r="C65" s="15">
        <v>45622.48541666667</v>
      </c>
      <c r="D65" s="14" t="s">
        <v>224</v>
      </c>
      <c r="E65" s="14" t="s">
        <v>323</v>
      </c>
      <c r="F65" s="16" t="s">
        <v>220</v>
      </c>
      <c r="G65" s="14" t="s">
        <v>308</v>
      </c>
      <c r="H65" s="15">
        <v>45170</v>
      </c>
      <c r="I65" s="15"/>
      <c r="J65" s="16" t="s">
        <v>76</v>
      </c>
      <c r="K65" s="16" t="s">
        <v>76</v>
      </c>
      <c r="L65" s="14" t="s">
        <v>286</v>
      </c>
      <c r="M65" s="16" t="s">
        <v>76</v>
      </c>
      <c r="N65" s="14" t="s">
        <v>76</v>
      </c>
      <c r="O65" s="17"/>
      <c r="P65" s="17"/>
      <c r="Q65" s="17"/>
      <c r="R65" s="17" t="s">
        <v>268</v>
      </c>
      <c r="S65" s="14" t="s">
        <v>76</v>
      </c>
      <c r="T65" s="14" t="s">
        <v>76</v>
      </c>
      <c r="U65" s="14" t="s">
        <v>274</v>
      </c>
      <c r="V65" s="16" t="s">
        <v>220</v>
      </c>
    </row>
    <row r="66" spans="1:22" ht="60" x14ac:dyDescent="0.25">
      <c r="A66" s="14" t="s">
        <v>123</v>
      </c>
      <c r="B66" s="14" t="s">
        <v>117</v>
      </c>
      <c r="C66" s="15">
        <v>45622.48541666667</v>
      </c>
      <c r="D66" s="14" t="s">
        <v>223</v>
      </c>
      <c r="E66" s="14" t="s">
        <v>323</v>
      </c>
      <c r="F66" s="16" t="s">
        <v>220</v>
      </c>
      <c r="G66" s="14" t="s">
        <v>271</v>
      </c>
      <c r="H66" s="15">
        <v>45170</v>
      </c>
      <c r="I66" s="15"/>
      <c r="J66" s="16" t="s">
        <v>76</v>
      </c>
      <c r="K66" s="16" t="s">
        <v>76</v>
      </c>
      <c r="L66" s="14" t="s">
        <v>286</v>
      </c>
      <c r="M66" s="16" t="s">
        <v>76</v>
      </c>
      <c r="N66" s="14" t="s">
        <v>76</v>
      </c>
      <c r="O66" s="17"/>
      <c r="P66" s="17"/>
      <c r="Q66" s="17"/>
      <c r="R66" s="17" t="s">
        <v>270</v>
      </c>
      <c r="S66" s="14" t="s">
        <v>76</v>
      </c>
      <c r="T66" s="14" t="s">
        <v>76</v>
      </c>
      <c r="U66" s="14" t="s">
        <v>274</v>
      </c>
      <c r="V66" s="16" t="s">
        <v>220</v>
      </c>
    </row>
  </sheetData>
  <autoFilter ref="A1:Z1" xr:uid="{3CDCF5A6-D04D-43CD-896E-64C08620E47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1</vt:i4>
      </vt:variant>
    </vt:vector>
  </HeadingPairs>
  <TitlesOfParts>
    <vt:vector size="6" baseType="lpstr">
      <vt:lpstr>Mode opératoire</vt:lpstr>
      <vt:lpstr>Axe 1 Enchainement des RG</vt:lpstr>
      <vt:lpstr>Axe 1 Enchaînement RG Impact</vt:lpstr>
      <vt:lpstr>Axe 1 Rattachement des actes</vt:lpstr>
      <vt:lpstr>Axe 2 Règles de gestion</vt:lpstr>
      <vt:lpstr>notice_ENCHN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2026-06-09T09:54:02Z</dcterms:created>
  <dcterms:modified xsi:type="dcterms:W3CDTF">2026-06-09T09:54:03Z</dcterms:modified>
</cp:coreProperties>
</file>