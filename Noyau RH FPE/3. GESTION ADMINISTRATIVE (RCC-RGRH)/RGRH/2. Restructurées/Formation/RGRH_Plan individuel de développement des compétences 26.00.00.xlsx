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BA4465C2-B3BC-44FF-B32E-725300355B42}" xr6:coauthVersionLast="47" xr6:coauthVersionMax="47" xr10:uidLastSave="{00000000-0000-0000-0000-000000000000}"/>
  <bookViews>
    <workbookView xWindow="-28920" yWindow="1620" windowWidth="29040" windowHeight="15720" xr2:uid="{45339C0B-2A2C-4864-BFF3-46E0B5AB661D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9" i="5" l="1"/>
  <c r="AX8" i="5"/>
  <c r="AX5" i="5"/>
  <c r="AX4" i="5"/>
  <c r="AV9" i="5"/>
  <c r="AV8" i="5"/>
  <c r="AV7" i="5"/>
  <c r="AV6" i="5"/>
  <c r="AV5" i="5"/>
  <c r="AV4" i="5"/>
  <c r="AV3" i="5"/>
  <c r="AV2" i="5"/>
  <c r="AT9" i="5"/>
  <c r="AT8" i="5"/>
  <c r="AT7" i="5"/>
  <c r="AT6" i="5"/>
  <c r="AT5" i="5"/>
  <c r="AT4" i="5"/>
  <c r="AT3" i="5"/>
  <c r="AT2" i="5"/>
  <c r="AR9" i="5"/>
  <c r="AR8" i="5"/>
  <c r="AR7" i="5"/>
  <c r="AR6" i="5"/>
  <c r="AR5" i="5"/>
  <c r="AR4" i="5"/>
  <c r="AR3" i="5"/>
  <c r="AR2" i="5"/>
  <c r="AP9" i="5"/>
  <c r="AP7" i="5"/>
  <c r="AP5" i="5"/>
  <c r="AP3" i="5"/>
  <c r="AN9" i="5"/>
  <c r="AN7" i="5"/>
  <c r="AN5" i="5"/>
  <c r="AN3" i="5"/>
  <c r="AL9" i="5"/>
  <c r="AL7" i="5"/>
  <c r="AL5" i="5"/>
  <c r="AL3" i="5"/>
  <c r="AJ9" i="5"/>
  <c r="AJ7" i="5"/>
  <c r="AJ5" i="5"/>
  <c r="AJ3" i="5"/>
  <c r="AH9" i="5"/>
  <c r="AH8" i="5"/>
  <c r="AH7" i="5"/>
  <c r="AH6" i="5"/>
  <c r="AH5" i="5"/>
  <c r="AH4" i="5"/>
  <c r="AH3" i="5"/>
  <c r="AH2" i="5"/>
  <c r="AF9" i="5"/>
  <c r="AF8" i="5"/>
  <c r="AF7" i="5"/>
  <c r="AF6" i="5"/>
  <c r="AF5" i="5"/>
  <c r="AF4" i="5"/>
  <c r="AF3" i="5"/>
  <c r="AF2" i="5"/>
  <c r="AD9" i="5"/>
  <c r="AD8" i="5"/>
  <c r="AD7" i="5"/>
  <c r="AD6" i="5"/>
  <c r="AD5" i="5"/>
  <c r="AD4" i="5"/>
  <c r="AD3" i="5"/>
  <c r="AD2" i="5"/>
  <c r="AB9" i="5"/>
  <c r="AB8" i="5"/>
  <c r="AB7" i="5"/>
  <c r="AB6" i="5"/>
  <c r="AB5" i="5"/>
  <c r="AB4" i="5"/>
  <c r="AB3" i="5"/>
  <c r="AB2" i="5"/>
  <c r="Z9" i="5"/>
  <c r="Z8" i="5"/>
  <c r="Z7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<sst xmlns="http://schemas.openxmlformats.org/spreadsheetml/2006/main" count="1297" uniqueCount="163">
  <si>
    <t>MODE OPERATOIRE</t>
  </si>
  <si>
    <t>La transaction de l'événement "E0915 - Plan individuel de développement des compétences"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</si>
  <si>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</si>
  <si>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</si>
  <si>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</si>
  <si>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</si>
  <si>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</si>
  <si>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</si>
  <si>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</si>
  <si>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</si>
  <si>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</si>
  <si>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</si>
  <si>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</si>
  <si>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</si>
  <si>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</si>
  <si>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</si>
  <si>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</si>
  <si>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</si>
  <si>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</si>
  <si>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</si>
  <si>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</si>
  <si>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</si>
  <si>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</si>
  <si>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</si>
  <si>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</si>
  <si>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</si>
  <si>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</si>
  <si>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</si>
  <si>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</si>
  <si>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</si>
  <si>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</si>
  <si>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</si>
  <si>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</si>
  <si>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</si>
  <si>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</si>
  <si>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</si>
  <si>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</si>
  <si>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</si>
  <si>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</si>
  <si>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</si>
  <si>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</si>
  <si>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</si>
  <si>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</si>
  <si>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</si>
  <si>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</si>
  <si>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</si>
  <si>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</si>
  <si>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</si>
  <si>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</si>
  <si>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</si>
  <si>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</si>
  <si>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</si>
  <si>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</si>
  <si>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23.10.00</t>
  </si>
  <si>
    <t>M</t>
  </si>
  <si>
    <t>D0009</t>
  </si>
  <si>
    <t>Formation</t>
  </si>
  <si>
    <t>S0163</t>
  </si>
  <si>
    <t>Plan individuel de développement des compétences</t>
  </si>
  <si>
    <t>E0915</t>
  </si>
  <si>
    <t>Type de la formation demandée saisi égal 'Plan individuel de développement des compétences'</t>
  </si>
  <si>
    <t>P_ACF_TYDFOR [Saisi] = 'F21'</t>
  </si>
  <si>
    <t>T2234</t>
  </si>
  <si>
    <t>Création Modification</t>
  </si>
  <si>
    <t/>
  </si>
  <si>
    <t>Titulaire ou magistrat</t>
  </si>
  <si>
    <t>P0001</t>
  </si>
  <si>
    <t>T</t>
  </si>
  <si>
    <t>Général</t>
  </si>
  <si>
    <t>Passant</t>
  </si>
  <si>
    <t>PCO_I_001 ET PCO_I_002 ET PCO_I_003 ET PCO_I_004 ET PCO_I_005 ET FOR_C_001 ET FOR_C_003 ET FOR_C_004</t>
  </si>
  <si>
    <t>PCO_I_001</t>
  </si>
  <si>
    <t>Le plan est établi soit à l'initiative de l'agent, soit à l'initiative de l'employeur avec l'accord de l'agent.</t>
  </si>
  <si>
    <t>PCO_I_002</t>
  </si>
  <si>
    <t>Le plan est élaboré conjointement par l'agent et son administration d'emploi à l'issue d'échanges personnalisés et formalise les engagements convenus de part et d'autre.</t>
  </si>
  <si>
    <t>PCO_I_003</t>
  </si>
  <si>
    <t>L'agent peut bénéficier, à sa demande, d'un accompagnement pour son élaboration ainsi que sa mise en oeuvre.</t>
  </si>
  <si>
    <t>PCO_I_004</t>
  </si>
  <si>
    <t>Si celui-ci a été réalisé, le plan s'appuie sur le document de synthèse du bilan de parcours professionnel.</t>
  </si>
  <si>
    <t>PCO_I_005</t>
  </si>
  <si>
    <t>Lorsque l'agent bénéficie de l'obligation d'emploi, le référent handicap est informé de la réalisation du plan.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</si>
  <si>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</si>
  <si>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</si>
  <si>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</si>
  <si>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</si>
  <si>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</si>
  <si>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</si>
  <si>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A</t>
  </si>
  <si>
    <t>PCO_I_001 ET PCO_I_006 ET PCO_I_007 ET PCO_I_008 ET PCO_I_009 ET PCO_I_002 ET PCO_I_003 ET PCO_I_004 ET PCO_I_005 ET FOR_C_001 ET FOR_C_003 ET FOR_C_004</t>
  </si>
  <si>
    <t>PCO_I_006</t>
  </si>
  <si>
    <t>Le plan est formalisé par une convention signée par l'agent, son responsable hiérarchique et par le service de ressources humaines chargé de sa gestion.</t>
  </si>
  <si>
    <t>PCO_I_007</t>
  </si>
  <si>
    <t>La convention doit avoir une durée et un objectif professionnel déterminés.</t>
  </si>
  <si>
    <t>PCO_I_008</t>
  </si>
  <si>
    <t>La convention précise les actions à mettre en œuvre compte tenu des opportunités d'apprentissage, de l'intérêt du service et de sa soutenabilité organisationnelle et financière.</t>
  </si>
  <si>
    <t>PCO_I_009</t>
  </si>
  <si>
    <t>La convention précise les modalités de suivi et d'échanges réguliers en vue de faire évoluer le plan.</t>
  </si>
  <si>
    <t>Contractuel</t>
  </si>
  <si>
    <t>P0003</t>
  </si>
  <si>
    <t>N</t>
  </si>
  <si>
    <t>PCO_I_001 ET PCO_I_002 ET PCO_I_003 ET PCO_I_004 ET PCO_I_005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</si>
  <si>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</si>
  <si>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</si>
  <si>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</si>
  <si>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</si>
  <si>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PCO_I_001 ET PCO_I_006 ET PCO_I_007 ET PCO_I_008 ET PCO_I_009 ET PCO_I_002 ET PCO_I_003 ET PCO_I_004 ET PCO_I_005 ET FOR_C_002 ET FOR_C_003 ET FOR_C_004 ET FOR_C_005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</si>
  <si>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</si>
  <si>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</si>
  <si>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</si>
  <si>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</si>
  <si>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</si>
  <si>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</si>
  <si>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</si>
  <si>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</si>
  <si>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</si>
  <si>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</si>
  <si>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</si>
  <si>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</si>
  <si>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</si>
  <si>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</si>
  <si>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</si>
  <si>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</si>
  <si>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</si>
  <si>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</si>
  <si>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</si>
  <si>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</si>
  <si>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</si>
  <si>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</si>
  <si>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</si>
  <si>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</si>
  <si>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25/07/2022</t>
  </si>
  <si>
    <t>18/08/2023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</si>
  <si>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</si>
  <si>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</si>
  <si>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</si>
  <si>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</si>
  <si>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</si>
  <si>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</si>
  <si>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</si>
  <si>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</si>
  <si>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</si>
  <si>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</si>
  <si>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</si>
  <si>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</si>
  <si>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</si>
  <si>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</si>
  <si>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</si>
  <si>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</si>
  <si>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</si>
  <si>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</si>
  <si>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</si>
  <si>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</si>
  <si>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</si>
  <si>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</si>
  <si>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</si>
  <si>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</si>
  <si>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</si>
  <si>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22.10.00</t>
  </si>
  <si>
    <t>Intellectuel</t>
  </si>
  <si>
    <t>Décret 2022-1043 A8</t>
  </si>
  <si>
    <t>P0001 / P0003 / P0004 / P0005 - E0915</t>
  </si>
  <si>
    <t>x</t>
  </si>
  <si>
    <t>Arrêté du 1er août 2023 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</si>
</sst>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D01A-74AE-4220-9EA1-8824CC42D9E0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A0A-7DF7-4640-AC74-D35FFF4C5EEB}">
  <dimension ref="A1:AZ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9.6328125" style="23" customWidth="1"/>
    <col min="52" max="52" width="15.6328125" style="24" customWidth="1"/>
    <col min="53" max="16384" width="10.90625" style="13"/>
  </cols>
  <sheetData>
    <row r="1" spans="1:5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0" t="s">
        <v>51</v>
      </c>
      <c r="AZ1" s="10" t="s">
        <v>52</v>
      </c>
    </row>
    <row r="2" spans="1:52" ht="101.5" x14ac:dyDescent="0.35">
      <c r="A2" s="14" t="s">
        <v>53</v>
      </c>
      <c r="B2" s="14" t="s">
        <v>54</v>
      </c>
      <c r="C2" s="15">
        <v>45281.473611111112</v>
      </c>
      <c r="D2" s="14" t="s">
        <v>55</v>
      </c>
      <c r="E2" s="16" t="s">
        <v>56</v>
      </c>
      <c r="F2" s="14" t="s">
        <v>57</v>
      </c>
      <c r="G2" s="16" t="s">
        <v>58</v>
      </c>
      <c r="H2" s="14" t="s">
        <v>59</v>
      </c>
      <c r="I2" s="16" t="s">
        <v>58</v>
      </c>
      <c r="J2" s="16" t="s">
        <v>60</v>
      </c>
      <c r="K2" s="16" t="s">
        <v>61</v>
      </c>
      <c r="L2" s="14" t="s">
        <v>62</v>
      </c>
      <c r="M2" s="16" t="s">
        <v>58</v>
      </c>
      <c r="N2" s="14" t="s">
        <v>63</v>
      </c>
      <c r="O2" s="16" t="s">
        <v>64</v>
      </c>
      <c r="P2" s="16" t="s">
        <v>64</v>
      </c>
      <c r="Q2" s="16" t="s">
        <v>65</v>
      </c>
      <c r="R2" s="14" t="s">
        <v>66</v>
      </c>
      <c r="S2" s="14" t="s">
        <v>67</v>
      </c>
      <c r="T2" s="14" t="s">
        <v>68</v>
      </c>
      <c r="U2" s="14" t="s">
        <v>69</v>
      </c>
      <c r="V2" s="15">
        <v>44767</v>
      </c>
      <c r="W2" s="15">
        <v>45155</v>
      </c>
      <c r="X2" s="16" t="s">
        <v>70</v>
      </c>
      <c r="Y2" s="17" t="s">
        <v>71</v>
      </c>
      <c r="Z2" s="18" t="str">
        <f>VLOOKUP(Y2,'Axe 2 Règles de gestion'!$D$2:$F$15,3, FALSE)</f>
        <v>Le plan est établi soit à l'initiative de l'agent, soit à l'initiative de l'employeur avec l'accord de l'agent.</v>
      </c>
      <c r="AA2" s="17" t="s">
        <v>73</v>
      </c>
      <c r="AB2" s="18" t="str">
        <f>VLOOKUP(AA2,'Axe 2 Règles de gestion'!$D$2:$F$15,3, FALSE)</f>
        <v>Le plan est élaboré conjointement par l'agent et son administration d'emploi à l'issue d'échanges personnalisés et formalise les engagements convenus de part et d'autre.</v>
      </c>
      <c r="AC2" s="17" t="s">
        <v>75</v>
      </c>
      <c r="AD2" s="18" t="str">
        <f>VLOOKUP(AC2,'Axe 2 Règles de gestion'!$D$2:$F$15,3, FALSE)</f>
        <v>L'agent peut bénéficier, à sa demande, d'un accompagnement pour son élaboration ainsi que sa mise en oeuvre.</v>
      </c>
      <c r="AE2" s="17" t="s">
        <v>77</v>
      </c>
      <c r="AF2" s="18" t="str">
        <f>VLOOKUP(AE2,'Axe 2 Règles de gestion'!$D$2:$F$15,3, FALSE)</f>
        <v>Si celui-ci a été réalisé, le plan s'appuie sur le document de synthèse du bilan de parcours professionnel.</v>
      </c>
      <c r="AG2" s="17" t="s">
        <v>79</v>
      </c>
      <c r="AH2" s="18" t="str">
        <f>VLOOKUP(AG2,'Axe 2 Règles de gestion'!$D$2:$F$15,3, FALSE)</f>
        <v>Lorsque l'agent bénéficie de l'obligation d'emploi, le référent handicap est informé de la réalisation du plan.</v>
      </c>
      <c r="AI2" s="17"/>
      <c r="AJ2" s="18"/>
      <c r="AK2" s="17"/>
      <c r="AL2" s="18"/>
      <c r="AM2" s="17"/>
      <c r="AN2" s="18"/>
      <c r="AO2" s="17"/>
      <c r="AP2" s="18"/>
      <c r="AQ2" s="17" t="s">
        <v>81</v>
      </c>
      <c r="AR2" s="18" t="str">
        <f>VLOOKUP(AQ2,'Axe 2 Règles de gestion'!$D$2:$F$15,3, FALSE)</f>
        <v>La date de début de la formation doit être postérieure ou égale à la date de recrutement dans la FPE ou dans la carrière militaire.</v>
      </c>
      <c r="AS2" s="17" t="s">
        <v>83</v>
      </c>
      <c r="AT2" s="18" t="str">
        <f>VLOOKUP(AS2,'Axe 2 Règles de gestion'!$D$2:$F$15,3, FALSE)</f>
        <v>La date de début de la formation doit être antérieure ou égale à la date de fin de la formation.</v>
      </c>
      <c r="AU2" s="17" t="s">
        <v>85</v>
      </c>
      <c r="AV2" s="18" t="str">
        <f>VLOOKUP(AU2,'Axe 2 Règles de gestion'!$D$2:$F$15,3, FALSE)</f>
        <v>La date de fin de formation doit être antérieure ou égale à la date limite de départ à la retraite.</v>
      </c>
      <c r="AW2" s="17"/>
      <c r="AX2" s="18"/>
      <c r="AY2" s="14" t="s">
        <v>64</v>
      </c>
      <c r="AZ2" s="16" t="s">
        <v>64</v>
      </c>
    </row>
    <row r="3" spans="1:52" ht="130.5" x14ac:dyDescent="0.35">
      <c r="A3" s="14" t="s">
        <v>53</v>
      </c>
      <c r="B3" s="14" t="s">
        <v>87</v>
      </c>
      <c r="C3" s="15">
        <v>45281.473611111112</v>
      </c>
      <c r="D3" s="14" t="s">
        <v>55</v>
      </c>
      <c r="E3" s="16" t="s">
        <v>56</v>
      </c>
      <c r="F3" s="14" t="s">
        <v>57</v>
      </c>
      <c r="G3" s="16" t="s">
        <v>58</v>
      </c>
      <c r="H3" s="14" t="s">
        <v>59</v>
      </c>
      <c r="I3" s="16" t="s">
        <v>58</v>
      </c>
      <c r="J3" s="16" t="s">
        <v>60</v>
      </c>
      <c r="K3" s="16" t="s">
        <v>61</v>
      </c>
      <c r="L3" s="14" t="s">
        <v>62</v>
      </c>
      <c r="M3" s="16" t="s">
        <v>58</v>
      </c>
      <c r="N3" s="14" t="s">
        <v>63</v>
      </c>
      <c r="O3" s="16" t="s">
        <v>64</v>
      </c>
      <c r="P3" s="16" t="s">
        <v>64</v>
      </c>
      <c r="Q3" s="16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5">
        <v>45156</v>
      </c>
      <c r="W3" s="15"/>
      <c r="X3" s="16" t="s">
        <v>88</v>
      </c>
      <c r="Y3" s="17" t="s">
        <v>71</v>
      </c>
      <c r="Z3" s="18" t="str">
        <f>VLOOKUP(Y3,'Axe 2 Règles de gestion'!$D$2:$F$15,3, FALSE)</f>
        <v>Le plan est établi soit à l'initiative de l'agent, soit à l'initiative de l'employeur avec l'accord de l'agent.</v>
      </c>
      <c r="AA3" s="17" t="s">
        <v>89</v>
      </c>
      <c r="AB3" s="18" t="str">
        <f>VLOOKUP(AA3,'Axe 2 Règles de gestion'!$D$2:$F$15,3, FALSE)</f>
        <v>Le plan est formalisé par une convention signée par l'agent, son responsable hiérarchique et par le service de ressources humaines chargé de sa gestion.</v>
      </c>
      <c r="AC3" s="17" t="s">
        <v>91</v>
      </c>
      <c r="AD3" s="18" t="str">
        <f>VLOOKUP(AC3,'Axe 2 Règles de gestion'!$D$2:$F$15,3, FALSE)</f>
        <v>La convention doit avoir une durée et un objectif professionnel déterminés.</v>
      </c>
      <c r="AE3" s="17" t="s">
        <v>93</v>
      </c>
      <c r="AF3" s="18" t="str">
        <f>VLOOKUP(AE3,'Axe 2 Règles de gestion'!$D$2:$F$15,3, FALSE)</f>
        <v>La convention précise les actions à mettre en œuvre compte tenu des opportunités d'apprentissage, de l'intérêt du service et de sa soutenabilité organisationnelle et financière.</v>
      </c>
      <c r="AG3" s="17" t="s">
        <v>95</v>
      </c>
      <c r="AH3" s="18" t="str">
        <f>VLOOKUP(AG3,'Axe 2 Règles de gestion'!$D$2:$F$15,3, FALSE)</f>
        <v>La convention précise les modalités de suivi et d'échanges réguliers en vue de faire évoluer le plan.</v>
      </c>
      <c r="AI3" s="17" t="s">
        <v>73</v>
      </c>
      <c r="AJ3" s="18" t="str">
        <f>VLOOKUP(AI3,'Axe 2 Règles de gestion'!$D$2:$F$15,3, FALSE)</f>
        <v>Le plan est élaboré conjointement par l'agent et son administration d'emploi à l'issue d'échanges personnalisés et formalise les engagements convenus de part et d'autre.</v>
      </c>
      <c r="AK3" s="17" t="s">
        <v>75</v>
      </c>
      <c r="AL3" s="18" t="str">
        <f>VLOOKUP(AK3,'Axe 2 Règles de gestion'!$D$2:$F$15,3, FALSE)</f>
        <v>L'agent peut bénéficier, à sa demande, d'un accompagnement pour son élaboration ainsi que sa mise en oeuvre.</v>
      </c>
      <c r="AM3" s="17" t="s">
        <v>77</v>
      </c>
      <c r="AN3" s="18" t="str">
        <f>VLOOKUP(AM3,'Axe 2 Règles de gestion'!$D$2:$F$15,3, FALSE)</f>
        <v>Si celui-ci a été réalisé, le plan s'appuie sur le document de synthèse du bilan de parcours professionnel.</v>
      </c>
      <c r="AO3" s="17" t="s">
        <v>79</v>
      </c>
      <c r="AP3" s="18" t="str">
        <f>VLOOKUP(AO3,'Axe 2 Règles de gestion'!$D$2:$F$15,3, FALSE)</f>
        <v>Lorsque l'agent bénéficie de l'obligation d'emploi, le référent handicap est informé de la réalisation du plan.</v>
      </c>
      <c r="AQ3" s="17" t="s">
        <v>81</v>
      </c>
      <c r="AR3" s="18" t="str">
        <f>VLOOKUP(AQ3,'Axe 2 Règles de gestion'!$D$2:$F$15,3, FALSE)</f>
        <v>La date de début de la formation doit être postérieure ou égale à la date de recrutement dans la FPE ou dans la carrière militaire.</v>
      </c>
      <c r="AS3" s="17" t="s">
        <v>83</v>
      </c>
      <c r="AT3" s="18" t="str">
        <f>VLOOKUP(AS3,'Axe 2 Règles de gestion'!$D$2:$F$15,3, FALSE)</f>
        <v>La date de début de la formation doit être antérieure ou égale à la date de fin de la formation.</v>
      </c>
      <c r="AU3" s="17" t="s">
        <v>85</v>
      </c>
      <c r="AV3" s="18" t="str">
        <f>VLOOKUP(AU3,'Axe 2 Règles de gestion'!$D$2:$F$15,3, FALSE)</f>
        <v>La date de fin de formation doit être antérieure ou égale à la date limite de départ à la retraite.</v>
      </c>
      <c r="AW3" s="17"/>
      <c r="AX3" s="18"/>
      <c r="AY3" s="14" t="s">
        <v>64</v>
      </c>
      <c r="AZ3" s="16" t="s">
        <v>64</v>
      </c>
    </row>
    <row r="4" spans="1:52" ht="101.5" x14ac:dyDescent="0.35">
      <c r="A4" s="14" t="s">
        <v>53</v>
      </c>
      <c r="B4" s="14" t="s">
        <v>54</v>
      </c>
      <c r="C4" s="15">
        <v>45281.460416666669</v>
      </c>
      <c r="D4" s="14" t="s">
        <v>55</v>
      </c>
      <c r="E4" s="16" t="s">
        <v>56</v>
      </c>
      <c r="F4" s="14" t="s">
        <v>57</v>
      </c>
      <c r="G4" s="16" t="s">
        <v>58</v>
      </c>
      <c r="H4" s="14" t="s">
        <v>59</v>
      </c>
      <c r="I4" s="16" t="s">
        <v>58</v>
      </c>
      <c r="J4" s="16" t="s">
        <v>60</v>
      </c>
      <c r="K4" s="16" t="s">
        <v>61</v>
      </c>
      <c r="L4" s="14" t="s">
        <v>62</v>
      </c>
      <c r="M4" s="16" t="s">
        <v>58</v>
      </c>
      <c r="N4" s="14" t="s">
        <v>63</v>
      </c>
      <c r="O4" s="16" t="s">
        <v>64</v>
      </c>
      <c r="P4" s="16" t="s">
        <v>64</v>
      </c>
      <c r="Q4" s="16" t="s">
        <v>97</v>
      </c>
      <c r="R4" s="14" t="s">
        <v>98</v>
      </c>
      <c r="S4" s="14" t="s">
        <v>99</v>
      </c>
      <c r="T4" s="14" t="s">
        <v>68</v>
      </c>
      <c r="U4" s="14" t="s">
        <v>69</v>
      </c>
      <c r="V4" s="15">
        <v>44767</v>
      </c>
      <c r="W4" s="15">
        <v>45155</v>
      </c>
      <c r="X4" s="16" t="s">
        <v>100</v>
      </c>
      <c r="Y4" s="17" t="s">
        <v>71</v>
      </c>
      <c r="Z4" s="18" t="str">
        <f>VLOOKUP(Y4,'Axe 2 Règles de gestion'!$D$2:$F$15,3, FALSE)</f>
        <v>Le plan est établi soit à l'initiative de l'agent, soit à l'initiative de l'employeur avec l'accord de l'agent.</v>
      </c>
      <c r="AA4" s="17" t="s">
        <v>73</v>
      </c>
      <c r="AB4" s="18" t="str">
        <f>VLOOKUP(AA4,'Axe 2 Règles de gestion'!$D$2:$F$15,3, FALSE)</f>
        <v>Le plan est élaboré conjointement par l'agent et son administration d'emploi à l'issue d'échanges personnalisés et formalise les engagements convenus de part et d'autre.</v>
      </c>
      <c r="AC4" s="17" t="s">
        <v>75</v>
      </c>
      <c r="AD4" s="18" t="str">
        <f>VLOOKUP(AC4,'Axe 2 Règles de gestion'!$D$2:$F$15,3, FALSE)</f>
        <v>L'agent peut bénéficier, à sa demande, d'un accompagnement pour son élaboration ainsi que sa mise en oeuvre.</v>
      </c>
      <c r="AE4" s="17" t="s">
        <v>77</v>
      </c>
      <c r="AF4" s="18" t="str">
        <f>VLOOKUP(AE4,'Axe 2 Règles de gestion'!$D$2:$F$15,3, FALSE)</f>
        <v>Si celui-ci a été réalisé, le plan s'appuie sur le document de synthèse du bilan de parcours professionnel.</v>
      </c>
      <c r="AG4" s="17" t="s">
        <v>79</v>
      </c>
      <c r="AH4" s="18" t="str">
        <f>VLOOKUP(AG4,'Axe 2 Règles de gestion'!$D$2:$F$15,3, FALSE)</f>
        <v>Lorsque l'agent bénéficie de l'obligation d'emploi, le référent handicap est informé de la réalisation du plan.</v>
      </c>
      <c r="AI4" s="17"/>
      <c r="AJ4" s="18"/>
      <c r="AK4" s="17"/>
      <c r="AL4" s="18"/>
      <c r="AM4" s="17"/>
      <c r="AN4" s="18"/>
      <c r="AO4" s="17"/>
      <c r="AP4" s="18"/>
      <c r="AQ4" s="17" t="s">
        <v>101</v>
      </c>
      <c r="AR4" s="18" t="str">
        <f>VLOOKUP(AQ4,'Axe 2 Règles de gestion'!$D$2:$F$15,3, FALSE)</f>
        <v>La date de début de la formation doit être postérieure ou égale à la date de début du lien juridique.</v>
      </c>
      <c r="AS4" s="17" t="s">
        <v>83</v>
      </c>
      <c r="AT4" s="18" t="str">
        <f>VLOOKUP(AS4,'Axe 2 Règles de gestion'!$D$2:$F$15,3, FALSE)</f>
        <v>La date de début de la formation doit être antérieure ou égale à la date de fin de la formation.</v>
      </c>
      <c r="AU4" s="17" t="s">
        <v>85</v>
      </c>
      <c r="AV4" s="18" t="str">
        <f>VLOOKUP(AU4,'Axe 2 Règles de gestion'!$D$2:$F$15,3, FALSE)</f>
        <v>La date de fin de formation doit être antérieure ou égale à la date limite de départ à la retraite.</v>
      </c>
      <c r="AW4" s="17" t="s">
        <v>103</v>
      </c>
      <c r="AX4" s="18" t="str">
        <f>VLOOKUP(AW4,'Axe 2 Règles de gestion'!$D$2:$F$15,3, FALSE)</f>
        <v>La date de fin de la formation doit être antérieure ou égale à la date limite de fin réelle ou prévisionnelle du lien juridique.</v>
      </c>
      <c r="AY4" s="14" t="s">
        <v>64</v>
      </c>
      <c r="AZ4" s="16" t="s">
        <v>64</v>
      </c>
    </row>
    <row r="5" spans="1:52" ht="130.5" x14ac:dyDescent="0.35">
      <c r="A5" s="14" t="s">
        <v>53</v>
      </c>
      <c r="B5" s="14" t="s">
        <v>87</v>
      </c>
      <c r="C5" s="15">
        <v>45281.462500000001</v>
      </c>
      <c r="D5" s="14" t="s">
        <v>55</v>
      </c>
      <c r="E5" s="16" t="s">
        <v>56</v>
      </c>
      <c r="F5" s="14" t="s">
        <v>57</v>
      </c>
      <c r="G5" s="16" t="s">
        <v>58</v>
      </c>
      <c r="H5" s="14" t="s">
        <v>59</v>
      </c>
      <c r="I5" s="16" t="s">
        <v>58</v>
      </c>
      <c r="J5" s="16" t="s">
        <v>60</v>
      </c>
      <c r="K5" s="16" t="s">
        <v>61</v>
      </c>
      <c r="L5" s="14" t="s">
        <v>62</v>
      </c>
      <c r="M5" s="16" t="s">
        <v>58</v>
      </c>
      <c r="N5" s="14" t="s">
        <v>63</v>
      </c>
      <c r="O5" s="16" t="s">
        <v>64</v>
      </c>
      <c r="P5" s="16" t="s">
        <v>64</v>
      </c>
      <c r="Q5" s="16" t="s">
        <v>97</v>
      </c>
      <c r="R5" s="14" t="s">
        <v>98</v>
      </c>
      <c r="S5" s="14" t="s">
        <v>99</v>
      </c>
      <c r="T5" s="14" t="s">
        <v>68</v>
      </c>
      <c r="U5" s="14" t="s">
        <v>69</v>
      </c>
      <c r="V5" s="15">
        <v>45156</v>
      </c>
      <c r="W5" s="15"/>
      <c r="X5" s="16" t="s">
        <v>105</v>
      </c>
      <c r="Y5" s="17" t="s">
        <v>71</v>
      </c>
      <c r="Z5" s="18" t="str">
        <f>VLOOKUP(Y5,'Axe 2 Règles de gestion'!$D$2:$F$15,3, FALSE)</f>
        <v>Le plan est établi soit à l'initiative de l'agent, soit à l'initiative de l'employeur avec l'accord de l'agent.</v>
      </c>
      <c r="AA5" s="17" t="s">
        <v>89</v>
      </c>
      <c r="AB5" s="18" t="str">
        <f>VLOOKUP(AA5,'Axe 2 Règles de gestion'!$D$2:$F$15,3, FALSE)</f>
        <v>Le plan est formalisé par une convention signée par l'agent, son responsable hiérarchique et par le service de ressources humaines chargé de sa gestion.</v>
      </c>
      <c r="AC5" s="17" t="s">
        <v>91</v>
      </c>
      <c r="AD5" s="18" t="str">
        <f>VLOOKUP(AC5,'Axe 2 Règles de gestion'!$D$2:$F$15,3, FALSE)</f>
        <v>La convention doit avoir une durée et un objectif professionnel déterminés.</v>
      </c>
      <c r="AE5" s="17" t="s">
        <v>93</v>
      </c>
      <c r="AF5" s="18" t="str">
        <f>VLOOKUP(AE5,'Axe 2 Règles de gestion'!$D$2:$F$15,3, FALSE)</f>
        <v>La convention précise les actions à mettre en œuvre compte tenu des opportunités d'apprentissage, de l'intérêt du service et de sa soutenabilité organisationnelle et financière.</v>
      </c>
      <c r="AG5" s="17" t="s">
        <v>95</v>
      </c>
      <c r="AH5" s="18" t="str">
        <f>VLOOKUP(AG5,'Axe 2 Règles de gestion'!$D$2:$F$15,3, FALSE)</f>
        <v>La convention précise les modalités de suivi et d'échanges réguliers en vue de faire évoluer le plan.</v>
      </c>
      <c r="AI5" s="17" t="s">
        <v>73</v>
      </c>
      <c r="AJ5" s="18" t="str">
        <f>VLOOKUP(AI5,'Axe 2 Règles de gestion'!$D$2:$F$15,3, FALSE)</f>
        <v>Le plan est élaboré conjointement par l'agent et son administration d'emploi à l'issue d'échanges personnalisés et formalise les engagements convenus de part et d'autre.</v>
      </c>
      <c r="AK5" s="17" t="s">
        <v>75</v>
      </c>
      <c r="AL5" s="18" t="str">
        <f>VLOOKUP(AK5,'Axe 2 Règles de gestion'!$D$2:$F$15,3, FALSE)</f>
        <v>L'agent peut bénéficier, à sa demande, d'un accompagnement pour son élaboration ainsi que sa mise en oeuvre.</v>
      </c>
      <c r="AM5" s="17" t="s">
        <v>77</v>
      </c>
      <c r="AN5" s="18" t="str">
        <f>VLOOKUP(AM5,'Axe 2 Règles de gestion'!$D$2:$F$15,3, FALSE)</f>
        <v>Si celui-ci a été réalisé, le plan s'appuie sur le document de synthèse du bilan de parcours professionnel.</v>
      </c>
      <c r="AO5" s="17" t="s">
        <v>79</v>
      </c>
      <c r="AP5" s="18" t="str">
        <f>VLOOKUP(AO5,'Axe 2 Règles de gestion'!$D$2:$F$15,3, FALSE)</f>
        <v>Lorsque l'agent bénéficie de l'obligation d'emploi, le référent handicap est informé de la réalisation du plan.</v>
      </c>
      <c r="AQ5" s="17" t="s">
        <v>101</v>
      </c>
      <c r="AR5" s="18" t="str">
        <f>VLOOKUP(AQ5,'Axe 2 Règles de gestion'!$D$2:$F$15,3, FALSE)</f>
        <v>La date de début de la formation doit être postérieure ou égale à la date de début du lien juridique.</v>
      </c>
      <c r="AS5" s="17" t="s">
        <v>83</v>
      </c>
      <c r="AT5" s="18" t="str">
        <f>VLOOKUP(AS5,'Axe 2 Règles de gestion'!$D$2:$F$15,3, FALSE)</f>
        <v>La date de début de la formation doit être antérieure ou égale à la date de fin de la formation.</v>
      </c>
      <c r="AU5" s="17" t="s">
        <v>85</v>
      </c>
      <c r="AV5" s="18" t="str">
        <f>VLOOKUP(AU5,'Axe 2 Règles de gestion'!$D$2:$F$15,3, FALSE)</f>
        <v>La date de fin de formation doit être antérieure ou égale à la date limite de départ à la retraite.</v>
      </c>
      <c r="AW5" s="17" t="s">
        <v>103</v>
      </c>
      <c r="AX5" s="18" t="str">
        <f>VLOOKUP(AW5,'Axe 2 Règles de gestion'!$D$2:$F$15,3, FALSE)</f>
        <v>La date de fin de la formation doit être antérieure ou égale à la date limite de fin réelle ou prévisionnelle du lien juridique.</v>
      </c>
      <c r="AY5" s="14" t="s">
        <v>64</v>
      </c>
      <c r="AZ5" s="16" t="s">
        <v>64</v>
      </c>
    </row>
    <row r="6" spans="1:52" ht="101.5" x14ac:dyDescent="0.35">
      <c r="A6" s="14" t="s">
        <v>53</v>
      </c>
      <c r="B6" s="14" t="s">
        <v>54</v>
      </c>
      <c r="C6" s="15">
        <v>45281.463194444441</v>
      </c>
      <c r="D6" s="14" t="s">
        <v>55</v>
      </c>
      <c r="E6" s="16" t="s">
        <v>56</v>
      </c>
      <c r="F6" s="14" t="s">
        <v>57</v>
      </c>
      <c r="G6" s="16" t="s">
        <v>58</v>
      </c>
      <c r="H6" s="14" t="s">
        <v>59</v>
      </c>
      <c r="I6" s="16" t="s">
        <v>58</v>
      </c>
      <c r="J6" s="16" t="s">
        <v>60</v>
      </c>
      <c r="K6" s="16" t="s">
        <v>61</v>
      </c>
      <c r="L6" s="14" t="s">
        <v>62</v>
      </c>
      <c r="M6" s="16" t="s">
        <v>58</v>
      </c>
      <c r="N6" s="14" t="s">
        <v>63</v>
      </c>
      <c r="O6" s="16" t="s">
        <v>64</v>
      </c>
      <c r="P6" s="16" t="s">
        <v>64</v>
      </c>
      <c r="Q6" s="16" t="s">
        <v>106</v>
      </c>
      <c r="R6" s="14" t="s">
        <v>107</v>
      </c>
      <c r="S6" s="14" t="s">
        <v>108</v>
      </c>
      <c r="T6" s="14" t="s">
        <v>68</v>
      </c>
      <c r="U6" s="14" t="s">
        <v>69</v>
      </c>
      <c r="V6" s="15">
        <v>44767</v>
      </c>
      <c r="W6" s="15">
        <v>45155</v>
      </c>
      <c r="X6" s="16" t="s">
        <v>70</v>
      </c>
      <c r="Y6" s="17" t="s">
        <v>71</v>
      </c>
      <c r="Z6" s="18" t="str">
        <f>VLOOKUP(Y6,'Axe 2 Règles de gestion'!$D$2:$F$15,3, FALSE)</f>
        <v>Le plan est établi soit à l'initiative de l'agent, soit à l'initiative de l'employeur avec l'accord de l'agent.</v>
      </c>
      <c r="AA6" s="17" t="s">
        <v>73</v>
      </c>
      <c r="AB6" s="18" t="str">
        <f>VLOOKUP(AA6,'Axe 2 Règles de gestion'!$D$2:$F$15,3, FALSE)</f>
        <v>Le plan est élaboré conjointement par l'agent et son administration d'emploi à l'issue d'échanges personnalisés et formalise les engagements convenus de part et d'autre.</v>
      </c>
      <c r="AC6" s="17" t="s">
        <v>75</v>
      </c>
      <c r="AD6" s="18" t="str">
        <f>VLOOKUP(AC6,'Axe 2 Règles de gestion'!$D$2:$F$15,3, FALSE)</f>
        <v>L'agent peut bénéficier, à sa demande, d'un accompagnement pour son élaboration ainsi que sa mise en oeuvre.</v>
      </c>
      <c r="AE6" s="17" t="s">
        <v>77</v>
      </c>
      <c r="AF6" s="18" t="str">
        <f>VLOOKUP(AE6,'Axe 2 Règles de gestion'!$D$2:$F$15,3, FALSE)</f>
        <v>Si celui-ci a été réalisé, le plan s'appuie sur le document de synthèse du bilan de parcours professionnel.</v>
      </c>
      <c r="AG6" s="17" t="s">
        <v>79</v>
      </c>
      <c r="AH6" s="18" t="str">
        <f>VLOOKUP(AG6,'Axe 2 Règles de gestion'!$D$2:$F$15,3, FALSE)</f>
        <v>Lorsque l'agent bénéficie de l'obligation d'emploi, le référent handicap est informé de la réalisation du plan.</v>
      </c>
      <c r="AI6" s="17"/>
      <c r="AJ6" s="18"/>
      <c r="AK6" s="17"/>
      <c r="AL6" s="18"/>
      <c r="AM6" s="17"/>
      <c r="AN6" s="18"/>
      <c r="AO6" s="17"/>
      <c r="AP6" s="18"/>
      <c r="AQ6" s="17" t="s">
        <v>81</v>
      </c>
      <c r="AR6" s="18" t="str">
        <f>VLOOKUP(AQ6,'Axe 2 Règles de gestion'!$D$2:$F$15,3, FALSE)</f>
        <v>La date de début de la formation doit être postérieure ou égale à la date de recrutement dans la FPE ou dans la carrière militaire.</v>
      </c>
      <c r="AS6" s="17" t="s">
        <v>83</v>
      </c>
      <c r="AT6" s="18" t="str">
        <f>VLOOKUP(AS6,'Axe 2 Règles de gestion'!$D$2:$F$15,3, FALSE)</f>
        <v>La date de début de la formation doit être antérieure ou égale à la date de fin de la formation.</v>
      </c>
      <c r="AU6" s="17" t="s">
        <v>85</v>
      </c>
      <c r="AV6" s="18" t="str">
        <f>VLOOKUP(AU6,'Axe 2 Règles de gestion'!$D$2:$F$15,3, FALSE)</f>
        <v>La date de fin de formation doit être antérieure ou égale à la date limite de départ à la retraite.</v>
      </c>
      <c r="AW6" s="17"/>
      <c r="AX6" s="18"/>
      <c r="AY6" s="14" t="s">
        <v>64</v>
      </c>
      <c r="AZ6" s="16" t="s">
        <v>64</v>
      </c>
    </row>
    <row r="7" spans="1:52" ht="130.5" x14ac:dyDescent="0.35">
      <c r="A7" s="14" t="s">
        <v>53</v>
      </c>
      <c r="B7" s="14" t="s">
        <v>87</v>
      </c>
      <c r="C7" s="15">
        <v>45281.463194444441</v>
      </c>
      <c r="D7" s="14" t="s">
        <v>55</v>
      </c>
      <c r="E7" s="16" t="s">
        <v>56</v>
      </c>
      <c r="F7" s="14" t="s">
        <v>57</v>
      </c>
      <c r="G7" s="16" t="s">
        <v>58</v>
      </c>
      <c r="H7" s="14" t="s">
        <v>59</v>
      </c>
      <c r="I7" s="16" t="s">
        <v>58</v>
      </c>
      <c r="J7" s="16" t="s">
        <v>60</v>
      </c>
      <c r="K7" s="16" t="s">
        <v>61</v>
      </c>
      <c r="L7" s="14" t="s">
        <v>62</v>
      </c>
      <c r="M7" s="16" t="s">
        <v>58</v>
      </c>
      <c r="N7" s="14" t="s">
        <v>63</v>
      </c>
      <c r="O7" s="16" t="s">
        <v>64</v>
      </c>
      <c r="P7" s="16" t="s">
        <v>64</v>
      </c>
      <c r="Q7" s="16" t="s">
        <v>106</v>
      </c>
      <c r="R7" s="14" t="s">
        <v>107</v>
      </c>
      <c r="S7" s="14" t="s">
        <v>108</v>
      </c>
      <c r="T7" s="14" t="s">
        <v>68</v>
      </c>
      <c r="U7" s="14" t="s">
        <v>69</v>
      </c>
      <c r="V7" s="15">
        <v>45156</v>
      </c>
      <c r="W7" s="15"/>
      <c r="X7" s="16" t="s">
        <v>88</v>
      </c>
      <c r="Y7" s="17" t="s">
        <v>71</v>
      </c>
      <c r="Z7" s="18" t="str">
        <f>VLOOKUP(Y7,'Axe 2 Règles de gestion'!$D$2:$F$15,3, FALSE)</f>
        <v>Le plan est établi soit à l'initiative de l'agent, soit à l'initiative de l'employeur avec l'accord de l'agent.</v>
      </c>
      <c r="AA7" s="17" t="s">
        <v>89</v>
      </c>
      <c r="AB7" s="18" t="str">
        <f>VLOOKUP(AA7,'Axe 2 Règles de gestion'!$D$2:$F$15,3, FALSE)</f>
        <v>Le plan est formalisé par une convention signée par l'agent, son responsable hiérarchique et par le service de ressources humaines chargé de sa gestion.</v>
      </c>
      <c r="AC7" s="17" t="s">
        <v>91</v>
      </c>
      <c r="AD7" s="18" t="str">
        <f>VLOOKUP(AC7,'Axe 2 Règles de gestion'!$D$2:$F$15,3, FALSE)</f>
        <v>La convention doit avoir une durée et un objectif professionnel déterminés.</v>
      </c>
      <c r="AE7" s="17" t="s">
        <v>93</v>
      </c>
      <c r="AF7" s="18" t="str">
        <f>VLOOKUP(AE7,'Axe 2 Règles de gestion'!$D$2:$F$15,3, FALSE)</f>
        <v>La convention précise les actions à mettre en œuvre compte tenu des opportunités d'apprentissage, de l'intérêt du service et de sa soutenabilité organisationnelle et financière.</v>
      </c>
      <c r="AG7" s="17" t="s">
        <v>95</v>
      </c>
      <c r="AH7" s="18" t="str">
        <f>VLOOKUP(AG7,'Axe 2 Règles de gestion'!$D$2:$F$15,3, FALSE)</f>
        <v>La convention précise les modalités de suivi et d'échanges réguliers en vue de faire évoluer le plan.</v>
      </c>
      <c r="AI7" s="17" t="s">
        <v>73</v>
      </c>
      <c r="AJ7" s="18" t="str">
        <f>VLOOKUP(AI7,'Axe 2 Règles de gestion'!$D$2:$F$15,3, FALSE)</f>
        <v>Le plan est élaboré conjointement par l'agent et son administration d'emploi à l'issue d'échanges personnalisés et formalise les engagements convenus de part et d'autre.</v>
      </c>
      <c r="AK7" s="17" t="s">
        <v>75</v>
      </c>
      <c r="AL7" s="18" t="str">
        <f>VLOOKUP(AK7,'Axe 2 Règles de gestion'!$D$2:$F$15,3, FALSE)</f>
        <v>L'agent peut bénéficier, à sa demande, d'un accompagnement pour son élaboration ainsi que sa mise en oeuvre.</v>
      </c>
      <c r="AM7" s="17" t="s">
        <v>77</v>
      </c>
      <c r="AN7" s="18" t="str">
        <f>VLOOKUP(AM7,'Axe 2 Règles de gestion'!$D$2:$F$15,3, FALSE)</f>
        <v>Si celui-ci a été réalisé, le plan s'appuie sur le document de synthèse du bilan de parcours professionnel.</v>
      </c>
      <c r="AO7" s="17" t="s">
        <v>79</v>
      </c>
      <c r="AP7" s="18" t="str">
        <f>VLOOKUP(AO7,'Axe 2 Règles de gestion'!$D$2:$F$15,3, FALSE)</f>
        <v>Lorsque l'agent bénéficie de l'obligation d'emploi, le référent handicap est informé de la réalisation du plan.</v>
      </c>
      <c r="AQ7" s="17" t="s">
        <v>81</v>
      </c>
      <c r="AR7" s="18" t="str">
        <f>VLOOKUP(AQ7,'Axe 2 Règles de gestion'!$D$2:$F$15,3, FALSE)</f>
        <v>La date de début de la formation doit être postérieure ou égale à la date de recrutement dans la FPE ou dans la carrière militaire.</v>
      </c>
      <c r="AS7" s="17" t="s">
        <v>83</v>
      </c>
      <c r="AT7" s="18" t="str">
        <f>VLOOKUP(AS7,'Axe 2 Règles de gestion'!$D$2:$F$15,3, FALSE)</f>
        <v>La date de début de la formation doit être antérieure ou égale à la date de fin de la formation.</v>
      </c>
      <c r="AU7" s="17" t="s">
        <v>85</v>
      </c>
      <c r="AV7" s="18" t="str">
        <f>VLOOKUP(AU7,'Axe 2 Règles de gestion'!$D$2:$F$15,3, FALSE)</f>
        <v>La date de fin de formation doit être antérieure ou égale à la date limite de départ à la retraite.</v>
      </c>
      <c r="AW7" s="17"/>
      <c r="AX7" s="18"/>
      <c r="AY7" s="14" t="s">
        <v>64</v>
      </c>
      <c r="AZ7" s="16" t="s">
        <v>64</v>
      </c>
    </row>
    <row r="8" spans="1:52" ht="101.5" x14ac:dyDescent="0.35">
      <c r="A8" s="14" t="s">
        <v>53</v>
      </c>
      <c r="B8" s="14" t="s">
        <v>54</v>
      </c>
      <c r="C8" s="15">
        <v>45281.463194444441</v>
      </c>
      <c r="D8" s="14" t="s">
        <v>55</v>
      </c>
      <c r="E8" s="16" t="s">
        <v>56</v>
      </c>
      <c r="F8" s="14" t="s">
        <v>57</v>
      </c>
      <c r="G8" s="16" t="s">
        <v>58</v>
      </c>
      <c r="H8" s="14" t="s">
        <v>59</v>
      </c>
      <c r="I8" s="16" t="s">
        <v>58</v>
      </c>
      <c r="J8" s="16" t="s">
        <v>60</v>
      </c>
      <c r="K8" s="16" t="s">
        <v>61</v>
      </c>
      <c r="L8" s="14" t="s">
        <v>62</v>
      </c>
      <c r="M8" s="16" t="s">
        <v>58</v>
      </c>
      <c r="N8" s="14" t="s">
        <v>63</v>
      </c>
      <c r="O8" s="16" t="s">
        <v>64</v>
      </c>
      <c r="P8" s="16" t="s">
        <v>64</v>
      </c>
      <c r="Q8" s="16" t="s">
        <v>109</v>
      </c>
      <c r="R8" s="14" t="s">
        <v>110</v>
      </c>
      <c r="S8" s="14" t="s">
        <v>111</v>
      </c>
      <c r="T8" s="14" t="s">
        <v>68</v>
      </c>
      <c r="U8" s="14" t="s">
        <v>69</v>
      </c>
      <c r="V8" s="15">
        <v>44767</v>
      </c>
      <c r="W8" s="15">
        <v>45155</v>
      </c>
      <c r="X8" s="16" t="s">
        <v>100</v>
      </c>
      <c r="Y8" s="17" t="s">
        <v>71</v>
      </c>
      <c r="Z8" s="18" t="str">
        <f>VLOOKUP(Y8,'Axe 2 Règles de gestion'!$D$2:$F$15,3, FALSE)</f>
        <v>Le plan est établi soit à l'initiative de l'agent, soit à l'initiative de l'employeur avec l'accord de l'agent.</v>
      </c>
      <c r="AA8" s="17" t="s">
        <v>73</v>
      </c>
      <c r="AB8" s="18" t="str">
        <f>VLOOKUP(AA8,'Axe 2 Règles de gestion'!$D$2:$F$15,3, FALSE)</f>
        <v>Le plan est élaboré conjointement par l'agent et son administration d'emploi à l'issue d'échanges personnalisés et formalise les engagements convenus de part et d'autre.</v>
      </c>
      <c r="AC8" s="17" t="s">
        <v>75</v>
      </c>
      <c r="AD8" s="18" t="str">
        <f>VLOOKUP(AC8,'Axe 2 Règles de gestion'!$D$2:$F$15,3, FALSE)</f>
        <v>L'agent peut bénéficier, à sa demande, d'un accompagnement pour son élaboration ainsi que sa mise en oeuvre.</v>
      </c>
      <c r="AE8" s="17" t="s">
        <v>77</v>
      </c>
      <c r="AF8" s="18" t="str">
        <f>VLOOKUP(AE8,'Axe 2 Règles de gestion'!$D$2:$F$15,3, FALSE)</f>
        <v>Si celui-ci a été réalisé, le plan s'appuie sur le document de synthèse du bilan de parcours professionnel.</v>
      </c>
      <c r="AG8" s="17" t="s">
        <v>79</v>
      </c>
      <c r="AH8" s="18" t="str">
        <f>VLOOKUP(AG8,'Axe 2 Règles de gestion'!$D$2:$F$15,3, FALSE)</f>
        <v>Lorsque l'agent bénéficie de l'obligation d'emploi, le référent handicap est informé de la réalisation du plan.</v>
      </c>
      <c r="AI8" s="17"/>
      <c r="AJ8" s="18"/>
      <c r="AK8" s="17"/>
      <c r="AL8" s="18"/>
      <c r="AM8" s="17"/>
      <c r="AN8" s="18"/>
      <c r="AO8" s="17"/>
      <c r="AP8" s="18"/>
      <c r="AQ8" s="17" t="s">
        <v>101</v>
      </c>
      <c r="AR8" s="18" t="str">
        <f>VLOOKUP(AQ8,'Axe 2 Règles de gestion'!$D$2:$F$15,3, FALSE)</f>
        <v>La date de début de la formation doit être postérieure ou égale à la date de début du lien juridique.</v>
      </c>
      <c r="AS8" s="17" t="s">
        <v>83</v>
      </c>
      <c r="AT8" s="18" t="str">
        <f>VLOOKUP(AS8,'Axe 2 Règles de gestion'!$D$2:$F$15,3, FALSE)</f>
        <v>La date de début de la formation doit être antérieure ou égale à la date de fin de la formation.</v>
      </c>
      <c r="AU8" s="17" t="s">
        <v>85</v>
      </c>
      <c r="AV8" s="18" t="str">
        <f>VLOOKUP(AU8,'Axe 2 Règles de gestion'!$D$2:$F$15,3, FALSE)</f>
        <v>La date de fin de formation doit être antérieure ou égale à la date limite de départ à la retraite.</v>
      </c>
      <c r="AW8" s="17" t="s">
        <v>103</v>
      </c>
      <c r="AX8" s="18" t="str">
        <f>VLOOKUP(AW8,'Axe 2 Règles de gestion'!$D$2:$F$15,3, FALSE)</f>
        <v>La date de fin de la formation doit être antérieure ou égale à la date limite de fin réelle ou prévisionnelle du lien juridique.</v>
      </c>
      <c r="AY8" s="14" t="s">
        <v>64</v>
      </c>
      <c r="AZ8" s="16" t="s">
        <v>64</v>
      </c>
    </row>
    <row r="9" spans="1:52" ht="130.5" x14ac:dyDescent="0.35">
      <c r="A9" s="14" t="s">
        <v>53</v>
      </c>
      <c r="B9" s="14" t="s">
        <v>87</v>
      </c>
      <c r="C9" s="15">
        <v>45281.463194444441</v>
      </c>
      <c r="D9" s="14" t="s">
        <v>55</v>
      </c>
      <c r="E9" s="16" t="s">
        <v>56</v>
      </c>
      <c r="F9" s="14" t="s">
        <v>57</v>
      </c>
      <c r="G9" s="16" t="s">
        <v>58</v>
      </c>
      <c r="H9" s="14" t="s">
        <v>59</v>
      </c>
      <c r="I9" s="16" t="s">
        <v>58</v>
      </c>
      <c r="J9" s="16" t="s">
        <v>60</v>
      </c>
      <c r="K9" s="16" t="s">
        <v>61</v>
      </c>
      <c r="L9" s="14" t="s">
        <v>62</v>
      </c>
      <c r="M9" s="16" t="s">
        <v>58</v>
      </c>
      <c r="N9" s="14" t="s">
        <v>63</v>
      </c>
      <c r="O9" s="16" t="s">
        <v>64</v>
      </c>
      <c r="P9" s="16" t="s">
        <v>64</v>
      </c>
      <c r="Q9" s="16" t="s">
        <v>109</v>
      </c>
      <c r="R9" s="14" t="s">
        <v>110</v>
      </c>
      <c r="S9" s="14" t="s">
        <v>111</v>
      </c>
      <c r="T9" s="14" t="s">
        <v>68</v>
      </c>
      <c r="U9" s="14" t="s">
        <v>69</v>
      </c>
      <c r="V9" s="15">
        <v>45156</v>
      </c>
      <c r="W9" s="15"/>
      <c r="X9" s="16" t="s">
        <v>105</v>
      </c>
      <c r="Y9" s="17" t="s">
        <v>71</v>
      </c>
      <c r="Z9" s="18" t="str">
        <f>VLOOKUP(Y9,'Axe 2 Règles de gestion'!$D$2:$F$15,3, FALSE)</f>
        <v>Le plan est établi soit à l'initiative de l'agent, soit à l'initiative de l'employeur avec l'accord de l'agent.</v>
      </c>
      <c r="AA9" s="17" t="s">
        <v>89</v>
      </c>
      <c r="AB9" s="18" t="str">
        <f>VLOOKUP(AA9,'Axe 2 Règles de gestion'!$D$2:$F$15,3, FALSE)</f>
        <v>Le plan est formalisé par une convention signée par l'agent, son responsable hiérarchique et par le service de ressources humaines chargé de sa gestion.</v>
      </c>
      <c r="AC9" s="17" t="s">
        <v>91</v>
      </c>
      <c r="AD9" s="18" t="str">
        <f>VLOOKUP(AC9,'Axe 2 Règles de gestion'!$D$2:$F$15,3, FALSE)</f>
        <v>La convention doit avoir une durée et un objectif professionnel déterminés.</v>
      </c>
      <c r="AE9" s="17" t="s">
        <v>93</v>
      </c>
      <c r="AF9" s="18" t="str">
        <f>VLOOKUP(AE9,'Axe 2 Règles de gestion'!$D$2:$F$15,3, FALSE)</f>
        <v>La convention précise les actions à mettre en œuvre compte tenu des opportunités d'apprentissage, de l'intérêt du service et de sa soutenabilité organisationnelle et financière.</v>
      </c>
      <c r="AG9" s="17" t="s">
        <v>95</v>
      </c>
      <c r="AH9" s="18" t="str">
        <f>VLOOKUP(AG9,'Axe 2 Règles de gestion'!$D$2:$F$15,3, FALSE)</f>
        <v>La convention précise les modalités de suivi et d'échanges réguliers en vue de faire évoluer le plan.</v>
      </c>
      <c r="AI9" s="17" t="s">
        <v>73</v>
      </c>
      <c r="AJ9" s="18" t="str">
        <f>VLOOKUP(AI9,'Axe 2 Règles de gestion'!$D$2:$F$15,3, FALSE)</f>
        <v>Le plan est élaboré conjointement par l'agent et son administration d'emploi à l'issue d'échanges personnalisés et formalise les engagements convenus de part et d'autre.</v>
      </c>
      <c r="AK9" s="17" t="s">
        <v>75</v>
      </c>
      <c r="AL9" s="18" t="str">
        <f>VLOOKUP(AK9,'Axe 2 Règles de gestion'!$D$2:$F$15,3, FALSE)</f>
        <v>L'agent peut bénéficier, à sa demande, d'un accompagnement pour son élaboration ainsi que sa mise en oeuvre.</v>
      </c>
      <c r="AM9" s="17" t="s">
        <v>77</v>
      </c>
      <c r="AN9" s="18" t="str">
        <f>VLOOKUP(AM9,'Axe 2 Règles de gestion'!$D$2:$F$15,3, FALSE)</f>
        <v>Si celui-ci a été réalisé, le plan s'appuie sur le document de synthèse du bilan de parcours professionnel.</v>
      </c>
      <c r="AO9" s="17" t="s">
        <v>79</v>
      </c>
      <c r="AP9" s="18" t="str">
        <f>VLOOKUP(AO9,'Axe 2 Règles de gestion'!$D$2:$F$15,3, FALSE)</f>
        <v>Lorsque l'agent bénéficie de l'obligation d'emploi, le référent handicap est informé de la réalisation du plan.</v>
      </c>
      <c r="AQ9" s="17" t="s">
        <v>101</v>
      </c>
      <c r="AR9" s="18" t="str">
        <f>VLOOKUP(AQ9,'Axe 2 Règles de gestion'!$D$2:$F$15,3, FALSE)</f>
        <v>La date de début de la formation doit être postérieure ou égale à la date de début du lien juridique.</v>
      </c>
      <c r="AS9" s="17" t="s">
        <v>83</v>
      </c>
      <c r="AT9" s="18" t="str">
        <f>VLOOKUP(AS9,'Axe 2 Règles de gestion'!$D$2:$F$15,3, FALSE)</f>
        <v>La date de début de la formation doit être antérieure ou égale à la date de fin de la formation.</v>
      </c>
      <c r="AU9" s="17" t="s">
        <v>85</v>
      </c>
      <c r="AV9" s="18" t="str">
        <f>VLOOKUP(AU9,'Axe 2 Règles de gestion'!$D$2:$F$15,3, FALSE)</f>
        <v>La date de fin de formation doit être antérieure ou égale à la date limite de départ à la retraite.</v>
      </c>
      <c r="AW9" s="17" t="s">
        <v>103</v>
      </c>
      <c r="AX9" s="18" t="str">
        <f>VLOOKUP(AW9,'Axe 2 Règles de gestion'!$D$2:$F$15,3, FALSE)</f>
        <v>La date de fin de la formation doit être antérieure ou égale à la date limite de fin réelle ou prévisionnelle du lien juridique.</v>
      </c>
      <c r="AY9" s="14" t="s">
        <v>64</v>
      </c>
      <c r="AZ9" s="16" t="s">
        <v>64</v>
      </c>
    </row>
    <row r="10" spans="1:52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64</v>
      </c>
      <c r="K10" s="20" t="s">
        <v>64</v>
      </c>
      <c r="L10" s="20"/>
      <c r="M10" s="20"/>
      <c r="N10" s="20" t="s">
        <v>64</v>
      </c>
      <c r="O10" s="20" t="s">
        <v>64</v>
      </c>
      <c r="P10" s="20" t="s">
        <v>64</v>
      </c>
      <c r="Q10" s="20"/>
      <c r="R10" s="20"/>
      <c r="T10" s="20"/>
      <c r="U10" s="19"/>
      <c r="V10" s="22"/>
      <c r="W10" s="22"/>
      <c r="X10" s="20"/>
      <c r="AY10" s="25"/>
      <c r="AZ10" s="20"/>
    </row>
    <row r="11" spans="1:52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64</v>
      </c>
      <c r="K11" s="20" t="s">
        <v>64</v>
      </c>
      <c r="L11" s="20"/>
      <c r="M11" s="20"/>
      <c r="N11" s="20" t="s">
        <v>64</v>
      </c>
      <c r="O11" s="20" t="s">
        <v>64</v>
      </c>
      <c r="P11" s="20" t="s">
        <v>64</v>
      </c>
      <c r="Q11" s="20"/>
      <c r="R11" s="20"/>
      <c r="T11" s="20"/>
      <c r="U11" s="19"/>
      <c r="V11" s="22"/>
      <c r="W11" s="22"/>
      <c r="X11" s="20"/>
      <c r="AY11" s="25"/>
      <c r="AZ11" s="20"/>
    </row>
    <row r="12" spans="1:52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64</v>
      </c>
      <c r="K12" s="20" t="s">
        <v>64</v>
      </c>
      <c r="L12" s="20"/>
      <c r="M12" s="20"/>
      <c r="N12" s="20" t="s">
        <v>64</v>
      </c>
      <c r="O12" s="20" t="s">
        <v>64</v>
      </c>
      <c r="P12" s="20" t="s">
        <v>64</v>
      </c>
      <c r="Q12" s="20"/>
      <c r="R12" s="20"/>
      <c r="T12" s="20"/>
      <c r="U12" s="19"/>
      <c r="V12" s="22"/>
      <c r="W12" s="22"/>
      <c r="X12" s="20"/>
      <c r="AY12" s="25"/>
      <c r="AZ12" s="20"/>
    </row>
    <row r="13" spans="1:52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64</v>
      </c>
      <c r="K13" s="20" t="s">
        <v>64</v>
      </c>
      <c r="L13" s="20"/>
      <c r="M13" s="20"/>
      <c r="N13" s="20" t="s">
        <v>64</v>
      </c>
      <c r="O13" s="20" t="s">
        <v>64</v>
      </c>
      <c r="P13" s="20" t="s">
        <v>64</v>
      </c>
      <c r="Q13" s="20"/>
      <c r="R13" s="20"/>
      <c r="T13" s="20"/>
      <c r="U13" s="19"/>
      <c r="V13" s="22"/>
      <c r="W13" s="22"/>
      <c r="X13" s="20"/>
      <c r="AY13" s="25"/>
      <c r="AZ13" s="20"/>
    </row>
    <row r="14" spans="1:52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64</v>
      </c>
      <c r="K14" s="20" t="s">
        <v>64</v>
      </c>
      <c r="L14" s="20"/>
      <c r="M14" s="20"/>
      <c r="N14" s="20" t="s">
        <v>64</v>
      </c>
      <c r="O14" s="20" t="s">
        <v>64</v>
      </c>
      <c r="P14" s="20" t="s">
        <v>64</v>
      </c>
      <c r="Q14" s="20"/>
      <c r="R14" s="20"/>
      <c r="T14" s="20"/>
      <c r="U14" s="19"/>
      <c r="V14" s="22"/>
      <c r="W14" s="22"/>
      <c r="X14" s="20"/>
      <c r="AY14" s="25"/>
      <c r="AZ14" s="20"/>
    </row>
    <row r="15" spans="1:52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64</v>
      </c>
      <c r="K15" s="20" t="s">
        <v>64</v>
      </c>
      <c r="L15" s="20"/>
      <c r="M15" s="20"/>
      <c r="N15" s="20" t="s">
        <v>64</v>
      </c>
      <c r="O15" s="20" t="s">
        <v>64</v>
      </c>
      <c r="P15" s="20" t="s">
        <v>64</v>
      </c>
      <c r="Q15" s="20"/>
      <c r="R15" s="20"/>
      <c r="T15" s="20"/>
      <c r="U15" s="19"/>
      <c r="V15" s="22"/>
      <c r="W15" s="22"/>
      <c r="X15" s="20"/>
      <c r="AY15" s="25"/>
      <c r="AZ15" s="20"/>
    </row>
    <row r="16" spans="1:52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64</v>
      </c>
      <c r="K16" s="20" t="s">
        <v>64</v>
      </c>
      <c r="L16" s="20"/>
      <c r="M16" s="20"/>
      <c r="N16" s="20" t="s">
        <v>64</v>
      </c>
      <c r="O16" s="20" t="s">
        <v>64</v>
      </c>
      <c r="P16" s="20" t="s">
        <v>64</v>
      </c>
      <c r="Q16" s="20"/>
      <c r="R16" s="20"/>
      <c r="T16" s="20"/>
      <c r="U16" s="19"/>
      <c r="V16" s="22"/>
      <c r="W16" s="22"/>
      <c r="X16" s="20"/>
      <c r="AY16" s="25"/>
      <c r="AZ16" s="20"/>
    </row>
    <row r="17" spans="1:52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64</v>
      </c>
      <c r="K17" s="20" t="s">
        <v>64</v>
      </c>
      <c r="L17" s="20"/>
      <c r="M17" s="20"/>
      <c r="N17" s="20" t="s">
        <v>64</v>
      </c>
      <c r="O17" s="20" t="s">
        <v>64</v>
      </c>
      <c r="P17" s="20" t="s">
        <v>64</v>
      </c>
      <c r="Q17" s="20"/>
      <c r="R17" s="20"/>
      <c r="T17" s="20"/>
      <c r="U17" s="19"/>
      <c r="V17" s="22"/>
      <c r="W17" s="22"/>
      <c r="X17" s="20"/>
      <c r="AY17" s="25"/>
      <c r="AZ17" s="20"/>
    </row>
    <row r="18" spans="1:52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64</v>
      </c>
      <c r="K18" s="20" t="s">
        <v>64</v>
      </c>
      <c r="L18" s="20"/>
      <c r="M18" s="20"/>
      <c r="N18" s="20" t="s">
        <v>64</v>
      </c>
      <c r="O18" s="20" t="s">
        <v>64</v>
      </c>
      <c r="P18" s="20" t="s">
        <v>64</v>
      </c>
      <c r="Q18" s="20"/>
      <c r="R18" s="20"/>
      <c r="T18" s="20"/>
      <c r="U18" s="19"/>
      <c r="V18" s="22"/>
      <c r="W18" s="22"/>
      <c r="X18" s="20"/>
      <c r="AY18" s="25"/>
      <c r="AZ18" s="20"/>
    </row>
    <row r="19" spans="1:52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64</v>
      </c>
      <c r="K19" s="20" t="s">
        <v>64</v>
      </c>
      <c r="L19" s="20"/>
      <c r="M19" s="20"/>
      <c r="N19" s="20" t="s">
        <v>64</v>
      </c>
      <c r="O19" s="20" t="s">
        <v>64</v>
      </c>
      <c r="P19" s="20" t="s">
        <v>64</v>
      </c>
      <c r="Q19" s="20"/>
      <c r="R19" s="20"/>
      <c r="T19" s="20"/>
      <c r="U19" s="19"/>
      <c r="V19" s="22"/>
      <c r="W19" s="22"/>
      <c r="X19" s="20"/>
      <c r="AY19" s="25"/>
      <c r="AZ19" s="20"/>
    </row>
    <row r="20" spans="1:52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64</v>
      </c>
      <c r="K20" s="20" t="s">
        <v>64</v>
      </c>
      <c r="L20" s="20"/>
      <c r="M20" s="20"/>
      <c r="N20" s="20" t="s">
        <v>64</v>
      </c>
      <c r="O20" s="20" t="s">
        <v>64</v>
      </c>
      <c r="P20" s="20" t="s">
        <v>64</v>
      </c>
      <c r="Q20" s="20"/>
      <c r="R20" s="20"/>
      <c r="T20" s="20"/>
      <c r="U20" s="19"/>
      <c r="V20" s="22"/>
      <c r="W20" s="22"/>
      <c r="X20" s="20"/>
      <c r="AY20" s="25"/>
      <c r="AZ20" s="20"/>
    </row>
    <row r="21" spans="1:52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64</v>
      </c>
      <c r="K21" s="20" t="s">
        <v>64</v>
      </c>
      <c r="L21" s="20"/>
      <c r="M21" s="20"/>
      <c r="N21" s="20" t="s">
        <v>64</v>
      </c>
      <c r="O21" s="20" t="s">
        <v>64</v>
      </c>
      <c r="P21" s="20" t="s">
        <v>64</v>
      </c>
      <c r="Q21" s="20"/>
      <c r="R21" s="20"/>
      <c r="T21" s="20"/>
      <c r="U21" s="19"/>
      <c r="V21" s="22"/>
      <c r="W21" s="22"/>
      <c r="X21" s="20"/>
      <c r="AY21" s="25"/>
      <c r="AZ21" s="20"/>
    </row>
    <row r="22" spans="1:52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64</v>
      </c>
      <c r="K22" s="20" t="s">
        <v>64</v>
      </c>
      <c r="L22" s="20"/>
      <c r="M22" s="20"/>
      <c r="N22" s="20" t="s">
        <v>64</v>
      </c>
      <c r="O22" s="20" t="s">
        <v>64</v>
      </c>
      <c r="P22" s="20" t="s">
        <v>64</v>
      </c>
      <c r="Q22" s="20"/>
      <c r="R22" s="20"/>
      <c r="T22" s="20"/>
      <c r="U22" s="19"/>
      <c r="V22" s="22"/>
      <c r="W22" s="22"/>
      <c r="X22" s="20"/>
      <c r="AY22" s="25"/>
      <c r="AZ22" s="20"/>
    </row>
    <row r="23" spans="1:52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64</v>
      </c>
      <c r="K23" s="20" t="s">
        <v>64</v>
      </c>
      <c r="L23" s="20"/>
      <c r="M23" s="20"/>
      <c r="N23" s="20" t="s">
        <v>64</v>
      </c>
      <c r="O23" s="20" t="s">
        <v>64</v>
      </c>
      <c r="P23" s="20" t="s">
        <v>64</v>
      </c>
      <c r="Q23" s="20"/>
      <c r="R23" s="20"/>
      <c r="T23" s="20"/>
      <c r="U23" s="19"/>
      <c r="V23" s="22"/>
      <c r="W23" s="22"/>
      <c r="X23" s="20"/>
      <c r="AY23" s="25"/>
      <c r="AZ23" s="20"/>
    </row>
  </sheetData>
  <autoFilter ref="A1:OJ1" xr:uid="{DA780A0A-7DF7-4640-AC74-D35FFF4C5EE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AE93-38FC-482E-8342-6F65B114DF53}">
  <dimension ref="A1:Z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9.6328125" style="23" customWidth="1"/>
    <col min="26" max="26" width="15.6328125" style="24" customWidth="1"/>
    <col min="27" max="16384" width="10.90625" style="13"/>
  </cols>
  <sheetData>
    <row r="1" spans="1:2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112</v>
      </c>
      <c r="Y1" s="10" t="s">
        <v>51</v>
      </c>
      <c r="Z1" s="10" t="s">
        <v>52</v>
      </c>
    </row>
    <row r="2" spans="1:26" ht="58" x14ac:dyDescent="0.35">
      <c r="A2" s="14" t="s">
        <v>53</v>
      </c>
      <c r="B2" s="14" t="s">
        <v>54</v>
      </c>
      <c r="C2" s="15">
        <v>45281.473611111112</v>
      </c>
      <c r="D2" s="14" t="s">
        <v>55</v>
      </c>
      <c r="E2" s="16" t="s">
        <v>56</v>
      </c>
      <c r="F2" s="14" t="s">
        <v>57</v>
      </c>
      <c r="G2" s="16" t="s">
        <v>58</v>
      </c>
      <c r="H2" s="14" t="s">
        <v>59</v>
      </c>
      <c r="I2" s="16" t="s">
        <v>58</v>
      </c>
      <c r="J2" s="16" t="s">
        <v>60</v>
      </c>
      <c r="K2" s="16" t="s">
        <v>61</v>
      </c>
      <c r="L2" s="14" t="s">
        <v>62</v>
      </c>
      <c r="M2" s="16" t="s">
        <v>58</v>
      </c>
      <c r="N2" s="14" t="s">
        <v>63</v>
      </c>
      <c r="O2" s="16" t="s">
        <v>64</v>
      </c>
      <c r="P2" s="16" t="s">
        <v>64</v>
      </c>
      <c r="Q2" s="16" t="s">
        <v>65</v>
      </c>
      <c r="R2" s="14" t="s">
        <v>66</v>
      </c>
      <c r="S2" s="14" t="s">
        <v>67</v>
      </c>
      <c r="T2" s="14" t="s">
        <v>68</v>
      </c>
      <c r="U2" s="14" t="s">
        <v>69</v>
      </c>
      <c r="V2" s="15">
        <v>44767</v>
      </c>
      <c r="W2" s="15">
        <v>45155</v>
      </c>
      <c r="X2" s="16" t="s">
        <v>64</v>
      </c>
      <c r="Y2" s="14" t="s">
        <v>64</v>
      </c>
      <c r="Z2" s="16" t="s">
        <v>64</v>
      </c>
    </row>
    <row r="3" spans="1:26" ht="58" x14ac:dyDescent="0.35">
      <c r="A3" s="14" t="s">
        <v>53</v>
      </c>
      <c r="B3" s="14" t="s">
        <v>87</v>
      </c>
      <c r="C3" s="15">
        <v>45281.473611111112</v>
      </c>
      <c r="D3" s="14" t="s">
        <v>55</v>
      </c>
      <c r="E3" s="16" t="s">
        <v>56</v>
      </c>
      <c r="F3" s="14" t="s">
        <v>57</v>
      </c>
      <c r="G3" s="16" t="s">
        <v>58</v>
      </c>
      <c r="H3" s="14" t="s">
        <v>59</v>
      </c>
      <c r="I3" s="16" t="s">
        <v>58</v>
      </c>
      <c r="J3" s="16" t="s">
        <v>60</v>
      </c>
      <c r="K3" s="16" t="s">
        <v>61</v>
      </c>
      <c r="L3" s="14" t="s">
        <v>62</v>
      </c>
      <c r="M3" s="16" t="s">
        <v>58</v>
      </c>
      <c r="N3" s="14" t="s">
        <v>63</v>
      </c>
      <c r="O3" s="16" t="s">
        <v>64</v>
      </c>
      <c r="P3" s="16" t="s">
        <v>64</v>
      </c>
      <c r="Q3" s="16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5">
        <v>45156</v>
      </c>
      <c r="W3" s="15"/>
      <c r="X3" s="16" t="s">
        <v>64</v>
      </c>
      <c r="Y3" s="14" t="s">
        <v>64</v>
      </c>
      <c r="Z3" s="16" t="s">
        <v>64</v>
      </c>
    </row>
    <row r="4" spans="1:26" ht="58" x14ac:dyDescent="0.35">
      <c r="A4" s="14" t="s">
        <v>53</v>
      </c>
      <c r="B4" s="14" t="s">
        <v>54</v>
      </c>
      <c r="C4" s="15">
        <v>45281.460416666669</v>
      </c>
      <c r="D4" s="14" t="s">
        <v>55</v>
      </c>
      <c r="E4" s="16" t="s">
        <v>56</v>
      </c>
      <c r="F4" s="14" t="s">
        <v>57</v>
      </c>
      <c r="G4" s="16" t="s">
        <v>58</v>
      </c>
      <c r="H4" s="14" t="s">
        <v>59</v>
      </c>
      <c r="I4" s="16" t="s">
        <v>58</v>
      </c>
      <c r="J4" s="16" t="s">
        <v>60</v>
      </c>
      <c r="K4" s="16" t="s">
        <v>61</v>
      </c>
      <c r="L4" s="14" t="s">
        <v>62</v>
      </c>
      <c r="M4" s="16" t="s">
        <v>58</v>
      </c>
      <c r="N4" s="14" t="s">
        <v>63</v>
      </c>
      <c r="O4" s="16" t="s">
        <v>64</v>
      </c>
      <c r="P4" s="16" t="s">
        <v>64</v>
      </c>
      <c r="Q4" s="16" t="s">
        <v>97</v>
      </c>
      <c r="R4" s="14" t="s">
        <v>98</v>
      </c>
      <c r="S4" s="14" t="s">
        <v>99</v>
      </c>
      <c r="T4" s="14" t="s">
        <v>68</v>
      </c>
      <c r="U4" s="14" t="s">
        <v>69</v>
      </c>
      <c r="V4" s="15">
        <v>44767</v>
      </c>
      <c r="W4" s="15">
        <v>45155</v>
      </c>
      <c r="X4" s="16" t="s">
        <v>64</v>
      </c>
      <c r="Y4" s="14" t="s">
        <v>64</v>
      </c>
      <c r="Z4" s="16" t="s">
        <v>64</v>
      </c>
    </row>
    <row r="5" spans="1:26" ht="58" x14ac:dyDescent="0.35">
      <c r="A5" s="14" t="s">
        <v>53</v>
      </c>
      <c r="B5" s="14" t="s">
        <v>87</v>
      </c>
      <c r="C5" s="15">
        <v>45281.462500000001</v>
      </c>
      <c r="D5" s="14" t="s">
        <v>55</v>
      </c>
      <c r="E5" s="16" t="s">
        <v>56</v>
      </c>
      <c r="F5" s="14" t="s">
        <v>57</v>
      </c>
      <c r="G5" s="16" t="s">
        <v>58</v>
      </c>
      <c r="H5" s="14" t="s">
        <v>59</v>
      </c>
      <c r="I5" s="16" t="s">
        <v>58</v>
      </c>
      <c r="J5" s="16" t="s">
        <v>60</v>
      </c>
      <c r="K5" s="16" t="s">
        <v>61</v>
      </c>
      <c r="L5" s="14" t="s">
        <v>62</v>
      </c>
      <c r="M5" s="16" t="s">
        <v>58</v>
      </c>
      <c r="N5" s="14" t="s">
        <v>63</v>
      </c>
      <c r="O5" s="16" t="s">
        <v>64</v>
      </c>
      <c r="P5" s="16" t="s">
        <v>64</v>
      </c>
      <c r="Q5" s="16" t="s">
        <v>97</v>
      </c>
      <c r="R5" s="14" t="s">
        <v>98</v>
      </c>
      <c r="S5" s="14" t="s">
        <v>99</v>
      </c>
      <c r="T5" s="14" t="s">
        <v>68</v>
      </c>
      <c r="U5" s="14" t="s">
        <v>69</v>
      </c>
      <c r="V5" s="15">
        <v>45156</v>
      </c>
      <c r="W5" s="15"/>
      <c r="X5" s="16" t="s">
        <v>64</v>
      </c>
      <c r="Y5" s="14" t="s">
        <v>64</v>
      </c>
      <c r="Z5" s="16" t="s">
        <v>64</v>
      </c>
    </row>
    <row r="6" spans="1:26" ht="58" x14ac:dyDescent="0.35">
      <c r="A6" s="14" t="s">
        <v>53</v>
      </c>
      <c r="B6" s="14" t="s">
        <v>54</v>
      </c>
      <c r="C6" s="15">
        <v>45281.463194444441</v>
      </c>
      <c r="D6" s="14" t="s">
        <v>55</v>
      </c>
      <c r="E6" s="16" t="s">
        <v>56</v>
      </c>
      <c r="F6" s="14" t="s">
        <v>57</v>
      </c>
      <c r="G6" s="16" t="s">
        <v>58</v>
      </c>
      <c r="H6" s="14" t="s">
        <v>59</v>
      </c>
      <c r="I6" s="16" t="s">
        <v>58</v>
      </c>
      <c r="J6" s="16" t="s">
        <v>60</v>
      </c>
      <c r="K6" s="16" t="s">
        <v>61</v>
      </c>
      <c r="L6" s="14" t="s">
        <v>62</v>
      </c>
      <c r="M6" s="16" t="s">
        <v>58</v>
      </c>
      <c r="N6" s="14" t="s">
        <v>63</v>
      </c>
      <c r="O6" s="16" t="s">
        <v>64</v>
      </c>
      <c r="P6" s="16" t="s">
        <v>64</v>
      </c>
      <c r="Q6" s="16" t="s">
        <v>106</v>
      </c>
      <c r="R6" s="14" t="s">
        <v>107</v>
      </c>
      <c r="S6" s="14" t="s">
        <v>108</v>
      </c>
      <c r="T6" s="14" t="s">
        <v>68</v>
      </c>
      <c r="U6" s="14" t="s">
        <v>69</v>
      </c>
      <c r="V6" s="15">
        <v>44767</v>
      </c>
      <c r="W6" s="15">
        <v>45155</v>
      </c>
      <c r="X6" s="16" t="s">
        <v>64</v>
      </c>
      <c r="Y6" s="14" t="s">
        <v>64</v>
      </c>
      <c r="Z6" s="16" t="s">
        <v>64</v>
      </c>
    </row>
    <row r="7" spans="1:26" ht="58" x14ac:dyDescent="0.35">
      <c r="A7" s="14" t="s">
        <v>53</v>
      </c>
      <c r="B7" s="14" t="s">
        <v>87</v>
      </c>
      <c r="C7" s="15">
        <v>45281.463194444441</v>
      </c>
      <c r="D7" s="14" t="s">
        <v>55</v>
      </c>
      <c r="E7" s="16" t="s">
        <v>56</v>
      </c>
      <c r="F7" s="14" t="s">
        <v>57</v>
      </c>
      <c r="G7" s="16" t="s">
        <v>58</v>
      </c>
      <c r="H7" s="14" t="s">
        <v>59</v>
      </c>
      <c r="I7" s="16" t="s">
        <v>58</v>
      </c>
      <c r="J7" s="16" t="s">
        <v>60</v>
      </c>
      <c r="K7" s="16" t="s">
        <v>61</v>
      </c>
      <c r="L7" s="14" t="s">
        <v>62</v>
      </c>
      <c r="M7" s="16" t="s">
        <v>58</v>
      </c>
      <c r="N7" s="14" t="s">
        <v>63</v>
      </c>
      <c r="O7" s="16" t="s">
        <v>64</v>
      </c>
      <c r="P7" s="16" t="s">
        <v>64</v>
      </c>
      <c r="Q7" s="16" t="s">
        <v>106</v>
      </c>
      <c r="R7" s="14" t="s">
        <v>107</v>
      </c>
      <c r="S7" s="14" t="s">
        <v>108</v>
      </c>
      <c r="T7" s="14" t="s">
        <v>68</v>
      </c>
      <c r="U7" s="14" t="s">
        <v>69</v>
      </c>
      <c r="V7" s="15">
        <v>45156</v>
      </c>
      <c r="W7" s="15"/>
      <c r="X7" s="16" t="s">
        <v>64</v>
      </c>
      <c r="Y7" s="14" t="s">
        <v>64</v>
      </c>
      <c r="Z7" s="16" t="s">
        <v>64</v>
      </c>
    </row>
    <row r="8" spans="1:26" ht="58" x14ac:dyDescent="0.35">
      <c r="A8" s="14" t="s">
        <v>53</v>
      </c>
      <c r="B8" s="14" t="s">
        <v>54</v>
      </c>
      <c r="C8" s="15">
        <v>45281.463194444441</v>
      </c>
      <c r="D8" s="14" t="s">
        <v>55</v>
      </c>
      <c r="E8" s="16" t="s">
        <v>56</v>
      </c>
      <c r="F8" s="14" t="s">
        <v>57</v>
      </c>
      <c r="G8" s="16" t="s">
        <v>58</v>
      </c>
      <c r="H8" s="14" t="s">
        <v>59</v>
      </c>
      <c r="I8" s="16" t="s">
        <v>58</v>
      </c>
      <c r="J8" s="16" t="s">
        <v>60</v>
      </c>
      <c r="K8" s="16" t="s">
        <v>61</v>
      </c>
      <c r="L8" s="14" t="s">
        <v>62</v>
      </c>
      <c r="M8" s="16" t="s">
        <v>58</v>
      </c>
      <c r="N8" s="14" t="s">
        <v>63</v>
      </c>
      <c r="O8" s="16" t="s">
        <v>64</v>
      </c>
      <c r="P8" s="16" t="s">
        <v>64</v>
      </c>
      <c r="Q8" s="16" t="s">
        <v>109</v>
      </c>
      <c r="R8" s="14" t="s">
        <v>110</v>
      </c>
      <c r="S8" s="14" t="s">
        <v>111</v>
      </c>
      <c r="T8" s="14" t="s">
        <v>68</v>
      </c>
      <c r="U8" s="14" t="s">
        <v>69</v>
      </c>
      <c r="V8" s="15">
        <v>44767</v>
      </c>
      <c r="W8" s="15">
        <v>45155</v>
      </c>
      <c r="X8" s="16" t="s">
        <v>64</v>
      </c>
      <c r="Y8" s="14" t="s">
        <v>64</v>
      </c>
      <c r="Z8" s="16" t="s">
        <v>64</v>
      </c>
    </row>
    <row r="9" spans="1:26" ht="58" x14ac:dyDescent="0.35">
      <c r="A9" s="14" t="s">
        <v>53</v>
      </c>
      <c r="B9" s="14" t="s">
        <v>87</v>
      </c>
      <c r="C9" s="15">
        <v>45281.463194444441</v>
      </c>
      <c r="D9" s="14" t="s">
        <v>55</v>
      </c>
      <c r="E9" s="16" t="s">
        <v>56</v>
      </c>
      <c r="F9" s="14" t="s">
        <v>57</v>
      </c>
      <c r="G9" s="16" t="s">
        <v>58</v>
      </c>
      <c r="H9" s="14" t="s">
        <v>59</v>
      </c>
      <c r="I9" s="16" t="s">
        <v>58</v>
      </c>
      <c r="J9" s="16" t="s">
        <v>60</v>
      </c>
      <c r="K9" s="16" t="s">
        <v>61</v>
      </c>
      <c r="L9" s="14" t="s">
        <v>62</v>
      </c>
      <c r="M9" s="16" t="s">
        <v>58</v>
      </c>
      <c r="N9" s="14" t="s">
        <v>63</v>
      </c>
      <c r="O9" s="16" t="s">
        <v>64</v>
      </c>
      <c r="P9" s="16" t="s">
        <v>64</v>
      </c>
      <c r="Q9" s="16" t="s">
        <v>109</v>
      </c>
      <c r="R9" s="14" t="s">
        <v>110</v>
      </c>
      <c r="S9" s="14" t="s">
        <v>111</v>
      </c>
      <c r="T9" s="14" t="s">
        <v>68</v>
      </c>
      <c r="U9" s="14" t="s">
        <v>69</v>
      </c>
      <c r="V9" s="15">
        <v>45156</v>
      </c>
      <c r="W9" s="15"/>
      <c r="X9" s="16" t="s">
        <v>64</v>
      </c>
      <c r="Y9" s="14" t="s">
        <v>64</v>
      </c>
      <c r="Z9" s="16" t="s">
        <v>64</v>
      </c>
    </row>
    <row r="10" spans="1:26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64</v>
      </c>
      <c r="K10" s="20" t="s">
        <v>64</v>
      </c>
      <c r="L10" s="20"/>
      <c r="M10" s="20"/>
      <c r="N10" s="20" t="s">
        <v>64</v>
      </c>
      <c r="O10" s="20" t="s">
        <v>64</v>
      </c>
      <c r="P10" s="20" t="s">
        <v>64</v>
      </c>
      <c r="Q10" s="20"/>
      <c r="R10" s="20"/>
      <c r="S10" s="19"/>
      <c r="T10" s="20"/>
      <c r="U10" s="19"/>
      <c r="V10" s="22"/>
      <c r="W10" s="22"/>
      <c r="X10" s="20"/>
      <c r="Y10" s="25"/>
      <c r="Z10" s="20"/>
    </row>
    <row r="11" spans="1:26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64</v>
      </c>
      <c r="K11" s="20" t="s">
        <v>64</v>
      </c>
      <c r="L11" s="20"/>
      <c r="M11" s="20"/>
      <c r="N11" s="20" t="s">
        <v>64</v>
      </c>
      <c r="O11" s="20" t="s">
        <v>64</v>
      </c>
      <c r="P11" s="20" t="s">
        <v>64</v>
      </c>
      <c r="Q11" s="20"/>
      <c r="R11" s="20"/>
      <c r="S11" s="19"/>
      <c r="T11" s="20"/>
      <c r="U11" s="19"/>
      <c r="V11" s="22"/>
      <c r="W11" s="22"/>
      <c r="X11" s="20"/>
      <c r="Y11" s="25"/>
      <c r="Z11" s="20"/>
    </row>
    <row r="12" spans="1:26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64</v>
      </c>
      <c r="K12" s="20" t="s">
        <v>64</v>
      </c>
      <c r="L12" s="20"/>
      <c r="M12" s="20"/>
      <c r="N12" s="20" t="s">
        <v>64</v>
      </c>
      <c r="O12" s="20" t="s">
        <v>64</v>
      </c>
      <c r="P12" s="20" t="s">
        <v>64</v>
      </c>
      <c r="Q12" s="20"/>
      <c r="R12" s="20"/>
      <c r="S12" s="19"/>
      <c r="T12" s="20"/>
      <c r="U12" s="19"/>
      <c r="V12" s="22"/>
      <c r="W12" s="22"/>
      <c r="X12" s="20"/>
      <c r="Y12" s="25"/>
      <c r="Z12" s="20"/>
    </row>
    <row r="13" spans="1:26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64</v>
      </c>
      <c r="K13" s="20" t="s">
        <v>64</v>
      </c>
      <c r="L13" s="20"/>
      <c r="M13" s="20"/>
      <c r="N13" s="20" t="s">
        <v>64</v>
      </c>
      <c r="O13" s="20" t="s">
        <v>64</v>
      </c>
      <c r="P13" s="20" t="s">
        <v>64</v>
      </c>
      <c r="Q13" s="20"/>
      <c r="R13" s="20"/>
      <c r="S13" s="19"/>
      <c r="T13" s="20"/>
      <c r="U13" s="19"/>
      <c r="V13" s="22"/>
      <c r="W13" s="22"/>
      <c r="X13" s="20"/>
      <c r="Y13" s="25"/>
      <c r="Z13" s="20"/>
    </row>
    <row r="14" spans="1:26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64</v>
      </c>
      <c r="K14" s="20" t="s">
        <v>64</v>
      </c>
      <c r="L14" s="20"/>
      <c r="M14" s="20"/>
      <c r="N14" s="20" t="s">
        <v>64</v>
      </c>
      <c r="O14" s="20" t="s">
        <v>64</v>
      </c>
      <c r="P14" s="20" t="s">
        <v>64</v>
      </c>
      <c r="Q14" s="20"/>
      <c r="R14" s="20"/>
      <c r="S14" s="19"/>
      <c r="T14" s="20"/>
      <c r="U14" s="19"/>
      <c r="V14" s="22"/>
      <c r="W14" s="22"/>
      <c r="X14" s="20"/>
      <c r="Y14" s="25"/>
      <c r="Z14" s="20"/>
    </row>
    <row r="15" spans="1:26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64</v>
      </c>
      <c r="K15" s="20" t="s">
        <v>64</v>
      </c>
      <c r="L15" s="20"/>
      <c r="M15" s="20"/>
      <c r="N15" s="20" t="s">
        <v>64</v>
      </c>
      <c r="O15" s="20" t="s">
        <v>64</v>
      </c>
      <c r="P15" s="20" t="s">
        <v>64</v>
      </c>
      <c r="Q15" s="20"/>
      <c r="R15" s="20"/>
      <c r="S15" s="19"/>
      <c r="T15" s="20"/>
      <c r="U15" s="19"/>
      <c r="V15" s="22"/>
      <c r="W15" s="22"/>
      <c r="X15" s="20"/>
      <c r="Y15" s="25"/>
      <c r="Z15" s="20"/>
    </row>
    <row r="16" spans="1:26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64</v>
      </c>
      <c r="K16" s="20" t="s">
        <v>64</v>
      </c>
      <c r="L16" s="20"/>
      <c r="M16" s="20"/>
      <c r="N16" s="20" t="s">
        <v>64</v>
      </c>
      <c r="O16" s="20" t="s">
        <v>64</v>
      </c>
      <c r="P16" s="20" t="s">
        <v>64</v>
      </c>
      <c r="Q16" s="20"/>
      <c r="R16" s="20"/>
      <c r="S16" s="19"/>
      <c r="T16" s="20"/>
      <c r="U16" s="19"/>
      <c r="V16" s="22"/>
      <c r="W16" s="22"/>
      <c r="X16" s="20"/>
      <c r="Y16" s="25"/>
      <c r="Z16" s="20"/>
    </row>
    <row r="17" spans="1:26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64</v>
      </c>
      <c r="K17" s="20" t="s">
        <v>64</v>
      </c>
      <c r="L17" s="20"/>
      <c r="M17" s="20"/>
      <c r="N17" s="20" t="s">
        <v>64</v>
      </c>
      <c r="O17" s="20" t="s">
        <v>64</v>
      </c>
      <c r="P17" s="20" t="s">
        <v>64</v>
      </c>
      <c r="Q17" s="20"/>
      <c r="R17" s="20"/>
      <c r="S17" s="19"/>
      <c r="T17" s="20"/>
      <c r="U17" s="19"/>
      <c r="V17" s="22"/>
      <c r="W17" s="22"/>
      <c r="X17" s="20"/>
      <c r="Y17" s="25"/>
      <c r="Z17" s="20"/>
    </row>
    <row r="18" spans="1:26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64</v>
      </c>
      <c r="K18" s="20" t="s">
        <v>64</v>
      </c>
      <c r="L18" s="20"/>
      <c r="M18" s="20"/>
      <c r="N18" s="20" t="s">
        <v>64</v>
      </c>
      <c r="O18" s="20" t="s">
        <v>64</v>
      </c>
      <c r="P18" s="20" t="s">
        <v>64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64</v>
      </c>
      <c r="K19" s="20" t="s">
        <v>64</v>
      </c>
      <c r="L19" s="20"/>
      <c r="M19" s="20"/>
      <c r="N19" s="20" t="s">
        <v>64</v>
      </c>
      <c r="O19" s="20" t="s">
        <v>64</v>
      </c>
      <c r="P19" s="20" t="s">
        <v>64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  <row r="20" spans="1:26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64</v>
      </c>
      <c r="K20" s="20" t="s">
        <v>64</v>
      </c>
      <c r="L20" s="20"/>
      <c r="M20" s="20"/>
      <c r="N20" s="20" t="s">
        <v>64</v>
      </c>
      <c r="O20" s="20" t="s">
        <v>64</v>
      </c>
      <c r="P20" s="20" t="s">
        <v>64</v>
      </c>
      <c r="Q20" s="20"/>
      <c r="R20" s="20"/>
      <c r="S20" s="19"/>
      <c r="T20" s="20"/>
      <c r="U20" s="19"/>
      <c r="V20" s="22"/>
      <c r="W20" s="22"/>
      <c r="X20" s="20"/>
      <c r="Y20" s="25"/>
      <c r="Z20" s="20"/>
    </row>
    <row r="21" spans="1:26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64</v>
      </c>
      <c r="K21" s="20" t="s">
        <v>64</v>
      </c>
      <c r="L21" s="20"/>
      <c r="M21" s="20"/>
      <c r="N21" s="20" t="s">
        <v>64</v>
      </c>
      <c r="O21" s="20" t="s">
        <v>64</v>
      </c>
      <c r="P21" s="20" t="s">
        <v>64</v>
      </c>
      <c r="Q21" s="20"/>
      <c r="R21" s="20"/>
      <c r="S21" s="19"/>
      <c r="T21" s="20"/>
      <c r="U21" s="19"/>
      <c r="V21" s="22"/>
      <c r="W21" s="22"/>
      <c r="X21" s="20"/>
      <c r="Y21" s="25"/>
      <c r="Z21" s="20"/>
    </row>
    <row r="22" spans="1:26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64</v>
      </c>
      <c r="K22" s="20" t="s">
        <v>64</v>
      </c>
      <c r="L22" s="20"/>
      <c r="M22" s="20"/>
      <c r="N22" s="20" t="s">
        <v>64</v>
      </c>
      <c r="O22" s="20" t="s">
        <v>64</v>
      </c>
      <c r="P22" s="20" t="s">
        <v>64</v>
      </c>
      <c r="Q22" s="20"/>
      <c r="R22" s="20"/>
      <c r="S22" s="19"/>
      <c r="T22" s="20"/>
      <c r="U22" s="19"/>
      <c r="V22" s="22"/>
      <c r="W22" s="22"/>
      <c r="X22" s="20"/>
      <c r="Y22" s="25"/>
      <c r="Z22" s="20"/>
    </row>
    <row r="23" spans="1:26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64</v>
      </c>
      <c r="K23" s="20" t="s">
        <v>64</v>
      </c>
      <c r="L23" s="20"/>
      <c r="M23" s="20"/>
      <c r="N23" s="20" t="s">
        <v>64</v>
      </c>
      <c r="O23" s="20" t="s">
        <v>64</v>
      </c>
      <c r="P23" s="20" t="s">
        <v>64</v>
      </c>
      <c r="Q23" s="20"/>
      <c r="R23" s="20"/>
      <c r="S23" s="19"/>
      <c r="T23" s="20"/>
      <c r="U23" s="19"/>
      <c r="V23" s="22"/>
      <c r="W23" s="22"/>
      <c r="X23" s="20"/>
      <c r="Y23" s="25"/>
      <c r="Z23" s="20"/>
    </row>
  </sheetData>
  <autoFilter ref="A1:OJ1" xr:uid="{0897AE93-38FC-482E-8342-6F65B114DF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DE17-E490-48EC-BCEF-F8061357CE0F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113</v>
      </c>
      <c r="X1" s="10" t="s">
        <v>114</v>
      </c>
      <c r="Y1" s="10" t="s">
        <v>115</v>
      </c>
      <c r="Z1" s="10" t="s">
        <v>116</v>
      </c>
      <c r="AA1" s="10" t="s">
        <v>117</v>
      </c>
      <c r="AB1" s="10" t="s">
        <v>118</v>
      </c>
      <c r="AC1" s="10" t="s">
        <v>119</v>
      </c>
      <c r="AD1" s="10" t="s">
        <v>120</v>
      </c>
      <c r="AE1" s="10" t="s">
        <v>121</v>
      </c>
      <c r="AF1" s="10" t="s">
        <v>122</v>
      </c>
      <c r="AG1" s="10" t="s">
        <v>123</v>
      </c>
      <c r="AH1" s="10" t="s">
        <v>124</v>
      </c>
      <c r="AI1" s="10" t="s">
        <v>125</v>
      </c>
      <c r="AJ1" s="10" t="s">
        <v>126</v>
      </c>
      <c r="AK1" s="10" t="s">
        <v>127</v>
      </c>
      <c r="AL1" s="10" t="s">
        <v>128</v>
      </c>
      <c r="AM1" s="10" t="s">
        <v>129</v>
      </c>
      <c r="AN1" s="10" t="s">
        <v>51</v>
      </c>
      <c r="AO1" s="10" t="s">
        <v>52</v>
      </c>
    </row>
    <row r="2" spans="1:41" ht="58" x14ac:dyDescent="0.35">
      <c r="A2" s="14" t="s">
        <v>53</v>
      </c>
      <c r="B2" s="14" t="s">
        <v>54</v>
      </c>
      <c r="C2" s="15">
        <v>45281.473611111112</v>
      </c>
      <c r="D2" s="14" t="s">
        <v>55</v>
      </c>
      <c r="E2" s="16" t="s">
        <v>56</v>
      </c>
      <c r="F2" s="14" t="s">
        <v>57</v>
      </c>
      <c r="G2" s="16" t="s">
        <v>58</v>
      </c>
      <c r="H2" s="14" t="s">
        <v>59</v>
      </c>
      <c r="I2" s="16" t="s">
        <v>58</v>
      </c>
      <c r="J2" s="16" t="s">
        <v>60</v>
      </c>
      <c r="K2" s="16" t="s">
        <v>61</v>
      </c>
      <c r="L2" s="14" t="s">
        <v>62</v>
      </c>
      <c r="M2" s="16" t="s">
        <v>58</v>
      </c>
      <c r="N2" s="14" t="s">
        <v>63</v>
      </c>
      <c r="O2" s="16" t="s">
        <v>64</v>
      </c>
      <c r="P2" s="16" t="s">
        <v>64</v>
      </c>
      <c r="Q2" s="16" t="s">
        <v>65</v>
      </c>
      <c r="R2" s="14" t="s">
        <v>66</v>
      </c>
      <c r="S2" s="14" t="s">
        <v>68</v>
      </c>
      <c r="T2" s="14" t="s">
        <v>69</v>
      </c>
      <c r="U2" s="15" t="s">
        <v>130</v>
      </c>
      <c r="V2" s="15">
        <v>45155</v>
      </c>
      <c r="W2" s="16"/>
      <c r="X2" s="16" t="s">
        <v>64</v>
      </c>
      <c r="Y2" s="14" t="s">
        <v>64</v>
      </c>
      <c r="Z2" s="16" t="s">
        <v>64</v>
      </c>
      <c r="AA2" s="16" t="s">
        <v>64</v>
      </c>
      <c r="AB2" s="16" t="s">
        <v>64</v>
      </c>
      <c r="AC2" s="14" t="s">
        <v>64</v>
      </c>
      <c r="AD2" s="16" t="s">
        <v>64</v>
      </c>
      <c r="AE2" s="16" t="s">
        <v>64</v>
      </c>
      <c r="AF2" s="16" t="s">
        <v>64</v>
      </c>
      <c r="AG2" s="14" t="s">
        <v>64</v>
      </c>
      <c r="AH2" s="16" t="s">
        <v>64</v>
      </c>
      <c r="AI2" s="16" t="s">
        <v>64</v>
      </c>
      <c r="AJ2" s="16" t="s">
        <v>64</v>
      </c>
      <c r="AK2" s="14" t="s">
        <v>64</v>
      </c>
      <c r="AL2" s="16" t="s">
        <v>64</v>
      </c>
      <c r="AM2" s="16" t="s">
        <v>64</v>
      </c>
      <c r="AN2" s="14" t="s">
        <v>64</v>
      </c>
      <c r="AO2" s="14" t="s">
        <v>64</v>
      </c>
    </row>
    <row r="3" spans="1:41" ht="58" x14ac:dyDescent="0.35">
      <c r="A3" s="14" t="s">
        <v>53</v>
      </c>
      <c r="B3" s="14" t="s">
        <v>87</v>
      </c>
      <c r="C3" s="15">
        <v>45281.473611111112</v>
      </c>
      <c r="D3" s="14" t="s">
        <v>55</v>
      </c>
      <c r="E3" s="16" t="s">
        <v>56</v>
      </c>
      <c r="F3" s="14" t="s">
        <v>57</v>
      </c>
      <c r="G3" s="16" t="s">
        <v>58</v>
      </c>
      <c r="H3" s="14" t="s">
        <v>59</v>
      </c>
      <c r="I3" s="16" t="s">
        <v>58</v>
      </c>
      <c r="J3" s="16" t="s">
        <v>60</v>
      </c>
      <c r="K3" s="16" t="s">
        <v>61</v>
      </c>
      <c r="L3" s="14" t="s">
        <v>62</v>
      </c>
      <c r="M3" s="16" t="s">
        <v>58</v>
      </c>
      <c r="N3" s="14" t="s">
        <v>63</v>
      </c>
      <c r="O3" s="16" t="s">
        <v>64</v>
      </c>
      <c r="P3" s="16" t="s">
        <v>64</v>
      </c>
      <c r="Q3" s="16" t="s">
        <v>65</v>
      </c>
      <c r="R3" s="14" t="s">
        <v>66</v>
      </c>
      <c r="S3" s="14" t="s">
        <v>68</v>
      </c>
      <c r="T3" s="14" t="s">
        <v>69</v>
      </c>
      <c r="U3" s="15" t="s">
        <v>131</v>
      </c>
      <c r="V3" s="15"/>
      <c r="W3" s="16"/>
      <c r="X3" s="16" t="s">
        <v>64</v>
      </c>
      <c r="Y3" s="14" t="s">
        <v>64</v>
      </c>
      <c r="Z3" s="16" t="s">
        <v>64</v>
      </c>
      <c r="AA3" s="16" t="s">
        <v>64</v>
      </c>
      <c r="AB3" s="16" t="s">
        <v>64</v>
      </c>
      <c r="AC3" s="14" t="s">
        <v>64</v>
      </c>
      <c r="AD3" s="16" t="s">
        <v>64</v>
      </c>
      <c r="AE3" s="16" t="s">
        <v>64</v>
      </c>
      <c r="AF3" s="16" t="s">
        <v>64</v>
      </c>
      <c r="AG3" s="14" t="s">
        <v>64</v>
      </c>
      <c r="AH3" s="16" t="s">
        <v>64</v>
      </c>
      <c r="AI3" s="16" t="s">
        <v>64</v>
      </c>
      <c r="AJ3" s="16" t="s">
        <v>64</v>
      </c>
      <c r="AK3" s="14" t="s">
        <v>64</v>
      </c>
      <c r="AL3" s="16" t="s">
        <v>64</v>
      </c>
      <c r="AM3" s="16" t="s">
        <v>64</v>
      </c>
      <c r="AN3" s="14" t="s">
        <v>64</v>
      </c>
      <c r="AO3" s="14" t="s">
        <v>64</v>
      </c>
    </row>
    <row r="4" spans="1:41" ht="58" x14ac:dyDescent="0.35">
      <c r="A4" s="14" t="s">
        <v>53</v>
      </c>
      <c r="B4" s="14" t="s">
        <v>54</v>
      </c>
      <c r="C4" s="15">
        <v>45281.460416666669</v>
      </c>
      <c r="D4" s="14" t="s">
        <v>55</v>
      </c>
      <c r="E4" s="16" t="s">
        <v>56</v>
      </c>
      <c r="F4" s="14" t="s">
        <v>57</v>
      </c>
      <c r="G4" s="16" t="s">
        <v>58</v>
      </c>
      <c r="H4" s="14" t="s">
        <v>59</v>
      </c>
      <c r="I4" s="16" t="s">
        <v>58</v>
      </c>
      <c r="J4" s="16" t="s">
        <v>60</v>
      </c>
      <c r="K4" s="16" t="s">
        <v>61</v>
      </c>
      <c r="L4" s="14" t="s">
        <v>62</v>
      </c>
      <c r="M4" s="16" t="s">
        <v>58</v>
      </c>
      <c r="N4" s="14" t="s">
        <v>63</v>
      </c>
      <c r="O4" s="16" t="s">
        <v>64</v>
      </c>
      <c r="P4" s="16" t="s">
        <v>64</v>
      </c>
      <c r="Q4" s="16" t="s">
        <v>97</v>
      </c>
      <c r="R4" s="14" t="s">
        <v>98</v>
      </c>
      <c r="S4" s="14" t="s">
        <v>68</v>
      </c>
      <c r="T4" s="14" t="s">
        <v>69</v>
      </c>
      <c r="U4" s="15" t="s">
        <v>130</v>
      </c>
      <c r="V4" s="15">
        <v>45155</v>
      </c>
      <c r="W4" s="16"/>
      <c r="X4" s="16" t="s">
        <v>64</v>
      </c>
      <c r="Y4" s="14" t="s">
        <v>64</v>
      </c>
      <c r="Z4" s="16" t="s">
        <v>64</v>
      </c>
      <c r="AA4" s="16" t="s">
        <v>64</v>
      </c>
      <c r="AB4" s="16" t="s">
        <v>64</v>
      </c>
      <c r="AC4" s="14" t="s">
        <v>64</v>
      </c>
      <c r="AD4" s="16" t="s">
        <v>64</v>
      </c>
      <c r="AE4" s="16" t="s">
        <v>64</v>
      </c>
      <c r="AF4" s="16" t="s">
        <v>64</v>
      </c>
      <c r="AG4" s="14" t="s">
        <v>64</v>
      </c>
      <c r="AH4" s="16" t="s">
        <v>64</v>
      </c>
      <c r="AI4" s="16" t="s">
        <v>64</v>
      </c>
      <c r="AJ4" s="16" t="s">
        <v>64</v>
      </c>
      <c r="AK4" s="14" t="s">
        <v>64</v>
      </c>
      <c r="AL4" s="16" t="s">
        <v>64</v>
      </c>
      <c r="AM4" s="16" t="s">
        <v>64</v>
      </c>
      <c r="AN4" s="14" t="s">
        <v>64</v>
      </c>
      <c r="AO4" s="14" t="s">
        <v>64</v>
      </c>
    </row>
    <row r="5" spans="1:41" ht="58" x14ac:dyDescent="0.35">
      <c r="A5" s="14" t="s">
        <v>53</v>
      </c>
      <c r="B5" s="14" t="s">
        <v>87</v>
      </c>
      <c r="C5" s="15">
        <v>45281.462500000001</v>
      </c>
      <c r="D5" s="14" t="s">
        <v>55</v>
      </c>
      <c r="E5" s="16" t="s">
        <v>56</v>
      </c>
      <c r="F5" s="14" t="s">
        <v>57</v>
      </c>
      <c r="G5" s="16" t="s">
        <v>58</v>
      </c>
      <c r="H5" s="14" t="s">
        <v>59</v>
      </c>
      <c r="I5" s="16" t="s">
        <v>58</v>
      </c>
      <c r="J5" s="16" t="s">
        <v>60</v>
      </c>
      <c r="K5" s="16" t="s">
        <v>61</v>
      </c>
      <c r="L5" s="14" t="s">
        <v>62</v>
      </c>
      <c r="M5" s="16" t="s">
        <v>58</v>
      </c>
      <c r="N5" s="14" t="s">
        <v>63</v>
      </c>
      <c r="O5" s="16" t="s">
        <v>64</v>
      </c>
      <c r="P5" s="16" t="s">
        <v>64</v>
      </c>
      <c r="Q5" s="16" t="s">
        <v>97</v>
      </c>
      <c r="R5" s="14" t="s">
        <v>98</v>
      </c>
      <c r="S5" s="14" t="s">
        <v>68</v>
      </c>
      <c r="T5" s="14" t="s">
        <v>69</v>
      </c>
      <c r="U5" s="15" t="s">
        <v>131</v>
      </c>
      <c r="V5" s="15"/>
      <c r="W5" s="16"/>
      <c r="X5" s="16" t="s">
        <v>64</v>
      </c>
      <c r="Y5" s="14" t="s">
        <v>64</v>
      </c>
      <c r="Z5" s="16" t="s">
        <v>64</v>
      </c>
      <c r="AA5" s="16" t="s">
        <v>64</v>
      </c>
      <c r="AB5" s="16" t="s">
        <v>64</v>
      </c>
      <c r="AC5" s="14" t="s">
        <v>64</v>
      </c>
      <c r="AD5" s="16" t="s">
        <v>64</v>
      </c>
      <c r="AE5" s="16" t="s">
        <v>64</v>
      </c>
      <c r="AF5" s="16" t="s">
        <v>64</v>
      </c>
      <c r="AG5" s="14" t="s">
        <v>64</v>
      </c>
      <c r="AH5" s="16" t="s">
        <v>64</v>
      </c>
      <c r="AI5" s="16" t="s">
        <v>64</v>
      </c>
      <c r="AJ5" s="16" t="s">
        <v>64</v>
      </c>
      <c r="AK5" s="14" t="s">
        <v>64</v>
      </c>
      <c r="AL5" s="16" t="s">
        <v>64</v>
      </c>
      <c r="AM5" s="16" t="s">
        <v>64</v>
      </c>
      <c r="AN5" s="14" t="s">
        <v>64</v>
      </c>
      <c r="AO5" s="14" t="s">
        <v>64</v>
      </c>
    </row>
    <row r="6" spans="1:41" ht="58" x14ac:dyDescent="0.35">
      <c r="A6" s="14" t="s">
        <v>53</v>
      </c>
      <c r="B6" s="14" t="s">
        <v>54</v>
      </c>
      <c r="C6" s="15">
        <v>45281.463194444441</v>
      </c>
      <c r="D6" s="14" t="s">
        <v>55</v>
      </c>
      <c r="E6" s="16" t="s">
        <v>56</v>
      </c>
      <c r="F6" s="14" t="s">
        <v>57</v>
      </c>
      <c r="G6" s="16" t="s">
        <v>58</v>
      </c>
      <c r="H6" s="14" t="s">
        <v>59</v>
      </c>
      <c r="I6" s="16" t="s">
        <v>58</v>
      </c>
      <c r="J6" s="16" t="s">
        <v>60</v>
      </c>
      <c r="K6" s="16" t="s">
        <v>61</v>
      </c>
      <c r="L6" s="14" t="s">
        <v>62</v>
      </c>
      <c r="M6" s="16" t="s">
        <v>58</v>
      </c>
      <c r="N6" s="14" t="s">
        <v>63</v>
      </c>
      <c r="O6" s="16" t="s">
        <v>64</v>
      </c>
      <c r="P6" s="16" t="s">
        <v>64</v>
      </c>
      <c r="Q6" s="16" t="s">
        <v>106</v>
      </c>
      <c r="R6" s="14" t="s">
        <v>107</v>
      </c>
      <c r="S6" s="14" t="s">
        <v>68</v>
      </c>
      <c r="T6" s="14" t="s">
        <v>69</v>
      </c>
      <c r="U6" s="15" t="s">
        <v>130</v>
      </c>
      <c r="V6" s="15">
        <v>45155</v>
      </c>
      <c r="W6" s="16"/>
      <c r="X6" s="16" t="s">
        <v>64</v>
      </c>
      <c r="Y6" s="14" t="s">
        <v>64</v>
      </c>
      <c r="Z6" s="16" t="s">
        <v>64</v>
      </c>
      <c r="AA6" s="16" t="s">
        <v>64</v>
      </c>
      <c r="AB6" s="16" t="s">
        <v>64</v>
      </c>
      <c r="AC6" s="14" t="s">
        <v>64</v>
      </c>
      <c r="AD6" s="16" t="s">
        <v>64</v>
      </c>
      <c r="AE6" s="16" t="s">
        <v>64</v>
      </c>
      <c r="AF6" s="16" t="s">
        <v>64</v>
      </c>
      <c r="AG6" s="14" t="s">
        <v>64</v>
      </c>
      <c r="AH6" s="16" t="s">
        <v>64</v>
      </c>
      <c r="AI6" s="16" t="s">
        <v>64</v>
      </c>
      <c r="AJ6" s="16" t="s">
        <v>64</v>
      </c>
      <c r="AK6" s="14" t="s">
        <v>64</v>
      </c>
      <c r="AL6" s="16" t="s">
        <v>64</v>
      </c>
      <c r="AM6" s="16" t="s">
        <v>64</v>
      </c>
      <c r="AN6" s="14" t="s">
        <v>64</v>
      </c>
      <c r="AO6" s="14" t="s">
        <v>64</v>
      </c>
    </row>
    <row r="7" spans="1:41" ht="58" x14ac:dyDescent="0.35">
      <c r="A7" s="14" t="s">
        <v>53</v>
      </c>
      <c r="B7" s="14" t="s">
        <v>87</v>
      </c>
      <c r="C7" s="15">
        <v>45281.463194444441</v>
      </c>
      <c r="D7" s="14" t="s">
        <v>55</v>
      </c>
      <c r="E7" s="16" t="s">
        <v>56</v>
      </c>
      <c r="F7" s="14" t="s">
        <v>57</v>
      </c>
      <c r="G7" s="16" t="s">
        <v>58</v>
      </c>
      <c r="H7" s="14" t="s">
        <v>59</v>
      </c>
      <c r="I7" s="16" t="s">
        <v>58</v>
      </c>
      <c r="J7" s="16" t="s">
        <v>60</v>
      </c>
      <c r="K7" s="16" t="s">
        <v>61</v>
      </c>
      <c r="L7" s="14" t="s">
        <v>62</v>
      </c>
      <c r="M7" s="16" t="s">
        <v>58</v>
      </c>
      <c r="N7" s="14" t="s">
        <v>63</v>
      </c>
      <c r="O7" s="16" t="s">
        <v>64</v>
      </c>
      <c r="P7" s="16" t="s">
        <v>64</v>
      </c>
      <c r="Q7" s="16" t="s">
        <v>106</v>
      </c>
      <c r="R7" s="14" t="s">
        <v>107</v>
      </c>
      <c r="S7" s="14" t="s">
        <v>68</v>
      </c>
      <c r="T7" s="14" t="s">
        <v>69</v>
      </c>
      <c r="U7" s="15" t="s">
        <v>131</v>
      </c>
      <c r="V7" s="15"/>
      <c r="W7" s="16"/>
      <c r="X7" s="16" t="s">
        <v>64</v>
      </c>
      <c r="Y7" s="14" t="s">
        <v>64</v>
      </c>
      <c r="Z7" s="16" t="s">
        <v>64</v>
      </c>
      <c r="AA7" s="16" t="s">
        <v>64</v>
      </c>
      <c r="AB7" s="16" t="s">
        <v>64</v>
      </c>
      <c r="AC7" s="14" t="s">
        <v>64</v>
      </c>
      <c r="AD7" s="16" t="s">
        <v>64</v>
      </c>
      <c r="AE7" s="16" t="s">
        <v>64</v>
      </c>
      <c r="AF7" s="16" t="s">
        <v>64</v>
      </c>
      <c r="AG7" s="14" t="s">
        <v>64</v>
      </c>
      <c r="AH7" s="16" t="s">
        <v>64</v>
      </c>
      <c r="AI7" s="16" t="s">
        <v>64</v>
      </c>
      <c r="AJ7" s="16" t="s">
        <v>64</v>
      </c>
      <c r="AK7" s="14" t="s">
        <v>64</v>
      </c>
      <c r="AL7" s="16" t="s">
        <v>64</v>
      </c>
      <c r="AM7" s="16" t="s">
        <v>64</v>
      </c>
      <c r="AN7" s="14" t="s">
        <v>64</v>
      </c>
      <c r="AO7" s="14" t="s">
        <v>64</v>
      </c>
    </row>
    <row r="8" spans="1:41" ht="58" x14ac:dyDescent="0.35">
      <c r="A8" s="14" t="s">
        <v>53</v>
      </c>
      <c r="B8" s="14" t="s">
        <v>54</v>
      </c>
      <c r="C8" s="15">
        <v>45281.463194444441</v>
      </c>
      <c r="D8" s="14" t="s">
        <v>55</v>
      </c>
      <c r="E8" s="16" t="s">
        <v>56</v>
      </c>
      <c r="F8" s="14" t="s">
        <v>57</v>
      </c>
      <c r="G8" s="16" t="s">
        <v>58</v>
      </c>
      <c r="H8" s="14" t="s">
        <v>59</v>
      </c>
      <c r="I8" s="16" t="s">
        <v>58</v>
      </c>
      <c r="J8" s="16" t="s">
        <v>60</v>
      </c>
      <c r="K8" s="16" t="s">
        <v>61</v>
      </c>
      <c r="L8" s="14" t="s">
        <v>62</v>
      </c>
      <c r="M8" s="16" t="s">
        <v>58</v>
      </c>
      <c r="N8" s="14" t="s">
        <v>63</v>
      </c>
      <c r="O8" s="16" t="s">
        <v>64</v>
      </c>
      <c r="P8" s="16" t="s">
        <v>64</v>
      </c>
      <c r="Q8" s="16" t="s">
        <v>109</v>
      </c>
      <c r="R8" s="14" t="s">
        <v>110</v>
      </c>
      <c r="S8" s="14" t="s">
        <v>68</v>
      </c>
      <c r="T8" s="14" t="s">
        <v>69</v>
      </c>
      <c r="U8" s="15" t="s">
        <v>130</v>
      </c>
      <c r="V8" s="15">
        <v>45155</v>
      </c>
      <c r="W8" s="16"/>
      <c r="X8" s="16" t="s">
        <v>64</v>
      </c>
      <c r="Y8" s="14" t="s">
        <v>64</v>
      </c>
      <c r="Z8" s="16" t="s">
        <v>64</v>
      </c>
      <c r="AA8" s="16" t="s">
        <v>64</v>
      </c>
      <c r="AB8" s="16" t="s">
        <v>64</v>
      </c>
      <c r="AC8" s="14" t="s">
        <v>64</v>
      </c>
      <c r="AD8" s="16" t="s">
        <v>64</v>
      </c>
      <c r="AE8" s="16" t="s">
        <v>64</v>
      </c>
      <c r="AF8" s="16" t="s">
        <v>64</v>
      </c>
      <c r="AG8" s="14" t="s">
        <v>64</v>
      </c>
      <c r="AH8" s="16" t="s">
        <v>64</v>
      </c>
      <c r="AI8" s="16" t="s">
        <v>64</v>
      </c>
      <c r="AJ8" s="16" t="s">
        <v>64</v>
      </c>
      <c r="AK8" s="14" t="s">
        <v>64</v>
      </c>
      <c r="AL8" s="16" t="s">
        <v>64</v>
      </c>
      <c r="AM8" s="16" t="s">
        <v>64</v>
      </c>
      <c r="AN8" s="14" t="s">
        <v>64</v>
      </c>
      <c r="AO8" s="14" t="s">
        <v>64</v>
      </c>
    </row>
    <row r="9" spans="1:41" ht="58" x14ac:dyDescent="0.35">
      <c r="A9" s="14" t="s">
        <v>53</v>
      </c>
      <c r="B9" s="14" t="s">
        <v>87</v>
      </c>
      <c r="C9" s="15">
        <v>45281.463194444441</v>
      </c>
      <c r="D9" s="14" t="s">
        <v>55</v>
      </c>
      <c r="E9" s="16" t="s">
        <v>56</v>
      </c>
      <c r="F9" s="14" t="s">
        <v>57</v>
      </c>
      <c r="G9" s="16" t="s">
        <v>58</v>
      </c>
      <c r="H9" s="14" t="s">
        <v>59</v>
      </c>
      <c r="I9" s="16" t="s">
        <v>58</v>
      </c>
      <c r="J9" s="16" t="s">
        <v>60</v>
      </c>
      <c r="K9" s="16" t="s">
        <v>61</v>
      </c>
      <c r="L9" s="14" t="s">
        <v>62</v>
      </c>
      <c r="M9" s="16" t="s">
        <v>58</v>
      </c>
      <c r="N9" s="14" t="s">
        <v>63</v>
      </c>
      <c r="O9" s="16" t="s">
        <v>64</v>
      </c>
      <c r="P9" s="16" t="s">
        <v>64</v>
      </c>
      <c r="Q9" s="16" t="s">
        <v>109</v>
      </c>
      <c r="R9" s="14" t="s">
        <v>110</v>
      </c>
      <c r="S9" s="14" t="s">
        <v>68</v>
      </c>
      <c r="T9" s="14" t="s">
        <v>69</v>
      </c>
      <c r="U9" s="15" t="s">
        <v>131</v>
      </c>
      <c r="V9" s="15"/>
      <c r="W9" s="16"/>
      <c r="X9" s="16" t="s">
        <v>64</v>
      </c>
      <c r="Y9" s="14" t="s">
        <v>64</v>
      </c>
      <c r="Z9" s="16" t="s">
        <v>64</v>
      </c>
      <c r="AA9" s="16" t="s">
        <v>64</v>
      </c>
      <c r="AB9" s="16" t="s">
        <v>64</v>
      </c>
      <c r="AC9" s="14" t="s">
        <v>64</v>
      </c>
      <c r="AD9" s="16" t="s">
        <v>64</v>
      </c>
      <c r="AE9" s="16" t="s">
        <v>64</v>
      </c>
      <c r="AF9" s="16" t="s">
        <v>64</v>
      </c>
      <c r="AG9" s="14" t="s">
        <v>64</v>
      </c>
      <c r="AH9" s="16" t="s">
        <v>64</v>
      </c>
      <c r="AI9" s="16" t="s">
        <v>64</v>
      </c>
      <c r="AJ9" s="16" t="s">
        <v>64</v>
      </c>
      <c r="AK9" s="14" t="s">
        <v>64</v>
      </c>
      <c r="AL9" s="16" t="s">
        <v>64</v>
      </c>
      <c r="AM9" s="16" t="s">
        <v>64</v>
      </c>
      <c r="AN9" s="14" t="s">
        <v>64</v>
      </c>
      <c r="AO9" s="14" t="s">
        <v>64</v>
      </c>
    </row>
  </sheetData>
  <autoFilter ref="A1:AS1" xr:uid="{F699DE17-E490-48EC-BCEF-F8061357CE0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6F68B-E241-4B8C-A6C5-726E20EE5D36}">
  <dimension ref="A1:V2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132</v>
      </c>
      <c r="E1" s="10" t="s">
        <v>133</v>
      </c>
      <c r="F1" s="10" t="s">
        <v>134</v>
      </c>
      <c r="G1" s="10" t="s">
        <v>135</v>
      </c>
      <c r="H1" s="11" t="s">
        <v>22</v>
      </c>
      <c r="I1" s="11" t="s">
        <v>23</v>
      </c>
      <c r="J1" s="10" t="s">
        <v>136</v>
      </c>
      <c r="K1" s="10" t="s">
        <v>137</v>
      </c>
      <c r="L1" s="10" t="s">
        <v>138</v>
      </c>
      <c r="M1" s="10" t="s">
        <v>129</v>
      </c>
      <c r="N1" s="10" t="s">
        <v>139</v>
      </c>
      <c r="O1" s="12" t="s">
        <v>140</v>
      </c>
      <c r="P1" s="12" t="s">
        <v>141</v>
      </c>
      <c r="Q1" s="12" t="s">
        <v>142</v>
      </c>
      <c r="R1" s="12" t="s">
        <v>143</v>
      </c>
      <c r="S1" s="10" t="s">
        <v>51</v>
      </c>
      <c r="T1" s="10" t="s">
        <v>52</v>
      </c>
      <c r="U1" s="10" t="s">
        <v>144</v>
      </c>
      <c r="V1" s="10" t="s">
        <v>145</v>
      </c>
    </row>
    <row r="2" spans="1:22" ht="43.5" x14ac:dyDescent="0.35">
      <c r="A2" s="14" t="s">
        <v>146</v>
      </c>
      <c r="B2" s="14" t="s">
        <v>87</v>
      </c>
      <c r="C2" s="15">
        <v>43756.454861111109</v>
      </c>
      <c r="D2" s="14" t="s">
        <v>81</v>
      </c>
      <c r="E2" s="14" t="s">
        <v>147</v>
      </c>
      <c r="F2" s="16" t="s">
        <v>82</v>
      </c>
      <c r="G2" s="14" t="s">
        <v>64</v>
      </c>
      <c r="H2" s="15">
        <v>40725</v>
      </c>
      <c r="I2" s="15"/>
      <c r="J2" s="16" t="s">
        <v>64</v>
      </c>
      <c r="K2" s="16" t="s">
        <v>148</v>
      </c>
      <c r="L2" s="14" t="s">
        <v>149</v>
      </c>
      <c r="M2" s="16" t="s">
        <v>64</v>
      </c>
      <c r="N2" s="14" t="s">
        <v>64</v>
      </c>
      <c r="O2" s="17"/>
      <c r="P2" s="17"/>
      <c r="Q2" s="17"/>
      <c r="R2" s="17"/>
      <c r="S2" s="14" t="s">
        <v>64</v>
      </c>
      <c r="T2" s="14" t="s">
        <v>64</v>
      </c>
      <c r="U2" s="14" t="s">
        <v>64</v>
      </c>
      <c r="V2" s="16" t="s">
        <v>64</v>
      </c>
    </row>
    <row r="3" spans="1:22" ht="43.5" x14ac:dyDescent="0.35">
      <c r="A3" s="14" t="s">
        <v>146</v>
      </c>
      <c r="B3" s="14" t="s">
        <v>87</v>
      </c>
      <c r="C3" s="15">
        <v>43756.455555555556</v>
      </c>
      <c r="D3" s="14" t="s">
        <v>101</v>
      </c>
      <c r="E3" s="14" t="s">
        <v>147</v>
      </c>
      <c r="F3" s="16" t="s">
        <v>102</v>
      </c>
      <c r="G3" s="14" t="s">
        <v>64</v>
      </c>
      <c r="H3" s="15">
        <v>40725</v>
      </c>
      <c r="I3" s="15"/>
      <c r="J3" s="16" t="s">
        <v>64</v>
      </c>
      <c r="K3" s="16" t="s">
        <v>150</v>
      </c>
      <c r="L3" s="14" t="s">
        <v>149</v>
      </c>
      <c r="M3" s="16" t="s">
        <v>64</v>
      </c>
      <c r="N3" s="14" t="s">
        <v>64</v>
      </c>
      <c r="O3" s="17"/>
      <c r="P3" s="17"/>
      <c r="Q3" s="17"/>
      <c r="R3" s="17"/>
      <c r="S3" s="14" t="s">
        <v>64</v>
      </c>
      <c r="T3" s="14" t="s">
        <v>64</v>
      </c>
      <c r="U3" s="14" t="s">
        <v>64</v>
      </c>
      <c r="V3" s="16" t="s">
        <v>64</v>
      </c>
    </row>
    <row r="4" spans="1:22" ht="43.5" x14ac:dyDescent="0.35">
      <c r="A4" s="14" t="s">
        <v>146</v>
      </c>
      <c r="B4" s="14" t="s">
        <v>87</v>
      </c>
      <c r="C4" s="15">
        <v>43756.455555555556</v>
      </c>
      <c r="D4" s="14" t="s">
        <v>83</v>
      </c>
      <c r="E4" s="14" t="s">
        <v>147</v>
      </c>
      <c r="F4" s="16" t="s">
        <v>84</v>
      </c>
      <c r="G4" s="14" t="s">
        <v>64</v>
      </c>
      <c r="H4" s="15">
        <v>40725</v>
      </c>
      <c r="I4" s="15"/>
      <c r="J4" s="16" t="s">
        <v>64</v>
      </c>
      <c r="K4" s="16" t="s">
        <v>151</v>
      </c>
      <c r="L4" s="14" t="s">
        <v>149</v>
      </c>
      <c r="M4" s="16" t="s">
        <v>64</v>
      </c>
      <c r="N4" s="14" t="s">
        <v>64</v>
      </c>
      <c r="O4" s="17"/>
      <c r="P4" s="17"/>
      <c r="Q4" s="17"/>
      <c r="R4" s="17"/>
      <c r="S4" s="14" t="s">
        <v>64</v>
      </c>
      <c r="T4" s="14" t="s">
        <v>64</v>
      </c>
      <c r="U4" s="14" t="s">
        <v>64</v>
      </c>
      <c r="V4" s="16" t="s">
        <v>64</v>
      </c>
    </row>
    <row r="5" spans="1:22" ht="29" x14ac:dyDescent="0.35">
      <c r="A5" s="14" t="s">
        <v>146</v>
      </c>
      <c r="B5" s="14" t="s">
        <v>87</v>
      </c>
      <c r="C5" s="15">
        <v>43756.456250000003</v>
      </c>
      <c r="D5" s="14" t="s">
        <v>85</v>
      </c>
      <c r="E5" s="14" t="s">
        <v>147</v>
      </c>
      <c r="F5" s="16" t="s">
        <v>86</v>
      </c>
      <c r="G5" s="14" t="s">
        <v>64</v>
      </c>
      <c r="H5" s="15">
        <v>40725</v>
      </c>
      <c r="I5" s="15"/>
      <c r="J5" s="16" t="s">
        <v>64</v>
      </c>
      <c r="K5" s="16" t="s">
        <v>152</v>
      </c>
      <c r="L5" s="14" t="s">
        <v>153</v>
      </c>
      <c r="M5" s="16" t="s">
        <v>154</v>
      </c>
      <c r="N5" s="14" t="s">
        <v>64</v>
      </c>
      <c r="O5" s="17"/>
      <c r="P5" s="17"/>
      <c r="Q5" s="17"/>
      <c r="R5" s="17"/>
      <c r="S5" s="14" t="s">
        <v>64</v>
      </c>
      <c r="T5" s="14" t="s">
        <v>64</v>
      </c>
      <c r="U5" s="14" t="s">
        <v>64</v>
      </c>
      <c r="V5" s="16" t="s">
        <v>64</v>
      </c>
    </row>
    <row r="6" spans="1:22" ht="43.5" x14ac:dyDescent="0.35">
      <c r="A6" s="14" t="s">
        <v>146</v>
      </c>
      <c r="B6" s="14" t="s">
        <v>87</v>
      </c>
      <c r="C6" s="15">
        <v>43790.404861111114</v>
      </c>
      <c r="D6" s="14" t="s">
        <v>103</v>
      </c>
      <c r="E6" s="14" t="s">
        <v>147</v>
      </c>
      <c r="F6" s="16" t="s">
        <v>104</v>
      </c>
      <c r="G6" s="14" t="s">
        <v>64</v>
      </c>
      <c r="H6" s="15">
        <v>40725</v>
      </c>
      <c r="I6" s="15"/>
      <c r="J6" s="16" t="s">
        <v>155</v>
      </c>
      <c r="K6" s="16" t="s">
        <v>156</v>
      </c>
      <c r="L6" s="14" t="s">
        <v>149</v>
      </c>
      <c r="M6" s="16" t="s">
        <v>64</v>
      </c>
      <c r="N6" s="14" t="s">
        <v>64</v>
      </c>
      <c r="O6" s="17"/>
      <c r="P6" s="17"/>
      <c r="Q6" s="17"/>
      <c r="R6" s="17"/>
      <c r="S6" s="14" t="s">
        <v>64</v>
      </c>
      <c r="T6" s="14" t="s">
        <v>64</v>
      </c>
      <c r="U6" s="14" t="s">
        <v>64</v>
      </c>
      <c r="V6" s="16" t="s">
        <v>64</v>
      </c>
    </row>
    <row r="7" spans="1:22" ht="43.5" x14ac:dyDescent="0.35">
      <c r="A7" s="14" t="s">
        <v>157</v>
      </c>
      <c r="B7" s="14" t="s">
        <v>87</v>
      </c>
      <c r="C7" s="15">
        <v>44935.536805555559</v>
      </c>
      <c r="D7" s="14" t="s">
        <v>71</v>
      </c>
      <c r="E7" s="14" t="s">
        <v>158</v>
      </c>
      <c r="F7" s="16" t="s">
        <v>72</v>
      </c>
      <c r="G7" s="14" t="s">
        <v>159</v>
      </c>
      <c r="H7" s="15">
        <v>44767</v>
      </c>
      <c r="I7" s="15"/>
      <c r="J7" s="16" t="s">
        <v>64</v>
      </c>
      <c r="K7" s="16" t="s">
        <v>64</v>
      </c>
      <c r="L7" s="14" t="s">
        <v>153</v>
      </c>
      <c r="M7" s="16" t="s">
        <v>64</v>
      </c>
      <c r="N7" s="14" t="s">
        <v>64</v>
      </c>
      <c r="O7" s="17"/>
      <c r="P7" s="17"/>
      <c r="Q7" s="17" t="s">
        <v>160</v>
      </c>
      <c r="R7" s="17"/>
      <c r="S7" s="14" t="s">
        <v>64</v>
      </c>
      <c r="T7" s="14" t="s">
        <v>64</v>
      </c>
      <c r="U7" s="14" t="s">
        <v>161</v>
      </c>
      <c r="V7" s="16" t="s">
        <v>72</v>
      </c>
    </row>
    <row r="8" spans="1:22" ht="58" x14ac:dyDescent="0.35">
      <c r="A8" s="14" t="s">
        <v>157</v>
      </c>
      <c r="B8" s="14" t="s">
        <v>87</v>
      </c>
      <c r="C8" s="15">
        <v>44935.537499999999</v>
      </c>
      <c r="D8" s="14" t="s">
        <v>73</v>
      </c>
      <c r="E8" s="14" t="s">
        <v>158</v>
      </c>
      <c r="F8" s="16" t="s">
        <v>74</v>
      </c>
      <c r="G8" s="14" t="s">
        <v>159</v>
      </c>
      <c r="H8" s="15">
        <v>44767</v>
      </c>
      <c r="I8" s="15"/>
      <c r="J8" s="16" t="s">
        <v>64</v>
      </c>
      <c r="K8" s="16" t="s">
        <v>64</v>
      </c>
      <c r="L8" s="14" t="s">
        <v>153</v>
      </c>
      <c r="M8" s="16" t="s">
        <v>64</v>
      </c>
      <c r="N8" s="14" t="s">
        <v>64</v>
      </c>
      <c r="O8" s="17"/>
      <c r="P8" s="17"/>
      <c r="Q8" s="17" t="s">
        <v>160</v>
      </c>
      <c r="R8" s="17"/>
      <c r="S8" s="14" t="s">
        <v>64</v>
      </c>
      <c r="T8" s="14" t="s">
        <v>64</v>
      </c>
      <c r="U8" s="14" t="s">
        <v>161</v>
      </c>
      <c r="V8" s="16" t="s">
        <v>74</v>
      </c>
    </row>
    <row r="9" spans="1:22" ht="43.5" x14ac:dyDescent="0.35">
      <c r="A9" s="14" t="s">
        <v>157</v>
      </c>
      <c r="B9" s="14" t="s">
        <v>87</v>
      </c>
      <c r="C9" s="15">
        <v>44935.537499999999</v>
      </c>
      <c r="D9" s="14" t="s">
        <v>75</v>
      </c>
      <c r="E9" s="14" t="s">
        <v>158</v>
      </c>
      <c r="F9" s="16" t="s">
        <v>76</v>
      </c>
      <c r="G9" s="14" t="s">
        <v>159</v>
      </c>
      <c r="H9" s="15">
        <v>44767</v>
      </c>
      <c r="I9" s="15"/>
      <c r="J9" s="16" t="s">
        <v>64</v>
      </c>
      <c r="K9" s="16" t="s">
        <v>64</v>
      </c>
      <c r="L9" s="14" t="s">
        <v>153</v>
      </c>
      <c r="M9" s="16" t="s">
        <v>64</v>
      </c>
      <c r="N9" s="14" t="s">
        <v>64</v>
      </c>
      <c r="O9" s="17"/>
      <c r="P9" s="17"/>
      <c r="Q9" s="17" t="s">
        <v>160</v>
      </c>
      <c r="R9" s="17"/>
      <c r="S9" s="14" t="s">
        <v>64</v>
      </c>
      <c r="T9" s="14" t="s">
        <v>64</v>
      </c>
      <c r="U9" s="14" t="s">
        <v>161</v>
      </c>
      <c r="V9" s="16" t="s">
        <v>76</v>
      </c>
    </row>
    <row r="10" spans="1:22" ht="43.5" x14ac:dyDescent="0.35">
      <c r="A10" s="14" t="s">
        <v>157</v>
      </c>
      <c r="B10" s="14" t="s">
        <v>87</v>
      </c>
      <c r="C10" s="15">
        <v>44935.542361111111</v>
      </c>
      <c r="D10" s="14" t="s">
        <v>77</v>
      </c>
      <c r="E10" s="14" t="s">
        <v>158</v>
      </c>
      <c r="F10" s="16" t="s">
        <v>78</v>
      </c>
      <c r="G10" s="14" t="s">
        <v>159</v>
      </c>
      <c r="H10" s="15">
        <v>44767</v>
      </c>
      <c r="I10" s="15"/>
      <c r="J10" s="16" t="s">
        <v>64</v>
      </c>
      <c r="K10" s="16" t="s">
        <v>64</v>
      </c>
      <c r="L10" s="14" t="s">
        <v>153</v>
      </c>
      <c r="M10" s="16" t="s">
        <v>64</v>
      </c>
      <c r="N10" s="14" t="s">
        <v>64</v>
      </c>
      <c r="O10" s="17"/>
      <c r="P10" s="17"/>
      <c r="Q10" s="17"/>
      <c r="R10" s="17"/>
      <c r="S10" s="14" t="s">
        <v>64</v>
      </c>
      <c r="T10" s="14" t="s">
        <v>64</v>
      </c>
      <c r="U10" s="14" t="s">
        <v>161</v>
      </c>
      <c r="V10" s="16" t="s">
        <v>78</v>
      </c>
    </row>
    <row r="11" spans="1:22" ht="43.5" x14ac:dyDescent="0.35">
      <c r="A11" s="14" t="s">
        <v>157</v>
      </c>
      <c r="B11" s="14" t="s">
        <v>87</v>
      </c>
      <c r="C11" s="15">
        <v>44935.583333333336</v>
      </c>
      <c r="D11" s="14" t="s">
        <v>79</v>
      </c>
      <c r="E11" s="14" t="s">
        <v>158</v>
      </c>
      <c r="F11" s="16" t="s">
        <v>80</v>
      </c>
      <c r="G11" s="14" t="s">
        <v>159</v>
      </c>
      <c r="H11" s="15">
        <v>44767</v>
      </c>
      <c r="I11" s="15"/>
      <c r="J11" s="16" t="s">
        <v>64</v>
      </c>
      <c r="K11" s="16" t="s">
        <v>64</v>
      </c>
      <c r="L11" s="14" t="s">
        <v>153</v>
      </c>
      <c r="M11" s="16" t="s">
        <v>64</v>
      </c>
      <c r="N11" s="14" t="s">
        <v>64</v>
      </c>
      <c r="O11" s="17"/>
      <c r="P11" s="17"/>
      <c r="Q11" s="17" t="s">
        <v>160</v>
      </c>
      <c r="R11" s="17"/>
      <c r="S11" s="14" t="s">
        <v>64</v>
      </c>
      <c r="T11" s="14" t="s">
        <v>64</v>
      </c>
      <c r="U11" s="14" t="s">
        <v>161</v>
      </c>
      <c r="V11" s="16" t="s">
        <v>80</v>
      </c>
    </row>
    <row r="12" spans="1:22" ht="58" x14ac:dyDescent="0.35">
      <c r="A12" s="14" t="s">
        <v>53</v>
      </c>
      <c r="B12" s="14" t="s">
        <v>87</v>
      </c>
      <c r="C12" s="15">
        <v>45282.431250000001</v>
      </c>
      <c r="D12" s="14" t="s">
        <v>89</v>
      </c>
      <c r="E12" s="14" t="s">
        <v>158</v>
      </c>
      <c r="F12" s="16" t="s">
        <v>90</v>
      </c>
      <c r="G12" s="14" t="s">
        <v>162</v>
      </c>
      <c r="H12" s="15">
        <v>45156</v>
      </c>
      <c r="I12" s="15"/>
      <c r="J12" s="16" t="s">
        <v>64</v>
      </c>
      <c r="K12" s="16" t="s">
        <v>64</v>
      </c>
      <c r="L12" s="14" t="s">
        <v>153</v>
      </c>
      <c r="M12" s="16" t="s">
        <v>64</v>
      </c>
      <c r="N12" s="14" t="s">
        <v>64</v>
      </c>
      <c r="O12" s="17"/>
      <c r="P12" s="17"/>
      <c r="Q12" s="17" t="s">
        <v>160</v>
      </c>
      <c r="R12" s="17"/>
      <c r="S12" s="14" t="s">
        <v>64</v>
      </c>
      <c r="T12" s="14" t="s">
        <v>64</v>
      </c>
      <c r="U12" s="14" t="s">
        <v>161</v>
      </c>
      <c r="V12" s="16" t="s">
        <v>90</v>
      </c>
    </row>
    <row r="13" spans="1:22" ht="29" x14ac:dyDescent="0.35">
      <c r="A13" s="14" t="s">
        <v>53</v>
      </c>
      <c r="B13" s="14" t="s">
        <v>87</v>
      </c>
      <c r="C13" s="15">
        <v>45282.613888888889</v>
      </c>
      <c r="D13" s="14" t="s">
        <v>91</v>
      </c>
      <c r="E13" s="14" t="s">
        <v>158</v>
      </c>
      <c r="F13" s="16" t="s">
        <v>92</v>
      </c>
      <c r="G13" s="14" t="s">
        <v>162</v>
      </c>
      <c r="H13" s="15">
        <v>45156</v>
      </c>
      <c r="I13" s="15"/>
      <c r="J13" s="16" t="s">
        <v>64</v>
      </c>
      <c r="K13" s="16" t="s">
        <v>64</v>
      </c>
      <c r="L13" s="14" t="s">
        <v>153</v>
      </c>
      <c r="M13" s="16" t="s">
        <v>64</v>
      </c>
      <c r="N13" s="14" t="s">
        <v>64</v>
      </c>
      <c r="O13" s="17"/>
      <c r="P13" s="17"/>
      <c r="Q13" s="17" t="s">
        <v>160</v>
      </c>
      <c r="R13" s="17"/>
      <c r="S13" s="14" t="s">
        <v>64</v>
      </c>
      <c r="T13" s="14" t="s">
        <v>64</v>
      </c>
      <c r="U13" s="14" t="s">
        <v>161</v>
      </c>
      <c r="V13" s="16" t="s">
        <v>92</v>
      </c>
    </row>
    <row r="14" spans="1:22" ht="58" x14ac:dyDescent="0.35">
      <c r="A14" s="14" t="s">
        <v>53</v>
      </c>
      <c r="B14" s="14" t="s">
        <v>87</v>
      </c>
      <c r="C14" s="15">
        <v>45282.431944444441</v>
      </c>
      <c r="D14" s="14" t="s">
        <v>93</v>
      </c>
      <c r="E14" s="14" t="s">
        <v>158</v>
      </c>
      <c r="F14" s="16" t="s">
        <v>94</v>
      </c>
      <c r="G14" s="14" t="s">
        <v>162</v>
      </c>
      <c r="H14" s="15">
        <v>45156</v>
      </c>
      <c r="I14" s="15"/>
      <c r="J14" s="16" t="s">
        <v>64</v>
      </c>
      <c r="K14" s="16" t="s">
        <v>64</v>
      </c>
      <c r="L14" s="14" t="s">
        <v>153</v>
      </c>
      <c r="M14" s="16" t="s">
        <v>64</v>
      </c>
      <c r="N14" s="14" t="s">
        <v>64</v>
      </c>
      <c r="O14" s="17"/>
      <c r="P14" s="17"/>
      <c r="Q14" s="17" t="s">
        <v>160</v>
      </c>
      <c r="R14" s="17"/>
      <c r="S14" s="14" t="s">
        <v>64</v>
      </c>
      <c r="T14" s="14" t="s">
        <v>64</v>
      </c>
      <c r="U14" s="14" t="s">
        <v>161</v>
      </c>
      <c r="V14" s="16" t="s">
        <v>94</v>
      </c>
    </row>
    <row r="15" spans="1:22" ht="43.5" x14ac:dyDescent="0.35">
      <c r="A15" s="14" t="s">
        <v>53</v>
      </c>
      <c r="B15" s="14" t="s">
        <v>87</v>
      </c>
      <c r="C15" s="15">
        <v>45282.431944444441</v>
      </c>
      <c r="D15" s="14" t="s">
        <v>95</v>
      </c>
      <c r="E15" s="14" t="s">
        <v>158</v>
      </c>
      <c r="F15" s="16" t="s">
        <v>96</v>
      </c>
      <c r="G15" s="14" t="s">
        <v>162</v>
      </c>
      <c r="H15" s="15">
        <v>45156</v>
      </c>
      <c r="I15" s="15"/>
      <c r="J15" s="16" t="s">
        <v>64</v>
      </c>
      <c r="K15" s="16" t="s">
        <v>64</v>
      </c>
      <c r="L15" s="14" t="s">
        <v>153</v>
      </c>
      <c r="M15" s="16" t="s">
        <v>64</v>
      </c>
      <c r="N15" s="14" t="s">
        <v>64</v>
      </c>
      <c r="O15" s="17"/>
      <c r="P15" s="17"/>
      <c r="Q15" s="17" t="s">
        <v>160</v>
      </c>
      <c r="R15" s="17"/>
      <c r="S15" s="14" t="s">
        <v>64</v>
      </c>
      <c r="T15" s="14" t="s">
        <v>64</v>
      </c>
      <c r="U15" s="14" t="s">
        <v>161</v>
      </c>
      <c r="V15" s="16" t="s">
        <v>96</v>
      </c>
    </row>
    <row r="16" spans="1:22" x14ac:dyDescent="0.35">
      <c r="A16" s="19"/>
      <c r="B16" s="19"/>
      <c r="C16" s="22"/>
      <c r="D16" s="19"/>
      <c r="E16" s="19"/>
      <c r="F16" s="20" t="s">
        <v>64</v>
      </c>
      <c r="G16" s="19"/>
      <c r="H16" s="22"/>
      <c r="I16" s="22"/>
      <c r="J16" s="20" t="s">
        <v>64</v>
      </c>
      <c r="K16" s="20" t="s">
        <v>64</v>
      </c>
      <c r="L16" s="19"/>
      <c r="M16" s="20" t="s">
        <v>64</v>
      </c>
      <c r="N16" s="19"/>
      <c r="S16" s="19"/>
      <c r="T16" s="19"/>
      <c r="U16" s="19"/>
      <c r="V16" s="20" t="s">
        <v>64</v>
      </c>
    </row>
    <row r="17" spans="1:22" x14ac:dyDescent="0.35">
      <c r="A17" s="19"/>
      <c r="B17" s="19"/>
      <c r="C17" s="22"/>
      <c r="D17" s="19"/>
      <c r="E17" s="19"/>
      <c r="F17" s="20" t="s">
        <v>64</v>
      </c>
      <c r="G17" s="19"/>
      <c r="H17" s="22"/>
      <c r="I17" s="22"/>
      <c r="J17" s="20" t="s">
        <v>64</v>
      </c>
      <c r="K17" s="20" t="s">
        <v>64</v>
      </c>
      <c r="L17" s="19"/>
      <c r="M17" s="20" t="s">
        <v>64</v>
      </c>
      <c r="N17" s="19"/>
      <c r="S17" s="19"/>
      <c r="T17" s="19"/>
      <c r="U17" s="19"/>
      <c r="V17" s="20" t="s">
        <v>64</v>
      </c>
    </row>
    <row r="18" spans="1:22" x14ac:dyDescent="0.35">
      <c r="A18" s="19"/>
      <c r="B18" s="19"/>
      <c r="C18" s="22"/>
      <c r="D18" s="19"/>
      <c r="E18" s="19"/>
      <c r="F18" s="20" t="s">
        <v>64</v>
      </c>
      <c r="G18" s="19"/>
      <c r="H18" s="22"/>
      <c r="I18" s="22"/>
      <c r="J18" s="20" t="s">
        <v>64</v>
      </c>
      <c r="K18" s="20" t="s">
        <v>64</v>
      </c>
      <c r="L18" s="19"/>
      <c r="M18" s="20" t="s">
        <v>64</v>
      </c>
      <c r="N18" s="19"/>
      <c r="S18" s="19"/>
      <c r="T18" s="19"/>
      <c r="U18" s="19"/>
      <c r="V18" s="20" t="s">
        <v>64</v>
      </c>
    </row>
    <row r="19" spans="1:22" x14ac:dyDescent="0.35">
      <c r="A19" s="19"/>
      <c r="B19" s="19"/>
      <c r="C19" s="22"/>
      <c r="D19" s="19"/>
      <c r="E19" s="19"/>
      <c r="F19" s="20" t="s">
        <v>64</v>
      </c>
      <c r="G19" s="19"/>
      <c r="H19" s="22"/>
      <c r="I19" s="22"/>
      <c r="J19" s="20" t="s">
        <v>64</v>
      </c>
      <c r="K19" s="20" t="s">
        <v>64</v>
      </c>
      <c r="L19" s="19"/>
      <c r="M19" s="20" t="s">
        <v>64</v>
      </c>
      <c r="N19" s="19"/>
      <c r="S19" s="19"/>
      <c r="T19" s="19"/>
      <c r="U19" s="19"/>
      <c r="V19" s="20" t="s">
        <v>64</v>
      </c>
    </row>
    <row r="20" spans="1:22" x14ac:dyDescent="0.35">
      <c r="A20" s="19"/>
      <c r="B20" s="19"/>
      <c r="C20" s="22"/>
      <c r="D20" s="19"/>
      <c r="E20" s="19"/>
      <c r="F20" s="20" t="s">
        <v>64</v>
      </c>
      <c r="G20" s="19"/>
      <c r="H20" s="22"/>
      <c r="I20" s="22"/>
      <c r="J20" s="20" t="s">
        <v>64</v>
      </c>
      <c r="K20" s="20" t="s">
        <v>64</v>
      </c>
      <c r="L20" s="19"/>
      <c r="M20" s="20" t="s">
        <v>64</v>
      </c>
      <c r="N20" s="19"/>
      <c r="S20" s="19"/>
      <c r="T20" s="19"/>
      <c r="U20" s="19"/>
      <c r="V20" s="20" t="s">
        <v>64</v>
      </c>
    </row>
    <row r="21" spans="1:22" x14ac:dyDescent="0.35">
      <c r="A21" s="19"/>
      <c r="B21" s="19"/>
      <c r="C21" s="22"/>
      <c r="D21" s="19"/>
      <c r="E21" s="19"/>
      <c r="F21" s="20" t="s">
        <v>64</v>
      </c>
      <c r="G21" s="19"/>
      <c r="H21" s="22"/>
      <c r="I21" s="22"/>
      <c r="J21" s="20" t="s">
        <v>64</v>
      </c>
      <c r="K21" s="20" t="s">
        <v>64</v>
      </c>
      <c r="L21" s="19"/>
      <c r="M21" s="20" t="s">
        <v>64</v>
      </c>
      <c r="N21" s="19"/>
      <c r="S21" s="19"/>
      <c r="T21" s="19"/>
      <c r="U21" s="19"/>
      <c r="V21" s="20" t="s">
        <v>64</v>
      </c>
    </row>
    <row r="22" spans="1:22" x14ac:dyDescent="0.35">
      <c r="A22" s="19"/>
      <c r="B22" s="19"/>
      <c r="C22" s="22"/>
      <c r="D22" s="19"/>
      <c r="E22" s="19"/>
      <c r="F22" s="20" t="s">
        <v>64</v>
      </c>
      <c r="G22" s="19"/>
      <c r="H22" s="22"/>
      <c r="I22" s="22"/>
      <c r="J22" s="20" t="s">
        <v>64</v>
      </c>
      <c r="K22" s="20" t="s">
        <v>64</v>
      </c>
      <c r="L22" s="19"/>
      <c r="M22" s="20" t="s">
        <v>64</v>
      </c>
      <c r="N22" s="19"/>
      <c r="S22" s="19"/>
      <c r="T22" s="19"/>
      <c r="U22" s="19"/>
      <c r="V22" s="20" t="s">
        <v>64</v>
      </c>
    </row>
    <row r="23" spans="1:22" x14ac:dyDescent="0.35">
      <c r="A23" s="19"/>
      <c r="B23" s="19"/>
      <c r="C23" s="22"/>
      <c r="D23" s="19"/>
      <c r="E23" s="19"/>
      <c r="F23" s="20" t="s">
        <v>64</v>
      </c>
      <c r="G23" s="19"/>
      <c r="H23" s="22"/>
      <c r="I23" s="22"/>
      <c r="J23" s="20" t="s">
        <v>64</v>
      </c>
      <c r="K23" s="20" t="s">
        <v>64</v>
      </c>
      <c r="L23" s="19"/>
      <c r="M23" s="20" t="s">
        <v>64</v>
      </c>
      <c r="N23" s="19"/>
      <c r="S23" s="19"/>
      <c r="T23" s="19"/>
      <c r="U23" s="19"/>
      <c r="V23" s="20" t="s">
        <v>64</v>
      </c>
    </row>
  </sheetData>
  <autoFilter ref="A1:Z1" xr:uid="{6CE6F68B-E241-4B8C-A6C5-726E20EE5D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2026-06-05T14:02:51Z</dcterms:created>
  <dcterms:modified xsi:type="dcterms:W3CDTF">2026-06-05T14:02:52Z</dcterms:modified>
</cp:coreProperties>
</file>