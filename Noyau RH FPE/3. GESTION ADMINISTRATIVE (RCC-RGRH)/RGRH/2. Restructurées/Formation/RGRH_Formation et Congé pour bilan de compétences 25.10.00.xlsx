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206_25.10.00\4-Règles de gestion\RGRH\Restructurées\Formation\"/>
    </mc:Choice>
  </mc:AlternateContent>
  <xr:revisionPtr revIDLastSave="0" documentId="13_ncr:1_{80E8AC5B-A08A-4D27-8C4D-7B893E2BE900}" xr6:coauthVersionLast="47" xr6:coauthVersionMax="47" xr10:uidLastSave="{00000000-0000-0000-0000-000000000000}"/>
  <bookViews>
    <workbookView xWindow="-110" yWindow="-110" windowWidth="19420" windowHeight="11500" xr2:uid="{63175D1D-8A4A-4994-9C70-D5FF6491C08B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RG'!$A$1:$OJ$118</definedName>
    <definedName name="_xlnm._FilterDatabase" localSheetId="2" hidden="1">'Axe 1 Enchaînement RG Impact'!$A$1:$OJ$118</definedName>
    <definedName name="_xlnm._FilterDatabase" localSheetId="3" hidden="1">'Axe 1 Rattachement des actes'!$A$1:$AS$1</definedName>
    <definedName name="_xlnm._FilterDatabase" localSheetId="4" hidden="1">'Axe 2 Règles de gestion'!$A$1:$Z$85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99" i="4" l="1"/>
  <c r="AC97" i="4"/>
  <c r="AC95" i="4"/>
  <c r="AC91" i="4"/>
  <c r="AC70" i="4"/>
  <c r="AC67" i="4"/>
  <c r="AC64" i="4"/>
  <c r="AC59" i="4"/>
  <c r="AC38" i="4"/>
  <c r="AC36" i="4"/>
  <c r="AC34" i="4"/>
  <c r="AC30" i="4"/>
  <c r="AC10" i="4"/>
  <c r="AC8" i="4"/>
  <c r="AC6" i="4"/>
  <c r="AC2" i="4"/>
  <c r="AA99" i="4"/>
  <c r="AA97" i="4"/>
  <c r="AA95" i="4"/>
  <c r="AA91" i="4"/>
  <c r="AA70" i="4"/>
  <c r="AA67" i="4"/>
  <c r="AA64" i="4"/>
  <c r="AA59" i="4"/>
  <c r="AA38" i="4"/>
  <c r="AA36" i="4"/>
  <c r="AA34" i="4"/>
  <c r="AA30" i="4"/>
  <c r="AA10" i="4"/>
  <c r="AA8" i="4"/>
  <c r="AA6" i="4"/>
  <c r="AA2" i="4"/>
  <c r="Y99" i="4"/>
  <c r="Y97" i="4"/>
  <c r="Y95" i="4"/>
  <c r="Y91" i="4"/>
  <c r="Y70" i="4"/>
  <c r="Y67" i="4"/>
  <c r="Y64" i="4"/>
  <c r="Y59" i="4"/>
  <c r="Y38" i="4"/>
  <c r="Y36" i="4"/>
  <c r="Y34" i="4"/>
  <c r="Y30" i="4"/>
  <c r="Y10" i="4"/>
  <c r="Y8" i="4"/>
  <c r="Y6" i="4"/>
  <c r="Y2" i="4"/>
  <c r="BY53" i="5"/>
  <c r="BY38" i="5"/>
  <c r="BY34" i="5"/>
  <c r="BY25" i="5"/>
  <c r="BY20" i="5"/>
  <c r="BY10" i="5"/>
  <c r="BY6" i="5"/>
  <c r="BW55" i="5"/>
  <c r="BW53" i="5"/>
  <c r="BW39" i="5"/>
  <c r="BW38" i="5"/>
  <c r="BW35" i="5"/>
  <c r="BW34" i="5"/>
  <c r="BW27" i="5"/>
  <c r="BW25" i="5"/>
  <c r="BW21" i="5"/>
  <c r="BW20" i="5"/>
  <c r="BW11" i="5"/>
  <c r="BW10" i="5"/>
  <c r="BW7" i="5"/>
  <c r="BW6" i="5"/>
  <c r="BU55" i="5"/>
  <c r="BU53" i="5"/>
  <c r="BU39" i="5"/>
  <c r="BU38" i="5"/>
  <c r="BU36" i="5"/>
  <c r="BU35" i="5"/>
  <c r="BU34" i="5"/>
  <c r="BU30" i="5"/>
  <c r="BU27" i="5"/>
  <c r="BU25" i="5"/>
  <c r="BU21" i="5"/>
  <c r="BU20" i="5"/>
  <c r="BU11" i="5"/>
  <c r="BU10" i="5"/>
  <c r="BU8" i="5"/>
  <c r="BU7" i="5"/>
  <c r="BU6" i="5"/>
  <c r="BU2" i="5"/>
  <c r="BS55" i="5"/>
  <c r="BS53" i="5"/>
  <c r="BS39" i="5"/>
  <c r="BS38" i="5"/>
  <c r="BS37" i="5"/>
  <c r="BS36" i="5"/>
  <c r="BS35" i="5"/>
  <c r="BS34" i="5"/>
  <c r="BS31" i="5"/>
  <c r="BS30" i="5"/>
  <c r="BS27" i="5"/>
  <c r="BS25" i="5"/>
  <c r="BS21" i="5"/>
  <c r="BS20" i="5"/>
  <c r="BS11" i="5"/>
  <c r="BS10" i="5"/>
  <c r="BS9" i="5"/>
  <c r="BS8" i="5"/>
  <c r="BS7" i="5"/>
  <c r="BS6" i="5"/>
  <c r="BS3" i="5"/>
  <c r="BS2" i="5"/>
  <c r="BQ55" i="5"/>
  <c r="BQ53" i="5"/>
  <c r="BQ39" i="5"/>
  <c r="BQ38" i="5"/>
  <c r="BQ37" i="5"/>
  <c r="BQ36" i="5"/>
  <c r="BQ35" i="5"/>
  <c r="BQ34" i="5"/>
  <c r="BQ31" i="5"/>
  <c r="BQ30" i="5"/>
  <c r="BQ27" i="5"/>
  <c r="BQ25" i="5"/>
  <c r="BQ21" i="5"/>
  <c r="BQ20" i="5"/>
  <c r="BQ11" i="5"/>
  <c r="BQ10" i="5"/>
  <c r="BQ9" i="5"/>
  <c r="BQ8" i="5"/>
  <c r="BQ7" i="5"/>
  <c r="BQ6" i="5"/>
  <c r="BQ3" i="5"/>
  <c r="BQ2" i="5"/>
  <c r="BO55" i="5"/>
  <c r="BO53" i="5"/>
  <c r="BO39" i="5"/>
  <c r="BO38" i="5"/>
  <c r="BO37" i="5"/>
  <c r="BO36" i="5"/>
  <c r="BO35" i="5"/>
  <c r="BO34" i="5"/>
  <c r="BO31" i="5"/>
  <c r="BO30" i="5"/>
  <c r="BO27" i="5"/>
  <c r="BO25" i="5"/>
  <c r="BO21" i="5"/>
  <c r="BO20" i="5"/>
  <c r="BO11" i="5"/>
  <c r="BO10" i="5"/>
  <c r="BO9" i="5"/>
  <c r="BO8" i="5"/>
  <c r="BO7" i="5"/>
  <c r="BO6" i="5"/>
  <c r="BO3" i="5"/>
  <c r="BO2" i="5"/>
  <c r="BM55" i="5"/>
  <c r="BM53" i="5"/>
  <c r="BM39" i="5"/>
  <c r="BM38" i="5"/>
  <c r="BM37" i="5"/>
  <c r="BM36" i="5"/>
  <c r="BM35" i="5"/>
  <c r="BM34" i="5"/>
  <c r="BM31" i="5"/>
  <c r="BM30" i="5"/>
  <c r="BM27" i="5"/>
  <c r="BM25" i="5"/>
  <c r="BM21" i="5"/>
  <c r="BM20" i="5"/>
  <c r="BM11" i="5"/>
  <c r="BM10" i="5"/>
  <c r="BM9" i="5"/>
  <c r="BM8" i="5"/>
  <c r="BM7" i="5"/>
  <c r="BM6" i="5"/>
  <c r="BM3" i="5"/>
  <c r="BM2" i="5"/>
  <c r="BK114" i="5"/>
  <c r="BK99" i="5"/>
  <c r="BK95" i="5"/>
  <c r="BK86" i="5"/>
  <c r="BK81" i="5"/>
  <c r="BK80" i="5"/>
  <c r="BK70" i="5"/>
  <c r="BK69" i="5"/>
  <c r="BK64" i="5"/>
  <c r="BK63" i="5"/>
  <c r="BK55" i="5"/>
  <c r="BK53" i="5"/>
  <c r="BK39" i="5"/>
  <c r="BK38" i="5"/>
  <c r="BK37" i="5"/>
  <c r="BK36" i="5"/>
  <c r="BK35" i="5"/>
  <c r="BK34" i="5"/>
  <c r="BK31" i="5"/>
  <c r="BK30" i="5"/>
  <c r="BK27" i="5"/>
  <c r="BK25" i="5"/>
  <c r="BK21" i="5"/>
  <c r="BK20" i="5"/>
  <c r="BK11" i="5"/>
  <c r="BK10" i="5"/>
  <c r="BK9" i="5"/>
  <c r="BK8" i="5"/>
  <c r="BK7" i="5"/>
  <c r="BK6" i="5"/>
  <c r="BK3" i="5"/>
  <c r="BK2" i="5"/>
  <c r="BI116" i="5"/>
  <c r="BI114" i="5"/>
  <c r="BI100" i="5"/>
  <c r="BI99" i="5"/>
  <c r="BI97" i="5"/>
  <c r="BI96" i="5"/>
  <c r="BI95" i="5"/>
  <c r="BI91" i="5"/>
  <c r="BI88" i="5"/>
  <c r="BI86" i="5"/>
  <c r="BI82" i="5"/>
  <c r="BI81" i="5"/>
  <c r="BI80" i="5"/>
  <c r="BI71" i="5"/>
  <c r="BI70" i="5"/>
  <c r="BI69" i="5"/>
  <c r="BI67" i="5"/>
  <c r="BI66" i="5"/>
  <c r="BI65" i="5"/>
  <c r="BI64" i="5"/>
  <c r="BI63" i="5"/>
  <c r="BI59" i="5"/>
  <c r="BI58" i="5"/>
  <c r="BI55" i="5"/>
  <c r="BI53" i="5"/>
  <c r="BI39" i="5"/>
  <c r="BI38" i="5"/>
  <c r="BI37" i="5"/>
  <c r="BI36" i="5"/>
  <c r="BI35" i="5"/>
  <c r="BI34" i="5"/>
  <c r="BI31" i="5"/>
  <c r="BI30" i="5"/>
  <c r="BI27" i="5"/>
  <c r="BI25" i="5"/>
  <c r="BI21" i="5"/>
  <c r="BI20" i="5"/>
  <c r="BI11" i="5"/>
  <c r="BI10" i="5"/>
  <c r="BI9" i="5"/>
  <c r="BI8" i="5"/>
  <c r="BI7" i="5"/>
  <c r="BI6" i="5"/>
  <c r="BI3" i="5"/>
  <c r="BI2" i="5"/>
  <c r="BG116" i="5"/>
  <c r="BG114" i="5"/>
  <c r="BG100" i="5"/>
  <c r="BG99" i="5"/>
  <c r="BG98" i="5"/>
  <c r="BG97" i="5"/>
  <c r="BG96" i="5"/>
  <c r="BG95" i="5"/>
  <c r="BG92" i="5"/>
  <c r="BG91" i="5"/>
  <c r="BG88" i="5"/>
  <c r="BG86" i="5"/>
  <c r="BG82" i="5"/>
  <c r="BG81" i="5"/>
  <c r="BG80" i="5"/>
  <c r="BG71" i="5"/>
  <c r="BG70" i="5"/>
  <c r="BG69" i="5"/>
  <c r="BG68" i="5"/>
  <c r="BG67" i="5"/>
  <c r="BG66" i="5"/>
  <c r="BG65" i="5"/>
  <c r="BG64" i="5"/>
  <c r="BG63" i="5"/>
  <c r="BG60" i="5"/>
  <c r="BG59" i="5"/>
  <c r="BG58" i="5"/>
  <c r="BG55" i="5"/>
  <c r="BG53" i="5"/>
  <c r="BG39" i="5"/>
  <c r="BG38" i="5"/>
  <c r="BG37" i="5"/>
  <c r="BG36" i="5"/>
  <c r="BG35" i="5"/>
  <c r="BG34" i="5"/>
  <c r="BG31" i="5"/>
  <c r="BG30" i="5"/>
  <c r="BG27" i="5"/>
  <c r="BG25" i="5"/>
  <c r="BG21" i="5"/>
  <c r="BG20" i="5"/>
  <c r="BG11" i="5"/>
  <c r="BG10" i="5"/>
  <c r="BG9" i="5"/>
  <c r="BG8" i="5"/>
  <c r="BG7" i="5"/>
  <c r="BG6" i="5"/>
  <c r="BG3" i="5"/>
  <c r="BG2" i="5"/>
  <c r="BE116" i="5"/>
  <c r="BE114" i="5"/>
  <c r="BE100" i="5"/>
  <c r="BE99" i="5"/>
  <c r="BE98" i="5"/>
  <c r="BE97" i="5"/>
  <c r="BE96" i="5"/>
  <c r="BE95" i="5"/>
  <c r="BE92" i="5"/>
  <c r="BE91" i="5"/>
  <c r="BE88" i="5"/>
  <c r="BE86" i="5"/>
  <c r="BE82" i="5"/>
  <c r="BE81" i="5"/>
  <c r="BE80" i="5"/>
  <c r="BE71" i="5"/>
  <c r="BE70" i="5"/>
  <c r="BE69" i="5"/>
  <c r="BE68" i="5"/>
  <c r="BE67" i="5"/>
  <c r="BE66" i="5"/>
  <c r="BE65" i="5"/>
  <c r="BE64" i="5"/>
  <c r="BE63" i="5"/>
  <c r="BE60" i="5"/>
  <c r="BE59" i="5"/>
  <c r="BE58" i="5"/>
  <c r="BE55" i="5"/>
  <c r="BE53" i="5"/>
  <c r="BE39" i="5"/>
  <c r="BE38" i="5"/>
  <c r="BE37" i="5"/>
  <c r="BE36" i="5"/>
  <c r="BE35" i="5"/>
  <c r="BE34" i="5"/>
  <c r="BE31" i="5"/>
  <c r="BE30" i="5"/>
  <c r="BE27" i="5"/>
  <c r="BE25" i="5"/>
  <c r="BE21" i="5"/>
  <c r="BE20" i="5"/>
  <c r="BE11" i="5"/>
  <c r="BE10" i="5"/>
  <c r="BE9" i="5"/>
  <c r="BE8" i="5"/>
  <c r="BE7" i="5"/>
  <c r="BE6" i="5"/>
  <c r="BE3" i="5"/>
  <c r="BE2" i="5"/>
  <c r="BC69" i="5"/>
  <c r="BC66" i="5"/>
  <c r="BC63" i="5"/>
  <c r="BC58" i="5"/>
  <c r="BA114" i="5"/>
  <c r="BA99" i="5"/>
  <c r="BA97" i="5"/>
  <c r="BA95" i="5"/>
  <c r="BA91" i="5"/>
  <c r="BA86" i="5"/>
  <c r="BA70" i="5"/>
  <c r="BA69" i="5"/>
  <c r="BA67" i="5"/>
  <c r="BA66" i="5"/>
  <c r="BA64" i="5"/>
  <c r="BA63" i="5"/>
  <c r="BA59" i="5"/>
  <c r="BA58" i="5"/>
  <c r="BA53" i="5"/>
  <c r="BA38" i="5"/>
  <c r="BA36" i="5"/>
  <c r="BA34" i="5"/>
  <c r="BA30" i="5"/>
  <c r="BA25" i="5"/>
  <c r="BA10" i="5"/>
  <c r="BA8" i="5"/>
  <c r="BA6" i="5"/>
  <c r="BA2" i="5"/>
  <c r="AY114" i="5"/>
  <c r="AY97" i="5"/>
  <c r="AY95" i="5"/>
  <c r="AW114" i="5"/>
  <c r="AW99" i="5"/>
  <c r="AW97" i="5"/>
  <c r="AW95" i="5"/>
  <c r="AW91" i="5"/>
  <c r="AU114" i="5"/>
  <c r="AU99" i="5"/>
  <c r="AU97" i="5"/>
  <c r="AU95" i="5"/>
  <c r="AU91" i="5"/>
  <c r="AS114" i="5"/>
  <c r="AS99" i="5"/>
  <c r="AS97" i="5"/>
  <c r="AS95" i="5"/>
  <c r="AS91" i="5"/>
  <c r="AQ114" i="5"/>
  <c r="AQ99" i="5"/>
  <c r="AQ97" i="5"/>
  <c r="AQ95" i="5"/>
  <c r="AQ91" i="5"/>
  <c r="AO114" i="5"/>
  <c r="AO99" i="5"/>
  <c r="AO97" i="5"/>
  <c r="AO95" i="5"/>
  <c r="AO91" i="5"/>
  <c r="AM114" i="5"/>
  <c r="AM99" i="5"/>
  <c r="AM97" i="5"/>
  <c r="AM95" i="5"/>
  <c r="AM91" i="5"/>
  <c r="AM86" i="5"/>
  <c r="AM67" i="5"/>
  <c r="AM64" i="5"/>
  <c r="AK114" i="5"/>
  <c r="AK99" i="5"/>
  <c r="AK97" i="5"/>
  <c r="AK95" i="5"/>
  <c r="AK91" i="5"/>
  <c r="AK86" i="5"/>
  <c r="AK70" i="5"/>
  <c r="AK67" i="5"/>
  <c r="AK64" i="5"/>
  <c r="AK63" i="5"/>
  <c r="AK59" i="5"/>
  <c r="AI114" i="5"/>
  <c r="AI99" i="5"/>
  <c r="AI97" i="5"/>
  <c r="AI95" i="5"/>
  <c r="AI91" i="5"/>
  <c r="AI86" i="5"/>
  <c r="AI81" i="5"/>
  <c r="AI70" i="5"/>
  <c r="AI69" i="5"/>
  <c r="AI67" i="5"/>
  <c r="AI66" i="5"/>
  <c r="AI64" i="5"/>
  <c r="AI63" i="5"/>
  <c r="AI59" i="5"/>
  <c r="AI58" i="5"/>
  <c r="AG114" i="5"/>
  <c r="AG99" i="5"/>
  <c r="AG97" i="5"/>
  <c r="AG95" i="5"/>
  <c r="AG91" i="5"/>
  <c r="AG86" i="5"/>
  <c r="AG81" i="5"/>
  <c r="AG70" i="5"/>
  <c r="AG69" i="5"/>
  <c r="AG67" i="5"/>
  <c r="AG66" i="5"/>
  <c r="AG64" i="5"/>
  <c r="AG63" i="5"/>
  <c r="AG59" i="5"/>
  <c r="AG58" i="5"/>
  <c r="AG53" i="5"/>
  <c r="AG36" i="5"/>
  <c r="AG34" i="5"/>
  <c r="AG25" i="5"/>
  <c r="AG8" i="5"/>
  <c r="AG6" i="5"/>
  <c r="AE116" i="5"/>
  <c r="AE114" i="5"/>
  <c r="AE99" i="5"/>
  <c r="AE98" i="5"/>
  <c r="AE97" i="5"/>
  <c r="AE96" i="5"/>
  <c r="AE95" i="5"/>
  <c r="AE91" i="5"/>
  <c r="AE86" i="5"/>
  <c r="AE81" i="5"/>
  <c r="AE70" i="5"/>
  <c r="AE69" i="5"/>
  <c r="AE67" i="5"/>
  <c r="AE66" i="5"/>
  <c r="AE64" i="5"/>
  <c r="AE63" i="5"/>
  <c r="AE59" i="5"/>
  <c r="AE58" i="5"/>
  <c r="AE53" i="5"/>
  <c r="AE38" i="5"/>
  <c r="AE36" i="5"/>
  <c r="AE34" i="5"/>
  <c r="AE30" i="5"/>
  <c r="AE25" i="5"/>
  <c r="AE10" i="5"/>
  <c r="AE8" i="5"/>
  <c r="AE6" i="5"/>
  <c r="AE2" i="5"/>
  <c r="AC116" i="5"/>
  <c r="AC114" i="5"/>
  <c r="AC100" i="5"/>
  <c r="AC99" i="5"/>
  <c r="AC98" i="5"/>
  <c r="AC97" i="5"/>
  <c r="AC96" i="5"/>
  <c r="AC95" i="5"/>
  <c r="AC92" i="5"/>
  <c r="AC91" i="5"/>
  <c r="AC88" i="5"/>
  <c r="AC86" i="5"/>
  <c r="AC81" i="5"/>
  <c r="AC70" i="5"/>
  <c r="AC69" i="5"/>
  <c r="AC68" i="5"/>
  <c r="AC67" i="5"/>
  <c r="AC66" i="5"/>
  <c r="AC65" i="5"/>
  <c r="AC64" i="5"/>
  <c r="AC63" i="5"/>
  <c r="AC59" i="5"/>
  <c r="AC58" i="5"/>
  <c r="AC53" i="5"/>
  <c r="AC38" i="5"/>
  <c r="AC36" i="5"/>
  <c r="AC34" i="5"/>
  <c r="AC30" i="5"/>
  <c r="AC25" i="5"/>
  <c r="AC10" i="5"/>
  <c r="AC8" i="5"/>
  <c r="AC6" i="5"/>
  <c r="AC2" i="5"/>
  <c r="AA116" i="5"/>
  <c r="AA114" i="5"/>
  <c r="AA100" i="5"/>
  <c r="AA99" i="5"/>
  <c r="AA98" i="5"/>
  <c r="AA97" i="5"/>
  <c r="AA96" i="5"/>
  <c r="AA95" i="5"/>
  <c r="AA92" i="5"/>
  <c r="AA91" i="5"/>
  <c r="AA88" i="5"/>
  <c r="AA86" i="5"/>
  <c r="AA81" i="5"/>
  <c r="AA71" i="5"/>
  <c r="AA70" i="5"/>
  <c r="AA69" i="5"/>
  <c r="AA68" i="5"/>
  <c r="AA67" i="5"/>
  <c r="AA66" i="5"/>
  <c r="AA65" i="5"/>
  <c r="AA64" i="5"/>
  <c r="AA63" i="5"/>
  <c r="AA60" i="5"/>
  <c r="AA59" i="5"/>
  <c r="AA58" i="5"/>
  <c r="AA53" i="5"/>
  <c r="AA38" i="5"/>
  <c r="AA36" i="5"/>
  <c r="AA34" i="5"/>
  <c r="AA30" i="5"/>
  <c r="AA25" i="5"/>
  <c r="AA10" i="5"/>
  <c r="AA8" i="5"/>
  <c r="AA6" i="5"/>
  <c r="AA2" i="5"/>
  <c r="Y116" i="5"/>
  <c r="Y114" i="5"/>
  <c r="Y100" i="5"/>
  <c r="Y99" i="5"/>
  <c r="Y98" i="5"/>
  <c r="Y97" i="5"/>
  <c r="Y96" i="5"/>
  <c r="Y95" i="5"/>
  <c r="Y92" i="5"/>
  <c r="Y91" i="5"/>
  <c r="Y88" i="5"/>
  <c r="Y86" i="5"/>
  <c r="Y81" i="5"/>
  <c r="Y71" i="5"/>
  <c r="Y70" i="5"/>
  <c r="Y69" i="5"/>
  <c r="Y68" i="5"/>
  <c r="Y67" i="5"/>
  <c r="Y66" i="5"/>
  <c r="Y65" i="5"/>
  <c r="Y64" i="5"/>
  <c r="Y63" i="5"/>
  <c r="Y60" i="5"/>
  <c r="Y59" i="5"/>
  <c r="Y58" i="5"/>
  <c r="Y55" i="5"/>
  <c r="Y53" i="5"/>
  <c r="Y38" i="5"/>
  <c r="Y36" i="5"/>
  <c r="Y35" i="5"/>
  <c r="Y34" i="5"/>
  <c r="Y30" i="5"/>
  <c r="Y27" i="5"/>
  <c r="Y25" i="5"/>
  <c r="Y10" i="5"/>
  <c r="Y8" i="5"/>
  <c r="Y7" i="5"/>
  <c r="Y6" i="5"/>
  <c r="Y2" i="5"/>
</calcChain>
</file>

<file path=xl/sharedStrings.xml><?xml version="1.0" encoding="utf-8"?>
<sst xmlns="http://schemas.openxmlformats.org/spreadsheetml/2006/main" count="7613" uniqueCount="488">
  <si>
    <t>MODE OPERATOIRE</t>
  </si>
  <si>
    <t>La transaction de l'événement "E0513 - Congé pour bilan de compétences" s'effectue au niveau de la rubrique "Congés/absences".
La transaction de l'événement "E0515 - Formation pour bilan de compétences"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</si>
  <si>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</si>
  <si>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</si>
  <si>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</si>
  <si>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</si>
  <si>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</si>
  <si>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</si>
  <si>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</si>
  <si>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</si>
  <si>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</si>
  <si>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</si>
  <si>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</si>
  <si>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</si>
  <si>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</si>
  <si>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</si>
  <si>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</si>
  <si>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</si>
  <si>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</si>
  <si>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</si>
  <si>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</si>
  <si>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</si>
  <si>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</si>
  <si>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</si>
  <si>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</si>
  <si>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</si>
  <si>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</si>
  <si>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</si>
  <si>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</si>
  <si>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</si>
  <si>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</si>
  <si>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</si>
  <si>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</si>
  <si>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</si>
  <si>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</si>
  <si>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</si>
  <si>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</si>
  <si>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</si>
  <si>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</si>
  <si>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</si>
  <si>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</si>
  <si>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</si>
  <si>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</si>
  <si>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</si>
  <si>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</si>
  <si>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</si>
  <si>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</si>
  <si>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</si>
  <si>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</si>
  <si>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</si>
  <si>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contrôle intellectuel 14</t>
  </si>
  <si>
    <t>Libellé Règle de contrôle intellectuel 14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</si>
  <si>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</si>
  <si>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</si>
  <si>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</si>
  <si>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</si>
  <si>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</si>
  <si>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</si>
  <si>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</si>
  <si>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</si>
  <si>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</si>
  <si>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</si>
  <si>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</si>
  <si>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</si>
  <si>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</si>
  <si>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</si>
  <si>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</si>
  <si>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</si>
  <si>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</si>
  <si>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</si>
  <si>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</si>
  <si>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</si>
  <si>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</si>
  <si>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</si>
  <si>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</si>
  <si>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</si>
  <si>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</si>
  <si>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</si>
  <si>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FIME</t>
  </si>
  <si>
    <t>Statut de travail</t>
  </si>
  <si>
    <t>20.00.00</t>
  </si>
  <si>
    <t>A</t>
  </si>
  <si>
    <t>D0007</t>
  </si>
  <si>
    <t>Congés/Absence</t>
  </si>
  <si>
    <t>S0085</t>
  </si>
  <si>
    <t>Congé pour bilan de compétences</t>
  </si>
  <si>
    <t>E0513</t>
  </si>
  <si>
    <t>Le type de congé saisi est 'Congé pour bilan de compétences'</t>
  </si>
  <si>
    <t>A_COA_TYCOAB [Saisi] = 'CF010'</t>
  </si>
  <si>
    <t>T1234</t>
  </si>
  <si>
    <t>Congé pour bilan de compétences - Demande</t>
  </si>
  <si>
    <t>Création</t>
  </si>
  <si>
    <t>Titulaire ou magistrat</t>
  </si>
  <si>
    <t>P0001</t>
  </si>
  <si>
    <t>Général</t>
  </si>
  <si>
    <t>Passant</t>
  </si>
  <si>
    <t>BCO_I_007 ET BCO_I_008 ET BCO_I_012 ET BCO_I_013 ET BCO_D_001 ET ABS_C_001 ET ABS_C_003 ET ABS_C_004 ET ABS_C_007 ET ABS_C_008 ET ABS_C_009 ET ABS_C_019 ET ABS_C_020 ET ABS_C_026</t>
  </si>
  <si>
    <t>BCO_I_007</t>
  </si>
  <si>
    <t>Lorsqu'un agent a recours à un bilan de compétences, l'administration lui accorde un congé.</t>
  </si>
  <si>
    <t>BCO_I_008</t>
  </si>
  <si>
    <t>Lorsque le bilan de compétences n'est pas pris en charge par l'administration, l'agent doit fournir un justificatif pour bénéficier du congé.</t>
  </si>
  <si>
    <t>BCO_I_012</t>
  </si>
  <si>
    <t>Le congé ne peut excéder 24 heures de temps de service.</t>
  </si>
  <si>
    <t>BCO_I_013</t>
  </si>
  <si>
    <t>Le congé peut être fractionné.</t>
  </si>
  <si>
    <t>BCO_D_001</t>
  </si>
  <si>
    <t>L'agent doit être en position d'activité ou de congé parental.</t>
  </si>
  <si>
    <t>ABS_C_001</t>
  </si>
  <si>
    <t>La date de début du congé/absence doit être postérieure ou égale à la date de recrutement dans la FPE ou dans la carrière militaire.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</si>
  <si>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</si>
  <si>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</si>
  <si>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</si>
  <si>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</si>
  <si>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</si>
  <si>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</si>
  <si>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</si>
  <si>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</si>
  <si>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</si>
  <si>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</si>
  <si>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</si>
  <si>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</si>
  <si>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</si>
  <si>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</si>
  <si>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</si>
  <si>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</si>
  <si>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T1235</t>
  </si>
  <si>
    <t>Congé pour bilan de compétences - Fin</t>
  </si>
  <si>
    <t>Modification</t>
  </si>
  <si>
    <t>ABS_C_003 ET ABS_C_004 ET ABS_C_007 ET ABS_C_008 ET ABS_C_009 ET ABS_C_019 ET ABS_C_020 ET ABS_C_026</t>
  </si>
  <si>
    <t>Militaire</t>
  </si>
  <si>
    <t>P0002</t>
  </si>
  <si>
    <t>Exclu</t>
  </si>
  <si>
    <t>Contractuel</t>
  </si>
  <si>
    <t>P0003</t>
  </si>
  <si>
    <t>BCO_I_028 ET BCO_I_007 ET BCO_I_008 ET BCO_I_018 ET BCO_I_019 ET BCO_D_003 ET ABS_C_002 ET ABS_C_003 ET ABS_C_004 ET ABS_C_005 ET ABS_C_006 ET ABS_C_007 ET ABS_C_008 ET ABS_C_009 ET ABS_C_019 ET ABS_C_020 ET ABS_C_026</t>
  </si>
  <si>
    <t>BCO_I_028</t>
  </si>
  <si>
    <t>L'agent détaché auprès d'une administration de l'Etat ou dans un établissement public de l'Etat dans un emploi ne conduisant pas à pension est soumis aux règles applicables aux titulaires.</t>
  </si>
  <si>
    <t>BCO_I_018</t>
  </si>
  <si>
    <t>BCO_I_019</t>
  </si>
  <si>
    <t>BCO_D_003</t>
  </si>
  <si>
    <t>ABS_C_002</t>
  </si>
  <si>
    <t>La date de début du congé/absence doit être postérieure ou égale à la date de début du lien juridique.</t>
  </si>
  <si>
    <t>ABS_C_005</t>
  </si>
  <si>
    <t>La date de fin réelle du congé/absence doit être antérieure ou égale à la date limite de fin réelle ou prévisionnelle du lien juridique.</t>
  </si>
  <si>
    <t>ABS_C_006</t>
  </si>
  <si>
    <t>La date de fin prévisionnelle du congé/absence doit être antérieure ou égale à la date limite de fin réelle ou prévisionnelle du lien juridique.</t>
  </si>
  <si>
    <t>BCO_I_028 ET ABS_C_003 ET ABS_C_004 ET ABS_C_005 ET ABS_C_006 ET ABS_C_007 ET ABS_C_008 ET ABS_C_009 ET ABS_C_019 ET ABS_C_020 ET ABS_C_026</t>
  </si>
  <si>
    <t>25.10.00</t>
  </si>
  <si>
    <t>M</t>
  </si>
  <si>
    <t>Stagiaire ou auditeur ou élève</t>
  </si>
  <si>
    <t>P0004</t>
  </si>
  <si>
    <t>BCO_I_056 ET BCO_I_007 ET BCO_I_008 ET BCO_I_012 ET BCO_I_013 ET BCO_D_005 ET ABS_C_001 ET ABS_C_003 ET ABS_C_004 ET ABS_C_007 ET ABS_C_008 ET ABS_C_009 ET ABS_C_019 ET ABS_C_020 ET ABS_C_026</t>
  </si>
  <si>
    <t>BCO_I_056</t>
  </si>
  <si>
    <t>L'agent bénéficie des dispositions applicables aux agents titulaires pour le congé pour bilan de compétences, sauf dispositions particulières.</t>
  </si>
  <si>
    <t>BCO_D_005</t>
  </si>
  <si>
    <t>2025-104</t>
  </si>
  <si>
    <t>Ouvrier d'état</t>
  </si>
  <si>
    <t>P0005</t>
  </si>
  <si>
    <t>BCO_I_007 ET BCO_I_008 ET BCO_I_018 ET BCO_I_019 ET BCO_D_003 ET ABS_C_002 ET ABS_C_003 ET ABS_C_004 ET ABS_C_005 ET ABS_C_006 ET ABS_C_007 ET ABS_C_008 ET ABS_C_009 ET ABS_C_019 ET ABS_C_020 ET ABS_C_026</t>
  </si>
  <si>
    <t>ABS_C_003 ET ABS_C_004 ET ABS_C_005 ET ABS_C_006 ET ABS_C_007 ET ABS_C_008 ET ABS_C_009 ET ABS_C_019 ET ABS_C_020 ET ABS_C_026</t>
  </si>
  <si>
    <t>Magistrat de l'ordre judiciaire</t>
  </si>
  <si>
    <t>P0007</t>
  </si>
  <si>
    <t>Particulier</t>
  </si>
  <si>
    <t>Auditeur de justice</t>
  </si>
  <si>
    <t>P0009</t>
  </si>
  <si>
    <t>Conseiller ou avocat général à la Cour de cassation en service extraordinaire</t>
  </si>
  <si>
    <t>P0046</t>
  </si>
  <si>
    <t>Personnel civil payé à l'acte ou à la tâche</t>
  </si>
  <si>
    <t>P0054</t>
  </si>
  <si>
    <t>Contractuel de droit privé</t>
  </si>
  <si>
    <t>P0072</t>
  </si>
  <si>
    <t>ABS_C_002 ET ABS_C_003 ET ABS_C_004 ET ABS_C_005 ET ABS_C_006 ET ABS_C_007 ET ABS_C_008 ET ABS_C_009 ET ABS_C_019 ET ABS_C_020 ET ABS_C_026</t>
  </si>
  <si>
    <t>Ouvrier de la défense auxiliaire non affilié ou temporaire non mensualisé</t>
  </si>
  <si>
    <t>P0182</t>
  </si>
  <si>
    <t>Ouvrier des parcs et ateliers confirmé non affilié ou stagiaire</t>
  </si>
  <si>
    <t>P0185</t>
  </si>
  <si>
    <t>2025-119</t>
  </si>
  <si>
    <t>BCO_I_015 ET BCO_I_007 ET BCO_I_008 ET BCO_I_018 ET BCO_I_019 ET BCO_D_003 ET ABS_C_002 ET ABS_C_003 ET ABS_C_004 ET ABS_C_005 ET ABS_C_006 ET ABS_C_007 ET ABS_C_008 ET ABS_C_009 ET ABS_C_019 ET ABS_C_020 ET ABS_C_026</t>
  </si>
  <si>
    <t>BCO_I_015</t>
  </si>
  <si>
    <t>L'agent bénéficie des dispositions applicables aux agents ouvriers affiliés pour le congé pour bilan de compétences.</t>
  </si>
  <si>
    <t>BCO_I_015 ET ABS_C_003 ET ABS_C_004 ET ABS_C_005 ET ABS_C_006 ET ABS_C_007 ET ABS_C_008 ET ABS_C_009 ET ABS_C_019 ET ABS_C_020 ET ABS_C_026</t>
  </si>
  <si>
    <t>Ouvrier du service des alcools confirmé non affilié</t>
  </si>
  <si>
    <t>P0221</t>
  </si>
  <si>
    <t>22.10.00</t>
  </si>
  <si>
    <t>E0906</t>
  </si>
  <si>
    <t>Congé pour bilan de compétences aménagé</t>
  </si>
  <si>
    <t>Type de congé/absence saisi = 'Congé pour bilan de compétences aménagé'</t>
  </si>
  <si>
    <t>A_COA_TYCOAB [Saisi] = 'CF019'</t>
  </si>
  <si>
    <t>T2219</t>
  </si>
  <si>
    <t>Congé pour bilan de compétences aménagé - Demande</t>
  </si>
  <si>
    <t>BCO_I_007 ET BCO_I_008 ET BCO_I_050 ET BCO_I_013 ET BCO_D_001 ET ABS_C_001 ET ABS_C_003 ET ABS_C_004 ET ABS_C_007 ET ABS_C_008 ET ABS_C_009 ET ABS_C_019 ET ABS_C_020 ET ABS_C_026</t>
  </si>
  <si>
    <t>BCO_I_050</t>
  </si>
  <si>
    <t>Le congé ne peut excéder 72 heures de temps de service.</t>
  </si>
  <si>
    <t>T2220</t>
  </si>
  <si>
    <t>Congé pour bilan de compétences aménagé - Fin</t>
  </si>
  <si>
    <t>BCO_I_028 ET BCO_I_007 ET BCO_I_008 ET BCO_I_052 ET BCO_I_019 ET BCO_D_003 ET ABS_C_002 ET ABS_C_003 ET ABS_C_004 ET ABS_C_005 ET ABS_C_006 ET ABS_C_007 ET ABS_C_008 ET ABS_C_009 ET ABS_C_019 ET ABS_C_020 ET ABS_C_026</t>
  </si>
  <si>
    <t>BCO_I_052</t>
  </si>
  <si>
    <t>BCO_I_057 ET BCO_I_007 ET BCO_I_008 ET BCO_I_052 ET BCO_I_013 ET BCO_D_005 ET ABS_C_001 ET ABS_C_003 ET ABS_C_004 ET ABS_C_007 ET ABS_C_008 ET ABS_C_009 ET ABS_C_019 ET ABS_C_020 ET ABS_C_026</t>
  </si>
  <si>
    <t>BCO_I_057</t>
  </si>
  <si>
    <t>L'agent bénéficie des dispositions applicables aux agents titulaires pour le congé pour bilan de compétences aménagé, sauf dispositions particulières.</t>
  </si>
  <si>
    <t>BCO_I_007 ET BCO_I_008 ET BCO_I_052 ET BCO_I_019 ET BCO_D_003 ET ABS_C_002 ET ABS_C_003 ET ABS_C_004 ET ABS_C_005 ET ABS_C_006 ET ABS_C_007 ET ABS_C_008 ET ABS_C_009 ET ABS_C_019 ET ABS_C_020 ET ABS_C_026</t>
  </si>
  <si>
    <t>BCO_I_060 ET BCO_I_007 ET BCO_I_008 ET BCO_I_052 ET BCO_I_019 ET BCO_D_003 ET ABS_C_002 ET ABS_C_003 ET ABS_C_004 ET ABS_C_005 ET ABS_C_006 ET ABS_C_007 ET ABS_C_008 ET ABS_C_009 ET ABS_C_019 ET ABS_C_020 ET ABS_C_026</t>
  </si>
  <si>
    <t>BCO_I_060</t>
  </si>
  <si>
    <t>L'agent bénéficie des dispositions applicables aux agents ouvriers affiliés pour le congé pour bilan de compétences aménagé.</t>
  </si>
  <si>
    <t>BCO_I_060 ET ABS_C_003 ET ABS_C_004 ET ABS_C_005 ET ABS_C_006 ET ABS_C_007 ET ABS_C_008 ET ABS_C_009 ET ABS_C_019 ET ABS_C_020 ET ABS_C_026</t>
  </si>
  <si>
    <t>D0009</t>
  </si>
  <si>
    <t>Formation</t>
  </si>
  <si>
    <t>S0087</t>
  </si>
  <si>
    <t>Formation bilan de compétences</t>
  </si>
  <si>
    <t>E0515</t>
  </si>
  <si>
    <t>Formation pour bilan de compétences</t>
  </si>
  <si>
    <t>Le type de la formation saisie est 'Bilan de compétences'</t>
  </si>
  <si>
    <t>P_ACF_TYDFOR [Saisi] = 'F13'</t>
  </si>
  <si>
    <t>T1238</t>
  </si>
  <si>
    <t>Formation pour bilan de compétences - Demande</t>
  </si>
  <si>
    <t>BCO_I_001 ET BCO_I_010 ET BCO_I_002 ET BCO_I_003 ET BCO_I_004 ET BCO_I_009 ET BCO_D_001 ET BCO_D_002 ET FOR_C_001 ET FOR_C_003 ET FOR_C_004</t>
  </si>
  <si>
    <t>BCO_I_001</t>
  </si>
  <si>
    <t>L'agent ou l'administration peuvent être à l'origine de la demande.</t>
  </si>
  <si>
    <t>BCO_I_010</t>
  </si>
  <si>
    <t>Si l'agent est en congé parental, la demande doit être formulée 6 mois au plus avant l'expiration de la dernière période de congé parental.</t>
  </si>
  <si>
    <t>BCO_I_002</t>
  </si>
  <si>
    <t>L'administration doit fournir une réponse écrite à l'agent dans un délai de 2 mois suivant la date de la demande.</t>
  </si>
  <si>
    <t>BCO_I_003</t>
  </si>
  <si>
    <t>En cas de refus, l'administration doit motiver sa décision.</t>
  </si>
  <si>
    <t>BCO_I_004</t>
  </si>
  <si>
    <t>Une convention entre l'agent bénéficiaire, l'administration et l'organisme prestataire du bilan de compétences doit être établie.</t>
  </si>
  <si>
    <t>BCO_I_009</t>
  </si>
  <si>
    <t>Un agent peut prétendre à un seul autre bilan de compétences, au moins 5 ans après le précédent.</t>
  </si>
  <si>
    <t>BCO_D_002</t>
  </si>
  <si>
    <t>L'agent doit avoir effectué 10 ans de services effectifs.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</si>
  <si>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</si>
  <si>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</si>
  <si>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</si>
  <si>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</si>
  <si>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</si>
  <si>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</si>
  <si>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BCO_I_001 ET BCO_I_010 ET BCO_I_002 ET BCO_I_003 ET BCO_I_004 ET BCO_I_011 ET BCO_I_014 ET BCO_D_001 ET FOR_C_001 ET FOR_C_003 ET FOR_C_004</t>
  </si>
  <si>
    <t>BCO_I_011</t>
  </si>
  <si>
    <t>L'agent ne peut prétendre à un autre bilan de compétences qu'à l'expiration d'un délai d'au moins 5 ans après le précédent.</t>
  </si>
  <si>
    <t>BCO_I_014</t>
  </si>
  <si>
    <t>L'agent peut utiliser son compte personnel de formation afin de compléter la préparation ou la réalisation de son bilan de compétences.</t>
  </si>
  <si>
    <t>T1239</t>
  </si>
  <si>
    <t>Formation pour bilan de compétences - Fin</t>
  </si>
  <si>
    <t>BCO_I_005 ET BCO_I_006 ET FOR_C_003 ET FOR_C_004</t>
  </si>
  <si>
    <t>BCO_I_005</t>
  </si>
  <si>
    <t>Si l'agent ne s'y oppose pas, le document de synthèse du bilan peut être communiqué au service chargé des ressources humaines de son administration d'emploi.</t>
  </si>
  <si>
    <t>BCO_I_006</t>
  </si>
  <si>
    <t>L'agent présente à son chef de service une attestation de fréquentation effective délivrée par l'organisme prestataire.</t>
  </si>
  <si>
    <t>BCO_I_028 ET BCO_I_001 ET BCO_I_027 ET BCO_I_002 ET BCO_I_003 ET BCO_I_004 ET BCO_I_016 ET BCO_D_003 ET BCO_D_004 ET FOR_C_002 ET FOR_C_003 ET FOR_C_004 ET FOR_C_005</t>
  </si>
  <si>
    <t>BCO_I_027</t>
  </si>
  <si>
    <t>BCO_I_016</t>
  </si>
  <si>
    <t>BCO_D_004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</si>
  <si>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</si>
  <si>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</si>
  <si>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</si>
  <si>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</si>
  <si>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BCO_I_028 ET BCO_I_001 ET BCO_I_027 ET BCO_I_002 ET BCO_I_003 ET BCO_I_004 ET BCO_I_017 ET BCO_I_020 ET BCO_D_003 ET FOR_C_002 ET FOR_C_003 ET FOR_C_004 ET FOR_C_005</t>
  </si>
  <si>
    <t>BCO_I_017</t>
  </si>
  <si>
    <t>Un agent ne peut prétendre à un autre bilan de compétences qu'à l'expiration d'un délai d'au moins 5 ans après le précédent.</t>
  </si>
  <si>
    <t>BCO_I_020</t>
  </si>
  <si>
    <t>BCO_I_028 ET BCO_I_005 ET BCO_I_006 ET FOR_C_003 ET FOR_C_004 ET FOR_C_005</t>
  </si>
  <si>
    <t>22.00.00</t>
  </si>
  <si>
    <t>BCO_I_005 ET BCO_I_010 ET BCO_I_002 ET BCO_I_003 ET BCO_I_004 ET BCO_I_009 ET BCO_D_005 ET BCO_D_002 ET FOR_C_001 ET FOR_C_003 ET FOR_C_004</t>
  </si>
  <si>
    <t>BCO_I_058 ET BCO_I_001 ET BCO_I_010 ET BCO_I_002 ET BCO_I_003 ET BCO_I_004 ET BCO_I_011 ET BCO_I_014 ET BCO_D_005 ET FOR_C_001 ET FOR_C_003 ET FOR_C_004</t>
  </si>
  <si>
    <t>BCO_I_058</t>
  </si>
  <si>
    <t>L'agent bénéficie des dispositions applicables aux agents titulaires pour la formation pour bilan de compétences, sauf dispositions particulières.</t>
  </si>
  <si>
    <t>BCO_I_058 ET BCO_I_005 ET BCO_I_006 ET FOR_C_003 ET FOR_C_004</t>
  </si>
  <si>
    <t>BCO_I_001 ET BCO_I_027 ET BCO_I_002 ET BCO_I_003 ET BCO_I_004 ET BCO_I_016 ET BCO_D_003 ET BCO_D_004 ET FOR_C_002 ET FOR_C_003 ET FOR_C_004 ET FOR_C_005</t>
  </si>
  <si>
    <t>BCO_I_001 ET BCO_I_027 ET BCO_I_002 ET BCO_I_003 ET BCO_I_004 ET BCO_I_017 ET BCO_I_020 ET BCO_D_003 ET FOR_C_002 ET FOR_C_003 ET FOR_C_004 ET FOR_C_005</t>
  </si>
  <si>
    <t>BCO_I_005 ET BCO_I_006 ET FOR_C_003 ET FOR_C_004 ET FOR_C_005</t>
  </si>
  <si>
    <t>FOR_C_002 ET FOR_C_003 ET FOR_C_004 ET FOR_C_005</t>
  </si>
  <si>
    <t>BCO_I_021 ET BCO_I_023 ET BCO_I_024 ET BCO_I_025 ET BCO_I_022 ET BCO_I_026 ET FOR_C_002 ET FOR_C_003 ET FOR_C_004 ET FOR_C_005</t>
  </si>
  <si>
    <t>BCO_I_021</t>
  </si>
  <si>
    <t>Si l'administration est à l'origine de la demande bu bilan de compétences, l'accord de l'agent est nécessaire.</t>
  </si>
  <si>
    <t>BCO_I_023</t>
  </si>
  <si>
    <t>BCO_I_024</t>
  </si>
  <si>
    <t>L'agent dispose d'un délai de 10 jours à compter de la transmission par l'administration du projet de convention pour le signer.</t>
  </si>
  <si>
    <t>BCO_I_025</t>
  </si>
  <si>
    <t>L'absence de réponse de l'agent au terme de ce délai vaut refus de conclure la convention.</t>
  </si>
  <si>
    <t>BCO_I_022</t>
  </si>
  <si>
    <t>La durée ne peut excéder 24 heures par bilan.</t>
  </si>
  <si>
    <t>BCO_I_026</t>
  </si>
  <si>
    <t>L'agent peut utiliser son compte personnel de formation pour effectuer un bilan de compétences.</t>
  </si>
  <si>
    <t>FOR_C_003 ET FOR_C_004 ET FOR_C_005</t>
  </si>
  <si>
    <t>BCO_I_061 ET BCO_I_001 ET BCO_I_027 ET BCO_I_002 ET BCO_I_003 ET BCO_I_004 ET BCO_I_017 ET BCO_I_020 ET BCO_D_003 ET FOR_C_002 ET FOR_C_003 ET FOR_C_004 ET FOR_C_005</t>
  </si>
  <si>
    <t>BCO_I_061</t>
  </si>
  <si>
    <t>L'agent bénéficie des dispositions applicables aux agents ouvriers affiliés pour la formation pour bilan de compétences.</t>
  </si>
  <si>
    <t>BCO_I_061 ET BCO_I_005 ET BCO_I_006 ET FOR_C_003 ET FOR_C_004 ET FOR_C_005</t>
  </si>
  <si>
    <t>E0907</t>
  </si>
  <si>
    <t>Formation pour bilan de compétences aménagé</t>
  </si>
  <si>
    <t>Type de la formation demandée saisi égal 'Formation pour bilan de compétences aménagé'</t>
  </si>
  <si>
    <t>P_ACF_TYDFOR [Saisi] = 'F19'</t>
  </si>
  <si>
    <t>T2221</t>
  </si>
  <si>
    <t>Formation pour bilan de compétences aménagé - Demande</t>
  </si>
  <si>
    <t>BCO_I_029 ET BCO_I_032 ET BCO_I_035 ET BCO_I_038 ET BCO_I_041 ET BCO_I_001 ET BCO_I_010 ET BCO_I_002 ET BCO_I_003 ET BCO_I_004 ET BCO_I_053 ET BCO_I_014 ET BCO_I_044 ET BCO_D_001 ET FOR_C_001 ET FOR_C_003 ET FOR_C_004</t>
  </si>
  <si>
    <t>BCO_I_029</t>
  </si>
  <si>
    <t>Soit l'agent doit appartenir à un corps ou à un cadre d'emplois de catégorie C et ne pas avoir atteint un niveau de formation sanctionné par un diplôme ou un titre professionnel correspondant à un niveau requis.</t>
  </si>
  <si>
    <t>BCO_I_032</t>
  </si>
  <si>
    <t>Le niveau de formation requis est sanctionné par un diplôme ou un titre professionnel enregistré et classé au niveau 4 au sens du répertoire national des certifications professionnelles.</t>
  </si>
  <si>
    <t>BCO_I_035</t>
  </si>
  <si>
    <t>Soit l'agent doit être en situation de handicap.</t>
  </si>
  <si>
    <t>BCO_I_038</t>
  </si>
  <si>
    <t>Soit l'agent doit avoir été particulièrement exposé, compte tenu de sa situation professionnelle individuelle, à un risque d'usure professionnelle, constaté, après avis du médecin du travail compétent.</t>
  </si>
  <si>
    <t>BCO_I_041</t>
  </si>
  <si>
    <t>L'agent bénéficie d'un accès prioritaire au bilan de compétences.</t>
  </si>
  <si>
    <t>BCO_I_053</t>
  </si>
  <si>
    <t>L'agent ne peut prétendre à un autre bilan de compétences qu'à l'expiration d'un délai d'au moins 3 ans après le précédent.</t>
  </si>
  <si>
    <t>BCO_I_044</t>
  </si>
  <si>
    <t>L'agent doit transmettre à son administration d'emploi les attestations justifiant son assiduité, établies par l'organisme de formation.</t>
  </si>
  <si>
    <t>T2222</t>
  </si>
  <si>
    <t>Formation pour bilan de compétences aménagé - Fin</t>
  </si>
  <si>
    <t>BCO_I_005 ET BCO_I_006 ET BCO_I_047 ET FOR_C_003 ET FOR_C_004</t>
  </si>
  <si>
    <t>BCO_I_047</t>
  </si>
  <si>
    <t>L'agent perd le bénéfice du bilan de compétences s'il arrête, sans motif légitime, de le suivre.</t>
  </si>
  <si>
    <t>BCO_I_031 ET BCO_I_034 ET BCO_I_037 ET BCO_I_040 ET BCO_I_043 ET BCO_I_028 ET BCO_I_001 ET BCO_I_027 ET BCO_I_002 ET BCO_I_003 ET BCO_I_004 ET BCO_I_055 ET BCO_I_020 ET BCO_I_046 ET BCO_D_003 ET FOR_C_002 ET FOR_C_003 ET FOR_C_004 ET FOR_C_005</t>
  </si>
  <si>
    <t>BCO_I_031</t>
  </si>
  <si>
    <t>Soit l'agent doit occuper un emploi de niveau de catégorie C et ne pas avoir atteint un niveau de formation sanctionné par un diplôme ou un titre professionnel correspondant à un niveau requis.</t>
  </si>
  <si>
    <t>BCO_I_034</t>
  </si>
  <si>
    <t>BCO_I_037</t>
  </si>
  <si>
    <t>BCO_I_040</t>
  </si>
  <si>
    <t>BCO_I_043</t>
  </si>
  <si>
    <t>BCO_I_055</t>
  </si>
  <si>
    <t>BCO_I_046</t>
  </si>
  <si>
    <t>BCO_I_028 ET BCO_I_005 ET BCO_I_006 ET BCO_I_049 ET FOR_C_003 ET FOR_C_004 ET FOR_C_005</t>
  </si>
  <si>
    <t>BCO_I_049</t>
  </si>
  <si>
    <t>BCO_I_059 ET BCO_I_029 ET BCO_I_032 ET BCO_I_035 ET BCO_I_038 ET BCO_I_041 ET BCO_I_001 ET BCO_I_010 ET BCO_I_002 ET BCO_I_003 ET BCO_I_004 ET BCO_I_053 ET BCO_I_014 ET BCO_I_044 ET BCO_D_005 ET FOR_C_001 ET FOR_C_003 ET FOR_C_004</t>
  </si>
  <si>
    <t>BCO_I_059</t>
  </si>
  <si>
    <t>L'agent bénéficie des dispositions applicables aux agents titulaires pour la formation pour bilan de compétences aménagé, sauf dispositions particulières.</t>
  </si>
  <si>
    <t>BCO_I_059 ET BCO_I_005 ET BCO_I_006 ET BCO_I_047 ET FOR_C_003 ET FOR_C_004</t>
  </si>
  <si>
    <t>BCO_I_031 ET BCO_I_034 ET BCO_I_037 ET BCO_I_040 ET BCO_I_043 ET BCO_I_001 ET BCO_I_027 ET BCO_I_002 ET BCO_I_003 ET BCO_I_004 ET BCO_I_055 ET BCO_I_020 ET BCO_I_046 ET BCO_D_003 ET FOR_C_002 ET FOR_C_003 ET FOR_C_004 ET FOR_C_005</t>
  </si>
  <si>
    <t>BCO_I_005 ET BCO_I_006 ET BCO_I_049 ET FOR_C_003 ET FOR_C_004 ET FOR_C_005</t>
  </si>
  <si>
    <t>BCO_I_062 ET BCO_I_031 ET BCO_I_034 ET BCO_I_037 ET BCO_I_040 ET BCO_I_043 ET BCO_I_001 ET BCO_I_027 ET BCO_I_002 ET BCO_I_003 ET BCO_I_004 ET BCO_I_055 ET BCO_I_020 ET BCO_I_046 ET BCO_D_003 ET FOR_C_002 ET FOR_C_003 ET FOR_C_004 ET FOR_C_005</t>
  </si>
  <si>
    <t>BCO_I_062</t>
  </si>
  <si>
    <t>L'agent bénéficie des dispositions applicables aux agents ouvriers affiliés pour la formation pour bilan de compétences aménagé.</t>
  </si>
  <si>
    <t>BCO_I_062 ET BCO_I_005 ET BCO_I_006 ET BCO_I_049 ET FOR_C_003 ET FOR_C_004 ET FOR_C_005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</si>
  <si>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</si>
  <si>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</si>
  <si>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</si>
  <si>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</si>
  <si>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</si>
  <si>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</si>
  <si>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</si>
  <si>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BCO_P_001 ET BCO_P_002 ET BCO_P_008</t>
  </si>
  <si>
    <t>BCO_P_001</t>
  </si>
  <si>
    <t>Rémunération : L'agent perçoit l'intégralité de sa rémunération.</t>
  </si>
  <si>
    <t>BCO_P_002</t>
  </si>
  <si>
    <t>Carrière : L'agent conserve ses droits à l'avancement d'échelon et à l'avancement de grade en totalité. La durée du congé est prise en compte comme service effectif.</t>
  </si>
  <si>
    <t>BCO_P_008</t>
  </si>
  <si>
    <t>Retraite : Le congé est considéré comme une période d'activité pour la retraite.</t>
  </si>
  <si>
    <t>BCO_P_001 ET BCO_P_004 ET BCO_P_008</t>
  </si>
  <si>
    <t>BCO_P_004</t>
  </si>
  <si>
    <t>Carrière : La durée du congé est prise en compte comme service effectif.</t>
  </si>
  <si>
    <t>BCO_P_001 ET BCO_P_003 ET BCO_P_008</t>
  </si>
  <si>
    <t>BCO_P_003</t>
  </si>
  <si>
    <t>Carrière : L'agent conserve ses droits à l'avancement d'échelon en totalité. La durée du congé est prise en compte comme service effectif.</t>
  </si>
  <si>
    <t>BCO_P_001 ET BCO_P_005 ET BCO_P_009</t>
  </si>
  <si>
    <t>BCO_P_005</t>
  </si>
  <si>
    <t>Carrière : L'agent conserve ses droits à l'avancement d'échelon et à l'avancement de grade en totalité. La durée de la formation est prise en compte comme service effectif.</t>
  </si>
  <si>
    <t>BCO_P_009</t>
  </si>
  <si>
    <t>Retraite : La formation est considérée comme une période d'activité pour la retraite.</t>
  </si>
  <si>
    <t>BCO_P_001 ET BCO_P_007 ET BCO_P_009</t>
  </si>
  <si>
    <t>BCO_P_007</t>
  </si>
  <si>
    <t>Carrière : La durée de la formation est prise en compte comme service effectif.</t>
  </si>
  <si>
    <t>BCO_P_001 ET BCO_P_006 ET BCO_P_009</t>
  </si>
  <si>
    <t>BCO_P_006</t>
  </si>
  <si>
    <t>Carrière : L'agent conserve ses droits à l'avancement d'échelon en totalité. La durée de la formation est prise en compte comme service effectif.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</si>
  <si>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</si>
  <si>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</si>
  <si>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</si>
  <si>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</si>
  <si>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</si>
  <si>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</si>
  <si>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</si>
  <si>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</si>
  <si>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</si>
  <si>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</si>
  <si>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</si>
  <si>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</si>
  <si>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</si>
  <si>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</si>
  <si>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</si>
  <si>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</si>
  <si>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</si>
  <si>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</si>
  <si>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</si>
  <si>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</si>
  <si>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</si>
  <si>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</si>
  <si>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</si>
  <si>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</si>
  <si>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</si>
  <si>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</si>
  <si>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</si>
  <si>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</si>
  <si>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</si>
  <si>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</si>
  <si>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général de la fonction publique L422-1 / Décret 2007-1470 A3 | A4</t>
  </si>
  <si>
    <t>A_POS_POSIAD [Dossier] = POSITION_SITUATION.R_FOR_IDEN05 ET (POSITION_SITUATION.R_REL_PSSAG2 DANS ('ACI','HCA','MAD','DEL','MDE','MLD','CGP') OU POSITION_SITUATION.R_REL_PSSAG1 DANS ('DEE00', 'DES00'))</t>
  </si>
  <si>
    <t>Bloquant</t>
  </si>
  <si>
    <t>BCO / Congé + Formation / Demande - Activité</t>
  </si>
  <si>
    <t>x</t>
  </si>
  <si>
    <t>Décret 2007-1470 A22</t>
  </si>
  <si>
    <t>A_AND_TYPANC [Dossier] = 'ANCGS' ET (P_ACF_DDDFOR [Saisi] - A_AND_DACAAN [Dossier] &gt;= 10 AN-3D)</t>
  </si>
  <si>
    <t>Décret 2007-1942 A1 | A8 | A9</t>
  </si>
  <si>
    <t>Décret 2007-1470 A22 / Décret 2007-1942 A8</t>
  </si>
  <si>
    <t>Décret 2007-1470 A3 | A4</t>
  </si>
  <si>
    <t>P0004 - E0513 / E0515 / E0906 / E0907 - Demande - Activité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</si>
  <si>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</si>
  <si>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</si>
  <si>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</si>
  <si>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</si>
  <si>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</si>
  <si>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</si>
  <si>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</si>
  <si>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</si>
  <si>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SI A_CAR_TYPCOT [Dossier] = 'TC01' ET A_COA_DFRECA [Saisi] &lt;&gt; Vide</t>
  </si>
  <si>
    <t>A_COA_DFRECA [Saisi] &lt;= [Date limite de fin réelle ou prévisionnelle du lien juridique]</t>
  </si>
  <si>
    <t>SI A_CAR_TYPCOT [Dossier] = 'TC01' ET A_COA_DFRECA [Saisi] = Vide ET A_COA_DAFIPR [Saisi] &lt;&gt; Vide</t>
  </si>
  <si>
    <t>A_COA_DAFIPR [Saisi] &lt;= [Date limite de fin réelle ou prévisionnelle du lien juridique]</t>
  </si>
  <si>
    <t>A_COA_DFRECA [Saisi] &lt; A_SAP_DLDPRE [Dossier]</t>
  </si>
  <si>
    <t>Non Bloquant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</si>
  <si>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</si>
  <si>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</si>
  <si>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</si>
  <si>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</si>
  <si>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</si>
  <si>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</si>
  <si>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</si>
  <si>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</si>
  <si>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</si>
  <si>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P_ACF_DDSFOR [Saisi] &gt;= A_SAP_DENFPE [Dossier]</t>
  </si>
  <si>
    <t>P_ACF_DDSFOR [Saisi] &gt;= A_CAR_DDLIJU [Dossier]</t>
  </si>
  <si>
    <t>P_ACF_DDSFOR [Saisi] &lt;= P_ACF_DFSFOR [Saisi]</t>
  </si>
  <si>
    <t>P_ACF_DFSFOR [Saisi] &lt; A_SAP_DLDPRE [Dossier]</t>
  </si>
  <si>
    <t>.</t>
  </si>
  <si>
    <t>SI A_CAR_TYPCOT [Dossier] ='TC01'</t>
  </si>
  <si>
    <t>P_ACF_DFSFOR [Saisi] &lt;= [Date limite de fin réelle ou prévisionnelle du lien juridique]</t>
  </si>
  <si>
    <t>Intellectuel</t>
  </si>
  <si>
    <t>Arrêté du 31 juillet 2009 A2</t>
  </si>
  <si>
    <t>Arrêté du 31 juillet 2009 A4</t>
  </si>
  <si>
    <t>Arrêté du 31 juillet 2009 A6</t>
  </si>
  <si>
    <t>Arrêté du 31 juillet 2009 A11</t>
  </si>
  <si>
    <t>Arrêté du 31 juillet 2009 A12</t>
  </si>
  <si>
    <t>Arrêté du 31 juillet 2009 A13</t>
  </si>
  <si>
    <t>Décret 2007-1470 A4</t>
  </si>
  <si>
    <t>Code général de la fonction publique L422-1 / Décret 2007-1470 A22 / Décret 2007-1942 A8 / Décret 65-382 A8-2 / Arrêté du 31 juillet 2009 A13</t>
  </si>
  <si>
    <t>P0185 - E0513 - Demande / Fin</t>
  </si>
  <si>
    <t>Code du travail L6313-4</t>
  </si>
  <si>
    <t>Code du travail R6313-8</t>
  </si>
  <si>
    <t>Code du travail L6323-6</t>
  </si>
  <si>
    <t>Décret 2007-1470 A4 / Décret 2007-1942 A8 | A9</t>
  </si>
  <si>
    <t>Décret 2007-1470 A3 / Décret 2007-1942 A1</t>
  </si>
  <si>
    <t>Code général de la fonction publique L422-3 / Décret 2007-1470 A2-2</t>
  </si>
  <si>
    <t>P0001 / P0004 - E0907</t>
  </si>
  <si>
    <t>Code général de la fonction publique L422-3 / Décret 2007-1470 A2-2 / Décret 2007-1942 A10-1</t>
  </si>
  <si>
    <t>P0185 - P0003 / P0005 - E0907</t>
  </si>
  <si>
    <t>Code général de la fonction publique L422-3 / Décret 2022-1043 A1 / Décret 2007-1470 A2-2</t>
  </si>
  <si>
    <t>Code général de la fonction publique L422-3 / Décret 2022-1043 A1 / Décret 2007-1470 A2-2 / Décret 2007-1942 A10-1</t>
  </si>
  <si>
    <t>Code général de la fonction publique L422-3 | L131-8 / Décret 2007-1470 A2-2</t>
  </si>
  <si>
    <t>Code général de la fonction publique L422-3 | L131-8 / Décret 2007-1470 A2-2 / Décret 2007-1942 A10-1</t>
  </si>
  <si>
    <t>P0001 / P0004 - E0907 - Fin</t>
  </si>
  <si>
    <t>P0185 - P0003 / P0005 - E0907 - Fin</t>
  </si>
  <si>
    <t>Code général de la fonction publique L422-3 / Décret 2007-1470 A22</t>
  </si>
  <si>
    <t>P0001 - E0906</t>
  </si>
  <si>
    <t>Code général de la fonction publique L422-3 / Décret 2007-1470 A22 / Décret 2007-1942 A10-1</t>
  </si>
  <si>
    <t>P0185 - P0003 / P0004 / P0005 - E0906</t>
  </si>
  <si>
    <t>Code général de la fonction publique R327-2 / Code général de la fonction publique L422-1 / Décret 2007-1470 A22 / Arrêté du 31 juillet 2009</t>
  </si>
  <si>
    <t>P0004 - E0513 - Demande</t>
  </si>
  <si>
    <t>Code général de la fonction publique R327-2 / Code général de la fonction publique L422-1 | L422-3 / Décret 2007-1470 A22 / Arrêté du 31 juillet 2009</t>
  </si>
  <si>
    <t>P0004 - E0906 - Demande</t>
  </si>
  <si>
    <t>P0004 - E0515 - Demande/ Fin</t>
  </si>
  <si>
    <t>P0004 - E0907 - Demande / Fin</t>
  </si>
  <si>
    <t>Code général de la fonction publique L422-3 / Décret 2007-1470 A22 / Décret 2007-1942 A8 / Décret 65-382 A8-2 / Arrêté du 31 juillet 2009 A13</t>
  </si>
  <si>
    <t>P0185 - E0906 - Demande / Fin</t>
  </si>
  <si>
    <t>Code général de la fonction publique L422-1 / Décret 2007-1470 A22 / Décret 2007-1942 A8 / Décret 65-382 A8-2 / Arrêté du 31 juillet 2009</t>
  </si>
  <si>
    <t>P0185 - E0515 - Demande / Fin</t>
  </si>
  <si>
    <t>Code général de la fonction publique L422-3 / Décret 2007-1470 A22 / Décret 2007-1942 A8 / Décret 65-382 A8-2 / Arrêté du 31 juillet 2009</t>
  </si>
  <si>
    <t>P0185 - E0907 - Demande / Fin</t>
  </si>
  <si>
    <t>Impact</t>
  </si>
  <si>
    <t>P0001 / P0003 / P0004 / P0005 - E0513 / E0515 / E0906 / E0907 - Rémunération</t>
  </si>
  <si>
    <t>P0001 - E0513 / E0906 - Carrière</t>
  </si>
  <si>
    <t>P0004 - E0513 / E0906 - Carrière</t>
  </si>
  <si>
    <t>P0003 / P0005 - E0513 / E0906 - Carrière</t>
  </si>
  <si>
    <t>P0001 - E0515 / E0907 - Carrière</t>
  </si>
  <si>
    <t>P0004 - E0515 / E0907 - Carrière</t>
  </si>
  <si>
    <t>P0003 / P0005 - E0515 / E0907 - Carrière</t>
  </si>
  <si>
    <t>P0001 / P0003 / P0004 / P0005 - E0513 / E0906 - Retraite</t>
  </si>
  <si>
    <t>P0001 / P0003 / P0004 / P0005 - E0515 / E0907 - Retraite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</si>
</sst>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CD83-FC83-4096-AA50-6E8F1B4D0CB7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29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08AE-8F65-414A-A3F8-2AF445793A3B}">
  <dimension ref="A1:CA57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15.6328125" style="18" customWidth="1"/>
    <col min="67" max="67" width="25.6328125" style="17" customWidth="1"/>
    <col min="68" max="68" width="15.6328125" style="18" customWidth="1"/>
    <col min="69" max="69" width="25.6328125" style="17" customWidth="1"/>
    <col min="70" max="70" width="15.6328125" style="18" customWidth="1"/>
    <col min="71" max="71" width="25.6328125" style="17" customWidth="1"/>
    <col min="72" max="72" width="15.6328125" style="18" customWidth="1"/>
    <col min="73" max="73" width="25.6328125" style="17" customWidth="1"/>
    <col min="74" max="74" width="15.6328125" style="18" customWidth="1"/>
    <col min="75" max="75" width="25.6328125" style="17" customWidth="1"/>
    <col min="76" max="76" width="15.6328125" style="18" customWidth="1"/>
    <col min="77" max="77" width="25.6328125" style="17" customWidth="1"/>
    <col min="78" max="78" width="9.6328125" style="18" customWidth="1"/>
    <col min="79" max="79" width="15.6328125" style="17" customWidth="1"/>
    <col min="80" max="16384" width="10.90625" style="12"/>
  </cols>
  <sheetData>
    <row r="1" spans="1:7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  <c r="BZ1" s="10" t="s">
        <v>78</v>
      </c>
      <c r="CA1" s="10" t="s">
        <v>79</v>
      </c>
    </row>
    <row r="2" spans="1:79" ht="130.5" x14ac:dyDescent="0.35">
      <c r="A2" s="13" t="s">
        <v>80</v>
      </c>
      <c r="B2" s="13" t="s">
        <v>81</v>
      </c>
      <c r="C2" s="14">
        <v>43775.684027777781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85</v>
      </c>
      <c r="J2" s="15" t="s">
        <v>87</v>
      </c>
      <c r="K2" s="15" t="s">
        <v>88</v>
      </c>
      <c r="L2" s="13" t="s">
        <v>89</v>
      </c>
      <c r="M2" s="15" t="s">
        <v>90</v>
      </c>
      <c r="N2" s="13" t="s">
        <v>91</v>
      </c>
      <c r="O2" s="15"/>
      <c r="P2" s="15"/>
      <c r="Q2" s="15" t="s">
        <v>92</v>
      </c>
      <c r="R2" s="13" t="s">
        <v>93</v>
      </c>
      <c r="S2" s="13" t="s">
        <v>94</v>
      </c>
      <c r="T2" s="13" t="s">
        <v>95</v>
      </c>
      <c r="U2" s="14">
        <v>40725</v>
      </c>
      <c r="V2" s="14"/>
      <c r="W2" s="15" t="s">
        <v>96</v>
      </c>
      <c r="X2" s="13" t="s">
        <v>97</v>
      </c>
      <c r="Y2" s="15" t="str">
        <f>VLOOKUP(X2,'Axe 2 Règles de gestion'!$D$2:$F$85,3, FALSE)</f>
        <v>Lorsqu'un agent a recours à un bilan de compétences, l'administration lui accorde un congé.</v>
      </c>
      <c r="Z2" s="13" t="s">
        <v>99</v>
      </c>
      <c r="AA2" s="15" t="str">
        <f>VLOOKUP(Z2,'Axe 2 Règles de gestion'!$D$2:$F$85,3, FALSE)</f>
        <v>Lorsque le bilan de compétences n'est pas pris en charge par l'administration, l'agent doit fournir un justificatif pour bénéficier du congé.</v>
      </c>
      <c r="AB2" s="13" t="s">
        <v>101</v>
      </c>
      <c r="AC2" s="15" t="str">
        <f>VLOOKUP(AB2,'Axe 2 Règles de gestion'!$D$2:$F$85,3, FALSE)</f>
        <v>Le congé ne peut excéder 24 heures de temps de service.</v>
      </c>
      <c r="AD2" s="13" t="s">
        <v>103</v>
      </c>
      <c r="AE2" s="15" t="str">
        <f>VLOOKUP(AD2,'Axe 2 Règles de gestion'!$D$2:$F$85,3, FALSE)</f>
        <v>Le congé peut être fractionné.</v>
      </c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 t="s">
        <v>105</v>
      </c>
      <c r="BA2" s="15" t="str">
        <f>VLOOKUP(AZ2,'Axe 2 Règles de gestion'!$D$2:$F$85,3, FALSE)</f>
        <v>L'agent doit être en position d'activité ou de congé parental.</v>
      </c>
      <c r="BB2" s="13"/>
      <c r="BC2" s="15"/>
      <c r="BD2" s="13" t="s">
        <v>107</v>
      </c>
      <c r="BE2" s="15" t="str">
        <f>VLOOKUP(BD2,'Axe 2 Règles de gestion'!$D$2:$F$85,3, FALSE)</f>
        <v>La date de début du congé/absence doit être postérieure ou égale à la date de recrutement dans la FPE ou dans la carrière militaire.</v>
      </c>
      <c r="BF2" s="13" t="s">
        <v>109</v>
      </c>
      <c r="BG2" s="15" t="str">
        <f>VLOOKUP(BF2,'Axe 2 Règles de gestion'!$D$2:$F$85,3, FALSE)</f>
        <v>La date de début du congé/absence doit être antérieure ou égale à la date de fin réelle du congé/absence.</v>
      </c>
      <c r="BH2" s="13" t="s">
        <v>111</v>
      </c>
      <c r="BI2" s="15" t="str">
        <f>VLOOKUP(BH2,'Axe 2 Règles de gestion'!$D$2:$F$85,3, FALSE)</f>
        <v>La date de début du congé/absence doit être antérieure ou égale à la date de fin prévisionnelle du congé/absence.</v>
      </c>
      <c r="BJ2" s="13" t="s">
        <v>113</v>
      </c>
      <c r="BK2" s="15" t="str">
        <f>VLOOKUP(BJ2,'Axe 2 Règles de gestion'!$D$2:$F$85,3, FALSE)</f>
        <v>La date de fin réelle du congé/absence doit être antérieure à la date limite de départ à la retraite.</v>
      </c>
      <c r="BL2" s="13" t="s">
        <v>115</v>
      </c>
      <c r="BM2" s="15" t="str">
        <f>VLOOKUP(BL2,'Axe 2 Règles de gestion'!$D$2:$F$85,3, FALSE)</f>
        <v>La date de fin prévisionnelle du congé/absence doit être antérieure à la date limite de départ à la retraite.</v>
      </c>
      <c r="BN2" s="13" t="s">
        <v>117</v>
      </c>
      <c r="BO2" s="15" t="str">
        <f>VLOOKUP(BN2,'Axe 2 Règles de gestion'!$D$2:$F$85,3, FALSE)</f>
        <v>La date de fin réelle ou la date de fin prévisionnelle du congé/absence doit être saisie.</v>
      </c>
      <c r="BP2" s="13" t="s">
        <v>119</v>
      </c>
      <c r="BQ2" s="15" t="str">
        <f>VLOOKUP(BP2,'Axe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R2" s="13" t="s">
        <v>121</v>
      </c>
      <c r="BS2" s="15" t="str">
        <f>VLOOKUP(BR2,'Axe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2" s="13" t="s">
        <v>123</v>
      </c>
      <c r="BU2" s="15" t="str">
        <f>VLOOKUP(BT2,'Axe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2" s="13"/>
      <c r="BW2" s="15"/>
      <c r="BX2" s="13"/>
      <c r="BY2" s="15"/>
      <c r="BZ2" s="13"/>
      <c r="CA2" s="15"/>
    </row>
    <row r="3" spans="1:79" ht="130.5" x14ac:dyDescent="0.35">
      <c r="A3" s="13" t="s">
        <v>80</v>
      </c>
      <c r="B3" s="13" t="s">
        <v>81</v>
      </c>
      <c r="C3" s="14">
        <v>43756.474305555559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85</v>
      </c>
      <c r="J3" s="15" t="s">
        <v>87</v>
      </c>
      <c r="K3" s="15" t="s">
        <v>88</v>
      </c>
      <c r="L3" s="13" t="s">
        <v>125</v>
      </c>
      <c r="M3" s="15" t="s">
        <v>126</v>
      </c>
      <c r="N3" s="13" t="s">
        <v>127</v>
      </c>
      <c r="O3" s="15"/>
      <c r="P3" s="15"/>
      <c r="Q3" s="15" t="s">
        <v>92</v>
      </c>
      <c r="R3" s="13" t="s">
        <v>93</v>
      </c>
      <c r="S3" s="13" t="s">
        <v>94</v>
      </c>
      <c r="T3" s="13" t="s">
        <v>95</v>
      </c>
      <c r="U3" s="14">
        <v>40725</v>
      </c>
      <c r="V3" s="14"/>
      <c r="W3" s="15" t="s">
        <v>128</v>
      </c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 t="s">
        <v>109</v>
      </c>
      <c r="BE3" s="15" t="str">
        <f>VLOOKUP(BD3,'Axe 2 Règles de gestion'!$D$2:$F$85,3, FALSE)</f>
        <v>La date de début du congé/absence doit être antérieure ou égale à la date de fin réelle du congé/absence.</v>
      </c>
      <c r="BF3" s="13" t="s">
        <v>111</v>
      </c>
      <c r="BG3" s="15" t="str">
        <f>VLOOKUP(BF3,'Axe 2 Règles de gestion'!$D$2:$F$85,3, FALSE)</f>
        <v>La date de début du congé/absence doit être antérieure ou égale à la date de fin prévisionnelle du congé/absence.</v>
      </c>
      <c r="BH3" s="13" t="s">
        <v>113</v>
      </c>
      <c r="BI3" s="15" t="str">
        <f>VLOOKUP(BH3,'Axe 2 Règles de gestion'!$D$2:$F$85,3, FALSE)</f>
        <v>La date de fin réelle du congé/absence doit être antérieure à la date limite de départ à la retraite.</v>
      </c>
      <c r="BJ3" s="13" t="s">
        <v>115</v>
      </c>
      <c r="BK3" s="15" t="str">
        <f>VLOOKUP(BJ3,'Axe 2 Règles de gestion'!$D$2:$F$85,3, FALSE)</f>
        <v>La date de fin prévisionnelle du congé/absence doit être antérieure à la date limite de départ à la retraite.</v>
      </c>
      <c r="BL3" s="13" t="s">
        <v>117</v>
      </c>
      <c r="BM3" s="15" t="str">
        <f>VLOOKUP(BL3,'Axe 2 Règles de gestion'!$D$2:$F$85,3, FALSE)</f>
        <v>La date de fin réelle ou la date de fin prévisionnelle du congé/absence doit être saisie.</v>
      </c>
      <c r="BN3" s="13" t="s">
        <v>119</v>
      </c>
      <c r="BO3" s="15" t="str">
        <f>VLOOKUP(BN3,'Axe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P3" s="13" t="s">
        <v>121</v>
      </c>
      <c r="BQ3" s="15" t="str">
        <f>VLOOKUP(BP3,'Axe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R3" s="13" t="s">
        <v>123</v>
      </c>
      <c r="BS3" s="15" t="str">
        <f>VLOOKUP(BR3,'Axe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T3" s="13"/>
      <c r="BU3" s="15"/>
      <c r="BV3" s="13"/>
      <c r="BW3" s="15"/>
      <c r="BX3" s="13"/>
      <c r="BY3" s="15"/>
      <c r="BZ3" s="13"/>
      <c r="CA3" s="15"/>
    </row>
    <row r="4" spans="1:79" ht="43.5" x14ac:dyDescent="0.35">
      <c r="A4" s="13" t="s">
        <v>80</v>
      </c>
      <c r="B4" s="13" t="s">
        <v>81</v>
      </c>
      <c r="C4" s="14">
        <v>43756.684027777781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85</v>
      </c>
      <c r="J4" s="15" t="s">
        <v>87</v>
      </c>
      <c r="K4" s="15" t="s">
        <v>88</v>
      </c>
      <c r="L4" s="13" t="s">
        <v>89</v>
      </c>
      <c r="M4" s="15" t="s">
        <v>90</v>
      </c>
      <c r="N4" s="13" t="s">
        <v>91</v>
      </c>
      <c r="O4" s="15"/>
      <c r="P4" s="15"/>
      <c r="Q4" s="15" t="s">
        <v>129</v>
      </c>
      <c r="R4" s="13" t="s">
        <v>130</v>
      </c>
      <c r="S4" s="13" t="s">
        <v>94</v>
      </c>
      <c r="T4" s="13" t="s">
        <v>131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  <c r="BX4" s="13"/>
      <c r="BY4" s="15"/>
      <c r="BZ4" s="13"/>
      <c r="CA4" s="15"/>
    </row>
    <row r="5" spans="1:79" ht="43.5" x14ac:dyDescent="0.35">
      <c r="A5" s="13" t="s">
        <v>80</v>
      </c>
      <c r="B5" s="13" t="s">
        <v>81</v>
      </c>
      <c r="C5" s="14">
        <v>43756.475694444445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85</v>
      </c>
      <c r="J5" s="15" t="s">
        <v>87</v>
      </c>
      <c r="K5" s="15" t="s">
        <v>88</v>
      </c>
      <c r="L5" s="13" t="s">
        <v>125</v>
      </c>
      <c r="M5" s="15" t="s">
        <v>126</v>
      </c>
      <c r="N5" s="13" t="s">
        <v>127</v>
      </c>
      <c r="O5" s="15"/>
      <c r="P5" s="15"/>
      <c r="Q5" s="15" t="s">
        <v>129</v>
      </c>
      <c r="R5" s="13" t="s">
        <v>130</v>
      </c>
      <c r="S5" s="13" t="s">
        <v>94</v>
      </c>
      <c r="T5" s="13" t="s">
        <v>131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  <c r="BX5" s="13"/>
      <c r="BY5" s="15"/>
      <c r="BZ5" s="13"/>
      <c r="CA5" s="15"/>
    </row>
    <row r="6" spans="1:79" ht="130.5" x14ac:dyDescent="0.35">
      <c r="A6" s="13" t="s">
        <v>80</v>
      </c>
      <c r="B6" s="13" t="s">
        <v>81</v>
      </c>
      <c r="C6" s="14">
        <v>43851.472916666666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85</v>
      </c>
      <c r="J6" s="15" t="s">
        <v>87</v>
      </c>
      <c r="K6" s="15" t="s">
        <v>88</v>
      </c>
      <c r="L6" s="13" t="s">
        <v>89</v>
      </c>
      <c r="M6" s="15" t="s">
        <v>90</v>
      </c>
      <c r="N6" s="13" t="s">
        <v>91</v>
      </c>
      <c r="O6" s="15"/>
      <c r="P6" s="15"/>
      <c r="Q6" s="15" t="s">
        <v>132</v>
      </c>
      <c r="R6" s="13" t="s">
        <v>133</v>
      </c>
      <c r="S6" s="13" t="s">
        <v>94</v>
      </c>
      <c r="T6" s="13" t="s">
        <v>95</v>
      </c>
      <c r="U6" s="14">
        <v>40725</v>
      </c>
      <c r="V6" s="14"/>
      <c r="W6" s="15" t="s">
        <v>134</v>
      </c>
      <c r="X6" s="13" t="s">
        <v>135</v>
      </c>
      <c r="Y6" s="15" t="str">
        <f>VLOOKUP(X6,'Axe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6" s="13" t="s">
        <v>97</v>
      </c>
      <c r="AA6" s="15" t="str">
        <f>VLOOKUP(Z6,'Axe 2 Règles de gestion'!$D$2:$F$85,3, FALSE)</f>
        <v>Lorsqu'un agent a recours à un bilan de compétences, l'administration lui accorde un congé.</v>
      </c>
      <c r="AB6" s="13" t="s">
        <v>99</v>
      </c>
      <c r="AC6" s="15" t="str">
        <f>VLOOKUP(AB6,'Axe 2 Règles de gestion'!$D$2:$F$85,3, FALSE)</f>
        <v>Lorsque le bilan de compétences n'est pas pris en charge par l'administration, l'agent doit fournir un justificatif pour bénéficier du congé.</v>
      </c>
      <c r="AD6" s="13" t="s">
        <v>137</v>
      </c>
      <c r="AE6" s="15" t="str">
        <f>VLOOKUP(AD6,'Axe 2 Règles de gestion'!$D$2:$F$85,3, FALSE)</f>
        <v>Le congé ne peut excéder 24 heures de temps de service.</v>
      </c>
      <c r="AF6" s="13" t="s">
        <v>138</v>
      </c>
      <c r="AG6" s="15" t="str">
        <f>VLOOKUP(AF6,'Axe 2 Règles de gestion'!$D$2:$F$85,3, FALSE)</f>
        <v>Le congé peut être fractionné.</v>
      </c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 t="s">
        <v>139</v>
      </c>
      <c r="BA6" s="15" t="str">
        <f>VLOOKUP(AZ6,'Axe 2 Règles de gestion'!$D$2:$F$85,3, FALSE)</f>
        <v>L'agent doit être en position d'activité ou de congé parental.</v>
      </c>
      <c r="BB6" s="13"/>
      <c r="BC6" s="15"/>
      <c r="BD6" s="13" t="s">
        <v>140</v>
      </c>
      <c r="BE6" s="15" t="str">
        <f>VLOOKUP(BD6,'Axe 2 Règles de gestion'!$D$2:$F$85,3, FALSE)</f>
        <v>La date de début du congé/absence doit être postérieure ou égale à la date de début du lien juridique.</v>
      </c>
      <c r="BF6" s="13" t="s">
        <v>109</v>
      </c>
      <c r="BG6" s="15" t="str">
        <f>VLOOKUP(BF6,'Axe 2 Règles de gestion'!$D$2:$F$85,3, FALSE)</f>
        <v>La date de début du congé/absence doit être antérieure ou égale à la date de fin réelle du congé/absence.</v>
      </c>
      <c r="BH6" s="13" t="s">
        <v>111</v>
      </c>
      <c r="BI6" s="15" t="str">
        <f>VLOOKUP(BH6,'Axe 2 Règles de gestion'!$D$2:$F$85,3, FALSE)</f>
        <v>La date de début du congé/absence doit être antérieure ou égale à la date de fin prévisionnelle du congé/absence.</v>
      </c>
      <c r="BJ6" s="13" t="s">
        <v>142</v>
      </c>
      <c r="BK6" s="15" t="str">
        <f>VLOOKUP(BJ6,'Axe 2 Règles de gestion'!$D$2:$F$85,3, FALSE)</f>
        <v>La date de fin réelle du congé/absence doit être antérieure ou égale à la date limite de fin réelle ou prévisionnelle du lien juridique.</v>
      </c>
      <c r="BL6" s="13" t="s">
        <v>144</v>
      </c>
      <c r="BM6" s="15" t="str">
        <f>VLOOKUP(BL6,'Axe 2 Règles de gestion'!$D$2:$F$85,3, FALSE)</f>
        <v>La date de fin prévisionnelle du congé/absence doit être antérieure ou égale à la date limite de fin réelle ou prévisionnelle du lien juridique.</v>
      </c>
      <c r="BN6" s="13" t="s">
        <v>113</v>
      </c>
      <c r="BO6" s="15" t="str">
        <f>VLOOKUP(BN6,'Axe 2 Règles de gestion'!$D$2:$F$85,3, FALSE)</f>
        <v>La date de fin réelle du congé/absence doit être antérieure à la date limite de départ à la retraite.</v>
      </c>
      <c r="BP6" s="13" t="s">
        <v>115</v>
      </c>
      <c r="BQ6" s="15" t="str">
        <f>VLOOKUP(BP6,'Axe 2 Règles de gestion'!$D$2:$F$85,3, FALSE)</f>
        <v>La date de fin prévisionnelle du congé/absence doit être antérieure à la date limite de départ à la retraite.</v>
      </c>
      <c r="BR6" s="13" t="s">
        <v>117</v>
      </c>
      <c r="BS6" s="15" t="str">
        <f>VLOOKUP(BR6,'Axe 2 Règles de gestion'!$D$2:$F$85,3, FALSE)</f>
        <v>La date de fin réelle ou la date de fin prévisionnelle du congé/absence doit être saisie.</v>
      </c>
      <c r="BT6" s="13" t="s">
        <v>119</v>
      </c>
      <c r="BU6" s="15" t="str">
        <f>VLOOKUP(BT6,'Axe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6" s="13" t="s">
        <v>121</v>
      </c>
      <c r="BW6" s="15" t="str">
        <f>VLOOKUP(BV6,'Axe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6" s="13" t="s">
        <v>123</v>
      </c>
      <c r="BY6" s="15" t="str">
        <f>VLOOKUP(BX6,'Axe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6" s="13"/>
      <c r="CA6" s="15"/>
    </row>
    <row r="7" spans="1:79" ht="130.5" x14ac:dyDescent="0.35">
      <c r="A7" s="13" t="s">
        <v>80</v>
      </c>
      <c r="B7" s="13" t="s">
        <v>81</v>
      </c>
      <c r="C7" s="14">
        <v>43851.473611111112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85</v>
      </c>
      <c r="J7" s="15" t="s">
        <v>87</v>
      </c>
      <c r="K7" s="15" t="s">
        <v>88</v>
      </c>
      <c r="L7" s="13" t="s">
        <v>125</v>
      </c>
      <c r="M7" s="15" t="s">
        <v>126</v>
      </c>
      <c r="N7" s="13" t="s">
        <v>127</v>
      </c>
      <c r="O7" s="15"/>
      <c r="P7" s="15"/>
      <c r="Q7" s="15" t="s">
        <v>132</v>
      </c>
      <c r="R7" s="13" t="s">
        <v>133</v>
      </c>
      <c r="S7" s="13" t="s">
        <v>94</v>
      </c>
      <c r="T7" s="13" t="s">
        <v>95</v>
      </c>
      <c r="U7" s="14">
        <v>40725</v>
      </c>
      <c r="V7" s="14"/>
      <c r="W7" s="15" t="s">
        <v>146</v>
      </c>
      <c r="X7" s="13" t="s">
        <v>135</v>
      </c>
      <c r="Y7" s="15" t="str">
        <f>VLOOKUP(X7,'Axe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 t="s">
        <v>109</v>
      </c>
      <c r="BE7" s="15" t="str">
        <f>VLOOKUP(BD7,'Axe 2 Règles de gestion'!$D$2:$F$85,3, FALSE)</f>
        <v>La date de début du congé/absence doit être antérieure ou égale à la date de fin réelle du congé/absence.</v>
      </c>
      <c r="BF7" s="13" t="s">
        <v>111</v>
      </c>
      <c r="BG7" s="15" t="str">
        <f>VLOOKUP(BF7,'Axe 2 Règles de gestion'!$D$2:$F$85,3, FALSE)</f>
        <v>La date de début du congé/absence doit être antérieure ou égale à la date de fin prévisionnelle du congé/absence.</v>
      </c>
      <c r="BH7" s="13" t="s">
        <v>142</v>
      </c>
      <c r="BI7" s="15" t="str">
        <f>VLOOKUP(BH7,'Axe 2 Règles de gestion'!$D$2:$F$85,3, FALSE)</f>
        <v>La date de fin réelle du congé/absence doit être antérieure ou égale à la date limite de fin réelle ou prévisionnelle du lien juridique.</v>
      </c>
      <c r="BJ7" s="13" t="s">
        <v>144</v>
      </c>
      <c r="BK7" s="15" t="str">
        <f>VLOOKUP(BJ7,'Axe 2 Règles de gestion'!$D$2:$F$85,3, FALSE)</f>
        <v>La date de fin prévisionnelle du congé/absence doit être antérieure ou égale à la date limite de fin réelle ou prévisionnelle du lien juridique.</v>
      </c>
      <c r="BL7" s="13" t="s">
        <v>113</v>
      </c>
      <c r="BM7" s="15" t="str">
        <f>VLOOKUP(BL7,'Axe 2 Règles de gestion'!$D$2:$F$85,3, FALSE)</f>
        <v>La date de fin réelle du congé/absence doit être antérieure à la date limite de départ à la retraite.</v>
      </c>
      <c r="BN7" s="13" t="s">
        <v>115</v>
      </c>
      <c r="BO7" s="15" t="str">
        <f>VLOOKUP(BN7,'Axe 2 Règles de gestion'!$D$2:$F$85,3, FALSE)</f>
        <v>La date de fin prévisionnelle du congé/absence doit être antérieure à la date limite de départ à la retraite.</v>
      </c>
      <c r="BP7" s="13" t="s">
        <v>117</v>
      </c>
      <c r="BQ7" s="15" t="str">
        <f>VLOOKUP(BP7,'Axe 2 Règles de gestion'!$D$2:$F$85,3, FALSE)</f>
        <v>La date de fin réelle ou la date de fin prévisionnelle du congé/absence doit être saisie.</v>
      </c>
      <c r="BR7" s="13" t="s">
        <v>119</v>
      </c>
      <c r="BS7" s="15" t="str">
        <f>VLOOKUP(BR7,'Axe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T7" s="13" t="s">
        <v>121</v>
      </c>
      <c r="BU7" s="15" t="str">
        <f>VLOOKUP(BT7,'Axe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7" s="13" t="s">
        <v>123</v>
      </c>
      <c r="BW7" s="15" t="str">
        <f>VLOOKUP(BV7,'Axe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7" s="13"/>
      <c r="BY7" s="15"/>
      <c r="BZ7" s="13"/>
      <c r="CA7" s="15"/>
    </row>
    <row r="8" spans="1:79" s="22" customFormat="1" ht="130.5" x14ac:dyDescent="0.35">
      <c r="A8" s="19" t="s">
        <v>147</v>
      </c>
      <c r="B8" s="19" t="s">
        <v>148</v>
      </c>
      <c r="C8" s="20">
        <v>45973.646527777775</v>
      </c>
      <c r="D8" s="19" t="s">
        <v>82</v>
      </c>
      <c r="E8" s="21" t="s">
        <v>83</v>
      </c>
      <c r="F8" s="19" t="s">
        <v>84</v>
      </c>
      <c r="G8" s="21" t="s">
        <v>85</v>
      </c>
      <c r="H8" s="19" t="s">
        <v>86</v>
      </c>
      <c r="I8" s="21" t="s">
        <v>85</v>
      </c>
      <c r="J8" s="21" t="s">
        <v>87</v>
      </c>
      <c r="K8" s="21" t="s">
        <v>88</v>
      </c>
      <c r="L8" s="19" t="s">
        <v>89</v>
      </c>
      <c r="M8" s="21" t="s">
        <v>90</v>
      </c>
      <c r="N8" s="19" t="s">
        <v>91</v>
      </c>
      <c r="O8" s="21"/>
      <c r="P8" s="21"/>
      <c r="Q8" s="21" t="s">
        <v>149</v>
      </c>
      <c r="R8" s="19" t="s">
        <v>150</v>
      </c>
      <c r="S8" s="19" t="s">
        <v>94</v>
      </c>
      <c r="T8" s="19" t="s">
        <v>95</v>
      </c>
      <c r="U8" s="20">
        <v>40725</v>
      </c>
      <c r="V8" s="20"/>
      <c r="W8" s="21" t="s">
        <v>151</v>
      </c>
      <c r="X8" s="19" t="s">
        <v>152</v>
      </c>
      <c r="Y8" s="21" t="str">
        <f>VLOOKUP(X8,'Axe 2 Règles de gestion'!$D$2:$F$85,3, FALSE)</f>
        <v>L'agent bénéficie des dispositions applicables aux agents titulaires pour le congé pour bilan de compétences, sauf dispositions particulières.</v>
      </c>
      <c r="Z8" s="19" t="s">
        <v>97</v>
      </c>
      <c r="AA8" s="21" t="str">
        <f>VLOOKUP(Z8,'Axe 2 Règles de gestion'!$D$2:$F$85,3, FALSE)</f>
        <v>Lorsqu'un agent a recours à un bilan de compétences, l'administration lui accorde un congé.</v>
      </c>
      <c r="AB8" s="19" t="s">
        <v>99</v>
      </c>
      <c r="AC8" s="21" t="str">
        <f>VLOOKUP(AB8,'Axe 2 Règles de gestion'!$D$2:$F$85,3, FALSE)</f>
        <v>Lorsque le bilan de compétences n'est pas pris en charge par l'administration, l'agent doit fournir un justificatif pour bénéficier du congé.</v>
      </c>
      <c r="AD8" s="19" t="s">
        <v>101</v>
      </c>
      <c r="AE8" s="21" t="str">
        <f>VLOOKUP(AD8,'Axe 2 Règles de gestion'!$D$2:$F$85,3, FALSE)</f>
        <v>Le congé ne peut excéder 24 heures de temps de service.</v>
      </c>
      <c r="AF8" s="19" t="s">
        <v>103</v>
      </c>
      <c r="AG8" s="21" t="str">
        <f>VLOOKUP(AF8,'Axe 2 Règles de gestion'!$D$2:$F$85,3, FALSE)</f>
        <v>Le congé peut être fractionné.</v>
      </c>
      <c r="AH8" s="19"/>
      <c r="AI8" s="21"/>
      <c r="AJ8" s="19"/>
      <c r="AK8" s="21"/>
      <c r="AL8" s="19"/>
      <c r="AM8" s="21"/>
      <c r="AN8" s="19"/>
      <c r="AO8" s="21"/>
      <c r="AP8" s="19"/>
      <c r="AQ8" s="21"/>
      <c r="AR8" s="19"/>
      <c r="AS8" s="21"/>
      <c r="AT8" s="19"/>
      <c r="AU8" s="21"/>
      <c r="AV8" s="19"/>
      <c r="AW8" s="21"/>
      <c r="AX8" s="19"/>
      <c r="AY8" s="21"/>
      <c r="AZ8" s="19" t="s">
        <v>154</v>
      </c>
      <c r="BA8" s="21" t="str">
        <f>VLOOKUP(AZ8,'Axe 2 Règles de gestion'!$D$2:$F$85,3, FALSE)</f>
        <v>L'agent doit être en position d'activité ou de congé parental.</v>
      </c>
      <c r="BB8" s="19"/>
      <c r="BC8" s="21"/>
      <c r="BD8" s="19" t="s">
        <v>107</v>
      </c>
      <c r="BE8" s="21" t="str">
        <f>VLOOKUP(BD8,'Axe 2 Règles de gestion'!$D$2:$F$85,3, FALSE)</f>
        <v>La date de début du congé/absence doit être postérieure ou égale à la date de recrutement dans la FPE ou dans la carrière militaire.</v>
      </c>
      <c r="BF8" s="19" t="s">
        <v>109</v>
      </c>
      <c r="BG8" s="21" t="str">
        <f>VLOOKUP(BF8,'Axe 2 Règles de gestion'!$D$2:$F$85,3, FALSE)</f>
        <v>La date de début du congé/absence doit être antérieure ou égale à la date de fin réelle du congé/absence.</v>
      </c>
      <c r="BH8" s="19" t="s">
        <v>111</v>
      </c>
      <c r="BI8" s="21" t="str">
        <f>VLOOKUP(BH8,'Axe 2 Règles de gestion'!$D$2:$F$85,3, FALSE)</f>
        <v>La date de début du congé/absence doit être antérieure ou égale à la date de fin prévisionnelle du congé/absence.</v>
      </c>
      <c r="BJ8" s="19" t="s">
        <v>113</v>
      </c>
      <c r="BK8" s="21" t="str">
        <f>VLOOKUP(BJ8,'Axe 2 Règles de gestion'!$D$2:$F$85,3, FALSE)</f>
        <v>La date de fin réelle du congé/absence doit être antérieure à la date limite de départ à la retraite.</v>
      </c>
      <c r="BL8" s="19" t="s">
        <v>115</v>
      </c>
      <c r="BM8" s="21" t="str">
        <f>VLOOKUP(BL8,'Axe 2 Règles de gestion'!$D$2:$F$85,3, FALSE)</f>
        <v>La date de fin prévisionnelle du congé/absence doit être antérieure à la date limite de départ à la retraite.</v>
      </c>
      <c r="BN8" s="19" t="s">
        <v>117</v>
      </c>
      <c r="BO8" s="21" t="str">
        <f>VLOOKUP(BN8,'Axe 2 Règles de gestion'!$D$2:$F$85,3, FALSE)</f>
        <v>La date de fin réelle ou la date de fin prévisionnelle du congé/absence doit être saisie.</v>
      </c>
      <c r="BP8" s="19" t="s">
        <v>119</v>
      </c>
      <c r="BQ8" s="21" t="str">
        <f>VLOOKUP(BP8,'Axe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R8" s="19" t="s">
        <v>121</v>
      </c>
      <c r="BS8" s="21" t="str">
        <f>VLOOKUP(BR8,'Axe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8" s="19" t="s">
        <v>123</v>
      </c>
      <c r="BU8" s="21" t="str">
        <f>VLOOKUP(BT8,'Axe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8" s="19"/>
      <c r="BW8" s="21"/>
      <c r="BX8" s="19"/>
      <c r="BY8" s="21"/>
      <c r="BZ8" s="19" t="s">
        <v>155</v>
      </c>
      <c r="CA8" s="21"/>
    </row>
    <row r="9" spans="1:79" ht="130.5" x14ac:dyDescent="0.35">
      <c r="A9" s="13" t="s">
        <v>80</v>
      </c>
      <c r="B9" s="13" t="s">
        <v>81</v>
      </c>
      <c r="C9" s="14">
        <v>43756.476388888892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85</v>
      </c>
      <c r="J9" s="15" t="s">
        <v>87</v>
      </c>
      <c r="K9" s="15" t="s">
        <v>88</v>
      </c>
      <c r="L9" s="13" t="s">
        <v>125</v>
      </c>
      <c r="M9" s="15" t="s">
        <v>126</v>
      </c>
      <c r="N9" s="13" t="s">
        <v>127</v>
      </c>
      <c r="O9" s="15"/>
      <c r="P9" s="15"/>
      <c r="Q9" s="15" t="s">
        <v>149</v>
      </c>
      <c r="R9" s="13" t="s">
        <v>150</v>
      </c>
      <c r="S9" s="13" t="s">
        <v>94</v>
      </c>
      <c r="T9" s="13" t="s">
        <v>95</v>
      </c>
      <c r="U9" s="14">
        <v>40725</v>
      </c>
      <c r="V9" s="14"/>
      <c r="W9" s="15" t="s">
        <v>128</v>
      </c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 t="s">
        <v>109</v>
      </c>
      <c r="BE9" s="15" t="str">
        <f>VLOOKUP(BD9,'Axe 2 Règles de gestion'!$D$2:$F$85,3, FALSE)</f>
        <v>La date de début du congé/absence doit être antérieure ou égale à la date de fin réelle du congé/absence.</v>
      </c>
      <c r="BF9" s="13" t="s">
        <v>111</v>
      </c>
      <c r="BG9" s="15" t="str">
        <f>VLOOKUP(BF9,'Axe 2 Règles de gestion'!$D$2:$F$85,3, FALSE)</f>
        <v>La date de début du congé/absence doit être antérieure ou égale à la date de fin prévisionnelle du congé/absence.</v>
      </c>
      <c r="BH9" s="13" t="s">
        <v>113</v>
      </c>
      <c r="BI9" s="15" t="str">
        <f>VLOOKUP(BH9,'Axe 2 Règles de gestion'!$D$2:$F$85,3, FALSE)</f>
        <v>La date de fin réelle du congé/absence doit être antérieure à la date limite de départ à la retraite.</v>
      </c>
      <c r="BJ9" s="13" t="s">
        <v>115</v>
      </c>
      <c r="BK9" s="15" t="str">
        <f>VLOOKUP(BJ9,'Axe 2 Règles de gestion'!$D$2:$F$85,3, FALSE)</f>
        <v>La date de fin prévisionnelle du congé/absence doit être antérieure à la date limite de départ à la retraite.</v>
      </c>
      <c r="BL9" s="13" t="s">
        <v>117</v>
      </c>
      <c r="BM9" s="15" t="str">
        <f>VLOOKUP(BL9,'Axe 2 Règles de gestion'!$D$2:$F$85,3, FALSE)</f>
        <v>La date de fin réelle ou la date de fin prévisionnelle du congé/absence doit être saisie.</v>
      </c>
      <c r="BN9" s="13" t="s">
        <v>119</v>
      </c>
      <c r="BO9" s="15" t="str">
        <f>VLOOKUP(BN9,'Axe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P9" s="13" t="s">
        <v>121</v>
      </c>
      <c r="BQ9" s="15" t="str">
        <f>VLOOKUP(BP9,'Axe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R9" s="13" t="s">
        <v>123</v>
      </c>
      <c r="BS9" s="15" t="str">
        <f>VLOOKUP(BR9,'Axe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T9" s="13"/>
      <c r="BU9" s="15"/>
      <c r="BV9" s="13"/>
      <c r="BW9" s="15"/>
      <c r="BX9" s="13"/>
      <c r="BY9" s="15"/>
      <c r="BZ9" s="13"/>
      <c r="CA9" s="15"/>
    </row>
    <row r="10" spans="1:79" ht="130.5" x14ac:dyDescent="0.35">
      <c r="A10" s="13" t="s">
        <v>80</v>
      </c>
      <c r="B10" s="13" t="s">
        <v>81</v>
      </c>
      <c r="C10" s="14">
        <v>43775.683333333334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85</v>
      </c>
      <c r="J10" s="15" t="s">
        <v>87</v>
      </c>
      <c r="K10" s="15" t="s">
        <v>88</v>
      </c>
      <c r="L10" s="13" t="s">
        <v>89</v>
      </c>
      <c r="M10" s="15" t="s">
        <v>90</v>
      </c>
      <c r="N10" s="13" t="s">
        <v>91</v>
      </c>
      <c r="O10" s="15"/>
      <c r="P10" s="15"/>
      <c r="Q10" s="15" t="s">
        <v>156</v>
      </c>
      <c r="R10" s="13" t="s">
        <v>157</v>
      </c>
      <c r="S10" s="13" t="s">
        <v>94</v>
      </c>
      <c r="T10" s="13" t="s">
        <v>95</v>
      </c>
      <c r="U10" s="14">
        <v>40725</v>
      </c>
      <c r="V10" s="14"/>
      <c r="W10" s="15" t="s">
        <v>158</v>
      </c>
      <c r="X10" s="13" t="s">
        <v>97</v>
      </c>
      <c r="Y10" s="15" t="str">
        <f>VLOOKUP(X10,'Axe 2 Règles de gestion'!$D$2:$F$85,3, FALSE)</f>
        <v>Lorsqu'un agent a recours à un bilan de compétences, l'administration lui accorde un congé.</v>
      </c>
      <c r="Z10" s="13" t="s">
        <v>99</v>
      </c>
      <c r="AA10" s="15" t="str">
        <f>VLOOKUP(Z10,'Axe 2 Règles de gestion'!$D$2:$F$85,3, FALSE)</f>
        <v>Lorsque le bilan de compétences n'est pas pris en charge par l'administration, l'agent doit fournir un justificatif pour bénéficier du congé.</v>
      </c>
      <c r="AB10" s="13" t="s">
        <v>137</v>
      </c>
      <c r="AC10" s="15" t="str">
        <f>VLOOKUP(AB10,'Axe 2 Règles de gestion'!$D$2:$F$85,3, FALSE)</f>
        <v>Le congé ne peut excéder 24 heures de temps de service.</v>
      </c>
      <c r="AD10" s="13" t="s">
        <v>138</v>
      </c>
      <c r="AE10" s="15" t="str">
        <f>VLOOKUP(AD10,'Axe 2 Règles de gestion'!$D$2:$F$85,3, FALSE)</f>
        <v>Le congé peut être fractionné.</v>
      </c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 t="s">
        <v>139</v>
      </c>
      <c r="BA10" s="15" t="str">
        <f>VLOOKUP(AZ10,'Axe 2 Règles de gestion'!$D$2:$F$85,3, FALSE)</f>
        <v>L'agent doit être en position d'activité ou de congé parental.</v>
      </c>
      <c r="BB10" s="13"/>
      <c r="BC10" s="15"/>
      <c r="BD10" s="13" t="s">
        <v>140</v>
      </c>
      <c r="BE10" s="15" t="str">
        <f>VLOOKUP(BD10,'Axe 2 Règles de gestion'!$D$2:$F$85,3, FALSE)</f>
        <v>La date de début du congé/absence doit être postérieure ou égale à la date de début du lien juridique.</v>
      </c>
      <c r="BF10" s="13" t="s">
        <v>109</v>
      </c>
      <c r="BG10" s="15" t="str">
        <f>VLOOKUP(BF10,'Axe 2 Règles de gestion'!$D$2:$F$85,3, FALSE)</f>
        <v>La date de début du congé/absence doit être antérieure ou égale à la date de fin réelle du congé/absence.</v>
      </c>
      <c r="BH10" s="13" t="s">
        <v>111</v>
      </c>
      <c r="BI10" s="15" t="str">
        <f>VLOOKUP(BH10,'Axe 2 Règles de gestion'!$D$2:$F$85,3, FALSE)</f>
        <v>La date de début du congé/absence doit être antérieure ou égale à la date de fin prévisionnelle du congé/absence.</v>
      </c>
      <c r="BJ10" s="13" t="s">
        <v>142</v>
      </c>
      <c r="BK10" s="15" t="str">
        <f>VLOOKUP(BJ10,'Axe 2 Règles de gestion'!$D$2:$F$85,3, FALSE)</f>
        <v>La date de fin réelle du congé/absence doit être antérieure ou égale à la date limite de fin réelle ou prévisionnelle du lien juridique.</v>
      </c>
      <c r="BL10" s="13" t="s">
        <v>144</v>
      </c>
      <c r="BM10" s="15" t="str">
        <f>VLOOKUP(BL10,'Axe 2 Règles de gestion'!$D$2:$F$85,3, FALSE)</f>
        <v>La date de fin prévisionnelle du congé/absence doit être antérieure ou égale à la date limite de fin réelle ou prévisionnelle du lien juridique.</v>
      </c>
      <c r="BN10" s="13" t="s">
        <v>113</v>
      </c>
      <c r="BO10" s="15" t="str">
        <f>VLOOKUP(BN10,'Axe 2 Règles de gestion'!$D$2:$F$85,3, FALSE)</f>
        <v>La date de fin réelle du congé/absence doit être antérieure à la date limite de départ à la retraite.</v>
      </c>
      <c r="BP10" s="13" t="s">
        <v>115</v>
      </c>
      <c r="BQ10" s="15" t="str">
        <f>VLOOKUP(BP10,'Axe 2 Règles de gestion'!$D$2:$F$85,3, FALSE)</f>
        <v>La date de fin prévisionnelle du congé/absence doit être antérieure à la date limite de départ à la retraite.</v>
      </c>
      <c r="BR10" s="13" t="s">
        <v>117</v>
      </c>
      <c r="BS10" s="15" t="str">
        <f>VLOOKUP(BR10,'Axe 2 Règles de gestion'!$D$2:$F$85,3, FALSE)</f>
        <v>La date de fin réelle ou la date de fin prévisionnelle du congé/absence doit être saisie.</v>
      </c>
      <c r="BT10" s="13" t="s">
        <v>119</v>
      </c>
      <c r="BU10" s="15" t="str">
        <f>VLOOKUP(BT10,'Axe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10" s="13" t="s">
        <v>121</v>
      </c>
      <c r="BW10" s="15" t="str">
        <f>VLOOKUP(BV10,'Axe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10" s="13" t="s">
        <v>123</v>
      </c>
      <c r="BY10" s="15" t="str">
        <f>VLOOKUP(BX10,'Axe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10" s="13"/>
      <c r="CA10" s="15"/>
    </row>
    <row r="11" spans="1:79" ht="130.5" x14ac:dyDescent="0.35">
      <c r="A11" s="13" t="s">
        <v>80</v>
      </c>
      <c r="B11" s="13" t="s">
        <v>81</v>
      </c>
      <c r="C11" s="14">
        <v>43756.477777777778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85</v>
      </c>
      <c r="J11" s="15" t="s">
        <v>87</v>
      </c>
      <c r="K11" s="15" t="s">
        <v>88</v>
      </c>
      <c r="L11" s="13" t="s">
        <v>125</v>
      </c>
      <c r="M11" s="15" t="s">
        <v>126</v>
      </c>
      <c r="N11" s="13" t="s">
        <v>127</v>
      </c>
      <c r="O11" s="15"/>
      <c r="P11" s="15"/>
      <c r="Q11" s="15" t="s">
        <v>156</v>
      </c>
      <c r="R11" s="13" t="s">
        <v>157</v>
      </c>
      <c r="S11" s="13" t="s">
        <v>94</v>
      </c>
      <c r="T11" s="13" t="s">
        <v>95</v>
      </c>
      <c r="U11" s="14">
        <v>40725</v>
      </c>
      <c r="V11" s="14"/>
      <c r="W11" s="15" t="s">
        <v>159</v>
      </c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 t="s">
        <v>109</v>
      </c>
      <c r="BE11" s="15" t="str">
        <f>VLOOKUP(BD11,'Axe 2 Règles de gestion'!$D$2:$F$85,3, FALSE)</f>
        <v>La date de début du congé/absence doit être antérieure ou égale à la date de fin réelle du congé/absence.</v>
      </c>
      <c r="BF11" s="13" t="s">
        <v>111</v>
      </c>
      <c r="BG11" s="15" t="str">
        <f>VLOOKUP(BF11,'Axe 2 Règles de gestion'!$D$2:$F$85,3, FALSE)</f>
        <v>La date de début du congé/absence doit être antérieure ou égale à la date de fin prévisionnelle du congé/absence.</v>
      </c>
      <c r="BH11" s="13" t="s">
        <v>142</v>
      </c>
      <c r="BI11" s="15" t="str">
        <f>VLOOKUP(BH11,'Axe 2 Règles de gestion'!$D$2:$F$85,3, FALSE)</f>
        <v>La date de fin réelle du congé/absence doit être antérieure ou égale à la date limite de fin réelle ou prévisionnelle du lien juridique.</v>
      </c>
      <c r="BJ11" s="13" t="s">
        <v>144</v>
      </c>
      <c r="BK11" s="15" t="str">
        <f>VLOOKUP(BJ11,'Axe 2 Règles de gestion'!$D$2:$F$85,3, FALSE)</f>
        <v>La date de fin prévisionnelle du congé/absence doit être antérieure ou égale à la date limite de fin réelle ou prévisionnelle du lien juridique.</v>
      </c>
      <c r="BL11" s="13" t="s">
        <v>113</v>
      </c>
      <c r="BM11" s="15" t="str">
        <f>VLOOKUP(BL11,'Axe 2 Règles de gestion'!$D$2:$F$85,3, FALSE)</f>
        <v>La date de fin réelle du congé/absence doit être antérieure à la date limite de départ à la retraite.</v>
      </c>
      <c r="BN11" s="13" t="s">
        <v>115</v>
      </c>
      <c r="BO11" s="15" t="str">
        <f>VLOOKUP(BN11,'Axe 2 Règles de gestion'!$D$2:$F$85,3, FALSE)</f>
        <v>La date de fin prévisionnelle du congé/absence doit être antérieure à la date limite de départ à la retraite.</v>
      </c>
      <c r="BP11" s="13" t="s">
        <v>117</v>
      </c>
      <c r="BQ11" s="15" t="str">
        <f>VLOOKUP(BP11,'Axe 2 Règles de gestion'!$D$2:$F$85,3, FALSE)</f>
        <v>La date de fin réelle ou la date de fin prévisionnelle du congé/absence doit être saisie.</v>
      </c>
      <c r="BR11" s="13" t="s">
        <v>119</v>
      </c>
      <c r="BS11" s="15" t="str">
        <f>VLOOKUP(BR11,'Axe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T11" s="13" t="s">
        <v>121</v>
      </c>
      <c r="BU11" s="15" t="str">
        <f>VLOOKUP(BT11,'Axe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11" s="13" t="s">
        <v>123</v>
      </c>
      <c r="BW11" s="15" t="str">
        <f>VLOOKUP(BV11,'Axe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11" s="13"/>
      <c r="BY11" s="15"/>
      <c r="BZ11" s="13"/>
      <c r="CA11" s="15"/>
    </row>
    <row r="12" spans="1:79" ht="43.5" x14ac:dyDescent="0.35">
      <c r="A12" s="13" t="s">
        <v>80</v>
      </c>
      <c r="B12" s="13" t="s">
        <v>81</v>
      </c>
      <c r="C12" s="14">
        <v>43756.685416666667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86</v>
      </c>
      <c r="I12" s="15" t="s">
        <v>85</v>
      </c>
      <c r="J12" s="15" t="s">
        <v>87</v>
      </c>
      <c r="K12" s="15" t="s">
        <v>88</v>
      </c>
      <c r="L12" s="13" t="s">
        <v>89</v>
      </c>
      <c r="M12" s="15" t="s">
        <v>90</v>
      </c>
      <c r="N12" s="13" t="s">
        <v>91</v>
      </c>
      <c r="O12" s="15"/>
      <c r="P12" s="15"/>
      <c r="Q12" s="15" t="s">
        <v>160</v>
      </c>
      <c r="R12" s="13" t="s">
        <v>161</v>
      </c>
      <c r="S12" s="13" t="s">
        <v>162</v>
      </c>
      <c r="T12" s="13" t="s">
        <v>131</v>
      </c>
      <c r="U12" s="14">
        <v>40725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5"/>
      <c r="AX12" s="13"/>
      <c r="AY12" s="15"/>
      <c r="AZ12" s="13"/>
      <c r="BA12" s="15"/>
      <c r="BB12" s="13"/>
      <c r="BC12" s="15"/>
      <c r="BD12" s="13"/>
      <c r="BE12" s="15"/>
      <c r="BF12" s="13"/>
      <c r="BG12" s="15"/>
      <c r="BH12" s="13"/>
      <c r="BI12" s="15"/>
      <c r="BJ12" s="13"/>
      <c r="BK12" s="15"/>
      <c r="BL12" s="13"/>
      <c r="BM12" s="15"/>
      <c r="BN12" s="13"/>
      <c r="BO12" s="15"/>
      <c r="BP12" s="13"/>
      <c r="BQ12" s="15"/>
      <c r="BR12" s="13"/>
      <c r="BS12" s="15"/>
      <c r="BT12" s="13"/>
      <c r="BU12" s="15"/>
      <c r="BV12" s="13"/>
      <c r="BW12" s="15"/>
      <c r="BX12" s="13"/>
      <c r="BY12" s="15"/>
      <c r="BZ12" s="13"/>
      <c r="CA12" s="15"/>
    </row>
    <row r="13" spans="1:79" ht="43.5" x14ac:dyDescent="0.35">
      <c r="A13" s="13" t="s">
        <v>80</v>
      </c>
      <c r="B13" s="13" t="s">
        <v>81</v>
      </c>
      <c r="C13" s="14">
        <v>43756.478472222225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86</v>
      </c>
      <c r="I13" s="15" t="s">
        <v>85</v>
      </c>
      <c r="J13" s="15" t="s">
        <v>87</v>
      </c>
      <c r="K13" s="15" t="s">
        <v>88</v>
      </c>
      <c r="L13" s="13" t="s">
        <v>125</v>
      </c>
      <c r="M13" s="15" t="s">
        <v>126</v>
      </c>
      <c r="N13" s="13" t="s">
        <v>127</v>
      </c>
      <c r="O13" s="15"/>
      <c r="P13" s="15"/>
      <c r="Q13" s="15" t="s">
        <v>160</v>
      </c>
      <c r="R13" s="13" t="s">
        <v>161</v>
      </c>
      <c r="S13" s="13" t="s">
        <v>162</v>
      </c>
      <c r="T13" s="13" t="s">
        <v>131</v>
      </c>
      <c r="U13" s="14">
        <v>40725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/>
      <c r="AY13" s="15"/>
      <c r="AZ13" s="13"/>
      <c r="BA13" s="15"/>
      <c r="BB13" s="13"/>
      <c r="BC13" s="15"/>
      <c r="BD13" s="13"/>
      <c r="BE13" s="15"/>
      <c r="BF13" s="13"/>
      <c r="BG13" s="15"/>
      <c r="BH13" s="13"/>
      <c r="BI13" s="15"/>
      <c r="BJ13" s="13"/>
      <c r="BK13" s="15"/>
      <c r="BL13" s="13"/>
      <c r="BM13" s="15"/>
      <c r="BN13" s="13"/>
      <c r="BO13" s="15"/>
      <c r="BP13" s="13"/>
      <c r="BQ13" s="15"/>
      <c r="BR13" s="13"/>
      <c r="BS13" s="15"/>
      <c r="BT13" s="13"/>
      <c r="BU13" s="15"/>
      <c r="BV13" s="13"/>
      <c r="BW13" s="15"/>
      <c r="BX13" s="13"/>
      <c r="BY13" s="15"/>
      <c r="BZ13" s="13"/>
      <c r="CA13" s="15"/>
    </row>
    <row r="14" spans="1:79" ht="43.5" x14ac:dyDescent="0.35">
      <c r="A14" s="13" t="s">
        <v>80</v>
      </c>
      <c r="B14" s="13" t="s">
        <v>81</v>
      </c>
      <c r="C14" s="14">
        <v>43756.686805555553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86</v>
      </c>
      <c r="I14" s="15" t="s">
        <v>85</v>
      </c>
      <c r="J14" s="15" t="s">
        <v>87</v>
      </c>
      <c r="K14" s="15" t="s">
        <v>88</v>
      </c>
      <c r="L14" s="13" t="s">
        <v>89</v>
      </c>
      <c r="M14" s="15" t="s">
        <v>90</v>
      </c>
      <c r="N14" s="13" t="s">
        <v>91</v>
      </c>
      <c r="O14" s="15"/>
      <c r="P14" s="15"/>
      <c r="Q14" s="15" t="s">
        <v>163</v>
      </c>
      <c r="R14" s="13" t="s">
        <v>164</v>
      </c>
      <c r="S14" s="13" t="s">
        <v>162</v>
      </c>
      <c r="T14" s="13" t="s">
        <v>131</v>
      </c>
      <c r="U14" s="14">
        <v>40725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5"/>
      <c r="AP14" s="13"/>
      <c r="AQ14" s="15"/>
      <c r="AR14" s="13"/>
      <c r="AS14" s="15"/>
      <c r="AT14" s="13"/>
      <c r="AU14" s="15"/>
      <c r="AV14" s="13"/>
      <c r="AW14" s="15"/>
      <c r="AX14" s="13"/>
      <c r="AY14" s="15"/>
      <c r="AZ14" s="13"/>
      <c r="BA14" s="15"/>
      <c r="BB14" s="13"/>
      <c r="BC14" s="15"/>
      <c r="BD14" s="13"/>
      <c r="BE14" s="15"/>
      <c r="BF14" s="13"/>
      <c r="BG14" s="15"/>
      <c r="BH14" s="13"/>
      <c r="BI14" s="15"/>
      <c r="BJ14" s="13"/>
      <c r="BK14" s="15"/>
      <c r="BL14" s="13"/>
      <c r="BM14" s="15"/>
      <c r="BN14" s="13"/>
      <c r="BO14" s="15"/>
      <c r="BP14" s="13"/>
      <c r="BQ14" s="15"/>
      <c r="BR14" s="13"/>
      <c r="BS14" s="15"/>
      <c r="BT14" s="13"/>
      <c r="BU14" s="15"/>
      <c r="BV14" s="13"/>
      <c r="BW14" s="15"/>
      <c r="BX14" s="13"/>
      <c r="BY14" s="15"/>
      <c r="BZ14" s="13"/>
      <c r="CA14" s="15"/>
    </row>
    <row r="15" spans="1:79" ht="43.5" x14ac:dyDescent="0.35">
      <c r="A15" s="13" t="s">
        <v>80</v>
      </c>
      <c r="B15" s="13" t="s">
        <v>81</v>
      </c>
      <c r="C15" s="14">
        <v>43756.480555555558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86</v>
      </c>
      <c r="I15" s="15" t="s">
        <v>85</v>
      </c>
      <c r="J15" s="15" t="s">
        <v>87</v>
      </c>
      <c r="K15" s="15" t="s">
        <v>88</v>
      </c>
      <c r="L15" s="13" t="s">
        <v>125</v>
      </c>
      <c r="M15" s="15" t="s">
        <v>126</v>
      </c>
      <c r="N15" s="13" t="s">
        <v>127</v>
      </c>
      <c r="O15" s="15"/>
      <c r="P15" s="15"/>
      <c r="Q15" s="15" t="s">
        <v>163</v>
      </c>
      <c r="R15" s="13" t="s">
        <v>164</v>
      </c>
      <c r="S15" s="13" t="s">
        <v>162</v>
      </c>
      <c r="T15" s="13" t="s">
        <v>131</v>
      </c>
      <c r="U15" s="14">
        <v>40725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5"/>
      <c r="AX15" s="13"/>
      <c r="AY15" s="15"/>
      <c r="AZ15" s="13"/>
      <c r="BA15" s="15"/>
      <c r="BB15" s="13"/>
      <c r="BC15" s="15"/>
      <c r="BD15" s="13"/>
      <c r="BE15" s="15"/>
      <c r="BF15" s="13"/>
      <c r="BG15" s="15"/>
      <c r="BH15" s="13"/>
      <c r="BI15" s="15"/>
      <c r="BJ15" s="13"/>
      <c r="BK15" s="15"/>
      <c r="BL15" s="13"/>
      <c r="BM15" s="15"/>
      <c r="BN15" s="13"/>
      <c r="BO15" s="15"/>
      <c r="BP15" s="13"/>
      <c r="BQ15" s="15"/>
      <c r="BR15" s="13"/>
      <c r="BS15" s="15"/>
      <c r="BT15" s="13"/>
      <c r="BU15" s="15"/>
      <c r="BV15" s="13"/>
      <c r="BW15" s="15"/>
      <c r="BX15" s="13"/>
      <c r="BY15" s="15"/>
      <c r="BZ15" s="13"/>
      <c r="CA15" s="15"/>
    </row>
    <row r="16" spans="1:79" ht="43.5" x14ac:dyDescent="0.35">
      <c r="A16" s="13" t="s">
        <v>80</v>
      </c>
      <c r="B16" s="13" t="s">
        <v>81</v>
      </c>
      <c r="C16" s="14">
        <v>43756.686805555553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86</v>
      </c>
      <c r="I16" s="15" t="s">
        <v>85</v>
      </c>
      <c r="J16" s="15" t="s">
        <v>87</v>
      </c>
      <c r="K16" s="15" t="s">
        <v>88</v>
      </c>
      <c r="L16" s="13" t="s">
        <v>89</v>
      </c>
      <c r="M16" s="15" t="s">
        <v>90</v>
      </c>
      <c r="N16" s="13" t="s">
        <v>91</v>
      </c>
      <c r="O16" s="15"/>
      <c r="P16" s="15"/>
      <c r="Q16" s="15" t="s">
        <v>165</v>
      </c>
      <c r="R16" s="13" t="s">
        <v>166</v>
      </c>
      <c r="S16" s="13" t="s">
        <v>162</v>
      </c>
      <c r="T16" s="13" t="s">
        <v>131</v>
      </c>
      <c r="U16" s="14">
        <v>40725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5"/>
      <c r="AP16" s="13"/>
      <c r="AQ16" s="15"/>
      <c r="AR16" s="13"/>
      <c r="AS16" s="15"/>
      <c r="AT16" s="13"/>
      <c r="AU16" s="15"/>
      <c r="AV16" s="13"/>
      <c r="AW16" s="15"/>
      <c r="AX16" s="13"/>
      <c r="AY16" s="15"/>
      <c r="AZ16" s="13"/>
      <c r="BA16" s="15"/>
      <c r="BB16" s="13"/>
      <c r="BC16" s="15"/>
      <c r="BD16" s="13"/>
      <c r="BE16" s="15"/>
      <c r="BF16" s="13"/>
      <c r="BG16" s="15"/>
      <c r="BH16" s="13"/>
      <c r="BI16" s="15"/>
      <c r="BJ16" s="13"/>
      <c r="BK16" s="15"/>
      <c r="BL16" s="13"/>
      <c r="BM16" s="15"/>
      <c r="BN16" s="13"/>
      <c r="BO16" s="15"/>
      <c r="BP16" s="13"/>
      <c r="BQ16" s="15"/>
      <c r="BR16" s="13"/>
      <c r="BS16" s="15"/>
      <c r="BT16" s="13"/>
      <c r="BU16" s="15"/>
      <c r="BV16" s="13"/>
      <c r="BW16" s="15"/>
      <c r="BX16" s="13"/>
      <c r="BY16" s="15"/>
      <c r="BZ16" s="13"/>
      <c r="CA16" s="15"/>
    </row>
    <row r="17" spans="1:79" ht="43.5" x14ac:dyDescent="0.35">
      <c r="A17" s="13" t="s">
        <v>80</v>
      </c>
      <c r="B17" s="13" t="s">
        <v>81</v>
      </c>
      <c r="C17" s="14">
        <v>43756.479861111111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86</v>
      </c>
      <c r="I17" s="15" t="s">
        <v>85</v>
      </c>
      <c r="J17" s="15" t="s">
        <v>87</v>
      </c>
      <c r="K17" s="15" t="s">
        <v>88</v>
      </c>
      <c r="L17" s="13" t="s">
        <v>125</v>
      </c>
      <c r="M17" s="15" t="s">
        <v>126</v>
      </c>
      <c r="N17" s="13" t="s">
        <v>127</v>
      </c>
      <c r="O17" s="15"/>
      <c r="P17" s="15"/>
      <c r="Q17" s="15" t="s">
        <v>165</v>
      </c>
      <c r="R17" s="13" t="s">
        <v>166</v>
      </c>
      <c r="S17" s="13" t="s">
        <v>162</v>
      </c>
      <c r="T17" s="13" t="s">
        <v>131</v>
      </c>
      <c r="U17" s="14">
        <v>40725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5"/>
      <c r="AP17" s="13"/>
      <c r="AQ17" s="15"/>
      <c r="AR17" s="13"/>
      <c r="AS17" s="15"/>
      <c r="AT17" s="13"/>
      <c r="AU17" s="15"/>
      <c r="AV17" s="13"/>
      <c r="AW17" s="15"/>
      <c r="AX17" s="13"/>
      <c r="AY17" s="15"/>
      <c r="AZ17" s="13"/>
      <c r="BA17" s="15"/>
      <c r="BB17" s="13"/>
      <c r="BC17" s="15"/>
      <c r="BD17" s="13"/>
      <c r="BE17" s="15"/>
      <c r="BF17" s="13"/>
      <c r="BG17" s="15"/>
      <c r="BH17" s="13"/>
      <c r="BI17" s="15"/>
      <c r="BJ17" s="13"/>
      <c r="BK17" s="15"/>
      <c r="BL17" s="13"/>
      <c r="BM17" s="15"/>
      <c r="BN17" s="13"/>
      <c r="BO17" s="15"/>
      <c r="BP17" s="13"/>
      <c r="BQ17" s="15"/>
      <c r="BR17" s="13"/>
      <c r="BS17" s="15"/>
      <c r="BT17" s="13"/>
      <c r="BU17" s="15"/>
      <c r="BV17" s="13"/>
      <c r="BW17" s="15"/>
      <c r="BX17" s="13"/>
      <c r="BY17" s="15"/>
      <c r="BZ17" s="13"/>
      <c r="CA17" s="15"/>
    </row>
    <row r="18" spans="1:79" ht="43.5" x14ac:dyDescent="0.35">
      <c r="A18" s="13" t="s">
        <v>80</v>
      </c>
      <c r="B18" s="13" t="s">
        <v>81</v>
      </c>
      <c r="C18" s="14">
        <v>43756.686805555553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86</v>
      </c>
      <c r="I18" s="15" t="s">
        <v>85</v>
      </c>
      <c r="J18" s="15" t="s">
        <v>87</v>
      </c>
      <c r="K18" s="15" t="s">
        <v>88</v>
      </c>
      <c r="L18" s="13" t="s">
        <v>89</v>
      </c>
      <c r="M18" s="15" t="s">
        <v>90</v>
      </c>
      <c r="N18" s="13" t="s">
        <v>91</v>
      </c>
      <c r="O18" s="15"/>
      <c r="P18" s="15"/>
      <c r="Q18" s="15" t="s">
        <v>167</v>
      </c>
      <c r="R18" s="13" t="s">
        <v>168</v>
      </c>
      <c r="S18" s="13" t="s">
        <v>162</v>
      </c>
      <c r="T18" s="13" t="s">
        <v>131</v>
      </c>
      <c r="U18" s="14">
        <v>40725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5"/>
      <c r="AX18" s="13"/>
      <c r="AY18" s="15"/>
      <c r="AZ18" s="13"/>
      <c r="BA18" s="15"/>
      <c r="BB18" s="13"/>
      <c r="BC18" s="15"/>
      <c r="BD18" s="13"/>
      <c r="BE18" s="15"/>
      <c r="BF18" s="13"/>
      <c r="BG18" s="15"/>
      <c r="BH18" s="13"/>
      <c r="BI18" s="15"/>
      <c r="BJ18" s="13"/>
      <c r="BK18" s="15"/>
      <c r="BL18" s="13"/>
      <c r="BM18" s="15"/>
      <c r="BN18" s="13"/>
      <c r="BO18" s="15"/>
      <c r="BP18" s="13"/>
      <c r="BQ18" s="15"/>
      <c r="BR18" s="13"/>
      <c r="BS18" s="15"/>
      <c r="BT18" s="13"/>
      <c r="BU18" s="15"/>
      <c r="BV18" s="13"/>
      <c r="BW18" s="15"/>
      <c r="BX18" s="13"/>
      <c r="BY18" s="15"/>
      <c r="BZ18" s="13"/>
      <c r="CA18" s="15"/>
    </row>
    <row r="19" spans="1:79" ht="43.5" x14ac:dyDescent="0.35">
      <c r="A19" s="13" t="s">
        <v>80</v>
      </c>
      <c r="B19" s="13" t="s">
        <v>81</v>
      </c>
      <c r="C19" s="14">
        <v>43756.479861111111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86</v>
      </c>
      <c r="I19" s="15" t="s">
        <v>85</v>
      </c>
      <c r="J19" s="15" t="s">
        <v>87</v>
      </c>
      <c r="K19" s="15" t="s">
        <v>88</v>
      </c>
      <c r="L19" s="13" t="s">
        <v>125</v>
      </c>
      <c r="M19" s="15" t="s">
        <v>126</v>
      </c>
      <c r="N19" s="13" t="s">
        <v>127</v>
      </c>
      <c r="O19" s="15"/>
      <c r="P19" s="15"/>
      <c r="Q19" s="15" t="s">
        <v>167</v>
      </c>
      <c r="R19" s="13" t="s">
        <v>168</v>
      </c>
      <c r="S19" s="13" t="s">
        <v>162</v>
      </c>
      <c r="T19" s="13" t="s">
        <v>131</v>
      </c>
      <c r="U19" s="14">
        <v>40725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5"/>
      <c r="AX19" s="13"/>
      <c r="AY19" s="15"/>
      <c r="AZ19" s="13"/>
      <c r="BA19" s="15"/>
      <c r="BB19" s="13"/>
      <c r="BC19" s="15"/>
      <c r="BD19" s="13"/>
      <c r="BE19" s="15"/>
      <c r="BF19" s="13"/>
      <c r="BG19" s="15"/>
      <c r="BH19" s="13"/>
      <c r="BI19" s="15"/>
      <c r="BJ19" s="13"/>
      <c r="BK19" s="15"/>
      <c r="BL19" s="13"/>
      <c r="BM19" s="15"/>
      <c r="BN19" s="13"/>
      <c r="BO19" s="15"/>
      <c r="BP19" s="13"/>
      <c r="BQ19" s="15"/>
      <c r="BR19" s="13"/>
      <c r="BS19" s="15"/>
      <c r="BT19" s="13"/>
      <c r="BU19" s="15"/>
      <c r="BV19" s="13"/>
      <c r="BW19" s="15"/>
      <c r="BX19" s="13"/>
      <c r="BY19" s="15"/>
      <c r="BZ19" s="13"/>
      <c r="CA19" s="15"/>
    </row>
    <row r="20" spans="1:79" ht="130.5" x14ac:dyDescent="0.35">
      <c r="A20" s="13" t="s">
        <v>80</v>
      </c>
      <c r="B20" s="13" t="s">
        <v>81</v>
      </c>
      <c r="C20" s="14">
        <v>43756.686805555553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86</v>
      </c>
      <c r="I20" s="15" t="s">
        <v>85</v>
      </c>
      <c r="J20" s="15" t="s">
        <v>87</v>
      </c>
      <c r="K20" s="15" t="s">
        <v>88</v>
      </c>
      <c r="L20" s="13" t="s">
        <v>89</v>
      </c>
      <c r="M20" s="15" t="s">
        <v>90</v>
      </c>
      <c r="N20" s="13" t="s">
        <v>91</v>
      </c>
      <c r="O20" s="15"/>
      <c r="P20" s="15"/>
      <c r="Q20" s="15" t="s">
        <v>169</v>
      </c>
      <c r="R20" s="13" t="s">
        <v>170</v>
      </c>
      <c r="S20" s="13" t="s">
        <v>162</v>
      </c>
      <c r="T20" s="13" t="s">
        <v>95</v>
      </c>
      <c r="U20" s="14">
        <v>40725</v>
      </c>
      <c r="V20" s="14"/>
      <c r="W20" s="15" t="s">
        <v>171</v>
      </c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 t="s">
        <v>140</v>
      </c>
      <c r="BE20" s="15" t="str">
        <f>VLOOKUP(BD20,'Axe 2 Règles de gestion'!$D$2:$F$85,3, FALSE)</f>
        <v>La date de début du congé/absence doit être postérieure ou égale à la date de début du lien juridique.</v>
      </c>
      <c r="BF20" s="13" t="s">
        <v>109</v>
      </c>
      <c r="BG20" s="15" t="str">
        <f>VLOOKUP(BF20,'Axe 2 Règles de gestion'!$D$2:$F$85,3, FALSE)</f>
        <v>La date de début du congé/absence doit être antérieure ou égale à la date de fin réelle du congé/absence.</v>
      </c>
      <c r="BH20" s="13" t="s">
        <v>111</v>
      </c>
      <c r="BI20" s="15" t="str">
        <f>VLOOKUP(BH20,'Axe 2 Règles de gestion'!$D$2:$F$85,3, FALSE)</f>
        <v>La date de début du congé/absence doit être antérieure ou égale à la date de fin prévisionnelle du congé/absence.</v>
      </c>
      <c r="BJ20" s="13" t="s">
        <v>142</v>
      </c>
      <c r="BK20" s="15" t="str">
        <f>VLOOKUP(BJ20,'Axe 2 Règles de gestion'!$D$2:$F$85,3, FALSE)</f>
        <v>La date de fin réelle du congé/absence doit être antérieure ou égale à la date limite de fin réelle ou prévisionnelle du lien juridique.</v>
      </c>
      <c r="BL20" s="13" t="s">
        <v>144</v>
      </c>
      <c r="BM20" s="15" t="str">
        <f>VLOOKUP(BL20,'Axe 2 Règles de gestion'!$D$2:$F$85,3, FALSE)</f>
        <v>La date de fin prévisionnelle du congé/absence doit être antérieure ou égale à la date limite de fin réelle ou prévisionnelle du lien juridique.</v>
      </c>
      <c r="BN20" s="13" t="s">
        <v>113</v>
      </c>
      <c r="BO20" s="15" t="str">
        <f>VLOOKUP(BN20,'Axe 2 Règles de gestion'!$D$2:$F$85,3, FALSE)</f>
        <v>La date de fin réelle du congé/absence doit être antérieure à la date limite de départ à la retraite.</v>
      </c>
      <c r="BP20" s="13" t="s">
        <v>115</v>
      </c>
      <c r="BQ20" s="15" t="str">
        <f>VLOOKUP(BP20,'Axe 2 Règles de gestion'!$D$2:$F$85,3, FALSE)</f>
        <v>La date de fin prévisionnelle du congé/absence doit être antérieure à la date limite de départ à la retraite.</v>
      </c>
      <c r="BR20" s="13" t="s">
        <v>117</v>
      </c>
      <c r="BS20" s="15" t="str">
        <f>VLOOKUP(BR20,'Axe 2 Règles de gestion'!$D$2:$F$85,3, FALSE)</f>
        <v>La date de fin réelle ou la date de fin prévisionnelle du congé/absence doit être saisie.</v>
      </c>
      <c r="BT20" s="13" t="s">
        <v>119</v>
      </c>
      <c r="BU20" s="15" t="str">
        <f>VLOOKUP(BT20,'Axe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20" s="13" t="s">
        <v>121</v>
      </c>
      <c r="BW20" s="15" t="str">
        <f>VLOOKUP(BV20,'Axe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20" s="13" t="s">
        <v>123</v>
      </c>
      <c r="BY20" s="15" t="str">
        <f>VLOOKUP(BX20,'Axe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20" s="13"/>
      <c r="CA20" s="15"/>
    </row>
    <row r="21" spans="1:79" ht="130.5" x14ac:dyDescent="0.35">
      <c r="A21" s="13" t="s">
        <v>80</v>
      </c>
      <c r="B21" s="13" t="s">
        <v>81</v>
      </c>
      <c r="C21" s="14">
        <v>43756.479861111111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86</v>
      </c>
      <c r="I21" s="15" t="s">
        <v>85</v>
      </c>
      <c r="J21" s="15" t="s">
        <v>87</v>
      </c>
      <c r="K21" s="15" t="s">
        <v>88</v>
      </c>
      <c r="L21" s="13" t="s">
        <v>125</v>
      </c>
      <c r="M21" s="15" t="s">
        <v>126</v>
      </c>
      <c r="N21" s="13" t="s">
        <v>127</v>
      </c>
      <c r="O21" s="15"/>
      <c r="P21" s="15"/>
      <c r="Q21" s="15" t="s">
        <v>169</v>
      </c>
      <c r="R21" s="13" t="s">
        <v>170</v>
      </c>
      <c r="S21" s="13" t="s">
        <v>162</v>
      </c>
      <c r="T21" s="13" t="s">
        <v>95</v>
      </c>
      <c r="U21" s="14">
        <v>40725</v>
      </c>
      <c r="V21" s="14"/>
      <c r="W21" s="15" t="s">
        <v>159</v>
      </c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5"/>
      <c r="AX21" s="13"/>
      <c r="AY21" s="15"/>
      <c r="AZ21" s="13"/>
      <c r="BA21" s="15"/>
      <c r="BB21" s="13"/>
      <c r="BC21" s="15"/>
      <c r="BD21" s="13" t="s">
        <v>109</v>
      </c>
      <c r="BE21" s="15" t="str">
        <f>VLOOKUP(BD21,'Axe 2 Règles de gestion'!$D$2:$F$85,3, FALSE)</f>
        <v>La date de début du congé/absence doit être antérieure ou égale à la date de fin réelle du congé/absence.</v>
      </c>
      <c r="BF21" s="13" t="s">
        <v>111</v>
      </c>
      <c r="BG21" s="15" t="str">
        <f>VLOOKUP(BF21,'Axe 2 Règles de gestion'!$D$2:$F$85,3, FALSE)</f>
        <v>La date de début du congé/absence doit être antérieure ou égale à la date de fin prévisionnelle du congé/absence.</v>
      </c>
      <c r="BH21" s="13" t="s">
        <v>142</v>
      </c>
      <c r="BI21" s="15" t="str">
        <f>VLOOKUP(BH21,'Axe 2 Règles de gestion'!$D$2:$F$85,3, FALSE)</f>
        <v>La date de fin réelle du congé/absence doit être antérieure ou égale à la date limite de fin réelle ou prévisionnelle du lien juridique.</v>
      </c>
      <c r="BJ21" s="13" t="s">
        <v>144</v>
      </c>
      <c r="BK21" s="15" t="str">
        <f>VLOOKUP(BJ21,'Axe 2 Règles de gestion'!$D$2:$F$85,3, FALSE)</f>
        <v>La date de fin prévisionnelle du congé/absence doit être antérieure ou égale à la date limite de fin réelle ou prévisionnelle du lien juridique.</v>
      </c>
      <c r="BL21" s="13" t="s">
        <v>113</v>
      </c>
      <c r="BM21" s="15" t="str">
        <f>VLOOKUP(BL21,'Axe 2 Règles de gestion'!$D$2:$F$85,3, FALSE)</f>
        <v>La date de fin réelle du congé/absence doit être antérieure à la date limite de départ à la retraite.</v>
      </c>
      <c r="BN21" s="13" t="s">
        <v>115</v>
      </c>
      <c r="BO21" s="15" t="str">
        <f>VLOOKUP(BN21,'Axe 2 Règles de gestion'!$D$2:$F$85,3, FALSE)</f>
        <v>La date de fin prévisionnelle du congé/absence doit être antérieure à la date limite de départ à la retraite.</v>
      </c>
      <c r="BP21" s="13" t="s">
        <v>117</v>
      </c>
      <c r="BQ21" s="15" t="str">
        <f>VLOOKUP(BP21,'Axe 2 Règles de gestion'!$D$2:$F$85,3, FALSE)</f>
        <v>La date de fin réelle ou la date de fin prévisionnelle du congé/absence doit être saisie.</v>
      </c>
      <c r="BR21" s="13" t="s">
        <v>119</v>
      </c>
      <c r="BS21" s="15" t="str">
        <f>VLOOKUP(BR21,'Axe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T21" s="13" t="s">
        <v>121</v>
      </c>
      <c r="BU21" s="15" t="str">
        <f>VLOOKUP(BT21,'Axe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21" s="13" t="s">
        <v>123</v>
      </c>
      <c r="BW21" s="15" t="str">
        <f>VLOOKUP(BV21,'Axe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21" s="13"/>
      <c r="BY21" s="15"/>
      <c r="BZ21" s="13"/>
      <c r="CA21" s="15"/>
    </row>
    <row r="22" spans="1:79" ht="43.5" x14ac:dyDescent="0.35">
      <c r="A22" s="13" t="s">
        <v>80</v>
      </c>
      <c r="B22" s="13" t="s">
        <v>81</v>
      </c>
      <c r="C22" s="14">
        <v>43756.686805555553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86</v>
      </c>
      <c r="I22" s="15" t="s">
        <v>85</v>
      </c>
      <c r="J22" s="15" t="s">
        <v>87</v>
      </c>
      <c r="K22" s="15" t="s">
        <v>88</v>
      </c>
      <c r="L22" s="13" t="s">
        <v>89</v>
      </c>
      <c r="M22" s="15" t="s">
        <v>90</v>
      </c>
      <c r="N22" s="13" t="s">
        <v>91</v>
      </c>
      <c r="O22" s="15"/>
      <c r="P22" s="15"/>
      <c r="Q22" s="15" t="s">
        <v>172</v>
      </c>
      <c r="R22" s="13" t="s">
        <v>173</v>
      </c>
      <c r="S22" s="13" t="s">
        <v>162</v>
      </c>
      <c r="T22" s="13" t="s">
        <v>131</v>
      </c>
      <c r="U22" s="14">
        <v>40725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5"/>
      <c r="AP22" s="13"/>
      <c r="AQ22" s="15"/>
      <c r="AR22" s="13"/>
      <c r="AS22" s="15"/>
      <c r="AT22" s="13"/>
      <c r="AU22" s="15"/>
      <c r="AV22" s="13"/>
      <c r="AW22" s="15"/>
      <c r="AX22" s="13"/>
      <c r="AY22" s="15"/>
      <c r="AZ22" s="13"/>
      <c r="BA22" s="15"/>
      <c r="BB22" s="13"/>
      <c r="BC22" s="15"/>
      <c r="BD22" s="13"/>
      <c r="BE22" s="15"/>
      <c r="BF22" s="13"/>
      <c r="BG22" s="15"/>
      <c r="BH22" s="13"/>
      <c r="BI22" s="15"/>
      <c r="BJ22" s="13"/>
      <c r="BK22" s="15"/>
      <c r="BL22" s="13"/>
      <c r="BM22" s="15"/>
      <c r="BN22" s="13"/>
      <c r="BO22" s="15"/>
      <c r="BP22" s="13"/>
      <c r="BQ22" s="15"/>
      <c r="BR22" s="13"/>
      <c r="BS22" s="15"/>
      <c r="BT22" s="13"/>
      <c r="BU22" s="15"/>
      <c r="BV22" s="13"/>
      <c r="BW22" s="15"/>
      <c r="BX22" s="13"/>
      <c r="BY22" s="15"/>
      <c r="BZ22" s="13"/>
      <c r="CA22" s="15"/>
    </row>
    <row r="23" spans="1:79" ht="43.5" x14ac:dyDescent="0.35">
      <c r="A23" s="13" t="s">
        <v>80</v>
      </c>
      <c r="B23" s="13" t="s">
        <v>81</v>
      </c>
      <c r="C23" s="14">
        <v>43756.480555555558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86</v>
      </c>
      <c r="I23" s="15" t="s">
        <v>85</v>
      </c>
      <c r="J23" s="15" t="s">
        <v>87</v>
      </c>
      <c r="K23" s="15" t="s">
        <v>88</v>
      </c>
      <c r="L23" s="13" t="s">
        <v>125</v>
      </c>
      <c r="M23" s="15" t="s">
        <v>126</v>
      </c>
      <c r="N23" s="13" t="s">
        <v>127</v>
      </c>
      <c r="O23" s="15"/>
      <c r="P23" s="15"/>
      <c r="Q23" s="15" t="s">
        <v>172</v>
      </c>
      <c r="R23" s="13" t="s">
        <v>173</v>
      </c>
      <c r="S23" s="13" t="s">
        <v>162</v>
      </c>
      <c r="T23" s="13" t="s">
        <v>131</v>
      </c>
      <c r="U23" s="14">
        <v>40725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5"/>
      <c r="AX23" s="13"/>
      <c r="AY23" s="15"/>
      <c r="AZ23" s="13"/>
      <c r="BA23" s="15"/>
      <c r="BB23" s="13"/>
      <c r="BC23" s="15"/>
      <c r="BD23" s="13"/>
      <c r="BE23" s="15"/>
      <c r="BF23" s="13"/>
      <c r="BG23" s="15"/>
      <c r="BH23" s="13"/>
      <c r="BI23" s="15"/>
      <c r="BJ23" s="13"/>
      <c r="BK23" s="15"/>
      <c r="BL23" s="13"/>
      <c r="BM23" s="15"/>
      <c r="BN23" s="13"/>
      <c r="BO23" s="15"/>
      <c r="BP23" s="13"/>
      <c r="BQ23" s="15"/>
      <c r="BR23" s="13"/>
      <c r="BS23" s="15"/>
      <c r="BT23" s="13"/>
      <c r="BU23" s="15"/>
      <c r="BV23" s="13"/>
      <c r="BW23" s="15"/>
      <c r="BX23" s="13"/>
      <c r="BY23" s="15"/>
      <c r="BZ23" s="13"/>
      <c r="CA23" s="15"/>
    </row>
    <row r="24" spans="1:79" s="22" customFormat="1" ht="43.5" x14ac:dyDescent="0.35">
      <c r="A24" s="19" t="s">
        <v>147</v>
      </c>
      <c r="B24" s="19" t="s">
        <v>148</v>
      </c>
      <c r="C24" s="20">
        <v>45995.467361111114</v>
      </c>
      <c r="D24" s="19" t="s">
        <v>82</v>
      </c>
      <c r="E24" s="21" t="s">
        <v>83</v>
      </c>
      <c r="F24" s="19" t="s">
        <v>84</v>
      </c>
      <c r="G24" s="21" t="s">
        <v>85</v>
      </c>
      <c r="H24" s="19" t="s">
        <v>86</v>
      </c>
      <c r="I24" s="21" t="s">
        <v>85</v>
      </c>
      <c r="J24" s="21" t="s">
        <v>87</v>
      </c>
      <c r="K24" s="21" t="s">
        <v>88</v>
      </c>
      <c r="L24" s="19" t="s">
        <v>89</v>
      </c>
      <c r="M24" s="21" t="s">
        <v>90</v>
      </c>
      <c r="N24" s="19" t="s">
        <v>91</v>
      </c>
      <c r="O24" s="21"/>
      <c r="P24" s="21"/>
      <c r="Q24" s="21" t="s">
        <v>174</v>
      </c>
      <c r="R24" s="19" t="s">
        <v>175</v>
      </c>
      <c r="S24" s="19" t="s">
        <v>162</v>
      </c>
      <c r="T24" s="19" t="s">
        <v>131</v>
      </c>
      <c r="U24" s="20">
        <v>40725</v>
      </c>
      <c r="V24" s="20">
        <v>45900</v>
      </c>
      <c r="W24" s="21"/>
      <c r="X24" s="19"/>
      <c r="Y24" s="21"/>
      <c r="Z24" s="19"/>
      <c r="AA24" s="21"/>
      <c r="AB24" s="19"/>
      <c r="AC24" s="21"/>
      <c r="AD24" s="19"/>
      <c r="AE24" s="21"/>
      <c r="AF24" s="19"/>
      <c r="AG24" s="21"/>
      <c r="AH24" s="19"/>
      <c r="AI24" s="21"/>
      <c r="AJ24" s="19"/>
      <c r="AK24" s="21"/>
      <c r="AL24" s="19"/>
      <c r="AM24" s="21"/>
      <c r="AN24" s="19"/>
      <c r="AO24" s="21"/>
      <c r="AP24" s="19"/>
      <c r="AQ24" s="21"/>
      <c r="AR24" s="19"/>
      <c r="AS24" s="21"/>
      <c r="AT24" s="19"/>
      <c r="AU24" s="21"/>
      <c r="AV24" s="19"/>
      <c r="AW24" s="21"/>
      <c r="AX24" s="19"/>
      <c r="AY24" s="21"/>
      <c r="AZ24" s="19"/>
      <c r="BA24" s="21"/>
      <c r="BB24" s="19"/>
      <c r="BC24" s="21"/>
      <c r="BD24" s="19"/>
      <c r="BE24" s="21"/>
      <c r="BF24" s="19"/>
      <c r="BG24" s="21"/>
      <c r="BH24" s="19"/>
      <c r="BI24" s="21"/>
      <c r="BJ24" s="19"/>
      <c r="BK24" s="21"/>
      <c r="BL24" s="19"/>
      <c r="BM24" s="21"/>
      <c r="BN24" s="19"/>
      <c r="BO24" s="21"/>
      <c r="BP24" s="19"/>
      <c r="BQ24" s="21"/>
      <c r="BR24" s="19"/>
      <c r="BS24" s="21"/>
      <c r="BT24" s="19"/>
      <c r="BU24" s="21"/>
      <c r="BV24" s="19"/>
      <c r="BW24" s="21"/>
      <c r="BX24" s="19"/>
      <c r="BY24" s="21"/>
      <c r="BZ24" s="19" t="s">
        <v>176</v>
      </c>
      <c r="CA24" s="21"/>
    </row>
    <row r="25" spans="1:79" s="22" customFormat="1" ht="130.5" x14ac:dyDescent="0.35">
      <c r="A25" s="19" t="s">
        <v>147</v>
      </c>
      <c r="B25" s="19" t="s">
        <v>81</v>
      </c>
      <c r="C25" s="20">
        <v>45995.467361111114</v>
      </c>
      <c r="D25" s="19" t="s">
        <v>82</v>
      </c>
      <c r="E25" s="21" t="s">
        <v>83</v>
      </c>
      <c r="F25" s="19" t="s">
        <v>84</v>
      </c>
      <c r="G25" s="21" t="s">
        <v>85</v>
      </c>
      <c r="H25" s="19" t="s">
        <v>86</v>
      </c>
      <c r="I25" s="21" t="s">
        <v>85</v>
      </c>
      <c r="J25" s="21" t="s">
        <v>87</v>
      </c>
      <c r="K25" s="21" t="s">
        <v>88</v>
      </c>
      <c r="L25" s="19" t="s">
        <v>89</v>
      </c>
      <c r="M25" s="21" t="s">
        <v>90</v>
      </c>
      <c r="N25" s="19" t="s">
        <v>91</v>
      </c>
      <c r="O25" s="21"/>
      <c r="P25" s="21"/>
      <c r="Q25" s="21" t="s">
        <v>174</v>
      </c>
      <c r="R25" s="19" t="s">
        <v>175</v>
      </c>
      <c r="S25" s="19" t="s">
        <v>162</v>
      </c>
      <c r="T25" s="19" t="s">
        <v>95</v>
      </c>
      <c r="U25" s="20">
        <v>45901</v>
      </c>
      <c r="V25" s="20"/>
      <c r="W25" s="21" t="s">
        <v>177</v>
      </c>
      <c r="X25" s="19" t="s">
        <v>178</v>
      </c>
      <c r="Y25" s="21" t="str">
        <f>VLOOKUP(X25,'Axe 2 Règles de gestion'!$D$2:$F$85,3, FALSE)</f>
        <v>L'agent bénéficie des dispositions applicables aux agents ouvriers affiliés pour le congé pour bilan de compétences.</v>
      </c>
      <c r="Z25" s="19" t="s">
        <v>97</v>
      </c>
      <c r="AA25" s="21" t="str">
        <f>VLOOKUP(Z25,'Axe 2 Règles de gestion'!$D$2:$F$85,3, FALSE)</f>
        <v>Lorsqu'un agent a recours à un bilan de compétences, l'administration lui accorde un congé.</v>
      </c>
      <c r="AB25" s="19" t="s">
        <v>99</v>
      </c>
      <c r="AC25" s="21" t="str">
        <f>VLOOKUP(AB25,'Axe 2 Règles de gestion'!$D$2:$F$85,3, FALSE)</f>
        <v>Lorsque le bilan de compétences n'est pas pris en charge par l'administration, l'agent doit fournir un justificatif pour bénéficier du congé.</v>
      </c>
      <c r="AD25" s="19" t="s">
        <v>137</v>
      </c>
      <c r="AE25" s="21" t="str">
        <f>VLOOKUP(AD25,'Axe 2 Règles de gestion'!$D$2:$F$85,3, FALSE)</f>
        <v>Le congé ne peut excéder 24 heures de temps de service.</v>
      </c>
      <c r="AF25" s="19" t="s">
        <v>138</v>
      </c>
      <c r="AG25" s="21" t="str">
        <f>VLOOKUP(AF25,'Axe 2 Règles de gestion'!$D$2:$F$85,3, FALSE)</f>
        <v>Le congé peut être fractionné.</v>
      </c>
      <c r="AH25" s="19"/>
      <c r="AI25" s="21"/>
      <c r="AJ25" s="19"/>
      <c r="AK25" s="21"/>
      <c r="AL25" s="19"/>
      <c r="AM25" s="21"/>
      <c r="AN25" s="19"/>
      <c r="AO25" s="21"/>
      <c r="AP25" s="19"/>
      <c r="AQ25" s="21"/>
      <c r="AR25" s="19"/>
      <c r="AS25" s="21"/>
      <c r="AT25" s="19"/>
      <c r="AU25" s="21"/>
      <c r="AV25" s="19"/>
      <c r="AW25" s="21"/>
      <c r="AX25" s="19"/>
      <c r="AY25" s="21"/>
      <c r="AZ25" s="19" t="s">
        <v>139</v>
      </c>
      <c r="BA25" s="21" t="str">
        <f>VLOOKUP(AZ25,'Axe 2 Règles de gestion'!$D$2:$F$85,3, FALSE)</f>
        <v>L'agent doit être en position d'activité ou de congé parental.</v>
      </c>
      <c r="BB25" s="19"/>
      <c r="BC25" s="21"/>
      <c r="BD25" s="19" t="s">
        <v>140</v>
      </c>
      <c r="BE25" s="21" t="str">
        <f>VLOOKUP(BD25,'Axe 2 Règles de gestion'!$D$2:$F$85,3, FALSE)</f>
        <v>La date de début du congé/absence doit être postérieure ou égale à la date de début du lien juridique.</v>
      </c>
      <c r="BF25" s="19" t="s">
        <v>109</v>
      </c>
      <c r="BG25" s="21" t="str">
        <f>VLOOKUP(BF25,'Axe 2 Règles de gestion'!$D$2:$F$85,3, FALSE)</f>
        <v>La date de début du congé/absence doit être antérieure ou égale à la date de fin réelle du congé/absence.</v>
      </c>
      <c r="BH25" s="19" t="s">
        <v>111</v>
      </c>
      <c r="BI25" s="21" t="str">
        <f>VLOOKUP(BH25,'Axe 2 Règles de gestion'!$D$2:$F$85,3, FALSE)</f>
        <v>La date de début du congé/absence doit être antérieure ou égale à la date de fin prévisionnelle du congé/absence.</v>
      </c>
      <c r="BJ25" s="19" t="s">
        <v>142</v>
      </c>
      <c r="BK25" s="21" t="str">
        <f>VLOOKUP(BJ25,'Axe 2 Règles de gestion'!$D$2:$F$85,3, FALSE)</f>
        <v>La date de fin réelle du congé/absence doit être antérieure ou égale à la date limite de fin réelle ou prévisionnelle du lien juridique.</v>
      </c>
      <c r="BL25" s="19" t="s">
        <v>144</v>
      </c>
      <c r="BM25" s="21" t="str">
        <f>VLOOKUP(BL25,'Axe 2 Règles de gestion'!$D$2:$F$85,3, FALSE)</f>
        <v>La date de fin prévisionnelle du congé/absence doit être antérieure ou égale à la date limite de fin réelle ou prévisionnelle du lien juridique.</v>
      </c>
      <c r="BN25" s="19" t="s">
        <v>113</v>
      </c>
      <c r="BO25" s="21" t="str">
        <f>VLOOKUP(BN25,'Axe 2 Règles de gestion'!$D$2:$F$85,3, FALSE)</f>
        <v>La date de fin réelle du congé/absence doit être antérieure à la date limite de départ à la retraite.</v>
      </c>
      <c r="BP25" s="19" t="s">
        <v>115</v>
      </c>
      <c r="BQ25" s="21" t="str">
        <f>VLOOKUP(BP25,'Axe 2 Règles de gestion'!$D$2:$F$85,3, FALSE)</f>
        <v>La date de fin prévisionnelle du congé/absence doit être antérieure à la date limite de départ à la retraite.</v>
      </c>
      <c r="BR25" s="19" t="s">
        <v>117</v>
      </c>
      <c r="BS25" s="21" t="str">
        <f>VLOOKUP(BR25,'Axe 2 Règles de gestion'!$D$2:$F$85,3, FALSE)</f>
        <v>La date de fin réelle ou la date de fin prévisionnelle du congé/absence doit être saisie.</v>
      </c>
      <c r="BT25" s="19" t="s">
        <v>119</v>
      </c>
      <c r="BU25" s="21" t="str">
        <f>VLOOKUP(BT25,'Axe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25" s="19" t="s">
        <v>121</v>
      </c>
      <c r="BW25" s="21" t="str">
        <f>VLOOKUP(BV25,'Axe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25" s="19" t="s">
        <v>123</v>
      </c>
      <c r="BY25" s="21" t="str">
        <f>VLOOKUP(BX25,'Axe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25" s="19" t="s">
        <v>176</v>
      </c>
      <c r="CA25" s="21"/>
    </row>
    <row r="26" spans="1:79" s="22" customFormat="1" ht="43.5" x14ac:dyDescent="0.35">
      <c r="A26" s="19" t="s">
        <v>147</v>
      </c>
      <c r="B26" s="19" t="s">
        <v>148</v>
      </c>
      <c r="C26" s="20">
        <v>45995.468055555553</v>
      </c>
      <c r="D26" s="19" t="s">
        <v>82</v>
      </c>
      <c r="E26" s="21" t="s">
        <v>83</v>
      </c>
      <c r="F26" s="19" t="s">
        <v>84</v>
      </c>
      <c r="G26" s="21" t="s">
        <v>85</v>
      </c>
      <c r="H26" s="19" t="s">
        <v>86</v>
      </c>
      <c r="I26" s="21" t="s">
        <v>85</v>
      </c>
      <c r="J26" s="21" t="s">
        <v>87</v>
      </c>
      <c r="K26" s="21" t="s">
        <v>88</v>
      </c>
      <c r="L26" s="19" t="s">
        <v>125</v>
      </c>
      <c r="M26" s="21" t="s">
        <v>126</v>
      </c>
      <c r="N26" s="19" t="s">
        <v>127</v>
      </c>
      <c r="O26" s="21"/>
      <c r="P26" s="21"/>
      <c r="Q26" s="21" t="s">
        <v>174</v>
      </c>
      <c r="R26" s="19" t="s">
        <v>175</v>
      </c>
      <c r="S26" s="19" t="s">
        <v>162</v>
      </c>
      <c r="T26" s="19" t="s">
        <v>131</v>
      </c>
      <c r="U26" s="20">
        <v>40725</v>
      </c>
      <c r="V26" s="20">
        <v>45900</v>
      </c>
      <c r="W26" s="21"/>
      <c r="X26" s="19"/>
      <c r="Y26" s="21"/>
      <c r="Z26" s="19"/>
      <c r="AA26" s="21"/>
      <c r="AB26" s="19"/>
      <c r="AC26" s="21"/>
      <c r="AD26" s="19"/>
      <c r="AE26" s="21"/>
      <c r="AF26" s="19"/>
      <c r="AG26" s="21"/>
      <c r="AH26" s="19"/>
      <c r="AI26" s="21"/>
      <c r="AJ26" s="19"/>
      <c r="AK26" s="21"/>
      <c r="AL26" s="19"/>
      <c r="AM26" s="21"/>
      <c r="AN26" s="19"/>
      <c r="AO26" s="21"/>
      <c r="AP26" s="19"/>
      <c r="AQ26" s="21"/>
      <c r="AR26" s="19"/>
      <c r="AS26" s="21"/>
      <c r="AT26" s="19"/>
      <c r="AU26" s="21"/>
      <c r="AV26" s="19"/>
      <c r="AW26" s="21"/>
      <c r="AX26" s="19"/>
      <c r="AY26" s="21"/>
      <c r="AZ26" s="19"/>
      <c r="BA26" s="21"/>
      <c r="BB26" s="19"/>
      <c r="BC26" s="21"/>
      <c r="BD26" s="19"/>
      <c r="BE26" s="21"/>
      <c r="BF26" s="19"/>
      <c r="BG26" s="21"/>
      <c r="BH26" s="19"/>
      <c r="BI26" s="21"/>
      <c r="BJ26" s="19"/>
      <c r="BK26" s="21"/>
      <c r="BL26" s="19"/>
      <c r="BM26" s="21"/>
      <c r="BN26" s="19"/>
      <c r="BO26" s="21"/>
      <c r="BP26" s="19"/>
      <c r="BQ26" s="21"/>
      <c r="BR26" s="19"/>
      <c r="BS26" s="21"/>
      <c r="BT26" s="19"/>
      <c r="BU26" s="21"/>
      <c r="BV26" s="19"/>
      <c r="BW26" s="21"/>
      <c r="BX26" s="19"/>
      <c r="BY26" s="21"/>
      <c r="BZ26" s="19" t="s">
        <v>176</v>
      </c>
      <c r="CA26" s="21"/>
    </row>
    <row r="27" spans="1:79" s="22" customFormat="1" ht="130.5" x14ac:dyDescent="0.35">
      <c r="A27" s="19" t="s">
        <v>147</v>
      </c>
      <c r="B27" s="19" t="s">
        <v>81</v>
      </c>
      <c r="C27" s="20">
        <v>45995.468055555553</v>
      </c>
      <c r="D27" s="19" t="s">
        <v>82</v>
      </c>
      <c r="E27" s="21" t="s">
        <v>83</v>
      </c>
      <c r="F27" s="19" t="s">
        <v>84</v>
      </c>
      <c r="G27" s="21" t="s">
        <v>85</v>
      </c>
      <c r="H27" s="19" t="s">
        <v>86</v>
      </c>
      <c r="I27" s="21" t="s">
        <v>85</v>
      </c>
      <c r="J27" s="21" t="s">
        <v>87</v>
      </c>
      <c r="K27" s="21" t="s">
        <v>88</v>
      </c>
      <c r="L27" s="19" t="s">
        <v>125</v>
      </c>
      <c r="M27" s="21" t="s">
        <v>126</v>
      </c>
      <c r="N27" s="19" t="s">
        <v>127</v>
      </c>
      <c r="O27" s="21"/>
      <c r="P27" s="21"/>
      <c r="Q27" s="21" t="s">
        <v>174</v>
      </c>
      <c r="R27" s="19" t="s">
        <v>175</v>
      </c>
      <c r="S27" s="19" t="s">
        <v>162</v>
      </c>
      <c r="T27" s="19" t="s">
        <v>95</v>
      </c>
      <c r="U27" s="20">
        <v>45901</v>
      </c>
      <c r="V27" s="20"/>
      <c r="W27" s="21" t="s">
        <v>180</v>
      </c>
      <c r="X27" s="19" t="s">
        <v>178</v>
      </c>
      <c r="Y27" s="21" t="str">
        <f>VLOOKUP(X27,'Axe 2 Règles de gestion'!$D$2:$F$85,3, FALSE)</f>
        <v>L'agent bénéficie des dispositions applicables aux agents ouvriers affiliés pour le congé pour bilan de compétences.</v>
      </c>
      <c r="Z27" s="19"/>
      <c r="AA27" s="21"/>
      <c r="AB27" s="19"/>
      <c r="AC27" s="21"/>
      <c r="AD27" s="19"/>
      <c r="AE27" s="21"/>
      <c r="AF27" s="19"/>
      <c r="AG27" s="21"/>
      <c r="AH27" s="19"/>
      <c r="AI27" s="21"/>
      <c r="AJ27" s="19"/>
      <c r="AK27" s="21"/>
      <c r="AL27" s="19"/>
      <c r="AM27" s="21"/>
      <c r="AN27" s="19"/>
      <c r="AO27" s="21"/>
      <c r="AP27" s="19"/>
      <c r="AQ27" s="21"/>
      <c r="AR27" s="19"/>
      <c r="AS27" s="21"/>
      <c r="AT27" s="19"/>
      <c r="AU27" s="21"/>
      <c r="AV27" s="19"/>
      <c r="AW27" s="21"/>
      <c r="AX27" s="19"/>
      <c r="AY27" s="21"/>
      <c r="AZ27" s="19"/>
      <c r="BA27" s="21"/>
      <c r="BB27" s="19"/>
      <c r="BC27" s="21"/>
      <c r="BD27" s="19" t="s">
        <v>109</v>
      </c>
      <c r="BE27" s="21" t="str">
        <f>VLOOKUP(BD27,'Axe 2 Règles de gestion'!$D$2:$F$85,3, FALSE)</f>
        <v>La date de début du congé/absence doit être antérieure ou égale à la date de fin réelle du congé/absence.</v>
      </c>
      <c r="BF27" s="19" t="s">
        <v>111</v>
      </c>
      <c r="BG27" s="21" t="str">
        <f>VLOOKUP(BF27,'Axe 2 Règles de gestion'!$D$2:$F$85,3, FALSE)</f>
        <v>La date de début du congé/absence doit être antérieure ou égale à la date de fin prévisionnelle du congé/absence.</v>
      </c>
      <c r="BH27" s="19" t="s">
        <v>142</v>
      </c>
      <c r="BI27" s="21" t="str">
        <f>VLOOKUP(BH27,'Axe 2 Règles de gestion'!$D$2:$F$85,3, FALSE)</f>
        <v>La date de fin réelle du congé/absence doit être antérieure ou égale à la date limite de fin réelle ou prévisionnelle du lien juridique.</v>
      </c>
      <c r="BJ27" s="19" t="s">
        <v>144</v>
      </c>
      <c r="BK27" s="21" t="str">
        <f>VLOOKUP(BJ27,'Axe 2 Règles de gestion'!$D$2:$F$85,3, FALSE)</f>
        <v>La date de fin prévisionnelle du congé/absence doit être antérieure ou égale à la date limite de fin réelle ou prévisionnelle du lien juridique.</v>
      </c>
      <c r="BL27" s="19" t="s">
        <v>113</v>
      </c>
      <c r="BM27" s="21" t="str">
        <f>VLOOKUP(BL27,'Axe 2 Règles de gestion'!$D$2:$F$85,3, FALSE)</f>
        <v>La date de fin réelle du congé/absence doit être antérieure à la date limite de départ à la retraite.</v>
      </c>
      <c r="BN27" s="19" t="s">
        <v>115</v>
      </c>
      <c r="BO27" s="21" t="str">
        <f>VLOOKUP(BN27,'Axe 2 Règles de gestion'!$D$2:$F$85,3, FALSE)</f>
        <v>La date de fin prévisionnelle du congé/absence doit être antérieure à la date limite de départ à la retraite.</v>
      </c>
      <c r="BP27" s="19" t="s">
        <v>117</v>
      </c>
      <c r="BQ27" s="21" t="str">
        <f>VLOOKUP(BP27,'Axe 2 Règles de gestion'!$D$2:$F$85,3, FALSE)</f>
        <v>La date de fin réelle ou la date de fin prévisionnelle du congé/absence doit être saisie.</v>
      </c>
      <c r="BR27" s="19" t="s">
        <v>119</v>
      </c>
      <c r="BS27" s="21" t="str">
        <f>VLOOKUP(BR27,'Axe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T27" s="19" t="s">
        <v>121</v>
      </c>
      <c r="BU27" s="21" t="str">
        <f>VLOOKUP(BT27,'Axe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27" s="19" t="s">
        <v>123</v>
      </c>
      <c r="BW27" s="21" t="str">
        <f>VLOOKUP(BV27,'Axe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27" s="19"/>
      <c r="BY27" s="21"/>
      <c r="BZ27" s="19" t="s">
        <v>176</v>
      </c>
      <c r="CA27" s="21"/>
    </row>
    <row r="28" spans="1:79" ht="43.5" x14ac:dyDescent="0.35">
      <c r="A28" s="13" t="s">
        <v>80</v>
      </c>
      <c r="B28" s="13" t="s">
        <v>81</v>
      </c>
      <c r="C28" s="14">
        <v>43756.686805555553</v>
      </c>
      <c r="D28" s="13" t="s">
        <v>82</v>
      </c>
      <c r="E28" s="15" t="s">
        <v>83</v>
      </c>
      <c r="F28" s="13" t="s">
        <v>84</v>
      </c>
      <c r="G28" s="15" t="s">
        <v>85</v>
      </c>
      <c r="H28" s="13" t="s">
        <v>86</v>
      </c>
      <c r="I28" s="15" t="s">
        <v>85</v>
      </c>
      <c r="J28" s="15" t="s">
        <v>87</v>
      </c>
      <c r="K28" s="15" t="s">
        <v>88</v>
      </c>
      <c r="L28" s="13" t="s">
        <v>89</v>
      </c>
      <c r="M28" s="15" t="s">
        <v>90</v>
      </c>
      <c r="N28" s="13" t="s">
        <v>91</v>
      </c>
      <c r="O28" s="15"/>
      <c r="P28" s="15"/>
      <c r="Q28" s="15" t="s">
        <v>181</v>
      </c>
      <c r="R28" s="13" t="s">
        <v>182</v>
      </c>
      <c r="S28" s="13" t="s">
        <v>162</v>
      </c>
      <c r="T28" s="13" t="s">
        <v>131</v>
      </c>
      <c r="U28" s="14">
        <v>40725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5"/>
      <c r="AX28" s="13"/>
      <c r="AY28" s="15"/>
      <c r="AZ28" s="13"/>
      <c r="BA28" s="15"/>
      <c r="BB28" s="13"/>
      <c r="BC28" s="15"/>
      <c r="BD28" s="13"/>
      <c r="BE28" s="15"/>
      <c r="BF28" s="13"/>
      <c r="BG28" s="15"/>
      <c r="BH28" s="13"/>
      <c r="BI28" s="15"/>
      <c r="BJ28" s="13"/>
      <c r="BK28" s="15"/>
      <c r="BL28" s="13"/>
      <c r="BM28" s="15"/>
      <c r="BN28" s="13"/>
      <c r="BO28" s="15"/>
      <c r="BP28" s="13"/>
      <c r="BQ28" s="15"/>
      <c r="BR28" s="13"/>
      <c r="BS28" s="15"/>
      <c r="BT28" s="13"/>
      <c r="BU28" s="15"/>
      <c r="BV28" s="13"/>
      <c r="BW28" s="15"/>
      <c r="BX28" s="13"/>
      <c r="BY28" s="15"/>
      <c r="BZ28" s="13"/>
      <c r="CA28" s="15"/>
    </row>
    <row r="29" spans="1:79" ht="43.5" x14ac:dyDescent="0.35">
      <c r="A29" s="13" t="s">
        <v>80</v>
      </c>
      <c r="B29" s="13" t="s">
        <v>81</v>
      </c>
      <c r="C29" s="14">
        <v>43756.481249999997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86</v>
      </c>
      <c r="I29" s="15" t="s">
        <v>85</v>
      </c>
      <c r="J29" s="15" t="s">
        <v>87</v>
      </c>
      <c r="K29" s="15" t="s">
        <v>88</v>
      </c>
      <c r="L29" s="13" t="s">
        <v>125</v>
      </c>
      <c r="M29" s="15" t="s">
        <v>126</v>
      </c>
      <c r="N29" s="13" t="s">
        <v>127</v>
      </c>
      <c r="O29" s="15"/>
      <c r="P29" s="15"/>
      <c r="Q29" s="15" t="s">
        <v>181</v>
      </c>
      <c r="R29" s="13" t="s">
        <v>182</v>
      </c>
      <c r="S29" s="13" t="s">
        <v>162</v>
      </c>
      <c r="T29" s="13" t="s">
        <v>131</v>
      </c>
      <c r="U29" s="14">
        <v>40725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5"/>
      <c r="AX29" s="13"/>
      <c r="AY29" s="15"/>
      <c r="AZ29" s="13"/>
      <c r="BA29" s="15"/>
      <c r="BB29" s="13"/>
      <c r="BC29" s="15"/>
      <c r="BD29" s="13"/>
      <c r="BE29" s="15"/>
      <c r="BF29" s="13"/>
      <c r="BG29" s="15"/>
      <c r="BH29" s="13"/>
      <c r="BI29" s="15"/>
      <c r="BJ29" s="13"/>
      <c r="BK29" s="15"/>
      <c r="BL29" s="13"/>
      <c r="BM29" s="15"/>
      <c r="BN29" s="13"/>
      <c r="BO29" s="15"/>
      <c r="BP29" s="13"/>
      <c r="BQ29" s="15"/>
      <c r="BR29" s="13"/>
      <c r="BS29" s="15"/>
      <c r="BT29" s="13"/>
      <c r="BU29" s="15"/>
      <c r="BV29" s="13"/>
      <c r="BW29" s="15"/>
      <c r="BX29" s="13"/>
      <c r="BY29" s="15"/>
      <c r="BZ29" s="13"/>
      <c r="CA29" s="15"/>
    </row>
    <row r="30" spans="1:79" ht="130.5" x14ac:dyDescent="0.35">
      <c r="A30" s="13" t="s">
        <v>183</v>
      </c>
      <c r="B30" s="13" t="s">
        <v>81</v>
      </c>
      <c r="C30" s="14">
        <v>44959.53402777778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184</v>
      </c>
      <c r="I30" s="15" t="s">
        <v>185</v>
      </c>
      <c r="J30" s="15" t="s">
        <v>186</v>
      </c>
      <c r="K30" s="15" t="s">
        <v>187</v>
      </c>
      <c r="L30" s="13" t="s">
        <v>188</v>
      </c>
      <c r="M30" s="15" t="s">
        <v>189</v>
      </c>
      <c r="N30" s="13" t="s">
        <v>91</v>
      </c>
      <c r="O30" s="15"/>
      <c r="P30" s="15"/>
      <c r="Q30" s="15" t="s">
        <v>92</v>
      </c>
      <c r="R30" s="13" t="s">
        <v>93</v>
      </c>
      <c r="S30" s="13" t="s">
        <v>94</v>
      </c>
      <c r="T30" s="13" t="s">
        <v>95</v>
      </c>
      <c r="U30" s="14">
        <v>44767</v>
      </c>
      <c r="V30" s="14"/>
      <c r="W30" s="15" t="s">
        <v>190</v>
      </c>
      <c r="X30" s="13" t="s">
        <v>97</v>
      </c>
      <c r="Y30" s="15" t="str">
        <f>VLOOKUP(X30,'Axe 2 Règles de gestion'!$D$2:$F$85,3, FALSE)</f>
        <v>Lorsqu'un agent a recours à un bilan de compétences, l'administration lui accorde un congé.</v>
      </c>
      <c r="Z30" s="13" t="s">
        <v>99</v>
      </c>
      <c r="AA30" s="15" t="str">
        <f>VLOOKUP(Z30,'Axe 2 Règles de gestion'!$D$2:$F$85,3, FALSE)</f>
        <v>Lorsque le bilan de compétences n'est pas pris en charge par l'administration, l'agent doit fournir un justificatif pour bénéficier du congé.</v>
      </c>
      <c r="AB30" s="13" t="s">
        <v>191</v>
      </c>
      <c r="AC30" s="15" t="str">
        <f>VLOOKUP(AB30,'Axe 2 Règles de gestion'!$D$2:$F$85,3, FALSE)</f>
        <v>Le congé ne peut excéder 72 heures de temps de service.</v>
      </c>
      <c r="AD30" s="13" t="s">
        <v>103</v>
      </c>
      <c r="AE30" s="15" t="str">
        <f>VLOOKUP(AD30,'Axe 2 Règles de gestion'!$D$2:$F$85,3, FALSE)</f>
        <v>Le congé peut être fractionné.</v>
      </c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5"/>
      <c r="AX30" s="13"/>
      <c r="AY30" s="15"/>
      <c r="AZ30" s="13" t="s">
        <v>105</v>
      </c>
      <c r="BA30" s="15" t="str">
        <f>VLOOKUP(AZ30,'Axe 2 Règles de gestion'!$D$2:$F$85,3, FALSE)</f>
        <v>L'agent doit être en position d'activité ou de congé parental.</v>
      </c>
      <c r="BB30" s="13"/>
      <c r="BC30" s="15"/>
      <c r="BD30" s="13" t="s">
        <v>107</v>
      </c>
      <c r="BE30" s="15" t="str">
        <f>VLOOKUP(BD30,'Axe 2 Règles de gestion'!$D$2:$F$85,3, FALSE)</f>
        <v>La date de début du congé/absence doit être postérieure ou égale à la date de recrutement dans la FPE ou dans la carrière militaire.</v>
      </c>
      <c r="BF30" s="13" t="s">
        <v>109</v>
      </c>
      <c r="BG30" s="15" t="str">
        <f>VLOOKUP(BF30,'Axe 2 Règles de gestion'!$D$2:$F$85,3, FALSE)</f>
        <v>La date de début du congé/absence doit être antérieure ou égale à la date de fin réelle du congé/absence.</v>
      </c>
      <c r="BH30" s="13" t="s">
        <v>111</v>
      </c>
      <c r="BI30" s="15" t="str">
        <f>VLOOKUP(BH30,'Axe 2 Règles de gestion'!$D$2:$F$85,3, FALSE)</f>
        <v>La date de début du congé/absence doit être antérieure ou égale à la date de fin prévisionnelle du congé/absence.</v>
      </c>
      <c r="BJ30" s="13" t="s">
        <v>113</v>
      </c>
      <c r="BK30" s="15" t="str">
        <f>VLOOKUP(BJ30,'Axe 2 Règles de gestion'!$D$2:$F$85,3, FALSE)</f>
        <v>La date de fin réelle du congé/absence doit être antérieure à la date limite de départ à la retraite.</v>
      </c>
      <c r="BL30" s="13" t="s">
        <v>115</v>
      </c>
      <c r="BM30" s="15" t="str">
        <f>VLOOKUP(BL30,'Axe 2 Règles de gestion'!$D$2:$F$85,3, FALSE)</f>
        <v>La date de fin prévisionnelle du congé/absence doit être antérieure à la date limite de départ à la retraite.</v>
      </c>
      <c r="BN30" s="13" t="s">
        <v>117</v>
      </c>
      <c r="BO30" s="15" t="str">
        <f>VLOOKUP(BN30,'Axe 2 Règles de gestion'!$D$2:$F$85,3, FALSE)</f>
        <v>La date de fin réelle ou la date de fin prévisionnelle du congé/absence doit être saisie.</v>
      </c>
      <c r="BP30" s="13" t="s">
        <v>119</v>
      </c>
      <c r="BQ30" s="15" t="str">
        <f>VLOOKUP(BP30,'Axe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R30" s="13" t="s">
        <v>121</v>
      </c>
      <c r="BS30" s="15" t="str">
        <f>VLOOKUP(BR30,'Axe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30" s="13" t="s">
        <v>123</v>
      </c>
      <c r="BU30" s="15" t="str">
        <f>VLOOKUP(BT30,'Axe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30" s="13"/>
      <c r="BW30" s="15"/>
      <c r="BX30" s="13"/>
      <c r="BY30" s="15"/>
      <c r="BZ30" s="13"/>
      <c r="CA30" s="15"/>
    </row>
    <row r="31" spans="1:79" ht="130.5" x14ac:dyDescent="0.35">
      <c r="A31" s="13" t="s">
        <v>183</v>
      </c>
      <c r="B31" s="13" t="s">
        <v>81</v>
      </c>
      <c r="C31" s="14">
        <v>44959.474999999999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184</v>
      </c>
      <c r="I31" s="15" t="s">
        <v>185</v>
      </c>
      <c r="J31" s="15" t="s">
        <v>186</v>
      </c>
      <c r="K31" s="15" t="s">
        <v>187</v>
      </c>
      <c r="L31" s="13" t="s">
        <v>193</v>
      </c>
      <c r="M31" s="15" t="s">
        <v>194</v>
      </c>
      <c r="N31" s="13" t="s">
        <v>127</v>
      </c>
      <c r="O31" s="15"/>
      <c r="P31" s="15"/>
      <c r="Q31" s="15" t="s">
        <v>92</v>
      </c>
      <c r="R31" s="13" t="s">
        <v>93</v>
      </c>
      <c r="S31" s="13" t="s">
        <v>94</v>
      </c>
      <c r="T31" s="13" t="s">
        <v>95</v>
      </c>
      <c r="U31" s="14">
        <v>44767</v>
      </c>
      <c r="V31" s="14"/>
      <c r="W31" s="15" t="s">
        <v>128</v>
      </c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/>
      <c r="AQ31" s="15"/>
      <c r="AR31" s="13"/>
      <c r="AS31" s="15"/>
      <c r="AT31" s="13"/>
      <c r="AU31" s="15"/>
      <c r="AV31" s="13"/>
      <c r="AW31" s="15"/>
      <c r="AX31" s="13"/>
      <c r="AY31" s="15"/>
      <c r="AZ31" s="13"/>
      <c r="BA31" s="15"/>
      <c r="BB31" s="13"/>
      <c r="BC31" s="15"/>
      <c r="BD31" s="13" t="s">
        <v>109</v>
      </c>
      <c r="BE31" s="15" t="str">
        <f>VLOOKUP(BD31,'Axe 2 Règles de gestion'!$D$2:$F$85,3, FALSE)</f>
        <v>La date de début du congé/absence doit être antérieure ou égale à la date de fin réelle du congé/absence.</v>
      </c>
      <c r="BF31" s="13" t="s">
        <v>111</v>
      </c>
      <c r="BG31" s="15" t="str">
        <f>VLOOKUP(BF31,'Axe 2 Règles de gestion'!$D$2:$F$85,3, FALSE)</f>
        <v>La date de début du congé/absence doit être antérieure ou égale à la date de fin prévisionnelle du congé/absence.</v>
      </c>
      <c r="BH31" s="13" t="s">
        <v>113</v>
      </c>
      <c r="BI31" s="15" t="str">
        <f>VLOOKUP(BH31,'Axe 2 Règles de gestion'!$D$2:$F$85,3, FALSE)</f>
        <v>La date de fin réelle du congé/absence doit être antérieure à la date limite de départ à la retraite.</v>
      </c>
      <c r="BJ31" s="13" t="s">
        <v>115</v>
      </c>
      <c r="BK31" s="15" t="str">
        <f>VLOOKUP(BJ31,'Axe 2 Règles de gestion'!$D$2:$F$85,3, FALSE)</f>
        <v>La date de fin prévisionnelle du congé/absence doit être antérieure à la date limite de départ à la retraite.</v>
      </c>
      <c r="BL31" s="13" t="s">
        <v>117</v>
      </c>
      <c r="BM31" s="15" t="str">
        <f>VLOOKUP(BL31,'Axe 2 Règles de gestion'!$D$2:$F$85,3, FALSE)</f>
        <v>La date de fin réelle ou la date de fin prévisionnelle du congé/absence doit être saisie.</v>
      </c>
      <c r="BN31" s="13" t="s">
        <v>119</v>
      </c>
      <c r="BO31" s="15" t="str">
        <f>VLOOKUP(BN31,'Axe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P31" s="13" t="s">
        <v>121</v>
      </c>
      <c r="BQ31" s="15" t="str">
        <f>VLOOKUP(BP31,'Axe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R31" s="13" t="s">
        <v>123</v>
      </c>
      <c r="BS31" s="15" t="str">
        <f>VLOOKUP(BR31,'Axe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T31" s="13"/>
      <c r="BU31" s="15"/>
      <c r="BV31" s="13"/>
      <c r="BW31" s="15"/>
      <c r="BX31" s="13"/>
      <c r="BY31" s="15"/>
      <c r="BZ31" s="13"/>
      <c r="CA31" s="15"/>
    </row>
    <row r="32" spans="1:79" ht="43.5" x14ac:dyDescent="0.35">
      <c r="A32" s="13" t="s">
        <v>183</v>
      </c>
      <c r="B32" s="13" t="s">
        <v>81</v>
      </c>
      <c r="C32" s="14">
        <v>44959.499305555553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184</v>
      </c>
      <c r="I32" s="15" t="s">
        <v>185</v>
      </c>
      <c r="J32" s="15" t="s">
        <v>186</v>
      </c>
      <c r="K32" s="15" t="s">
        <v>187</v>
      </c>
      <c r="L32" s="13" t="s">
        <v>188</v>
      </c>
      <c r="M32" s="15" t="s">
        <v>189</v>
      </c>
      <c r="N32" s="13" t="s">
        <v>91</v>
      </c>
      <c r="O32" s="15"/>
      <c r="P32" s="15"/>
      <c r="Q32" s="15" t="s">
        <v>129</v>
      </c>
      <c r="R32" s="13" t="s">
        <v>130</v>
      </c>
      <c r="S32" s="13" t="s">
        <v>94</v>
      </c>
      <c r="T32" s="13" t="s">
        <v>131</v>
      </c>
      <c r="U32" s="14">
        <v>44767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5"/>
      <c r="AP32" s="13"/>
      <c r="AQ32" s="15"/>
      <c r="AR32" s="13"/>
      <c r="AS32" s="15"/>
      <c r="AT32" s="13"/>
      <c r="AU32" s="15"/>
      <c r="AV32" s="13"/>
      <c r="AW32" s="15"/>
      <c r="AX32" s="13"/>
      <c r="AY32" s="15"/>
      <c r="AZ32" s="13"/>
      <c r="BA32" s="15"/>
      <c r="BB32" s="13"/>
      <c r="BC32" s="15"/>
      <c r="BD32" s="13"/>
      <c r="BE32" s="15"/>
      <c r="BF32" s="13"/>
      <c r="BG32" s="15"/>
      <c r="BH32" s="13"/>
      <c r="BI32" s="15"/>
      <c r="BJ32" s="13"/>
      <c r="BK32" s="15"/>
      <c r="BL32" s="13"/>
      <c r="BM32" s="15"/>
      <c r="BN32" s="13"/>
      <c r="BO32" s="15"/>
      <c r="BP32" s="13"/>
      <c r="BQ32" s="15"/>
      <c r="BR32" s="13"/>
      <c r="BS32" s="15"/>
      <c r="BT32" s="13"/>
      <c r="BU32" s="15"/>
      <c r="BV32" s="13"/>
      <c r="BW32" s="15"/>
      <c r="BX32" s="13"/>
      <c r="BY32" s="15"/>
      <c r="BZ32" s="13"/>
      <c r="CA32" s="15"/>
    </row>
    <row r="33" spans="1:79" ht="43.5" x14ac:dyDescent="0.35">
      <c r="A33" s="13" t="s">
        <v>183</v>
      </c>
      <c r="B33" s="13" t="s">
        <v>81</v>
      </c>
      <c r="C33" s="14">
        <v>44959.498611111114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184</v>
      </c>
      <c r="I33" s="15" t="s">
        <v>185</v>
      </c>
      <c r="J33" s="15" t="s">
        <v>186</v>
      </c>
      <c r="K33" s="15" t="s">
        <v>187</v>
      </c>
      <c r="L33" s="13" t="s">
        <v>193</v>
      </c>
      <c r="M33" s="15" t="s">
        <v>194</v>
      </c>
      <c r="N33" s="13" t="s">
        <v>127</v>
      </c>
      <c r="O33" s="15"/>
      <c r="P33" s="15"/>
      <c r="Q33" s="15" t="s">
        <v>129</v>
      </c>
      <c r="R33" s="13" t="s">
        <v>130</v>
      </c>
      <c r="S33" s="13" t="s">
        <v>94</v>
      </c>
      <c r="T33" s="13" t="s">
        <v>131</v>
      </c>
      <c r="U33" s="14">
        <v>44767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/>
      <c r="AQ33" s="15"/>
      <c r="AR33" s="13"/>
      <c r="AS33" s="15"/>
      <c r="AT33" s="13"/>
      <c r="AU33" s="15"/>
      <c r="AV33" s="13"/>
      <c r="AW33" s="15"/>
      <c r="AX33" s="13"/>
      <c r="AY33" s="15"/>
      <c r="AZ33" s="13"/>
      <c r="BA33" s="15"/>
      <c r="BB33" s="13"/>
      <c r="BC33" s="15"/>
      <c r="BD33" s="13"/>
      <c r="BE33" s="15"/>
      <c r="BF33" s="13"/>
      <c r="BG33" s="15"/>
      <c r="BH33" s="13"/>
      <c r="BI33" s="15"/>
      <c r="BJ33" s="13"/>
      <c r="BK33" s="15"/>
      <c r="BL33" s="13"/>
      <c r="BM33" s="15"/>
      <c r="BN33" s="13"/>
      <c r="BO33" s="15"/>
      <c r="BP33" s="13"/>
      <c r="BQ33" s="15"/>
      <c r="BR33" s="13"/>
      <c r="BS33" s="15"/>
      <c r="BT33" s="13"/>
      <c r="BU33" s="15"/>
      <c r="BV33" s="13"/>
      <c r="BW33" s="15"/>
      <c r="BX33" s="13"/>
      <c r="BY33" s="15"/>
      <c r="BZ33" s="13"/>
      <c r="CA33" s="15"/>
    </row>
    <row r="34" spans="1:79" ht="130.5" x14ac:dyDescent="0.35">
      <c r="A34" s="13" t="s">
        <v>183</v>
      </c>
      <c r="B34" s="13" t="s">
        <v>81</v>
      </c>
      <c r="C34" s="14">
        <v>44959.53402777778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184</v>
      </c>
      <c r="I34" s="15" t="s">
        <v>185</v>
      </c>
      <c r="J34" s="15" t="s">
        <v>186</v>
      </c>
      <c r="K34" s="15" t="s">
        <v>187</v>
      </c>
      <c r="L34" s="13" t="s">
        <v>188</v>
      </c>
      <c r="M34" s="15" t="s">
        <v>189</v>
      </c>
      <c r="N34" s="13" t="s">
        <v>91</v>
      </c>
      <c r="O34" s="15"/>
      <c r="P34" s="15"/>
      <c r="Q34" s="15" t="s">
        <v>132</v>
      </c>
      <c r="R34" s="13" t="s">
        <v>133</v>
      </c>
      <c r="S34" s="13" t="s">
        <v>94</v>
      </c>
      <c r="T34" s="13" t="s">
        <v>95</v>
      </c>
      <c r="U34" s="14">
        <v>44767</v>
      </c>
      <c r="V34" s="14"/>
      <c r="W34" s="15" t="s">
        <v>195</v>
      </c>
      <c r="X34" s="13" t="s">
        <v>135</v>
      </c>
      <c r="Y34" s="15" t="str">
        <f>VLOOKUP(X34,'Axe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34" s="13" t="s">
        <v>97</v>
      </c>
      <c r="AA34" s="15" t="str">
        <f>VLOOKUP(Z34,'Axe 2 Règles de gestion'!$D$2:$F$85,3, FALSE)</f>
        <v>Lorsqu'un agent a recours à un bilan de compétences, l'administration lui accorde un congé.</v>
      </c>
      <c r="AB34" s="13" t="s">
        <v>99</v>
      </c>
      <c r="AC34" s="15" t="str">
        <f>VLOOKUP(AB34,'Axe 2 Règles de gestion'!$D$2:$F$85,3, FALSE)</f>
        <v>Lorsque le bilan de compétences n'est pas pris en charge par l'administration, l'agent doit fournir un justificatif pour bénéficier du congé.</v>
      </c>
      <c r="AD34" s="13" t="s">
        <v>196</v>
      </c>
      <c r="AE34" s="15" t="str">
        <f>VLOOKUP(AD34,'Axe 2 Règles de gestion'!$D$2:$F$85,3, FALSE)</f>
        <v>Le congé ne peut excéder 72 heures de temps de service.</v>
      </c>
      <c r="AF34" s="13" t="s">
        <v>138</v>
      </c>
      <c r="AG34" s="15" t="str">
        <f>VLOOKUP(AF34,'Axe 2 Règles de gestion'!$D$2:$F$85,3, FALSE)</f>
        <v>Le congé peut être fractionné.</v>
      </c>
      <c r="AH34" s="13"/>
      <c r="AI34" s="15"/>
      <c r="AJ34" s="13"/>
      <c r="AK34" s="15"/>
      <c r="AL34" s="13"/>
      <c r="AM34" s="15"/>
      <c r="AN34" s="13"/>
      <c r="AO34" s="15"/>
      <c r="AP34" s="13"/>
      <c r="AQ34" s="15"/>
      <c r="AR34" s="13"/>
      <c r="AS34" s="15"/>
      <c r="AT34" s="13"/>
      <c r="AU34" s="15"/>
      <c r="AV34" s="13"/>
      <c r="AW34" s="15"/>
      <c r="AX34" s="13"/>
      <c r="AY34" s="15"/>
      <c r="AZ34" s="13" t="s">
        <v>139</v>
      </c>
      <c r="BA34" s="15" t="str">
        <f>VLOOKUP(AZ34,'Axe 2 Règles de gestion'!$D$2:$F$85,3, FALSE)</f>
        <v>L'agent doit être en position d'activité ou de congé parental.</v>
      </c>
      <c r="BB34" s="13"/>
      <c r="BC34" s="15"/>
      <c r="BD34" s="13" t="s">
        <v>140</v>
      </c>
      <c r="BE34" s="15" t="str">
        <f>VLOOKUP(BD34,'Axe 2 Règles de gestion'!$D$2:$F$85,3, FALSE)</f>
        <v>La date de début du congé/absence doit être postérieure ou égale à la date de début du lien juridique.</v>
      </c>
      <c r="BF34" s="13" t="s">
        <v>109</v>
      </c>
      <c r="BG34" s="15" t="str">
        <f>VLOOKUP(BF34,'Axe 2 Règles de gestion'!$D$2:$F$85,3, FALSE)</f>
        <v>La date de début du congé/absence doit être antérieure ou égale à la date de fin réelle du congé/absence.</v>
      </c>
      <c r="BH34" s="13" t="s">
        <v>111</v>
      </c>
      <c r="BI34" s="15" t="str">
        <f>VLOOKUP(BH34,'Axe 2 Règles de gestion'!$D$2:$F$85,3, FALSE)</f>
        <v>La date de début du congé/absence doit être antérieure ou égale à la date de fin prévisionnelle du congé/absence.</v>
      </c>
      <c r="BJ34" s="13" t="s">
        <v>142</v>
      </c>
      <c r="BK34" s="15" t="str">
        <f>VLOOKUP(BJ34,'Axe 2 Règles de gestion'!$D$2:$F$85,3, FALSE)</f>
        <v>La date de fin réelle du congé/absence doit être antérieure ou égale à la date limite de fin réelle ou prévisionnelle du lien juridique.</v>
      </c>
      <c r="BL34" s="13" t="s">
        <v>144</v>
      </c>
      <c r="BM34" s="15" t="str">
        <f>VLOOKUP(BL34,'Axe 2 Règles de gestion'!$D$2:$F$85,3, FALSE)</f>
        <v>La date de fin prévisionnelle du congé/absence doit être antérieure ou égale à la date limite de fin réelle ou prévisionnelle du lien juridique.</v>
      </c>
      <c r="BN34" s="13" t="s">
        <v>113</v>
      </c>
      <c r="BO34" s="15" t="str">
        <f>VLOOKUP(BN34,'Axe 2 Règles de gestion'!$D$2:$F$85,3, FALSE)</f>
        <v>La date de fin réelle du congé/absence doit être antérieure à la date limite de départ à la retraite.</v>
      </c>
      <c r="BP34" s="13" t="s">
        <v>115</v>
      </c>
      <c r="BQ34" s="15" t="str">
        <f>VLOOKUP(BP34,'Axe 2 Règles de gestion'!$D$2:$F$85,3, FALSE)</f>
        <v>La date de fin prévisionnelle du congé/absence doit être antérieure à la date limite de départ à la retraite.</v>
      </c>
      <c r="BR34" s="13" t="s">
        <v>117</v>
      </c>
      <c r="BS34" s="15" t="str">
        <f>VLOOKUP(BR34,'Axe 2 Règles de gestion'!$D$2:$F$85,3, FALSE)</f>
        <v>La date de fin réelle ou la date de fin prévisionnelle du congé/absence doit être saisie.</v>
      </c>
      <c r="BT34" s="13" t="s">
        <v>119</v>
      </c>
      <c r="BU34" s="15" t="str">
        <f>VLOOKUP(BT34,'Axe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34" s="13" t="s">
        <v>121</v>
      </c>
      <c r="BW34" s="15" t="str">
        <f>VLOOKUP(BV34,'Axe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34" s="13" t="s">
        <v>123</v>
      </c>
      <c r="BY34" s="15" t="str">
        <f>VLOOKUP(BX34,'Axe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34" s="13"/>
      <c r="CA34" s="15"/>
    </row>
    <row r="35" spans="1:79" ht="130.5" x14ac:dyDescent="0.35">
      <c r="A35" s="13" t="s">
        <v>183</v>
      </c>
      <c r="B35" s="13" t="s">
        <v>81</v>
      </c>
      <c r="C35" s="14">
        <v>44959.476388888892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184</v>
      </c>
      <c r="I35" s="15" t="s">
        <v>185</v>
      </c>
      <c r="J35" s="15" t="s">
        <v>186</v>
      </c>
      <c r="K35" s="15" t="s">
        <v>187</v>
      </c>
      <c r="L35" s="13" t="s">
        <v>193</v>
      </c>
      <c r="M35" s="15" t="s">
        <v>194</v>
      </c>
      <c r="N35" s="13" t="s">
        <v>127</v>
      </c>
      <c r="O35" s="15"/>
      <c r="P35" s="15"/>
      <c r="Q35" s="15" t="s">
        <v>132</v>
      </c>
      <c r="R35" s="13" t="s">
        <v>133</v>
      </c>
      <c r="S35" s="13" t="s">
        <v>94</v>
      </c>
      <c r="T35" s="13" t="s">
        <v>95</v>
      </c>
      <c r="U35" s="14">
        <v>44767</v>
      </c>
      <c r="V35" s="14"/>
      <c r="W35" s="15" t="s">
        <v>146</v>
      </c>
      <c r="X35" s="13" t="s">
        <v>135</v>
      </c>
      <c r="Y35" s="15" t="str">
        <f>VLOOKUP(X35,'Axe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5"/>
      <c r="AP35" s="13"/>
      <c r="AQ35" s="15"/>
      <c r="AR35" s="13"/>
      <c r="AS35" s="15"/>
      <c r="AT35" s="13"/>
      <c r="AU35" s="15"/>
      <c r="AV35" s="13"/>
      <c r="AW35" s="15"/>
      <c r="AX35" s="13"/>
      <c r="AY35" s="15"/>
      <c r="AZ35" s="13"/>
      <c r="BA35" s="15"/>
      <c r="BB35" s="13"/>
      <c r="BC35" s="15"/>
      <c r="BD35" s="13" t="s">
        <v>109</v>
      </c>
      <c r="BE35" s="15" t="str">
        <f>VLOOKUP(BD35,'Axe 2 Règles de gestion'!$D$2:$F$85,3, FALSE)</f>
        <v>La date de début du congé/absence doit être antérieure ou égale à la date de fin réelle du congé/absence.</v>
      </c>
      <c r="BF35" s="13" t="s">
        <v>111</v>
      </c>
      <c r="BG35" s="15" t="str">
        <f>VLOOKUP(BF35,'Axe 2 Règles de gestion'!$D$2:$F$85,3, FALSE)</f>
        <v>La date de début du congé/absence doit être antérieure ou égale à la date de fin prévisionnelle du congé/absence.</v>
      </c>
      <c r="BH35" s="13" t="s">
        <v>142</v>
      </c>
      <c r="BI35" s="15" t="str">
        <f>VLOOKUP(BH35,'Axe 2 Règles de gestion'!$D$2:$F$85,3, FALSE)</f>
        <v>La date de fin réelle du congé/absence doit être antérieure ou égale à la date limite de fin réelle ou prévisionnelle du lien juridique.</v>
      </c>
      <c r="BJ35" s="13" t="s">
        <v>144</v>
      </c>
      <c r="BK35" s="15" t="str">
        <f>VLOOKUP(BJ35,'Axe 2 Règles de gestion'!$D$2:$F$85,3, FALSE)</f>
        <v>La date de fin prévisionnelle du congé/absence doit être antérieure ou égale à la date limite de fin réelle ou prévisionnelle du lien juridique.</v>
      </c>
      <c r="BL35" s="13" t="s">
        <v>113</v>
      </c>
      <c r="BM35" s="15" t="str">
        <f>VLOOKUP(BL35,'Axe 2 Règles de gestion'!$D$2:$F$85,3, FALSE)</f>
        <v>La date de fin réelle du congé/absence doit être antérieure à la date limite de départ à la retraite.</v>
      </c>
      <c r="BN35" s="13" t="s">
        <v>115</v>
      </c>
      <c r="BO35" s="15" t="str">
        <f>VLOOKUP(BN35,'Axe 2 Règles de gestion'!$D$2:$F$85,3, FALSE)</f>
        <v>La date de fin prévisionnelle du congé/absence doit être antérieure à la date limite de départ à la retraite.</v>
      </c>
      <c r="BP35" s="13" t="s">
        <v>117</v>
      </c>
      <c r="BQ35" s="15" t="str">
        <f>VLOOKUP(BP35,'Axe 2 Règles de gestion'!$D$2:$F$85,3, FALSE)</f>
        <v>La date de fin réelle ou la date de fin prévisionnelle du congé/absence doit être saisie.</v>
      </c>
      <c r="BR35" s="13" t="s">
        <v>119</v>
      </c>
      <c r="BS35" s="15" t="str">
        <f>VLOOKUP(BR35,'Axe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T35" s="13" t="s">
        <v>121</v>
      </c>
      <c r="BU35" s="15" t="str">
        <f>VLOOKUP(BT35,'Axe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35" s="13" t="s">
        <v>123</v>
      </c>
      <c r="BW35" s="15" t="str">
        <f>VLOOKUP(BV35,'Axe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35" s="13"/>
      <c r="BY35" s="15"/>
      <c r="BZ35" s="13"/>
      <c r="CA35" s="15"/>
    </row>
    <row r="36" spans="1:79" s="22" customFormat="1" ht="130.5" x14ac:dyDescent="0.35">
      <c r="A36" s="19" t="s">
        <v>147</v>
      </c>
      <c r="B36" s="19" t="s">
        <v>148</v>
      </c>
      <c r="C36" s="20">
        <v>45973.649305555555</v>
      </c>
      <c r="D36" s="19" t="s">
        <v>82</v>
      </c>
      <c r="E36" s="21" t="s">
        <v>83</v>
      </c>
      <c r="F36" s="19" t="s">
        <v>84</v>
      </c>
      <c r="G36" s="21" t="s">
        <v>85</v>
      </c>
      <c r="H36" s="19" t="s">
        <v>184</v>
      </c>
      <c r="I36" s="21" t="s">
        <v>185</v>
      </c>
      <c r="J36" s="21" t="s">
        <v>186</v>
      </c>
      <c r="K36" s="21" t="s">
        <v>187</v>
      </c>
      <c r="L36" s="19" t="s">
        <v>188</v>
      </c>
      <c r="M36" s="21" t="s">
        <v>189</v>
      </c>
      <c r="N36" s="19" t="s">
        <v>91</v>
      </c>
      <c r="O36" s="21"/>
      <c r="P36" s="21"/>
      <c r="Q36" s="21" t="s">
        <v>149</v>
      </c>
      <c r="R36" s="19" t="s">
        <v>150</v>
      </c>
      <c r="S36" s="19" t="s">
        <v>94</v>
      </c>
      <c r="T36" s="19" t="s">
        <v>95</v>
      </c>
      <c r="U36" s="20">
        <v>44767</v>
      </c>
      <c r="V36" s="20"/>
      <c r="W36" s="21" t="s">
        <v>197</v>
      </c>
      <c r="X36" s="19" t="s">
        <v>198</v>
      </c>
      <c r="Y36" s="21" t="str">
        <f>VLOOKUP(X36,'Axe 2 Règles de gestion'!$D$2:$F$85,3, FALSE)</f>
        <v>L'agent bénéficie des dispositions applicables aux agents titulaires pour le congé pour bilan de compétences aménagé, sauf dispositions particulières.</v>
      </c>
      <c r="Z36" s="19" t="s">
        <v>97</v>
      </c>
      <c r="AA36" s="21" t="str">
        <f>VLOOKUP(Z36,'Axe 2 Règles de gestion'!$D$2:$F$85,3, FALSE)</f>
        <v>Lorsqu'un agent a recours à un bilan de compétences, l'administration lui accorde un congé.</v>
      </c>
      <c r="AB36" s="19" t="s">
        <v>99</v>
      </c>
      <c r="AC36" s="21" t="str">
        <f>VLOOKUP(AB36,'Axe 2 Règles de gestion'!$D$2:$F$85,3, FALSE)</f>
        <v>Lorsque le bilan de compétences n'est pas pris en charge par l'administration, l'agent doit fournir un justificatif pour bénéficier du congé.</v>
      </c>
      <c r="AD36" s="19" t="s">
        <v>196</v>
      </c>
      <c r="AE36" s="21" t="str">
        <f>VLOOKUP(AD36,'Axe 2 Règles de gestion'!$D$2:$F$85,3, FALSE)</f>
        <v>Le congé ne peut excéder 72 heures de temps de service.</v>
      </c>
      <c r="AF36" s="19" t="s">
        <v>103</v>
      </c>
      <c r="AG36" s="21" t="str">
        <f>VLOOKUP(AF36,'Axe 2 Règles de gestion'!$D$2:$F$85,3, FALSE)</f>
        <v>Le congé peut être fractionné.</v>
      </c>
      <c r="AH36" s="19"/>
      <c r="AI36" s="21"/>
      <c r="AJ36" s="19"/>
      <c r="AK36" s="21"/>
      <c r="AL36" s="19"/>
      <c r="AM36" s="21"/>
      <c r="AN36" s="19"/>
      <c r="AO36" s="21"/>
      <c r="AP36" s="19"/>
      <c r="AQ36" s="21"/>
      <c r="AR36" s="19"/>
      <c r="AS36" s="21"/>
      <c r="AT36" s="19"/>
      <c r="AU36" s="21"/>
      <c r="AV36" s="19"/>
      <c r="AW36" s="21"/>
      <c r="AX36" s="19"/>
      <c r="AY36" s="21"/>
      <c r="AZ36" s="19" t="s">
        <v>154</v>
      </c>
      <c r="BA36" s="21" t="str">
        <f>VLOOKUP(AZ36,'Axe 2 Règles de gestion'!$D$2:$F$85,3, FALSE)</f>
        <v>L'agent doit être en position d'activité ou de congé parental.</v>
      </c>
      <c r="BB36" s="19"/>
      <c r="BC36" s="21"/>
      <c r="BD36" s="19" t="s">
        <v>107</v>
      </c>
      <c r="BE36" s="21" t="str">
        <f>VLOOKUP(BD36,'Axe 2 Règles de gestion'!$D$2:$F$85,3, FALSE)</f>
        <v>La date de début du congé/absence doit être postérieure ou égale à la date de recrutement dans la FPE ou dans la carrière militaire.</v>
      </c>
      <c r="BF36" s="19" t="s">
        <v>109</v>
      </c>
      <c r="BG36" s="21" t="str">
        <f>VLOOKUP(BF36,'Axe 2 Règles de gestion'!$D$2:$F$85,3, FALSE)</f>
        <v>La date de début du congé/absence doit être antérieure ou égale à la date de fin réelle du congé/absence.</v>
      </c>
      <c r="BH36" s="19" t="s">
        <v>111</v>
      </c>
      <c r="BI36" s="21" t="str">
        <f>VLOOKUP(BH36,'Axe 2 Règles de gestion'!$D$2:$F$85,3, FALSE)</f>
        <v>La date de début du congé/absence doit être antérieure ou égale à la date de fin prévisionnelle du congé/absence.</v>
      </c>
      <c r="BJ36" s="19" t="s">
        <v>113</v>
      </c>
      <c r="BK36" s="21" t="str">
        <f>VLOOKUP(BJ36,'Axe 2 Règles de gestion'!$D$2:$F$85,3, FALSE)</f>
        <v>La date de fin réelle du congé/absence doit être antérieure à la date limite de départ à la retraite.</v>
      </c>
      <c r="BL36" s="19" t="s">
        <v>115</v>
      </c>
      <c r="BM36" s="21" t="str">
        <f>VLOOKUP(BL36,'Axe 2 Règles de gestion'!$D$2:$F$85,3, FALSE)</f>
        <v>La date de fin prévisionnelle du congé/absence doit être antérieure à la date limite de départ à la retraite.</v>
      </c>
      <c r="BN36" s="19" t="s">
        <v>117</v>
      </c>
      <c r="BO36" s="21" t="str">
        <f>VLOOKUP(BN36,'Axe 2 Règles de gestion'!$D$2:$F$85,3, FALSE)</f>
        <v>La date de fin réelle ou la date de fin prévisionnelle du congé/absence doit être saisie.</v>
      </c>
      <c r="BP36" s="19" t="s">
        <v>119</v>
      </c>
      <c r="BQ36" s="21" t="str">
        <f>VLOOKUP(BP36,'Axe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R36" s="19" t="s">
        <v>121</v>
      </c>
      <c r="BS36" s="21" t="str">
        <f>VLOOKUP(BR36,'Axe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36" s="19" t="s">
        <v>123</v>
      </c>
      <c r="BU36" s="21" t="str">
        <f>VLOOKUP(BT36,'Axe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36" s="19"/>
      <c r="BW36" s="21"/>
      <c r="BX36" s="19"/>
      <c r="BY36" s="21"/>
      <c r="BZ36" s="19" t="s">
        <v>155</v>
      </c>
      <c r="CA36" s="21"/>
    </row>
    <row r="37" spans="1:79" ht="130.5" x14ac:dyDescent="0.35">
      <c r="A37" s="13" t="s">
        <v>183</v>
      </c>
      <c r="B37" s="13" t="s">
        <v>81</v>
      </c>
      <c r="C37" s="14">
        <v>44959.497916666667</v>
      </c>
      <c r="D37" s="13" t="s">
        <v>82</v>
      </c>
      <c r="E37" s="15" t="s">
        <v>83</v>
      </c>
      <c r="F37" s="13" t="s">
        <v>84</v>
      </c>
      <c r="G37" s="15" t="s">
        <v>85</v>
      </c>
      <c r="H37" s="13" t="s">
        <v>184</v>
      </c>
      <c r="I37" s="15" t="s">
        <v>185</v>
      </c>
      <c r="J37" s="15" t="s">
        <v>186</v>
      </c>
      <c r="K37" s="15" t="s">
        <v>187</v>
      </c>
      <c r="L37" s="13" t="s">
        <v>193</v>
      </c>
      <c r="M37" s="15" t="s">
        <v>194</v>
      </c>
      <c r="N37" s="13" t="s">
        <v>127</v>
      </c>
      <c r="O37" s="15"/>
      <c r="P37" s="15"/>
      <c r="Q37" s="15" t="s">
        <v>149</v>
      </c>
      <c r="R37" s="13" t="s">
        <v>150</v>
      </c>
      <c r="S37" s="13" t="s">
        <v>94</v>
      </c>
      <c r="T37" s="13" t="s">
        <v>95</v>
      </c>
      <c r="U37" s="14">
        <v>44767</v>
      </c>
      <c r="V37" s="14"/>
      <c r="W37" s="15" t="s">
        <v>128</v>
      </c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5"/>
      <c r="AP37" s="13"/>
      <c r="AQ37" s="15"/>
      <c r="AR37" s="13"/>
      <c r="AS37" s="15"/>
      <c r="AT37" s="13"/>
      <c r="AU37" s="15"/>
      <c r="AV37" s="13"/>
      <c r="AW37" s="15"/>
      <c r="AX37" s="13"/>
      <c r="AY37" s="15"/>
      <c r="AZ37" s="13"/>
      <c r="BA37" s="15"/>
      <c r="BB37" s="13"/>
      <c r="BC37" s="15"/>
      <c r="BD37" s="13" t="s">
        <v>109</v>
      </c>
      <c r="BE37" s="15" t="str">
        <f>VLOOKUP(BD37,'Axe 2 Règles de gestion'!$D$2:$F$85,3, FALSE)</f>
        <v>La date de début du congé/absence doit être antérieure ou égale à la date de fin réelle du congé/absence.</v>
      </c>
      <c r="BF37" s="13" t="s">
        <v>111</v>
      </c>
      <c r="BG37" s="15" t="str">
        <f>VLOOKUP(BF37,'Axe 2 Règles de gestion'!$D$2:$F$85,3, FALSE)</f>
        <v>La date de début du congé/absence doit être antérieure ou égale à la date de fin prévisionnelle du congé/absence.</v>
      </c>
      <c r="BH37" s="13" t="s">
        <v>113</v>
      </c>
      <c r="BI37" s="15" t="str">
        <f>VLOOKUP(BH37,'Axe 2 Règles de gestion'!$D$2:$F$85,3, FALSE)</f>
        <v>La date de fin réelle du congé/absence doit être antérieure à la date limite de départ à la retraite.</v>
      </c>
      <c r="BJ37" s="13" t="s">
        <v>115</v>
      </c>
      <c r="BK37" s="15" t="str">
        <f>VLOOKUP(BJ37,'Axe 2 Règles de gestion'!$D$2:$F$85,3, FALSE)</f>
        <v>La date de fin prévisionnelle du congé/absence doit être antérieure à la date limite de départ à la retraite.</v>
      </c>
      <c r="BL37" s="13" t="s">
        <v>117</v>
      </c>
      <c r="BM37" s="15" t="str">
        <f>VLOOKUP(BL37,'Axe 2 Règles de gestion'!$D$2:$F$85,3, FALSE)</f>
        <v>La date de fin réelle ou la date de fin prévisionnelle du congé/absence doit être saisie.</v>
      </c>
      <c r="BN37" s="13" t="s">
        <v>119</v>
      </c>
      <c r="BO37" s="15" t="str">
        <f>VLOOKUP(BN37,'Axe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P37" s="13" t="s">
        <v>121</v>
      </c>
      <c r="BQ37" s="15" t="str">
        <f>VLOOKUP(BP37,'Axe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R37" s="13" t="s">
        <v>123</v>
      </c>
      <c r="BS37" s="15" t="str">
        <f>VLOOKUP(BR37,'Axe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T37" s="13"/>
      <c r="BU37" s="15"/>
      <c r="BV37" s="13"/>
      <c r="BW37" s="15"/>
      <c r="BX37" s="13"/>
      <c r="BY37" s="15"/>
      <c r="BZ37" s="13"/>
      <c r="CA37" s="15"/>
    </row>
    <row r="38" spans="1:79" ht="130.5" x14ac:dyDescent="0.35">
      <c r="A38" s="13" t="s">
        <v>183</v>
      </c>
      <c r="B38" s="13" t="s">
        <v>81</v>
      </c>
      <c r="C38" s="14">
        <v>44959.534722222219</v>
      </c>
      <c r="D38" s="13" t="s">
        <v>82</v>
      </c>
      <c r="E38" s="15" t="s">
        <v>83</v>
      </c>
      <c r="F38" s="13" t="s">
        <v>84</v>
      </c>
      <c r="G38" s="15" t="s">
        <v>85</v>
      </c>
      <c r="H38" s="13" t="s">
        <v>184</v>
      </c>
      <c r="I38" s="15" t="s">
        <v>185</v>
      </c>
      <c r="J38" s="15" t="s">
        <v>186</v>
      </c>
      <c r="K38" s="15" t="s">
        <v>187</v>
      </c>
      <c r="L38" s="13" t="s">
        <v>188</v>
      </c>
      <c r="M38" s="15" t="s">
        <v>189</v>
      </c>
      <c r="N38" s="13" t="s">
        <v>91</v>
      </c>
      <c r="O38" s="15"/>
      <c r="P38" s="15"/>
      <c r="Q38" s="15" t="s">
        <v>156</v>
      </c>
      <c r="R38" s="13" t="s">
        <v>157</v>
      </c>
      <c r="S38" s="13" t="s">
        <v>94</v>
      </c>
      <c r="T38" s="13" t="s">
        <v>95</v>
      </c>
      <c r="U38" s="14">
        <v>44767</v>
      </c>
      <c r="V38" s="14"/>
      <c r="W38" s="15" t="s">
        <v>200</v>
      </c>
      <c r="X38" s="13" t="s">
        <v>97</v>
      </c>
      <c r="Y38" s="15" t="str">
        <f>VLOOKUP(X38,'Axe 2 Règles de gestion'!$D$2:$F$85,3, FALSE)</f>
        <v>Lorsqu'un agent a recours à un bilan de compétences, l'administration lui accorde un congé.</v>
      </c>
      <c r="Z38" s="13" t="s">
        <v>99</v>
      </c>
      <c r="AA38" s="15" t="str">
        <f>VLOOKUP(Z38,'Axe 2 Règles de gestion'!$D$2:$F$85,3, FALSE)</f>
        <v>Lorsque le bilan de compétences n'est pas pris en charge par l'administration, l'agent doit fournir un justificatif pour bénéficier du congé.</v>
      </c>
      <c r="AB38" s="13" t="s">
        <v>196</v>
      </c>
      <c r="AC38" s="15" t="str">
        <f>VLOOKUP(AB38,'Axe 2 Règles de gestion'!$D$2:$F$85,3, FALSE)</f>
        <v>Le congé ne peut excéder 72 heures de temps de service.</v>
      </c>
      <c r="AD38" s="13" t="s">
        <v>138</v>
      </c>
      <c r="AE38" s="15" t="str">
        <f>VLOOKUP(AD38,'Axe 2 Règles de gestion'!$D$2:$F$85,3, FALSE)</f>
        <v>Le congé peut être fractionné.</v>
      </c>
      <c r="AF38" s="13"/>
      <c r="AG38" s="15"/>
      <c r="AH38" s="13"/>
      <c r="AI38" s="15"/>
      <c r="AJ38" s="13"/>
      <c r="AK38" s="15"/>
      <c r="AL38" s="13"/>
      <c r="AM38" s="15"/>
      <c r="AN38" s="13"/>
      <c r="AO38" s="15"/>
      <c r="AP38" s="13"/>
      <c r="AQ38" s="15"/>
      <c r="AR38" s="13"/>
      <c r="AS38" s="15"/>
      <c r="AT38" s="13"/>
      <c r="AU38" s="15"/>
      <c r="AV38" s="13"/>
      <c r="AW38" s="15"/>
      <c r="AX38" s="13"/>
      <c r="AY38" s="15"/>
      <c r="AZ38" s="13" t="s">
        <v>139</v>
      </c>
      <c r="BA38" s="15" t="str">
        <f>VLOOKUP(AZ38,'Axe 2 Règles de gestion'!$D$2:$F$85,3, FALSE)</f>
        <v>L'agent doit être en position d'activité ou de congé parental.</v>
      </c>
      <c r="BB38" s="13"/>
      <c r="BC38" s="15"/>
      <c r="BD38" s="13" t="s">
        <v>140</v>
      </c>
      <c r="BE38" s="15" t="str">
        <f>VLOOKUP(BD38,'Axe 2 Règles de gestion'!$D$2:$F$85,3, FALSE)</f>
        <v>La date de début du congé/absence doit être postérieure ou égale à la date de début du lien juridique.</v>
      </c>
      <c r="BF38" s="13" t="s">
        <v>109</v>
      </c>
      <c r="BG38" s="15" t="str">
        <f>VLOOKUP(BF38,'Axe 2 Règles de gestion'!$D$2:$F$85,3, FALSE)</f>
        <v>La date de début du congé/absence doit être antérieure ou égale à la date de fin réelle du congé/absence.</v>
      </c>
      <c r="BH38" s="13" t="s">
        <v>111</v>
      </c>
      <c r="BI38" s="15" t="str">
        <f>VLOOKUP(BH38,'Axe 2 Règles de gestion'!$D$2:$F$85,3, FALSE)</f>
        <v>La date de début du congé/absence doit être antérieure ou égale à la date de fin prévisionnelle du congé/absence.</v>
      </c>
      <c r="BJ38" s="13" t="s">
        <v>142</v>
      </c>
      <c r="BK38" s="15" t="str">
        <f>VLOOKUP(BJ38,'Axe 2 Règles de gestion'!$D$2:$F$85,3, FALSE)</f>
        <v>La date de fin réelle du congé/absence doit être antérieure ou égale à la date limite de fin réelle ou prévisionnelle du lien juridique.</v>
      </c>
      <c r="BL38" s="13" t="s">
        <v>144</v>
      </c>
      <c r="BM38" s="15" t="str">
        <f>VLOOKUP(BL38,'Axe 2 Règles de gestion'!$D$2:$F$85,3, FALSE)</f>
        <v>La date de fin prévisionnelle du congé/absence doit être antérieure ou égale à la date limite de fin réelle ou prévisionnelle du lien juridique.</v>
      </c>
      <c r="BN38" s="13" t="s">
        <v>113</v>
      </c>
      <c r="BO38" s="15" t="str">
        <f>VLOOKUP(BN38,'Axe 2 Règles de gestion'!$D$2:$F$85,3, FALSE)</f>
        <v>La date de fin réelle du congé/absence doit être antérieure à la date limite de départ à la retraite.</v>
      </c>
      <c r="BP38" s="13" t="s">
        <v>115</v>
      </c>
      <c r="BQ38" s="15" t="str">
        <f>VLOOKUP(BP38,'Axe 2 Règles de gestion'!$D$2:$F$85,3, FALSE)</f>
        <v>La date de fin prévisionnelle du congé/absence doit être antérieure à la date limite de départ à la retraite.</v>
      </c>
      <c r="BR38" s="13" t="s">
        <v>117</v>
      </c>
      <c r="BS38" s="15" t="str">
        <f>VLOOKUP(BR38,'Axe 2 Règles de gestion'!$D$2:$F$85,3, FALSE)</f>
        <v>La date de fin réelle ou la date de fin prévisionnelle du congé/absence doit être saisie.</v>
      </c>
      <c r="BT38" s="13" t="s">
        <v>119</v>
      </c>
      <c r="BU38" s="15" t="str">
        <f>VLOOKUP(BT38,'Axe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38" s="13" t="s">
        <v>121</v>
      </c>
      <c r="BW38" s="15" t="str">
        <f>VLOOKUP(BV38,'Axe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38" s="13" t="s">
        <v>123</v>
      </c>
      <c r="BY38" s="15" t="str">
        <f>VLOOKUP(BX38,'Axe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38" s="13"/>
      <c r="CA38" s="15"/>
    </row>
    <row r="39" spans="1:79" ht="130.5" x14ac:dyDescent="0.35">
      <c r="A39" s="13" t="s">
        <v>183</v>
      </c>
      <c r="B39" s="13" t="s">
        <v>81</v>
      </c>
      <c r="C39" s="14">
        <v>44959.498611111114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184</v>
      </c>
      <c r="I39" s="15" t="s">
        <v>185</v>
      </c>
      <c r="J39" s="15" t="s">
        <v>186</v>
      </c>
      <c r="K39" s="15" t="s">
        <v>187</v>
      </c>
      <c r="L39" s="13" t="s">
        <v>193</v>
      </c>
      <c r="M39" s="15" t="s">
        <v>194</v>
      </c>
      <c r="N39" s="13" t="s">
        <v>127</v>
      </c>
      <c r="O39" s="15"/>
      <c r="P39" s="15"/>
      <c r="Q39" s="15" t="s">
        <v>156</v>
      </c>
      <c r="R39" s="13" t="s">
        <v>157</v>
      </c>
      <c r="S39" s="13" t="s">
        <v>94</v>
      </c>
      <c r="T39" s="13" t="s">
        <v>95</v>
      </c>
      <c r="U39" s="14">
        <v>44767</v>
      </c>
      <c r="V39" s="14"/>
      <c r="W39" s="15" t="s">
        <v>159</v>
      </c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5"/>
      <c r="AP39" s="13"/>
      <c r="AQ39" s="15"/>
      <c r="AR39" s="13"/>
      <c r="AS39" s="15"/>
      <c r="AT39" s="13"/>
      <c r="AU39" s="15"/>
      <c r="AV39" s="13"/>
      <c r="AW39" s="15"/>
      <c r="AX39" s="13"/>
      <c r="AY39" s="15"/>
      <c r="AZ39" s="13"/>
      <c r="BA39" s="15"/>
      <c r="BB39" s="13"/>
      <c r="BC39" s="15"/>
      <c r="BD39" s="13" t="s">
        <v>109</v>
      </c>
      <c r="BE39" s="15" t="str">
        <f>VLOOKUP(BD39,'Axe 2 Règles de gestion'!$D$2:$F$85,3, FALSE)</f>
        <v>La date de début du congé/absence doit être antérieure ou égale à la date de fin réelle du congé/absence.</v>
      </c>
      <c r="BF39" s="13" t="s">
        <v>111</v>
      </c>
      <c r="BG39" s="15" t="str">
        <f>VLOOKUP(BF39,'Axe 2 Règles de gestion'!$D$2:$F$85,3, FALSE)</f>
        <v>La date de début du congé/absence doit être antérieure ou égale à la date de fin prévisionnelle du congé/absence.</v>
      </c>
      <c r="BH39" s="13" t="s">
        <v>142</v>
      </c>
      <c r="BI39" s="15" t="str">
        <f>VLOOKUP(BH39,'Axe 2 Règles de gestion'!$D$2:$F$85,3, FALSE)</f>
        <v>La date de fin réelle du congé/absence doit être antérieure ou égale à la date limite de fin réelle ou prévisionnelle du lien juridique.</v>
      </c>
      <c r="BJ39" s="13" t="s">
        <v>144</v>
      </c>
      <c r="BK39" s="15" t="str">
        <f>VLOOKUP(BJ39,'Axe 2 Règles de gestion'!$D$2:$F$85,3, FALSE)</f>
        <v>La date de fin prévisionnelle du congé/absence doit être antérieure ou égale à la date limite de fin réelle ou prévisionnelle du lien juridique.</v>
      </c>
      <c r="BL39" s="13" t="s">
        <v>113</v>
      </c>
      <c r="BM39" s="15" t="str">
        <f>VLOOKUP(BL39,'Axe 2 Règles de gestion'!$D$2:$F$85,3, FALSE)</f>
        <v>La date de fin réelle du congé/absence doit être antérieure à la date limite de départ à la retraite.</v>
      </c>
      <c r="BN39" s="13" t="s">
        <v>115</v>
      </c>
      <c r="BO39" s="15" t="str">
        <f>VLOOKUP(BN39,'Axe 2 Règles de gestion'!$D$2:$F$85,3, FALSE)</f>
        <v>La date de fin prévisionnelle du congé/absence doit être antérieure à la date limite de départ à la retraite.</v>
      </c>
      <c r="BP39" s="13" t="s">
        <v>117</v>
      </c>
      <c r="BQ39" s="15" t="str">
        <f>VLOOKUP(BP39,'Axe 2 Règles de gestion'!$D$2:$F$85,3, FALSE)</f>
        <v>La date de fin réelle ou la date de fin prévisionnelle du congé/absence doit être saisie.</v>
      </c>
      <c r="BR39" s="13" t="s">
        <v>119</v>
      </c>
      <c r="BS39" s="15" t="str">
        <f>VLOOKUP(BR39,'Axe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T39" s="13" t="s">
        <v>121</v>
      </c>
      <c r="BU39" s="15" t="str">
        <f>VLOOKUP(BT39,'Axe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39" s="13" t="s">
        <v>123</v>
      </c>
      <c r="BW39" s="15" t="str">
        <f>VLOOKUP(BV39,'Axe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39" s="13"/>
      <c r="BY39" s="15"/>
      <c r="BZ39" s="13"/>
      <c r="CA39" s="15"/>
    </row>
    <row r="40" spans="1:79" ht="43.5" x14ac:dyDescent="0.35">
      <c r="A40" s="13" t="s">
        <v>183</v>
      </c>
      <c r="B40" s="13" t="s">
        <v>81</v>
      </c>
      <c r="C40" s="14">
        <v>44959.535416666666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184</v>
      </c>
      <c r="I40" s="15" t="s">
        <v>185</v>
      </c>
      <c r="J40" s="15" t="s">
        <v>186</v>
      </c>
      <c r="K40" s="15" t="s">
        <v>187</v>
      </c>
      <c r="L40" s="13" t="s">
        <v>188</v>
      </c>
      <c r="M40" s="15" t="s">
        <v>189</v>
      </c>
      <c r="N40" s="13" t="s">
        <v>91</v>
      </c>
      <c r="O40" s="15"/>
      <c r="P40" s="15"/>
      <c r="Q40" s="15" t="s">
        <v>160</v>
      </c>
      <c r="R40" s="13" t="s">
        <v>161</v>
      </c>
      <c r="S40" s="13" t="s">
        <v>162</v>
      </c>
      <c r="T40" s="13" t="s">
        <v>131</v>
      </c>
      <c r="U40" s="14">
        <v>44767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5"/>
      <c r="AP40" s="13"/>
      <c r="AQ40" s="15"/>
      <c r="AR40" s="13"/>
      <c r="AS40" s="15"/>
      <c r="AT40" s="13"/>
      <c r="AU40" s="15"/>
      <c r="AV40" s="13"/>
      <c r="AW40" s="15"/>
      <c r="AX40" s="13"/>
      <c r="AY40" s="15"/>
      <c r="AZ40" s="13"/>
      <c r="BA40" s="15"/>
      <c r="BB40" s="13"/>
      <c r="BC40" s="15"/>
      <c r="BD40" s="13"/>
      <c r="BE40" s="15"/>
      <c r="BF40" s="13"/>
      <c r="BG40" s="15"/>
      <c r="BH40" s="13"/>
      <c r="BI40" s="15"/>
      <c r="BJ40" s="13"/>
      <c r="BK40" s="15"/>
      <c r="BL40" s="13"/>
      <c r="BM40" s="15"/>
      <c r="BN40" s="13"/>
      <c r="BO40" s="15"/>
      <c r="BP40" s="13"/>
      <c r="BQ40" s="15"/>
      <c r="BR40" s="13"/>
      <c r="BS40" s="15"/>
      <c r="BT40" s="13"/>
      <c r="BU40" s="15"/>
      <c r="BV40" s="13"/>
      <c r="BW40" s="15"/>
      <c r="BX40" s="13"/>
      <c r="BY40" s="15"/>
      <c r="BZ40" s="13"/>
      <c r="CA40" s="15"/>
    </row>
    <row r="41" spans="1:79" ht="43.5" x14ac:dyDescent="0.35">
      <c r="A41" s="13" t="s">
        <v>183</v>
      </c>
      <c r="B41" s="13" t="s">
        <v>81</v>
      </c>
      <c r="C41" s="14">
        <v>44959.53402777778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184</v>
      </c>
      <c r="I41" s="15" t="s">
        <v>185</v>
      </c>
      <c r="J41" s="15" t="s">
        <v>186</v>
      </c>
      <c r="K41" s="15" t="s">
        <v>187</v>
      </c>
      <c r="L41" s="13" t="s">
        <v>193</v>
      </c>
      <c r="M41" s="15" t="s">
        <v>194</v>
      </c>
      <c r="N41" s="13" t="s">
        <v>127</v>
      </c>
      <c r="O41" s="15"/>
      <c r="P41" s="15"/>
      <c r="Q41" s="15" t="s">
        <v>160</v>
      </c>
      <c r="R41" s="13" t="s">
        <v>161</v>
      </c>
      <c r="S41" s="13" t="s">
        <v>162</v>
      </c>
      <c r="T41" s="13" t="s">
        <v>131</v>
      </c>
      <c r="U41" s="14">
        <v>44767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5"/>
      <c r="AP41" s="13"/>
      <c r="AQ41" s="15"/>
      <c r="AR41" s="13"/>
      <c r="AS41" s="15"/>
      <c r="AT41" s="13"/>
      <c r="AU41" s="15"/>
      <c r="AV41" s="13"/>
      <c r="AW41" s="15"/>
      <c r="AX41" s="13"/>
      <c r="AY41" s="15"/>
      <c r="AZ41" s="13"/>
      <c r="BA41" s="15"/>
      <c r="BB41" s="13"/>
      <c r="BC41" s="15"/>
      <c r="BD41" s="13"/>
      <c r="BE41" s="15"/>
      <c r="BF41" s="13"/>
      <c r="BG41" s="15"/>
      <c r="BH41" s="13"/>
      <c r="BI41" s="15"/>
      <c r="BJ41" s="13"/>
      <c r="BK41" s="15"/>
      <c r="BL41" s="13"/>
      <c r="BM41" s="15"/>
      <c r="BN41" s="13"/>
      <c r="BO41" s="15"/>
      <c r="BP41" s="13"/>
      <c r="BQ41" s="15"/>
      <c r="BR41" s="13"/>
      <c r="BS41" s="15"/>
      <c r="BT41" s="13"/>
      <c r="BU41" s="15"/>
      <c r="BV41" s="13"/>
      <c r="BW41" s="15"/>
      <c r="BX41" s="13"/>
      <c r="BY41" s="15"/>
      <c r="BZ41" s="13"/>
      <c r="CA41" s="15"/>
    </row>
    <row r="42" spans="1:79" ht="43.5" x14ac:dyDescent="0.35">
      <c r="A42" s="13" t="s">
        <v>183</v>
      </c>
      <c r="B42" s="13" t="s">
        <v>81</v>
      </c>
      <c r="C42" s="14">
        <v>44959.535416666666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184</v>
      </c>
      <c r="I42" s="15" t="s">
        <v>185</v>
      </c>
      <c r="J42" s="15" t="s">
        <v>186</v>
      </c>
      <c r="K42" s="15" t="s">
        <v>187</v>
      </c>
      <c r="L42" s="13" t="s">
        <v>188</v>
      </c>
      <c r="M42" s="15" t="s">
        <v>189</v>
      </c>
      <c r="N42" s="13" t="s">
        <v>91</v>
      </c>
      <c r="O42" s="15"/>
      <c r="P42" s="15"/>
      <c r="Q42" s="15" t="s">
        <v>163</v>
      </c>
      <c r="R42" s="13" t="s">
        <v>164</v>
      </c>
      <c r="S42" s="13" t="s">
        <v>162</v>
      </c>
      <c r="T42" s="13" t="s">
        <v>131</v>
      </c>
      <c r="U42" s="14">
        <v>44767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5"/>
      <c r="AP42" s="13"/>
      <c r="AQ42" s="15"/>
      <c r="AR42" s="13"/>
      <c r="AS42" s="15"/>
      <c r="AT42" s="13"/>
      <c r="AU42" s="15"/>
      <c r="AV42" s="13"/>
      <c r="AW42" s="15"/>
      <c r="AX42" s="13"/>
      <c r="AY42" s="15"/>
      <c r="AZ42" s="13"/>
      <c r="BA42" s="15"/>
      <c r="BB42" s="13"/>
      <c r="BC42" s="15"/>
      <c r="BD42" s="13"/>
      <c r="BE42" s="15"/>
      <c r="BF42" s="13"/>
      <c r="BG42" s="15"/>
      <c r="BH42" s="13"/>
      <c r="BI42" s="15"/>
      <c r="BJ42" s="13"/>
      <c r="BK42" s="15"/>
      <c r="BL42" s="13"/>
      <c r="BM42" s="15"/>
      <c r="BN42" s="13"/>
      <c r="BO42" s="15"/>
      <c r="BP42" s="13"/>
      <c r="BQ42" s="15"/>
      <c r="BR42" s="13"/>
      <c r="BS42" s="15"/>
      <c r="BT42" s="13"/>
      <c r="BU42" s="15"/>
      <c r="BV42" s="13"/>
      <c r="BW42" s="15"/>
      <c r="BX42" s="13"/>
      <c r="BY42" s="15"/>
      <c r="BZ42" s="13"/>
      <c r="CA42" s="15"/>
    </row>
    <row r="43" spans="1:79" ht="43.5" x14ac:dyDescent="0.35">
      <c r="A43" s="13" t="s">
        <v>183</v>
      </c>
      <c r="B43" s="13" t="s">
        <v>81</v>
      </c>
      <c r="C43" s="14">
        <v>44959.53402777778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184</v>
      </c>
      <c r="I43" s="15" t="s">
        <v>185</v>
      </c>
      <c r="J43" s="15" t="s">
        <v>186</v>
      </c>
      <c r="K43" s="15" t="s">
        <v>187</v>
      </c>
      <c r="L43" s="13" t="s">
        <v>193</v>
      </c>
      <c r="M43" s="15" t="s">
        <v>194</v>
      </c>
      <c r="N43" s="13" t="s">
        <v>127</v>
      </c>
      <c r="O43" s="15"/>
      <c r="P43" s="15"/>
      <c r="Q43" s="15" t="s">
        <v>163</v>
      </c>
      <c r="R43" s="13" t="s">
        <v>164</v>
      </c>
      <c r="S43" s="13" t="s">
        <v>162</v>
      </c>
      <c r="T43" s="13" t="s">
        <v>131</v>
      </c>
      <c r="U43" s="14">
        <v>44767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5"/>
      <c r="AP43" s="13"/>
      <c r="AQ43" s="15"/>
      <c r="AR43" s="13"/>
      <c r="AS43" s="15"/>
      <c r="AT43" s="13"/>
      <c r="AU43" s="15"/>
      <c r="AV43" s="13"/>
      <c r="AW43" s="15"/>
      <c r="AX43" s="13"/>
      <c r="AY43" s="15"/>
      <c r="AZ43" s="13"/>
      <c r="BA43" s="15"/>
      <c r="BB43" s="13"/>
      <c r="BC43" s="15"/>
      <c r="BD43" s="13"/>
      <c r="BE43" s="15"/>
      <c r="BF43" s="13"/>
      <c r="BG43" s="15"/>
      <c r="BH43" s="13"/>
      <c r="BI43" s="15"/>
      <c r="BJ43" s="13"/>
      <c r="BK43" s="15"/>
      <c r="BL43" s="13"/>
      <c r="BM43" s="15"/>
      <c r="BN43" s="13"/>
      <c r="BO43" s="15"/>
      <c r="BP43" s="13"/>
      <c r="BQ43" s="15"/>
      <c r="BR43" s="13"/>
      <c r="BS43" s="15"/>
      <c r="BT43" s="13"/>
      <c r="BU43" s="15"/>
      <c r="BV43" s="13"/>
      <c r="BW43" s="15"/>
      <c r="BX43" s="13"/>
      <c r="BY43" s="15"/>
      <c r="BZ43" s="13"/>
      <c r="CA43" s="15"/>
    </row>
    <row r="44" spans="1:79" ht="43.5" x14ac:dyDescent="0.35">
      <c r="A44" s="13" t="s">
        <v>183</v>
      </c>
      <c r="B44" s="13" t="s">
        <v>81</v>
      </c>
      <c r="C44" s="14">
        <v>44959.537499999999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184</v>
      </c>
      <c r="I44" s="15" t="s">
        <v>185</v>
      </c>
      <c r="J44" s="15" t="s">
        <v>186</v>
      </c>
      <c r="K44" s="15" t="s">
        <v>187</v>
      </c>
      <c r="L44" s="13" t="s">
        <v>188</v>
      </c>
      <c r="M44" s="15" t="s">
        <v>189</v>
      </c>
      <c r="N44" s="13" t="s">
        <v>91</v>
      </c>
      <c r="O44" s="15"/>
      <c r="P44" s="15"/>
      <c r="Q44" s="15" t="s">
        <v>165</v>
      </c>
      <c r="R44" s="13" t="s">
        <v>166</v>
      </c>
      <c r="S44" s="13" t="s">
        <v>162</v>
      </c>
      <c r="T44" s="13" t="s">
        <v>131</v>
      </c>
      <c r="U44" s="14">
        <v>44767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5"/>
      <c r="AP44" s="13"/>
      <c r="AQ44" s="15"/>
      <c r="AR44" s="13"/>
      <c r="AS44" s="15"/>
      <c r="AT44" s="13"/>
      <c r="AU44" s="15"/>
      <c r="AV44" s="13"/>
      <c r="AW44" s="15"/>
      <c r="AX44" s="13"/>
      <c r="AY44" s="15"/>
      <c r="AZ44" s="13"/>
      <c r="BA44" s="15"/>
      <c r="BB44" s="13"/>
      <c r="BC44" s="15"/>
      <c r="BD44" s="13"/>
      <c r="BE44" s="15"/>
      <c r="BF44" s="13"/>
      <c r="BG44" s="15"/>
      <c r="BH44" s="13"/>
      <c r="BI44" s="15"/>
      <c r="BJ44" s="13"/>
      <c r="BK44" s="15"/>
      <c r="BL44" s="13"/>
      <c r="BM44" s="15"/>
      <c r="BN44" s="13"/>
      <c r="BO44" s="15"/>
      <c r="BP44" s="13"/>
      <c r="BQ44" s="15"/>
      <c r="BR44" s="13"/>
      <c r="BS44" s="15"/>
      <c r="BT44" s="13"/>
      <c r="BU44" s="15"/>
      <c r="BV44" s="13"/>
      <c r="BW44" s="15"/>
      <c r="BX44" s="13"/>
      <c r="BY44" s="15"/>
      <c r="BZ44" s="13"/>
      <c r="CA44" s="15"/>
    </row>
    <row r="45" spans="1:79" ht="43.5" x14ac:dyDescent="0.35">
      <c r="A45" s="13" t="s">
        <v>183</v>
      </c>
      <c r="B45" s="13" t="s">
        <v>81</v>
      </c>
      <c r="C45" s="14">
        <v>44959.53402777778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184</v>
      </c>
      <c r="I45" s="15" t="s">
        <v>185</v>
      </c>
      <c r="J45" s="15" t="s">
        <v>186</v>
      </c>
      <c r="K45" s="15" t="s">
        <v>187</v>
      </c>
      <c r="L45" s="13" t="s">
        <v>193</v>
      </c>
      <c r="M45" s="15" t="s">
        <v>194</v>
      </c>
      <c r="N45" s="13" t="s">
        <v>127</v>
      </c>
      <c r="O45" s="15"/>
      <c r="P45" s="15"/>
      <c r="Q45" s="15" t="s">
        <v>165</v>
      </c>
      <c r="R45" s="13" t="s">
        <v>166</v>
      </c>
      <c r="S45" s="13" t="s">
        <v>162</v>
      </c>
      <c r="T45" s="13" t="s">
        <v>131</v>
      </c>
      <c r="U45" s="14">
        <v>44767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5"/>
      <c r="AP45" s="13"/>
      <c r="AQ45" s="15"/>
      <c r="AR45" s="13"/>
      <c r="AS45" s="15"/>
      <c r="AT45" s="13"/>
      <c r="AU45" s="15"/>
      <c r="AV45" s="13"/>
      <c r="AW45" s="15"/>
      <c r="AX45" s="13"/>
      <c r="AY45" s="15"/>
      <c r="AZ45" s="13"/>
      <c r="BA45" s="15"/>
      <c r="BB45" s="13"/>
      <c r="BC45" s="15"/>
      <c r="BD45" s="13"/>
      <c r="BE45" s="15"/>
      <c r="BF45" s="13"/>
      <c r="BG45" s="15"/>
      <c r="BH45" s="13"/>
      <c r="BI45" s="15"/>
      <c r="BJ45" s="13"/>
      <c r="BK45" s="15"/>
      <c r="BL45" s="13"/>
      <c r="BM45" s="15"/>
      <c r="BN45" s="13"/>
      <c r="BO45" s="15"/>
      <c r="BP45" s="13"/>
      <c r="BQ45" s="15"/>
      <c r="BR45" s="13"/>
      <c r="BS45" s="15"/>
      <c r="BT45" s="13"/>
      <c r="BU45" s="15"/>
      <c r="BV45" s="13"/>
      <c r="BW45" s="15"/>
      <c r="BX45" s="13"/>
      <c r="BY45" s="15"/>
      <c r="BZ45" s="13"/>
      <c r="CA45" s="15"/>
    </row>
    <row r="46" spans="1:79" ht="43.5" x14ac:dyDescent="0.35">
      <c r="A46" s="13" t="s">
        <v>183</v>
      </c>
      <c r="B46" s="13" t="s">
        <v>81</v>
      </c>
      <c r="C46" s="14">
        <v>44959.537499999999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184</v>
      </c>
      <c r="I46" s="15" t="s">
        <v>185</v>
      </c>
      <c r="J46" s="15" t="s">
        <v>186</v>
      </c>
      <c r="K46" s="15" t="s">
        <v>187</v>
      </c>
      <c r="L46" s="13" t="s">
        <v>188</v>
      </c>
      <c r="M46" s="15" t="s">
        <v>189</v>
      </c>
      <c r="N46" s="13" t="s">
        <v>91</v>
      </c>
      <c r="O46" s="15"/>
      <c r="P46" s="15"/>
      <c r="Q46" s="15" t="s">
        <v>167</v>
      </c>
      <c r="R46" s="13" t="s">
        <v>168</v>
      </c>
      <c r="S46" s="13" t="s">
        <v>162</v>
      </c>
      <c r="T46" s="13" t="s">
        <v>131</v>
      </c>
      <c r="U46" s="14">
        <v>44767</v>
      </c>
      <c r="V46" s="14"/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5"/>
      <c r="AP46" s="13"/>
      <c r="AQ46" s="15"/>
      <c r="AR46" s="13"/>
      <c r="AS46" s="15"/>
      <c r="AT46" s="13"/>
      <c r="AU46" s="15"/>
      <c r="AV46" s="13"/>
      <c r="AW46" s="15"/>
      <c r="AX46" s="13"/>
      <c r="AY46" s="15"/>
      <c r="AZ46" s="13"/>
      <c r="BA46" s="15"/>
      <c r="BB46" s="13"/>
      <c r="BC46" s="15"/>
      <c r="BD46" s="13"/>
      <c r="BE46" s="15"/>
      <c r="BF46" s="13"/>
      <c r="BG46" s="15"/>
      <c r="BH46" s="13"/>
      <c r="BI46" s="15"/>
      <c r="BJ46" s="13"/>
      <c r="BK46" s="15"/>
      <c r="BL46" s="13"/>
      <c r="BM46" s="15"/>
      <c r="BN46" s="13"/>
      <c r="BO46" s="15"/>
      <c r="BP46" s="13"/>
      <c r="BQ46" s="15"/>
      <c r="BR46" s="13"/>
      <c r="BS46" s="15"/>
      <c r="BT46" s="13"/>
      <c r="BU46" s="15"/>
      <c r="BV46" s="13"/>
      <c r="BW46" s="15"/>
      <c r="BX46" s="13"/>
      <c r="BY46" s="15"/>
      <c r="BZ46" s="13"/>
      <c r="CA46" s="15"/>
    </row>
    <row r="47" spans="1:79" ht="43.5" x14ac:dyDescent="0.35">
      <c r="A47" s="13" t="s">
        <v>183</v>
      </c>
      <c r="B47" s="13" t="s">
        <v>81</v>
      </c>
      <c r="C47" s="14">
        <v>44959.534722222219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184</v>
      </c>
      <c r="I47" s="15" t="s">
        <v>185</v>
      </c>
      <c r="J47" s="15" t="s">
        <v>186</v>
      </c>
      <c r="K47" s="15" t="s">
        <v>187</v>
      </c>
      <c r="L47" s="13" t="s">
        <v>193</v>
      </c>
      <c r="M47" s="15" t="s">
        <v>194</v>
      </c>
      <c r="N47" s="13" t="s">
        <v>127</v>
      </c>
      <c r="O47" s="15"/>
      <c r="P47" s="15"/>
      <c r="Q47" s="15" t="s">
        <v>167</v>
      </c>
      <c r="R47" s="13" t="s">
        <v>168</v>
      </c>
      <c r="S47" s="13" t="s">
        <v>162</v>
      </c>
      <c r="T47" s="13" t="s">
        <v>131</v>
      </c>
      <c r="U47" s="14">
        <v>44767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/>
      <c r="AO47" s="15"/>
      <c r="AP47" s="13"/>
      <c r="AQ47" s="15"/>
      <c r="AR47" s="13"/>
      <c r="AS47" s="15"/>
      <c r="AT47" s="13"/>
      <c r="AU47" s="15"/>
      <c r="AV47" s="13"/>
      <c r="AW47" s="15"/>
      <c r="AX47" s="13"/>
      <c r="AY47" s="15"/>
      <c r="AZ47" s="13"/>
      <c r="BA47" s="15"/>
      <c r="BB47" s="13"/>
      <c r="BC47" s="15"/>
      <c r="BD47" s="13"/>
      <c r="BE47" s="15"/>
      <c r="BF47" s="13"/>
      <c r="BG47" s="15"/>
      <c r="BH47" s="13"/>
      <c r="BI47" s="15"/>
      <c r="BJ47" s="13"/>
      <c r="BK47" s="15"/>
      <c r="BL47" s="13"/>
      <c r="BM47" s="15"/>
      <c r="BN47" s="13"/>
      <c r="BO47" s="15"/>
      <c r="BP47" s="13"/>
      <c r="BQ47" s="15"/>
      <c r="BR47" s="13"/>
      <c r="BS47" s="15"/>
      <c r="BT47" s="13"/>
      <c r="BU47" s="15"/>
      <c r="BV47" s="13"/>
      <c r="BW47" s="15"/>
      <c r="BX47" s="13"/>
      <c r="BY47" s="15"/>
      <c r="BZ47" s="13"/>
      <c r="CA47" s="15"/>
    </row>
    <row r="48" spans="1:79" ht="43.5" x14ac:dyDescent="0.35">
      <c r="A48" s="13" t="s">
        <v>183</v>
      </c>
      <c r="B48" s="13" t="s">
        <v>81</v>
      </c>
      <c r="C48" s="14">
        <v>44959.538194444445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184</v>
      </c>
      <c r="I48" s="15" t="s">
        <v>185</v>
      </c>
      <c r="J48" s="15" t="s">
        <v>186</v>
      </c>
      <c r="K48" s="15" t="s">
        <v>187</v>
      </c>
      <c r="L48" s="13" t="s">
        <v>188</v>
      </c>
      <c r="M48" s="15" t="s">
        <v>189</v>
      </c>
      <c r="N48" s="13" t="s">
        <v>91</v>
      </c>
      <c r="O48" s="15"/>
      <c r="P48" s="15"/>
      <c r="Q48" s="15" t="s">
        <v>169</v>
      </c>
      <c r="R48" s="13" t="s">
        <v>170</v>
      </c>
      <c r="S48" s="13" t="s">
        <v>162</v>
      </c>
      <c r="T48" s="13" t="s">
        <v>131</v>
      </c>
      <c r="U48" s="14">
        <v>44767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5"/>
      <c r="AP48" s="13"/>
      <c r="AQ48" s="15"/>
      <c r="AR48" s="13"/>
      <c r="AS48" s="15"/>
      <c r="AT48" s="13"/>
      <c r="AU48" s="15"/>
      <c r="AV48" s="13"/>
      <c r="AW48" s="15"/>
      <c r="AX48" s="13"/>
      <c r="AY48" s="15"/>
      <c r="AZ48" s="13"/>
      <c r="BA48" s="15"/>
      <c r="BB48" s="13"/>
      <c r="BC48" s="15"/>
      <c r="BD48" s="13"/>
      <c r="BE48" s="15"/>
      <c r="BF48" s="13"/>
      <c r="BG48" s="15"/>
      <c r="BH48" s="13"/>
      <c r="BI48" s="15"/>
      <c r="BJ48" s="13"/>
      <c r="BK48" s="15"/>
      <c r="BL48" s="13"/>
      <c r="BM48" s="15"/>
      <c r="BN48" s="13"/>
      <c r="BO48" s="15"/>
      <c r="BP48" s="13"/>
      <c r="BQ48" s="15"/>
      <c r="BR48" s="13"/>
      <c r="BS48" s="15"/>
      <c r="BT48" s="13"/>
      <c r="BU48" s="15"/>
      <c r="BV48" s="13"/>
      <c r="BW48" s="15"/>
      <c r="BX48" s="13"/>
      <c r="BY48" s="15"/>
      <c r="BZ48" s="13"/>
      <c r="CA48" s="15"/>
    </row>
    <row r="49" spans="1:79" ht="43.5" x14ac:dyDescent="0.35">
      <c r="A49" s="13" t="s">
        <v>183</v>
      </c>
      <c r="B49" s="13" t="s">
        <v>81</v>
      </c>
      <c r="C49" s="14">
        <v>44959.534722222219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184</v>
      </c>
      <c r="I49" s="15" t="s">
        <v>185</v>
      </c>
      <c r="J49" s="15" t="s">
        <v>186</v>
      </c>
      <c r="K49" s="15" t="s">
        <v>187</v>
      </c>
      <c r="L49" s="13" t="s">
        <v>193</v>
      </c>
      <c r="M49" s="15" t="s">
        <v>194</v>
      </c>
      <c r="N49" s="13" t="s">
        <v>127</v>
      </c>
      <c r="O49" s="15"/>
      <c r="P49" s="15"/>
      <c r="Q49" s="15" t="s">
        <v>169</v>
      </c>
      <c r="R49" s="13" t="s">
        <v>170</v>
      </c>
      <c r="S49" s="13" t="s">
        <v>162</v>
      </c>
      <c r="T49" s="13" t="s">
        <v>131</v>
      </c>
      <c r="U49" s="14">
        <v>44767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5"/>
      <c r="AP49" s="13"/>
      <c r="AQ49" s="15"/>
      <c r="AR49" s="13"/>
      <c r="AS49" s="15"/>
      <c r="AT49" s="13"/>
      <c r="AU49" s="15"/>
      <c r="AV49" s="13"/>
      <c r="AW49" s="15"/>
      <c r="AX49" s="13"/>
      <c r="AY49" s="15"/>
      <c r="AZ49" s="13"/>
      <c r="BA49" s="15"/>
      <c r="BB49" s="13"/>
      <c r="BC49" s="15"/>
      <c r="BD49" s="13"/>
      <c r="BE49" s="15"/>
      <c r="BF49" s="13"/>
      <c r="BG49" s="15"/>
      <c r="BH49" s="13"/>
      <c r="BI49" s="15"/>
      <c r="BJ49" s="13"/>
      <c r="BK49" s="15"/>
      <c r="BL49" s="13"/>
      <c r="BM49" s="15"/>
      <c r="BN49" s="13"/>
      <c r="BO49" s="15"/>
      <c r="BP49" s="13"/>
      <c r="BQ49" s="15"/>
      <c r="BR49" s="13"/>
      <c r="BS49" s="15"/>
      <c r="BT49" s="13"/>
      <c r="BU49" s="15"/>
      <c r="BV49" s="13"/>
      <c r="BW49" s="15"/>
      <c r="BX49" s="13"/>
      <c r="BY49" s="15"/>
      <c r="BZ49" s="13"/>
      <c r="CA49" s="15"/>
    </row>
    <row r="50" spans="1:79" ht="43.5" x14ac:dyDescent="0.35">
      <c r="A50" s="13" t="s">
        <v>183</v>
      </c>
      <c r="B50" s="13" t="s">
        <v>81</v>
      </c>
      <c r="C50" s="14">
        <v>44959.538194444445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184</v>
      </c>
      <c r="I50" s="15" t="s">
        <v>185</v>
      </c>
      <c r="J50" s="15" t="s">
        <v>186</v>
      </c>
      <c r="K50" s="15" t="s">
        <v>187</v>
      </c>
      <c r="L50" s="13" t="s">
        <v>188</v>
      </c>
      <c r="M50" s="15" t="s">
        <v>189</v>
      </c>
      <c r="N50" s="13" t="s">
        <v>91</v>
      </c>
      <c r="O50" s="15"/>
      <c r="P50" s="15"/>
      <c r="Q50" s="15" t="s">
        <v>172</v>
      </c>
      <c r="R50" s="13" t="s">
        <v>173</v>
      </c>
      <c r="S50" s="13" t="s">
        <v>162</v>
      </c>
      <c r="T50" s="13" t="s">
        <v>131</v>
      </c>
      <c r="U50" s="14">
        <v>44767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5"/>
      <c r="AP50" s="13"/>
      <c r="AQ50" s="15"/>
      <c r="AR50" s="13"/>
      <c r="AS50" s="15"/>
      <c r="AT50" s="13"/>
      <c r="AU50" s="15"/>
      <c r="AV50" s="13"/>
      <c r="AW50" s="15"/>
      <c r="AX50" s="13"/>
      <c r="AY50" s="15"/>
      <c r="AZ50" s="13"/>
      <c r="BA50" s="15"/>
      <c r="BB50" s="13"/>
      <c r="BC50" s="15"/>
      <c r="BD50" s="13"/>
      <c r="BE50" s="15"/>
      <c r="BF50" s="13"/>
      <c r="BG50" s="15"/>
      <c r="BH50" s="13"/>
      <c r="BI50" s="15"/>
      <c r="BJ50" s="13"/>
      <c r="BK50" s="15"/>
      <c r="BL50" s="13"/>
      <c r="BM50" s="15"/>
      <c r="BN50" s="13"/>
      <c r="BO50" s="15"/>
      <c r="BP50" s="13"/>
      <c r="BQ50" s="15"/>
      <c r="BR50" s="13"/>
      <c r="BS50" s="15"/>
      <c r="BT50" s="13"/>
      <c r="BU50" s="15"/>
      <c r="BV50" s="13"/>
      <c r="BW50" s="15"/>
      <c r="BX50" s="13"/>
      <c r="BY50" s="15"/>
      <c r="BZ50" s="13"/>
      <c r="CA50" s="15"/>
    </row>
    <row r="51" spans="1:79" ht="43.5" x14ac:dyDescent="0.35">
      <c r="A51" s="13" t="s">
        <v>183</v>
      </c>
      <c r="B51" s="13" t="s">
        <v>81</v>
      </c>
      <c r="C51" s="14">
        <v>44959.534722222219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184</v>
      </c>
      <c r="I51" s="15" t="s">
        <v>185</v>
      </c>
      <c r="J51" s="15" t="s">
        <v>186</v>
      </c>
      <c r="K51" s="15" t="s">
        <v>187</v>
      </c>
      <c r="L51" s="13" t="s">
        <v>193</v>
      </c>
      <c r="M51" s="15" t="s">
        <v>194</v>
      </c>
      <c r="N51" s="13" t="s">
        <v>127</v>
      </c>
      <c r="O51" s="15"/>
      <c r="P51" s="15"/>
      <c r="Q51" s="15" t="s">
        <v>172</v>
      </c>
      <c r="R51" s="13" t="s">
        <v>173</v>
      </c>
      <c r="S51" s="13" t="s">
        <v>162</v>
      </c>
      <c r="T51" s="13" t="s">
        <v>131</v>
      </c>
      <c r="U51" s="14">
        <v>44767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5"/>
      <c r="AP51" s="13"/>
      <c r="AQ51" s="15"/>
      <c r="AR51" s="13"/>
      <c r="AS51" s="15"/>
      <c r="AT51" s="13"/>
      <c r="AU51" s="15"/>
      <c r="AV51" s="13"/>
      <c r="AW51" s="15"/>
      <c r="AX51" s="13"/>
      <c r="AY51" s="15"/>
      <c r="AZ51" s="13"/>
      <c r="BA51" s="15"/>
      <c r="BB51" s="13"/>
      <c r="BC51" s="15"/>
      <c r="BD51" s="13"/>
      <c r="BE51" s="15"/>
      <c r="BF51" s="13"/>
      <c r="BG51" s="15"/>
      <c r="BH51" s="13"/>
      <c r="BI51" s="15"/>
      <c r="BJ51" s="13"/>
      <c r="BK51" s="15"/>
      <c r="BL51" s="13"/>
      <c r="BM51" s="15"/>
      <c r="BN51" s="13"/>
      <c r="BO51" s="15"/>
      <c r="BP51" s="13"/>
      <c r="BQ51" s="15"/>
      <c r="BR51" s="13"/>
      <c r="BS51" s="15"/>
      <c r="BT51" s="13"/>
      <c r="BU51" s="15"/>
      <c r="BV51" s="13"/>
      <c r="BW51" s="15"/>
      <c r="BX51" s="13"/>
      <c r="BY51" s="15"/>
      <c r="BZ51" s="13"/>
      <c r="CA51" s="15"/>
    </row>
    <row r="52" spans="1:79" s="22" customFormat="1" ht="43.5" x14ac:dyDescent="0.35">
      <c r="A52" s="19" t="s">
        <v>147</v>
      </c>
      <c r="B52" s="19" t="s">
        <v>148</v>
      </c>
      <c r="C52" s="20">
        <v>45995.470138888886</v>
      </c>
      <c r="D52" s="19" t="s">
        <v>82</v>
      </c>
      <c r="E52" s="21" t="s">
        <v>83</v>
      </c>
      <c r="F52" s="19" t="s">
        <v>84</v>
      </c>
      <c r="G52" s="21" t="s">
        <v>85</v>
      </c>
      <c r="H52" s="19" t="s">
        <v>184</v>
      </c>
      <c r="I52" s="21" t="s">
        <v>185</v>
      </c>
      <c r="J52" s="21" t="s">
        <v>186</v>
      </c>
      <c r="K52" s="21" t="s">
        <v>187</v>
      </c>
      <c r="L52" s="19" t="s">
        <v>188</v>
      </c>
      <c r="M52" s="21" t="s">
        <v>189</v>
      </c>
      <c r="N52" s="19" t="s">
        <v>91</v>
      </c>
      <c r="O52" s="21"/>
      <c r="P52" s="21"/>
      <c r="Q52" s="21" t="s">
        <v>174</v>
      </c>
      <c r="R52" s="19" t="s">
        <v>175</v>
      </c>
      <c r="S52" s="19" t="s">
        <v>162</v>
      </c>
      <c r="T52" s="19" t="s">
        <v>131</v>
      </c>
      <c r="U52" s="20">
        <v>44767</v>
      </c>
      <c r="V52" s="20">
        <v>45900</v>
      </c>
      <c r="W52" s="21"/>
      <c r="X52" s="19"/>
      <c r="Y52" s="21"/>
      <c r="Z52" s="19"/>
      <c r="AA52" s="21"/>
      <c r="AB52" s="19"/>
      <c r="AC52" s="21"/>
      <c r="AD52" s="19"/>
      <c r="AE52" s="21"/>
      <c r="AF52" s="19"/>
      <c r="AG52" s="21"/>
      <c r="AH52" s="19"/>
      <c r="AI52" s="21"/>
      <c r="AJ52" s="19"/>
      <c r="AK52" s="21"/>
      <c r="AL52" s="19"/>
      <c r="AM52" s="21"/>
      <c r="AN52" s="19"/>
      <c r="AO52" s="21"/>
      <c r="AP52" s="19"/>
      <c r="AQ52" s="21"/>
      <c r="AR52" s="19"/>
      <c r="AS52" s="21"/>
      <c r="AT52" s="19"/>
      <c r="AU52" s="21"/>
      <c r="AV52" s="19"/>
      <c r="AW52" s="21"/>
      <c r="AX52" s="19"/>
      <c r="AY52" s="21"/>
      <c r="AZ52" s="19"/>
      <c r="BA52" s="21"/>
      <c r="BB52" s="19"/>
      <c r="BC52" s="21"/>
      <c r="BD52" s="19"/>
      <c r="BE52" s="21"/>
      <c r="BF52" s="19"/>
      <c r="BG52" s="21"/>
      <c r="BH52" s="19"/>
      <c r="BI52" s="21"/>
      <c r="BJ52" s="19"/>
      <c r="BK52" s="21"/>
      <c r="BL52" s="19"/>
      <c r="BM52" s="21"/>
      <c r="BN52" s="19"/>
      <c r="BO52" s="21"/>
      <c r="BP52" s="19"/>
      <c r="BQ52" s="21"/>
      <c r="BR52" s="19"/>
      <c r="BS52" s="21"/>
      <c r="BT52" s="19"/>
      <c r="BU52" s="21"/>
      <c r="BV52" s="19"/>
      <c r="BW52" s="21"/>
      <c r="BX52" s="19"/>
      <c r="BY52" s="21"/>
      <c r="BZ52" s="19" t="s">
        <v>176</v>
      </c>
      <c r="CA52" s="21"/>
    </row>
    <row r="53" spans="1:79" s="22" customFormat="1" ht="130.5" x14ac:dyDescent="0.35">
      <c r="A53" s="19" t="s">
        <v>147</v>
      </c>
      <c r="B53" s="19" t="s">
        <v>81</v>
      </c>
      <c r="C53" s="20">
        <v>45995.470138888886</v>
      </c>
      <c r="D53" s="19" t="s">
        <v>82</v>
      </c>
      <c r="E53" s="21" t="s">
        <v>83</v>
      </c>
      <c r="F53" s="19" t="s">
        <v>84</v>
      </c>
      <c r="G53" s="21" t="s">
        <v>85</v>
      </c>
      <c r="H53" s="19" t="s">
        <v>184</v>
      </c>
      <c r="I53" s="21" t="s">
        <v>185</v>
      </c>
      <c r="J53" s="21" t="s">
        <v>186</v>
      </c>
      <c r="K53" s="21" t="s">
        <v>187</v>
      </c>
      <c r="L53" s="19" t="s">
        <v>188</v>
      </c>
      <c r="M53" s="21" t="s">
        <v>189</v>
      </c>
      <c r="N53" s="19" t="s">
        <v>91</v>
      </c>
      <c r="O53" s="21"/>
      <c r="P53" s="21"/>
      <c r="Q53" s="21" t="s">
        <v>174</v>
      </c>
      <c r="R53" s="19" t="s">
        <v>175</v>
      </c>
      <c r="S53" s="19" t="s">
        <v>162</v>
      </c>
      <c r="T53" s="19" t="s">
        <v>95</v>
      </c>
      <c r="U53" s="20">
        <v>45901</v>
      </c>
      <c r="V53" s="20"/>
      <c r="W53" s="21" t="s">
        <v>201</v>
      </c>
      <c r="X53" s="19" t="s">
        <v>202</v>
      </c>
      <c r="Y53" s="21" t="str">
        <f>VLOOKUP(X53,'Axe 2 Règles de gestion'!$D$2:$F$85,3, FALSE)</f>
        <v>L'agent bénéficie des dispositions applicables aux agents ouvriers affiliés pour le congé pour bilan de compétences aménagé.</v>
      </c>
      <c r="Z53" s="19" t="s">
        <v>97</v>
      </c>
      <c r="AA53" s="21" t="str">
        <f>VLOOKUP(Z53,'Axe 2 Règles de gestion'!$D$2:$F$85,3, FALSE)</f>
        <v>Lorsqu'un agent a recours à un bilan de compétences, l'administration lui accorde un congé.</v>
      </c>
      <c r="AB53" s="19" t="s">
        <v>99</v>
      </c>
      <c r="AC53" s="21" t="str">
        <f>VLOOKUP(AB53,'Axe 2 Règles de gestion'!$D$2:$F$85,3, FALSE)</f>
        <v>Lorsque le bilan de compétences n'est pas pris en charge par l'administration, l'agent doit fournir un justificatif pour bénéficier du congé.</v>
      </c>
      <c r="AD53" s="19" t="s">
        <v>196</v>
      </c>
      <c r="AE53" s="21" t="str">
        <f>VLOOKUP(AD53,'Axe 2 Règles de gestion'!$D$2:$F$85,3, FALSE)</f>
        <v>Le congé ne peut excéder 72 heures de temps de service.</v>
      </c>
      <c r="AF53" s="19" t="s">
        <v>138</v>
      </c>
      <c r="AG53" s="21" t="str">
        <f>VLOOKUP(AF53,'Axe 2 Règles de gestion'!$D$2:$F$85,3, FALSE)</f>
        <v>Le congé peut être fractionné.</v>
      </c>
      <c r="AH53" s="19"/>
      <c r="AI53" s="21"/>
      <c r="AJ53" s="19"/>
      <c r="AK53" s="21"/>
      <c r="AL53" s="19"/>
      <c r="AM53" s="21"/>
      <c r="AN53" s="19"/>
      <c r="AO53" s="21"/>
      <c r="AP53" s="19"/>
      <c r="AQ53" s="21"/>
      <c r="AR53" s="19"/>
      <c r="AS53" s="21"/>
      <c r="AT53" s="19"/>
      <c r="AU53" s="21"/>
      <c r="AV53" s="19"/>
      <c r="AW53" s="21"/>
      <c r="AX53" s="19"/>
      <c r="AY53" s="21"/>
      <c r="AZ53" s="19" t="s">
        <v>139</v>
      </c>
      <c r="BA53" s="21" t="str">
        <f>VLOOKUP(AZ53,'Axe 2 Règles de gestion'!$D$2:$F$85,3, FALSE)</f>
        <v>L'agent doit être en position d'activité ou de congé parental.</v>
      </c>
      <c r="BB53" s="19"/>
      <c r="BC53" s="21"/>
      <c r="BD53" s="19" t="s">
        <v>140</v>
      </c>
      <c r="BE53" s="21" t="str">
        <f>VLOOKUP(BD53,'Axe 2 Règles de gestion'!$D$2:$F$85,3, FALSE)</f>
        <v>La date de début du congé/absence doit être postérieure ou égale à la date de début du lien juridique.</v>
      </c>
      <c r="BF53" s="19" t="s">
        <v>109</v>
      </c>
      <c r="BG53" s="21" t="str">
        <f>VLOOKUP(BF53,'Axe 2 Règles de gestion'!$D$2:$F$85,3, FALSE)</f>
        <v>La date de début du congé/absence doit être antérieure ou égale à la date de fin réelle du congé/absence.</v>
      </c>
      <c r="BH53" s="19" t="s">
        <v>111</v>
      </c>
      <c r="BI53" s="21" t="str">
        <f>VLOOKUP(BH53,'Axe 2 Règles de gestion'!$D$2:$F$85,3, FALSE)</f>
        <v>La date de début du congé/absence doit être antérieure ou égale à la date de fin prévisionnelle du congé/absence.</v>
      </c>
      <c r="BJ53" s="19" t="s">
        <v>142</v>
      </c>
      <c r="BK53" s="21" t="str">
        <f>VLOOKUP(BJ53,'Axe 2 Règles de gestion'!$D$2:$F$85,3, FALSE)</f>
        <v>La date de fin réelle du congé/absence doit être antérieure ou égale à la date limite de fin réelle ou prévisionnelle du lien juridique.</v>
      </c>
      <c r="BL53" s="19" t="s">
        <v>144</v>
      </c>
      <c r="BM53" s="21" t="str">
        <f>VLOOKUP(BL53,'Axe 2 Règles de gestion'!$D$2:$F$85,3, FALSE)</f>
        <v>La date de fin prévisionnelle du congé/absence doit être antérieure ou égale à la date limite de fin réelle ou prévisionnelle du lien juridique.</v>
      </c>
      <c r="BN53" s="19" t="s">
        <v>113</v>
      </c>
      <c r="BO53" s="21" t="str">
        <f>VLOOKUP(BN53,'Axe 2 Règles de gestion'!$D$2:$F$85,3, FALSE)</f>
        <v>La date de fin réelle du congé/absence doit être antérieure à la date limite de départ à la retraite.</v>
      </c>
      <c r="BP53" s="19" t="s">
        <v>115</v>
      </c>
      <c r="BQ53" s="21" t="str">
        <f>VLOOKUP(BP53,'Axe 2 Règles de gestion'!$D$2:$F$85,3, FALSE)</f>
        <v>La date de fin prévisionnelle du congé/absence doit être antérieure à la date limite de départ à la retraite.</v>
      </c>
      <c r="BR53" s="19" t="s">
        <v>117</v>
      </c>
      <c r="BS53" s="21" t="str">
        <f>VLOOKUP(BR53,'Axe 2 Règles de gestion'!$D$2:$F$85,3, FALSE)</f>
        <v>La date de fin réelle ou la date de fin prévisionnelle du congé/absence doit être saisie.</v>
      </c>
      <c r="BT53" s="19" t="s">
        <v>119</v>
      </c>
      <c r="BU53" s="21" t="str">
        <f>VLOOKUP(BT53,'Axe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53" s="19" t="s">
        <v>121</v>
      </c>
      <c r="BW53" s="21" t="str">
        <f>VLOOKUP(BV53,'Axe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53" s="19" t="s">
        <v>123</v>
      </c>
      <c r="BY53" s="21" t="str">
        <f>VLOOKUP(BX53,'Axe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53" s="19" t="s">
        <v>176</v>
      </c>
      <c r="CA53" s="21"/>
    </row>
    <row r="54" spans="1:79" s="22" customFormat="1" ht="43.5" x14ac:dyDescent="0.35">
      <c r="A54" s="19" t="s">
        <v>147</v>
      </c>
      <c r="B54" s="19" t="s">
        <v>148</v>
      </c>
      <c r="C54" s="20">
        <v>45995.470833333333</v>
      </c>
      <c r="D54" s="19" t="s">
        <v>82</v>
      </c>
      <c r="E54" s="21" t="s">
        <v>83</v>
      </c>
      <c r="F54" s="19" t="s">
        <v>84</v>
      </c>
      <c r="G54" s="21" t="s">
        <v>85</v>
      </c>
      <c r="H54" s="19" t="s">
        <v>184</v>
      </c>
      <c r="I54" s="21" t="s">
        <v>185</v>
      </c>
      <c r="J54" s="21" t="s">
        <v>186</v>
      </c>
      <c r="K54" s="21" t="s">
        <v>187</v>
      </c>
      <c r="L54" s="19" t="s">
        <v>193</v>
      </c>
      <c r="M54" s="21" t="s">
        <v>194</v>
      </c>
      <c r="N54" s="19" t="s">
        <v>127</v>
      </c>
      <c r="O54" s="21"/>
      <c r="P54" s="21"/>
      <c r="Q54" s="21" t="s">
        <v>174</v>
      </c>
      <c r="R54" s="19" t="s">
        <v>175</v>
      </c>
      <c r="S54" s="19" t="s">
        <v>162</v>
      </c>
      <c r="T54" s="19" t="s">
        <v>131</v>
      </c>
      <c r="U54" s="20">
        <v>44767</v>
      </c>
      <c r="V54" s="20">
        <v>45900</v>
      </c>
      <c r="W54" s="21"/>
      <c r="X54" s="19"/>
      <c r="Y54" s="21"/>
      <c r="Z54" s="19"/>
      <c r="AA54" s="21"/>
      <c r="AB54" s="19"/>
      <c r="AC54" s="21"/>
      <c r="AD54" s="19"/>
      <c r="AE54" s="21"/>
      <c r="AF54" s="19"/>
      <c r="AG54" s="21"/>
      <c r="AH54" s="19"/>
      <c r="AI54" s="21"/>
      <c r="AJ54" s="19"/>
      <c r="AK54" s="21"/>
      <c r="AL54" s="19"/>
      <c r="AM54" s="21"/>
      <c r="AN54" s="19"/>
      <c r="AO54" s="21"/>
      <c r="AP54" s="19"/>
      <c r="AQ54" s="21"/>
      <c r="AR54" s="19"/>
      <c r="AS54" s="21"/>
      <c r="AT54" s="19"/>
      <c r="AU54" s="21"/>
      <c r="AV54" s="19"/>
      <c r="AW54" s="21"/>
      <c r="AX54" s="19"/>
      <c r="AY54" s="21"/>
      <c r="AZ54" s="19"/>
      <c r="BA54" s="21"/>
      <c r="BB54" s="19"/>
      <c r="BC54" s="21"/>
      <c r="BD54" s="19"/>
      <c r="BE54" s="21"/>
      <c r="BF54" s="19"/>
      <c r="BG54" s="21"/>
      <c r="BH54" s="19"/>
      <c r="BI54" s="21"/>
      <c r="BJ54" s="19"/>
      <c r="BK54" s="21"/>
      <c r="BL54" s="19"/>
      <c r="BM54" s="21"/>
      <c r="BN54" s="19"/>
      <c r="BO54" s="21"/>
      <c r="BP54" s="19"/>
      <c r="BQ54" s="21"/>
      <c r="BR54" s="19"/>
      <c r="BS54" s="21"/>
      <c r="BT54" s="19"/>
      <c r="BU54" s="21"/>
      <c r="BV54" s="19"/>
      <c r="BW54" s="21"/>
      <c r="BX54" s="19"/>
      <c r="BY54" s="21"/>
      <c r="BZ54" s="19" t="s">
        <v>176</v>
      </c>
      <c r="CA54" s="21"/>
    </row>
    <row r="55" spans="1:79" s="22" customFormat="1" ht="130.5" x14ac:dyDescent="0.35">
      <c r="A55" s="19" t="s">
        <v>147</v>
      </c>
      <c r="B55" s="19" t="s">
        <v>81</v>
      </c>
      <c r="C55" s="20">
        <v>45995.470833333333</v>
      </c>
      <c r="D55" s="19" t="s">
        <v>82</v>
      </c>
      <c r="E55" s="21" t="s">
        <v>83</v>
      </c>
      <c r="F55" s="19" t="s">
        <v>84</v>
      </c>
      <c r="G55" s="21" t="s">
        <v>85</v>
      </c>
      <c r="H55" s="19" t="s">
        <v>184</v>
      </c>
      <c r="I55" s="21" t="s">
        <v>185</v>
      </c>
      <c r="J55" s="21" t="s">
        <v>186</v>
      </c>
      <c r="K55" s="21" t="s">
        <v>187</v>
      </c>
      <c r="L55" s="19" t="s">
        <v>193</v>
      </c>
      <c r="M55" s="21" t="s">
        <v>194</v>
      </c>
      <c r="N55" s="19" t="s">
        <v>127</v>
      </c>
      <c r="O55" s="21"/>
      <c r="P55" s="21"/>
      <c r="Q55" s="21" t="s">
        <v>174</v>
      </c>
      <c r="R55" s="19" t="s">
        <v>175</v>
      </c>
      <c r="S55" s="19" t="s">
        <v>162</v>
      </c>
      <c r="T55" s="19" t="s">
        <v>95</v>
      </c>
      <c r="U55" s="20">
        <v>45901</v>
      </c>
      <c r="V55" s="20"/>
      <c r="W55" s="21" t="s">
        <v>204</v>
      </c>
      <c r="X55" s="19" t="s">
        <v>202</v>
      </c>
      <c r="Y55" s="21" t="str">
        <f>VLOOKUP(X55,'Axe 2 Règles de gestion'!$D$2:$F$85,3, FALSE)</f>
        <v>L'agent bénéficie des dispositions applicables aux agents ouvriers affiliés pour le congé pour bilan de compétences aménagé.</v>
      </c>
      <c r="Z55" s="19"/>
      <c r="AA55" s="21"/>
      <c r="AB55" s="19"/>
      <c r="AC55" s="21"/>
      <c r="AD55" s="19"/>
      <c r="AE55" s="21"/>
      <c r="AF55" s="19"/>
      <c r="AG55" s="21"/>
      <c r="AH55" s="19"/>
      <c r="AI55" s="21"/>
      <c r="AJ55" s="19"/>
      <c r="AK55" s="21"/>
      <c r="AL55" s="19"/>
      <c r="AM55" s="21"/>
      <c r="AN55" s="19"/>
      <c r="AO55" s="21"/>
      <c r="AP55" s="19"/>
      <c r="AQ55" s="21"/>
      <c r="AR55" s="19"/>
      <c r="AS55" s="21"/>
      <c r="AT55" s="19"/>
      <c r="AU55" s="21"/>
      <c r="AV55" s="19"/>
      <c r="AW55" s="21"/>
      <c r="AX55" s="19"/>
      <c r="AY55" s="21"/>
      <c r="AZ55" s="19"/>
      <c r="BA55" s="21"/>
      <c r="BB55" s="19"/>
      <c r="BC55" s="21"/>
      <c r="BD55" s="19" t="s">
        <v>109</v>
      </c>
      <c r="BE55" s="21" t="str">
        <f>VLOOKUP(BD55,'Axe 2 Règles de gestion'!$D$2:$F$85,3, FALSE)</f>
        <v>La date de début du congé/absence doit être antérieure ou égale à la date de fin réelle du congé/absence.</v>
      </c>
      <c r="BF55" s="19" t="s">
        <v>111</v>
      </c>
      <c r="BG55" s="21" t="str">
        <f>VLOOKUP(BF55,'Axe 2 Règles de gestion'!$D$2:$F$85,3, FALSE)</f>
        <v>La date de début du congé/absence doit être antérieure ou égale à la date de fin prévisionnelle du congé/absence.</v>
      </c>
      <c r="BH55" s="19" t="s">
        <v>142</v>
      </c>
      <c r="BI55" s="21" t="str">
        <f>VLOOKUP(BH55,'Axe 2 Règles de gestion'!$D$2:$F$85,3, FALSE)</f>
        <v>La date de fin réelle du congé/absence doit être antérieure ou égale à la date limite de fin réelle ou prévisionnelle du lien juridique.</v>
      </c>
      <c r="BJ55" s="19" t="s">
        <v>144</v>
      </c>
      <c r="BK55" s="21" t="str">
        <f>VLOOKUP(BJ55,'Axe 2 Règles de gestion'!$D$2:$F$85,3, FALSE)</f>
        <v>La date de fin prévisionnelle du congé/absence doit être antérieure ou égale à la date limite de fin réelle ou prévisionnelle du lien juridique.</v>
      </c>
      <c r="BL55" s="19" t="s">
        <v>113</v>
      </c>
      <c r="BM55" s="21" t="str">
        <f>VLOOKUP(BL55,'Axe 2 Règles de gestion'!$D$2:$F$85,3, FALSE)</f>
        <v>La date de fin réelle du congé/absence doit être antérieure à la date limite de départ à la retraite.</v>
      </c>
      <c r="BN55" s="19" t="s">
        <v>115</v>
      </c>
      <c r="BO55" s="21" t="str">
        <f>VLOOKUP(BN55,'Axe 2 Règles de gestion'!$D$2:$F$85,3, FALSE)</f>
        <v>La date de fin prévisionnelle du congé/absence doit être antérieure à la date limite de départ à la retraite.</v>
      </c>
      <c r="BP55" s="19" t="s">
        <v>117</v>
      </c>
      <c r="BQ55" s="21" t="str">
        <f>VLOOKUP(BP55,'Axe 2 Règles de gestion'!$D$2:$F$85,3, FALSE)</f>
        <v>La date de fin réelle ou la date de fin prévisionnelle du congé/absence doit être saisie.</v>
      </c>
      <c r="BR55" s="19" t="s">
        <v>119</v>
      </c>
      <c r="BS55" s="21" t="str">
        <f>VLOOKUP(BR55,'Axe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T55" s="19" t="s">
        <v>121</v>
      </c>
      <c r="BU55" s="21" t="str">
        <f>VLOOKUP(BT55,'Axe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55" s="19" t="s">
        <v>123</v>
      </c>
      <c r="BW55" s="21" t="str">
        <f>VLOOKUP(BV55,'Axe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55" s="19"/>
      <c r="BY55" s="21"/>
      <c r="BZ55" s="19" t="s">
        <v>176</v>
      </c>
      <c r="CA55" s="21"/>
    </row>
    <row r="56" spans="1:79" ht="43.5" x14ac:dyDescent="0.35">
      <c r="A56" s="13" t="s">
        <v>183</v>
      </c>
      <c r="B56" s="13" t="s">
        <v>81</v>
      </c>
      <c r="C56" s="14">
        <v>44959.538194444445</v>
      </c>
      <c r="D56" s="13" t="s">
        <v>82</v>
      </c>
      <c r="E56" s="15" t="s">
        <v>83</v>
      </c>
      <c r="F56" s="13" t="s">
        <v>84</v>
      </c>
      <c r="G56" s="15" t="s">
        <v>85</v>
      </c>
      <c r="H56" s="13" t="s">
        <v>184</v>
      </c>
      <c r="I56" s="15" t="s">
        <v>185</v>
      </c>
      <c r="J56" s="15" t="s">
        <v>186</v>
      </c>
      <c r="K56" s="15" t="s">
        <v>187</v>
      </c>
      <c r="L56" s="13" t="s">
        <v>188</v>
      </c>
      <c r="M56" s="15" t="s">
        <v>189</v>
      </c>
      <c r="N56" s="13" t="s">
        <v>91</v>
      </c>
      <c r="O56" s="15"/>
      <c r="P56" s="15"/>
      <c r="Q56" s="15" t="s">
        <v>181</v>
      </c>
      <c r="R56" s="13" t="s">
        <v>182</v>
      </c>
      <c r="S56" s="13" t="s">
        <v>162</v>
      </c>
      <c r="T56" s="13" t="s">
        <v>131</v>
      </c>
      <c r="U56" s="14">
        <v>44767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/>
      <c r="AO56" s="15"/>
      <c r="AP56" s="13"/>
      <c r="AQ56" s="15"/>
      <c r="AR56" s="13"/>
      <c r="AS56" s="15"/>
      <c r="AT56" s="13"/>
      <c r="AU56" s="15"/>
      <c r="AV56" s="13"/>
      <c r="AW56" s="15"/>
      <c r="AX56" s="13"/>
      <c r="AY56" s="15"/>
      <c r="AZ56" s="13"/>
      <c r="BA56" s="15"/>
      <c r="BB56" s="13"/>
      <c r="BC56" s="15"/>
      <c r="BD56" s="13"/>
      <c r="BE56" s="15"/>
      <c r="BF56" s="13"/>
      <c r="BG56" s="15"/>
      <c r="BH56" s="13"/>
      <c r="BI56" s="15"/>
      <c r="BJ56" s="13"/>
      <c r="BK56" s="15"/>
      <c r="BL56" s="13"/>
      <c r="BM56" s="15"/>
      <c r="BN56" s="13"/>
      <c r="BO56" s="15"/>
      <c r="BP56" s="13"/>
      <c r="BQ56" s="15"/>
      <c r="BR56" s="13"/>
      <c r="BS56" s="15"/>
      <c r="BT56" s="13"/>
      <c r="BU56" s="15"/>
      <c r="BV56" s="13"/>
      <c r="BW56" s="15"/>
      <c r="BX56" s="13"/>
      <c r="BY56" s="15"/>
      <c r="BZ56" s="13"/>
      <c r="CA56" s="15"/>
    </row>
    <row r="57" spans="1:79" ht="43.5" x14ac:dyDescent="0.35">
      <c r="A57" s="13" t="s">
        <v>183</v>
      </c>
      <c r="B57" s="13" t="s">
        <v>81</v>
      </c>
      <c r="C57" s="14">
        <v>44959.535416666666</v>
      </c>
      <c r="D57" s="13" t="s">
        <v>82</v>
      </c>
      <c r="E57" s="15" t="s">
        <v>83</v>
      </c>
      <c r="F57" s="13" t="s">
        <v>84</v>
      </c>
      <c r="G57" s="15" t="s">
        <v>85</v>
      </c>
      <c r="H57" s="13" t="s">
        <v>184</v>
      </c>
      <c r="I57" s="15" t="s">
        <v>185</v>
      </c>
      <c r="J57" s="15" t="s">
        <v>186</v>
      </c>
      <c r="K57" s="15" t="s">
        <v>187</v>
      </c>
      <c r="L57" s="13" t="s">
        <v>193</v>
      </c>
      <c r="M57" s="15" t="s">
        <v>194</v>
      </c>
      <c r="N57" s="13" t="s">
        <v>127</v>
      </c>
      <c r="O57" s="15"/>
      <c r="P57" s="15"/>
      <c r="Q57" s="15" t="s">
        <v>181</v>
      </c>
      <c r="R57" s="13" t="s">
        <v>182</v>
      </c>
      <c r="S57" s="13" t="s">
        <v>162</v>
      </c>
      <c r="T57" s="13" t="s">
        <v>131</v>
      </c>
      <c r="U57" s="14">
        <v>44767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5"/>
      <c r="AP57" s="13"/>
      <c r="AQ57" s="15"/>
      <c r="AR57" s="13"/>
      <c r="AS57" s="15"/>
      <c r="AT57" s="13"/>
      <c r="AU57" s="15"/>
      <c r="AV57" s="13"/>
      <c r="AW57" s="15"/>
      <c r="AX57" s="13"/>
      <c r="AY57" s="15"/>
      <c r="AZ57" s="13"/>
      <c r="BA57" s="15"/>
      <c r="BB57" s="13"/>
      <c r="BC57" s="15"/>
      <c r="BD57" s="13"/>
      <c r="BE57" s="15"/>
      <c r="BF57" s="13"/>
      <c r="BG57" s="15"/>
      <c r="BH57" s="13"/>
      <c r="BI57" s="15"/>
      <c r="BJ57" s="13"/>
      <c r="BK57" s="15"/>
      <c r="BL57" s="13"/>
      <c r="BM57" s="15"/>
      <c r="BN57" s="13"/>
      <c r="BO57" s="15"/>
      <c r="BP57" s="13"/>
      <c r="BQ57" s="15"/>
      <c r="BR57" s="13"/>
      <c r="BS57" s="15"/>
      <c r="BT57" s="13"/>
      <c r="BU57" s="15"/>
      <c r="BV57" s="13"/>
      <c r="BW57" s="15"/>
      <c r="BX57" s="13"/>
      <c r="BY57" s="15"/>
      <c r="BZ57" s="13"/>
      <c r="CA57" s="15"/>
    </row>
    <row r="58" spans="1:79" ht="87" x14ac:dyDescent="0.35">
      <c r="A58" s="13" t="s">
        <v>80</v>
      </c>
      <c r="B58" s="13" t="s">
        <v>81</v>
      </c>
      <c r="C58" s="14">
        <v>45069.478472222225</v>
      </c>
      <c r="D58" s="13" t="s">
        <v>205</v>
      </c>
      <c r="E58" s="15" t="s">
        <v>206</v>
      </c>
      <c r="F58" s="13" t="s">
        <v>207</v>
      </c>
      <c r="G58" s="15" t="s">
        <v>208</v>
      </c>
      <c r="H58" s="13" t="s">
        <v>209</v>
      </c>
      <c r="I58" s="15" t="s">
        <v>210</v>
      </c>
      <c r="J58" s="15" t="s">
        <v>211</v>
      </c>
      <c r="K58" s="15" t="s">
        <v>212</v>
      </c>
      <c r="L58" s="13" t="s">
        <v>213</v>
      </c>
      <c r="M58" s="15" t="s">
        <v>214</v>
      </c>
      <c r="N58" s="13" t="s">
        <v>91</v>
      </c>
      <c r="O58" s="15"/>
      <c r="P58" s="15"/>
      <c r="Q58" s="15" t="s">
        <v>92</v>
      </c>
      <c r="R58" s="13" t="s">
        <v>93</v>
      </c>
      <c r="S58" s="13" t="s">
        <v>94</v>
      </c>
      <c r="T58" s="13" t="s">
        <v>95</v>
      </c>
      <c r="U58" s="14">
        <v>40725</v>
      </c>
      <c r="V58" s="14">
        <v>42865</v>
      </c>
      <c r="W58" s="15" t="s">
        <v>215</v>
      </c>
      <c r="X58" s="13" t="s">
        <v>216</v>
      </c>
      <c r="Y58" s="15" t="str">
        <f>VLOOKUP(X58,'Axe 2 Règles de gestion'!$D$2:$F$85,3, FALSE)</f>
        <v>L'agent ou l'administration peuvent être à l'origine de la demande.</v>
      </c>
      <c r="Z58" s="13" t="s">
        <v>218</v>
      </c>
      <c r="AA58" s="15" t="str">
        <f>VLOOKUP(Z58,'Axe 2 Règles de gestion'!$D$2:$F$85,3, FALSE)</f>
        <v>Si l'agent est en congé parental, la demande doit être formulée 6 mois au plus avant l'expiration de la dernière période de congé parental.</v>
      </c>
      <c r="AB58" s="13" t="s">
        <v>220</v>
      </c>
      <c r="AC58" s="15" t="str">
        <f>VLOOKUP(AB58,'Axe 2 Règles de gestion'!$D$2:$F$85,3, FALSE)</f>
        <v>L'administration doit fournir une réponse écrite à l'agent dans un délai de 2 mois suivant la date de la demande.</v>
      </c>
      <c r="AD58" s="13" t="s">
        <v>222</v>
      </c>
      <c r="AE58" s="15" t="str">
        <f>VLOOKUP(AD58,'Axe 2 Règles de gestion'!$D$2:$F$85,3, FALSE)</f>
        <v>En cas de refus, l'administration doit motiver sa décision.</v>
      </c>
      <c r="AF58" s="13" t="s">
        <v>224</v>
      </c>
      <c r="AG58" s="15" t="str">
        <f>VLOOKUP(AF58,'Axe 2 Règles de gestion'!$D$2:$F$85,3, FALSE)</f>
        <v>Une convention entre l'agent bénéficiaire, l'administration et l'organisme prestataire du bilan de compétences doit être établie.</v>
      </c>
      <c r="AH58" s="13" t="s">
        <v>226</v>
      </c>
      <c r="AI58" s="15" t="str">
        <f>VLOOKUP(AH58,'Axe 2 Règles de gestion'!$D$2:$F$85,3, FALSE)</f>
        <v>Un agent peut prétendre à un seul autre bilan de compétences, au moins 5 ans après le précédent.</v>
      </c>
      <c r="AJ58" s="13"/>
      <c r="AK58" s="15"/>
      <c r="AL58" s="13"/>
      <c r="AM58" s="15"/>
      <c r="AN58" s="13"/>
      <c r="AO58" s="15"/>
      <c r="AP58" s="13"/>
      <c r="AQ58" s="15"/>
      <c r="AR58" s="13"/>
      <c r="AS58" s="15"/>
      <c r="AT58" s="13"/>
      <c r="AU58" s="15"/>
      <c r="AV58" s="13"/>
      <c r="AW58" s="15"/>
      <c r="AX58" s="13"/>
      <c r="AY58" s="15"/>
      <c r="AZ58" s="13" t="s">
        <v>105</v>
      </c>
      <c r="BA58" s="15" t="str">
        <f>VLOOKUP(AZ58,'Axe 2 Règles de gestion'!$D$2:$F$85,3, FALSE)</f>
        <v>L'agent doit être en position d'activité ou de congé parental.</v>
      </c>
      <c r="BB58" s="13" t="s">
        <v>228</v>
      </c>
      <c r="BC58" s="15" t="str">
        <f>VLOOKUP(BB58,'Axe 2 Règles de gestion'!$D$2:$F$85,3, FALSE)</f>
        <v>L'agent doit avoir effectué 10 ans de services effectifs.</v>
      </c>
      <c r="BD58" s="13" t="s">
        <v>230</v>
      </c>
      <c r="BE58" s="15" t="str">
        <f>VLOOKUP(BD58,'Axe 2 Règles de gestion'!$D$2:$F$85,3, FALSE)</f>
        <v>La date de début de la formation doit être postérieure ou égale à la date de recrutement dans la FPE ou dans la carrière militaire.</v>
      </c>
      <c r="BF58" s="13" t="s">
        <v>232</v>
      </c>
      <c r="BG58" s="15" t="str">
        <f>VLOOKUP(BF58,'Axe 2 Règles de gestion'!$D$2:$F$85,3, FALSE)</f>
        <v>La date de début de la formation doit être antérieure ou égale à la date de fin de la formation.</v>
      </c>
      <c r="BH58" s="13" t="s">
        <v>234</v>
      </c>
      <c r="BI58" s="15" t="str">
        <f>VLOOKUP(BH58,'Axe 2 Règles de gestion'!$D$2:$F$85,3, FALSE)</f>
        <v>La date de fin de formation doit être antérieure ou égale à la date limite de départ à la retraite.</v>
      </c>
      <c r="BJ58" s="13"/>
      <c r="BK58" s="15"/>
      <c r="BL58" s="13"/>
      <c r="BM58" s="15"/>
      <c r="BN58" s="13"/>
      <c r="BO58" s="15"/>
      <c r="BP58" s="13"/>
      <c r="BQ58" s="15"/>
      <c r="BR58" s="13"/>
      <c r="BS58" s="15"/>
      <c r="BT58" s="13"/>
      <c r="BU58" s="15"/>
      <c r="BV58" s="13"/>
      <c r="BW58" s="15"/>
      <c r="BX58" s="13"/>
      <c r="BY58" s="15"/>
      <c r="BZ58" s="13"/>
      <c r="CA58" s="15"/>
    </row>
    <row r="59" spans="1:79" ht="87" x14ac:dyDescent="0.35">
      <c r="A59" s="13" t="s">
        <v>80</v>
      </c>
      <c r="B59" s="13" t="s">
        <v>81</v>
      </c>
      <c r="C59" s="14">
        <v>43775.69027777778</v>
      </c>
      <c r="D59" s="13" t="s">
        <v>205</v>
      </c>
      <c r="E59" s="15" t="s">
        <v>206</v>
      </c>
      <c r="F59" s="13" t="s">
        <v>207</v>
      </c>
      <c r="G59" s="15" t="s">
        <v>208</v>
      </c>
      <c r="H59" s="13" t="s">
        <v>209</v>
      </c>
      <c r="I59" s="15" t="s">
        <v>210</v>
      </c>
      <c r="J59" s="15" t="s">
        <v>211</v>
      </c>
      <c r="K59" s="15" t="s">
        <v>212</v>
      </c>
      <c r="L59" s="13" t="s">
        <v>213</v>
      </c>
      <c r="M59" s="15" t="s">
        <v>214</v>
      </c>
      <c r="N59" s="13" t="s">
        <v>91</v>
      </c>
      <c r="O59" s="15"/>
      <c r="P59" s="15"/>
      <c r="Q59" s="15" t="s">
        <v>92</v>
      </c>
      <c r="R59" s="13" t="s">
        <v>93</v>
      </c>
      <c r="S59" s="13" t="s">
        <v>94</v>
      </c>
      <c r="T59" s="13" t="s">
        <v>95</v>
      </c>
      <c r="U59" s="14">
        <v>42866</v>
      </c>
      <c r="V59" s="14"/>
      <c r="W59" s="15" t="s">
        <v>236</v>
      </c>
      <c r="X59" s="13" t="s">
        <v>216</v>
      </c>
      <c r="Y59" s="15" t="str">
        <f>VLOOKUP(X59,'Axe 2 Règles de gestion'!$D$2:$F$85,3, FALSE)</f>
        <v>L'agent ou l'administration peuvent être à l'origine de la demande.</v>
      </c>
      <c r="Z59" s="13" t="s">
        <v>218</v>
      </c>
      <c r="AA59" s="15" t="str">
        <f>VLOOKUP(Z59,'Axe 2 Règles de gestion'!$D$2:$F$85,3, FALSE)</f>
        <v>Si l'agent est en congé parental, la demande doit être formulée 6 mois au plus avant l'expiration de la dernière période de congé parental.</v>
      </c>
      <c r="AB59" s="13" t="s">
        <v>220</v>
      </c>
      <c r="AC59" s="15" t="str">
        <f>VLOOKUP(AB59,'Axe 2 Règles de gestion'!$D$2:$F$85,3, FALSE)</f>
        <v>L'administration doit fournir une réponse écrite à l'agent dans un délai de 2 mois suivant la date de la demande.</v>
      </c>
      <c r="AD59" s="13" t="s">
        <v>222</v>
      </c>
      <c r="AE59" s="15" t="str">
        <f>VLOOKUP(AD59,'Axe 2 Règles de gestion'!$D$2:$F$85,3, FALSE)</f>
        <v>En cas de refus, l'administration doit motiver sa décision.</v>
      </c>
      <c r="AF59" s="13" t="s">
        <v>224</v>
      </c>
      <c r="AG59" s="15" t="str">
        <f>VLOOKUP(AF59,'Axe 2 Règles de gestion'!$D$2:$F$85,3, FALSE)</f>
        <v>Une convention entre l'agent bénéficiaire, l'administration et l'organisme prestataire du bilan de compétences doit être établie.</v>
      </c>
      <c r="AH59" s="13" t="s">
        <v>237</v>
      </c>
      <c r="AI59" s="15" t="str">
        <f>VLOOKUP(AH59,'Axe 2 Règles de gestion'!$D$2:$F$85,3, FALSE)</f>
        <v>L'agent ne peut prétendre à un autre bilan de compétences qu'à l'expiration d'un délai d'au moins 5 ans après le précédent.</v>
      </c>
      <c r="AJ59" s="13" t="s">
        <v>239</v>
      </c>
      <c r="AK59" s="15" t="str">
        <f>VLOOKUP(AJ59,'Axe 2 Règles de gestion'!$D$2:$F$85,3, FALSE)</f>
        <v>L'agent peut utiliser son compte personnel de formation afin de compléter la préparation ou la réalisation de son bilan de compétences.</v>
      </c>
      <c r="AL59" s="13"/>
      <c r="AM59" s="15"/>
      <c r="AN59" s="13"/>
      <c r="AO59" s="15"/>
      <c r="AP59" s="13"/>
      <c r="AQ59" s="15"/>
      <c r="AR59" s="13"/>
      <c r="AS59" s="15"/>
      <c r="AT59" s="13"/>
      <c r="AU59" s="15"/>
      <c r="AV59" s="13"/>
      <c r="AW59" s="15"/>
      <c r="AX59" s="13"/>
      <c r="AY59" s="15"/>
      <c r="AZ59" s="13" t="s">
        <v>105</v>
      </c>
      <c r="BA59" s="15" t="str">
        <f>VLOOKUP(AZ59,'Axe 2 Règles de gestion'!$D$2:$F$85,3, FALSE)</f>
        <v>L'agent doit être en position d'activité ou de congé parental.</v>
      </c>
      <c r="BB59" s="13"/>
      <c r="BC59" s="15"/>
      <c r="BD59" s="13" t="s">
        <v>230</v>
      </c>
      <c r="BE59" s="15" t="str">
        <f>VLOOKUP(BD59,'Axe 2 Règles de gestion'!$D$2:$F$85,3, FALSE)</f>
        <v>La date de début de la formation doit être postérieure ou égale à la date de recrutement dans la FPE ou dans la carrière militaire.</v>
      </c>
      <c r="BF59" s="13" t="s">
        <v>232</v>
      </c>
      <c r="BG59" s="15" t="str">
        <f>VLOOKUP(BF59,'Axe 2 Règles de gestion'!$D$2:$F$85,3, FALSE)</f>
        <v>La date de début de la formation doit être antérieure ou égale à la date de fin de la formation.</v>
      </c>
      <c r="BH59" s="13" t="s">
        <v>234</v>
      </c>
      <c r="BI59" s="15" t="str">
        <f>VLOOKUP(BH59,'Axe 2 Règles de gestion'!$D$2:$F$85,3, FALSE)</f>
        <v>La date de fin de formation doit être antérieure ou égale à la date limite de départ à la retraite.</v>
      </c>
      <c r="BJ59" s="13"/>
      <c r="BK59" s="15"/>
      <c r="BL59" s="13"/>
      <c r="BM59" s="15"/>
      <c r="BN59" s="13"/>
      <c r="BO59" s="15"/>
      <c r="BP59" s="13"/>
      <c r="BQ59" s="15"/>
      <c r="BR59" s="13"/>
      <c r="BS59" s="15"/>
      <c r="BT59" s="13"/>
      <c r="BU59" s="15"/>
      <c r="BV59" s="13"/>
      <c r="BW59" s="15"/>
      <c r="BX59" s="13"/>
      <c r="BY59" s="15"/>
      <c r="BZ59" s="13"/>
      <c r="CA59" s="15"/>
    </row>
    <row r="60" spans="1:79" ht="87" x14ac:dyDescent="0.35">
      <c r="A60" s="13" t="s">
        <v>80</v>
      </c>
      <c r="B60" s="13" t="s">
        <v>81</v>
      </c>
      <c r="C60" s="14">
        <v>43756.491666666669</v>
      </c>
      <c r="D60" s="13" t="s">
        <v>205</v>
      </c>
      <c r="E60" s="15" t="s">
        <v>206</v>
      </c>
      <c r="F60" s="13" t="s">
        <v>207</v>
      </c>
      <c r="G60" s="15" t="s">
        <v>208</v>
      </c>
      <c r="H60" s="13" t="s">
        <v>209</v>
      </c>
      <c r="I60" s="15" t="s">
        <v>210</v>
      </c>
      <c r="J60" s="15" t="s">
        <v>211</v>
      </c>
      <c r="K60" s="15" t="s">
        <v>212</v>
      </c>
      <c r="L60" s="13" t="s">
        <v>241</v>
      </c>
      <c r="M60" s="15" t="s">
        <v>242</v>
      </c>
      <c r="N60" s="13" t="s">
        <v>127</v>
      </c>
      <c r="O60" s="15"/>
      <c r="P60" s="15"/>
      <c r="Q60" s="15" t="s">
        <v>92</v>
      </c>
      <c r="R60" s="13" t="s">
        <v>93</v>
      </c>
      <c r="S60" s="13" t="s">
        <v>94</v>
      </c>
      <c r="T60" s="13" t="s">
        <v>95</v>
      </c>
      <c r="U60" s="14">
        <v>40725</v>
      </c>
      <c r="V60" s="14"/>
      <c r="W60" s="15" t="s">
        <v>243</v>
      </c>
      <c r="X60" s="13" t="s">
        <v>244</v>
      </c>
      <c r="Y60" s="15" t="str">
        <f>VLOOKUP(X60,'Axe 2 Règles de gestion'!$D$2:$F$85,3, FALSE)</f>
        <v>Si l'agent ne s'y oppose pas, le document de synthèse du bilan peut être communiqué au service chargé des ressources humaines de son administration d'emploi.</v>
      </c>
      <c r="Z60" s="13" t="s">
        <v>246</v>
      </c>
      <c r="AA60" s="15" t="str">
        <f>VLOOKUP(Z60,'Axe 2 Règles de gestion'!$D$2:$F$85,3, FALSE)</f>
        <v>L'agent présente à son chef de service une attestation de fréquentation effective délivrée par l'organisme prestataire.</v>
      </c>
      <c r="AB60" s="13"/>
      <c r="AC60" s="15"/>
      <c r="AD60" s="13"/>
      <c r="AE60" s="15"/>
      <c r="AF60" s="13"/>
      <c r="AG60" s="15"/>
      <c r="AH60" s="13"/>
      <c r="AI60" s="15"/>
      <c r="AJ60" s="13"/>
      <c r="AK60" s="15"/>
      <c r="AL60" s="13"/>
      <c r="AM60" s="15"/>
      <c r="AN60" s="13"/>
      <c r="AO60" s="15"/>
      <c r="AP60" s="13"/>
      <c r="AQ60" s="15"/>
      <c r="AR60" s="13"/>
      <c r="AS60" s="15"/>
      <c r="AT60" s="13"/>
      <c r="AU60" s="15"/>
      <c r="AV60" s="13"/>
      <c r="AW60" s="15"/>
      <c r="AX60" s="13"/>
      <c r="AY60" s="15"/>
      <c r="AZ60" s="13"/>
      <c r="BA60" s="15"/>
      <c r="BB60" s="13"/>
      <c r="BC60" s="15"/>
      <c r="BD60" s="13" t="s">
        <v>232</v>
      </c>
      <c r="BE60" s="15" t="str">
        <f>VLOOKUP(BD60,'Axe 2 Règles de gestion'!$D$2:$F$85,3, FALSE)</f>
        <v>La date de début de la formation doit être antérieure ou égale à la date de fin de la formation.</v>
      </c>
      <c r="BF60" s="13" t="s">
        <v>234</v>
      </c>
      <c r="BG60" s="15" t="str">
        <f>VLOOKUP(BF60,'Axe 2 Règles de gestion'!$D$2:$F$85,3, FALSE)</f>
        <v>La date de fin de formation doit être antérieure ou égale à la date limite de départ à la retraite.</v>
      </c>
      <c r="BH60" s="13"/>
      <c r="BI60" s="15"/>
      <c r="BJ60" s="13"/>
      <c r="BK60" s="15"/>
      <c r="BL60" s="13"/>
      <c r="BM60" s="15"/>
      <c r="BN60" s="13"/>
      <c r="BO60" s="15"/>
      <c r="BP60" s="13"/>
      <c r="BQ60" s="15"/>
      <c r="BR60" s="13"/>
      <c r="BS60" s="15"/>
      <c r="BT60" s="13"/>
      <c r="BU60" s="15"/>
      <c r="BV60" s="13"/>
      <c r="BW60" s="15"/>
      <c r="BX60" s="13"/>
      <c r="BY60" s="15"/>
      <c r="BZ60" s="13"/>
      <c r="CA60" s="15"/>
    </row>
    <row r="61" spans="1:79" ht="29" x14ac:dyDescent="0.35">
      <c r="A61" s="13" t="s">
        <v>80</v>
      </c>
      <c r="B61" s="13" t="s">
        <v>81</v>
      </c>
      <c r="C61" s="14">
        <v>43756.48333333333</v>
      </c>
      <c r="D61" s="13" t="s">
        <v>205</v>
      </c>
      <c r="E61" s="15" t="s">
        <v>206</v>
      </c>
      <c r="F61" s="13" t="s">
        <v>207</v>
      </c>
      <c r="G61" s="15" t="s">
        <v>208</v>
      </c>
      <c r="H61" s="13" t="s">
        <v>209</v>
      </c>
      <c r="I61" s="15" t="s">
        <v>210</v>
      </c>
      <c r="J61" s="15" t="s">
        <v>211</v>
      </c>
      <c r="K61" s="15" t="s">
        <v>212</v>
      </c>
      <c r="L61" s="13" t="s">
        <v>213</v>
      </c>
      <c r="M61" s="15" t="s">
        <v>214</v>
      </c>
      <c r="N61" s="13" t="s">
        <v>91</v>
      </c>
      <c r="O61" s="15"/>
      <c r="P61" s="15"/>
      <c r="Q61" s="15" t="s">
        <v>129</v>
      </c>
      <c r="R61" s="13" t="s">
        <v>130</v>
      </c>
      <c r="S61" s="13" t="s">
        <v>94</v>
      </c>
      <c r="T61" s="13" t="s">
        <v>131</v>
      </c>
      <c r="U61" s="14">
        <v>40725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5"/>
      <c r="AP61" s="13"/>
      <c r="AQ61" s="15"/>
      <c r="AR61" s="13"/>
      <c r="AS61" s="15"/>
      <c r="AT61" s="13"/>
      <c r="AU61" s="15"/>
      <c r="AV61" s="13"/>
      <c r="AW61" s="15"/>
      <c r="AX61" s="13"/>
      <c r="AY61" s="15"/>
      <c r="AZ61" s="13"/>
      <c r="BA61" s="15"/>
      <c r="BB61" s="13"/>
      <c r="BC61" s="15"/>
      <c r="BD61" s="13"/>
      <c r="BE61" s="15"/>
      <c r="BF61" s="13"/>
      <c r="BG61" s="15"/>
      <c r="BH61" s="13"/>
      <c r="BI61" s="15"/>
      <c r="BJ61" s="13"/>
      <c r="BK61" s="15"/>
      <c r="BL61" s="13"/>
      <c r="BM61" s="15"/>
      <c r="BN61" s="13"/>
      <c r="BO61" s="15"/>
      <c r="BP61" s="13"/>
      <c r="BQ61" s="15"/>
      <c r="BR61" s="13"/>
      <c r="BS61" s="15"/>
      <c r="BT61" s="13"/>
      <c r="BU61" s="15"/>
      <c r="BV61" s="13"/>
      <c r="BW61" s="15"/>
      <c r="BX61" s="13"/>
      <c r="BY61" s="15"/>
      <c r="BZ61" s="13"/>
      <c r="CA61" s="15"/>
    </row>
    <row r="62" spans="1:79" ht="29" x14ac:dyDescent="0.35">
      <c r="A62" s="13" t="s">
        <v>80</v>
      </c>
      <c r="B62" s="13" t="s">
        <v>81</v>
      </c>
      <c r="C62" s="14">
        <v>43756.492361111108</v>
      </c>
      <c r="D62" s="13" t="s">
        <v>205</v>
      </c>
      <c r="E62" s="15" t="s">
        <v>206</v>
      </c>
      <c r="F62" s="13" t="s">
        <v>207</v>
      </c>
      <c r="G62" s="15" t="s">
        <v>208</v>
      </c>
      <c r="H62" s="13" t="s">
        <v>209</v>
      </c>
      <c r="I62" s="15" t="s">
        <v>210</v>
      </c>
      <c r="J62" s="15" t="s">
        <v>211</v>
      </c>
      <c r="K62" s="15" t="s">
        <v>212</v>
      </c>
      <c r="L62" s="13" t="s">
        <v>241</v>
      </c>
      <c r="M62" s="15" t="s">
        <v>242</v>
      </c>
      <c r="N62" s="13" t="s">
        <v>127</v>
      </c>
      <c r="O62" s="15"/>
      <c r="P62" s="15"/>
      <c r="Q62" s="15" t="s">
        <v>129</v>
      </c>
      <c r="R62" s="13" t="s">
        <v>130</v>
      </c>
      <c r="S62" s="13" t="s">
        <v>94</v>
      </c>
      <c r="T62" s="13" t="s">
        <v>131</v>
      </c>
      <c r="U62" s="14">
        <v>40725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5"/>
      <c r="AP62" s="13"/>
      <c r="AQ62" s="15"/>
      <c r="AR62" s="13"/>
      <c r="AS62" s="15"/>
      <c r="AT62" s="13"/>
      <c r="AU62" s="15"/>
      <c r="AV62" s="13"/>
      <c r="AW62" s="15"/>
      <c r="AX62" s="13"/>
      <c r="AY62" s="15"/>
      <c r="AZ62" s="13"/>
      <c r="BA62" s="15"/>
      <c r="BB62" s="13"/>
      <c r="BC62" s="15"/>
      <c r="BD62" s="13"/>
      <c r="BE62" s="15"/>
      <c r="BF62" s="13"/>
      <c r="BG62" s="15"/>
      <c r="BH62" s="13"/>
      <c r="BI62" s="15"/>
      <c r="BJ62" s="13"/>
      <c r="BK62" s="15"/>
      <c r="BL62" s="13"/>
      <c r="BM62" s="15"/>
      <c r="BN62" s="13"/>
      <c r="BO62" s="15"/>
      <c r="BP62" s="13"/>
      <c r="BQ62" s="15"/>
      <c r="BR62" s="13"/>
      <c r="BS62" s="15"/>
      <c r="BT62" s="13"/>
      <c r="BU62" s="15"/>
      <c r="BV62" s="13"/>
      <c r="BW62" s="15"/>
      <c r="BX62" s="13"/>
      <c r="BY62" s="15"/>
      <c r="BZ62" s="13"/>
      <c r="CA62" s="15"/>
    </row>
    <row r="63" spans="1:79" ht="101.5" x14ac:dyDescent="0.35">
      <c r="A63" s="13" t="s">
        <v>80</v>
      </c>
      <c r="B63" s="13" t="s">
        <v>81</v>
      </c>
      <c r="C63" s="14">
        <v>43851.474999999999</v>
      </c>
      <c r="D63" s="13" t="s">
        <v>205</v>
      </c>
      <c r="E63" s="15" t="s">
        <v>206</v>
      </c>
      <c r="F63" s="13" t="s">
        <v>207</v>
      </c>
      <c r="G63" s="15" t="s">
        <v>208</v>
      </c>
      <c r="H63" s="13" t="s">
        <v>209</v>
      </c>
      <c r="I63" s="15" t="s">
        <v>210</v>
      </c>
      <c r="J63" s="15" t="s">
        <v>211</v>
      </c>
      <c r="K63" s="15" t="s">
        <v>212</v>
      </c>
      <c r="L63" s="13" t="s">
        <v>213</v>
      </c>
      <c r="M63" s="15" t="s">
        <v>214</v>
      </c>
      <c r="N63" s="13" t="s">
        <v>91</v>
      </c>
      <c r="O63" s="15"/>
      <c r="P63" s="15"/>
      <c r="Q63" s="15" t="s">
        <v>132</v>
      </c>
      <c r="R63" s="13" t="s">
        <v>133</v>
      </c>
      <c r="S63" s="13" t="s">
        <v>94</v>
      </c>
      <c r="T63" s="13" t="s">
        <v>95</v>
      </c>
      <c r="U63" s="14">
        <v>40725</v>
      </c>
      <c r="V63" s="14">
        <v>42865</v>
      </c>
      <c r="W63" s="15" t="s">
        <v>248</v>
      </c>
      <c r="X63" s="13" t="s">
        <v>135</v>
      </c>
      <c r="Y63" s="15" t="str">
        <f>VLOOKUP(X63,'Axe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63" s="13" t="s">
        <v>216</v>
      </c>
      <c r="AA63" s="15" t="str">
        <f>VLOOKUP(Z63,'Axe 2 Règles de gestion'!$D$2:$F$85,3, FALSE)</f>
        <v>L'agent ou l'administration peuvent être à l'origine de la demande.</v>
      </c>
      <c r="AB63" s="13" t="s">
        <v>249</v>
      </c>
      <c r="AC63" s="15" t="str">
        <f>VLOOKUP(AB63,'Axe 2 Règles de gestion'!$D$2:$F$85,3, FALSE)</f>
        <v>Si l'agent est en congé parental, la demande doit être formulée 6 mois au plus avant l'expiration de la dernière période de congé parental.</v>
      </c>
      <c r="AD63" s="13" t="s">
        <v>220</v>
      </c>
      <c r="AE63" s="15" t="str">
        <f>VLOOKUP(AD63,'Axe 2 Règles de gestion'!$D$2:$F$85,3, FALSE)</f>
        <v>L'administration doit fournir une réponse écrite à l'agent dans un délai de 2 mois suivant la date de la demande.</v>
      </c>
      <c r="AF63" s="13" t="s">
        <v>222</v>
      </c>
      <c r="AG63" s="15" t="str">
        <f>VLOOKUP(AF63,'Axe 2 Règles de gestion'!$D$2:$F$85,3, FALSE)</f>
        <v>En cas de refus, l'administration doit motiver sa décision.</v>
      </c>
      <c r="AH63" s="13" t="s">
        <v>224</v>
      </c>
      <c r="AI63" s="15" t="str">
        <f>VLOOKUP(AH63,'Axe 2 Règles de gestion'!$D$2:$F$85,3, FALSE)</f>
        <v>Une convention entre l'agent bénéficiaire, l'administration et l'organisme prestataire du bilan de compétences doit être établie.</v>
      </c>
      <c r="AJ63" s="13" t="s">
        <v>250</v>
      </c>
      <c r="AK63" s="15" t="str">
        <f>VLOOKUP(AJ63,'Axe 2 Règles de gestion'!$D$2:$F$85,3, FALSE)</f>
        <v>Un agent peut prétendre à un seul autre bilan de compétences, au moins 5 ans après le précédent.</v>
      </c>
      <c r="AL63" s="13"/>
      <c r="AM63" s="15"/>
      <c r="AN63" s="13"/>
      <c r="AO63" s="15"/>
      <c r="AP63" s="13"/>
      <c r="AQ63" s="15"/>
      <c r="AR63" s="13"/>
      <c r="AS63" s="15"/>
      <c r="AT63" s="13"/>
      <c r="AU63" s="15"/>
      <c r="AV63" s="13"/>
      <c r="AW63" s="15"/>
      <c r="AX63" s="13"/>
      <c r="AY63" s="15"/>
      <c r="AZ63" s="13" t="s">
        <v>139</v>
      </c>
      <c r="BA63" s="15" t="str">
        <f>VLOOKUP(AZ63,'Axe 2 Règles de gestion'!$D$2:$F$85,3, FALSE)</f>
        <v>L'agent doit être en position d'activité ou de congé parental.</v>
      </c>
      <c r="BB63" s="13" t="s">
        <v>251</v>
      </c>
      <c r="BC63" s="15" t="str">
        <f>VLOOKUP(BB63,'Axe 2 Règles de gestion'!$D$2:$F$85,3, FALSE)</f>
        <v>L'agent doit avoir effectué 10 ans de services effectifs.</v>
      </c>
      <c r="BD63" s="13" t="s">
        <v>252</v>
      </c>
      <c r="BE63" s="15" t="str">
        <f>VLOOKUP(BD63,'Axe 2 Règles de gestion'!$D$2:$F$85,3, FALSE)</f>
        <v>La date de début de la formation doit être postérieure ou égale à la date de début du lien juridique.</v>
      </c>
      <c r="BF63" s="13" t="s">
        <v>232</v>
      </c>
      <c r="BG63" s="15" t="str">
        <f>VLOOKUP(BF63,'Axe 2 Règles de gestion'!$D$2:$F$85,3, FALSE)</f>
        <v>La date de début de la formation doit être antérieure ou égale à la date de fin de la formation.</v>
      </c>
      <c r="BH63" s="13" t="s">
        <v>234</v>
      </c>
      <c r="BI63" s="15" t="str">
        <f>VLOOKUP(BH63,'Axe 2 Règles de gestion'!$D$2:$F$85,3, FALSE)</f>
        <v>La date de fin de formation doit être antérieure ou égale à la date limite de départ à la retraite.</v>
      </c>
      <c r="BJ63" s="13" t="s">
        <v>254</v>
      </c>
      <c r="BK63" s="15" t="str">
        <f>VLOOKUP(BJ63,'Axe 2 Règles de gestion'!$D$2:$F$85,3, FALSE)</f>
        <v>La date de fin de la formation doit être antérieure ou égale à la date limite de fin réelle ou prévisionnelle du lien juridique.</v>
      </c>
      <c r="BL63" s="13"/>
      <c r="BM63" s="15"/>
      <c r="BN63" s="13"/>
      <c r="BO63" s="15"/>
      <c r="BP63" s="13"/>
      <c r="BQ63" s="15"/>
      <c r="BR63" s="13"/>
      <c r="BS63" s="15"/>
      <c r="BT63" s="13"/>
      <c r="BU63" s="15"/>
      <c r="BV63" s="13"/>
      <c r="BW63" s="15"/>
      <c r="BX63" s="13"/>
      <c r="BY63" s="15"/>
      <c r="BZ63" s="13"/>
      <c r="CA63" s="15"/>
    </row>
    <row r="64" spans="1:79" ht="101.5" x14ac:dyDescent="0.35">
      <c r="A64" s="13" t="s">
        <v>80</v>
      </c>
      <c r="B64" s="13" t="s">
        <v>81</v>
      </c>
      <c r="C64" s="14">
        <v>43851.474999999999</v>
      </c>
      <c r="D64" s="13" t="s">
        <v>205</v>
      </c>
      <c r="E64" s="15" t="s">
        <v>206</v>
      </c>
      <c r="F64" s="13" t="s">
        <v>207</v>
      </c>
      <c r="G64" s="15" t="s">
        <v>208</v>
      </c>
      <c r="H64" s="13" t="s">
        <v>209</v>
      </c>
      <c r="I64" s="15" t="s">
        <v>210</v>
      </c>
      <c r="J64" s="15" t="s">
        <v>211</v>
      </c>
      <c r="K64" s="15" t="s">
        <v>212</v>
      </c>
      <c r="L64" s="13" t="s">
        <v>213</v>
      </c>
      <c r="M64" s="15" t="s">
        <v>214</v>
      </c>
      <c r="N64" s="13" t="s">
        <v>91</v>
      </c>
      <c r="O64" s="15"/>
      <c r="P64" s="15"/>
      <c r="Q64" s="15" t="s">
        <v>132</v>
      </c>
      <c r="R64" s="13" t="s">
        <v>133</v>
      </c>
      <c r="S64" s="13" t="s">
        <v>94</v>
      </c>
      <c r="T64" s="13" t="s">
        <v>95</v>
      </c>
      <c r="U64" s="14">
        <v>42866</v>
      </c>
      <c r="V64" s="14"/>
      <c r="W64" s="15" t="s">
        <v>256</v>
      </c>
      <c r="X64" s="13" t="s">
        <v>135</v>
      </c>
      <c r="Y64" s="15" t="str">
        <f>VLOOKUP(X64,'Axe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64" s="13" t="s">
        <v>216</v>
      </c>
      <c r="AA64" s="15" t="str">
        <f>VLOOKUP(Z64,'Axe 2 Règles de gestion'!$D$2:$F$85,3, FALSE)</f>
        <v>L'agent ou l'administration peuvent être à l'origine de la demande.</v>
      </c>
      <c r="AB64" s="13" t="s">
        <v>249</v>
      </c>
      <c r="AC64" s="15" t="str">
        <f>VLOOKUP(AB64,'Axe 2 Règles de gestion'!$D$2:$F$85,3, FALSE)</f>
        <v>Si l'agent est en congé parental, la demande doit être formulée 6 mois au plus avant l'expiration de la dernière période de congé parental.</v>
      </c>
      <c r="AD64" s="13" t="s">
        <v>220</v>
      </c>
      <c r="AE64" s="15" t="str">
        <f>VLOOKUP(AD64,'Axe 2 Règles de gestion'!$D$2:$F$85,3, FALSE)</f>
        <v>L'administration doit fournir une réponse écrite à l'agent dans un délai de 2 mois suivant la date de la demande.</v>
      </c>
      <c r="AF64" s="13" t="s">
        <v>222</v>
      </c>
      <c r="AG64" s="15" t="str">
        <f>VLOOKUP(AF64,'Axe 2 Règles de gestion'!$D$2:$F$85,3, FALSE)</f>
        <v>En cas de refus, l'administration doit motiver sa décision.</v>
      </c>
      <c r="AH64" s="13" t="s">
        <v>224</v>
      </c>
      <c r="AI64" s="15" t="str">
        <f>VLOOKUP(AH64,'Axe 2 Règles de gestion'!$D$2:$F$85,3, FALSE)</f>
        <v>Une convention entre l'agent bénéficiaire, l'administration et l'organisme prestataire du bilan de compétences doit être établie.</v>
      </c>
      <c r="AJ64" s="13" t="s">
        <v>257</v>
      </c>
      <c r="AK64" s="15" t="str">
        <f>VLOOKUP(AJ64,'Axe 2 Règles de gestion'!$D$2:$F$85,3, FALSE)</f>
        <v>Un agent ne peut prétendre à un autre bilan de compétences qu'à l'expiration d'un délai d'au moins 5 ans après le précédent.</v>
      </c>
      <c r="AL64" s="13" t="s">
        <v>259</v>
      </c>
      <c r="AM64" s="15" t="str">
        <f>VLOOKUP(AL64,'Axe 2 Règles de gestion'!$D$2:$F$85,3, FALSE)</f>
        <v>L'agent peut utiliser son compte personnel de formation afin de compléter la préparation ou la réalisation de son bilan de compétences.</v>
      </c>
      <c r="AN64" s="13"/>
      <c r="AO64" s="15"/>
      <c r="AP64" s="13"/>
      <c r="AQ64" s="15"/>
      <c r="AR64" s="13"/>
      <c r="AS64" s="15"/>
      <c r="AT64" s="13"/>
      <c r="AU64" s="15"/>
      <c r="AV64" s="13"/>
      <c r="AW64" s="15"/>
      <c r="AX64" s="13"/>
      <c r="AY64" s="15"/>
      <c r="AZ64" s="13" t="s">
        <v>139</v>
      </c>
      <c r="BA64" s="15" t="str">
        <f>VLOOKUP(AZ64,'Axe 2 Règles de gestion'!$D$2:$F$85,3, FALSE)</f>
        <v>L'agent doit être en position d'activité ou de congé parental.</v>
      </c>
      <c r="BB64" s="13"/>
      <c r="BC64" s="15"/>
      <c r="BD64" s="13" t="s">
        <v>252</v>
      </c>
      <c r="BE64" s="15" t="str">
        <f>VLOOKUP(BD64,'Axe 2 Règles de gestion'!$D$2:$F$85,3, FALSE)</f>
        <v>La date de début de la formation doit être postérieure ou égale à la date de début du lien juridique.</v>
      </c>
      <c r="BF64" s="13" t="s">
        <v>232</v>
      </c>
      <c r="BG64" s="15" t="str">
        <f>VLOOKUP(BF64,'Axe 2 Règles de gestion'!$D$2:$F$85,3, FALSE)</f>
        <v>La date de début de la formation doit être antérieure ou égale à la date de fin de la formation.</v>
      </c>
      <c r="BH64" s="13" t="s">
        <v>234</v>
      </c>
      <c r="BI64" s="15" t="str">
        <f>VLOOKUP(BH64,'Axe 2 Règles de gestion'!$D$2:$F$85,3, FALSE)</f>
        <v>La date de fin de formation doit être antérieure ou égale à la date limite de départ à la retraite.</v>
      </c>
      <c r="BJ64" s="13" t="s">
        <v>254</v>
      </c>
      <c r="BK64" s="15" t="str">
        <f>VLOOKUP(BJ64,'Axe 2 Règles de gestion'!$D$2:$F$85,3, FALSE)</f>
        <v>La date de fin de la formation doit être antérieure ou égale à la date limite de fin réelle ou prévisionnelle du lien juridique.</v>
      </c>
      <c r="BL64" s="13"/>
      <c r="BM64" s="15"/>
      <c r="BN64" s="13"/>
      <c r="BO64" s="15"/>
      <c r="BP64" s="13"/>
      <c r="BQ64" s="15"/>
      <c r="BR64" s="13"/>
      <c r="BS64" s="15"/>
      <c r="BT64" s="13"/>
      <c r="BU64" s="15"/>
      <c r="BV64" s="13"/>
      <c r="BW64" s="15"/>
      <c r="BX64" s="13"/>
      <c r="BY64" s="15"/>
      <c r="BZ64" s="13"/>
      <c r="CA64" s="15"/>
    </row>
    <row r="65" spans="1:79" ht="101.5" x14ac:dyDescent="0.35">
      <c r="A65" s="13" t="s">
        <v>80</v>
      </c>
      <c r="B65" s="13" t="s">
        <v>81</v>
      </c>
      <c r="C65" s="14">
        <v>43851.476388888892</v>
      </c>
      <c r="D65" s="13" t="s">
        <v>205</v>
      </c>
      <c r="E65" s="15" t="s">
        <v>206</v>
      </c>
      <c r="F65" s="13" t="s">
        <v>207</v>
      </c>
      <c r="G65" s="15" t="s">
        <v>208</v>
      </c>
      <c r="H65" s="13" t="s">
        <v>209</v>
      </c>
      <c r="I65" s="15" t="s">
        <v>210</v>
      </c>
      <c r="J65" s="15" t="s">
        <v>211</v>
      </c>
      <c r="K65" s="15" t="s">
        <v>212</v>
      </c>
      <c r="L65" s="13" t="s">
        <v>241</v>
      </c>
      <c r="M65" s="15" t="s">
        <v>242</v>
      </c>
      <c r="N65" s="13" t="s">
        <v>127</v>
      </c>
      <c r="O65" s="15"/>
      <c r="P65" s="15"/>
      <c r="Q65" s="15" t="s">
        <v>132</v>
      </c>
      <c r="R65" s="13" t="s">
        <v>133</v>
      </c>
      <c r="S65" s="13" t="s">
        <v>94</v>
      </c>
      <c r="T65" s="13" t="s">
        <v>95</v>
      </c>
      <c r="U65" s="14">
        <v>40725</v>
      </c>
      <c r="V65" s="14"/>
      <c r="W65" s="15" t="s">
        <v>260</v>
      </c>
      <c r="X65" s="13" t="s">
        <v>135</v>
      </c>
      <c r="Y65" s="15" t="str">
        <f>VLOOKUP(X65,'Axe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65" s="13" t="s">
        <v>244</v>
      </c>
      <c r="AA65" s="15" t="str">
        <f>VLOOKUP(Z65,'Axe 2 Règles de gestion'!$D$2:$F$85,3, FALSE)</f>
        <v>Si l'agent ne s'y oppose pas, le document de synthèse du bilan peut être communiqué au service chargé des ressources humaines de son administration d'emploi.</v>
      </c>
      <c r="AB65" s="13" t="s">
        <v>246</v>
      </c>
      <c r="AC65" s="15" t="str">
        <f>VLOOKUP(AB65,'Axe 2 Règles de gestion'!$D$2:$F$85,3, FALSE)</f>
        <v>L'agent présente à son chef de service une attestation de fréquentation effective délivrée par l'organisme prestataire.</v>
      </c>
      <c r="AD65" s="13"/>
      <c r="AE65" s="15"/>
      <c r="AF65" s="13"/>
      <c r="AG65" s="15"/>
      <c r="AH65" s="13"/>
      <c r="AI65" s="15"/>
      <c r="AJ65" s="13"/>
      <c r="AK65" s="15"/>
      <c r="AL65" s="13"/>
      <c r="AM65" s="15"/>
      <c r="AN65" s="13"/>
      <c r="AO65" s="15"/>
      <c r="AP65" s="13"/>
      <c r="AQ65" s="15"/>
      <c r="AR65" s="13"/>
      <c r="AS65" s="15"/>
      <c r="AT65" s="13"/>
      <c r="AU65" s="15"/>
      <c r="AV65" s="13"/>
      <c r="AW65" s="15"/>
      <c r="AX65" s="13"/>
      <c r="AY65" s="15"/>
      <c r="AZ65" s="13"/>
      <c r="BA65" s="15"/>
      <c r="BB65" s="13"/>
      <c r="BC65" s="15"/>
      <c r="BD65" s="13" t="s">
        <v>232</v>
      </c>
      <c r="BE65" s="15" t="str">
        <f>VLOOKUP(BD65,'Axe 2 Règles de gestion'!$D$2:$F$85,3, FALSE)</f>
        <v>La date de début de la formation doit être antérieure ou égale à la date de fin de la formation.</v>
      </c>
      <c r="BF65" s="13" t="s">
        <v>234</v>
      </c>
      <c r="BG65" s="15" t="str">
        <f>VLOOKUP(BF65,'Axe 2 Règles de gestion'!$D$2:$F$85,3, FALSE)</f>
        <v>La date de fin de formation doit être antérieure ou égale à la date limite de départ à la retraite.</v>
      </c>
      <c r="BH65" s="13" t="s">
        <v>254</v>
      </c>
      <c r="BI65" s="15" t="str">
        <f>VLOOKUP(BH65,'Axe 2 Règles de gestion'!$D$2:$F$85,3, FALSE)</f>
        <v>La date de fin de la formation doit être antérieure ou égale à la date limite de fin réelle ou prévisionnelle du lien juridique.</v>
      </c>
      <c r="BJ65" s="13"/>
      <c r="BK65" s="15"/>
      <c r="BL65" s="13"/>
      <c r="BM65" s="15"/>
      <c r="BN65" s="13"/>
      <c r="BO65" s="15"/>
      <c r="BP65" s="13"/>
      <c r="BQ65" s="15"/>
      <c r="BR65" s="13"/>
      <c r="BS65" s="15"/>
      <c r="BT65" s="13"/>
      <c r="BU65" s="15"/>
      <c r="BV65" s="13"/>
      <c r="BW65" s="15"/>
      <c r="BX65" s="13"/>
      <c r="BY65" s="15"/>
      <c r="BZ65" s="13"/>
      <c r="CA65" s="15"/>
    </row>
    <row r="66" spans="1:79" ht="87" x14ac:dyDescent="0.35">
      <c r="A66" s="13" t="s">
        <v>261</v>
      </c>
      <c r="B66" s="13" t="s">
        <v>148</v>
      </c>
      <c r="C66" s="14">
        <v>45069.481944444444</v>
      </c>
      <c r="D66" s="13" t="s">
        <v>205</v>
      </c>
      <c r="E66" s="15" t="s">
        <v>206</v>
      </c>
      <c r="F66" s="13" t="s">
        <v>207</v>
      </c>
      <c r="G66" s="15" t="s">
        <v>208</v>
      </c>
      <c r="H66" s="13" t="s">
        <v>209</v>
      </c>
      <c r="I66" s="15" t="s">
        <v>210</v>
      </c>
      <c r="J66" s="15" t="s">
        <v>211</v>
      </c>
      <c r="K66" s="15" t="s">
        <v>212</v>
      </c>
      <c r="L66" s="13" t="s">
        <v>213</v>
      </c>
      <c r="M66" s="15" t="s">
        <v>214</v>
      </c>
      <c r="N66" s="13" t="s">
        <v>91</v>
      </c>
      <c r="O66" s="15"/>
      <c r="P66" s="15"/>
      <c r="Q66" s="15" t="s">
        <v>149</v>
      </c>
      <c r="R66" s="13" t="s">
        <v>150</v>
      </c>
      <c r="S66" s="13" t="s">
        <v>94</v>
      </c>
      <c r="T66" s="13" t="s">
        <v>95</v>
      </c>
      <c r="U66" s="14">
        <v>40725</v>
      </c>
      <c r="V66" s="14">
        <v>42865</v>
      </c>
      <c r="W66" s="15" t="s">
        <v>262</v>
      </c>
      <c r="X66" s="13" t="s">
        <v>244</v>
      </c>
      <c r="Y66" s="15" t="str">
        <f>VLOOKUP(X66,'Axe 2 Règles de gestion'!$D$2:$F$85,3, FALSE)</f>
        <v>Si l'agent ne s'y oppose pas, le document de synthèse du bilan peut être communiqué au service chargé des ressources humaines de son administration d'emploi.</v>
      </c>
      <c r="Z66" s="13" t="s">
        <v>218</v>
      </c>
      <c r="AA66" s="15" t="str">
        <f>VLOOKUP(Z66,'Axe 2 Règles de gestion'!$D$2:$F$85,3, FALSE)</f>
        <v>Si l'agent est en congé parental, la demande doit être formulée 6 mois au plus avant l'expiration de la dernière période de congé parental.</v>
      </c>
      <c r="AB66" s="13" t="s">
        <v>220</v>
      </c>
      <c r="AC66" s="15" t="str">
        <f>VLOOKUP(AB66,'Axe 2 Règles de gestion'!$D$2:$F$85,3, FALSE)</f>
        <v>L'administration doit fournir une réponse écrite à l'agent dans un délai de 2 mois suivant la date de la demande.</v>
      </c>
      <c r="AD66" s="13" t="s">
        <v>222</v>
      </c>
      <c r="AE66" s="15" t="str">
        <f>VLOOKUP(AD66,'Axe 2 Règles de gestion'!$D$2:$F$85,3, FALSE)</f>
        <v>En cas de refus, l'administration doit motiver sa décision.</v>
      </c>
      <c r="AF66" s="13" t="s">
        <v>224</v>
      </c>
      <c r="AG66" s="15" t="str">
        <f>VLOOKUP(AF66,'Axe 2 Règles de gestion'!$D$2:$F$85,3, FALSE)</f>
        <v>Une convention entre l'agent bénéficiaire, l'administration et l'organisme prestataire du bilan de compétences doit être établie.</v>
      </c>
      <c r="AH66" s="13" t="s">
        <v>226</v>
      </c>
      <c r="AI66" s="15" t="str">
        <f>VLOOKUP(AH66,'Axe 2 Règles de gestion'!$D$2:$F$85,3, FALSE)</f>
        <v>Un agent peut prétendre à un seul autre bilan de compétences, au moins 5 ans après le précédent.</v>
      </c>
      <c r="AJ66" s="13"/>
      <c r="AK66" s="15"/>
      <c r="AL66" s="13"/>
      <c r="AM66" s="15"/>
      <c r="AN66" s="13"/>
      <c r="AO66" s="15"/>
      <c r="AP66" s="13"/>
      <c r="AQ66" s="15"/>
      <c r="AR66" s="13"/>
      <c r="AS66" s="15"/>
      <c r="AT66" s="13"/>
      <c r="AU66" s="15"/>
      <c r="AV66" s="13"/>
      <c r="AW66" s="15"/>
      <c r="AX66" s="13"/>
      <c r="AY66" s="15"/>
      <c r="AZ66" s="13" t="s">
        <v>154</v>
      </c>
      <c r="BA66" s="15" t="str">
        <f>VLOOKUP(AZ66,'Axe 2 Règles de gestion'!$D$2:$F$85,3, FALSE)</f>
        <v>L'agent doit être en position d'activité ou de congé parental.</v>
      </c>
      <c r="BB66" s="13" t="s">
        <v>228</v>
      </c>
      <c r="BC66" s="15" t="str">
        <f>VLOOKUP(BB66,'Axe 2 Règles de gestion'!$D$2:$F$85,3, FALSE)</f>
        <v>L'agent doit avoir effectué 10 ans de services effectifs.</v>
      </c>
      <c r="BD66" s="13" t="s">
        <v>230</v>
      </c>
      <c r="BE66" s="15" t="str">
        <f>VLOOKUP(BD66,'Axe 2 Règles de gestion'!$D$2:$F$85,3, FALSE)</f>
        <v>La date de début de la formation doit être postérieure ou égale à la date de recrutement dans la FPE ou dans la carrière militaire.</v>
      </c>
      <c r="BF66" s="13" t="s">
        <v>232</v>
      </c>
      <c r="BG66" s="15" t="str">
        <f>VLOOKUP(BF66,'Axe 2 Règles de gestion'!$D$2:$F$85,3, FALSE)</f>
        <v>La date de début de la formation doit être antérieure ou égale à la date de fin de la formation.</v>
      </c>
      <c r="BH66" s="13" t="s">
        <v>234</v>
      </c>
      <c r="BI66" s="15" t="str">
        <f>VLOOKUP(BH66,'Axe 2 Règles de gestion'!$D$2:$F$85,3, FALSE)</f>
        <v>La date de fin de formation doit être antérieure ou égale à la date limite de départ à la retraite.</v>
      </c>
      <c r="BJ66" s="13"/>
      <c r="BK66" s="15"/>
      <c r="BL66" s="13"/>
      <c r="BM66" s="15"/>
      <c r="BN66" s="13"/>
      <c r="BO66" s="15"/>
      <c r="BP66" s="13"/>
      <c r="BQ66" s="15"/>
      <c r="BR66" s="13"/>
      <c r="BS66" s="15"/>
      <c r="BT66" s="13"/>
      <c r="BU66" s="15"/>
      <c r="BV66" s="13"/>
      <c r="BW66" s="15"/>
      <c r="BX66" s="13"/>
      <c r="BY66" s="15"/>
      <c r="BZ66" s="13"/>
      <c r="CA66" s="15"/>
    </row>
    <row r="67" spans="1:79" s="22" customFormat="1" ht="87" x14ac:dyDescent="0.35">
      <c r="A67" s="19" t="s">
        <v>147</v>
      </c>
      <c r="B67" s="19" t="s">
        <v>148</v>
      </c>
      <c r="C67" s="20">
        <v>45973.647222222222</v>
      </c>
      <c r="D67" s="19" t="s">
        <v>205</v>
      </c>
      <c r="E67" s="21" t="s">
        <v>206</v>
      </c>
      <c r="F67" s="19" t="s">
        <v>207</v>
      </c>
      <c r="G67" s="21" t="s">
        <v>208</v>
      </c>
      <c r="H67" s="19" t="s">
        <v>209</v>
      </c>
      <c r="I67" s="21" t="s">
        <v>210</v>
      </c>
      <c r="J67" s="21" t="s">
        <v>211</v>
      </c>
      <c r="K67" s="21" t="s">
        <v>212</v>
      </c>
      <c r="L67" s="19" t="s">
        <v>213</v>
      </c>
      <c r="M67" s="21" t="s">
        <v>214</v>
      </c>
      <c r="N67" s="19" t="s">
        <v>91</v>
      </c>
      <c r="O67" s="21"/>
      <c r="P67" s="21"/>
      <c r="Q67" s="21" t="s">
        <v>149</v>
      </c>
      <c r="R67" s="19" t="s">
        <v>150</v>
      </c>
      <c r="S67" s="19" t="s">
        <v>94</v>
      </c>
      <c r="T67" s="19" t="s">
        <v>95</v>
      </c>
      <c r="U67" s="20">
        <v>42866</v>
      </c>
      <c r="V67" s="20"/>
      <c r="W67" s="21" t="s">
        <v>263</v>
      </c>
      <c r="X67" s="19" t="s">
        <v>264</v>
      </c>
      <c r="Y67" s="21" t="str">
        <f>VLOOKUP(X67,'Axe 2 Règles de gestion'!$D$2:$F$85,3, FALSE)</f>
        <v>L'agent bénéficie des dispositions applicables aux agents titulaires pour la formation pour bilan de compétences, sauf dispositions particulières.</v>
      </c>
      <c r="Z67" s="19" t="s">
        <v>216</v>
      </c>
      <c r="AA67" s="21" t="str">
        <f>VLOOKUP(Z67,'Axe 2 Règles de gestion'!$D$2:$F$85,3, FALSE)</f>
        <v>L'agent ou l'administration peuvent être à l'origine de la demande.</v>
      </c>
      <c r="AB67" s="19" t="s">
        <v>218</v>
      </c>
      <c r="AC67" s="21" t="str">
        <f>VLOOKUP(AB67,'Axe 2 Règles de gestion'!$D$2:$F$85,3, FALSE)</f>
        <v>Si l'agent est en congé parental, la demande doit être formulée 6 mois au plus avant l'expiration de la dernière période de congé parental.</v>
      </c>
      <c r="AD67" s="19" t="s">
        <v>220</v>
      </c>
      <c r="AE67" s="21" t="str">
        <f>VLOOKUP(AD67,'Axe 2 Règles de gestion'!$D$2:$F$85,3, FALSE)</f>
        <v>L'administration doit fournir une réponse écrite à l'agent dans un délai de 2 mois suivant la date de la demande.</v>
      </c>
      <c r="AF67" s="19" t="s">
        <v>222</v>
      </c>
      <c r="AG67" s="21" t="str">
        <f>VLOOKUP(AF67,'Axe 2 Règles de gestion'!$D$2:$F$85,3, FALSE)</f>
        <v>En cas de refus, l'administration doit motiver sa décision.</v>
      </c>
      <c r="AH67" s="19" t="s">
        <v>224</v>
      </c>
      <c r="AI67" s="21" t="str">
        <f>VLOOKUP(AH67,'Axe 2 Règles de gestion'!$D$2:$F$85,3, FALSE)</f>
        <v>Une convention entre l'agent bénéficiaire, l'administration et l'organisme prestataire du bilan de compétences doit être établie.</v>
      </c>
      <c r="AJ67" s="19" t="s">
        <v>237</v>
      </c>
      <c r="AK67" s="21" t="str">
        <f>VLOOKUP(AJ67,'Axe 2 Règles de gestion'!$D$2:$F$85,3, FALSE)</f>
        <v>L'agent ne peut prétendre à un autre bilan de compétences qu'à l'expiration d'un délai d'au moins 5 ans après le précédent.</v>
      </c>
      <c r="AL67" s="19" t="s">
        <v>239</v>
      </c>
      <c r="AM67" s="21" t="str">
        <f>VLOOKUP(AL67,'Axe 2 Règles de gestion'!$D$2:$F$85,3, FALSE)</f>
        <v>L'agent peut utiliser son compte personnel de formation afin de compléter la préparation ou la réalisation de son bilan de compétences.</v>
      </c>
      <c r="AN67" s="19"/>
      <c r="AO67" s="21"/>
      <c r="AP67" s="19"/>
      <c r="AQ67" s="21"/>
      <c r="AR67" s="19"/>
      <c r="AS67" s="21"/>
      <c r="AT67" s="19"/>
      <c r="AU67" s="21"/>
      <c r="AV67" s="19"/>
      <c r="AW67" s="21"/>
      <c r="AX67" s="19"/>
      <c r="AY67" s="21"/>
      <c r="AZ67" s="19" t="s">
        <v>154</v>
      </c>
      <c r="BA67" s="21" t="str">
        <f>VLOOKUP(AZ67,'Axe 2 Règles de gestion'!$D$2:$F$85,3, FALSE)</f>
        <v>L'agent doit être en position d'activité ou de congé parental.</v>
      </c>
      <c r="BB67" s="19"/>
      <c r="BC67" s="21"/>
      <c r="BD67" s="19" t="s">
        <v>230</v>
      </c>
      <c r="BE67" s="21" t="str">
        <f>VLOOKUP(BD67,'Axe 2 Règles de gestion'!$D$2:$F$85,3, FALSE)</f>
        <v>La date de début de la formation doit être postérieure ou égale à la date de recrutement dans la FPE ou dans la carrière militaire.</v>
      </c>
      <c r="BF67" s="19" t="s">
        <v>232</v>
      </c>
      <c r="BG67" s="21" t="str">
        <f>VLOOKUP(BF67,'Axe 2 Règles de gestion'!$D$2:$F$85,3, FALSE)</f>
        <v>La date de début de la formation doit être antérieure ou égale à la date de fin de la formation.</v>
      </c>
      <c r="BH67" s="19" t="s">
        <v>234</v>
      </c>
      <c r="BI67" s="21" t="str">
        <f>VLOOKUP(BH67,'Axe 2 Règles de gestion'!$D$2:$F$85,3, FALSE)</f>
        <v>La date de fin de formation doit être antérieure ou égale à la date limite de départ à la retraite.</v>
      </c>
      <c r="BJ67" s="19"/>
      <c r="BK67" s="21"/>
      <c r="BL67" s="19"/>
      <c r="BM67" s="21"/>
      <c r="BN67" s="19"/>
      <c r="BO67" s="21"/>
      <c r="BP67" s="19"/>
      <c r="BQ67" s="21"/>
      <c r="BR67" s="19"/>
      <c r="BS67" s="21"/>
      <c r="BT67" s="19"/>
      <c r="BU67" s="21"/>
      <c r="BV67" s="19"/>
      <c r="BW67" s="21"/>
      <c r="BX67" s="19"/>
      <c r="BY67" s="21"/>
      <c r="BZ67" s="19" t="s">
        <v>155</v>
      </c>
      <c r="CA67" s="21"/>
    </row>
    <row r="68" spans="1:79" s="22" customFormat="1" ht="87" x14ac:dyDescent="0.35">
      <c r="A68" s="19" t="s">
        <v>147</v>
      </c>
      <c r="B68" s="19" t="s">
        <v>148</v>
      </c>
      <c r="C68" s="20">
        <v>45973.647916666669</v>
      </c>
      <c r="D68" s="19" t="s">
        <v>205</v>
      </c>
      <c r="E68" s="21" t="s">
        <v>206</v>
      </c>
      <c r="F68" s="19" t="s">
        <v>207</v>
      </c>
      <c r="G68" s="21" t="s">
        <v>208</v>
      </c>
      <c r="H68" s="19" t="s">
        <v>209</v>
      </c>
      <c r="I68" s="21" t="s">
        <v>210</v>
      </c>
      <c r="J68" s="21" t="s">
        <v>211</v>
      </c>
      <c r="K68" s="21" t="s">
        <v>212</v>
      </c>
      <c r="L68" s="19" t="s">
        <v>241</v>
      </c>
      <c r="M68" s="21" t="s">
        <v>242</v>
      </c>
      <c r="N68" s="19" t="s">
        <v>127</v>
      </c>
      <c r="O68" s="21"/>
      <c r="P68" s="21"/>
      <c r="Q68" s="21" t="s">
        <v>149</v>
      </c>
      <c r="R68" s="19" t="s">
        <v>150</v>
      </c>
      <c r="S68" s="19" t="s">
        <v>94</v>
      </c>
      <c r="T68" s="19" t="s">
        <v>95</v>
      </c>
      <c r="U68" s="20">
        <v>40725</v>
      </c>
      <c r="V68" s="20"/>
      <c r="W68" s="21" t="s">
        <v>266</v>
      </c>
      <c r="X68" s="19" t="s">
        <v>264</v>
      </c>
      <c r="Y68" s="21" t="str">
        <f>VLOOKUP(X68,'Axe 2 Règles de gestion'!$D$2:$F$85,3, FALSE)</f>
        <v>L'agent bénéficie des dispositions applicables aux agents titulaires pour la formation pour bilan de compétences, sauf dispositions particulières.</v>
      </c>
      <c r="Z68" s="19" t="s">
        <v>244</v>
      </c>
      <c r="AA68" s="21" t="str">
        <f>VLOOKUP(Z68,'Axe 2 Règles de gestion'!$D$2:$F$85,3, FALSE)</f>
        <v>Si l'agent ne s'y oppose pas, le document de synthèse du bilan peut être communiqué au service chargé des ressources humaines de son administration d'emploi.</v>
      </c>
      <c r="AB68" s="19" t="s">
        <v>246</v>
      </c>
      <c r="AC68" s="21" t="str">
        <f>VLOOKUP(AB68,'Axe 2 Règles de gestion'!$D$2:$F$85,3, FALSE)</f>
        <v>L'agent présente à son chef de service une attestation de fréquentation effective délivrée par l'organisme prestataire.</v>
      </c>
      <c r="AD68" s="19"/>
      <c r="AE68" s="21"/>
      <c r="AF68" s="19"/>
      <c r="AG68" s="21"/>
      <c r="AH68" s="19"/>
      <c r="AI68" s="21"/>
      <c r="AJ68" s="19"/>
      <c r="AK68" s="21"/>
      <c r="AL68" s="19"/>
      <c r="AM68" s="21"/>
      <c r="AN68" s="19"/>
      <c r="AO68" s="21"/>
      <c r="AP68" s="19"/>
      <c r="AQ68" s="21"/>
      <c r="AR68" s="19"/>
      <c r="AS68" s="21"/>
      <c r="AT68" s="19"/>
      <c r="AU68" s="21"/>
      <c r="AV68" s="19"/>
      <c r="AW68" s="21"/>
      <c r="AX68" s="19"/>
      <c r="AY68" s="21"/>
      <c r="AZ68" s="19"/>
      <c r="BA68" s="21"/>
      <c r="BB68" s="19"/>
      <c r="BC68" s="21"/>
      <c r="BD68" s="19" t="s">
        <v>232</v>
      </c>
      <c r="BE68" s="21" t="str">
        <f>VLOOKUP(BD68,'Axe 2 Règles de gestion'!$D$2:$F$85,3, FALSE)</f>
        <v>La date de début de la formation doit être antérieure ou égale à la date de fin de la formation.</v>
      </c>
      <c r="BF68" s="19" t="s">
        <v>234</v>
      </c>
      <c r="BG68" s="21" t="str">
        <f>VLOOKUP(BF68,'Axe 2 Règles de gestion'!$D$2:$F$85,3, FALSE)</f>
        <v>La date de fin de formation doit être antérieure ou égale à la date limite de départ à la retraite.</v>
      </c>
      <c r="BH68" s="19"/>
      <c r="BI68" s="21"/>
      <c r="BJ68" s="19"/>
      <c r="BK68" s="21"/>
      <c r="BL68" s="19"/>
      <c r="BM68" s="21"/>
      <c r="BN68" s="19"/>
      <c r="BO68" s="21"/>
      <c r="BP68" s="19"/>
      <c r="BQ68" s="21"/>
      <c r="BR68" s="19"/>
      <c r="BS68" s="21"/>
      <c r="BT68" s="19"/>
      <c r="BU68" s="21"/>
      <c r="BV68" s="19"/>
      <c r="BW68" s="21"/>
      <c r="BX68" s="19"/>
      <c r="BY68" s="21"/>
      <c r="BZ68" s="19" t="s">
        <v>155</v>
      </c>
      <c r="CA68" s="21"/>
    </row>
    <row r="69" spans="1:79" ht="87" x14ac:dyDescent="0.35">
      <c r="A69" s="13" t="s">
        <v>80</v>
      </c>
      <c r="B69" s="13" t="s">
        <v>81</v>
      </c>
      <c r="C69" s="14">
        <v>43775.688888888886</v>
      </c>
      <c r="D69" s="13" t="s">
        <v>205</v>
      </c>
      <c r="E69" s="15" t="s">
        <v>206</v>
      </c>
      <c r="F69" s="13" t="s">
        <v>207</v>
      </c>
      <c r="G69" s="15" t="s">
        <v>208</v>
      </c>
      <c r="H69" s="13" t="s">
        <v>209</v>
      </c>
      <c r="I69" s="15" t="s">
        <v>210</v>
      </c>
      <c r="J69" s="15" t="s">
        <v>211</v>
      </c>
      <c r="K69" s="15" t="s">
        <v>212</v>
      </c>
      <c r="L69" s="13" t="s">
        <v>213</v>
      </c>
      <c r="M69" s="15" t="s">
        <v>214</v>
      </c>
      <c r="N69" s="13" t="s">
        <v>91</v>
      </c>
      <c r="O69" s="15"/>
      <c r="P69" s="15"/>
      <c r="Q69" s="15" t="s">
        <v>156</v>
      </c>
      <c r="R69" s="13" t="s">
        <v>157</v>
      </c>
      <c r="S69" s="13" t="s">
        <v>94</v>
      </c>
      <c r="T69" s="13" t="s">
        <v>95</v>
      </c>
      <c r="U69" s="14">
        <v>40725</v>
      </c>
      <c r="V69" s="14">
        <v>42865</v>
      </c>
      <c r="W69" s="15" t="s">
        <v>267</v>
      </c>
      <c r="X69" s="13" t="s">
        <v>216</v>
      </c>
      <c r="Y69" s="15" t="str">
        <f>VLOOKUP(X69,'Axe 2 Règles de gestion'!$D$2:$F$85,3, FALSE)</f>
        <v>L'agent ou l'administration peuvent être à l'origine de la demande.</v>
      </c>
      <c r="Z69" s="13" t="s">
        <v>249</v>
      </c>
      <c r="AA69" s="15" t="str">
        <f>VLOOKUP(Z69,'Axe 2 Règles de gestion'!$D$2:$F$85,3, FALSE)</f>
        <v>Si l'agent est en congé parental, la demande doit être formulée 6 mois au plus avant l'expiration de la dernière période de congé parental.</v>
      </c>
      <c r="AB69" s="13" t="s">
        <v>220</v>
      </c>
      <c r="AC69" s="15" t="str">
        <f>VLOOKUP(AB69,'Axe 2 Règles de gestion'!$D$2:$F$85,3, FALSE)</f>
        <v>L'administration doit fournir une réponse écrite à l'agent dans un délai de 2 mois suivant la date de la demande.</v>
      </c>
      <c r="AD69" s="13" t="s">
        <v>222</v>
      </c>
      <c r="AE69" s="15" t="str">
        <f>VLOOKUP(AD69,'Axe 2 Règles de gestion'!$D$2:$F$85,3, FALSE)</f>
        <v>En cas de refus, l'administration doit motiver sa décision.</v>
      </c>
      <c r="AF69" s="13" t="s">
        <v>224</v>
      </c>
      <c r="AG69" s="15" t="str">
        <f>VLOOKUP(AF69,'Axe 2 Règles de gestion'!$D$2:$F$85,3, FALSE)</f>
        <v>Une convention entre l'agent bénéficiaire, l'administration et l'organisme prestataire du bilan de compétences doit être établie.</v>
      </c>
      <c r="AH69" s="13" t="s">
        <v>250</v>
      </c>
      <c r="AI69" s="15" t="str">
        <f>VLOOKUP(AH69,'Axe 2 Règles de gestion'!$D$2:$F$85,3, FALSE)</f>
        <v>Un agent peut prétendre à un seul autre bilan de compétences, au moins 5 ans après le précédent.</v>
      </c>
      <c r="AJ69" s="13"/>
      <c r="AK69" s="15"/>
      <c r="AL69" s="13"/>
      <c r="AM69" s="15"/>
      <c r="AN69" s="13"/>
      <c r="AO69" s="15"/>
      <c r="AP69" s="13"/>
      <c r="AQ69" s="15"/>
      <c r="AR69" s="13"/>
      <c r="AS69" s="15"/>
      <c r="AT69" s="13"/>
      <c r="AU69" s="15"/>
      <c r="AV69" s="13"/>
      <c r="AW69" s="15"/>
      <c r="AX69" s="13"/>
      <c r="AY69" s="15"/>
      <c r="AZ69" s="13" t="s">
        <v>139</v>
      </c>
      <c r="BA69" s="15" t="str">
        <f>VLOOKUP(AZ69,'Axe 2 Règles de gestion'!$D$2:$F$85,3, FALSE)</f>
        <v>L'agent doit être en position d'activité ou de congé parental.</v>
      </c>
      <c r="BB69" s="13" t="s">
        <v>251</v>
      </c>
      <c r="BC69" s="15" t="str">
        <f>VLOOKUP(BB69,'Axe 2 Règles de gestion'!$D$2:$F$85,3, FALSE)</f>
        <v>L'agent doit avoir effectué 10 ans de services effectifs.</v>
      </c>
      <c r="BD69" s="13" t="s">
        <v>252</v>
      </c>
      <c r="BE69" s="15" t="str">
        <f>VLOOKUP(BD69,'Axe 2 Règles de gestion'!$D$2:$F$85,3, FALSE)</f>
        <v>La date de début de la formation doit être postérieure ou égale à la date de début du lien juridique.</v>
      </c>
      <c r="BF69" s="13" t="s">
        <v>232</v>
      </c>
      <c r="BG69" s="15" t="str">
        <f>VLOOKUP(BF69,'Axe 2 Règles de gestion'!$D$2:$F$85,3, FALSE)</f>
        <v>La date de début de la formation doit être antérieure ou égale à la date de fin de la formation.</v>
      </c>
      <c r="BH69" s="13" t="s">
        <v>234</v>
      </c>
      <c r="BI69" s="15" t="str">
        <f>VLOOKUP(BH69,'Axe 2 Règles de gestion'!$D$2:$F$85,3, FALSE)</f>
        <v>La date de fin de formation doit être antérieure ou égale à la date limite de départ à la retraite.</v>
      </c>
      <c r="BJ69" s="13" t="s">
        <v>254</v>
      </c>
      <c r="BK69" s="15" t="str">
        <f>VLOOKUP(BJ69,'Axe 2 Règles de gestion'!$D$2:$F$85,3, FALSE)</f>
        <v>La date de fin de la formation doit être antérieure ou égale à la date limite de fin réelle ou prévisionnelle du lien juridique.</v>
      </c>
      <c r="BL69" s="13"/>
      <c r="BM69" s="15"/>
      <c r="BN69" s="13"/>
      <c r="BO69" s="15"/>
      <c r="BP69" s="13"/>
      <c r="BQ69" s="15"/>
      <c r="BR69" s="13"/>
      <c r="BS69" s="15"/>
      <c r="BT69" s="13"/>
      <c r="BU69" s="15"/>
      <c r="BV69" s="13"/>
      <c r="BW69" s="15"/>
      <c r="BX69" s="13"/>
      <c r="BY69" s="15"/>
      <c r="BZ69" s="13"/>
      <c r="CA69" s="15"/>
    </row>
    <row r="70" spans="1:79" ht="87" x14ac:dyDescent="0.35">
      <c r="A70" s="13" t="s">
        <v>80</v>
      </c>
      <c r="B70" s="13" t="s">
        <v>81</v>
      </c>
      <c r="C70" s="14">
        <v>43775.688888888886</v>
      </c>
      <c r="D70" s="13" t="s">
        <v>205</v>
      </c>
      <c r="E70" s="15" t="s">
        <v>206</v>
      </c>
      <c r="F70" s="13" t="s">
        <v>207</v>
      </c>
      <c r="G70" s="15" t="s">
        <v>208</v>
      </c>
      <c r="H70" s="13" t="s">
        <v>209</v>
      </c>
      <c r="I70" s="15" t="s">
        <v>210</v>
      </c>
      <c r="J70" s="15" t="s">
        <v>211</v>
      </c>
      <c r="K70" s="15" t="s">
        <v>212</v>
      </c>
      <c r="L70" s="13" t="s">
        <v>213</v>
      </c>
      <c r="M70" s="15" t="s">
        <v>214</v>
      </c>
      <c r="N70" s="13" t="s">
        <v>91</v>
      </c>
      <c r="O70" s="15"/>
      <c r="P70" s="15"/>
      <c r="Q70" s="15" t="s">
        <v>156</v>
      </c>
      <c r="R70" s="13" t="s">
        <v>157</v>
      </c>
      <c r="S70" s="13" t="s">
        <v>94</v>
      </c>
      <c r="T70" s="13" t="s">
        <v>95</v>
      </c>
      <c r="U70" s="14">
        <v>42866</v>
      </c>
      <c r="V70" s="14"/>
      <c r="W70" s="15" t="s">
        <v>268</v>
      </c>
      <c r="X70" s="13" t="s">
        <v>216</v>
      </c>
      <c r="Y70" s="15" t="str">
        <f>VLOOKUP(X70,'Axe 2 Règles de gestion'!$D$2:$F$85,3, FALSE)</f>
        <v>L'agent ou l'administration peuvent être à l'origine de la demande.</v>
      </c>
      <c r="Z70" s="13" t="s">
        <v>249</v>
      </c>
      <c r="AA70" s="15" t="str">
        <f>VLOOKUP(Z70,'Axe 2 Règles de gestion'!$D$2:$F$85,3, FALSE)</f>
        <v>Si l'agent est en congé parental, la demande doit être formulée 6 mois au plus avant l'expiration de la dernière période de congé parental.</v>
      </c>
      <c r="AB70" s="13" t="s">
        <v>220</v>
      </c>
      <c r="AC70" s="15" t="str">
        <f>VLOOKUP(AB70,'Axe 2 Règles de gestion'!$D$2:$F$85,3, FALSE)</f>
        <v>L'administration doit fournir une réponse écrite à l'agent dans un délai de 2 mois suivant la date de la demande.</v>
      </c>
      <c r="AD70" s="13" t="s">
        <v>222</v>
      </c>
      <c r="AE70" s="15" t="str">
        <f>VLOOKUP(AD70,'Axe 2 Règles de gestion'!$D$2:$F$85,3, FALSE)</f>
        <v>En cas de refus, l'administration doit motiver sa décision.</v>
      </c>
      <c r="AF70" s="13" t="s">
        <v>224</v>
      </c>
      <c r="AG70" s="15" t="str">
        <f>VLOOKUP(AF70,'Axe 2 Règles de gestion'!$D$2:$F$85,3, FALSE)</f>
        <v>Une convention entre l'agent bénéficiaire, l'administration et l'organisme prestataire du bilan de compétences doit être établie.</v>
      </c>
      <c r="AH70" s="13" t="s">
        <v>257</v>
      </c>
      <c r="AI70" s="15" t="str">
        <f>VLOOKUP(AH70,'Axe 2 Règles de gestion'!$D$2:$F$85,3, FALSE)</f>
        <v>Un agent ne peut prétendre à un autre bilan de compétences qu'à l'expiration d'un délai d'au moins 5 ans après le précédent.</v>
      </c>
      <c r="AJ70" s="13" t="s">
        <v>259</v>
      </c>
      <c r="AK70" s="15" t="str">
        <f>VLOOKUP(AJ70,'Axe 2 Règles de gestion'!$D$2:$F$85,3, FALSE)</f>
        <v>L'agent peut utiliser son compte personnel de formation afin de compléter la préparation ou la réalisation de son bilan de compétences.</v>
      </c>
      <c r="AL70" s="13"/>
      <c r="AM70" s="15"/>
      <c r="AN70" s="13"/>
      <c r="AO70" s="15"/>
      <c r="AP70" s="13"/>
      <c r="AQ70" s="15"/>
      <c r="AR70" s="13"/>
      <c r="AS70" s="15"/>
      <c r="AT70" s="13"/>
      <c r="AU70" s="15"/>
      <c r="AV70" s="13"/>
      <c r="AW70" s="15"/>
      <c r="AX70" s="13"/>
      <c r="AY70" s="15"/>
      <c r="AZ70" s="13" t="s">
        <v>139</v>
      </c>
      <c r="BA70" s="15" t="str">
        <f>VLOOKUP(AZ70,'Axe 2 Règles de gestion'!$D$2:$F$85,3, FALSE)</f>
        <v>L'agent doit être en position d'activité ou de congé parental.</v>
      </c>
      <c r="BB70" s="13"/>
      <c r="BC70" s="15"/>
      <c r="BD70" s="13" t="s">
        <v>252</v>
      </c>
      <c r="BE70" s="15" t="str">
        <f>VLOOKUP(BD70,'Axe 2 Règles de gestion'!$D$2:$F$85,3, FALSE)</f>
        <v>La date de début de la formation doit être postérieure ou égale à la date de début du lien juridique.</v>
      </c>
      <c r="BF70" s="13" t="s">
        <v>232</v>
      </c>
      <c r="BG70" s="15" t="str">
        <f>VLOOKUP(BF70,'Axe 2 Règles de gestion'!$D$2:$F$85,3, FALSE)</f>
        <v>La date de début de la formation doit être antérieure ou égale à la date de fin de la formation.</v>
      </c>
      <c r="BH70" s="13" t="s">
        <v>234</v>
      </c>
      <c r="BI70" s="15" t="str">
        <f>VLOOKUP(BH70,'Axe 2 Règles de gestion'!$D$2:$F$85,3, FALSE)</f>
        <v>La date de fin de formation doit être antérieure ou égale à la date limite de départ à la retraite.</v>
      </c>
      <c r="BJ70" s="13" t="s">
        <v>254</v>
      </c>
      <c r="BK70" s="15" t="str">
        <f>VLOOKUP(BJ70,'Axe 2 Règles de gestion'!$D$2:$F$85,3, FALSE)</f>
        <v>La date de fin de la formation doit être antérieure ou égale à la date limite de fin réelle ou prévisionnelle du lien juridique.</v>
      </c>
      <c r="BL70" s="13"/>
      <c r="BM70" s="15"/>
      <c r="BN70" s="13"/>
      <c r="BO70" s="15"/>
      <c r="BP70" s="13"/>
      <c r="BQ70" s="15"/>
      <c r="BR70" s="13"/>
      <c r="BS70" s="15"/>
      <c r="BT70" s="13"/>
      <c r="BU70" s="15"/>
      <c r="BV70" s="13"/>
      <c r="BW70" s="15"/>
      <c r="BX70" s="13"/>
      <c r="BY70" s="15"/>
      <c r="BZ70" s="13"/>
      <c r="CA70" s="15"/>
    </row>
    <row r="71" spans="1:79" ht="87" x14ac:dyDescent="0.35">
      <c r="A71" s="13" t="s">
        <v>80</v>
      </c>
      <c r="B71" s="13" t="s">
        <v>81</v>
      </c>
      <c r="C71" s="14">
        <v>43756.493750000001</v>
      </c>
      <c r="D71" s="13" t="s">
        <v>205</v>
      </c>
      <c r="E71" s="15" t="s">
        <v>206</v>
      </c>
      <c r="F71" s="13" t="s">
        <v>207</v>
      </c>
      <c r="G71" s="15" t="s">
        <v>208</v>
      </c>
      <c r="H71" s="13" t="s">
        <v>209</v>
      </c>
      <c r="I71" s="15" t="s">
        <v>210</v>
      </c>
      <c r="J71" s="15" t="s">
        <v>211</v>
      </c>
      <c r="K71" s="15" t="s">
        <v>212</v>
      </c>
      <c r="L71" s="13" t="s">
        <v>241</v>
      </c>
      <c r="M71" s="15" t="s">
        <v>242</v>
      </c>
      <c r="N71" s="13" t="s">
        <v>127</v>
      </c>
      <c r="O71" s="15"/>
      <c r="P71" s="15"/>
      <c r="Q71" s="15" t="s">
        <v>156</v>
      </c>
      <c r="R71" s="13" t="s">
        <v>157</v>
      </c>
      <c r="S71" s="13" t="s">
        <v>94</v>
      </c>
      <c r="T71" s="13" t="s">
        <v>95</v>
      </c>
      <c r="U71" s="14">
        <v>40725</v>
      </c>
      <c r="V71" s="14"/>
      <c r="W71" s="15" t="s">
        <v>269</v>
      </c>
      <c r="X71" s="13" t="s">
        <v>244</v>
      </c>
      <c r="Y71" s="15" t="str">
        <f>VLOOKUP(X71,'Axe 2 Règles de gestion'!$D$2:$F$85,3, FALSE)</f>
        <v>Si l'agent ne s'y oppose pas, le document de synthèse du bilan peut être communiqué au service chargé des ressources humaines de son administration d'emploi.</v>
      </c>
      <c r="Z71" s="13" t="s">
        <v>246</v>
      </c>
      <c r="AA71" s="15" t="str">
        <f>VLOOKUP(Z71,'Axe 2 Règles de gestion'!$D$2:$F$85,3, FALSE)</f>
        <v>L'agent présente à son chef de service une attestation de fréquentation effective délivrée par l'organisme prestataire.</v>
      </c>
      <c r="AB71" s="13"/>
      <c r="AC71" s="15"/>
      <c r="AD71" s="13"/>
      <c r="AE71" s="15"/>
      <c r="AF71" s="13"/>
      <c r="AG71" s="15"/>
      <c r="AH71" s="13"/>
      <c r="AI71" s="15"/>
      <c r="AJ71" s="13"/>
      <c r="AK71" s="15"/>
      <c r="AL71" s="13"/>
      <c r="AM71" s="15"/>
      <c r="AN71" s="13"/>
      <c r="AO71" s="15"/>
      <c r="AP71" s="13"/>
      <c r="AQ71" s="15"/>
      <c r="AR71" s="13"/>
      <c r="AS71" s="15"/>
      <c r="AT71" s="13"/>
      <c r="AU71" s="15"/>
      <c r="AV71" s="13"/>
      <c r="AW71" s="15"/>
      <c r="AX71" s="13"/>
      <c r="AY71" s="15"/>
      <c r="AZ71" s="13"/>
      <c r="BA71" s="15"/>
      <c r="BB71" s="13"/>
      <c r="BC71" s="15"/>
      <c r="BD71" s="13" t="s">
        <v>232</v>
      </c>
      <c r="BE71" s="15" t="str">
        <f>VLOOKUP(BD71,'Axe 2 Règles de gestion'!$D$2:$F$85,3, FALSE)</f>
        <v>La date de début de la formation doit être antérieure ou égale à la date de fin de la formation.</v>
      </c>
      <c r="BF71" s="13" t="s">
        <v>234</v>
      </c>
      <c r="BG71" s="15" t="str">
        <f>VLOOKUP(BF71,'Axe 2 Règles de gestion'!$D$2:$F$85,3, FALSE)</f>
        <v>La date de fin de formation doit être antérieure ou égale à la date limite de départ à la retraite.</v>
      </c>
      <c r="BH71" s="13" t="s">
        <v>254</v>
      </c>
      <c r="BI71" s="15" t="str">
        <f>VLOOKUP(BH71,'Axe 2 Règles de gestion'!$D$2:$F$85,3, FALSE)</f>
        <v>La date de fin de la formation doit être antérieure ou égale à la date limite de fin réelle ou prévisionnelle du lien juridique.</v>
      </c>
      <c r="BJ71" s="13"/>
      <c r="BK71" s="15"/>
      <c r="BL71" s="13"/>
      <c r="BM71" s="15"/>
      <c r="BN71" s="13"/>
      <c r="BO71" s="15"/>
      <c r="BP71" s="13"/>
      <c r="BQ71" s="15"/>
      <c r="BR71" s="13"/>
      <c r="BS71" s="15"/>
      <c r="BT71" s="13"/>
      <c r="BU71" s="15"/>
      <c r="BV71" s="13"/>
      <c r="BW71" s="15"/>
      <c r="BX71" s="13"/>
      <c r="BY71" s="15"/>
      <c r="BZ71" s="13"/>
      <c r="CA71" s="15"/>
    </row>
    <row r="72" spans="1:79" ht="29" x14ac:dyDescent="0.35">
      <c r="A72" s="13" t="s">
        <v>80</v>
      </c>
      <c r="B72" s="13" t="s">
        <v>81</v>
      </c>
      <c r="C72" s="14">
        <v>43756.486111111109</v>
      </c>
      <c r="D72" s="13" t="s">
        <v>205</v>
      </c>
      <c r="E72" s="15" t="s">
        <v>206</v>
      </c>
      <c r="F72" s="13" t="s">
        <v>207</v>
      </c>
      <c r="G72" s="15" t="s">
        <v>208</v>
      </c>
      <c r="H72" s="13" t="s">
        <v>209</v>
      </c>
      <c r="I72" s="15" t="s">
        <v>210</v>
      </c>
      <c r="J72" s="15" t="s">
        <v>211</v>
      </c>
      <c r="K72" s="15" t="s">
        <v>212</v>
      </c>
      <c r="L72" s="13" t="s">
        <v>213</v>
      </c>
      <c r="M72" s="15" t="s">
        <v>214</v>
      </c>
      <c r="N72" s="13" t="s">
        <v>91</v>
      </c>
      <c r="O72" s="15"/>
      <c r="P72" s="15"/>
      <c r="Q72" s="15" t="s">
        <v>160</v>
      </c>
      <c r="R72" s="13" t="s">
        <v>161</v>
      </c>
      <c r="S72" s="13" t="s">
        <v>162</v>
      </c>
      <c r="T72" s="13" t="s">
        <v>131</v>
      </c>
      <c r="U72" s="14">
        <v>40725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/>
      <c r="AO72" s="15"/>
      <c r="AP72" s="13"/>
      <c r="AQ72" s="15"/>
      <c r="AR72" s="13"/>
      <c r="AS72" s="15"/>
      <c r="AT72" s="13"/>
      <c r="AU72" s="15"/>
      <c r="AV72" s="13"/>
      <c r="AW72" s="15"/>
      <c r="AX72" s="13"/>
      <c r="AY72" s="15"/>
      <c r="AZ72" s="13"/>
      <c r="BA72" s="15"/>
      <c r="BB72" s="13"/>
      <c r="BC72" s="15"/>
      <c r="BD72" s="13"/>
      <c r="BE72" s="15"/>
      <c r="BF72" s="13"/>
      <c r="BG72" s="15"/>
      <c r="BH72" s="13"/>
      <c r="BI72" s="15"/>
      <c r="BJ72" s="13"/>
      <c r="BK72" s="15"/>
      <c r="BL72" s="13"/>
      <c r="BM72" s="15"/>
      <c r="BN72" s="13"/>
      <c r="BO72" s="15"/>
      <c r="BP72" s="13"/>
      <c r="BQ72" s="15"/>
      <c r="BR72" s="13"/>
      <c r="BS72" s="15"/>
      <c r="BT72" s="13"/>
      <c r="BU72" s="15"/>
      <c r="BV72" s="13"/>
      <c r="BW72" s="15"/>
      <c r="BX72" s="13"/>
      <c r="BY72" s="15"/>
      <c r="BZ72" s="13"/>
      <c r="CA72" s="15"/>
    </row>
    <row r="73" spans="1:79" ht="29" x14ac:dyDescent="0.35">
      <c r="A73" s="13" t="s">
        <v>80</v>
      </c>
      <c r="B73" s="13" t="s">
        <v>81</v>
      </c>
      <c r="C73" s="14">
        <v>43756.494444444441</v>
      </c>
      <c r="D73" s="13" t="s">
        <v>205</v>
      </c>
      <c r="E73" s="15" t="s">
        <v>206</v>
      </c>
      <c r="F73" s="13" t="s">
        <v>207</v>
      </c>
      <c r="G73" s="15" t="s">
        <v>208</v>
      </c>
      <c r="H73" s="13" t="s">
        <v>209</v>
      </c>
      <c r="I73" s="15" t="s">
        <v>210</v>
      </c>
      <c r="J73" s="15" t="s">
        <v>211</v>
      </c>
      <c r="K73" s="15" t="s">
        <v>212</v>
      </c>
      <c r="L73" s="13" t="s">
        <v>241</v>
      </c>
      <c r="M73" s="15" t="s">
        <v>242</v>
      </c>
      <c r="N73" s="13" t="s">
        <v>127</v>
      </c>
      <c r="O73" s="15"/>
      <c r="P73" s="15"/>
      <c r="Q73" s="15" t="s">
        <v>160</v>
      </c>
      <c r="R73" s="13" t="s">
        <v>161</v>
      </c>
      <c r="S73" s="13" t="s">
        <v>162</v>
      </c>
      <c r="T73" s="13" t="s">
        <v>131</v>
      </c>
      <c r="U73" s="14">
        <v>40725</v>
      </c>
      <c r="V73" s="14"/>
      <c r="W73" s="15"/>
      <c r="X73" s="13"/>
      <c r="Y73" s="15"/>
      <c r="Z73" s="13"/>
      <c r="AA73" s="15"/>
      <c r="AB73" s="13"/>
      <c r="AC73" s="15"/>
      <c r="AD73" s="13"/>
      <c r="AE73" s="15"/>
      <c r="AF73" s="13"/>
      <c r="AG73" s="15"/>
      <c r="AH73" s="13"/>
      <c r="AI73" s="15"/>
      <c r="AJ73" s="13"/>
      <c r="AK73" s="15"/>
      <c r="AL73" s="13"/>
      <c r="AM73" s="15"/>
      <c r="AN73" s="13"/>
      <c r="AO73" s="15"/>
      <c r="AP73" s="13"/>
      <c r="AQ73" s="15"/>
      <c r="AR73" s="13"/>
      <c r="AS73" s="15"/>
      <c r="AT73" s="13"/>
      <c r="AU73" s="15"/>
      <c r="AV73" s="13"/>
      <c r="AW73" s="15"/>
      <c r="AX73" s="13"/>
      <c r="AY73" s="15"/>
      <c r="AZ73" s="13"/>
      <c r="BA73" s="15"/>
      <c r="BB73" s="13"/>
      <c r="BC73" s="15"/>
      <c r="BD73" s="13"/>
      <c r="BE73" s="15"/>
      <c r="BF73" s="13"/>
      <c r="BG73" s="15"/>
      <c r="BH73" s="13"/>
      <c r="BI73" s="15"/>
      <c r="BJ73" s="13"/>
      <c r="BK73" s="15"/>
      <c r="BL73" s="13"/>
      <c r="BM73" s="15"/>
      <c r="BN73" s="13"/>
      <c r="BO73" s="15"/>
      <c r="BP73" s="13"/>
      <c r="BQ73" s="15"/>
      <c r="BR73" s="13"/>
      <c r="BS73" s="15"/>
      <c r="BT73" s="13"/>
      <c r="BU73" s="15"/>
      <c r="BV73" s="13"/>
      <c r="BW73" s="15"/>
      <c r="BX73" s="13"/>
      <c r="BY73" s="15"/>
      <c r="BZ73" s="13"/>
      <c r="CA73" s="15"/>
    </row>
    <row r="74" spans="1:79" ht="29" x14ac:dyDescent="0.35">
      <c r="A74" s="13" t="s">
        <v>80</v>
      </c>
      <c r="B74" s="13" t="s">
        <v>81</v>
      </c>
      <c r="C74" s="14">
        <v>43756.488194444442</v>
      </c>
      <c r="D74" s="13" t="s">
        <v>205</v>
      </c>
      <c r="E74" s="15" t="s">
        <v>206</v>
      </c>
      <c r="F74" s="13" t="s">
        <v>207</v>
      </c>
      <c r="G74" s="15" t="s">
        <v>208</v>
      </c>
      <c r="H74" s="13" t="s">
        <v>209</v>
      </c>
      <c r="I74" s="15" t="s">
        <v>210</v>
      </c>
      <c r="J74" s="15" t="s">
        <v>211</v>
      </c>
      <c r="K74" s="15" t="s">
        <v>212</v>
      </c>
      <c r="L74" s="13" t="s">
        <v>213</v>
      </c>
      <c r="M74" s="15" t="s">
        <v>214</v>
      </c>
      <c r="N74" s="13" t="s">
        <v>91</v>
      </c>
      <c r="O74" s="15"/>
      <c r="P74" s="15"/>
      <c r="Q74" s="15" t="s">
        <v>163</v>
      </c>
      <c r="R74" s="13" t="s">
        <v>164</v>
      </c>
      <c r="S74" s="13" t="s">
        <v>162</v>
      </c>
      <c r="T74" s="13" t="s">
        <v>131</v>
      </c>
      <c r="U74" s="14">
        <v>40725</v>
      </c>
      <c r="V74" s="14"/>
      <c r="W74" s="15"/>
      <c r="X74" s="13"/>
      <c r="Y74" s="15"/>
      <c r="Z74" s="13"/>
      <c r="AA74" s="15"/>
      <c r="AB74" s="13"/>
      <c r="AC74" s="15"/>
      <c r="AD74" s="13"/>
      <c r="AE74" s="15"/>
      <c r="AF74" s="13"/>
      <c r="AG74" s="15"/>
      <c r="AH74" s="13"/>
      <c r="AI74" s="15"/>
      <c r="AJ74" s="13"/>
      <c r="AK74" s="15"/>
      <c r="AL74" s="13"/>
      <c r="AM74" s="15"/>
      <c r="AN74" s="13"/>
      <c r="AO74" s="15"/>
      <c r="AP74" s="13"/>
      <c r="AQ74" s="15"/>
      <c r="AR74" s="13"/>
      <c r="AS74" s="15"/>
      <c r="AT74" s="13"/>
      <c r="AU74" s="15"/>
      <c r="AV74" s="13"/>
      <c r="AW74" s="15"/>
      <c r="AX74" s="13"/>
      <c r="AY74" s="15"/>
      <c r="AZ74" s="13"/>
      <c r="BA74" s="15"/>
      <c r="BB74" s="13"/>
      <c r="BC74" s="15"/>
      <c r="BD74" s="13"/>
      <c r="BE74" s="15"/>
      <c r="BF74" s="13"/>
      <c r="BG74" s="15"/>
      <c r="BH74" s="13"/>
      <c r="BI74" s="15"/>
      <c r="BJ74" s="13"/>
      <c r="BK74" s="15"/>
      <c r="BL74" s="13"/>
      <c r="BM74" s="15"/>
      <c r="BN74" s="13"/>
      <c r="BO74" s="15"/>
      <c r="BP74" s="13"/>
      <c r="BQ74" s="15"/>
      <c r="BR74" s="13"/>
      <c r="BS74" s="15"/>
      <c r="BT74" s="13"/>
      <c r="BU74" s="15"/>
      <c r="BV74" s="13"/>
      <c r="BW74" s="15"/>
      <c r="BX74" s="13"/>
      <c r="BY74" s="15"/>
      <c r="BZ74" s="13"/>
      <c r="CA74" s="15"/>
    </row>
    <row r="75" spans="1:79" ht="29" x14ac:dyDescent="0.35">
      <c r="A75" s="13" t="s">
        <v>80</v>
      </c>
      <c r="B75" s="13" t="s">
        <v>81</v>
      </c>
      <c r="C75" s="14">
        <v>43756.495833333334</v>
      </c>
      <c r="D75" s="13" t="s">
        <v>205</v>
      </c>
      <c r="E75" s="15" t="s">
        <v>206</v>
      </c>
      <c r="F75" s="13" t="s">
        <v>207</v>
      </c>
      <c r="G75" s="15" t="s">
        <v>208</v>
      </c>
      <c r="H75" s="13" t="s">
        <v>209</v>
      </c>
      <c r="I75" s="15" t="s">
        <v>210</v>
      </c>
      <c r="J75" s="15" t="s">
        <v>211</v>
      </c>
      <c r="K75" s="15" t="s">
        <v>212</v>
      </c>
      <c r="L75" s="13" t="s">
        <v>241</v>
      </c>
      <c r="M75" s="15" t="s">
        <v>242</v>
      </c>
      <c r="N75" s="13" t="s">
        <v>127</v>
      </c>
      <c r="O75" s="15"/>
      <c r="P75" s="15"/>
      <c r="Q75" s="15" t="s">
        <v>163</v>
      </c>
      <c r="R75" s="13" t="s">
        <v>164</v>
      </c>
      <c r="S75" s="13" t="s">
        <v>162</v>
      </c>
      <c r="T75" s="13" t="s">
        <v>131</v>
      </c>
      <c r="U75" s="14">
        <v>40725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  <c r="AF75" s="13"/>
      <c r="AG75" s="15"/>
      <c r="AH75" s="13"/>
      <c r="AI75" s="15"/>
      <c r="AJ75" s="13"/>
      <c r="AK75" s="15"/>
      <c r="AL75" s="13"/>
      <c r="AM75" s="15"/>
      <c r="AN75" s="13"/>
      <c r="AO75" s="15"/>
      <c r="AP75" s="13"/>
      <c r="AQ75" s="15"/>
      <c r="AR75" s="13"/>
      <c r="AS75" s="15"/>
      <c r="AT75" s="13"/>
      <c r="AU75" s="15"/>
      <c r="AV75" s="13"/>
      <c r="AW75" s="15"/>
      <c r="AX75" s="13"/>
      <c r="AY75" s="15"/>
      <c r="AZ75" s="13"/>
      <c r="BA75" s="15"/>
      <c r="BB75" s="13"/>
      <c r="BC75" s="15"/>
      <c r="BD75" s="13"/>
      <c r="BE75" s="15"/>
      <c r="BF75" s="13"/>
      <c r="BG75" s="15"/>
      <c r="BH75" s="13"/>
      <c r="BI75" s="15"/>
      <c r="BJ75" s="13"/>
      <c r="BK75" s="15"/>
      <c r="BL75" s="13"/>
      <c r="BM75" s="15"/>
      <c r="BN75" s="13"/>
      <c r="BO75" s="15"/>
      <c r="BP75" s="13"/>
      <c r="BQ75" s="15"/>
      <c r="BR75" s="13"/>
      <c r="BS75" s="15"/>
      <c r="BT75" s="13"/>
      <c r="BU75" s="15"/>
      <c r="BV75" s="13"/>
      <c r="BW75" s="15"/>
      <c r="BX75" s="13"/>
      <c r="BY75" s="15"/>
      <c r="BZ75" s="13"/>
      <c r="CA75" s="15"/>
    </row>
    <row r="76" spans="1:79" ht="43.5" x14ac:dyDescent="0.35">
      <c r="A76" s="13" t="s">
        <v>80</v>
      </c>
      <c r="B76" s="13" t="s">
        <v>81</v>
      </c>
      <c r="C76" s="14">
        <v>43756.488194444442</v>
      </c>
      <c r="D76" s="13" t="s">
        <v>205</v>
      </c>
      <c r="E76" s="15" t="s">
        <v>206</v>
      </c>
      <c r="F76" s="13" t="s">
        <v>207</v>
      </c>
      <c r="G76" s="15" t="s">
        <v>208</v>
      </c>
      <c r="H76" s="13" t="s">
        <v>209</v>
      </c>
      <c r="I76" s="15" t="s">
        <v>210</v>
      </c>
      <c r="J76" s="15" t="s">
        <v>211</v>
      </c>
      <c r="K76" s="15" t="s">
        <v>212</v>
      </c>
      <c r="L76" s="13" t="s">
        <v>213</v>
      </c>
      <c r="M76" s="15" t="s">
        <v>214</v>
      </c>
      <c r="N76" s="13" t="s">
        <v>91</v>
      </c>
      <c r="O76" s="15"/>
      <c r="P76" s="15"/>
      <c r="Q76" s="15" t="s">
        <v>165</v>
      </c>
      <c r="R76" s="13" t="s">
        <v>166</v>
      </c>
      <c r="S76" s="13" t="s">
        <v>162</v>
      </c>
      <c r="T76" s="13" t="s">
        <v>131</v>
      </c>
      <c r="U76" s="14">
        <v>40725</v>
      </c>
      <c r="V76" s="14"/>
      <c r="W76" s="15"/>
      <c r="X76" s="13"/>
      <c r="Y76" s="15"/>
      <c r="Z76" s="13"/>
      <c r="AA76" s="15"/>
      <c r="AB76" s="13"/>
      <c r="AC76" s="15"/>
      <c r="AD76" s="13"/>
      <c r="AE76" s="15"/>
      <c r="AF76" s="13"/>
      <c r="AG76" s="15"/>
      <c r="AH76" s="13"/>
      <c r="AI76" s="15"/>
      <c r="AJ76" s="13"/>
      <c r="AK76" s="15"/>
      <c r="AL76" s="13"/>
      <c r="AM76" s="15"/>
      <c r="AN76" s="13"/>
      <c r="AO76" s="15"/>
      <c r="AP76" s="13"/>
      <c r="AQ76" s="15"/>
      <c r="AR76" s="13"/>
      <c r="AS76" s="15"/>
      <c r="AT76" s="13"/>
      <c r="AU76" s="15"/>
      <c r="AV76" s="13"/>
      <c r="AW76" s="15"/>
      <c r="AX76" s="13"/>
      <c r="AY76" s="15"/>
      <c r="AZ76" s="13"/>
      <c r="BA76" s="15"/>
      <c r="BB76" s="13"/>
      <c r="BC76" s="15"/>
      <c r="BD76" s="13"/>
      <c r="BE76" s="15"/>
      <c r="BF76" s="13"/>
      <c r="BG76" s="15"/>
      <c r="BH76" s="13"/>
      <c r="BI76" s="15"/>
      <c r="BJ76" s="13"/>
      <c r="BK76" s="15"/>
      <c r="BL76" s="13"/>
      <c r="BM76" s="15"/>
      <c r="BN76" s="13"/>
      <c r="BO76" s="15"/>
      <c r="BP76" s="13"/>
      <c r="BQ76" s="15"/>
      <c r="BR76" s="13"/>
      <c r="BS76" s="15"/>
      <c r="BT76" s="13"/>
      <c r="BU76" s="15"/>
      <c r="BV76" s="13"/>
      <c r="BW76" s="15"/>
      <c r="BX76" s="13"/>
      <c r="BY76" s="15"/>
      <c r="BZ76" s="13"/>
      <c r="CA76" s="15"/>
    </row>
    <row r="77" spans="1:79" ht="43.5" x14ac:dyDescent="0.35">
      <c r="A77" s="13" t="s">
        <v>80</v>
      </c>
      <c r="B77" s="13" t="s">
        <v>81</v>
      </c>
      <c r="C77" s="14">
        <v>43756.495833333334</v>
      </c>
      <c r="D77" s="13" t="s">
        <v>205</v>
      </c>
      <c r="E77" s="15" t="s">
        <v>206</v>
      </c>
      <c r="F77" s="13" t="s">
        <v>207</v>
      </c>
      <c r="G77" s="15" t="s">
        <v>208</v>
      </c>
      <c r="H77" s="13" t="s">
        <v>209</v>
      </c>
      <c r="I77" s="15" t="s">
        <v>210</v>
      </c>
      <c r="J77" s="15" t="s">
        <v>211</v>
      </c>
      <c r="K77" s="15" t="s">
        <v>212</v>
      </c>
      <c r="L77" s="13" t="s">
        <v>241</v>
      </c>
      <c r="M77" s="15" t="s">
        <v>242</v>
      </c>
      <c r="N77" s="13" t="s">
        <v>127</v>
      </c>
      <c r="O77" s="15"/>
      <c r="P77" s="15"/>
      <c r="Q77" s="15" t="s">
        <v>165</v>
      </c>
      <c r="R77" s="13" t="s">
        <v>166</v>
      </c>
      <c r="S77" s="13" t="s">
        <v>162</v>
      </c>
      <c r="T77" s="13" t="s">
        <v>131</v>
      </c>
      <c r="U77" s="14">
        <v>40725</v>
      </c>
      <c r="V77" s="14"/>
      <c r="W77" s="15"/>
      <c r="X77" s="13"/>
      <c r="Y77" s="15"/>
      <c r="Z77" s="13"/>
      <c r="AA77" s="15"/>
      <c r="AB77" s="13"/>
      <c r="AC77" s="15"/>
      <c r="AD77" s="13"/>
      <c r="AE77" s="15"/>
      <c r="AF77" s="13"/>
      <c r="AG77" s="15"/>
      <c r="AH77" s="13"/>
      <c r="AI77" s="15"/>
      <c r="AJ77" s="13"/>
      <c r="AK77" s="15"/>
      <c r="AL77" s="13"/>
      <c r="AM77" s="15"/>
      <c r="AN77" s="13"/>
      <c r="AO77" s="15"/>
      <c r="AP77" s="13"/>
      <c r="AQ77" s="15"/>
      <c r="AR77" s="13"/>
      <c r="AS77" s="15"/>
      <c r="AT77" s="13"/>
      <c r="AU77" s="15"/>
      <c r="AV77" s="13"/>
      <c r="AW77" s="15"/>
      <c r="AX77" s="13"/>
      <c r="AY77" s="15"/>
      <c r="AZ77" s="13"/>
      <c r="BA77" s="15"/>
      <c r="BB77" s="13"/>
      <c r="BC77" s="15"/>
      <c r="BD77" s="13"/>
      <c r="BE77" s="15"/>
      <c r="BF77" s="13"/>
      <c r="BG77" s="15"/>
      <c r="BH77" s="13"/>
      <c r="BI77" s="15"/>
      <c r="BJ77" s="13"/>
      <c r="BK77" s="15"/>
      <c r="BL77" s="13"/>
      <c r="BM77" s="15"/>
      <c r="BN77" s="13"/>
      <c r="BO77" s="15"/>
      <c r="BP77" s="13"/>
      <c r="BQ77" s="15"/>
      <c r="BR77" s="13"/>
      <c r="BS77" s="15"/>
      <c r="BT77" s="13"/>
      <c r="BU77" s="15"/>
      <c r="BV77" s="13"/>
      <c r="BW77" s="15"/>
      <c r="BX77" s="13"/>
      <c r="BY77" s="15"/>
      <c r="BZ77" s="13"/>
      <c r="CA77" s="15"/>
    </row>
    <row r="78" spans="1:79" ht="29" x14ac:dyDescent="0.35">
      <c r="A78" s="13" t="s">
        <v>80</v>
      </c>
      <c r="B78" s="13" t="s">
        <v>81</v>
      </c>
      <c r="C78" s="14">
        <v>43756.487500000003</v>
      </c>
      <c r="D78" s="13" t="s">
        <v>205</v>
      </c>
      <c r="E78" s="15" t="s">
        <v>206</v>
      </c>
      <c r="F78" s="13" t="s">
        <v>207</v>
      </c>
      <c r="G78" s="15" t="s">
        <v>208</v>
      </c>
      <c r="H78" s="13" t="s">
        <v>209</v>
      </c>
      <c r="I78" s="15" t="s">
        <v>210</v>
      </c>
      <c r="J78" s="15" t="s">
        <v>211</v>
      </c>
      <c r="K78" s="15" t="s">
        <v>212</v>
      </c>
      <c r="L78" s="13" t="s">
        <v>213</v>
      </c>
      <c r="M78" s="15" t="s">
        <v>214</v>
      </c>
      <c r="N78" s="13" t="s">
        <v>91</v>
      </c>
      <c r="O78" s="15"/>
      <c r="P78" s="15"/>
      <c r="Q78" s="15" t="s">
        <v>167</v>
      </c>
      <c r="R78" s="13" t="s">
        <v>168</v>
      </c>
      <c r="S78" s="13" t="s">
        <v>162</v>
      </c>
      <c r="T78" s="13" t="s">
        <v>131</v>
      </c>
      <c r="U78" s="14">
        <v>40725</v>
      </c>
      <c r="V78" s="14"/>
      <c r="W78" s="15"/>
      <c r="X78" s="13"/>
      <c r="Y78" s="15"/>
      <c r="Z78" s="13"/>
      <c r="AA78" s="15"/>
      <c r="AB78" s="13"/>
      <c r="AC78" s="15"/>
      <c r="AD78" s="13"/>
      <c r="AE78" s="15"/>
      <c r="AF78" s="13"/>
      <c r="AG78" s="15"/>
      <c r="AH78" s="13"/>
      <c r="AI78" s="15"/>
      <c r="AJ78" s="13"/>
      <c r="AK78" s="15"/>
      <c r="AL78" s="13"/>
      <c r="AM78" s="15"/>
      <c r="AN78" s="13"/>
      <c r="AO78" s="15"/>
      <c r="AP78" s="13"/>
      <c r="AQ78" s="15"/>
      <c r="AR78" s="13"/>
      <c r="AS78" s="15"/>
      <c r="AT78" s="13"/>
      <c r="AU78" s="15"/>
      <c r="AV78" s="13"/>
      <c r="AW78" s="15"/>
      <c r="AX78" s="13"/>
      <c r="AY78" s="15"/>
      <c r="AZ78" s="13"/>
      <c r="BA78" s="15"/>
      <c r="BB78" s="13"/>
      <c r="BC78" s="15"/>
      <c r="BD78" s="13"/>
      <c r="BE78" s="15"/>
      <c r="BF78" s="13"/>
      <c r="BG78" s="15"/>
      <c r="BH78" s="13"/>
      <c r="BI78" s="15"/>
      <c r="BJ78" s="13"/>
      <c r="BK78" s="15"/>
      <c r="BL78" s="13"/>
      <c r="BM78" s="15"/>
      <c r="BN78" s="13"/>
      <c r="BO78" s="15"/>
      <c r="BP78" s="13"/>
      <c r="BQ78" s="15"/>
      <c r="BR78" s="13"/>
      <c r="BS78" s="15"/>
      <c r="BT78" s="13"/>
      <c r="BU78" s="15"/>
      <c r="BV78" s="13"/>
      <c r="BW78" s="15"/>
      <c r="BX78" s="13"/>
      <c r="BY78" s="15"/>
      <c r="BZ78" s="13"/>
      <c r="CA78" s="15"/>
    </row>
    <row r="79" spans="1:79" ht="29" x14ac:dyDescent="0.35">
      <c r="A79" s="13" t="s">
        <v>80</v>
      </c>
      <c r="B79" s="13" t="s">
        <v>81</v>
      </c>
      <c r="C79" s="14">
        <v>43756.495138888888</v>
      </c>
      <c r="D79" s="13" t="s">
        <v>205</v>
      </c>
      <c r="E79" s="15" t="s">
        <v>206</v>
      </c>
      <c r="F79" s="13" t="s">
        <v>207</v>
      </c>
      <c r="G79" s="15" t="s">
        <v>208</v>
      </c>
      <c r="H79" s="13" t="s">
        <v>209</v>
      </c>
      <c r="I79" s="15" t="s">
        <v>210</v>
      </c>
      <c r="J79" s="15" t="s">
        <v>211</v>
      </c>
      <c r="K79" s="15" t="s">
        <v>212</v>
      </c>
      <c r="L79" s="13" t="s">
        <v>241</v>
      </c>
      <c r="M79" s="15" t="s">
        <v>242</v>
      </c>
      <c r="N79" s="13" t="s">
        <v>127</v>
      </c>
      <c r="O79" s="15"/>
      <c r="P79" s="15"/>
      <c r="Q79" s="15" t="s">
        <v>167</v>
      </c>
      <c r="R79" s="13" t="s">
        <v>168</v>
      </c>
      <c r="S79" s="13" t="s">
        <v>162</v>
      </c>
      <c r="T79" s="13" t="s">
        <v>131</v>
      </c>
      <c r="U79" s="14">
        <v>40725</v>
      </c>
      <c r="V79" s="14"/>
      <c r="W79" s="15"/>
      <c r="X79" s="13"/>
      <c r="Y79" s="15"/>
      <c r="Z79" s="13"/>
      <c r="AA79" s="15"/>
      <c r="AB79" s="13"/>
      <c r="AC79" s="15"/>
      <c r="AD79" s="13"/>
      <c r="AE79" s="15"/>
      <c r="AF79" s="13"/>
      <c r="AG79" s="15"/>
      <c r="AH79" s="13"/>
      <c r="AI79" s="15"/>
      <c r="AJ79" s="13"/>
      <c r="AK79" s="15"/>
      <c r="AL79" s="13"/>
      <c r="AM79" s="15"/>
      <c r="AN79" s="13"/>
      <c r="AO79" s="15"/>
      <c r="AP79" s="13"/>
      <c r="AQ79" s="15"/>
      <c r="AR79" s="13"/>
      <c r="AS79" s="15"/>
      <c r="AT79" s="13"/>
      <c r="AU79" s="15"/>
      <c r="AV79" s="13"/>
      <c r="AW79" s="15"/>
      <c r="AX79" s="13"/>
      <c r="AY79" s="15"/>
      <c r="AZ79" s="13"/>
      <c r="BA79" s="15"/>
      <c r="BB79" s="13"/>
      <c r="BC79" s="15"/>
      <c r="BD79" s="13"/>
      <c r="BE79" s="15"/>
      <c r="BF79" s="13"/>
      <c r="BG79" s="15"/>
      <c r="BH79" s="13"/>
      <c r="BI79" s="15"/>
      <c r="BJ79" s="13"/>
      <c r="BK79" s="15"/>
      <c r="BL79" s="13"/>
      <c r="BM79" s="15"/>
      <c r="BN79" s="13"/>
      <c r="BO79" s="15"/>
      <c r="BP79" s="13"/>
      <c r="BQ79" s="15"/>
      <c r="BR79" s="13"/>
      <c r="BS79" s="15"/>
      <c r="BT79" s="13"/>
      <c r="BU79" s="15"/>
      <c r="BV79" s="13"/>
      <c r="BW79" s="15"/>
      <c r="BX79" s="13"/>
      <c r="BY79" s="15"/>
      <c r="BZ79" s="13"/>
      <c r="CA79" s="15"/>
    </row>
    <row r="80" spans="1:79" ht="72.5" x14ac:dyDescent="0.35">
      <c r="A80" s="13" t="s">
        <v>80</v>
      </c>
      <c r="B80" s="13" t="s">
        <v>81</v>
      </c>
      <c r="C80" s="14">
        <v>43756.486805555556</v>
      </c>
      <c r="D80" s="13" t="s">
        <v>205</v>
      </c>
      <c r="E80" s="15" t="s">
        <v>206</v>
      </c>
      <c r="F80" s="13" t="s">
        <v>207</v>
      </c>
      <c r="G80" s="15" t="s">
        <v>208</v>
      </c>
      <c r="H80" s="13" t="s">
        <v>209</v>
      </c>
      <c r="I80" s="15" t="s">
        <v>210</v>
      </c>
      <c r="J80" s="15" t="s">
        <v>211</v>
      </c>
      <c r="K80" s="15" t="s">
        <v>212</v>
      </c>
      <c r="L80" s="13" t="s">
        <v>213</v>
      </c>
      <c r="M80" s="15" t="s">
        <v>214</v>
      </c>
      <c r="N80" s="13" t="s">
        <v>91</v>
      </c>
      <c r="O80" s="15"/>
      <c r="P80" s="15"/>
      <c r="Q80" s="15" t="s">
        <v>169</v>
      </c>
      <c r="R80" s="13" t="s">
        <v>170</v>
      </c>
      <c r="S80" s="13" t="s">
        <v>162</v>
      </c>
      <c r="T80" s="13" t="s">
        <v>95</v>
      </c>
      <c r="U80" s="14">
        <v>40725</v>
      </c>
      <c r="V80" s="14">
        <v>43465</v>
      </c>
      <c r="W80" s="15" t="s">
        <v>270</v>
      </c>
      <c r="X80" s="13"/>
      <c r="Y80" s="15"/>
      <c r="Z80" s="13"/>
      <c r="AA80" s="15"/>
      <c r="AB80" s="13"/>
      <c r="AC80" s="15"/>
      <c r="AD80" s="13"/>
      <c r="AE80" s="15"/>
      <c r="AF80" s="13"/>
      <c r="AG80" s="15"/>
      <c r="AH80" s="13"/>
      <c r="AI80" s="15"/>
      <c r="AJ80" s="13"/>
      <c r="AK80" s="15"/>
      <c r="AL80" s="13"/>
      <c r="AM80" s="15"/>
      <c r="AN80" s="13"/>
      <c r="AO80" s="15"/>
      <c r="AP80" s="13"/>
      <c r="AQ80" s="15"/>
      <c r="AR80" s="13"/>
      <c r="AS80" s="15"/>
      <c r="AT80" s="13"/>
      <c r="AU80" s="15"/>
      <c r="AV80" s="13"/>
      <c r="AW80" s="15"/>
      <c r="AX80" s="13"/>
      <c r="AY80" s="15"/>
      <c r="AZ80" s="13"/>
      <c r="BA80" s="15"/>
      <c r="BB80" s="13"/>
      <c r="BC80" s="15"/>
      <c r="BD80" s="13" t="s">
        <v>252</v>
      </c>
      <c r="BE80" s="15" t="str">
        <f>VLOOKUP(BD80,'Axe 2 Règles de gestion'!$D$2:$F$85,3, FALSE)</f>
        <v>La date de début de la formation doit être postérieure ou égale à la date de début du lien juridique.</v>
      </c>
      <c r="BF80" s="13" t="s">
        <v>232</v>
      </c>
      <c r="BG80" s="15" t="str">
        <f>VLOOKUP(BF80,'Axe 2 Règles de gestion'!$D$2:$F$85,3, FALSE)</f>
        <v>La date de début de la formation doit être antérieure ou égale à la date de fin de la formation.</v>
      </c>
      <c r="BH80" s="13" t="s">
        <v>234</v>
      </c>
      <c r="BI80" s="15" t="str">
        <f>VLOOKUP(BH80,'Axe 2 Règles de gestion'!$D$2:$F$85,3, FALSE)</f>
        <v>La date de fin de formation doit être antérieure ou égale à la date limite de départ à la retraite.</v>
      </c>
      <c r="BJ80" s="13" t="s">
        <v>254</v>
      </c>
      <c r="BK80" s="15" t="str">
        <f>VLOOKUP(BJ80,'Axe 2 Règles de gestion'!$D$2:$F$85,3, FALSE)</f>
        <v>La date de fin de la formation doit être antérieure ou égale à la date limite de fin réelle ou prévisionnelle du lien juridique.</v>
      </c>
      <c r="BL80" s="13"/>
      <c r="BM80" s="15"/>
      <c r="BN80" s="13"/>
      <c r="BO80" s="15"/>
      <c r="BP80" s="13"/>
      <c r="BQ80" s="15"/>
      <c r="BR80" s="13"/>
      <c r="BS80" s="15"/>
      <c r="BT80" s="13"/>
      <c r="BU80" s="15"/>
      <c r="BV80" s="13"/>
      <c r="BW80" s="15"/>
      <c r="BX80" s="13"/>
      <c r="BY80" s="15"/>
      <c r="BZ80" s="13"/>
      <c r="CA80" s="15"/>
    </row>
    <row r="81" spans="1:79" ht="72.5" x14ac:dyDescent="0.35">
      <c r="A81" s="13" t="s">
        <v>80</v>
      </c>
      <c r="B81" s="13" t="s">
        <v>81</v>
      </c>
      <c r="C81" s="14">
        <v>43756.487500000003</v>
      </c>
      <c r="D81" s="13" t="s">
        <v>205</v>
      </c>
      <c r="E81" s="15" t="s">
        <v>206</v>
      </c>
      <c r="F81" s="13" t="s">
        <v>207</v>
      </c>
      <c r="G81" s="15" t="s">
        <v>208</v>
      </c>
      <c r="H81" s="13" t="s">
        <v>209</v>
      </c>
      <c r="I81" s="15" t="s">
        <v>210</v>
      </c>
      <c r="J81" s="15" t="s">
        <v>211</v>
      </c>
      <c r="K81" s="15" t="s">
        <v>212</v>
      </c>
      <c r="L81" s="13" t="s">
        <v>213</v>
      </c>
      <c r="M81" s="15" t="s">
        <v>214</v>
      </c>
      <c r="N81" s="13" t="s">
        <v>91</v>
      </c>
      <c r="O81" s="15"/>
      <c r="P81" s="15"/>
      <c r="Q81" s="15" t="s">
        <v>169</v>
      </c>
      <c r="R81" s="13" t="s">
        <v>170</v>
      </c>
      <c r="S81" s="13" t="s">
        <v>162</v>
      </c>
      <c r="T81" s="13" t="s">
        <v>95</v>
      </c>
      <c r="U81" s="14">
        <v>43466</v>
      </c>
      <c r="V81" s="14"/>
      <c r="W81" s="15" t="s">
        <v>271</v>
      </c>
      <c r="X81" s="13" t="s">
        <v>272</v>
      </c>
      <c r="Y81" s="15" t="str">
        <f>VLOOKUP(X81,'Axe 2 Règles de gestion'!$D$2:$F$85,3, FALSE)</f>
        <v>Si l'administration est à l'origine de la demande bu bilan de compétences, l'accord de l'agent est nécessaire.</v>
      </c>
      <c r="Z81" s="13" t="s">
        <v>274</v>
      </c>
      <c r="AA81" s="15" t="str">
        <f>VLOOKUP(Z81,'Axe 2 Règles de gestion'!$D$2:$F$85,3, FALSE)</f>
        <v>Une convention entre l'agent bénéficiaire, l'administration et l'organisme prestataire du bilan de compétences doit être établie.</v>
      </c>
      <c r="AB81" s="13" t="s">
        <v>275</v>
      </c>
      <c r="AC81" s="15" t="str">
        <f>VLOOKUP(AB81,'Axe 2 Règles de gestion'!$D$2:$F$85,3, FALSE)</f>
        <v>L'agent dispose d'un délai de 10 jours à compter de la transmission par l'administration du projet de convention pour le signer.</v>
      </c>
      <c r="AD81" s="13" t="s">
        <v>277</v>
      </c>
      <c r="AE81" s="15" t="str">
        <f>VLOOKUP(AD81,'Axe 2 Règles de gestion'!$D$2:$F$85,3, FALSE)</f>
        <v>L'absence de réponse de l'agent au terme de ce délai vaut refus de conclure la convention.</v>
      </c>
      <c r="AF81" s="13" t="s">
        <v>279</v>
      </c>
      <c r="AG81" s="15" t="str">
        <f>VLOOKUP(AF81,'Axe 2 Règles de gestion'!$D$2:$F$85,3, FALSE)</f>
        <v>La durée ne peut excéder 24 heures par bilan.</v>
      </c>
      <c r="AH81" s="13" t="s">
        <v>281</v>
      </c>
      <c r="AI81" s="15" t="str">
        <f>VLOOKUP(AH81,'Axe 2 Règles de gestion'!$D$2:$F$85,3, FALSE)</f>
        <v>L'agent peut utiliser son compte personnel de formation pour effectuer un bilan de compétences.</v>
      </c>
      <c r="AJ81" s="13"/>
      <c r="AK81" s="15"/>
      <c r="AL81" s="13"/>
      <c r="AM81" s="15"/>
      <c r="AN81" s="13"/>
      <c r="AO81" s="15"/>
      <c r="AP81" s="13"/>
      <c r="AQ81" s="15"/>
      <c r="AR81" s="13"/>
      <c r="AS81" s="15"/>
      <c r="AT81" s="13"/>
      <c r="AU81" s="15"/>
      <c r="AV81" s="13"/>
      <c r="AW81" s="15"/>
      <c r="AX81" s="13"/>
      <c r="AY81" s="15"/>
      <c r="AZ81" s="13"/>
      <c r="BA81" s="15"/>
      <c r="BB81" s="13"/>
      <c r="BC81" s="15"/>
      <c r="BD81" s="13" t="s">
        <v>252</v>
      </c>
      <c r="BE81" s="15" t="str">
        <f>VLOOKUP(BD81,'Axe 2 Règles de gestion'!$D$2:$F$85,3, FALSE)</f>
        <v>La date de début de la formation doit être postérieure ou égale à la date de début du lien juridique.</v>
      </c>
      <c r="BF81" s="13" t="s">
        <v>232</v>
      </c>
      <c r="BG81" s="15" t="str">
        <f>VLOOKUP(BF81,'Axe 2 Règles de gestion'!$D$2:$F$85,3, FALSE)</f>
        <v>La date de début de la formation doit être antérieure ou égale à la date de fin de la formation.</v>
      </c>
      <c r="BH81" s="13" t="s">
        <v>234</v>
      </c>
      <c r="BI81" s="15" t="str">
        <f>VLOOKUP(BH81,'Axe 2 Règles de gestion'!$D$2:$F$85,3, FALSE)</f>
        <v>La date de fin de formation doit être antérieure ou égale à la date limite de départ à la retraite.</v>
      </c>
      <c r="BJ81" s="13" t="s">
        <v>254</v>
      </c>
      <c r="BK81" s="15" t="str">
        <f>VLOOKUP(BJ81,'Axe 2 Règles de gestion'!$D$2:$F$85,3, FALSE)</f>
        <v>La date de fin de la formation doit être antérieure ou égale à la date limite de fin réelle ou prévisionnelle du lien juridique.</v>
      </c>
      <c r="BL81" s="13"/>
      <c r="BM81" s="15"/>
      <c r="BN81" s="13"/>
      <c r="BO81" s="15"/>
      <c r="BP81" s="13"/>
      <c r="BQ81" s="15"/>
      <c r="BR81" s="13"/>
      <c r="BS81" s="15"/>
      <c r="BT81" s="13"/>
      <c r="BU81" s="15"/>
      <c r="BV81" s="13"/>
      <c r="BW81" s="15"/>
      <c r="BX81" s="13"/>
      <c r="BY81" s="15"/>
      <c r="BZ81" s="13"/>
      <c r="CA81" s="15"/>
    </row>
    <row r="82" spans="1:79" ht="72.5" x14ac:dyDescent="0.35">
      <c r="A82" s="13" t="s">
        <v>80</v>
      </c>
      <c r="B82" s="13" t="s">
        <v>81</v>
      </c>
      <c r="C82" s="14">
        <v>43756.495138888888</v>
      </c>
      <c r="D82" s="13" t="s">
        <v>205</v>
      </c>
      <c r="E82" s="15" t="s">
        <v>206</v>
      </c>
      <c r="F82" s="13" t="s">
        <v>207</v>
      </c>
      <c r="G82" s="15" t="s">
        <v>208</v>
      </c>
      <c r="H82" s="13" t="s">
        <v>209</v>
      </c>
      <c r="I82" s="15" t="s">
        <v>210</v>
      </c>
      <c r="J82" s="15" t="s">
        <v>211</v>
      </c>
      <c r="K82" s="15" t="s">
        <v>212</v>
      </c>
      <c r="L82" s="13" t="s">
        <v>241</v>
      </c>
      <c r="M82" s="15" t="s">
        <v>242</v>
      </c>
      <c r="N82" s="13" t="s">
        <v>127</v>
      </c>
      <c r="O82" s="15"/>
      <c r="P82" s="15"/>
      <c r="Q82" s="15" t="s">
        <v>169</v>
      </c>
      <c r="R82" s="13" t="s">
        <v>170</v>
      </c>
      <c r="S82" s="13" t="s">
        <v>162</v>
      </c>
      <c r="T82" s="13" t="s">
        <v>95</v>
      </c>
      <c r="U82" s="14">
        <v>40725</v>
      </c>
      <c r="V82" s="14"/>
      <c r="W82" s="15" t="s">
        <v>283</v>
      </c>
      <c r="X82" s="13"/>
      <c r="Y82" s="15"/>
      <c r="Z82" s="13"/>
      <c r="AA82" s="15"/>
      <c r="AB82" s="13"/>
      <c r="AC82" s="15"/>
      <c r="AD82" s="13"/>
      <c r="AE82" s="15"/>
      <c r="AF82" s="13"/>
      <c r="AG82" s="15"/>
      <c r="AH82" s="13"/>
      <c r="AI82" s="15"/>
      <c r="AJ82" s="13"/>
      <c r="AK82" s="15"/>
      <c r="AL82" s="13"/>
      <c r="AM82" s="15"/>
      <c r="AN82" s="13"/>
      <c r="AO82" s="15"/>
      <c r="AP82" s="13"/>
      <c r="AQ82" s="15"/>
      <c r="AR82" s="13"/>
      <c r="AS82" s="15"/>
      <c r="AT82" s="13"/>
      <c r="AU82" s="15"/>
      <c r="AV82" s="13"/>
      <c r="AW82" s="15"/>
      <c r="AX82" s="13"/>
      <c r="AY82" s="15"/>
      <c r="AZ82" s="13"/>
      <c r="BA82" s="15"/>
      <c r="BB82" s="13"/>
      <c r="BC82" s="15"/>
      <c r="BD82" s="13" t="s">
        <v>232</v>
      </c>
      <c r="BE82" s="15" t="str">
        <f>VLOOKUP(BD82,'Axe 2 Règles de gestion'!$D$2:$F$85,3, FALSE)</f>
        <v>La date de début de la formation doit être antérieure ou égale à la date de fin de la formation.</v>
      </c>
      <c r="BF82" s="13" t="s">
        <v>234</v>
      </c>
      <c r="BG82" s="15" t="str">
        <f>VLOOKUP(BF82,'Axe 2 Règles de gestion'!$D$2:$F$85,3, FALSE)</f>
        <v>La date de fin de formation doit être antérieure ou égale à la date limite de départ à la retraite.</v>
      </c>
      <c r="BH82" s="13" t="s">
        <v>254</v>
      </c>
      <c r="BI82" s="15" t="str">
        <f>VLOOKUP(BH82,'Axe 2 Règles de gestion'!$D$2:$F$85,3, FALSE)</f>
        <v>La date de fin de la formation doit être antérieure ou égale à la date limite de fin réelle ou prévisionnelle du lien juridique.</v>
      </c>
      <c r="BJ82" s="13"/>
      <c r="BK82" s="15"/>
      <c r="BL82" s="13"/>
      <c r="BM82" s="15"/>
      <c r="BN82" s="13"/>
      <c r="BO82" s="15"/>
      <c r="BP82" s="13"/>
      <c r="BQ82" s="15"/>
      <c r="BR82" s="13"/>
      <c r="BS82" s="15"/>
      <c r="BT82" s="13"/>
      <c r="BU82" s="15"/>
      <c r="BV82" s="13"/>
      <c r="BW82" s="15"/>
      <c r="BX82" s="13"/>
      <c r="BY82" s="15"/>
      <c r="BZ82" s="13"/>
      <c r="CA82" s="15"/>
    </row>
    <row r="83" spans="1:79" ht="43.5" x14ac:dyDescent="0.35">
      <c r="A83" s="13" t="s">
        <v>80</v>
      </c>
      <c r="B83" s="13" t="s">
        <v>81</v>
      </c>
      <c r="C83" s="14">
        <v>43756.489583333336</v>
      </c>
      <c r="D83" s="13" t="s">
        <v>205</v>
      </c>
      <c r="E83" s="15" t="s">
        <v>206</v>
      </c>
      <c r="F83" s="13" t="s">
        <v>207</v>
      </c>
      <c r="G83" s="15" t="s">
        <v>208</v>
      </c>
      <c r="H83" s="13" t="s">
        <v>209</v>
      </c>
      <c r="I83" s="15" t="s">
        <v>210</v>
      </c>
      <c r="J83" s="15" t="s">
        <v>211</v>
      </c>
      <c r="K83" s="15" t="s">
        <v>212</v>
      </c>
      <c r="L83" s="13" t="s">
        <v>213</v>
      </c>
      <c r="M83" s="15" t="s">
        <v>214</v>
      </c>
      <c r="N83" s="13" t="s">
        <v>91</v>
      </c>
      <c r="O83" s="15"/>
      <c r="P83" s="15"/>
      <c r="Q83" s="15" t="s">
        <v>172</v>
      </c>
      <c r="R83" s="13" t="s">
        <v>173</v>
      </c>
      <c r="S83" s="13" t="s">
        <v>162</v>
      </c>
      <c r="T83" s="13" t="s">
        <v>131</v>
      </c>
      <c r="U83" s="14">
        <v>40725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5"/>
      <c r="AH83" s="13"/>
      <c r="AI83" s="15"/>
      <c r="AJ83" s="13"/>
      <c r="AK83" s="15"/>
      <c r="AL83" s="13"/>
      <c r="AM83" s="15"/>
      <c r="AN83" s="13"/>
      <c r="AO83" s="15"/>
      <c r="AP83" s="13"/>
      <c r="AQ83" s="15"/>
      <c r="AR83" s="13"/>
      <c r="AS83" s="15"/>
      <c r="AT83" s="13"/>
      <c r="AU83" s="15"/>
      <c r="AV83" s="13"/>
      <c r="AW83" s="15"/>
      <c r="AX83" s="13"/>
      <c r="AY83" s="15"/>
      <c r="AZ83" s="13"/>
      <c r="BA83" s="15"/>
      <c r="BB83" s="13"/>
      <c r="BC83" s="15"/>
      <c r="BD83" s="13"/>
      <c r="BE83" s="15"/>
      <c r="BF83" s="13"/>
      <c r="BG83" s="15"/>
      <c r="BH83" s="13"/>
      <c r="BI83" s="15"/>
      <c r="BJ83" s="13"/>
      <c r="BK83" s="15"/>
      <c r="BL83" s="13"/>
      <c r="BM83" s="15"/>
      <c r="BN83" s="13"/>
      <c r="BO83" s="15"/>
      <c r="BP83" s="13"/>
      <c r="BQ83" s="15"/>
      <c r="BR83" s="13"/>
      <c r="BS83" s="15"/>
      <c r="BT83" s="13"/>
      <c r="BU83" s="15"/>
      <c r="BV83" s="13"/>
      <c r="BW83" s="15"/>
      <c r="BX83" s="13"/>
      <c r="BY83" s="15"/>
      <c r="BZ83" s="13"/>
      <c r="CA83" s="15"/>
    </row>
    <row r="84" spans="1:79" ht="43.5" x14ac:dyDescent="0.35">
      <c r="A84" s="13" t="s">
        <v>80</v>
      </c>
      <c r="B84" s="13" t="s">
        <v>81</v>
      </c>
      <c r="C84" s="14">
        <v>43756.496527777781</v>
      </c>
      <c r="D84" s="13" t="s">
        <v>205</v>
      </c>
      <c r="E84" s="15" t="s">
        <v>206</v>
      </c>
      <c r="F84" s="13" t="s">
        <v>207</v>
      </c>
      <c r="G84" s="15" t="s">
        <v>208</v>
      </c>
      <c r="H84" s="13" t="s">
        <v>209</v>
      </c>
      <c r="I84" s="15" t="s">
        <v>210</v>
      </c>
      <c r="J84" s="15" t="s">
        <v>211</v>
      </c>
      <c r="K84" s="15" t="s">
        <v>212</v>
      </c>
      <c r="L84" s="13" t="s">
        <v>241</v>
      </c>
      <c r="M84" s="15" t="s">
        <v>242</v>
      </c>
      <c r="N84" s="13" t="s">
        <v>127</v>
      </c>
      <c r="O84" s="15"/>
      <c r="P84" s="15"/>
      <c r="Q84" s="15" t="s">
        <v>172</v>
      </c>
      <c r="R84" s="13" t="s">
        <v>173</v>
      </c>
      <c r="S84" s="13" t="s">
        <v>162</v>
      </c>
      <c r="T84" s="13" t="s">
        <v>131</v>
      </c>
      <c r="U84" s="14">
        <v>40725</v>
      </c>
      <c r="V84" s="14"/>
      <c r="W84" s="15"/>
      <c r="X84" s="13"/>
      <c r="Y84" s="15"/>
      <c r="Z84" s="13"/>
      <c r="AA84" s="15"/>
      <c r="AB84" s="13"/>
      <c r="AC84" s="15"/>
      <c r="AD84" s="13"/>
      <c r="AE84" s="15"/>
      <c r="AF84" s="13"/>
      <c r="AG84" s="15"/>
      <c r="AH84" s="13"/>
      <c r="AI84" s="15"/>
      <c r="AJ84" s="13"/>
      <c r="AK84" s="15"/>
      <c r="AL84" s="13"/>
      <c r="AM84" s="15"/>
      <c r="AN84" s="13"/>
      <c r="AO84" s="15"/>
      <c r="AP84" s="13"/>
      <c r="AQ84" s="15"/>
      <c r="AR84" s="13"/>
      <c r="AS84" s="15"/>
      <c r="AT84" s="13"/>
      <c r="AU84" s="15"/>
      <c r="AV84" s="13"/>
      <c r="AW84" s="15"/>
      <c r="AX84" s="13"/>
      <c r="AY84" s="15"/>
      <c r="AZ84" s="13"/>
      <c r="BA84" s="15"/>
      <c r="BB84" s="13"/>
      <c r="BC84" s="15"/>
      <c r="BD84" s="13"/>
      <c r="BE84" s="15"/>
      <c r="BF84" s="13"/>
      <c r="BG84" s="15"/>
      <c r="BH84" s="13"/>
      <c r="BI84" s="15"/>
      <c r="BJ84" s="13"/>
      <c r="BK84" s="15"/>
      <c r="BL84" s="13"/>
      <c r="BM84" s="15"/>
      <c r="BN84" s="13"/>
      <c r="BO84" s="15"/>
      <c r="BP84" s="13"/>
      <c r="BQ84" s="15"/>
      <c r="BR84" s="13"/>
      <c r="BS84" s="15"/>
      <c r="BT84" s="13"/>
      <c r="BU84" s="15"/>
      <c r="BV84" s="13"/>
      <c r="BW84" s="15"/>
      <c r="BX84" s="13"/>
      <c r="BY84" s="15"/>
      <c r="BZ84" s="13"/>
      <c r="CA84" s="15"/>
    </row>
    <row r="85" spans="1:79" s="22" customFormat="1" ht="43.5" x14ac:dyDescent="0.35">
      <c r="A85" s="19" t="s">
        <v>147</v>
      </c>
      <c r="B85" s="19" t="s">
        <v>148</v>
      </c>
      <c r="C85" s="20">
        <v>45995.472222222219</v>
      </c>
      <c r="D85" s="19" t="s">
        <v>205</v>
      </c>
      <c r="E85" s="21" t="s">
        <v>206</v>
      </c>
      <c r="F85" s="19" t="s">
        <v>207</v>
      </c>
      <c r="G85" s="21" t="s">
        <v>208</v>
      </c>
      <c r="H85" s="19" t="s">
        <v>209</v>
      </c>
      <c r="I85" s="21" t="s">
        <v>210</v>
      </c>
      <c r="J85" s="21" t="s">
        <v>211</v>
      </c>
      <c r="K85" s="21" t="s">
        <v>212</v>
      </c>
      <c r="L85" s="19" t="s">
        <v>213</v>
      </c>
      <c r="M85" s="21" t="s">
        <v>214</v>
      </c>
      <c r="N85" s="19" t="s">
        <v>91</v>
      </c>
      <c r="O85" s="21"/>
      <c r="P85" s="21"/>
      <c r="Q85" s="21" t="s">
        <v>174</v>
      </c>
      <c r="R85" s="19" t="s">
        <v>175</v>
      </c>
      <c r="S85" s="19" t="s">
        <v>162</v>
      </c>
      <c r="T85" s="19" t="s">
        <v>131</v>
      </c>
      <c r="U85" s="20">
        <v>40725</v>
      </c>
      <c r="V85" s="20">
        <v>45900</v>
      </c>
      <c r="W85" s="21"/>
      <c r="X85" s="19"/>
      <c r="Y85" s="21"/>
      <c r="Z85" s="19"/>
      <c r="AA85" s="21"/>
      <c r="AB85" s="19"/>
      <c r="AC85" s="21"/>
      <c r="AD85" s="19"/>
      <c r="AE85" s="21"/>
      <c r="AF85" s="19"/>
      <c r="AG85" s="21"/>
      <c r="AH85" s="19"/>
      <c r="AI85" s="21"/>
      <c r="AJ85" s="19"/>
      <c r="AK85" s="21"/>
      <c r="AL85" s="19"/>
      <c r="AM85" s="21"/>
      <c r="AN85" s="19"/>
      <c r="AO85" s="21"/>
      <c r="AP85" s="19"/>
      <c r="AQ85" s="21"/>
      <c r="AR85" s="19"/>
      <c r="AS85" s="21"/>
      <c r="AT85" s="19"/>
      <c r="AU85" s="21"/>
      <c r="AV85" s="19"/>
      <c r="AW85" s="21"/>
      <c r="AX85" s="19"/>
      <c r="AY85" s="21"/>
      <c r="AZ85" s="19"/>
      <c r="BA85" s="21"/>
      <c r="BB85" s="19"/>
      <c r="BC85" s="21"/>
      <c r="BD85" s="19"/>
      <c r="BE85" s="21"/>
      <c r="BF85" s="19"/>
      <c r="BG85" s="21"/>
      <c r="BH85" s="19"/>
      <c r="BI85" s="21"/>
      <c r="BJ85" s="19"/>
      <c r="BK85" s="21"/>
      <c r="BL85" s="19"/>
      <c r="BM85" s="21"/>
      <c r="BN85" s="19"/>
      <c r="BO85" s="21"/>
      <c r="BP85" s="19"/>
      <c r="BQ85" s="21"/>
      <c r="BR85" s="19"/>
      <c r="BS85" s="21"/>
      <c r="BT85" s="19"/>
      <c r="BU85" s="21"/>
      <c r="BV85" s="19"/>
      <c r="BW85" s="21"/>
      <c r="BX85" s="19"/>
      <c r="BY85" s="21"/>
      <c r="BZ85" s="19" t="s">
        <v>176</v>
      </c>
      <c r="CA85" s="21"/>
    </row>
    <row r="86" spans="1:79" s="22" customFormat="1" ht="87" x14ac:dyDescent="0.35">
      <c r="A86" s="19" t="s">
        <v>147</v>
      </c>
      <c r="B86" s="19" t="s">
        <v>81</v>
      </c>
      <c r="C86" s="20">
        <v>45995.472222222219</v>
      </c>
      <c r="D86" s="19" t="s">
        <v>205</v>
      </c>
      <c r="E86" s="21" t="s">
        <v>206</v>
      </c>
      <c r="F86" s="19" t="s">
        <v>207</v>
      </c>
      <c r="G86" s="21" t="s">
        <v>208</v>
      </c>
      <c r="H86" s="19" t="s">
        <v>209</v>
      </c>
      <c r="I86" s="21" t="s">
        <v>210</v>
      </c>
      <c r="J86" s="21" t="s">
        <v>211</v>
      </c>
      <c r="K86" s="21" t="s">
        <v>212</v>
      </c>
      <c r="L86" s="19" t="s">
        <v>213</v>
      </c>
      <c r="M86" s="21" t="s">
        <v>214</v>
      </c>
      <c r="N86" s="19" t="s">
        <v>91</v>
      </c>
      <c r="O86" s="21"/>
      <c r="P86" s="21"/>
      <c r="Q86" s="21" t="s">
        <v>174</v>
      </c>
      <c r="R86" s="19" t="s">
        <v>175</v>
      </c>
      <c r="S86" s="19" t="s">
        <v>162</v>
      </c>
      <c r="T86" s="19" t="s">
        <v>95</v>
      </c>
      <c r="U86" s="20">
        <v>45901</v>
      </c>
      <c r="V86" s="20"/>
      <c r="W86" s="21" t="s">
        <v>284</v>
      </c>
      <c r="X86" s="19" t="s">
        <v>285</v>
      </c>
      <c r="Y86" s="21" t="str">
        <f>VLOOKUP(X86,'Axe 2 Règles de gestion'!$D$2:$F$85,3, FALSE)</f>
        <v>L'agent bénéficie des dispositions applicables aux agents ouvriers affiliés pour la formation pour bilan de compétences.</v>
      </c>
      <c r="Z86" s="19" t="s">
        <v>216</v>
      </c>
      <c r="AA86" s="21" t="str">
        <f>VLOOKUP(Z86,'Axe 2 Règles de gestion'!$D$2:$F$85,3, FALSE)</f>
        <v>L'agent ou l'administration peuvent être à l'origine de la demande.</v>
      </c>
      <c r="AB86" s="19" t="s">
        <v>249</v>
      </c>
      <c r="AC86" s="21" t="str">
        <f>VLOOKUP(AB86,'Axe 2 Règles de gestion'!$D$2:$F$85,3, FALSE)</f>
        <v>Si l'agent est en congé parental, la demande doit être formulée 6 mois au plus avant l'expiration de la dernière période de congé parental.</v>
      </c>
      <c r="AD86" s="19" t="s">
        <v>220</v>
      </c>
      <c r="AE86" s="21" t="str">
        <f>VLOOKUP(AD86,'Axe 2 Règles de gestion'!$D$2:$F$85,3, FALSE)</f>
        <v>L'administration doit fournir une réponse écrite à l'agent dans un délai de 2 mois suivant la date de la demande.</v>
      </c>
      <c r="AF86" s="19" t="s">
        <v>222</v>
      </c>
      <c r="AG86" s="21" t="str">
        <f>VLOOKUP(AF86,'Axe 2 Règles de gestion'!$D$2:$F$85,3, FALSE)</f>
        <v>En cas de refus, l'administration doit motiver sa décision.</v>
      </c>
      <c r="AH86" s="19" t="s">
        <v>224</v>
      </c>
      <c r="AI86" s="21" t="str">
        <f>VLOOKUP(AH86,'Axe 2 Règles de gestion'!$D$2:$F$85,3, FALSE)</f>
        <v>Une convention entre l'agent bénéficiaire, l'administration et l'organisme prestataire du bilan de compétences doit être établie.</v>
      </c>
      <c r="AJ86" s="19" t="s">
        <v>257</v>
      </c>
      <c r="AK86" s="21" t="str">
        <f>VLOOKUP(AJ86,'Axe 2 Règles de gestion'!$D$2:$F$85,3, FALSE)</f>
        <v>Un agent ne peut prétendre à un autre bilan de compétences qu'à l'expiration d'un délai d'au moins 5 ans après le précédent.</v>
      </c>
      <c r="AL86" s="19" t="s">
        <v>259</v>
      </c>
      <c r="AM86" s="21" t="str">
        <f>VLOOKUP(AL86,'Axe 2 Règles de gestion'!$D$2:$F$85,3, FALSE)</f>
        <v>L'agent peut utiliser son compte personnel de formation afin de compléter la préparation ou la réalisation de son bilan de compétences.</v>
      </c>
      <c r="AN86" s="19"/>
      <c r="AO86" s="21"/>
      <c r="AP86" s="19"/>
      <c r="AQ86" s="21"/>
      <c r="AR86" s="19"/>
      <c r="AS86" s="21"/>
      <c r="AT86" s="19"/>
      <c r="AU86" s="21"/>
      <c r="AV86" s="19"/>
      <c r="AW86" s="21"/>
      <c r="AX86" s="19"/>
      <c r="AY86" s="21"/>
      <c r="AZ86" s="19" t="s">
        <v>139</v>
      </c>
      <c r="BA86" s="21" t="str">
        <f>VLOOKUP(AZ86,'Axe 2 Règles de gestion'!$D$2:$F$85,3, FALSE)</f>
        <v>L'agent doit être en position d'activité ou de congé parental.</v>
      </c>
      <c r="BB86" s="19"/>
      <c r="BC86" s="21"/>
      <c r="BD86" s="19" t="s">
        <v>252</v>
      </c>
      <c r="BE86" s="21" t="str">
        <f>VLOOKUP(BD86,'Axe 2 Règles de gestion'!$D$2:$F$85,3, FALSE)</f>
        <v>La date de début de la formation doit être postérieure ou égale à la date de début du lien juridique.</v>
      </c>
      <c r="BF86" s="19" t="s">
        <v>232</v>
      </c>
      <c r="BG86" s="21" t="str">
        <f>VLOOKUP(BF86,'Axe 2 Règles de gestion'!$D$2:$F$85,3, FALSE)</f>
        <v>La date de début de la formation doit être antérieure ou égale à la date de fin de la formation.</v>
      </c>
      <c r="BH86" s="19" t="s">
        <v>234</v>
      </c>
      <c r="BI86" s="21" t="str">
        <f>VLOOKUP(BH86,'Axe 2 Règles de gestion'!$D$2:$F$85,3, FALSE)</f>
        <v>La date de fin de formation doit être antérieure ou égale à la date limite de départ à la retraite.</v>
      </c>
      <c r="BJ86" s="19" t="s">
        <v>254</v>
      </c>
      <c r="BK86" s="21" t="str">
        <f>VLOOKUP(BJ86,'Axe 2 Règles de gestion'!$D$2:$F$85,3, FALSE)</f>
        <v>La date de fin de la formation doit être antérieure ou égale à la date limite de fin réelle ou prévisionnelle du lien juridique.</v>
      </c>
      <c r="BL86" s="19"/>
      <c r="BM86" s="21"/>
      <c r="BN86" s="19"/>
      <c r="BO86" s="21"/>
      <c r="BP86" s="19"/>
      <c r="BQ86" s="21"/>
      <c r="BR86" s="19"/>
      <c r="BS86" s="21"/>
      <c r="BT86" s="19"/>
      <c r="BU86" s="21"/>
      <c r="BV86" s="19"/>
      <c r="BW86" s="21"/>
      <c r="BX86" s="19"/>
      <c r="BY86" s="21"/>
      <c r="BZ86" s="19" t="s">
        <v>176</v>
      </c>
      <c r="CA86" s="21"/>
    </row>
    <row r="87" spans="1:79" s="22" customFormat="1" ht="43.5" x14ac:dyDescent="0.35">
      <c r="A87" s="19" t="s">
        <v>147</v>
      </c>
      <c r="B87" s="19" t="s">
        <v>148</v>
      </c>
      <c r="C87" s="20">
        <v>45995.472916666666</v>
      </c>
      <c r="D87" s="19" t="s">
        <v>205</v>
      </c>
      <c r="E87" s="21" t="s">
        <v>206</v>
      </c>
      <c r="F87" s="19" t="s">
        <v>207</v>
      </c>
      <c r="G87" s="21" t="s">
        <v>208</v>
      </c>
      <c r="H87" s="19" t="s">
        <v>209</v>
      </c>
      <c r="I87" s="21" t="s">
        <v>210</v>
      </c>
      <c r="J87" s="21" t="s">
        <v>211</v>
      </c>
      <c r="K87" s="21" t="s">
        <v>212</v>
      </c>
      <c r="L87" s="19" t="s">
        <v>241</v>
      </c>
      <c r="M87" s="21" t="s">
        <v>242</v>
      </c>
      <c r="N87" s="19" t="s">
        <v>127</v>
      </c>
      <c r="O87" s="21"/>
      <c r="P87" s="21"/>
      <c r="Q87" s="21" t="s">
        <v>174</v>
      </c>
      <c r="R87" s="19" t="s">
        <v>175</v>
      </c>
      <c r="S87" s="19" t="s">
        <v>162</v>
      </c>
      <c r="T87" s="19" t="s">
        <v>131</v>
      </c>
      <c r="U87" s="20">
        <v>40725</v>
      </c>
      <c r="V87" s="20">
        <v>45900</v>
      </c>
      <c r="W87" s="21"/>
      <c r="X87" s="19"/>
      <c r="Y87" s="21"/>
      <c r="Z87" s="19"/>
      <c r="AA87" s="21"/>
      <c r="AB87" s="19"/>
      <c r="AC87" s="21"/>
      <c r="AD87" s="19"/>
      <c r="AE87" s="21"/>
      <c r="AF87" s="19"/>
      <c r="AG87" s="21"/>
      <c r="AH87" s="19"/>
      <c r="AI87" s="21"/>
      <c r="AJ87" s="19"/>
      <c r="AK87" s="21"/>
      <c r="AL87" s="19"/>
      <c r="AM87" s="21"/>
      <c r="AN87" s="19"/>
      <c r="AO87" s="21"/>
      <c r="AP87" s="19"/>
      <c r="AQ87" s="21"/>
      <c r="AR87" s="19"/>
      <c r="AS87" s="21"/>
      <c r="AT87" s="19"/>
      <c r="AU87" s="21"/>
      <c r="AV87" s="19"/>
      <c r="AW87" s="21"/>
      <c r="AX87" s="19"/>
      <c r="AY87" s="21"/>
      <c r="AZ87" s="19"/>
      <c r="BA87" s="21"/>
      <c r="BB87" s="19"/>
      <c r="BC87" s="21"/>
      <c r="BD87" s="19"/>
      <c r="BE87" s="21"/>
      <c r="BF87" s="19"/>
      <c r="BG87" s="21"/>
      <c r="BH87" s="19"/>
      <c r="BI87" s="21"/>
      <c r="BJ87" s="19"/>
      <c r="BK87" s="21"/>
      <c r="BL87" s="19"/>
      <c r="BM87" s="21"/>
      <c r="BN87" s="19"/>
      <c r="BO87" s="21"/>
      <c r="BP87" s="19"/>
      <c r="BQ87" s="21"/>
      <c r="BR87" s="19"/>
      <c r="BS87" s="21"/>
      <c r="BT87" s="19"/>
      <c r="BU87" s="21"/>
      <c r="BV87" s="19"/>
      <c r="BW87" s="21"/>
      <c r="BX87" s="19"/>
      <c r="BY87" s="21"/>
      <c r="BZ87" s="19" t="s">
        <v>176</v>
      </c>
      <c r="CA87" s="21"/>
    </row>
    <row r="88" spans="1:79" s="22" customFormat="1" ht="87" x14ac:dyDescent="0.35">
      <c r="A88" s="19" t="s">
        <v>147</v>
      </c>
      <c r="B88" s="19" t="s">
        <v>81</v>
      </c>
      <c r="C88" s="20">
        <v>45995.472916666666</v>
      </c>
      <c r="D88" s="19" t="s">
        <v>205</v>
      </c>
      <c r="E88" s="21" t="s">
        <v>206</v>
      </c>
      <c r="F88" s="19" t="s">
        <v>207</v>
      </c>
      <c r="G88" s="21" t="s">
        <v>208</v>
      </c>
      <c r="H88" s="19" t="s">
        <v>209</v>
      </c>
      <c r="I88" s="21" t="s">
        <v>210</v>
      </c>
      <c r="J88" s="21" t="s">
        <v>211</v>
      </c>
      <c r="K88" s="21" t="s">
        <v>212</v>
      </c>
      <c r="L88" s="19" t="s">
        <v>241</v>
      </c>
      <c r="M88" s="21" t="s">
        <v>242</v>
      </c>
      <c r="N88" s="19" t="s">
        <v>127</v>
      </c>
      <c r="O88" s="21"/>
      <c r="P88" s="21"/>
      <c r="Q88" s="21" t="s">
        <v>174</v>
      </c>
      <c r="R88" s="19" t="s">
        <v>175</v>
      </c>
      <c r="S88" s="19" t="s">
        <v>162</v>
      </c>
      <c r="T88" s="19" t="s">
        <v>95</v>
      </c>
      <c r="U88" s="20">
        <v>45901</v>
      </c>
      <c r="V88" s="20"/>
      <c r="W88" s="21" t="s">
        <v>287</v>
      </c>
      <c r="X88" s="19" t="s">
        <v>285</v>
      </c>
      <c r="Y88" s="21" t="str">
        <f>VLOOKUP(X88,'Axe 2 Règles de gestion'!$D$2:$F$85,3, FALSE)</f>
        <v>L'agent bénéficie des dispositions applicables aux agents ouvriers affiliés pour la formation pour bilan de compétences.</v>
      </c>
      <c r="Z88" s="19" t="s">
        <v>244</v>
      </c>
      <c r="AA88" s="21" t="str">
        <f>VLOOKUP(Z88,'Axe 2 Règles de gestion'!$D$2:$F$85,3, FALSE)</f>
        <v>Si l'agent ne s'y oppose pas, le document de synthèse du bilan peut être communiqué au service chargé des ressources humaines de son administration d'emploi.</v>
      </c>
      <c r="AB88" s="19" t="s">
        <v>246</v>
      </c>
      <c r="AC88" s="21" t="str">
        <f>VLOOKUP(AB88,'Axe 2 Règles de gestion'!$D$2:$F$85,3, FALSE)</f>
        <v>L'agent présente à son chef de service une attestation de fréquentation effective délivrée par l'organisme prestataire.</v>
      </c>
      <c r="AD88" s="19"/>
      <c r="AE88" s="21"/>
      <c r="AF88" s="19"/>
      <c r="AG88" s="21"/>
      <c r="AH88" s="19"/>
      <c r="AI88" s="21"/>
      <c r="AJ88" s="19"/>
      <c r="AK88" s="21"/>
      <c r="AL88" s="19"/>
      <c r="AM88" s="21"/>
      <c r="AN88" s="19"/>
      <c r="AO88" s="21"/>
      <c r="AP88" s="19"/>
      <c r="AQ88" s="21"/>
      <c r="AR88" s="19"/>
      <c r="AS88" s="21"/>
      <c r="AT88" s="19"/>
      <c r="AU88" s="21"/>
      <c r="AV88" s="19"/>
      <c r="AW88" s="21"/>
      <c r="AX88" s="19"/>
      <c r="AY88" s="21"/>
      <c r="AZ88" s="19"/>
      <c r="BA88" s="21"/>
      <c r="BB88" s="19"/>
      <c r="BC88" s="21"/>
      <c r="BD88" s="19" t="s">
        <v>232</v>
      </c>
      <c r="BE88" s="21" t="str">
        <f>VLOOKUP(BD88,'Axe 2 Règles de gestion'!$D$2:$F$85,3, FALSE)</f>
        <v>La date de début de la formation doit être antérieure ou égale à la date de fin de la formation.</v>
      </c>
      <c r="BF88" s="19" t="s">
        <v>234</v>
      </c>
      <c r="BG88" s="21" t="str">
        <f>VLOOKUP(BF88,'Axe 2 Règles de gestion'!$D$2:$F$85,3, FALSE)</f>
        <v>La date de fin de formation doit être antérieure ou égale à la date limite de départ à la retraite.</v>
      </c>
      <c r="BH88" s="19" t="s">
        <v>254</v>
      </c>
      <c r="BI88" s="21" t="str">
        <f>VLOOKUP(BH88,'Axe 2 Règles de gestion'!$D$2:$F$85,3, FALSE)</f>
        <v>La date de fin de la formation doit être antérieure ou égale à la date limite de fin réelle ou prévisionnelle du lien juridique.</v>
      </c>
      <c r="BJ88" s="19"/>
      <c r="BK88" s="21"/>
      <c r="BL88" s="19"/>
      <c r="BM88" s="21"/>
      <c r="BN88" s="19"/>
      <c r="BO88" s="21"/>
      <c r="BP88" s="19"/>
      <c r="BQ88" s="21"/>
      <c r="BR88" s="19"/>
      <c r="BS88" s="21"/>
      <c r="BT88" s="19"/>
      <c r="BU88" s="21"/>
      <c r="BV88" s="19"/>
      <c r="BW88" s="21"/>
      <c r="BX88" s="19"/>
      <c r="BY88" s="21"/>
      <c r="BZ88" s="19" t="s">
        <v>176</v>
      </c>
      <c r="CA88" s="21"/>
    </row>
    <row r="89" spans="1:79" ht="29" x14ac:dyDescent="0.35">
      <c r="A89" s="13" t="s">
        <v>80</v>
      </c>
      <c r="B89" s="13" t="s">
        <v>81</v>
      </c>
      <c r="C89" s="14">
        <v>43756.490277777775</v>
      </c>
      <c r="D89" s="13" t="s">
        <v>205</v>
      </c>
      <c r="E89" s="15" t="s">
        <v>206</v>
      </c>
      <c r="F89" s="13" t="s">
        <v>207</v>
      </c>
      <c r="G89" s="15" t="s">
        <v>208</v>
      </c>
      <c r="H89" s="13" t="s">
        <v>209</v>
      </c>
      <c r="I89" s="15" t="s">
        <v>210</v>
      </c>
      <c r="J89" s="15" t="s">
        <v>211</v>
      </c>
      <c r="K89" s="15" t="s">
        <v>212</v>
      </c>
      <c r="L89" s="13" t="s">
        <v>213</v>
      </c>
      <c r="M89" s="15" t="s">
        <v>214</v>
      </c>
      <c r="N89" s="13" t="s">
        <v>91</v>
      </c>
      <c r="O89" s="15"/>
      <c r="P89" s="15"/>
      <c r="Q89" s="15" t="s">
        <v>181</v>
      </c>
      <c r="R89" s="13" t="s">
        <v>182</v>
      </c>
      <c r="S89" s="13" t="s">
        <v>162</v>
      </c>
      <c r="T89" s="13" t="s">
        <v>131</v>
      </c>
      <c r="U89" s="14">
        <v>40725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  <c r="AF89" s="13"/>
      <c r="AG89" s="15"/>
      <c r="AH89" s="13"/>
      <c r="AI89" s="15"/>
      <c r="AJ89" s="13"/>
      <c r="AK89" s="15"/>
      <c r="AL89" s="13"/>
      <c r="AM89" s="15"/>
      <c r="AN89" s="13"/>
      <c r="AO89" s="15"/>
      <c r="AP89" s="13"/>
      <c r="AQ89" s="15"/>
      <c r="AR89" s="13"/>
      <c r="AS89" s="15"/>
      <c r="AT89" s="13"/>
      <c r="AU89" s="15"/>
      <c r="AV89" s="13"/>
      <c r="AW89" s="15"/>
      <c r="AX89" s="13"/>
      <c r="AY89" s="15"/>
      <c r="AZ89" s="13"/>
      <c r="BA89" s="15"/>
      <c r="BB89" s="13"/>
      <c r="BC89" s="15"/>
      <c r="BD89" s="13"/>
      <c r="BE89" s="15"/>
      <c r="BF89" s="13"/>
      <c r="BG89" s="15"/>
      <c r="BH89" s="13"/>
      <c r="BI89" s="15"/>
      <c r="BJ89" s="13"/>
      <c r="BK89" s="15"/>
      <c r="BL89" s="13"/>
      <c r="BM89" s="15"/>
      <c r="BN89" s="13"/>
      <c r="BO89" s="15"/>
      <c r="BP89" s="13"/>
      <c r="BQ89" s="15"/>
      <c r="BR89" s="13"/>
      <c r="BS89" s="15"/>
      <c r="BT89" s="13"/>
      <c r="BU89" s="15"/>
      <c r="BV89" s="13"/>
      <c r="BW89" s="15"/>
      <c r="BX89" s="13"/>
      <c r="BY89" s="15"/>
      <c r="BZ89" s="13"/>
      <c r="CA89" s="15"/>
    </row>
    <row r="90" spans="1:79" ht="29" x14ac:dyDescent="0.35">
      <c r="A90" s="13" t="s">
        <v>80</v>
      </c>
      <c r="B90" s="13" t="s">
        <v>81</v>
      </c>
      <c r="C90" s="14">
        <v>43756.49722222222</v>
      </c>
      <c r="D90" s="13" t="s">
        <v>205</v>
      </c>
      <c r="E90" s="15" t="s">
        <v>206</v>
      </c>
      <c r="F90" s="13" t="s">
        <v>207</v>
      </c>
      <c r="G90" s="15" t="s">
        <v>208</v>
      </c>
      <c r="H90" s="13" t="s">
        <v>209</v>
      </c>
      <c r="I90" s="15" t="s">
        <v>210</v>
      </c>
      <c r="J90" s="15" t="s">
        <v>211</v>
      </c>
      <c r="K90" s="15" t="s">
        <v>212</v>
      </c>
      <c r="L90" s="13" t="s">
        <v>241</v>
      </c>
      <c r="M90" s="15" t="s">
        <v>242</v>
      </c>
      <c r="N90" s="13" t="s">
        <v>127</v>
      </c>
      <c r="O90" s="15"/>
      <c r="P90" s="15"/>
      <c r="Q90" s="15" t="s">
        <v>181</v>
      </c>
      <c r="R90" s="13" t="s">
        <v>182</v>
      </c>
      <c r="S90" s="13" t="s">
        <v>162</v>
      </c>
      <c r="T90" s="13" t="s">
        <v>131</v>
      </c>
      <c r="U90" s="14">
        <v>40725</v>
      </c>
      <c r="V90" s="14"/>
      <c r="W90" s="15"/>
      <c r="X90" s="13"/>
      <c r="Y90" s="15"/>
      <c r="Z90" s="13"/>
      <c r="AA90" s="15"/>
      <c r="AB90" s="13"/>
      <c r="AC90" s="15"/>
      <c r="AD90" s="13"/>
      <c r="AE90" s="15"/>
      <c r="AF90" s="13"/>
      <c r="AG90" s="15"/>
      <c r="AH90" s="13"/>
      <c r="AI90" s="15"/>
      <c r="AJ90" s="13"/>
      <c r="AK90" s="15"/>
      <c r="AL90" s="13"/>
      <c r="AM90" s="15"/>
      <c r="AN90" s="13"/>
      <c r="AO90" s="15"/>
      <c r="AP90" s="13"/>
      <c r="AQ90" s="15"/>
      <c r="AR90" s="13"/>
      <c r="AS90" s="15"/>
      <c r="AT90" s="13"/>
      <c r="AU90" s="15"/>
      <c r="AV90" s="13"/>
      <c r="AW90" s="15"/>
      <c r="AX90" s="13"/>
      <c r="AY90" s="15"/>
      <c r="AZ90" s="13"/>
      <c r="BA90" s="15"/>
      <c r="BB90" s="13"/>
      <c r="BC90" s="15"/>
      <c r="BD90" s="13"/>
      <c r="BE90" s="15"/>
      <c r="BF90" s="13"/>
      <c r="BG90" s="15"/>
      <c r="BH90" s="13"/>
      <c r="BI90" s="15"/>
      <c r="BJ90" s="13"/>
      <c r="BK90" s="15"/>
      <c r="BL90" s="13"/>
      <c r="BM90" s="15"/>
      <c r="BN90" s="13"/>
      <c r="BO90" s="15"/>
      <c r="BP90" s="13"/>
      <c r="BQ90" s="15"/>
      <c r="BR90" s="13"/>
      <c r="BS90" s="15"/>
      <c r="BT90" s="13"/>
      <c r="BU90" s="15"/>
      <c r="BV90" s="13"/>
      <c r="BW90" s="15"/>
      <c r="BX90" s="13"/>
      <c r="BY90" s="15"/>
      <c r="BZ90" s="13"/>
      <c r="CA90" s="15"/>
    </row>
    <row r="91" spans="1:79" ht="116" x14ac:dyDescent="0.35">
      <c r="A91" s="13" t="s">
        <v>183</v>
      </c>
      <c r="B91" s="13" t="s">
        <v>81</v>
      </c>
      <c r="C91" s="14">
        <v>44959.538194444445</v>
      </c>
      <c r="D91" s="13" t="s">
        <v>205</v>
      </c>
      <c r="E91" s="15" t="s">
        <v>206</v>
      </c>
      <c r="F91" s="13" t="s">
        <v>207</v>
      </c>
      <c r="G91" s="15" t="s">
        <v>208</v>
      </c>
      <c r="H91" s="13" t="s">
        <v>288</v>
      </c>
      <c r="I91" s="15" t="s">
        <v>289</v>
      </c>
      <c r="J91" s="15" t="s">
        <v>290</v>
      </c>
      <c r="K91" s="15" t="s">
        <v>291</v>
      </c>
      <c r="L91" s="13" t="s">
        <v>292</v>
      </c>
      <c r="M91" s="15" t="s">
        <v>293</v>
      </c>
      <c r="N91" s="13" t="s">
        <v>91</v>
      </c>
      <c r="O91" s="15"/>
      <c r="P91" s="15"/>
      <c r="Q91" s="15" t="s">
        <v>92</v>
      </c>
      <c r="R91" s="13" t="s">
        <v>93</v>
      </c>
      <c r="S91" s="13" t="s">
        <v>94</v>
      </c>
      <c r="T91" s="13" t="s">
        <v>95</v>
      </c>
      <c r="U91" s="14">
        <v>44767</v>
      </c>
      <c r="V91" s="14"/>
      <c r="W91" s="15" t="s">
        <v>294</v>
      </c>
      <c r="X91" s="13" t="s">
        <v>295</v>
      </c>
      <c r="Y91" s="15" t="str">
        <f>VLOOKUP(X91,'Axe 2 Règles de gestion'!$D$2:$F$85,3, FALSE)</f>
        <v>Soit l'agent doit appartenir à un corps ou à un cadre d'emplois de catégorie C et ne pas avoir atteint un niveau de formation sanctionné par un diplôme ou un titre professionnel correspondant à un niveau requis.</v>
      </c>
      <c r="Z91" s="13" t="s">
        <v>297</v>
      </c>
      <c r="AA91" s="15" t="str">
        <f>VLOOKUP(Z91,'Axe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B91" s="13" t="s">
        <v>299</v>
      </c>
      <c r="AC91" s="15" t="str">
        <f>VLOOKUP(AB91,'Axe 2 Règles de gestion'!$D$2:$F$85,3, FALSE)</f>
        <v>Soit l'agent doit être en situation de handicap.</v>
      </c>
      <c r="AD91" s="13" t="s">
        <v>301</v>
      </c>
      <c r="AE91" s="15" t="str">
        <f>VLOOKUP(AD91,'Axe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F91" s="13" t="s">
        <v>303</v>
      </c>
      <c r="AG91" s="15" t="str">
        <f>VLOOKUP(AF91,'Axe 2 Règles de gestion'!$D$2:$F$85,3, FALSE)</f>
        <v>L'agent bénéficie d'un accès prioritaire au bilan de compétences.</v>
      </c>
      <c r="AH91" s="13" t="s">
        <v>216</v>
      </c>
      <c r="AI91" s="15" t="str">
        <f>VLOOKUP(AH91,'Axe 2 Règles de gestion'!$D$2:$F$85,3, FALSE)</f>
        <v>L'agent ou l'administration peuvent être à l'origine de la demande.</v>
      </c>
      <c r="AJ91" s="13" t="s">
        <v>218</v>
      </c>
      <c r="AK91" s="15" t="str">
        <f>VLOOKUP(AJ91,'Axe 2 Règles de gestion'!$D$2:$F$85,3, FALSE)</f>
        <v>Si l'agent est en congé parental, la demande doit être formulée 6 mois au plus avant l'expiration de la dernière période de congé parental.</v>
      </c>
      <c r="AL91" s="13" t="s">
        <v>220</v>
      </c>
      <c r="AM91" s="15" t="str">
        <f>VLOOKUP(AL91,'Axe 2 Règles de gestion'!$D$2:$F$85,3, FALSE)</f>
        <v>L'administration doit fournir une réponse écrite à l'agent dans un délai de 2 mois suivant la date de la demande.</v>
      </c>
      <c r="AN91" s="13" t="s">
        <v>222</v>
      </c>
      <c r="AO91" s="15" t="str">
        <f>VLOOKUP(AN91,'Axe 2 Règles de gestion'!$D$2:$F$85,3, FALSE)</f>
        <v>En cas de refus, l'administration doit motiver sa décision.</v>
      </c>
      <c r="AP91" s="13" t="s">
        <v>224</v>
      </c>
      <c r="AQ91" s="15" t="str">
        <f>VLOOKUP(AP91,'Axe 2 Règles de gestion'!$D$2:$F$85,3, FALSE)</f>
        <v>Une convention entre l'agent bénéficiaire, l'administration et l'organisme prestataire du bilan de compétences doit être établie.</v>
      </c>
      <c r="AR91" s="13" t="s">
        <v>305</v>
      </c>
      <c r="AS91" s="15" t="str">
        <f>VLOOKUP(AR91,'Axe 2 Règles de gestion'!$D$2:$F$85,3, FALSE)</f>
        <v>L'agent ne peut prétendre à un autre bilan de compétences qu'à l'expiration d'un délai d'au moins 3 ans après le précédent.</v>
      </c>
      <c r="AT91" s="13" t="s">
        <v>239</v>
      </c>
      <c r="AU91" s="15" t="str">
        <f>VLOOKUP(AT91,'Axe 2 Règles de gestion'!$D$2:$F$85,3, FALSE)</f>
        <v>L'agent peut utiliser son compte personnel de formation afin de compléter la préparation ou la réalisation de son bilan de compétences.</v>
      </c>
      <c r="AV91" s="13" t="s">
        <v>307</v>
      </c>
      <c r="AW91" s="15" t="str">
        <f>VLOOKUP(AV91,'Axe 2 Règles de gestion'!$D$2:$F$85,3, FALSE)</f>
        <v>L'agent doit transmettre à son administration d'emploi les attestations justifiant son assiduité, établies par l'organisme de formation.</v>
      </c>
      <c r="AX91" s="13"/>
      <c r="AY91" s="15"/>
      <c r="AZ91" s="13" t="s">
        <v>105</v>
      </c>
      <c r="BA91" s="15" t="str">
        <f>VLOOKUP(AZ91,'Axe 2 Règles de gestion'!$D$2:$F$85,3, FALSE)</f>
        <v>L'agent doit être en position d'activité ou de congé parental.</v>
      </c>
      <c r="BB91" s="13"/>
      <c r="BC91" s="15"/>
      <c r="BD91" s="13" t="s">
        <v>230</v>
      </c>
      <c r="BE91" s="15" t="str">
        <f>VLOOKUP(BD91,'Axe 2 Règles de gestion'!$D$2:$F$85,3, FALSE)</f>
        <v>La date de début de la formation doit être postérieure ou égale à la date de recrutement dans la FPE ou dans la carrière militaire.</v>
      </c>
      <c r="BF91" s="13" t="s">
        <v>232</v>
      </c>
      <c r="BG91" s="15" t="str">
        <f>VLOOKUP(BF91,'Axe 2 Règles de gestion'!$D$2:$F$85,3, FALSE)</f>
        <v>La date de début de la formation doit être antérieure ou égale à la date de fin de la formation.</v>
      </c>
      <c r="BH91" s="13" t="s">
        <v>234</v>
      </c>
      <c r="BI91" s="15" t="str">
        <f>VLOOKUP(BH91,'Axe 2 Règles de gestion'!$D$2:$F$85,3, FALSE)</f>
        <v>La date de fin de formation doit être antérieure ou égale à la date limite de départ à la retraite.</v>
      </c>
      <c r="BJ91" s="13"/>
      <c r="BK91" s="15"/>
      <c r="BL91" s="13"/>
      <c r="BM91" s="15"/>
      <c r="BN91" s="13"/>
      <c r="BO91" s="15"/>
      <c r="BP91" s="13"/>
      <c r="BQ91" s="15"/>
      <c r="BR91" s="13"/>
      <c r="BS91" s="15"/>
      <c r="BT91" s="13"/>
      <c r="BU91" s="15"/>
      <c r="BV91" s="13"/>
      <c r="BW91" s="15"/>
      <c r="BX91" s="13"/>
      <c r="BY91" s="15"/>
      <c r="BZ91" s="13"/>
      <c r="CA91" s="15"/>
    </row>
    <row r="92" spans="1:79" ht="87" x14ac:dyDescent="0.35">
      <c r="A92" s="13" t="s">
        <v>183</v>
      </c>
      <c r="B92" s="13" t="s">
        <v>81</v>
      </c>
      <c r="C92" s="14">
        <v>44959.537499999999</v>
      </c>
      <c r="D92" s="13" t="s">
        <v>205</v>
      </c>
      <c r="E92" s="15" t="s">
        <v>206</v>
      </c>
      <c r="F92" s="13" t="s">
        <v>207</v>
      </c>
      <c r="G92" s="15" t="s">
        <v>208</v>
      </c>
      <c r="H92" s="13" t="s">
        <v>288</v>
      </c>
      <c r="I92" s="15" t="s">
        <v>289</v>
      </c>
      <c r="J92" s="15" t="s">
        <v>290</v>
      </c>
      <c r="K92" s="15" t="s">
        <v>291</v>
      </c>
      <c r="L92" s="13" t="s">
        <v>309</v>
      </c>
      <c r="M92" s="15" t="s">
        <v>310</v>
      </c>
      <c r="N92" s="13" t="s">
        <v>127</v>
      </c>
      <c r="O92" s="15"/>
      <c r="P92" s="15"/>
      <c r="Q92" s="15" t="s">
        <v>92</v>
      </c>
      <c r="R92" s="13" t="s">
        <v>93</v>
      </c>
      <c r="S92" s="13" t="s">
        <v>94</v>
      </c>
      <c r="T92" s="13" t="s">
        <v>95</v>
      </c>
      <c r="U92" s="14">
        <v>44767</v>
      </c>
      <c r="V92" s="14"/>
      <c r="W92" s="15" t="s">
        <v>311</v>
      </c>
      <c r="X92" s="13" t="s">
        <v>244</v>
      </c>
      <c r="Y92" s="15" t="str">
        <f>VLOOKUP(X92,'Axe 2 Règles de gestion'!$D$2:$F$85,3, FALSE)</f>
        <v>Si l'agent ne s'y oppose pas, le document de synthèse du bilan peut être communiqué au service chargé des ressources humaines de son administration d'emploi.</v>
      </c>
      <c r="Z92" s="13" t="s">
        <v>246</v>
      </c>
      <c r="AA92" s="15" t="str">
        <f>VLOOKUP(Z92,'Axe 2 Règles de gestion'!$D$2:$F$85,3, FALSE)</f>
        <v>L'agent présente à son chef de service une attestation de fréquentation effective délivrée par l'organisme prestataire.</v>
      </c>
      <c r="AB92" s="13" t="s">
        <v>312</v>
      </c>
      <c r="AC92" s="15" t="str">
        <f>VLOOKUP(AB92,'Axe 2 Règles de gestion'!$D$2:$F$85,3, FALSE)</f>
        <v>L'agent perd le bénéfice du bilan de compétences s'il arrête, sans motif légitime, de le suivre.</v>
      </c>
      <c r="AD92" s="13"/>
      <c r="AE92" s="15"/>
      <c r="AF92" s="13"/>
      <c r="AG92" s="15"/>
      <c r="AH92" s="13"/>
      <c r="AI92" s="15"/>
      <c r="AJ92" s="13"/>
      <c r="AK92" s="15"/>
      <c r="AL92" s="13"/>
      <c r="AM92" s="15"/>
      <c r="AN92" s="13"/>
      <c r="AO92" s="15"/>
      <c r="AP92" s="13"/>
      <c r="AQ92" s="15"/>
      <c r="AR92" s="13"/>
      <c r="AS92" s="15"/>
      <c r="AT92" s="13"/>
      <c r="AU92" s="15"/>
      <c r="AV92" s="13"/>
      <c r="AW92" s="15"/>
      <c r="AX92" s="13"/>
      <c r="AY92" s="15"/>
      <c r="AZ92" s="13"/>
      <c r="BA92" s="15"/>
      <c r="BB92" s="13"/>
      <c r="BC92" s="15"/>
      <c r="BD92" s="13" t="s">
        <v>232</v>
      </c>
      <c r="BE92" s="15" t="str">
        <f>VLOOKUP(BD92,'Axe 2 Règles de gestion'!$D$2:$F$85,3, FALSE)</f>
        <v>La date de début de la formation doit être antérieure ou égale à la date de fin de la formation.</v>
      </c>
      <c r="BF92" s="13" t="s">
        <v>234</v>
      </c>
      <c r="BG92" s="15" t="str">
        <f>VLOOKUP(BF92,'Axe 2 Règles de gestion'!$D$2:$F$85,3, FALSE)</f>
        <v>La date de fin de formation doit être antérieure ou égale à la date limite de départ à la retraite.</v>
      </c>
      <c r="BH92" s="13"/>
      <c r="BI92" s="15"/>
      <c r="BJ92" s="13"/>
      <c r="BK92" s="15"/>
      <c r="BL92" s="13"/>
      <c r="BM92" s="15"/>
      <c r="BN92" s="13"/>
      <c r="BO92" s="15"/>
      <c r="BP92" s="13"/>
      <c r="BQ92" s="15"/>
      <c r="BR92" s="13"/>
      <c r="BS92" s="15"/>
      <c r="BT92" s="13"/>
      <c r="BU92" s="15"/>
      <c r="BV92" s="13"/>
      <c r="BW92" s="15"/>
      <c r="BX92" s="13"/>
      <c r="BY92" s="15"/>
      <c r="BZ92" s="13"/>
      <c r="CA92" s="15"/>
    </row>
    <row r="93" spans="1:79" ht="58" x14ac:dyDescent="0.35">
      <c r="A93" s="13" t="s">
        <v>183</v>
      </c>
      <c r="B93" s="13" t="s">
        <v>81</v>
      </c>
      <c r="C93" s="14">
        <v>44959.506944444445</v>
      </c>
      <c r="D93" s="13" t="s">
        <v>205</v>
      </c>
      <c r="E93" s="15" t="s">
        <v>206</v>
      </c>
      <c r="F93" s="13" t="s">
        <v>207</v>
      </c>
      <c r="G93" s="15" t="s">
        <v>208</v>
      </c>
      <c r="H93" s="13" t="s">
        <v>288</v>
      </c>
      <c r="I93" s="15" t="s">
        <v>289</v>
      </c>
      <c r="J93" s="15" t="s">
        <v>290</v>
      </c>
      <c r="K93" s="15" t="s">
        <v>291</v>
      </c>
      <c r="L93" s="13" t="s">
        <v>292</v>
      </c>
      <c r="M93" s="15" t="s">
        <v>293</v>
      </c>
      <c r="N93" s="13" t="s">
        <v>91</v>
      </c>
      <c r="O93" s="15"/>
      <c r="P93" s="15"/>
      <c r="Q93" s="15" t="s">
        <v>129</v>
      </c>
      <c r="R93" s="13" t="s">
        <v>130</v>
      </c>
      <c r="S93" s="13" t="s">
        <v>94</v>
      </c>
      <c r="T93" s="13" t="s">
        <v>131</v>
      </c>
      <c r="U93" s="14">
        <v>44767</v>
      </c>
      <c r="V93" s="14"/>
      <c r="W93" s="15"/>
      <c r="X93" s="13"/>
      <c r="Y93" s="15"/>
      <c r="Z93" s="13"/>
      <c r="AA93" s="15"/>
      <c r="AB93" s="13"/>
      <c r="AC93" s="15"/>
      <c r="AD93" s="13"/>
      <c r="AE93" s="15"/>
      <c r="AF93" s="13"/>
      <c r="AG93" s="15"/>
      <c r="AH93" s="13"/>
      <c r="AI93" s="15"/>
      <c r="AJ93" s="13"/>
      <c r="AK93" s="15"/>
      <c r="AL93" s="13"/>
      <c r="AM93" s="15"/>
      <c r="AN93" s="13"/>
      <c r="AO93" s="15"/>
      <c r="AP93" s="13"/>
      <c r="AQ93" s="15"/>
      <c r="AR93" s="13"/>
      <c r="AS93" s="15"/>
      <c r="AT93" s="13"/>
      <c r="AU93" s="15"/>
      <c r="AV93" s="13"/>
      <c r="AW93" s="15"/>
      <c r="AX93" s="13"/>
      <c r="AY93" s="15"/>
      <c r="AZ93" s="13"/>
      <c r="BA93" s="15"/>
      <c r="BB93" s="13"/>
      <c r="BC93" s="15"/>
      <c r="BD93" s="13"/>
      <c r="BE93" s="15"/>
      <c r="BF93" s="13"/>
      <c r="BG93" s="15"/>
      <c r="BH93" s="13"/>
      <c r="BI93" s="15"/>
      <c r="BJ93" s="13"/>
      <c r="BK93" s="15"/>
      <c r="BL93" s="13"/>
      <c r="BM93" s="15"/>
      <c r="BN93" s="13"/>
      <c r="BO93" s="15"/>
      <c r="BP93" s="13"/>
      <c r="BQ93" s="15"/>
      <c r="BR93" s="13"/>
      <c r="BS93" s="15"/>
      <c r="BT93" s="13"/>
      <c r="BU93" s="15"/>
      <c r="BV93" s="13"/>
      <c r="BW93" s="15"/>
      <c r="BX93" s="13"/>
      <c r="BY93" s="15"/>
      <c r="BZ93" s="13"/>
      <c r="CA93" s="15"/>
    </row>
    <row r="94" spans="1:79" ht="58" x14ac:dyDescent="0.35">
      <c r="A94" s="13" t="s">
        <v>183</v>
      </c>
      <c r="B94" s="13" t="s">
        <v>81</v>
      </c>
      <c r="C94" s="14">
        <v>44959.510416666664</v>
      </c>
      <c r="D94" s="13" t="s">
        <v>205</v>
      </c>
      <c r="E94" s="15" t="s">
        <v>206</v>
      </c>
      <c r="F94" s="13" t="s">
        <v>207</v>
      </c>
      <c r="G94" s="15" t="s">
        <v>208</v>
      </c>
      <c r="H94" s="13" t="s">
        <v>288</v>
      </c>
      <c r="I94" s="15" t="s">
        <v>289</v>
      </c>
      <c r="J94" s="15" t="s">
        <v>290</v>
      </c>
      <c r="K94" s="15" t="s">
        <v>291</v>
      </c>
      <c r="L94" s="13" t="s">
        <v>309</v>
      </c>
      <c r="M94" s="15" t="s">
        <v>310</v>
      </c>
      <c r="N94" s="13" t="s">
        <v>127</v>
      </c>
      <c r="O94" s="15"/>
      <c r="P94" s="15"/>
      <c r="Q94" s="15" t="s">
        <v>129</v>
      </c>
      <c r="R94" s="13" t="s">
        <v>130</v>
      </c>
      <c r="S94" s="13" t="s">
        <v>94</v>
      </c>
      <c r="T94" s="13" t="s">
        <v>131</v>
      </c>
      <c r="U94" s="14">
        <v>44767</v>
      </c>
      <c r="V94" s="14"/>
      <c r="W94" s="15"/>
      <c r="X94" s="13"/>
      <c r="Y94" s="15"/>
      <c r="Z94" s="13"/>
      <c r="AA94" s="15"/>
      <c r="AB94" s="13"/>
      <c r="AC94" s="15"/>
      <c r="AD94" s="13"/>
      <c r="AE94" s="15"/>
      <c r="AF94" s="13"/>
      <c r="AG94" s="15"/>
      <c r="AH94" s="13"/>
      <c r="AI94" s="15"/>
      <c r="AJ94" s="13"/>
      <c r="AK94" s="15"/>
      <c r="AL94" s="13"/>
      <c r="AM94" s="15"/>
      <c r="AN94" s="13"/>
      <c r="AO94" s="15"/>
      <c r="AP94" s="13"/>
      <c r="AQ94" s="15"/>
      <c r="AR94" s="13"/>
      <c r="AS94" s="15"/>
      <c r="AT94" s="13"/>
      <c r="AU94" s="15"/>
      <c r="AV94" s="13"/>
      <c r="AW94" s="15"/>
      <c r="AX94" s="13"/>
      <c r="AY94" s="15"/>
      <c r="AZ94" s="13"/>
      <c r="BA94" s="15"/>
      <c r="BB94" s="13"/>
      <c r="BC94" s="15"/>
      <c r="BD94" s="13"/>
      <c r="BE94" s="15"/>
      <c r="BF94" s="13"/>
      <c r="BG94" s="15"/>
      <c r="BH94" s="13"/>
      <c r="BI94" s="15"/>
      <c r="BJ94" s="13"/>
      <c r="BK94" s="15"/>
      <c r="BL94" s="13"/>
      <c r="BM94" s="15"/>
      <c r="BN94" s="13"/>
      <c r="BO94" s="15"/>
      <c r="BP94" s="13"/>
      <c r="BQ94" s="15"/>
      <c r="BR94" s="13"/>
      <c r="BS94" s="15"/>
      <c r="BT94" s="13"/>
      <c r="BU94" s="15"/>
      <c r="BV94" s="13"/>
      <c r="BW94" s="15"/>
      <c r="BX94" s="13"/>
      <c r="BY94" s="15"/>
      <c r="BZ94" s="13"/>
      <c r="CA94" s="15"/>
    </row>
    <row r="95" spans="1:79" ht="116" x14ac:dyDescent="0.35">
      <c r="A95" s="13" t="s">
        <v>183</v>
      </c>
      <c r="B95" s="13" t="s">
        <v>81</v>
      </c>
      <c r="C95" s="14">
        <v>44959.538194444445</v>
      </c>
      <c r="D95" s="13" t="s">
        <v>205</v>
      </c>
      <c r="E95" s="15" t="s">
        <v>206</v>
      </c>
      <c r="F95" s="13" t="s">
        <v>207</v>
      </c>
      <c r="G95" s="15" t="s">
        <v>208</v>
      </c>
      <c r="H95" s="13" t="s">
        <v>288</v>
      </c>
      <c r="I95" s="15" t="s">
        <v>289</v>
      </c>
      <c r="J95" s="15" t="s">
        <v>290</v>
      </c>
      <c r="K95" s="15" t="s">
        <v>291</v>
      </c>
      <c r="L95" s="13" t="s">
        <v>292</v>
      </c>
      <c r="M95" s="15" t="s">
        <v>293</v>
      </c>
      <c r="N95" s="13" t="s">
        <v>91</v>
      </c>
      <c r="O95" s="15"/>
      <c r="P95" s="15"/>
      <c r="Q95" s="15" t="s">
        <v>132</v>
      </c>
      <c r="R95" s="13" t="s">
        <v>133</v>
      </c>
      <c r="S95" s="13" t="s">
        <v>94</v>
      </c>
      <c r="T95" s="13" t="s">
        <v>95</v>
      </c>
      <c r="U95" s="14">
        <v>44767</v>
      </c>
      <c r="V95" s="14"/>
      <c r="W95" s="15" t="s">
        <v>314</v>
      </c>
      <c r="X95" s="13" t="s">
        <v>315</v>
      </c>
      <c r="Y95" s="15" t="str">
        <f>VLOOKUP(X95,'Axe 2 Règles de gestion'!$D$2:$F$85,3, FALSE)</f>
        <v>Soit l'agent doit occuper un emploi de niveau de catégorie C et ne pas avoir atteint un niveau de formation sanctionné par un diplôme ou un titre professionnel correspondant à un niveau requis.</v>
      </c>
      <c r="Z95" s="13" t="s">
        <v>317</v>
      </c>
      <c r="AA95" s="15" t="str">
        <f>VLOOKUP(Z95,'Axe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B95" s="13" t="s">
        <v>318</v>
      </c>
      <c r="AC95" s="15" t="str">
        <f>VLOOKUP(AB95,'Axe 2 Règles de gestion'!$D$2:$F$85,3, FALSE)</f>
        <v>Soit l'agent doit être en situation de handicap.</v>
      </c>
      <c r="AD95" s="13" t="s">
        <v>319</v>
      </c>
      <c r="AE95" s="15" t="str">
        <f>VLOOKUP(AD95,'Axe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F95" s="13" t="s">
        <v>320</v>
      </c>
      <c r="AG95" s="15" t="str">
        <f>VLOOKUP(AF95,'Axe 2 Règles de gestion'!$D$2:$F$85,3, FALSE)</f>
        <v>L'agent bénéficie d'un accès prioritaire au bilan de compétences.</v>
      </c>
      <c r="AH95" s="13" t="s">
        <v>135</v>
      </c>
      <c r="AI95" s="15" t="str">
        <f>VLOOKUP(AH95,'Axe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J95" s="13" t="s">
        <v>216</v>
      </c>
      <c r="AK95" s="15" t="str">
        <f>VLOOKUP(AJ95,'Axe 2 Règles de gestion'!$D$2:$F$85,3, FALSE)</f>
        <v>L'agent ou l'administration peuvent être à l'origine de la demande.</v>
      </c>
      <c r="AL95" s="13" t="s">
        <v>249</v>
      </c>
      <c r="AM95" s="15" t="str">
        <f>VLOOKUP(AL95,'Axe 2 Règles de gestion'!$D$2:$F$85,3, FALSE)</f>
        <v>Si l'agent est en congé parental, la demande doit être formulée 6 mois au plus avant l'expiration de la dernière période de congé parental.</v>
      </c>
      <c r="AN95" s="13" t="s">
        <v>220</v>
      </c>
      <c r="AO95" s="15" t="str">
        <f>VLOOKUP(AN95,'Axe 2 Règles de gestion'!$D$2:$F$85,3, FALSE)</f>
        <v>L'administration doit fournir une réponse écrite à l'agent dans un délai de 2 mois suivant la date de la demande.</v>
      </c>
      <c r="AP95" s="13" t="s">
        <v>222</v>
      </c>
      <c r="AQ95" s="15" t="str">
        <f>VLOOKUP(AP95,'Axe 2 Règles de gestion'!$D$2:$F$85,3, FALSE)</f>
        <v>En cas de refus, l'administration doit motiver sa décision.</v>
      </c>
      <c r="AR95" s="13" t="s">
        <v>224</v>
      </c>
      <c r="AS95" s="15" t="str">
        <f>VLOOKUP(AR95,'Axe 2 Règles de gestion'!$D$2:$F$85,3, FALSE)</f>
        <v>Une convention entre l'agent bénéficiaire, l'administration et l'organisme prestataire du bilan de compétences doit être établie.</v>
      </c>
      <c r="AT95" s="13" t="s">
        <v>321</v>
      </c>
      <c r="AU95" s="15" t="str">
        <f>VLOOKUP(AT95,'Axe 2 Règles de gestion'!$D$2:$F$85,3, FALSE)</f>
        <v>L'agent ne peut prétendre à un autre bilan de compétences qu'à l'expiration d'un délai d'au moins 3 ans après le précédent.</v>
      </c>
      <c r="AV95" s="13" t="s">
        <v>259</v>
      </c>
      <c r="AW95" s="15" t="str">
        <f>VLOOKUP(AV95,'Axe 2 Règles de gestion'!$D$2:$F$85,3, FALSE)</f>
        <v>L'agent peut utiliser son compte personnel de formation afin de compléter la préparation ou la réalisation de son bilan de compétences.</v>
      </c>
      <c r="AX95" s="13" t="s">
        <v>322</v>
      </c>
      <c r="AY95" s="15" t="str">
        <f>VLOOKUP(AX95,'Axe 2 Règles de gestion'!$D$2:$F$85,3, FALSE)</f>
        <v>L'agent doit transmettre à son administration d'emploi les attestations justifiant son assiduité, établies par l'organisme de formation.</v>
      </c>
      <c r="AZ95" s="13" t="s">
        <v>139</v>
      </c>
      <c r="BA95" s="15" t="str">
        <f>VLOOKUP(AZ95,'Axe 2 Règles de gestion'!$D$2:$F$85,3, FALSE)</f>
        <v>L'agent doit être en position d'activité ou de congé parental.</v>
      </c>
      <c r="BB95" s="13"/>
      <c r="BC95" s="15"/>
      <c r="BD95" s="13" t="s">
        <v>252</v>
      </c>
      <c r="BE95" s="15" t="str">
        <f>VLOOKUP(BD95,'Axe 2 Règles de gestion'!$D$2:$F$85,3, FALSE)</f>
        <v>La date de début de la formation doit être postérieure ou égale à la date de début du lien juridique.</v>
      </c>
      <c r="BF95" s="13" t="s">
        <v>232</v>
      </c>
      <c r="BG95" s="15" t="str">
        <f>VLOOKUP(BF95,'Axe 2 Règles de gestion'!$D$2:$F$85,3, FALSE)</f>
        <v>La date de début de la formation doit être antérieure ou égale à la date de fin de la formation.</v>
      </c>
      <c r="BH95" s="13" t="s">
        <v>234</v>
      </c>
      <c r="BI95" s="15" t="str">
        <f>VLOOKUP(BH95,'Axe 2 Règles de gestion'!$D$2:$F$85,3, FALSE)</f>
        <v>La date de fin de formation doit être antérieure ou égale à la date limite de départ à la retraite.</v>
      </c>
      <c r="BJ95" s="13" t="s">
        <v>254</v>
      </c>
      <c r="BK95" s="15" t="str">
        <f>VLOOKUP(BJ95,'Axe 2 Règles de gestion'!$D$2:$F$85,3, FALSE)</f>
        <v>La date de fin de la formation doit être antérieure ou égale à la date limite de fin réelle ou prévisionnelle du lien juridique.</v>
      </c>
      <c r="BL95" s="13"/>
      <c r="BM95" s="15"/>
      <c r="BN95" s="13"/>
      <c r="BO95" s="15"/>
      <c r="BP95" s="13"/>
      <c r="BQ95" s="15"/>
      <c r="BR95" s="13"/>
      <c r="BS95" s="15"/>
      <c r="BT95" s="13"/>
      <c r="BU95" s="15"/>
      <c r="BV95" s="13"/>
      <c r="BW95" s="15"/>
      <c r="BX95" s="13"/>
      <c r="BY95" s="15"/>
      <c r="BZ95" s="13"/>
      <c r="CA95" s="15"/>
    </row>
    <row r="96" spans="1:79" ht="101.5" x14ac:dyDescent="0.35">
      <c r="A96" s="13" t="s">
        <v>183</v>
      </c>
      <c r="B96" s="13" t="s">
        <v>81</v>
      </c>
      <c r="C96" s="14">
        <v>44959.536805555559</v>
      </c>
      <c r="D96" s="13" t="s">
        <v>205</v>
      </c>
      <c r="E96" s="15" t="s">
        <v>206</v>
      </c>
      <c r="F96" s="13" t="s">
        <v>207</v>
      </c>
      <c r="G96" s="15" t="s">
        <v>208</v>
      </c>
      <c r="H96" s="13" t="s">
        <v>288</v>
      </c>
      <c r="I96" s="15" t="s">
        <v>289</v>
      </c>
      <c r="J96" s="15" t="s">
        <v>290</v>
      </c>
      <c r="K96" s="15" t="s">
        <v>291</v>
      </c>
      <c r="L96" s="13" t="s">
        <v>309</v>
      </c>
      <c r="M96" s="15" t="s">
        <v>310</v>
      </c>
      <c r="N96" s="13" t="s">
        <v>127</v>
      </c>
      <c r="O96" s="15"/>
      <c r="P96" s="15"/>
      <c r="Q96" s="15" t="s">
        <v>132</v>
      </c>
      <c r="R96" s="13" t="s">
        <v>133</v>
      </c>
      <c r="S96" s="13" t="s">
        <v>94</v>
      </c>
      <c r="T96" s="13" t="s">
        <v>95</v>
      </c>
      <c r="U96" s="14">
        <v>44767</v>
      </c>
      <c r="V96" s="14"/>
      <c r="W96" s="15" t="s">
        <v>323</v>
      </c>
      <c r="X96" s="13" t="s">
        <v>135</v>
      </c>
      <c r="Y96" s="15" t="str">
        <f>VLOOKUP(X96,'Axe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Z96" s="13" t="s">
        <v>244</v>
      </c>
      <c r="AA96" s="15" t="str">
        <f>VLOOKUP(Z96,'Axe 2 Règles de gestion'!$D$2:$F$85,3, FALSE)</f>
        <v>Si l'agent ne s'y oppose pas, le document de synthèse du bilan peut être communiqué au service chargé des ressources humaines de son administration d'emploi.</v>
      </c>
      <c r="AB96" s="13" t="s">
        <v>246</v>
      </c>
      <c r="AC96" s="15" t="str">
        <f>VLOOKUP(AB96,'Axe 2 Règles de gestion'!$D$2:$F$85,3, FALSE)</f>
        <v>L'agent présente à son chef de service une attestation de fréquentation effective délivrée par l'organisme prestataire.</v>
      </c>
      <c r="AD96" s="13" t="s">
        <v>324</v>
      </c>
      <c r="AE96" s="15" t="str">
        <f>VLOOKUP(AD96,'Axe 2 Règles de gestion'!$D$2:$F$85,3, FALSE)</f>
        <v>L'agent perd le bénéfice du bilan de compétences s'il arrête, sans motif légitime, de le suivre.</v>
      </c>
      <c r="AF96" s="13"/>
      <c r="AG96" s="15"/>
      <c r="AH96" s="13"/>
      <c r="AI96" s="15"/>
      <c r="AJ96" s="13"/>
      <c r="AK96" s="15"/>
      <c r="AL96" s="13"/>
      <c r="AM96" s="15"/>
      <c r="AN96" s="13"/>
      <c r="AO96" s="15"/>
      <c r="AP96" s="13"/>
      <c r="AQ96" s="15"/>
      <c r="AR96" s="13"/>
      <c r="AS96" s="15"/>
      <c r="AT96" s="13"/>
      <c r="AU96" s="15"/>
      <c r="AV96" s="13"/>
      <c r="AW96" s="15"/>
      <c r="AX96" s="13"/>
      <c r="AY96" s="15"/>
      <c r="AZ96" s="13"/>
      <c r="BA96" s="15"/>
      <c r="BB96" s="13"/>
      <c r="BC96" s="15"/>
      <c r="BD96" s="13" t="s">
        <v>232</v>
      </c>
      <c r="BE96" s="15" t="str">
        <f>VLOOKUP(BD96,'Axe 2 Règles de gestion'!$D$2:$F$85,3, FALSE)</f>
        <v>La date de début de la formation doit être antérieure ou égale à la date de fin de la formation.</v>
      </c>
      <c r="BF96" s="13" t="s">
        <v>234</v>
      </c>
      <c r="BG96" s="15" t="str">
        <f>VLOOKUP(BF96,'Axe 2 Règles de gestion'!$D$2:$F$85,3, FALSE)</f>
        <v>La date de fin de formation doit être antérieure ou égale à la date limite de départ à la retraite.</v>
      </c>
      <c r="BH96" s="13" t="s">
        <v>254</v>
      </c>
      <c r="BI96" s="15" t="str">
        <f>VLOOKUP(BH96,'Axe 2 Règles de gestion'!$D$2:$F$85,3, FALSE)</f>
        <v>La date de fin de la formation doit être antérieure ou égale à la date limite de fin réelle ou prévisionnelle du lien juridique.</v>
      </c>
      <c r="BJ96" s="13"/>
      <c r="BK96" s="15"/>
      <c r="BL96" s="13"/>
      <c r="BM96" s="15"/>
      <c r="BN96" s="13"/>
      <c r="BO96" s="15"/>
      <c r="BP96" s="13"/>
      <c r="BQ96" s="15"/>
      <c r="BR96" s="13"/>
      <c r="BS96" s="15"/>
      <c r="BT96" s="13"/>
      <c r="BU96" s="15"/>
      <c r="BV96" s="13"/>
      <c r="BW96" s="15"/>
      <c r="BX96" s="13"/>
      <c r="BY96" s="15"/>
      <c r="BZ96" s="13"/>
      <c r="CA96" s="15"/>
    </row>
    <row r="97" spans="1:79" s="22" customFormat="1" ht="116" x14ac:dyDescent="0.35">
      <c r="A97" s="19" t="s">
        <v>147</v>
      </c>
      <c r="B97" s="19" t="s">
        <v>148</v>
      </c>
      <c r="C97" s="20">
        <v>45973.65347222222</v>
      </c>
      <c r="D97" s="19" t="s">
        <v>205</v>
      </c>
      <c r="E97" s="21" t="s">
        <v>206</v>
      </c>
      <c r="F97" s="19" t="s">
        <v>207</v>
      </c>
      <c r="G97" s="21" t="s">
        <v>208</v>
      </c>
      <c r="H97" s="19" t="s">
        <v>288</v>
      </c>
      <c r="I97" s="21" t="s">
        <v>289</v>
      </c>
      <c r="J97" s="21" t="s">
        <v>290</v>
      </c>
      <c r="K97" s="21" t="s">
        <v>291</v>
      </c>
      <c r="L97" s="19" t="s">
        <v>292</v>
      </c>
      <c r="M97" s="21" t="s">
        <v>293</v>
      </c>
      <c r="N97" s="19" t="s">
        <v>91</v>
      </c>
      <c r="O97" s="21"/>
      <c r="P97" s="21"/>
      <c r="Q97" s="21" t="s">
        <v>149</v>
      </c>
      <c r="R97" s="19" t="s">
        <v>150</v>
      </c>
      <c r="S97" s="19" t="s">
        <v>94</v>
      </c>
      <c r="T97" s="19" t="s">
        <v>95</v>
      </c>
      <c r="U97" s="20">
        <v>44767</v>
      </c>
      <c r="V97" s="20"/>
      <c r="W97" s="21" t="s">
        <v>325</v>
      </c>
      <c r="X97" s="19" t="s">
        <v>326</v>
      </c>
      <c r="Y97" s="21" t="str">
        <f>VLOOKUP(X97,'Axe 2 Règles de gestion'!$D$2:$F$85,3, FALSE)</f>
        <v>L'agent bénéficie des dispositions applicables aux agents titulaires pour la formation pour bilan de compétences aménagé, sauf dispositions particulières.</v>
      </c>
      <c r="Z97" s="19" t="s">
        <v>295</v>
      </c>
      <c r="AA97" s="21" t="str">
        <f>VLOOKUP(Z97,'Axe 2 Règles de gestion'!$D$2:$F$85,3, FALSE)</f>
        <v>Soit l'agent doit appartenir à un corps ou à un cadre d'emplois de catégorie C et ne pas avoir atteint un niveau de formation sanctionné par un diplôme ou un titre professionnel correspondant à un niveau requis.</v>
      </c>
      <c r="AB97" s="19" t="s">
        <v>297</v>
      </c>
      <c r="AC97" s="21" t="str">
        <f>VLOOKUP(AB97,'Axe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D97" s="19" t="s">
        <v>299</v>
      </c>
      <c r="AE97" s="21" t="str">
        <f>VLOOKUP(AD97,'Axe 2 Règles de gestion'!$D$2:$F$85,3, FALSE)</f>
        <v>Soit l'agent doit être en situation de handicap.</v>
      </c>
      <c r="AF97" s="19" t="s">
        <v>301</v>
      </c>
      <c r="AG97" s="21" t="str">
        <f>VLOOKUP(AF97,'Axe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H97" s="19" t="s">
        <v>303</v>
      </c>
      <c r="AI97" s="21" t="str">
        <f>VLOOKUP(AH97,'Axe 2 Règles de gestion'!$D$2:$F$85,3, FALSE)</f>
        <v>L'agent bénéficie d'un accès prioritaire au bilan de compétences.</v>
      </c>
      <c r="AJ97" s="19" t="s">
        <v>216</v>
      </c>
      <c r="AK97" s="21" t="str">
        <f>VLOOKUP(AJ97,'Axe 2 Règles de gestion'!$D$2:$F$85,3, FALSE)</f>
        <v>L'agent ou l'administration peuvent être à l'origine de la demande.</v>
      </c>
      <c r="AL97" s="19" t="s">
        <v>218</v>
      </c>
      <c r="AM97" s="21" t="str">
        <f>VLOOKUP(AL97,'Axe 2 Règles de gestion'!$D$2:$F$85,3, FALSE)</f>
        <v>Si l'agent est en congé parental, la demande doit être formulée 6 mois au plus avant l'expiration de la dernière période de congé parental.</v>
      </c>
      <c r="AN97" s="19" t="s">
        <v>220</v>
      </c>
      <c r="AO97" s="21" t="str">
        <f>VLOOKUP(AN97,'Axe 2 Règles de gestion'!$D$2:$F$85,3, FALSE)</f>
        <v>L'administration doit fournir une réponse écrite à l'agent dans un délai de 2 mois suivant la date de la demande.</v>
      </c>
      <c r="AP97" s="19" t="s">
        <v>222</v>
      </c>
      <c r="AQ97" s="21" t="str">
        <f>VLOOKUP(AP97,'Axe 2 Règles de gestion'!$D$2:$F$85,3, FALSE)</f>
        <v>En cas de refus, l'administration doit motiver sa décision.</v>
      </c>
      <c r="AR97" s="19" t="s">
        <v>224</v>
      </c>
      <c r="AS97" s="21" t="str">
        <f>VLOOKUP(AR97,'Axe 2 Règles de gestion'!$D$2:$F$85,3, FALSE)</f>
        <v>Une convention entre l'agent bénéficiaire, l'administration et l'organisme prestataire du bilan de compétences doit être établie.</v>
      </c>
      <c r="AT97" s="19" t="s">
        <v>305</v>
      </c>
      <c r="AU97" s="21" t="str">
        <f>VLOOKUP(AT97,'Axe 2 Règles de gestion'!$D$2:$F$85,3, FALSE)</f>
        <v>L'agent ne peut prétendre à un autre bilan de compétences qu'à l'expiration d'un délai d'au moins 3 ans après le précédent.</v>
      </c>
      <c r="AV97" s="19" t="s">
        <v>239</v>
      </c>
      <c r="AW97" s="21" t="str">
        <f>VLOOKUP(AV97,'Axe 2 Règles de gestion'!$D$2:$F$85,3, FALSE)</f>
        <v>L'agent peut utiliser son compte personnel de formation afin de compléter la préparation ou la réalisation de son bilan de compétences.</v>
      </c>
      <c r="AX97" s="19" t="s">
        <v>307</v>
      </c>
      <c r="AY97" s="21" t="str">
        <f>VLOOKUP(AX97,'Axe 2 Règles de gestion'!$D$2:$F$85,3, FALSE)</f>
        <v>L'agent doit transmettre à son administration d'emploi les attestations justifiant son assiduité, établies par l'organisme de formation.</v>
      </c>
      <c r="AZ97" s="19" t="s">
        <v>154</v>
      </c>
      <c r="BA97" s="21" t="str">
        <f>VLOOKUP(AZ97,'Axe 2 Règles de gestion'!$D$2:$F$85,3, FALSE)</f>
        <v>L'agent doit être en position d'activité ou de congé parental.</v>
      </c>
      <c r="BB97" s="19"/>
      <c r="BC97" s="21"/>
      <c r="BD97" s="19" t="s">
        <v>230</v>
      </c>
      <c r="BE97" s="21" t="str">
        <f>VLOOKUP(BD97,'Axe 2 Règles de gestion'!$D$2:$F$85,3, FALSE)</f>
        <v>La date de début de la formation doit être postérieure ou égale à la date de recrutement dans la FPE ou dans la carrière militaire.</v>
      </c>
      <c r="BF97" s="19" t="s">
        <v>232</v>
      </c>
      <c r="BG97" s="21" t="str">
        <f>VLOOKUP(BF97,'Axe 2 Règles de gestion'!$D$2:$F$85,3, FALSE)</f>
        <v>La date de début de la formation doit être antérieure ou égale à la date de fin de la formation.</v>
      </c>
      <c r="BH97" s="19" t="s">
        <v>234</v>
      </c>
      <c r="BI97" s="21" t="str">
        <f>VLOOKUP(BH97,'Axe 2 Règles de gestion'!$D$2:$F$85,3, FALSE)</f>
        <v>La date de fin de formation doit être antérieure ou égale à la date limite de départ à la retraite.</v>
      </c>
      <c r="BJ97" s="19"/>
      <c r="BK97" s="21"/>
      <c r="BL97" s="19"/>
      <c r="BM97" s="21"/>
      <c r="BN97" s="19"/>
      <c r="BO97" s="21"/>
      <c r="BP97" s="19"/>
      <c r="BQ97" s="21"/>
      <c r="BR97" s="19"/>
      <c r="BS97" s="21"/>
      <c r="BT97" s="19"/>
      <c r="BU97" s="21"/>
      <c r="BV97" s="19"/>
      <c r="BW97" s="21"/>
      <c r="BX97" s="19"/>
      <c r="BY97" s="21"/>
      <c r="BZ97" s="19" t="s">
        <v>155</v>
      </c>
      <c r="CA97" s="21"/>
    </row>
    <row r="98" spans="1:79" s="22" customFormat="1" ht="87" x14ac:dyDescent="0.35">
      <c r="A98" s="19" t="s">
        <v>147</v>
      </c>
      <c r="B98" s="19" t="s">
        <v>148</v>
      </c>
      <c r="C98" s="20">
        <v>45973.654861111114</v>
      </c>
      <c r="D98" s="19" t="s">
        <v>205</v>
      </c>
      <c r="E98" s="21" t="s">
        <v>206</v>
      </c>
      <c r="F98" s="19" t="s">
        <v>207</v>
      </c>
      <c r="G98" s="21" t="s">
        <v>208</v>
      </c>
      <c r="H98" s="19" t="s">
        <v>288</v>
      </c>
      <c r="I98" s="21" t="s">
        <v>289</v>
      </c>
      <c r="J98" s="21" t="s">
        <v>290</v>
      </c>
      <c r="K98" s="21" t="s">
        <v>291</v>
      </c>
      <c r="L98" s="19" t="s">
        <v>309</v>
      </c>
      <c r="M98" s="21" t="s">
        <v>310</v>
      </c>
      <c r="N98" s="19" t="s">
        <v>127</v>
      </c>
      <c r="O98" s="21"/>
      <c r="P98" s="21"/>
      <c r="Q98" s="21" t="s">
        <v>149</v>
      </c>
      <c r="R98" s="19" t="s">
        <v>150</v>
      </c>
      <c r="S98" s="19" t="s">
        <v>94</v>
      </c>
      <c r="T98" s="19" t="s">
        <v>95</v>
      </c>
      <c r="U98" s="20">
        <v>44767</v>
      </c>
      <c r="V98" s="20"/>
      <c r="W98" s="21" t="s">
        <v>328</v>
      </c>
      <c r="X98" s="19" t="s">
        <v>326</v>
      </c>
      <c r="Y98" s="21" t="str">
        <f>VLOOKUP(X98,'Axe 2 Règles de gestion'!$D$2:$F$85,3, FALSE)</f>
        <v>L'agent bénéficie des dispositions applicables aux agents titulaires pour la formation pour bilan de compétences aménagé, sauf dispositions particulières.</v>
      </c>
      <c r="Z98" s="19" t="s">
        <v>244</v>
      </c>
      <c r="AA98" s="21" t="str">
        <f>VLOOKUP(Z98,'Axe 2 Règles de gestion'!$D$2:$F$85,3, FALSE)</f>
        <v>Si l'agent ne s'y oppose pas, le document de synthèse du bilan peut être communiqué au service chargé des ressources humaines de son administration d'emploi.</v>
      </c>
      <c r="AB98" s="19" t="s">
        <v>246</v>
      </c>
      <c r="AC98" s="21" t="str">
        <f>VLOOKUP(AB98,'Axe 2 Règles de gestion'!$D$2:$F$85,3, FALSE)</f>
        <v>L'agent présente à son chef de service une attestation de fréquentation effective délivrée par l'organisme prestataire.</v>
      </c>
      <c r="AD98" s="19" t="s">
        <v>312</v>
      </c>
      <c r="AE98" s="21" t="str">
        <f>VLOOKUP(AD98,'Axe 2 Règles de gestion'!$D$2:$F$85,3, FALSE)</f>
        <v>L'agent perd le bénéfice du bilan de compétences s'il arrête, sans motif légitime, de le suivre.</v>
      </c>
      <c r="AF98" s="19"/>
      <c r="AG98" s="21"/>
      <c r="AH98" s="19"/>
      <c r="AI98" s="21"/>
      <c r="AJ98" s="19"/>
      <c r="AK98" s="21"/>
      <c r="AL98" s="19"/>
      <c r="AM98" s="21"/>
      <c r="AN98" s="19"/>
      <c r="AO98" s="21"/>
      <c r="AP98" s="19"/>
      <c r="AQ98" s="21"/>
      <c r="AR98" s="19"/>
      <c r="AS98" s="21"/>
      <c r="AT98" s="19"/>
      <c r="AU98" s="21"/>
      <c r="AV98" s="19"/>
      <c r="AW98" s="21"/>
      <c r="AX98" s="19"/>
      <c r="AY98" s="21"/>
      <c r="AZ98" s="19"/>
      <c r="BA98" s="21"/>
      <c r="BB98" s="19"/>
      <c r="BC98" s="21"/>
      <c r="BD98" s="19" t="s">
        <v>232</v>
      </c>
      <c r="BE98" s="21" t="str">
        <f>VLOOKUP(BD98,'Axe 2 Règles de gestion'!$D$2:$F$85,3, FALSE)</f>
        <v>La date de début de la formation doit être antérieure ou égale à la date de fin de la formation.</v>
      </c>
      <c r="BF98" s="19" t="s">
        <v>234</v>
      </c>
      <c r="BG98" s="21" t="str">
        <f>VLOOKUP(BF98,'Axe 2 Règles de gestion'!$D$2:$F$85,3, FALSE)</f>
        <v>La date de fin de formation doit être antérieure ou égale à la date limite de départ à la retraite.</v>
      </c>
      <c r="BH98" s="19"/>
      <c r="BI98" s="21"/>
      <c r="BJ98" s="19"/>
      <c r="BK98" s="21"/>
      <c r="BL98" s="19"/>
      <c r="BM98" s="21"/>
      <c r="BN98" s="19"/>
      <c r="BO98" s="21"/>
      <c r="BP98" s="19"/>
      <c r="BQ98" s="21"/>
      <c r="BR98" s="19"/>
      <c r="BS98" s="21"/>
      <c r="BT98" s="19"/>
      <c r="BU98" s="21"/>
      <c r="BV98" s="19"/>
      <c r="BW98" s="21"/>
      <c r="BX98" s="19"/>
      <c r="BY98" s="21"/>
      <c r="BZ98" s="19" t="s">
        <v>155</v>
      </c>
      <c r="CA98" s="21"/>
    </row>
    <row r="99" spans="1:79" ht="116" x14ac:dyDescent="0.35">
      <c r="A99" s="13" t="s">
        <v>183</v>
      </c>
      <c r="B99" s="13" t="s">
        <v>81</v>
      </c>
      <c r="C99" s="14">
        <v>44959.538194444445</v>
      </c>
      <c r="D99" s="13" t="s">
        <v>205</v>
      </c>
      <c r="E99" s="15" t="s">
        <v>206</v>
      </c>
      <c r="F99" s="13" t="s">
        <v>207</v>
      </c>
      <c r="G99" s="15" t="s">
        <v>208</v>
      </c>
      <c r="H99" s="13" t="s">
        <v>288</v>
      </c>
      <c r="I99" s="15" t="s">
        <v>289</v>
      </c>
      <c r="J99" s="15" t="s">
        <v>290</v>
      </c>
      <c r="K99" s="15" t="s">
        <v>291</v>
      </c>
      <c r="L99" s="13" t="s">
        <v>292</v>
      </c>
      <c r="M99" s="15" t="s">
        <v>293</v>
      </c>
      <c r="N99" s="13" t="s">
        <v>91</v>
      </c>
      <c r="O99" s="15"/>
      <c r="P99" s="15"/>
      <c r="Q99" s="15" t="s">
        <v>156</v>
      </c>
      <c r="R99" s="13" t="s">
        <v>157</v>
      </c>
      <c r="S99" s="13" t="s">
        <v>94</v>
      </c>
      <c r="T99" s="13" t="s">
        <v>95</v>
      </c>
      <c r="U99" s="14">
        <v>44767</v>
      </c>
      <c r="V99" s="14"/>
      <c r="W99" s="15" t="s">
        <v>329</v>
      </c>
      <c r="X99" s="13" t="s">
        <v>315</v>
      </c>
      <c r="Y99" s="15" t="str">
        <f>VLOOKUP(X99,'Axe 2 Règles de gestion'!$D$2:$F$85,3, FALSE)</f>
        <v>Soit l'agent doit occuper un emploi de niveau de catégorie C et ne pas avoir atteint un niveau de formation sanctionné par un diplôme ou un titre professionnel correspondant à un niveau requis.</v>
      </c>
      <c r="Z99" s="13" t="s">
        <v>317</v>
      </c>
      <c r="AA99" s="15" t="str">
        <f>VLOOKUP(Z99,'Axe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B99" s="13" t="s">
        <v>318</v>
      </c>
      <c r="AC99" s="15" t="str">
        <f>VLOOKUP(AB99,'Axe 2 Règles de gestion'!$D$2:$F$85,3, FALSE)</f>
        <v>Soit l'agent doit être en situation de handicap.</v>
      </c>
      <c r="AD99" s="13" t="s">
        <v>319</v>
      </c>
      <c r="AE99" s="15" t="str">
        <f>VLOOKUP(AD99,'Axe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F99" s="13" t="s">
        <v>320</v>
      </c>
      <c r="AG99" s="15" t="str">
        <f>VLOOKUP(AF99,'Axe 2 Règles de gestion'!$D$2:$F$85,3, FALSE)</f>
        <v>L'agent bénéficie d'un accès prioritaire au bilan de compétences.</v>
      </c>
      <c r="AH99" s="13" t="s">
        <v>216</v>
      </c>
      <c r="AI99" s="15" t="str">
        <f>VLOOKUP(AH99,'Axe 2 Règles de gestion'!$D$2:$F$85,3, FALSE)</f>
        <v>L'agent ou l'administration peuvent être à l'origine de la demande.</v>
      </c>
      <c r="AJ99" s="13" t="s">
        <v>249</v>
      </c>
      <c r="AK99" s="15" t="str">
        <f>VLOOKUP(AJ99,'Axe 2 Règles de gestion'!$D$2:$F$85,3, FALSE)</f>
        <v>Si l'agent est en congé parental, la demande doit être formulée 6 mois au plus avant l'expiration de la dernière période de congé parental.</v>
      </c>
      <c r="AL99" s="13" t="s">
        <v>220</v>
      </c>
      <c r="AM99" s="15" t="str">
        <f>VLOOKUP(AL99,'Axe 2 Règles de gestion'!$D$2:$F$85,3, FALSE)</f>
        <v>L'administration doit fournir une réponse écrite à l'agent dans un délai de 2 mois suivant la date de la demande.</v>
      </c>
      <c r="AN99" s="13" t="s">
        <v>222</v>
      </c>
      <c r="AO99" s="15" t="str">
        <f>VLOOKUP(AN99,'Axe 2 Règles de gestion'!$D$2:$F$85,3, FALSE)</f>
        <v>En cas de refus, l'administration doit motiver sa décision.</v>
      </c>
      <c r="AP99" s="13" t="s">
        <v>224</v>
      </c>
      <c r="AQ99" s="15" t="str">
        <f>VLOOKUP(AP99,'Axe 2 Règles de gestion'!$D$2:$F$85,3, FALSE)</f>
        <v>Une convention entre l'agent bénéficiaire, l'administration et l'organisme prestataire du bilan de compétences doit être établie.</v>
      </c>
      <c r="AR99" s="13" t="s">
        <v>321</v>
      </c>
      <c r="AS99" s="15" t="str">
        <f>VLOOKUP(AR99,'Axe 2 Règles de gestion'!$D$2:$F$85,3, FALSE)</f>
        <v>L'agent ne peut prétendre à un autre bilan de compétences qu'à l'expiration d'un délai d'au moins 3 ans après le précédent.</v>
      </c>
      <c r="AT99" s="13" t="s">
        <v>259</v>
      </c>
      <c r="AU99" s="15" t="str">
        <f>VLOOKUP(AT99,'Axe 2 Règles de gestion'!$D$2:$F$85,3, FALSE)</f>
        <v>L'agent peut utiliser son compte personnel de formation afin de compléter la préparation ou la réalisation de son bilan de compétences.</v>
      </c>
      <c r="AV99" s="13" t="s">
        <v>322</v>
      </c>
      <c r="AW99" s="15" t="str">
        <f>VLOOKUP(AV99,'Axe 2 Règles de gestion'!$D$2:$F$85,3, FALSE)</f>
        <v>L'agent doit transmettre à son administration d'emploi les attestations justifiant son assiduité, établies par l'organisme de formation.</v>
      </c>
      <c r="AX99" s="13"/>
      <c r="AY99" s="15"/>
      <c r="AZ99" s="13" t="s">
        <v>139</v>
      </c>
      <c r="BA99" s="15" t="str">
        <f>VLOOKUP(AZ99,'Axe 2 Règles de gestion'!$D$2:$F$85,3, FALSE)</f>
        <v>L'agent doit être en position d'activité ou de congé parental.</v>
      </c>
      <c r="BB99" s="13"/>
      <c r="BC99" s="15"/>
      <c r="BD99" s="13" t="s">
        <v>252</v>
      </c>
      <c r="BE99" s="15" t="str">
        <f>VLOOKUP(BD99,'Axe 2 Règles de gestion'!$D$2:$F$85,3, FALSE)</f>
        <v>La date de début de la formation doit être postérieure ou égale à la date de début du lien juridique.</v>
      </c>
      <c r="BF99" s="13" t="s">
        <v>232</v>
      </c>
      <c r="BG99" s="15" t="str">
        <f>VLOOKUP(BF99,'Axe 2 Règles de gestion'!$D$2:$F$85,3, FALSE)</f>
        <v>La date de début de la formation doit être antérieure ou égale à la date de fin de la formation.</v>
      </c>
      <c r="BH99" s="13" t="s">
        <v>234</v>
      </c>
      <c r="BI99" s="15" t="str">
        <f>VLOOKUP(BH99,'Axe 2 Règles de gestion'!$D$2:$F$85,3, FALSE)</f>
        <v>La date de fin de formation doit être antérieure ou égale à la date limite de départ à la retraite.</v>
      </c>
      <c r="BJ99" s="13" t="s">
        <v>254</v>
      </c>
      <c r="BK99" s="15" t="str">
        <f>VLOOKUP(BJ99,'Axe 2 Règles de gestion'!$D$2:$F$85,3, FALSE)</f>
        <v>La date de fin de la formation doit être antérieure ou égale à la date limite de fin réelle ou prévisionnelle du lien juridique.</v>
      </c>
      <c r="BL99" s="13"/>
      <c r="BM99" s="15"/>
      <c r="BN99" s="13"/>
      <c r="BO99" s="15"/>
      <c r="BP99" s="13"/>
      <c r="BQ99" s="15"/>
      <c r="BR99" s="13"/>
      <c r="BS99" s="15"/>
      <c r="BT99" s="13"/>
      <c r="BU99" s="15"/>
      <c r="BV99" s="13"/>
      <c r="BW99" s="15"/>
      <c r="BX99" s="13"/>
      <c r="BY99" s="15"/>
      <c r="BZ99" s="13"/>
      <c r="CA99" s="15"/>
    </row>
    <row r="100" spans="1:79" ht="87" x14ac:dyDescent="0.35">
      <c r="A100" s="13" t="s">
        <v>183</v>
      </c>
      <c r="B100" s="13" t="s">
        <v>81</v>
      </c>
      <c r="C100" s="14">
        <v>44959.510416666664</v>
      </c>
      <c r="D100" s="13" t="s">
        <v>205</v>
      </c>
      <c r="E100" s="15" t="s">
        <v>206</v>
      </c>
      <c r="F100" s="13" t="s">
        <v>207</v>
      </c>
      <c r="G100" s="15" t="s">
        <v>208</v>
      </c>
      <c r="H100" s="13" t="s">
        <v>288</v>
      </c>
      <c r="I100" s="15" t="s">
        <v>289</v>
      </c>
      <c r="J100" s="15" t="s">
        <v>290</v>
      </c>
      <c r="K100" s="15" t="s">
        <v>291</v>
      </c>
      <c r="L100" s="13" t="s">
        <v>309</v>
      </c>
      <c r="M100" s="15" t="s">
        <v>310</v>
      </c>
      <c r="N100" s="13" t="s">
        <v>127</v>
      </c>
      <c r="O100" s="15"/>
      <c r="P100" s="15"/>
      <c r="Q100" s="15" t="s">
        <v>156</v>
      </c>
      <c r="R100" s="13" t="s">
        <v>157</v>
      </c>
      <c r="S100" s="13" t="s">
        <v>94</v>
      </c>
      <c r="T100" s="13" t="s">
        <v>95</v>
      </c>
      <c r="U100" s="14">
        <v>44767</v>
      </c>
      <c r="V100" s="14"/>
      <c r="W100" s="15" t="s">
        <v>330</v>
      </c>
      <c r="X100" s="13" t="s">
        <v>244</v>
      </c>
      <c r="Y100" s="15" t="str">
        <f>VLOOKUP(X100,'Axe 2 Règles de gestion'!$D$2:$F$85,3, FALSE)</f>
        <v>Si l'agent ne s'y oppose pas, le document de synthèse du bilan peut être communiqué au service chargé des ressources humaines de son administration d'emploi.</v>
      </c>
      <c r="Z100" s="13" t="s">
        <v>246</v>
      </c>
      <c r="AA100" s="15" t="str">
        <f>VLOOKUP(Z100,'Axe 2 Règles de gestion'!$D$2:$F$85,3, FALSE)</f>
        <v>L'agent présente à son chef de service une attestation de fréquentation effective délivrée par l'organisme prestataire.</v>
      </c>
      <c r="AB100" s="13" t="s">
        <v>324</v>
      </c>
      <c r="AC100" s="15" t="str">
        <f>VLOOKUP(AB100,'Axe 2 Règles de gestion'!$D$2:$F$85,3, FALSE)</f>
        <v>L'agent perd le bénéfice du bilan de compétences s'il arrête, sans motif légitime, de le suivre.</v>
      </c>
      <c r="AD100" s="13"/>
      <c r="AE100" s="15"/>
      <c r="AF100" s="13"/>
      <c r="AG100" s="15"/>
      <c r="AH100" s="13"/>
      <c r="AI100" s="15"/>
      <c r="AJ100" s="13"/>
      <c r="AK100" s="15"/>
      <c r="AL100" s="13"/>
      <c r="AM100" s="15"/>
      <c r="AN100" s="13"/>
      <c r="AO100" s="15"/>
      <c r="AP100" s="13"/>
      <c r="AQ100" s="15"/>
      <c r="AR100" s="13"/>
      <c r="AS100" s="15"/>
      <c r="AT100" s="13"/>
      <c r="AU100" s="15"/>
      <c r="AV100" s="13"/>
      <c r="AW100" s="15"/>
      <c r="AX100" s="13"/>
      <c r="AY100" s="15"/>
      <c r="AZ100" s="13"/>
      <c r="BA100" s="15"/>
      <c r="BB100" s="13"/>
      <c r="BC100" s="15"/>
      <c r="BD100" s="13" t="s">
        <v>232</v>
      </c>
      <c r="BE100" s="15" t="str">
        <f>VLOOKUP(BD100,'Axe 2 Règles de gestion'!$D$2:$F$85,3, FALSE)</f>
        <v>La date de début de la formation doit être antérieure ou égale à la date de fin de la formation.</v>
      </c>
      <c r="BF100" s="13" t="s">
        <v>234</v>
      </c>
      <c r="BG100" s="15" t="str">
        <f>VLOOKUP(BF100,'Axe 2 Règles de gestion'!$D$2:$F$85,3, FALSE)</f>
        <v>La date de fin de formation doit être antérieure ou égale à la date limite de départ à la retraite.</v>
      </c>
      <c r="BH100" s="13" t="s">
        <v>254</v>
      </c>
      <c r="BI100" s="15" t="str">
        <f>VLOOKUP(BH100,'Axe 2 Règles de gestion'!$D$2:$F$85,3, FALSE)</f>
        <v>La date de fin de la formation doit être antérieure ou égale à la date limite de fin réelle ou prévisionnelle du lien juridique.</v>
      </c>
      <c r="BJ100" s="13"/>
      <c r="BK100" s="15"/>
      <c r="BL100" s="13"/>
      <c r="BM100" s="15"/>
      <c r="BN100" s="13"/>
      <c r="BO100" s="15"/>
      <c r="BP100" s="13"/>
      <c r="BQ100" s="15"/>
      <c r="BR100" s="13"/>
      <c r="BS100" s="15"/>
      <c r="BT100" s="13"/>
      <c r="BU100" s="15"/>
      <c r="BV100" s="13"/>
      <c r="BW100" s="15"/>
      <c r="BX100" s="13"/>
      <c r="BY100" s="15"/>
      <c r="BZ100" s="13"/>
      <c r="CA100" s="15"/>
    </row>
    <row r="101" spans="1:79" ht="58" x14ac:dyDescent="0.35">
      <c r="A101" s="13" t="s">
        <v>183</v>
      </c>
      <c r="B101" s="13" t="s">
        <v>81</v>
      </c>
      <c r="C101" s="14">
        <v>44959.538888888892</v>
      </c>
      <c r="D101" s="13" t="s">
        <v>205</v>
      </c>
      <c r="E101" s="15" t="s">
        <v>206</v>
      </c>
      <c r="F101" s="13" t="s">
        <v>207</v>
      </c>
      <c r="G101" s="15" t="s">
        <v>208</v>
      </c>
      <c r="H101" s="13" t="s">
        <v>288</v>
      </c>
      <c r="I101" s="15" t="s">
        <v>289</v>
      </c>
      <c r="J101" s="15" t="s">
        <v>290</v>
      </c>
      <c r="K101" s="15" t="s">
        <v>291</v>
      </c>
      <c r="L101" s="13" t="s">
        <v>292</v>
      </c>
      <c r="M101" s="15" t="s">
        <v>293</v>
      </c>
      <c r="N101" s="13" t="s">
        <v>91</v>
      </c>
      <c r="O101" s="15"/>
      <c r="P101" s="15"/>
      <c r="Q101" s="15" t="s">
        <v>160</v>
      </c>
      <c r="R101" s="13" t="s">
        <v>161</v>
      </c>
      <c r="S101" s="13" t="s">
        <v>162</v>
      </c>
      <c r="T101" s="13" t="s">
        <v>131</v>
      </c>
      <c r="U101" s="14">
        <v>44767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  <c r="AF101" s="13"/>
      <c r="AG101" s="15"/>
      <c r="AH101" s="13"/>
      <c r="AI101" s="15"/>
      <c r="AJ101" s="13"/>
      <c r="AK101" s="15"/>
      <c r="AL101" s="13"/>
      <c r="AM101" s="15"/>
      <c r="AN101" s="13"/>
      <c r="AO101" s="15"/>
      <c r="AP101" s="13"/>
      <c r="AQ101" s="15"/>
      <c r="AR101" s="13"/>
      <c r="AS101" s="15"/>
      <c r="AT101" s="13"/>
      <c r="AU101" s="15"/>
      <c r="AV101" s="13"/>
      <c r="AW101" s="15"/>
      <c r="AX101" s="13"/>
      <c r="AY101" s="15"/>
      <c r="AZ101" s="13"/>
      <c r="BA101" s="15"/>
      <c r="BB101" s="13"/>
      <c r="BC101" s="15"/>
      <c r="BD101" s="13"/>
      <c r="BE101" s="15"/>
      <c r="BF101" s="13"/>
      <c r="BG101" s="15"/>
      <c r="BH101" s="13"/>
      <c r="BI101" s="15"/>
      <c r="BJ101" s="13"/>
      <c r="BK101" s="15"/>
      <c r="BL101" s="13"/>
      <c r="BM101" s="15"/>
      <c r="BN101" s="13"/>
      <c r="BO101" s="15"/>
      <c r="BP101" s="13"/>
      <c r="BQ101" s="15"/>
      <c r="BR101" s="13"/>
      <c r="BS101" s="15"/>
      <c r="BT101" s="13"/>
      <c r="BU101" s="15"/>
      <c r="BV101" s="13"/>
      <c r="BW101" s="15"/>
      <c r="BX101" s="13"/>
      <c r="BY101" s="15"/>
      <c r="BZ101" s="13"/>
      <c r="CA101" s="15"/>
    </row>
    <row r="102" spans="1:79" ht="58" x14ac:dyDescent="0.35">
      <c r="A102" s="13" t="s">
        <v>183</v>
      </c>
      <c r="B102" s="13" t="s">
        <v>81</v>
      </c>
      <c r="C102" s="14">
        <v>44959.540972222225</v>
      </c>
      <c r="D102" s="13" t="s">
        <v>205</v>
      </c>
      <c r="E102" s="15" t="s">
        <v>206</v>
      </c>
      <c r="F102" s="13" t="s">
        <v>207</v>
      </c>
      <c r="G102" s="15" t="s">
        <v>208</v>
      </c>
      <c r="H102" s="13" t="s">
        <v>288</v>
      </c>
      <c r="I102" s="15" t="s">
        <v>289</v>
      </c>
      <c r="J102" s="15" t="s">
        <v>290</v>
      </c>
      <c r="K102" s="15" t="s">
        <v>291</v>
      </c>
      <c r="L102" s="13" t="s">
        <v>309</v>
      </c>
      <c r="M102" s="15" t="s">
        <v>310</v>
      </c>
      <c r="N102" s="13" t="s">
        <v>127</v>
      </c>
      <c r="O102" s="15"/>
      <c r="P102" s="15"/>
      <c r="Q102" s="15" t="s">
        <v>160</v>
      </c>
      <c r="R102" s="13" t="s">
        <v>161</v>
      </c>
      <c r="S102" s="13" t="s">
        <v>162</v>
      </c>
      <c r="T102" s="13" t="s">
        <v>131</v>
      </c>
      <c r="U102" s="14">
        <v>44767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5"/>
      <c r="AH102" s="13"/>
      <c r="AI102" s="15"/>
      <c r="AJ102" s="13"/>
      <c r="AK102" s="15"/>
      <c r="AL102" s="13"/>
      <c r="AM102" s="15"/>
      <c r="AN102" s="13"/>
      <c r="AO102" s="15"/>
      <c r="AP102" s="13"/>
      <c r="AQ102" s="15"/>
      <c r="AR102" s="13"/>
      <c r="AS102" s="15"/>
      <c r="AT102" s="13"/>
      <c r="AU102" s="15"/>
      <c r="AV102" s="13"/>
      <c r="AW102" s="15"/>
      <c r="AX102" s="13"/>
      <c r="AY102" s="15"/>
      <c r="AZ102" s="13"/>
      <c r="BA102" s="15"/>
      <c r="BB102" s="13"/>
      <c r="BC102" s="15"/>
      <c r="BD102" s="13"/>
      <c r="BE102" s="15"/>
      <c r="BF102" s="13"/>
      <c r="BG102" s="15"/>
      <c r="BH102" s="13"/>
      <c r="BI102" s="15"/>
      <c r="BJ102" s="13"/>
      <c r="BK102" s="15"/>
      <c r="BL102" s="13"/>
      <c r="BM102" s="15"/>
      <c r="BN102" s="13"/>
      <c r="BO102" s="15"/>
      <c r="BP102" s="13"/>
      <c r="BQ102" s="15"/>
      <c r="BR102" s="13"/>
      <c r="BS102" s="15"/>
      <c r="BT102" s="13"/>
      <c r="BU102" s="15"/>
      <c r="BV102" s="13"/>
      <c r="BW102" s="15"/>
      <c r="BX102" s="13"/>
      <c r="BY102" s="15"/>
      <c r="BZ102" s="13"/>
      <c r="CA102" s="15"/>
    </row>
    <row r="103" spans="1:79" ht="58" x14ac:dyDescent="0.35">
      <c r="A103" s="13" t="s">
        <v>183</v>
      </c>
      <c r="B103" s="13" t="s">
        <v>81</v>
      </c>
      <c r="C103" s="14">
        <v>44959.538888888892</v>
      </c>
      <c r="D103" s="13" t="s">
        <v>205</v>
      </c>
      <c r="E103" s="15" t="s">
        <v>206</v>
      </c>
      <c r="F103" s="13" t="s">
        <v>207</v>
      </c>
      <c r="G103" s="15" t="s">
        <v>208</v>
      </c>
      <c r="H103" s="13" t="s">
        <v>288</v>
      </c>
      <c r="I103" s="15" t="s">
        <v>289</v>
      </c>
      <c r="J103" s="15" t="s">
        <v>290</v>
      </c>
      <c r="K103" s="15" t="s">
        <v>291</v>
      </c>
      <c r="L103" s="13" t="s">
        <v>292</v>
      </c>
      <c r="M103" s="15" t="s">
        <v>293</v>
      </c>
      <c r="N103" s="13" t="s">
        <v>91</v>
      </c>
      <c r="O103" s="15"/>
      <c r="P103" s="15"/>
      <c r="Q103" s="15" t="s">
        <v>163</v>
      </c>
      <c r="R103" s="13" t="s">
        <v>164</v>
      </c>
      <c r="S103" s="13" t="s">
        <v>162</v>
      </c>
      <c r="T103" s="13" t="s">
        <v>131</v>
      </c>
      <c r="U103" s="14">
        <v>44767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5"/>
      <c r="AH103" s="13"/>
      <c r="AI103" s="15"/>
      <c r="AJ103" s="13"/>
      <c r="AK103" s="15"/>
      <c r="AL103" s="13"/>
      <c r="AM103" s="15"/>
      <c r="AN103" s="13"/>
      <c r="AO103" s="15"/>
      <c r="AP103" s="13"/>
      <c r="AQ103" s="15"/>
      <c r="AR103" s="13"/>
      <c r="AS103" s="15"/>
      <c r="AT103" s="13"/>
      <c r="AU103" s="15"/>
      <c r="AV103" s="13"/>
      <c r="AW103" s="15"/>
      <c r="AX103" s="13"/>
      <c r="AY103" s="15"/>
      <c r="AZ103" s="13"/>
      <c r="BA103" s="15"/>
      <c r="BB103" s="13"/>
      <c r="BC103" s="15"/>
      <c r="BD103" s="13"/>
      <c r="BE103" s="15"/>
      <c r="BF103" s="13"/>
      <c r="BG103" s="15"/>
      <c r="BH103" s="13"/>
      <c r="BI103" s="15"/>
      <c r="BJ103" s="13"/>
      <c r="BK103" s="15"/>
      <c r="BL103" s="13"/>
      <c r="BM103" s="15"/>
      <c r="BN103" s="13"/>
      <c r="BO103" s="15"/>
      <c r="BP103" s="13"/>
      <c r="BQ103" s="15"/>
      <c r="BR103" s="13"/>
      <c r="BS103" s="15"/>
      <c r="BT103" s="13"/>
      <c r="BU103" s="15"/>
      <c r="BV103" s="13"/>
      <c r="BW103" s="15"/>
      <c r="BX103" s="13"/>
      <c r="BY103" s="15"/>
      <c r="BZ103" s="13"/>
      <c r="CA103" s="15"/>
    </row>
    <row r="104" spans="1:79" ht="58" x14ac:dyDescent="0.35">
      <c r="A104" s="13" t="s">
        <v>183</v>
      </c>
      <c r="B104" s="13" t="s">
        <v>81</v>
      </c>
      <c r="C104" s="14">
        <v>44959.540972222225</v>
      </c>
      <c r="D104" s="13" t="s">
        <v>205</v>
      </c>
      <c r="E104" s="15" t="s">
        <v>206</v>
      </c>
      <c r="F104" s="13" t="s">
        <v>207</v>
      </c>
      <c r="G104" s="15" t="s">
        <v>208</v>
      </c>
      <c r="H104" s="13" t="s">
        <v>288</v>
      </c>
      <c r="I104" s="15" t="s">
        <v>289</v>
      </c>
      <c r="J104" s="15" t="s">
        <v>290</v>
      </c>
      <c r="K104" s="15" t="s">
        <v>291</v>
      </c>
      <c r="L104" s="13" t="s">
        <v>309</v>
      </c>
      <c r="M104" s="15" t="s">
        <v>310</v>
      </c>
      <c r="N104" s="13" t="s">
        <v>127</v>
      </c>
      <c r="O104" s="15"/>
      <c r="P104" s="15"/>
      <c r="Q104" s="15" t="s">
        <v>163</v>
      </c>
      <c r="R104" s="13" t="s">
        <v>164</v>
      </c>
      <c r="S104" s="13" t="s">
        <v>162</v>
      </c>
      <c r="T104" s="13" t="s">
        <v>131</v>
      </c>
      <c r="U104" s="14">
        <v>44767</v>
      </c>
      <c r="V104" s="14"/>
      <c r="W104" s="15"/>
      <c r="X104" s="13"/>
      <c r="Y104" s="15"/>
      <c r="Z104" s="13"/>
      <c r="AA104" s="15"/>
      <c r="AB104" s="13"/>
      <c r="AC104" s="15"/>
      <c r="AD104" s="13"/>
      <c r="AE104" s="15"/>
      <c r="AF104" s="13"/>
      <c r="AG104" s="15"/>
      <c r="AH104" s="13"/>
      <c r="AI104" s="15"/>
      <c r="AJ104" s="13"/>
      <c r="AK104" s="15"/>
      <c r="AL104" s="13"/>
      <c r="AM104" s="15"/>
      <c r="AN104" s="13"/>
      <c r="AO104" s="15"/>
      <c r="AP104" s="13"/>
      <c r="AQ104" s="15"/>
      <c r="AR104" s="13"/>
      <c r="AS104" s="15"/>
      <c r="AT104" s="13"/>
      <c r="AU104" s="15"/>
      <c r="AV104" s="13"/>
      <c r="AW104" s="15"/>
      <c r="AX104" s="13"/>
      <c r="AY104" s="15"/>
      <c r="AZ104" s="13"/>
      <c r="BA104" s="15"/>
      <c r="BB104" s="13"/>
      <c r="BC104" s="15"/>
      <c r="BD104" s="13"/>
      <c r="BE104" s="15"/>
      <c r="BF104" s="13"/>
      <c r="BG104" s="15"/>
      <c r="BH104" s="13"/>
      <c r="BI104" s="15"/>
      <c r="BJ104" s="13"/>
      <c r="BK104" s="15"/>
      <c r="BL104" s="13"/>
      <c r="BM104" s="15"/>
      <c r="BN104" s="13"/>
      <c r="BO104" s="15"/>
      <c r="BP104" s="13"/>
      <c r="BQ104" s="15"/>
      <c r="BR104" s="13"/>
      <c r="BS104" s="15"/>
      <c r="BT104" s="13"/>
      <c r="BU104" s="15"/>
      <c r="BV104" s="13"/>
      <c r="BW104" s="15"/>
      <c r="BX104" s="13"/>
      <c r="BY104" s="15"/>
      <c r="BZ104" s="13"/>
      <c r="CA104" s="15"/>
    </row>
    <row r="105" spans="1:79" ht="58" x14ac:dyDescent="0.35">
      <c r="A105" s="13" t="s">
        <v>183</v>
      </c>
      <c r="B105" s="13" t="s">
        <v>81</v>
      </c>
      <c r="C105" s="14">
        <v>44959.538888888892</v>
      </c>
      <c r="D105" s="13" t="s">
        <v>205</v>
      </c>
      <c r="E105" s="15" t="s">
        <v>206</v>
      </c>
      <c r="F105" s="13" t="s">
        <v>207</v>
      </c>
      <c r="G105" s="15" t="s">
        <v>208</v>
      </c>
      <c r="H105" s="13" t="s">
        <v>288</v>
      </c>
      <c r="I105" s="15" t="s">
        <v>289</v>
      </c>
      <c r="J105" s="15" t="s">
        <v>290</v>
      </c>
      <c r="K105" s="15" t="s">
        <v>291</v>
      </c>
      <c r="L105" s="13" t="s">
        <v>292</v>
      </c>
      <c r="M105" s="15" t="s">
        <v>293</v>
      </c>
      <c r="N105" s="13" t="s">
        <v>91</v>
      </c>
      <c r="O105" s="15"/>
      <c r="P105" s="15"/>
      <c r="Q105" s="15" t="s">
        <v>165</v>
      </c>
      <c r="R105" s="13" t="s">
        <v>166</v>
      </c>
      <c r="S105" s="13" t="s">
        <v>162</v>
      </c>
      <c r="T105" s="13" t="s">
        <v>131</v>
      </c>
      <c r="U105" s="14">
        <v>44767</v>
      </c>
      <c r="V105" s="14"/>
      <c r="W105" s="15"/>
      <c r="X105" s="13"/>
      <c r="Y105" s="15"/>
      <c r="Z105" s="13"/>
      <c r="AA105" s="15"/>
      <c r="AB105" s="13"/>
      <c r="AC105" s="15"/>
      <c r="AD105" s="13"/>
      <c r="AE105" s="15"/>
      <c r="AF105" s="13"/>
      <c r="AG105" s="15"/>
      <c r="AH105" s="13"/>
      <c r="AI105" s="15"/>
      <c r="AJ105" s="13"/>
      <c r="AK105" s="15"/>
      <c r="AL105" s="13"/>
      <c r="AM105" s="15"/>
      <c r="AN105" s="13"/>
      <c r="AO105" s="15"/>
      <c r="AP105" s="13"/>
      <c r="AQ105" s="15"/>
      <c r="AR105" s="13"/>
      <c r="AS105" s="15"/>
      <c r="AT105" s="13"/>
      <c r="AU105" s="15"/>
      <c r="AV105" s="13"/>
      <c r="AW105" s="15"/>
      <c r="AX105" s="13"/>
      <c r="AY105" s="15"/>
      <c r="AZ105" s="13"/>
      <c r="BA105" s="15"/>
      <c r="BB105" s="13"/>
      <c r="BC105" s="15"/>
      <c r="BD105" s="13"/>
      <c r="BE105" s="15"/>
      <c r="BF105" s="13"/>
      <c r="BG105" s="15"/>
      <c r="BH105" s="13"/>
      <c r="BI105" s="15"/>
      <c r="BJ105" s="13"/>
      <c r="BK105" s="15"/>
      <c r="BL105" s="13"/>
      <c r="BM105" s="15"/>
      <c r="BN105" s="13"/>
      <c r="BO105" s="15"/>
      <c r="BP105" s="13"/>
      <c r="BQ105" s="15"/>
      <c r="BR105" s="13"/>
      <c r="BS105" s="15"/>
      <c r="BT105" s="13"/>
      <c r="BU105" s="15"/>
      <c r="BV105" s="13"/>
      <c r="BW105" s="15"/>
      <c r="BX105" s="13"/>
      <c r="BY105" s="15"/>
      <c r="BZ105" s="13"/>
      <c r="CA105" s="15"/>
    </row>
    <row r="106" spans="1:79" ht="58" x14ac:dyDescent="0.35">
      <c r="A106" s="13" t="s">
        <v>183</v>
      </c>
      <c r="B106" s="13" t="s">
        <v>81</v>
      </c>
      <c r="C106" s="14">
        <v>44959.541666666664</v>
      </c>
      <c r="D106" s="13" t="s">
        <v>205</v>
      </c>
      <c r="E106" s="15" t="s">
        <v>206</v>
      </c>
      <c r="F106" s="13" t="s">
        <v>207</v>
      </c>
      <c r="G106" s="15" t="s">
        <v>208</v>
      </c>
      <c r="H106" s="13" t="s">
        <v>288</v>
      </c>
      <c r="I106" s="15" t="s">
        <v>289</v>
      </c>
      <c r="J106" s="15" t="s">
        <v>290</v>
      </c>
      <c r="K106" s="15" t="s">
        <v>291</v>
      </c>
      <c r="L106" s="13" t="s">
        <v>309</v>
      </c>
      <c r="M106" s="15" t="s">
        <v>310</v>
      </c>
      <c r="N106" s="13" t="s">
        <v>127</v>
      </c>
      <c r="O106" s="15"/>
      <c r="P106" s="15"/>
      <c r="Q106" s="15" t="s">
        <v>165</v>
      </c>
      <c r="R106" s="13" t="s">
        <v>166</v>
      </c>
      <c r="S106" s="13" t="s">
        <v>162</v>
      </c>
      <c r="T106" s="13" t="s">
        <v>131</v>
      </c>
      <c r="U106" s="14">
        <v>44767</v>
      </c>
      <c r="V106" s="14"/>
      <c r="W106" s="15"/>
      <c r="X106" s="13"/>
      <c r="Y106" s="15"/>
      <c r="Z106" s="13"/>
      <c r="AA106" s="15"/>
      <c r="AB106" s="13"/>
      <c r="AC106" s="15"/>
      <c r="AD106" s="13"/>
      <c r="AE106" s="15"/>
      <c r="AF106" s="13"/>
      <c r="AG106" s="15"/>
      <c r="AH106" s="13"/>
      <c r="AI106" s="15"/>
      <c r="AJ106" s="13"/>
      <c r="AK106" s="15"/>
      <c r="AL106" s="13"/>
      <c r="AM106" s="15"/>
      <c r="AN106" s="13"/>
      <c r="AO106" s="15"/>
      <c r="AP106" s="13"/>
      <c r="AQ106" s="15"/>
      <c r="AR106" s="13"/>
      <c r="AS106" s="15"/>
      <c r="AT106" s="13"/>
      <c r="AU106" s="15"/>
      <c r="AV106" s="13"/>
      <c r="AW106" s="15"/>
      <c r="AX106" s="13"/>
      <c r="AY106" s="15"/>
      <c r="AZ106" s="13"/>
      <c r="BA106" s="15"/>
      <c r="BB106" s="13"/>
      <c r="BC106" s="15"/>
      <c r="BD106" s="13"/>
      <c r="BE106" s="15"/>
      <c r="BF106" s="13"/>
      <c r="BG106" s="15"/>
      <c r="BH106" s="13"/>
      <c r="BI106" s="15"/>
      <c r="BJ106" s="13"/>
      <c r="BK106" s="15"/>
      <c r="BL106" s="13"/>
      <c r="BM106" s="15"/>
      <c r="BN106" s="13"/>
      <c r="BO106" s="15"/>
      <c r="BP106" s="13"/>
      <c r="BQ106" s="15"/>
      <c r="BR106" s="13"/>
      <c r="BS106" s="15"/>
      <c r="BT106" s="13"/>
      <c r="BU106" s="15"/>
      <c r="BV106" s="13"/>
      <c r="BW106" s="15"/>
      <c r="BX106" s="13"/>
      <c r="BY106" s="15"/>
      <c r="BZ106" s="13"/>
      <c r="CA106" s="15"/>
    </row>
    <row r="107" spans="1:79" ht="58" x14ac:dyDescent="0.35">
      <c r="A107" s="13" t="s">
        <v>183</v>
      </c>
      <c r="B107" s="13" t="s">
        <v>81</v>
      </c>
      <c r="C107" s="14">
        <v>44959.539583333331</v>
      </c>
      <c r="D107" s="13" t="s">
        <v>205</v>
      </c>
      <c r="E107" s="15" t="s">
        <v>206</v>
      </c>
      <c r="F107" s="13" t="s">
        <v>207</v>
      </c>
      <c r="G107" s="15" t="s">
        <v>208</v>
      </c>
      <c r="H107" s="13" t="s">
        <v>288</v>
      </c>
      <c r="I107" s="15" t="s">
        <v>289</v>
      </c>
      <c r="J107" s="15" t="s">
        <v>290</v>
      </c>
      <c r="K107" s="15" t="s">
        <v>291</v>
      </c>
      <c r="L107" s="13" t="s">
        <v>292</v>
      </c>
      <c r="M107" s="15" t="s">
        <v>293</v>
      </c>
      <c r="N107" s="13" t="s">
        <v>91</v>
      </c>
      <c r="O107" s="15"/>
      <c r="P107" s="15"/>
      <c r="Q107" s="15" t="s">
        <v>167</v>
      </c>
      <c r="R107" s="13" t="s">
        <v>168</v>
      </c>
      <c r="S107" s="13" t="s">
        <v>162</v>
      </c>
      <c r="T107" s="13" t="s">
        <v>131</v>
      </c>
      <c r="U107" s="14">
        <v>44767</v>
      </c>
      <c r="V107" s="14"/>
      <c r="W107" s="15"/>
      <c r="X107" s="13"/>
      <c r="Y107" s="15"/>
      <c r="Z107" s="13"/>
      <c r="AA107" s="15"/>
      <c r="AB107" s="13"/>
      <c r="AC107" s="15"/>
      <c r="AD107" s="13"/>
      <c r="AE107" s="15"/>
      <c r="AF107" s="13"/>
      <c r="AG107" s="15"/>
      <c r="AH107" s="13"/>
      <c r="AI107" s="15"/>
      <c r="AJ107" s="13"/>
      <c r="AK107" s="15"/>
      <c r="AL107" s="13"/>
      <c r="AM107" s="15"/>
      <c r="AN107" s="13"/>
      <c r="AO107" s="15"/>
      <c r="AP107" s="13"/>
      <c r="AQ107" s="15"/>
      <c r="AR107" s="13"/>
      <c r="AS107" s="15"/>
      <c r="AT107" s="13"/>
      <c r="AU107" s="15"/>
      <c r="AV107" s="13"/>
      <c r="AW107" s="15"/>
      <c r="AX107" s="13"/>
      <c r="AY107" s="15"/>
      <c r="AZ107" s="13"/>
      <c r="BA107" s="15"/>
      <c r="BB107" s="13"/>
      <c r="BC107" s="15"/>
      <c r="BD107" s="13"/>
      <c r="BE107" s="15"/>
      <c r="BF107" s="13"/>
      <c r="BG107" s="15"/>
      <c r="BH107" s="13"/>
      <c r="BI107" s="15"/>
      <c r="BJ107" s="13"/>
      <c r="BK107" s="15"/>
      <c r="BL107" s="13"/>
      <c r="BM107" s="15"/>
      <c r="BN107" s="13"/>
      <c r="BO107" s="15"/>
      <c r="BP107" s="13"/>
      <c r="BQ107" s="15"/>
      <c r="BR107" s="13"/>
      <c r="BS107" s="15"/>
      <c r="BT107" s="13"/>
      <c r="BU107" s="15"/>
      <c r="BV107" s="13"/>
      <c r="BW107" s="15"/>
      <c r="BX107" s="13"/>
      <c r="BY107" s="15"/>
      <c r="BZ107" s="13"/>
      <c r="CA107" s="15"/>
    </row>
    <row r="108" spans="1:79" ht="58" x14ac:dyDescent="0.35">
      <c r="A108" s="13" t="s">
        <v>183</v>
      </c>
      <c r="B108" s="13" t="s">
        <v>81</v>
      </c>
      <c r="C108" s="14">
        <v>44959.541666666664</v>
      </c>
      <c r="D108" s="13" t="s">
        <v>205</v>
      </c>
      <c r="E108" s="15" t="s">
        <v>206</v>
      </c>
      <c r="F108" s="13" t="s">
        <v>207</v>
      </c>
      <c r="G108" s="15" t="s">
        <v>208</v>
      </c>
      <c r="H108" s="13" t="s">
        <v>288</v>
      </c>
      <c r="I108" s="15" t="s">
        <v>289</v>
      </c>
      <c r="J108" s="15" t="s">
        <v>290</v>
      </c>
      <c r="K108" s="15" t="s">
        <v>291</v>
      </c>
      <c r="L108" s="13" t="s">
        <v>309</v>
      </c>
      <c r="M108" s="15" t="s">
        <v>310</v>
      </c>
      <c r="N108" s="13" t="s">
        <v>127</v>
      </c>
      <c r="O108" s="15"/>
      <c r="P108" s="15"/>
      <c r="Q108" s="15" t="s">
        <v>167</v>
      </c>
      <c r="R108" s="13" t="s">
        <v>168</v>
      </c>
      <c r="S108" s="13" t="s">
        <v>162</v>
      </c>
      <c r="T108" s="13" t="s">
        <v>131</v>
      </c>
      <c r="U108" s="14">
        <v>44767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5"/>
      <c r="AH108" s="13"/>
      <c r="AI108" s="15"/>
      <c r="AJ108" s="13"/>
      <c r="AK108" s="15"/>
      <c r="AL108" s="13"/>
      <c r="AM108" s="15"/>
      <c r="AN108" s="13"/>
      <c r="AO108" s="15"/>
      <c r="AP108" s="13"/>
      <c r="AQ108" s="15"/>
      <c r="AR108" s="13"/>
      <c r="AS108" s="15"/>
      <c r="AT108" s="13"/>
      <c r="AU108" s="15"/>
      <c r="AV108" s="13"/>
      <c r="AW108" s="15"/>
      <c r="AX108" s="13"/>
      <c r="AY108" s="15"/>
      <c r="AZ108" s="13"/>
      <c r="BA108" s="15"/>
      <c r="BB108" s="13"/>
      <c r="BC108" s="15"/>
      <c r="BD108" s="13"/>
      <c r="BE108" s="15"/>
      <c r="BF108" s="13"/>
      <c r="BG108" s="15"/>
      <c r="BH108" s="13"/>
      <c r="BI108" s="15"/>
      <c r="BJ108" s="13"/>
      <c r="BK108" s="15"/>
      <c r="BL108" s="13"/>
      <c r="BM108" s="15"/>
      <c r="BN108" s="13"/>
      <c r="BO108" s="15"/>
      <c r="BP108" s="13"/>
      <c r="BQ108" s="15"/>
      <c r="BR108" s="13"/>
      <c r="BS108" s="15"/>
      <c r="BT108" s="13"/>
      <c r="BU108" s="15"/>
      <c r="BV108" s="13"/>
      <c r="BW108" s="15"/>
      <c r="BX108" s="13"/>
      <c r="BY108" s="15"/>
      <c r="BZ108" s="13"/>
      <c r="CA108" s="15"/>
    </row>
    <row r="109" spans="1:79" ht="58" x14ac:dyDescent="0.35">
      <c r="A109" s="13" t="s">
        <v>183</v>
      </c>
      <c r="B109" s="13" t="s">
        <v>81</v>
      </c>
      <c r="C109" s="14">
        <v>44959.539583333331</v>
      </c>
      <c r="D109" s="13" t="s">
        <v>205</v>
      </c>
      <c r="E109" s="15" t="s">
        <v>206</v>
      </c>
      <c r="F109" s="13" t="s">
        <v>207</v>
      </c>
      <c r="G109" s="15" t="s">
        <v>208</v>
      </c>
      <c r="H109" s="13" t="s">
        <v>288</v>
      </c>
      <c r="I109" s="15" t="s">
        <v>289</v>
      </c>
      <c r="J109" s="15" t="s">
        <v>290</v>
      </c>
      <c r="K109" s="15" t="s">
        <v>291</v>
      </c>
      <c r="L109" s="13" t="s">
        <v>292</v>
      </c>
      <c r="M109" s="15" t="s">
        <v>293</v>
      </c>
      <c r="N109" s="13" t="s">
        <v>91</v>
      </c>
      <c r="O109" s="15"/>
      <c r="P109" s="15"/>
      <c r="Q109" s="15" t="s">
        <v>169</v>
      </c>
      <c r="R109" s="13" t="s">
        <v>170</v>
      </c>
      <c r="S109" s="13" t="s">
        <v>162</v>
      </c>
      <c r="T109" s="13" t="s">
        <v>131</v>
      </c>
      <c r="U109" s="14">
        <v>44767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5"/>
      <c r="AH109" s="13"/>
      <c r="AI109" s="15"/>
      <c r="AJ109" s="13"/>
      <c r="AK109" s="15"/>
      <c r="AL109" s="13"/>
      <c r="AM109" s="15"/>
      <c r="AN109" s="13"/>
      <c r="AO109" s="15"/>
      <c r="AP109" s="13"/>
      <c r="AQ109" s="15"/>
      <c r="AR109" s="13"/>
      <c r="AS109" s="15"/>
      <c r="AT109" s="13"/>
      <c r="AU109" s="15"/>
      <c r="AV109" s="13"/>
      <c r="AW109" s="15"/>
      <c r="AX109" s="13"/>
      <c r="AY109" s="15"/>
      <c r="AZ109" s="13"/>
      <c r="BA109" s="15"/>
      <c r="BB109" s="13"/>
      <c r="BC109" s="15"/>
      <c r="BD109" s="13"/>
      <c r="BE109" s="15"/>
      <c r="BF109" s="13"/>
      <c r="BG109" s="15"/>
      <c r="BH109" s="13"/>
      <c r="BI109" s="15"/>
      <c r="BJ109" s="13"/>
      <c r="BK109" s="15"/>
      <c r="BL109" s="13"/>
      <c r="BM109" s="15"/>
      <c r="BN109" s="13"/>
      <c r="BO109" s="15"/>
      <c r="BP109" s="13"/>
      <c r="BQ109" s="15"/>
      <c r="BR109" s="13"/>
      <c r="BS109" s="15"/>
      <c r="BT109" s="13"/>
      <c r="BU109" s="15"/>
      <c r="BV109" s="13"/>
      <c r="BW109" s="15"/>
      <c r="BX109" s="13"/>
      <c r="BY109" s="15"/>
      <c r="BZ109" s="13"/>
      <c r="CA109" s="15"/>
    </row>
    <row r="110" spans="1:79" ht="58" x14ac:dyDescent="0.35">
      <c r="A110" s="13" t="s">
        <v>183</v>
      </c>
      <c r="B110" s="13" t="s">
        <v>81</v>
      </c>
      <c r="C110" s="14">
        <v>44959.541666666664</v>
      </c>
      <c r="D110" s="13" t="s">
        <v>205</v>
      </c>
      <c r="E110" s="15" t="s">
        <v>206</v>
      </c>
      <c r="F110" s="13" t="s">
        <v>207</v>
      </c>
      <c r="G110" s="15" t="s">
        <v>208</v>
      </c>
      <c r="H110" s="13" t="s">
        <v>288</v>
      </c>
      <c r="I110" s="15" t="s">
        <v>289</v>
      </c>
      <c r="J110" s="15" t="s">
        <v>290</v>
      </c>
      <c r="K110" s="15" t="s">
        <v>291</v>
      </c>
      <c r="L110" s="13" t="s">
        <v>309</v>
      </c>
      <c r="M110" s="15" t="s">
        <v>310</v>
      </c>
      <c r="N110" s="13" t="s">
        <v>127</v>
      </c>
      <c r="O110" s="15"/>
      <c r="P110" s="15"/>
      <c r="Q110" s="15" t="s">
        <v>169</v>
      </c>
      <c r="R110" s="13" t="s">
        <v>170</v>
      </c>
      <c r="S110" s="13" t="s">
        <v>162</v>
      </c>
      <c r="T110" s="13" t="s">
        <v>131</v>
      </c>
      <c r="U110" s="14">
        <v>44767</v>
      </c>
      <c r="V110" s="14"/>
      <c r="W110" s="15"/>
      <c r="X110" s="13"/>
      <c r="Y110" s="15"/>
      <c r="Z110" s="13"/>
      <c r="AA110" s="15"/>
      <c r="AB110" s="13"/>
      <c r="AC110" s="15"/>
      <c r="AD110" s="13"/>
      <c r="AE110" s="15"/>
      <c r="AF110" s="13"/>
      <c r="AG110" s="15"/>
      <c r="AH110" s="13"/>
      <c r="AI110" s="15"/>
      <c r="AJ110" s="13"/>
      <c r="AK110" s="15"/>
      <c r="AL110" s="13"/>
      <c r="AM110" s="15"/>
      <c r="AN110" s="13"/>
      <c r="AO110" s="15"/>
      <c r="AP110" s="13"/>
      <c r="AQ110" s="15"/>
      <c r="AR110" s="13"/>
      <c r="AS110" s="15"/>
      <c r="AT110" s="13"/>
      <c r="AU110" s="15"/>
      <c r="AV110" s="13"/>
      <c r="AW110" s="15"/>
      <c r="AX110" s="13"/>
      <c r="AY110" s="15"/>
      <c r="AZ110" s="13"/>
      <c r="BA110" s="15"/>
      <c r="BB110" s="13"/>
      <c r="BC110" s="15"/>
      <c r="BD110" s="13"/>
      <c r="BE110" s="15"/>
      <c r="BF110" s="13"/>
      <c r="BG110" s="15"/>
      <c r="BH110" s="13"/>
      <c r="BI110" s="15"/>
      <c r="BJ110" s="13"/>
      <c r="BK110" s="15"/>
      <c r="BL110" s="13"/>
      <c r="BM110" s="15"/>
      <c r="BN110" s="13"/>
      <c r="BO110" s="15"/>
      <c r="BP110" s="13"/>
      <c r="BQ110" s="15"/>
      <c r="BR110" s="13"/>
      <c r="BS110" s="15"/>
      <c r="BT110" s="13"/>
      <c r="BU110" s="15"/>
      <c r="BV110" s="13"/>
      <c r="BW110" s="15"/>
      <c r="BX110" s="13"/>
      <c r="BY110" s="15"/>
      <c r="BZ110" s="13"/>
      <c r="CA110" s="15"/>
    </row>
    <row r="111" spans="1:79" ht="58" x14ac:dyDescent="0.35">
      <c r="A111" s="13" t="s">
        <v>183</v>
      </c>
      <c r="B111" s="13" t="s">
        <v>81</v>
      </c>
      <c r="C111" s="14">
        <v>44959.539583333331</v>
      </c>
      <c r="D111" s="13" t="s">
        <v>205</v>
      </c>
      <c r="E111" s="15" t="s">
        <v>206</v>
      </c>
      <c r="F111" s="13" t="s">
        <v>207</v>
      </c>
      <c r="G111" s="15" t="s">
        <v>208</v>
      </c>
      <c r="H111" s="13" t="s">
        <v>288</v>
      </c>
      <c r="I111" s="15" t="s">
        <v>289</v>
      </c>
      <c r="J111" s="15" t="s">
        <v>290</v>
      </c>
      <c r="K111" s="15" t="s">
        <v>291</v>
      </c>
      <c r="L111" s="13" t="s">
        <v>292</v>
      </c>
      <c r="M111" s="15" t="s">
        <v>293</v>
      </c>
      <c r="N111" s="13" t="s">
        <v>91</v>
      </c>
      <c r="O111" s="15"/>
      <c r="P111" s="15"/>
      <c r="Q111" s="15" t="s">
        <v>172</v>
      </c>
      <c r="R111" s="13" t="s">
        <v>173</v>
      </c>
      <c r="S111" s="13" t="s">
        <v>162</v>
      </c>
      <c r="T111" s="13" t="s">
        <v>131</v>
      </c>
      <c r="U111" s="14">
        <v>44767</v>
      </c>
      <c r="V111" s="14"/>
      <c r="W111" s="15"/>
      <c r="X111" s="13"/>
      <c r="Y111" s="15"/>
      <c r="Z111" s="13"/>
      <c r="AA111" s="15"/>
      <c r="AB111" s="13"/>
      <c r="AC111" s="15"/>
      <c r="AD111" s="13"/>
      <c r="AE111" s="15"/>
      <c r="AF111" s="13"/>
      <c r="AG111" s="15"/>
      <c r="AH111" s="13"/>
      <c r="AI111" s="15"/>
      <c r="AJ111" s="13"/>
      <c r="AK111" s="15"/>
      <c r="AL111" s="13"/>
      <c r="AM111" s="15"/>
      <c r="AN111" s="13"/>
      <c r="AO111" s="15"/>
      <c r="AP111" s="13"/>
      <c r="AQ111" s="15"/>
      <c r="AR111" s="13"/>
      <c r="AS111" s="15"/>
      <c r="AT111" s="13"/>
      <c r="AU111" s="15"/>
      <c r="AV111" s="13"/>
      <c r="AW111" s="15"/>
      <c r="AX111" s="13"/>
      <c r="AY111" s="15"/>
      <c r="AZ111" s="13"/>
      <c r="BA111" s="15"/>
      <c r="BB111" s="13"/>
      <c r="BC111" s="15"/>
      <c r="BD111" s="13"/>
      <c r="BE111" s="15"/>
      <c r="BF111" s="13"/>
      <c r="BG111" s="15"/>
      <c r="BH111" s="13"/>
      <c r="BI111" s="15"/>
      <c r="BJ111" s="13"/>
      <c r="BK111" s="15"/>
      <c r="BL111" s="13"/>
      <c r="BM111" s="15"/>
      <c r="BN111" s="13"/>
      <c r="BO111" s="15"/>
      <c r="BP111" s="13"/>
      <c r="BQ111" s="15"/>
      <c r="BR111" s="13"/>
      <c r="BS111" s="15"/>
      <c r="BT111" s="13"/>
      <c r="BU111" s="15"/>
      <c r="BV111" s="13"/>
      <c r="BW111" s="15"/>
      <c r="BX111" s="13"/>
      <c r="BY111" s="15"/>
      <c r="BZ111" s="13"/>
      <c r="CA111" s="15"/>
    </row>
    <row r="112" spans="1:79" ht="58" x14ac:dyDescent="0.35">
      <c r="A112" s="13" t="s">
        <v>183</v>
      </c>
      <c r="B112" s="13" t="s">
        <v>81</v>
      </c>
      <c r="C112" s="14">
        <v>44959.541666666664</v>
      </c>
      <c r="D112" s="13" t="s">
        <v>205</v>
      </c>
      <c r="E112" s="15" t="s">
        <v>206</v>
      </c>
      <c r="F112" s="13" t="s">
        <v>207</v>
      </c>
      <c r="G112" s="15" t="s">
        <v>208</v>
      </c>
      <c r="H112" s="13" t="s">
        <v>288</v>
      </c>
      <c r="I112" s="15" t="s">
        <v>289</v>
      </c>
      <c r="J112" s="15" t="s">
        <v>290</v>
      </c>
      <c r="K112" s="15" t="s">
        <v>291</v>
      </c>
      <c r="L112" s="13" t="s">
        <v>309</v>
      </c>
      <c r="M112" s="15" t="s">
        <v>310</v>
      </c>
      <c r="N112" s="13" t="s">
        <v>127</v>
      </c>
      <c r="O112" s="15"/>
      <c r="P112" s="15"/>
      <c r="Q112" s="15" t="s">
        <v>172</v>
      </c>
      <c r="R112" s="13" t="s">
        <v>173</v>
      </c>
      <c r="S112" s="13" t="s">
        <v>162</v>
      </c>
      <c r="T112" s="13" t="s">
        <v>131</v>
      </c>
      <c r="U112" s="14">
        <v>44767</v>
      </c>
      <c r="V112" s="14"/>
      <c r="W112" s="15"/>
      <c r="X112" s="13"/>
      <c r="Y112" s="15"/>
      <c r="Z112" s="13"/>
      <c r="AA112" s="15"/>
      <c r="AB112" s="13"/>
      <c r="AC112" s="15"/>
      <c r="AD112" s="13"/>
      <c r="AE112" s="15"/>
      <c r="AF112" s="13"/>
      <c r="AG112" s="15"/>
      <c r="AH112" s="13"/>
      <c r="AI112" s="15"/>
      <c r="AJ112" s="13"/>
      <c r="AK112" s="15"/>
      <c r="AL112" s="13"/>
      <c r="AM112" s="15"/>
      <c r="AN112" s="13"/>
      <c r="AO112" s="15"/>
      <c r="AP112" s="13"/>
      <c r="AQ112" s="15"/>
      <c r="AR112" s="13"/>
      <c r="AS112" s="15"/>
      <c r="AT112" s="13"/>
      <c r="AU112" s="15"/>
      <c r="AV112" s="13"/>
      <c r="AW112" s="15"/>
      <c r="AX112" s="13"/>
      <c r="AY112" s="15"/>
      <c r="AZ112" s="13"/>
      <c r="BA112" s="15"/>
      <c r="BB112" s="13"/>
      <c r="BC112" s="15"/>
      <c r="BD112" s="13"/>
      <c r="BE112" s="15"/>
      <c r="BF112" s="13"/>
      <c r="BG112" s="15"/>
      <c r="BH112" s="13"/>
      <c r="BI112" s="15"/>
      <c r="BJ112" s="13"/>
      <c r="BK112" s="15"/>
      <c r="BL112" s="13"/>
      <c r="BM112" s="15"/>
      <c r="BN112" s="13"/>
      <c r="BO112" s="15"/>
      <c r="BP112" s="13"/>
      <c r="BQ112" s="15"/>
      <c r="BR112" s="13"/>
      <c r="BS112" s="15"/>
      <c r="BT112" s="13"/>
      <c r="BU112" s="15"/>
      <c r="BV112" s="13"/>
      <c r="BW112" s="15"/>
      <c r="BX112" s="13"/>
      <c r="BY112" s="15"/>
      <c r="BZ112" s="13"/>
      <c r="CA112" s="15"/>
    </row>
    <row r="113" spans="1:79" s="22" customFormat="1" ht="58" x14ac:dyDescent="0.35">
      <c r="A113" s="19" t="s">
        <v>147</v>
      </c>
      <c r="B113" s="19" t="s">
        <v>148</v>
      </c>
      <c r="C113" s="20">
        <v>45995.475694444445</v>
      </c>
      <c r="D113" s="19" t="s">
        <v>205</v>
      </c>
      <c r="E113" s="21" t="s">
        <v>206</v>
      </c>
      <c r="F113" s="19" t="s">
        <v>207</v>
      </c>
      <c r="G113" s="21" t="s">
        <v>208</v>
      </c>
      <c r="H113" s="19" t="s">
        <v>288</v>
      </c>
      <c r="I113" s="21" t="s">
        <v>289</v>
      </c>
      <c r="J113" s="21" t="s">
        <v>290</v>
      </c>
      <c r="K113" s="21" t="s">
        <v>291</v>
      </c>
      <c r="L113" s="19" t="s">
        <v>292</v>
      </c>
      <c r="M113" s="21" t="s">
        <v>293</v>
      </c>
      <c r="N113" s="19" t="s">
        <v>91</v>
      </c>
      <c r="O113" s="21"/>
      <c r="P113" s="21"/>
      <c r="Q113" s="21" t="s">
        <v>174</v>
      </c>
      <c r="R113" s="19" t="s">
        <v>175</v>
      </c>
      <c r="S113" s="19" t="s">
        <v>162</v>
      </c>
      <c r="T113" s="19" t="s">
        <v>131</v>
      </c>
      <c r="U113" s="20">
        <v>44767</v>
      </c>
      <c r="V113" s="20">
        <v>45900</v>
      </c>
      <c r="W113" s="21"/>
      <c r="X113" s="19"/>
      <c r="Y113" s="21"/>
      <c r="Z113" s="19"/>
      <c r="AA113" s="21"/>
      <c r="AB113" s="19"/>
      <c r="AC113" s="21"/>
      <c r="AD113" s="19"/>
      <c r="AE113" s="21"/>
      <c r="AF113" s="19"/>
      <c r="AG113" s="21"/>
      <c r="AH113" s="19"/>
      <c r="AI113" s="21"/>
      <c r="AJ113" s="19"/>
      <c r="AK113" s="21"/>
      <c r="AL113" s="19"/>
      <c r="AM113" s="21"/>
      <c r="AN113" s="19"/>
      <c r="AO113" s="21"/>
      <c r="AP113" s="19"/>
      <c r="AQ113" s="21"/>
      <c r="AR113" s="19"/>
      <c r="AS113" s="21"/>
      <c r="AT113" s="19"/>
      <c r="AU113" s="21"/>
      <c r="AV113" s="19"/>
      <c r="AW113" s="21"/>
      <c r="AX113" s="19"/>
      <c r="AY113" s="21"/>
      <c r="AZ113" s="19"/>
      <c r="BA113" s="21"/>
      <c r="BB113" s="19"/>
      <c r="BC113" s="21"/>
      <c r="BD113" s="19"/>
      <c r="BE113" s="21"/>
      <c r="BF113" s="19"/>
      <c r="BG113" s="21"/>
      <c r="BH113" s="19"/>
      <c r="BI113" s="21"/>
      <c r="BJ113" s="19"/>
      <c r="BK113" s="21"/>
      <c r="BL113" s="19"/>
      <c r="BM113" s="21"/>
      <c r="BN113" s="19"/>
      <c r="BO113" s="21"/>
      <c r="BP113" s="19"/>
      <c r="BQ113" s="21"/>
      <c r="BR113" s="19"/>
      <c r="BS113" s="21"/>
      <c r="BT113" s="19"/>
      <c r="BU113" s="21"/>
      <c r="BV113" s="19"/>
      <c r="BW113" s="21"/>
      <c r="BX113" s="19"/>
      <c r="BY113" s="21"/>
      <c r="BZ113" s="19" t="s">
        <v>176</v>
      </c>
      <c r="CA113" s="21"/>
    </row>
    <row r="114" spans="1:79" s="22" customFormat="1" ht="116" x14ac:dyDescent="0.35">
      <c r="A114" s="19" t="s">
        <v>147</v>
      </c>
      <c r="B114" s="19" t="s">
        <v>81</v>
      </c>
      <c r="C114" s="20">
        <v>45995.475694444445</v>
      </c>
      <c r="D114" s="19" t="s">
        <v>205</v>
      </c>
      <c r="E114" s="21" t="s">
        <v>206</v>
      </c>
      <c r="F114" s="19" t="s">
        <v>207</v>
      </c>
      <c r="G114" s="21" t="s">
        <v>208</v>
      </c>
      <c r="H114" s="19" t="s">
        <v>288</v>
      </c>
      <c r="I114" s="21" t="s">
        <v>289</v>
      </c>
      <c r="J114" s="21" t="s">
        <v>290</v>
      </c>
      <c r="K114" s="21" t="s">
        <v>291</v>
      </c>
      <c r="L114" s="19" t="s">
        <v>292</v>
      </c>
      <c r="M114" s="21" t="s">
        <v>293</v>
      </c>
      <c r="N114" s="19" t="s">
        <v>91</v>
      </c>
      <c r="O114" s="21"/>
      <c r="P114" s="21"/>
      <c r="Q114" s="21" t="s">
        <v>174</v>
      </c>
      <c r="R114" s="19" t="s">
        <v>175</v>
      </c>
      <c r="S114" s="19" t="s">
        <v>162</v>
      </c>
      <c r="T114" s="19" t="s">
        <v>95</v>
      </c>
      <c r="U114" s="20">
        <v>45901</v>
      </c>
      <c r="V114" s="20"/>
      <c r="W114" s="21" t="s">
        <v>331</v>
      </c>
      <c r="X114" s="19" t="s">
        <v>332</v>
      </c>
      <c r="Y114" s="21" t="str">
        <f>VLOOKUP(X114,'Axe 2 Règles de gestion'!$D$2:$F$85,3, FALSE)</f>
        <v>L'agent bénéficie des dispositions applicables aux agents ouvriers affiliés pour la formation pour bilan de compétences aménagé.</v>
      </c>
      <c r="Z114" s="19" t="s">
        <v>315</v>
      </c>
      <c r="AA114" s="21" t="str">
        <f>VLOOKUP(Z114,'Axe 2 Règles de gestion'!$D$2:$F$85,3, FALSE)</f>
        <v>Soit l'agent doit occuper un emploi de niveau de catégorie C et ne pas avoir atteint un niveau de formation sanctionné par un diplôme ou un titre professionnel correspondant à un niveau requis.</v>
      </c>
      <c r="AB114" s="19" t="s">
        <v>317</v>
      </c>
      <c r="AC114" s="21" t="str">
        <f>VLOOKUP(AB114,'Axe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D114" s="19" t="s">
        <v>318</v>
      </c>
      <c r="AE114" s="21" t="str">
        <f>VLOOKUP(AD114,'Axe 2 Règles de gestion'!$D$2:$F$85,3, FALSE)</f>
        <v>Soit l'agent doit être en situation de handicap.</v>
      </c>
      <c r="AF114" s="19" t="s">
        <v>319</v>
      </c>
      <c r="AG114" s="21" t="str">
        <f>VLOOKUP(AF114,'Axe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H114" s="19" t="s">
        <v>320</v>
      </c>
      <c r="AI114" s="21" t="str">
        <f>VLOOKUP(AH114,'Axe 2 Règles de gestion'!$D$2:$F$85,3, FALSE)</f>
        <v>L'agent bénéficie d'un accès prioritaire au bilan de compétences.</v>
      </c>
      <c r="AJ114" s="19" t="s">
        <v>216</v>
      </c>
      <c r="AK114" s="21" t="str">
        <f>VLOOKUP(AJ114,'Axe 2 Règles de gestion'!$D$2:$F$85,3, FALSE)</f>
        <v>L'agent ou l'administration peuvent être à l'origine de la demande.</v>
      </c>
      <c r="AL114" s="19" t="s">
        <v>249</v>
      </c>
      <c r="AM114" s="21" t="str">
        <f>VLOOKUP(AL114,'Axe 2 Règles de gestion'!$D$2:$F$85,3, FALSE)</f>
        <v>Si l'agent est en congé parental, la demande doit être formulée 6 mois au plus avant l'expiration de la dernière période de congé parental.</v>
      </c>
      <c r="AN114" s="19" t="s">
        <v>220</v>
      </c>
      <c r="AO114" s="21" t="str">
        <f>VLOOKUP(AN114,'Axe 2 Règles de gestion'!$D$2:$F$85,3, FALSE)</f>
        <v>L'administration doit fournir une réponse écrite à l'agent dans un délai de 2 mois suivant la date de la demande.</v>
      </c>
      <c r="AP114" s="19" t="s">
        <v>222</v>
      </c>
      <c r="AQ114" s="21" t="str">
        <f>VLOOKUP(AP114,'Axe 2 Règles de gestion'!$D$2:$F$85,3, FALSE)</f>
        <v>En cas de refus, l'administration doit motiver sa décision.</v>
      </c>
      <c r="AR114" s="19" t="s">
        <v>224</v>
      </c>
      <c r="AS114" s="21" t="str">
        <f>VLOOKUP(AR114,'Axe 2 Règles de gestion'!$D$2:$F$85,3, FALSE)</f>
        <v>Une convention entre l'agent bénéficiaire, l'administration et l'organisme prestataire du bilan de compétences doit être établie.</v>
      </c>
      <c r="AT114" s="19" t="s">
        <v>321</v>
      </c>
      <c r="AU114" s="21" t="str">
        <f>VLOOKUP(AT114,'Axe 2 Règles de gestion'!$D$2:$F$85,3, FALSE)</f>
        <v>L'agent ne peut prétendre à un autre bilan de compétences qu'à l'expiration d'un délai d'au moins 3 ans après le précédent.</v>
      </c>
      <c r="AV114" s="19" t="s">
        <v>259</v>
      </c>
      <c r="AW114" s="21" t="str">
        <f>VLOOKUP(AV114,'Axe 2 Règles de gestion'!$D$2:$F$85,3, FALSE)</f>
        <v>L'agent peut utiliser son compte personnel de formation afin de compléter la préparation ou la réalisation de son bilan de compétences.</v>
      </c>
      <c r="AX114" s="19" t="s">
        <v>322</v>
      </c>
      <c r="AY114" s="21" t="str">
        <f>VLOOKUP(AX114,'Axe 2 Règles de gestion'!$D$2:$F$85,3, FALSE)</f>
        <v>L'agent doit transmettre à son administration d'emploi les attestations justifiant son assiduité, établies par l'organisme de formation.</v>
      </c>
      <c r="AZ114" s="19" t="s">
        <v>139</v>
      </c>
      <c r="BA114" s="21" t="str">
        <f>VLOOKUP(AZ114,'Axe 2 Règles de gestion'!$D$2:$F$85,3, FALSE)</f>
        <v>L'agent doit être en position d'activité ou de congé parental.</v>
      </c>
      <c r="BB114" s="19"/>
      <c r="BC114" s="21"/>
      <c r="BD114" s="19" t="s">
        <v>252</v>
      </c>
      <c r="BE114" s="21" t="str">
        <f>VLOOKUP(BD114,'Axe 2 Règles de gestion'!$D$2:$F$85,3, FALSE)</f>
        <v>La date de début de la formation doit être postérieure ou égale à la date de début du lien juridique.</v>
      </c>
      <c r="BF114" s="19" t="s">
        <v>232</v>
      </c>
      <c r="BG114" s="21" t="str">
        <f>VLOOKUP(BF114,'Axe 2 Règles de gestion'!$D$2:$F$85,3, FALSE)</f>
        <v>La date de début de la formation doit être antérieure ou égale à la date de fin de la formation.</v>
      </c>
      <c r="BH114" s="19" t="s">
        <v>234</v>
      </c>
      <c r="BI114" s="21" t="str">
        <f>VLOOKUP(BH114,'Axe 2 Règles de gestion'!$D$2:$F$85,3, FALSE)</f>
        <v>La date de fin de formation doit être antérieure ou égale à la date limite de départ à la retraite.</v>
      </c>
      <c r="BJ114" s="19" t="s">
        <v>254</v>
      </c>
      <c r="BK114" s="21" t="str">
        <f>VLOOKUP(BJ114,'Axe 2 Règles de gestion'!$D$2:$F$85,3, FALSE)</f>
        <v>La date de fin de la formation doit être antérieure ou égale à la date limite de fin réelle ou prévisionnelle du lien juridique.</v>
      </c>
      <c r="BL114" s="19"/>
      <c r="BM114" s="21"/>
      <c r="BN114" s="19"/>
      <c r="BO114" s="21"/>
      <c r="BP114" s="19"/>
      <c r="BQ114" s="21"/>
      <c r="BR114" s="19"/>
      <c r="BS114" s="21"/>
      <c r="BT114" s="19"/>
      <c r="BU114" s="21"/>
      <c r="BV114" s="19"/>
      <c r="BW114" s="21"/>
      <c r="BX114" s="19"/>
      <c r="BY114" s="21"/>
      <c r="BZ114" s="19" t="s">
        <v>176</v>
      </c>
      <c r="CA114" s="21"/>
    </row>
    <row r="115" spans="1:79" s="22" customFormat="1" ht="58" x14ac:dyDescent="0.35">
      <c r="A115" s="19" t="s">
        <v>147</v>
      </c>
      <c r="B115" s="19" t="s">
        <v>148</v>
      </c>
      <c r="C115" s="20">
        <v>45995.477083333331</v>
      </c>
      <c r="D115" s="19" t="s">
        <v>205</v>
      </c>
      <c r="E115" s="21" t="s">
        <v>206</v>
      </c>
      <c r="F115" s="19" t="s">
        <v>207</v>
      </c>
      <c r="G115" s="21" t="s">
        <v>208</v>
      </c>
      <c r="H115" s="19" t="s">
        <v>288</v>
      </c>
      <c r="I115" s="21" t="s">
        <v>289</v>
      </c>
      <c r="J115" s="21" t="s">
        <v>290</v>
      </c>
      <c r="K115" s="21" t="s">
        <v>291</v>
      </c>
      <c r="L115" s="19" t="s">
        <v>309</v>
      </c>
      <c r="M115" s="21" t="s">
        <v>310</v>
      </c>
      <c r="N115" s="19" t="s">
        <v>127</v>
      </c>
      <c r="O115" s="21"/>
      <c r="P115" s="21"/>
      <c r="Q115" s="21" t="s">
        <v>174</v>
      </c>
      <c r="R115" s="19" t="s">
        <v>175</v>
      </c>
      <c r="S115" s="19" t="s">
        <v>162</v>
      </c>
      <c r="T115" s="19" t="s">
        <v>131</v>
      </c>
      <c r="U115" s="20">
        <v>44767</v>
      </c>
      <c r="V115" s="20">
        <v>45900</v>
      </c>
      <c r="W115" s="21"/>
      <c r="X115" s="19"/>
      <c r="Y115" s="21"/>
      <c r="Z115" s="19"/>
      <c r="AA115" s="21"/>
      <c r="AB115" s="19"/>
      <c r="AC115" s="21"/>
      <c r="AD115" s="19"/>
      <c r="AE115" s="21"/>
      <c r="AF115" s="19"/>
      <c r="AG115" s="21"/>
      <c r="AH115" s="19"/>
      <c r="AI115" s="21"/>
      <c r="AJ115" s="19"/>
      <c r="AK115" s="21"/>
      <c r="AL115" s="19"/>
      <c r="AM115" s="21"/>
      <c r="AN115" s="19"/>
      <c r="AO115" s="21"/>
      <c r="AP115" s="19"/>
      <c r="AQ115" s="21"/>
      <c r="AR115" s="19"/>
      <c r="AS115" s="21"/>
      <c r="AT115" s="19"/>
      <c r="AU115" s="21"/>
      <c r="AV115" s="19"/>
      <c r="AW115" s="21"/>
      <c r="AX115" s="19"/>
      <c r="AY115" s="21"/>
      <c r="AZ115" s="19"/>
      <c r="BA115" s="21"/>
      <c r="BB115" s="19"/>
      <c r="BC115" s="21"/>
      <c r="BD115" s="19"/>
      <c r="BE115" s="21"/>
      <c r="BF115" s="19"/>
      <c r="BG115" s="21"/>
      <c r="BH115" s="19"/>
      <c r="BI115" s="21"/>
      <c r="BJ115" s="19"/>
      <c r="BK115" s="21"/>
      <c r="BL115" s="19"/>
      <c r="BM115" s="21"/>
      <c r="BN115" s="19"/>
      <c r="BO115" s="21"/>
      <c r="BP115" s="19"/>
      <c r="BQ115" s="21"/>
      <c r="BR115" s="19"/>
      <c r="BS115" s="21"/>
      <c r="BT115" s="19"/>
      <c r="BU115" s="21"/>
      <c r="BV115" s="19"/>
      <c r="BW115" s="21"/>
      <c r="BX115" s="19"/>
      <c r="BY115" s="21"/>
      <c r="BZ115" s="19" t="s">
        <v>176</v>
      </c>
      <c r="CA115" s="21"/>
    </row>
    <row r="116" spans="1:79" s="22" customFormat="1" ht="87" x14ac:dyDescent="0.35">
      <c r="A116" s="19" t="s">
        <v>147</v>
      </c>
      <c r="B116" s="19" t="s">
        <v>81</v>
      </c>
      <c r="C116" s="20">
        <v>45995.477083333331</v>
      </c>
      <c r="D116" s="19" t="s">
        <v>205</v>
      </c>
      <c r="E116" s="21" t="s">
        <v>206</v>
      </c>
      <c r="F116" s="19" t="s">
        <v>207</v>
      </c>
      <c r="G116" s="21" t="s">
        <v>208</v>
      </c>
      <c r="H116" s="19" t="s">
        <v>288</v>
      </c>
      <c r="I116" s="21" t="s">
        <v>289</v>
      </c>
      <c r="J116" s="21" t="s">
        <v>290</v>
      </c>
      <c r="K116" s="21" t="s">
        <v>291</v>
      </c>
      <c r="L116" s="19" t="s">
        <v>309</v>
      </c>
      <c r="M116" s="21" t="s">
        <v>310</v>
      </c>
      <c r="N116" s="19" t="s">
        <v>127</v>
      </c>
      <c r="O116" s="21"/>
      <c r="P116" s="21"/>
      <c r="Q116" s="21" t="s">
        <v>174</v>
      </c>
      <c r="R116" s="19" t="s">
        <v>175</v>
      </c>
      <c r="S116" s="19" t="s">
        <v>162</v>
      </c>
      <c r="T116" s="19" t="s">
        <v>95</v>
      </c>
      <c r="U116" s="20">
        <v>45901</v>
      </c>
      <c r="V116" s="20"/>
      <c r="W116" s="21" t="s">
        <v>334</v>
      </c>
      <c r="X116" s="19" t="s">
        <v>332</v>
      </c>
      <c r="Y116" s="21" t="str">
        <f>VLOOKUP(X116,'Axe 2 Règles de gestion'!$D$2:$F$85,3, FALSE)</f>
        <v>L'agent bénéficie des dispositions applicables aux agents ouvriers affiliés pour la formation pour bilan de compétences aménagé.</v>
      </c>
      <c r="Z116" s="19" t="s">
        <v>244</v>
      </c>
      <c r="AA116" s="21" t="str">
        <f>VLOOKUP(Z116,'Axe 2 Règles de gestion'!$D$2:$F$85,3, FALSE)</f>
        <v>Si l'agent ne s'y oppose pas, le document de synthèse du bilan peut être communiqué au service chargé des ressources humaines de son administration d'emploi.</v>
      </c>
      <c r="AB116" s="19" t="s">
        <v>246</v>
      </c>
      <c r="AC116" s="21" t="str">
        <f>VLOOKUP(AB116,'Axe 2 Règles de gestion'!$D$2:$F$85,3, FALSE)</f>
        <v>L'agent présente à son chef de service une attestation de fréquentation effective délivrée par l'organisme prestataire.</v>
      </c>
      <c r="AD116" s="19" t="s">
        <v>324</v>
      </c>
      <c r="AE116" s="21" t="str">
        <f>VLOOKUP(AD116,'Axe 2 Règles de gestion'!$D$2:$F$85,3, FALSE)</f>
        <v>L'agent perd le bénéfice du bilan de compétences s'il arrête, sans motif légitime, de le suivre.</v>
      </c>
      <c r="AF116" s="19"/>
      <c r="AG116" s="21"/>
      <c r="AH116" s="19"/>
      <c r="AI116" s="21"/>
      <c r="AJ116" s="19"/>
      <c r="AK116" s="21"/>
      <c r="AL116" s="19"/>
      <c r="AM116" s="21"/>
      <c r="AN116" s="19"/>
      <c r="AO116" s="21"/>
      <c r="AP116" s="19"/>
      <c r="AQ116" s="21"/>
      <c r="AR116" s="19"/>
      <c r="AS116" s="21"/>
      <c r="AT116" s="19"/>
      <c r="AU116" s="21"/>
      <c r="AV116" s="19"/>
      <c r="AW116" s="21"/>
      <c r="AX116" s="19"/>
      <c r="AY116" s="21"/>
      <c r="AZ116" s="19"/>
      <c r="BA116" s="21"/>
      <c r="BB116" s="19"/>
      <c r="BC116" s="21"/>
      <c r="BD116" s="19" t="s">
        <v>232</v>
      </c>
      <c r="BE116" s="21" t="str">
        <f>VLOOKUP(BD116,'Axe 2 Règles de gestion'!$D$2:$F$85,3, FALSE)</f>
        <v>La date de début de la formation doit être antérieure ou égale à la date de fin de la formation.</v>
      </c>
      <c r="BF116" s="19" t="s">
        <v>234</v>
      </c>
      <c r="BG116" s="21" t="str">
        <f>VLOOKUP(BF116,'Axe 2 Règles de gestion'!$D$2:$F$85,3, FALSE)</f>
        <v>La date de fin de formation doit être antérieure ou égale à la date limite de départ à la retraite.</v>
      </c>
      <c r="BH116" s="19" t="s">
        <v>254</v>
      </c>
      <c r="BI116" s="21" t="str">
        <f>VLOOKUP(BH116,'Axe 2 Règles de gestion'!$D$2:$F$85,3, FALSE)</f>
        <v>La date de fin de la formation doit être antérieure ou égale à la date limite de fin réelle ou prévisionnelle du lien juridique.</v>
      </c>
      <c r="BJ116" s="19"/>
      <c r="BK116" s="21"/>
      <c r="BL116" s="19"/>
      <c r="BM116" s="21"/>
      <c r="BN116" s="19"/>
      <c r="BO116" s="21"/>
      <c r="BP116" s="19"/>
      <c r="BQ116" s="21"/>
      <c r="BR116" s="19"/>
      <c r="BS116" s="21"/>
      <c r="BT116" s="19"/>
      <c r="BU116" s="21"/>
      <c r="BV116" s="19"/>
      <c r="BW116" s="21"/>
      <c r="BX116" s="19"/>
      <c r="BY116" s="21"/>
      <c r="BZ116" s="19" t="s">
        <v>176</v>
      </c>
      <c r="CA116" s="21"/>
    </row>
    <row r="117" spans="1:79" ht="58" x14ac:dyDescent="0.35">
      <c r="A117" s="13" t="s">
        <v>183</v>
      </c>
      <c r="B117" s="13" t="s">
        <v>81</v>
      </c>
      <c r="C117" s="14">
        <v>44959.540972222225</v>
      </c>
      <c r="D117" s="13" t="s">
        <v>205</v>
      </c>
      <c r="E117" s="15" t="s">
        <v>206</v>
      </c>
      <c r="F117" s="13" t="s">
        <v>207</v>
      </c>
      <c r="G117" s="15" t="s">
        <v>208</v>
      </c>
      <c r="H117" s="13" t="s">
        <v>288</v>
      </c>
      <c r="I117" s="15" t="s">
        <v>289</v>
      </c>
      <c r="J117" s="15" t="s">
        <v>290</v>
      </c>
      <c r="K117" s="15" t="s">
        <v>291</v>
      </c>
      <c r="L117" s="13" t="s">
        <v>292</v>
      </c>
      <c r="M117" s="15" t="s">
        <v>293</v>
      </c>
      <c r="N117" s="13" t="s">
        <v>91</v>
      </c>
      <c r="O117" s="15"/>
      <c r="P117" s="15"/>
      <c r="Q117" s="15" t="s">
        <v>181</v>
      </c>
      <c r="R117" s="13" t="s">
        <v>182</v>
      </c>
      <c r="S117" s="13" t="s">
        <v>162</v>
      </c>
      <c r="T117" s="13" t="s">
        <v>131</v>
      </c>
      <c r="U117" s="14">
        <v>44767</v>
      </c>
      <c r="V117" s="14"/>
      <c r="W117" s="15"/>
      <c r="X117" s="13"/>
      <c r="Y117" s="15"/>
      <c r="Z117" s="13"/>
      <c r="AA117" s="15"/>
      <c r="AB117" s="13"/>
      <c r="AC117" s="15"/>
      <c r="AD117" s="13"/>
      <c r="AE117" s="15"/>
      <c r="AF117" s="13"/>
      <c r="AG117" s="15"/>
      <c r="AH117" s="13"/>
      <c r="AI117" s="15"/>
      <c r="AJ117" s="13"/>
      <c r="AK117" s="15"/>
      <c r="AL117" s="13"/>
      <c r="AM117" s="15"/>
      <c r="AN117" s="13"/>
      <c r="AO117" s="15"/>
      <c r="AP117" s="13"/>
      <c r="AQ117" s="15"/>
      <c r="AR117" s="13"/>
      <c r="AS117" s="15"/>
      <c r="AT117" s="13"/>
      <c r="AU117" s="15"/>
      <c r="AV117" s="13"/>
      <c r="AW117" s="15"/>
      <c r="AX117" s="13"/>
      <c r="AY117" s="15"/>
      <c r="AZ117" s="13"/>
      <c r="BA117" s="15"/>
      <c r="BB117" s="13"/>
      <c r="BC117" s="15"/>
      <c r="BD117" s="13"/>
      <c r="BE117" s="15"/>
      <c r="BF117" s="13"/>
      <c r="BG117" s="15"/>
      <c r="BH117" s="13"/>
      <c r="BI117" s="15"/>
      <c r="BJ117" s="13"/>
      <c r="BK117" s="15"/>
      <c r="BL117" s="13"/>
      <c r="BM117" s="15"/>
      <c r="BN117" s="13"/>
      <c r="BO117" s="15"/>
      <c r="BP117" s="13"/>
      <c r="BQ117" s="15"/>
      <c r="BR117" s="13"/>
      <c r="BS117" s="15"/>
      <c r="BT117" s="13"/>
      <c r="BU117" s="15"/>
      <c r="BV117" s="13"/>
      <c r="BW117" s="15"/>
      <c r="BX117" s="13"/>
      <c r="BY117" s="15"/>
      <c r="BZ117" s="13"/>
      <c r="CA117" s="15"/>
    </row>
    <row r="118" spans="1:79" ht="58" x14ac:dyDescent="0.35">
      <c r="A118" s="13" t="s">
        <v>183</v>
      </c>
      <c r="B118" s="13" t="s">
        <v>81</v>
      </c>
      <c r="C118" s="14">
        <v>44959.541666666664</v>
      </c>
      <c r="D118" s="13" t="s">
        <v>205</v>
      </c>
      <c r="E118" s="15" t="s">
        <v>206</v>
      </c>
      <c r="F118" s="13" t="s">
        <v>207</v>
      </c>
      <c r="G118" s="15" t="s">
        <v>208</v>
      </c>
      <c r="H118" s="13" t="s">
        <v>288</v>
      </c>
      <c r="I118" s="15" t="s">
        <v>289</v>
      </c>
      <c r="J118" s="15" t="s">
        <v>290</v>
      </c>
      <c r="K118" s="15" t="s">
        <v>291</v>
      </c>
      <c r="L118" s="13" t="s">
        <v>309</v>
      </c>
      <c r="M118" s="15" t="s">
        <v>310</v>
      </c>
      <c r="N118" s="13" t="s">
        <v>127</v>
      </c>
      <c r="O118" s="15"/>
      <c r="P118" s="15"/>
      <c r="Q118" s="15" t="s">
        <v>181</v>
      </c>
      <c r="R118" s="13" t="s">
        <v>182</v>
      </c>
      <c r="S118" s="13" t="s">
        <v>162</v>
      </c>
      <c r="T118" s="13" t="s">
        <v>131</v>
      </c>
      <c r="U118" s="14">
        <v>44767</v>
      </c>
      <c r="V118" s="14"/>
      <c r="W118" s="15"/>
      <c r="X118" s="13"/>
      <c r="Y118" s="15"/>
      <c r="Z118" s="13"/>
      <c r="AA118" s="15"/>
      <c r="AB118" s="13"/>
      <c r="AC118" s="15"/>
      <c r="AD118" s="13"/>
      <c r="AE118" s="15"/>
      <c r="AF118" s="13"/>
      <c r="AG118" s="15"/>
      <c r="AH118" s="13"/>
      <c r="AI118" s="15"/>
      <c r="AJ118" s="13"/>
      <c r="AK118" s="15"/>
      <c r="AL118" s="13"/>
      <c r="AM118" s="15"/>
      <c r="AN118" s="13"/>
      <c r="AO118" s="15"/>
      <c r="AP118" s="13"/>
      <c r="AQ118" s="15"/>
      <c r="AR118" s="13"/>
      <c r="AS118" s="15"/>
      <c r="AT118" s="13"/>
      <c r="AU118" s="15"/>
      <c r="AV118" s="13"/>
      <c r="AW118" s="15"/>
      <c r="AX118" s="13"/>
      <c r="AY118" s="15"/>
      <c r="AZ118" s="13"/>
      <c r="BA118" s="15"/>
      <c r="BB118" s="13"/>
      <c r="BC118" s="15"/>
      <c r="BD118" s="13"/>
      <c r="BE118" s="15"/>
      <c r="BF118" s="13"/>
      <c r="BG118" s="15"/>
      <c r="BH118" s="13"/>
      <c r="BI118" s="15"/>
      <c r="BJ118" s="13"/>
      <c r="BK118" s="15"/>
      <c r="BL118" s="13"/>
      <c r="BM118" s="15"/>
      <c r="BN118" s="13"/>
      <c r="BO118" s="15"/>
      <c r="BP118" s="13"/>
      <c r="BQ118" s="15"/>
      <c r="BR118" s="13"/>
      <c r="BS118" s="15"/>
      <c r="BT118" s="13"/>
      <c r="BU118" s="15"/>
      <c r="BV118" s="13"/>
      <c r="BW118" s="15"/>
      <c r="BX118" s="13"/>
      <c r="BY118" s="15"/>
      <c r="BZ118" s="13"/>
      <c r="CA118" s="15"/>
    </row>
    <row r="119" spans="1:79" x14ac:dyDescent="0.35">
      <c r="C119" s="16"/>
      <c r="U119" s="16"/>
      <c r="V119" s="16"/>
    </row>
    <row r="120" spans="1:79" x14ac:dyDescent="0.35">
      <c r="C120" s="16"/>
      <c r="U120" s="16"/>
      <c r="V120" s="16"/>
    </row>
    <row r="121" spans="1:79" x14ac:dyDescent="0.35">
      <c r="C121" s="16"/>
      <c r="U121" s="16"/>
      <c r="V121" s="16"/>
    </row>
    <row r="122" spans="1:79" x14ac:dyDescent="0.35">
      <c r="C122" s="16"/>
      <c r="U122" s="16"/>
      <c r="V122" s="16"/>
    </row>
    <row r="123" spans="1:79" x14ac:dyDescent="0.35">
      <c r="C123" s="16"/>
      <c r="U123" s="16"/>
      <c r="V123" s="16"/>
    </row>
    <row r="124" spans="1:79" x14ac:dyDescent="0.35">
      <c r="C124" s="16"/>
      <c r="U124" s="16"/>
      <c r="V124" s="16"/>
    </row>
    <row r="125" spans="1:79" x14ac:dyDescent="0.35">
      <c r="C125" s="16"/>
      <c r="U125" s="16"/>
      <c r="V125" s="16"/>
    </row>
    <row r="126" spans="1:79" x14ac:dyDescent="0.35">
      <c r="C126" s="16"/>
      <c r="U126" s="16"/>
      <c r="V126" s="16"/>
    </row>
    <row r="127" spans="1:79" x14ac:dyDescent="0.35">
      <c r="C127" s="16"/>
      <c r="U127" s="16"/>
      <c r="V127" s="16"/>
    </row>
    <row r="128" spans="1:79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  <row r="427" spans="3:22" x14ac:dyDescent="0.35">
      <c r="C427" s="16"/>
      <c r="U427" s="16"/>
      <c r="V427" s="16"/>
    </row>
    <row r="428" spans="3:22" x14ac:dyDescent="0.35">
      <c r="C428" s="16"/>
      <c r="U428" s="16"/>
      <c r="V428" s="16"/>
    </row>
    <row r="429" spans="3:22" x14ac:dyDescent="0.35">
      <c r="C429" s="16"/>
      <c r="U429" s="16"/>
      <c r="V429" s="16"/>
    </row>
    <row r="430" spans="3:22" x14ac:dyDescent="0.35">
      <c r="C430" s="16"/>
      <c r="U430" s="16"/>
      <c r="V430" s="16"/>
    </row>
    <row r="431" spans="3:22" x14ac:dyDescent="0.35">
      <c r="C431" s="16"/>
      <c r="U431" s="16"/>
      <c r="V431" s="16"/>
    </row>
    <row r="432" spans="3:22" x14ac:dyDescent="0.35">
      <c r="C432" s="16"/>
      <c r="U432" s="16"/>
      <c r="V432" s="16"/>
    </row>
    <row r="433" spans="3:22" x14ac:dyDescent="0.35">
      <c r="C433" s="16"/>
      <c r="U433" s="16"/>
      <c r="V433" s="16"/>
    </row>
    <row r="434" spans="3:22" x14ac:dyDescent="0.35">
      <c r="C434" s="16"/>
      <c r="U434" s="16"/>
      <c r="V434" s="16"/>
    </row>
    <row r="435" spans="3:22" x14ac:dyDescent="0.35">
      <c r="C435" s="16"/>
      <c r="U435" s="16"/>
      <c r="V435" s="16"/>
    </row>
    <row r="436" spans="3:22" x14ac:dyDescent="0.35">
      <c r="C436" s="16"/>
      <c r="U436" s="16"/>
      <c r="V436" s="16"/>
    </row>
    <row r="437" spans="3:22" x14ac:dyDescent="0.35">
      <c r="C437" s="16"/>
      <c r="U437" s="16"/>
      <c r="V437" s="16"/>
    </row>
    <row r="438" spans="3:22" x14ac:dyDescent="0.35">
      <c r="C438" s="16"/>
      <c r="U438" s="16"/>
      <c r="V438" s="16"/>
    </row>
    <row r="439" spans="3:22" x14ac:dyDescent="0.35">
      <c r="C439" s="16"/>
      <c r="U439" s="16"/>
      <c r="V439" s="16"/>
    </row>
    <row r="440" spans="3:22" x14ac:dyDescent="0.35">
      <c r="C440" s="16"/>
      <c r="U440" s="16"/>
      <c r="V440" s="16"/>
    </row>
    <row r="441" spans="3:22" x14ac:dyDescent="0.35">
      <c r="C441" s="16"/>
      <c r="U441" s="16"/>
      <c r="V441" s="16"/>
    </row>
    <row r="442" spans="3:22" x14ac:dyDescent="0.35">
      <c r="C442" s="16"/>
      <c r="U442" s="16"/>
      <c r="V442" s="16"/>
    </row>
    <row r="443" spans="3:22" x14ac:dyDescent="0.35">
      <c r="C443" s="16"/>
      <c r="U443" s="16"/>
      <c r="V443" s="16"/>
    </row>
    <row r="444" spans="3:22" x14ac:dyDescent="0.35">
      <c r="C444" s="16"/>
      <c r="U444" s="16"/>
      <c r="V444" s="16"/>
    </row>
    <row r="445" spans="3:22" x14ac:dyDescent="0.35">
      <c r="C445" s="16"/>
      <c r="U445" s="16"/>
      <c r="V445" s="16"/>
    </row>
    <row r="446" spans="3:22" x14ac:dyDescent="0.35">
      <c r="C446" s="16"/>
      <c r="U446" s="16"/>
      <c r="V446" s="16"/>
    </row>
    <row r="447" spans="3:22" x14ac:dyDescent="0.35">
      <c r="C447" s="16"/>
      <c r="U447" s="16"/>
      <c r="V447" s="16"/>
    </row>
    <row r="448" spans="3:22" x14ac:dyDescent="0.35">
      <c r="C448" s="16"/>
      <c r="U448" s="16"/>
      <c r="V448" s="16"/>
    </row>
    <row r="449" spans="3:22" x14ac:dyDescent="0.35">
      <c r="C449" s="16"/>
      <c r="U449" s="16"/>
      <c r="V449" s="16"/>
    </row>
    <row r="450" spans="3:22" x14ac:dyDescent="0.35">
      <c r="C450" s="16"/>
      <c r="U450" s="16"/>
      <c r="V450" s="16"/>
    </row>
    <row r="451" spans="3:22" x14ac:dyDescent="0.35">
      <c r="C451" s="16"/>
      <c r="U451" s="16"/>
      <c r="V451" s="16"/>
    </row>
    <row r="452" spans="3:22" x14ac:dyDescent="0.35">
      <c r="C452" s="16"/>
      <c r="U452" s="16"/>
      <c r="V452" s="16"/>
    </row>
    <row r="453" spans="3:22" x14ac:dyDescent="0.35">
      <c r="C453" s="16"/>
      <c r="U453" s="16"/>
      <c r="V453" s="16"/>
    </row>
    <row r="454" spans="3:22" x14ac:dyDescent="0.35">
      <c r="C454" s="16"/>
      <c r="U454" s="16"/>
      <c r="V454" s="16"/>
    </row>
    <row r="455" spans="3:22" x14ac:dyDescent="0.35">
      <c r="C455" s="16"/>
      <c r="U455" s="16"/>
      <c r="V455" s="16"/>
    </row>
    <row r="456" spans="3:22" x14ac:dyDescent="0.35">
      <c r="C456" s="16"/>
      <c r="U456" s="16"/>
      <c r="V456" s="16"/>
    </row>
    <row r="457" spans="3:22" x14ac:dyDescent="0.35">
      <c r="C457" s="16"/>
      <c r="U457" s="16"/>
      <c r="V457" s="16"/>
    </row>
    <row r="458" spans="3:22" x14ac:dyDescent="0.35">
      <c r="C458" s="16"/>
      <c r="U458" s="16"/>
      <c r="V458" s="16"/>
    </row>
    <row r="459" spans="3:22" x14ac:dyDescent="0.35">
      <c r="C459" s="16"/>
      <c r="U459" s="16"/>
      <c r="V459" s="16"/>
    </row>
    <row r="460" spans="3:22" x14ac:dyDescent="0.35">
      <c r="C460" s="16"/>
      <c r="U460" s="16"/>
      <c r="V460" s="16"/>
    </row>
    <row r="461" spans="3:22" x14ac:dyDescent="0.35">
      <c r="C461" s="16"/>
      <c r="U461" s="16"/>
      <c r="V461" s="16"/>
    </row>
    <row r="462" spans="3:22" x14ac:dyDescent="0.35">
      <c r="C462" s="16"/>
      <c r="U462" s="16"/>
      <c r="V462" s="16"/>
    </row>
    <row r="463" spans="3:22" x14ac:dyDescent="0.35">
      <c r="C463" s="16"/>
      <c r="U463" s="16"/>
      <c r="V463" s="16"/>
    </row>
    <row r="464" spans="3:22" x14ac:dyDescent="0.35">
      <c r="C464" s="16"/>
      <c r="U464" s="16"/>
      <c r="V464" s="16"/>
    </row>
    <row r="465" spans="3:22" x14ac:dyDescent="0.35">
      <c r="C465" s="16"/>
      <c r="U465" s="16"/>
      <c r="V465" s="16"/>
    </row>
    <row r="466" spans="3:22" x14ac:dyDescent="0.35">
      <c r="C466" s="16"/>
      <c r="U466" s="16"/>
      <c r="V466" s="16"/>
    </row>
    <row r="467" spans="3:22" x14ac:dyDescent="0.35">
      <c r="C467" s="16"/>
      <c r="U467" s="16"/>
      <c r="V467" s="16"/>
    </row>
    <row r="468" spans="3:22" x14ac:dyDescent="0.35">
      <c r="C468" s="16"/>
      <c r="U468" s="16"/>
      <c r="V468" s="16"/>
    </row>
    <row r="469" spans="3:22" x14ac:dyDescent="0.35">
      <c r="C469" s="16"/>
      <c r="U469" s="16"/>
      <c r="V469" s="16"/>
    </row>
    <row r="470" spans="3:22" x14ac:dyDescent="0.35">
      <c r="C470" s="16"/>
      <c r="U470" s="16"/>
      <c r="V470" s="16"/>
    </row>
    <row r="471" spans="3:22" x14ac:dyDescent="0.35">
      <c r="C471" s="16"/>
      <c r="U471" s="16"/>
      <c r="V471" s="16"/>
    </row>
    <row r="472" spans="3:22" x14ac:dyDescent="0.35">
      <c r="C472" s="16"/>
      <c r="U472" s="16"/>
      <c r="V472" s="16"/>
    </row>
    <row r="473" spans="3:22" x14ac:dyDescent="0.35">
      <c r="C473" s="16"/>
      <c r="U473" s="16"/>
      <c r="V473" s="16"/>
    </row>
    <row r="474" spans="3:22" x14ac:dyDescent="0.35">
      <c r="C474" s="16"/>
      <c r="U474" s="16"/>
      <c r="V474" s="16"/>
    </row>
    <row r="475" spans="3:22" x14ac:dyDescent="0.35">
      <c r="C475" s="16"/>
      <c r="U475" s="16"/>
      <c r="V475" s="16"/>
    </row>
    <row r="476" spans="3:22" x14ac:dyDescent="0.35">
      <c r="C476" s="16"/>
      <c r="U476" s="16"/>
      <c r="V476" s="16"/>
    </row>
    <row r="477" spans="3:22" x14ac:dyDescent="0.35">
      <c r="C477" s="16"/>
      <c r="U477" s="16"/>
      <c r="V477" s="16"/>
    </row>
    <row r="478" spans="3:22" x14ac:dyDescent="0.35">
      <c r="C478" s="16"/>
      <c r="U478" s="16"/>
      <c r="V478" s="16"/>
    </row>
    <row r="479" spans="3:22" x14ac:dyDescent="0.35">
      <c r="C479" s="16"/>
      <c r="U479" s="16"/>
      <c r="V479" s="16"/>
    </row>
    <row r="480" spans="3:22" x14ac:dyDescent="0.35">
      <c r="C480" s="16"/>
      <c r="U480" s="16"/>
      <c r="V480" s="16"/>
    </row>
    <row r="481" spans="3:22" x14ac:dyDescent="0.35">
      <c r="C481" s="16"/>
      <c r="U481" s="16"/>
      <c r="V481" s="16"/>
    </row>
    <row r="482" spans="3:22" x14ac:dyDescent="0.35">
      <c r="C482" s="16"/>
      <c r="U482" s="16"/>
      <c r="V482" s="16"/>
    </row>
    <row r="483" spans="3:22" x14ac:dyDescent="0.35">
      <c r="C483" s="16"/>
      <c r="U483" s="16"/>
      <c r="V483" s="16"/>
    </row>
    <row r="484" spans="3:22" x14ac:dyDescent="0.35">
      <c r="C484" s="16"/>
      <c r="U484" s="16"/>
      <c r="V484" s="16"/>
    </row>
    <row r="485" spans="3:22" x14ac:dyDescent="0.35">
      <c r="C485" s="16"/>
      <c r="U485" s="16"/>
      <c r="V485" s="16"/>
    </row>
    <row r="486" spans="3:22" x14ac:dyDescent="0.35">
      <c r="C486" s="16"/>
      <c r="U486" s="16"/>
      <c r="V486" s="16"/>
    </row>
    <row r="487" spans="3:22" x14ac:dyDescent="0.35">
      <c r="C487" s="16"/>
      <c r="U487" s="16"/>
      <c r="V487" s="16"/>
    </row>
    <row r="488" spans="3:22" x14ac:dyDescent="0.35">
      <c r="C488" s="16"/>
      <c r="U488" s="16"/>
      <c r="V488" s="16"/>
    </row>
    <row r="489" spans="3:22" x14ac:dyDescent="0.35">
      <c r="C489" s="16"/>
      <c r="U489" s="16"/>
      <c r="V489" s="16"/>
    </row>
    <row r="490" spans="3:22" x14ac:dyDescent="0.35">
      <c r="C490" s="16"/>
      <c r="U490" s="16"/>
      <c r="V490" s="16"/>
    </row>
    <row r="491" spans="3:22" x14ac:dyDescent="0.35">
      <c r="C491" s="16"/>
      <c r="U491" s="16"/>
      <c r="V491" s="16"/>
    </row>
    <row r="492" spans="3:22" x14ac:dyDescent="0.35">
      <c r="C492" s="16"/>
      <c r="U492" s="16"/>
      <c r="V492" s="16"/>
    </row>
    <row r="493" spans="3:22" x14ac:dyDescent="0.35">
      <c r="C493" s="16"/>
      <c r="U493" s="16"/>
      <c r="V493" s="16"/>
    </row>
    <row r="494" spans="3:22" x14ac:dyDescent="0.35">
      <c r="C494" s="16"/>
      <c r="U494" s="16"/>
      <c r="V494" s="16"/>
    </row>
    <row r="495" spans="3:22" x14ac:dyDescent="0.35">
      <c r="C495" s="16"/>
      <c r="U495" s="16"/>
      <c r="V495" s="16"/>
    </row>
    <row r="496" spans="3:22" x14ac:dyDescent="0.35">
      <c r="C496" s="16"/>
      <c r="U496" s="16"/>
      <c r="V496" s="16"/>
    </row>
    <row r="497" spans="3:22" x14ac:dyDescent="0.35">
      <c r="C497" s="16"/>
      <c r="U497" s="16"/>
      <c r="V497" s="16"/>
    </row>
    <row r="498" spans="3:22" x14ac:dyDescent="0.35">
      <c r="C498" s="16"/>
      <c r="U498" s="16"/>
      <c r="V498" s="16"/>
    </row>
    <row r="499" spans="3:22" x14ac:dyDescent="0.35">
      <c r="C499" s="16"/>
      <c r="U499" s="16"/>
      <c r="V499" s="16"/>
    </row>
    <row r="500" spans="3:22" x14ac:dyDescent="0.35">
      <c r="C500" s="16"/>
      <c r="U500" s="16"/>
      <c r="V500" s="16"/>
    </row>
    <row r="501" spans="3:22" x14ac:dyDescent="0.35">
      <c r="C501" s="16"/>
      <c r="U501" s="16"/>
      <c r="V501" s="16"/>
    </row>
    <row r="502" spans="3:22" x14ac:dyDescent="0.35">
      <c r="C502" s="16"/>
      <c r="U502" s="16"/>
      <c r="V502" s="16"/>
    </row>
    <row r="503" spans="3:22" x14ac:dyDescent="0.35">
      <c r="C503" s="16"/>
      <c r="U503" s="16"/>
      <c r="V503" s="16"/>
    </row>
    <row r="504" spans="3:22" x14ac:dyDescent="0.35">
      <c r="C504" s="16"/>
      <c r="U504" s="16"/>
      <c r="V504" s="16"/>
    </row>
    <row r="505" spans="3:22" x14ac:dyDescent="0.35">
      <c r="C505" s="16"/>
      <c r="U505" s="16"/>
      <c r="V505" s="16"/>
    </row>
    <row r="506" spans="3:22" x14ac:dyDescent="0.35">
      <c r="C506" s="16"/>
      <c r="U506" s="16"/>
      <c r="V506" s="16"/>
    </row>
    <row r="507" spans="3:22" x14ac:dyDescent="0.35">
      <c r="C507" s="16"/>
      <c r="U507" s="16"/>
      <c r="V507" s="16"/>
    </row>
    <row r="508" spans="3:22" x14ac:dyDescent="0.35">
      <c r="C508" s="16"/>
      <c r="U508" s="16"/>
      <c r="V508" s="16"/>
    </row>
    <row r="509" spans="3:22" x14ac:dyDescent="0.35">
      <c r="C509" s="16"/>
      <c r="U509" s="16"/>
      <c r="V509" s="16"/>
    </row>
    <row r="510" spans="3:22" x14ac:dyDescent="0.35">
      <c r="C510" s="16"/>
      <c r="U510" s="16"/>
      <c r="V510" s="16"/>
    </row>
    <row r="511" spans="3:22" x14ac:dyDescent="0.35">
      <c r="C511" s="16"/>
      <c r="U511" s="16"/>
      <c r="V511" s="16"/>
    </row>
    <row r="512" spans="3:22" x14ac:dyDescent="0.35">
      <c r="C512" s="16"/>
      <c r="U512" s="16"/>
      <c r="V512" s="16"/>
    </row>
    <row r="513" spans="3:22" x14ac:dyDescent="0.35">
      <c r="C513" s="16"/>
      <c r="U513" s="16"/>
      <c r="V513" s="16"/>
    </row>
    <row r="514" spans="3:22" x14ac:dyDescent="0.35">
      <c r="C514" s="16"/>
      <c r="U514" s="16"/>
      <c r="V514" s="16"/>
    </row>
    <row r="515" spans="3:22" x14ac:dyDescent="0.35">
      <c r="C515" s="16"/>
      <c r="U515" s="16"/>
      <c r="V515" s="16"/>
    </row>
    <row r="516" spans="3:22" x14ac:dyDescent="0.35">
      <c r="C516" s="16"/>
      <c r="U516" s="16"/>
      <c r="V516" s="16"/>
    </row>
    <row r="517" spans="3:22" x14ac:dyDescent="0.35">
      <c r="C517" s="16"/>
      <c r="U517" s="16"/>
      <c r="V517" s="16"/>
    </row>
    <row r="518" spans="3:22" x14ac:dyDescent="0.35">
      <c r="C518" s="16"/>
      <c r="U518" s="16"/>
      <c r="V518" s="16"/>
    </row>
    <row r="519" spans="3:22" x14ac:dyDescent="0.35">
      <c r="C519" s="16"/>
      <c r="U519" s="16"/>
      <c r="V519" s="16"/>
    </row>
    <row r="520" spans="3:22" x14ac:dyDescent="0.35">
      <c r="C520" s="16"/>
      <c r="U520" s="16"/>
      <c r="V520" s="16"/>
    </row>
    <row r="521" spans="3:22" x14ac:dyDescent="0.35">
      <c r="C521" s="16"/>
      <c r="U521" s="16"/>
      <c r="V521" s="16"/>
    </row>
    <row r="522" spans="3:22" x14ac:dyDescent="0.35">
      <c r="C522" s="16"/>
      <c r="U522" s="16"/>
      <c r="V522" s="16"/>
    </row>
    <row r="523" spans="3:22" x14ac:dyDescent="0.35">
      <c r="C523" s="16"/>
      <c r="U523" s="16"/>
      <c r="V523" s="16"/>
    </row>
    <row r="524" spans="3:22" x14ac:dyDescent="0.35">
      <c r="C524" s="16"/>
      <c r="U524" s="16"/>
      <c r="V524" s="16"/>
    </row>
    <row r="525" spans="3:22" x14ac:dyDescent="0.35">
      <c r="C525" s="16"/>
      <c r="U525" s="16"/>
      <c r="V525" s="16"/>
    </row>
    <row r="526" spans="3:22" x14ac:dyDescent="0.35">
      <c r="C526" s="16"/>
      <c r="U526" s="16"/>
      <c r="V526" s="16"/>
    </row>
    <row r="527" spans="3:22" x14ac:dyDescent="0.35">
      <c r="C527" s="16"/>
      <c r="U527" s="16"/>
      <c r="V527" s="16"/>
    </row>
    <row r="528" spans="3:22" x14ac:dyDescent="0.35">
      <c r="C528" s="16"/>
      <c r="U528" s="16"/>
      <c r="V528" s="16"/>
    </row>
    <row r="529" spans="3:22" x14ac:dyDescent="0.35">
      <c r="C529" s="16"/>
      <c r="U529" s="16"/>
      <c r="V529" s="16"/>
    </row>
    <row r="530" spans="3:22" x14ac:dyDescent="0.35">
      <c r="C530" s="16"/>
      <c r="U530" s="16"/>
      <c r="V530" s="16"/>
    </row>
    <row r="531" spans="3:22" x14ac:dyDescent="0.35">
      <c r="C531" s="16"/>
      <c r="U531" s="16"/>
      <c r="V531" s="16"/>
    </row>
    <row r="532" spans="3:22" x14ac:dyDescent="0.35">
      <c r="C532" s="16"/>
      <c r="U532" s="16"/>
      <c r="V532" s="16"/>
    </row>
    <row r="533" spans="3:22" x14ac:dyDescent="0.35">
      <c r="C533" s="16"/>
      <c r="U533" s="16"/>
      <c r="V533" s="16"/>
    </row>
    <row r="534" spans="3:22" x14ac:dyDescent="0.35">
      <c r="C534" s="16"/>
      <c r="U534" s="16"/>
      <c r="V534" s="16"/>
    </row>
    <row r="535" spans="3:22" x14ac:dyDescent="0.35">
      <c r="C535" s="16"/>
      <c r="U535" s="16"/>
      <c r="V535" s="16"/>
    </row>
    <row r="536" spans="3:22" x14ac:dyDescent="0.35">
      <c r="C536" s="16"/>
      <c r="U536" s="16"/>
      <c r="V536" s="16"/>
    </row>
    <row r="537" spans="3:22" x14ac:dyDescent="0.35">
      <c r="C537" s="16"/>
      <c r="U537" s="16"/>
      <c r="V537" s="16"/>
    </row>
    <row r="538" spans="3:22" x14ac:dyDescent="0.35">
      <c r="C538" s="16"/>
      <c r="U538" s="16"/>
      <c r="V538" s="16"/>
    </row>
    <row r="539" spans="3:22" x14ac:dyDescent="0.35">
      <c r="C539" s="16"/>
      <c r="U539" s="16"/>
      <c r="V539" s="16"/>
    </row>
    <row r="540" spans="3:22" x14ac:dyDescent="0.35">
      <c r="C540" s="16"/>
      <c r="U540" s="16"/>
      <c r="V540" s="16"/>
    </row>
    <row r="541" spans="3:22" x14ac:dyDescent="0.35">
      <c r="C541" s="16"/>
      <c r="U541" s="16"/>
      <c r="V541" s="16"/>
    </row>
    <row r="542" spans="3:22" x14ac:dyDescent="0.35">
      <c r="C542" s="16"/>
      <c r="U542" s="16"/>
      <c r="V542" s="16"/>
    </row>
    <row r="543" spans="3:22" x14ac:dyDescent="0.35">
      <c r="C543" s="16"/>
      <c r="U543" s="16"/>
      <c r="V543" s="16"/>
    </row>
    <row r="544" spans="3:22" x14ac:dyDescent="0.35">
      <c r="C544" s="16"/>
      <c r="U544" s="16"/>
      <c r="V544" s="16"/>
    </row>
    <row r="545" spans="3:22" x14ac:dyDescent="0.35">
      <c r="C545" s="16"/>
      <c r="U545" s="16"/>
      <c r="V545" s="16"/>
    </row>
    <row r="546" spans="3:22" x14ac:dyDescent="0.35">
      <c r="C546" s="16"/>
      <c r="U546" s="16"/>
      <c r="V546" s="16"/>
    </row>
    <row r="547" spans="3:22" x14ac:dyDescent="0.35">
      <c r="C547" s="16"/>
      <c r="U547" s="16"/>
      <c r="V547" s="16"/>
    </row>
    <row r="548" spans="3:22" x14ac:dyDescent="0.35">
      <c r="C548" s="16"/>
      <c r="U548" s="16"/>
      <c r="V548" s="16"/>
    </row>
    <row r="549" spans="3:22" x14ac:dyDescent="0.35">
      <c r="C549" s="16"/>
      <c r="U549" s="16"/>
      <c r="V549" s="16"/>
    </row>
    <row r="550" spans="3:22" x14ac:dyDescent="0.35">
      <c r="C550" s="16"/>
      <c r="U550" s="16"/>
      <c r="V550" s="16"/>
    </row>
    <row r="551" spans="3:22" x14ac:dyDescent="0.35">
      <c r="C551" s="16"/>
      <c r="U551" s="16"/>
      <c r="V551" s="16"/>
    </row>
    <row r="552" spans="3:22" x14ac:dyDescent="0.35">
      <c r="C552" s="16"/>
      <c r="U552" s="16"/>
      <c r="V552" s="16"/>
    </row>
    <row r="553" spans="3:22" x14ac:dyDescent="0.35">
      <c r="C553" s="16"/>
      <c r="U553" s="16"/>
      <c r="V553" s="16"/>
    </row>
    <row r="554" spans="3:22" x14ac:dyDescent="0.35">
      <c r="C554" s="16"/>
      <c r="U554" s="16"/>
      <c r="V554" s="16"/>
    </row>
    <row r="555" spans="3:22" x14ac:dyDescent="0.35">
      <c r="C555" s="16"/>
      <c r="U555" s="16"/>
      <c r="V555" s="16"/>
    </row>
    <row r="556" spans="3:22" x14ac:dyDescent="0.35">
      <c r="C556" s="16"/>
      <c r="U556" s="16"/>
      <c r="V556" s="16"/>
    </row>
    <row r="557" spans="3:22" x14ac:dyDescent="0.35">
      <c r="C557" s="16"/>
      <c r="U557" s="16"/>
      <c r="V557" s="16"/>
    </row>
    <row r="558" spans="3:22" x14ac:dyDescent="0.35">
      <c r="C558" s="16"/>
      <c r="U558" s="16"/>
      <c r="V558" s="16"/>
    </row>
    <row r="559" spans="3:22" x14ac:dyDescent="0.35">
      <c r="C559" s="16"/>
      <c r="U559" s="16"/>
      <c r="V559" s="16"/>
    </row>
    <row r="560" spans="3:22" x14ac:dyDescent="0.35">
      <c r="C560" s="16"/>
      <c r="U560" s="16"/>
      <c r="V560" s="16"/>
    </row>
    <row r="561" spans="3:22" x14ac:dyDescent="0.35">
      <c r="C561" s="16"/>
      <c r="U561" s="16"/>
      <c r="V561" s="16"/>
    </row>
    <row r="562" spans="3:22" x14ac:dyDescent="0.35">
      <c r="C562" s="16"/>
      <c r="U562" s="16"/>
      <c r="V562" s="16"/>
    </row>
    <row r="563" spans="3:22" x14ac:dyDescent="0.35">
      <c r="C563" s="16"/>
      <c r="U563" s="16"/>
      <c r="V563" s="16"/>
    </row>
    <row r="564" spans="3:22" x14ac:dyDescent="0.35">
      <c r="C564" s="16"/>
      <c r="U564" s="16"/>
      <c r="V564" s="16"/>
    </row>
    <row r="565" spans="3:22" x14ac:dyDescent="0.35">
      <c r="C565" s="16"/>
      <c r="U565" s="16"/>
      <c r="V565" s="16"/>
    </row>
    <row r="566" spans="3:22" x14ac:dyDescent="0.35">
      <c r="C566" s="16"/>
      <c r="U566" s="16"/>
      <c r="V566" s="16"/>
    </row>
    <row r="567" spans="3:22" x14ac:dyDescent="0.35">
      <c r="C567" s="16"/>
      <c r="U567" s="16"/>
      <c r="V567" s="16"/>
    </row>
    <row r="568" spans="3:22" x14ac:dyDescent="0.35">
      <c r="C568" s="16"/>
      <c r="U568" s="16"/>
      <c r="V568" s="16"/>
    </row>
    <row r="569" spans="3:22" x14ac:dyDescent="0.35">
      <c r="C569" s="16"/>
      <c r="U569" s="16"/>
      <c r="V569" s="16"/>
    </row>
    <row r="570" spans="3:22" x14ac:dyDescent="0.35">
      <c r="C570" s="16"/>
      <c r="U570" s="16"/>
      <c r="V570" s="16"/>
    </row>
    <row r="571" spans="3:22" x14ac:dyDescent="0.35">
      <c r="C571" s="16"/>
      <c r="U571" s="16"/>
      <c r="V571" s="16"/>
    </row>
    <row r="572" spans="3:22" x14ac:dyDescent="0.35">
      <c r="C572" s="16"/>
      <c r="U572" s="16"/>
      <c r="V572" s="16"/>
    </row>
    <row r="573" spans="3:22" x14ac:dyDescent="0.35">
      <c r="C573" s="16"/>
      <c r="U573" s="16"/>
      <c r="V573" s="16"/>
    </row>
    <row r="574" spans="3:22" x14ac:dyDescent="0.35">
      <c r="C574" s="16"/>
      <c r="U574" s="16"/>
      <c r="V574" s="16"/>
    </row>
  </sheetData>
  <autoFilter ref="A1:OJ118" xr:uid="{CD2408AE-8F65-414A-A3F8-2AF445793A3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31AE-84CF-4F14-80AD-0E6FED6017F2}">
  <dimension ref="A1:AE574"/>
  <sheetViews>
    <sheetView topLeftCell="F1" workbookViewId="0">
      <pane ySplit="1" topLeftCell="A2" activePane="bottomLeft" state="frozenSplit"/>
      <selection pane="bottomLeft" activeCell="M27" sqref="M27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9.6328125" style="18" customWidth="1"/>
    <col min="31" max="31" width="15.6328125" style="17" customWidth="1"/>
    <col min="32" max="16384" width="10.90625" style="12"/>
  </cols>
  <sheetData>
    <row r="1" spans="1:3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335</v>
      </c>
      <c r="X1" s="10" t="s">
        <v>336</v>
      </c>
      <c r="Y1" s="10" t="s">
        <v>337</v>
      </c>
      <c r="Z1" s="10" t="s">
        <v>338</v>
      </c>
      <c r="AA1" s="10" t="s">
        <v>339</v>
      </c>
      <c r="AB1" s="10" t="s">
        <v>340</v>
      </c>
      <c r="AC1" s="10" t="s">
        <v>341</v>
      </c>
      <c r="AD1" s="10" t="s">
        <v>78</v>
      </c>
      <c r="AE1" s="10" t="s">
        <v>79</v>
      </c>
    </row>
    <row r="2" spans="1:31" ht="87" x14ac:dyDescent="0.35">
      <c r="A2" s="13" t="s">
        <v>80</v>
      </c>
      <c r="B2" s="13" t="s">
        <v>81</v>
      </c>
      <c r="C2" s="14">
        <v>43775.684027777781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85</v>
      </c>
      <c r="J2" s="15" t="s">
        <v>87</v>
      </c>
      <c r="K2" s="15" t="s">
        <v>88</v>
      </c>
      <c r="L2" s="13" t="s">
        <v>89</v>
      </c>
      <c r="M2" s="15" t="s">
        <v>90</v>
      </c>
      <c r="N2" s="13" t="s">
        <v>91</v>
      </c>
      <c r="O2" s="15"/>
      <c r="P2" s="15"/>
      <c r="Q2" s="15" t="s">
        <v>92</v>
      </c>
      <c r="R2" s="13" t="s">
        <v>93</v>
      </c>
      <c r="S2" s="13" t="s">
        <v>94</v>
      </c>
      <c r="T2" s="13" t="s">
        <v>95</v>
      </c>
      <c r="U2" s="14">
        <v>40725</v>
      </c>
      <c r="V2" s="14"/>
      <c r="W2" s="15" t="s">
        <v>342</v>
      </c>
      <c r="X2" s="13" t="s">
        <v>343</v>
      </c>
      <c r="Y2" s="15" t="str">
        <f>VLOOKUP(X2,'Axe 2 Règles de gestion'!$D$2:$F$85,3, FALSE)</f>
        <v>Rémunération : L'agent perçoit l'intégralité de sa rémunération.</v>
      </c>
      <c r="Z2" s="13" t="s">
        <v>345</v>
      </c>
      <c r="AA2" s="15" t="str">
        <f>VLOOKUP(Z2,'Axe 2 Règles de gestion'!$D$2:$F$85,3, FALSE)</f>
        <v>Carrière : L'agent conserve ses droits à l'avancement d'échelon et à l'avancement de grade en totalité. La durée du congé est prise en compte comme service effectif.</v>
      </c>
      <c r="AB2" s="13" t="s">
        <v>347</v>
      </c>
      <c r="AC2" s="15" t="str">
        <f>VLOOKUP(AB2,'Axe 2 Règles de gestion'!$D$2:$F$85,3, FALSE)</f>
        <v>Retraite : Le congé est considéré comme une période d'activité pour la retraite.</v>
      </c>
      <c r="AD2" s="13"/>
      <c r="AE2" s="15"/>
    </row>
    <row r="3" spans="1:31" ht="43.5" x14ac:dyDescent="0.35">
      <c r="A3" s="13" t="s">
        <v>80</v>
      </c>
      <c r="B3" s="13" t="s">
        <v>81</v>
      </c>
      <c r="C3" s="14">
        <v>43756.474305555559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85</v>
      </c>
      <c r="J3" s="15" t="s">
        <v>87</v>
      </c>
      <c r="K3" s="15" t="s">
        <v>88</v>
      </c>
      <c r="L3" s="13" t="s">
        <v>125</v>
      </c>
      <c r="M3" s="15" t="s">
        <v>126</v>
      </c>
      <c r="N3" s="13" t="s">
        <v>127</v>
      </c>
      <c r="O3" s="15"/>
      <c r="P3" s="15"/>
      <c r="Q3" s="15" t="s">
        <v>92</v>
      </c>
      <c r="R3" s="13" t="s">
        <v>93</v>
      </c>
      <c r="S3" s="13" t="s">
        <v>94</v>
      </c>
      <c r="T3" s="13" t="s">
        <v>95</v>
      </c>
      <c r="U3" s="14">
        <v>40725</v>
      </c>
      <c r="V3" s="14"/>
      <c r="W3" s="15"/>
      <c r="X3" s="13"/>
      <c r="Y3" s="15"/>
      <c r="Z3" s="13"/>
      <c r="AA3" s="15"/>
      <c r="AB3" s="13"/>
      <c r="AC3" s="15"/>
      <c r="AD3" s="13"/>
      <c r="AE3" s="15"/>
    </row>
    <row r="4" spans="1:31" ht="43.5" x14ac:dyDescent="0.35">
      <c r="A4" s="13" t="s">
        <v>80</v>
      </c>
      <c r="B4" s="13" t="s">
        <v>81</v>
      </c>
      <c r="C4" s="14">
        <v>43756.684027777781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85</v>
      </c>
      <c r="J4" s="15" t="s">
        <v>87</v>
      </c>
      <c r="K4" s="15" t="s">
        <v>88</v>
      </c>
      <c r="L4" s="13" t="s">
        <v>89</v>
      </c>
      <c r="M4" s="15" t="s">
        <v>90</v>
      </c>
      <c r="N4" s="13" t="s">
        <v>91</v>
      </c>
      <c r="O4" s="15"/>
      <c r="P4" s="15"/>
      <c r="Q4" s="15" t="s">
        <v>129</v>
      </c>
      <c r="R4" s="13" t="s">
        <v>130</v>
      </c>
      <c r="S4" s="13" t="s">
        <v>94</v>
      </c>
      <c r="T4" s="13" t="s">
        <v>131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</row>
    <row r="5" spans="1:31" ht="43.5" x14ac:dyDescent="0.35">
      <c r="A5" s="13" t="s">
        <v>80</v>
      </c>
      <c r="B5" s="13" t="s">
        <v>81</v>
      </c>
      <c r="C5" s="14">
        <v>43756.475694444445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85</v>
      </c>
      <c r="J5" s="15" t="s">
        <v>87</v>
      </c>
      <c r="K5" s="15" t="s">
        <v>88</v>
      </c>
      <c r="L5" s="13" t="s">
        <v>125</v>
      </c>
      <c r="M5" s="15" t="s">
        <v>126</v>
      </c>
      <c r="N5" s="13" t="s">
        <v>127</v>
      </c>
      <c r="O5" s="15"/>
      <c r="P5" s="15"/>
      <c r="Q5" s="15" t="s">
        <v>129</v>
      </c>
      <c r="R5" s="13" t="s">
        <v>130</v>
      </c>
      <c r="S5" s="13" t="s">
        <v>94</v>
      </c>
      <c r="T5" s="13" t="s">
        <v>131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</row>
    <row r="6" spans="1:31" ht="58" x14ac:dyDescent="0.35">
      <c r="A6" s="13" t="s">
        <v>80</v>
      </c>
      <c r="B6" s="13" t="s">
        <v>81</v>
      </c>
      <c r="C6" s="14">
        <v>43851.472916666666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85</v>
      </c>
      <c r="J6" s="15" t="s">
        <v>87</v>
      </c>
      <c r="K6" s="15" t="s">
        <v>88</v>
      </c>
      <c r="L6" s="13" t="s">
        <v>89</v>
      </c>
      <c r="M6" s="15" t="s">
        <v>90</v>
      </c>
      <c r="N6" s="13" t="s">
        <v>91</v>
      </c>
      <c r="O6" s="15"/>
      <c r="P6" s="15"/>
      <c r="Q6" s="15" t="s">
        <v>132</v>
      </c>
      <c r="R6" s="13" t="s">
        <v>133</v>
      </c>
      <c r="S6" s="13" t="s">
        <v>94</v>
      </c>
      <c r="T6" s="13" t="s">
        <v>95</v>
      </c>
      <c r="U6" s="14">
        <v>40725</v>
      </c>
      <c r="V6" s="14"/>
      <c r="W6" s="15" t="s">
        <v>349</v>
      </c>
      <c r="X6" s="13" t="s">
        <v>343</v>
      </c>
      <c r="Y6" s="15" t="str">
        <f>VLOOKUP(X6,'Axe 2 Règles de gestion'!$D$2:$F$85,3, FALSE)</f>
        <v>Rémunération : L'agent perçoit l'intégralité de sa rémunération.</v>
      </c>
      <c r="Z6" s="13" t="s">
        <v>350</v>
      </c>
      <c r="AA6" s="15" t="str">
        <f>VLOOKUP(Z6,'Axe 2 Règles de gestion'!$D$2:$F$85,3, FALSE)</f>
        <v>Carrière : La durée du congé est prise en compte comme service effectif.</v>
      </c>
      <c r="AB6" s="13" t="s">
        <v>347</v>
      </c>
      <c r="AC6" s="15" t="str">
        <f>VLOOKUP(AB6,'Axe 2 Règles de gestion'!$D$2:$F$85,3, FALSE)</f>
        <v>Retraite : Le congé est considéré comme une période d'activité pour la retraite.</v>
      </c>
      <c r="AD6" s="13"/>
      <c r="AE6" s="15"/>
    </row>
    <row r="7" spans="1:31" ht="43.5" x14ac:dyDescent="0.35">
      <c r="A7" s="13" t="s">
        <v>80</v>
      </c>
      <c r="B7" s="13" t="s">
        <v>81</v>
      </c>
      <c r="C7" s="14">
        <v>43851.473611111112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85</v>
      </c>
      <c r="J7" s="15" t="s">
        <v>87</v>
      </c>
      <c r="K7" s="15" t="s">
        <v>88</v>
      </c>
      <c r="L7" s="13" t="s">
        <v>125</v>
      </c>
      <c r="M7" s="15" t="s">
        <v>126</v>
      </c>
      <c r="N7" s="13" t="s">
        <v>127</v>
      </c>
      <c r="O7" s="15"/>
      <c r="P7" s="15"/>
      <c r="Q7" s="15" t="s">
        <v>132</v>
      </c>
      <c r="R7" s="13" t="s">
        <v>133</v>
      </c>
      <c r="S7" s="13" t="s">
        <v>94</v>
      </c>
      <c r="T7" s="13" t="s">
        <v>95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</row>
    <row r="8" spans="1:31" s="22" customFormat="1" ht="87" x14ac:dyDescent="0.35">
      <c r="A8" s="19" t="s">
        <v>147</v>
      </c>
      <c r="B8" s="19" t="s">
        <v>148</v>
      </c>
      <c r="C8" s="20">
        <v>45973.646527777775</v>
      </c>
      <c r="D8" s="19" t="s">
        <v>82</v>
      </c>
      <c r="E8" s="21" t="s">
        <v>83</v>
      </c>
      <c r="F8" s="19" t="s">
        <v>84</v>
      </c>
      <c r="G8" s="21" t="s">
        <v>85</v>
      </c>
      <c r="H8" s="19" t="s">
        <v>86</v>
      </c>
      <c r="I8" s="21" t="s">
        <v>85</v>
      </c>
      <c r="J8" s="21" t="s">
        <v>87</v>
      </c>
      <c r="K8" s="21" t="s">
        <v>88</v>
      </c>
      <c r="L8" s="19" t="s">
        <v>89</v>
      </c>
      <c r="M8" s="21" t="s">
        <v>90</v>
      </c>
      <c r="N8" s="19" t="s">
        <v>91</v>
      </c>
      <c r="O8" s="21"/>
      <c r="P8" s="21"/>
      <c r="Q8" s="21" t="s">
        <v>149</v>
      </c>
      <c r="R8" s="19" t="s">
        <v>150</v>
      </c>
      <c r="S8" s="19" t="s">
        <v>94</v>
      </c>
      <c r="T8" s="19" t="s">
        <v>95</v>
      </c>
      <c r="U8" s="20">
        <v>40725</v>
      </c>
      <c r="V8" s="20"/>
      <c r="W8" s="21" t="s">
        <v>352</v>
      </c>
      <c r="X8" s="19" t="s">
        <v>343</v>
      </c>
      <c r="Y8" s="21" t="str">
        <f>VLOOKUP(X8,'Axe 2 Règles de gestion'!$D$2:$F$85,3, FALSE)</f>
        <v>Rémunération : L'agent perçoit l'intégralité de sa rémunération.</v>
      </c>
      <c r="Z8" s="19" t="s">
        <v>353</v>
      </c>
      <c r="AA8" s="21" t="str">
        <f>VLOOKUP(Z8,'Axe 2 Règles de gestion'!$D$2:$F$85,3, FALSE)</f>
        <v>Carrière : L'agent conserve ses droits à l'avancement d'échelon en totalité. La durée du congé est prise en compte comme service effectif.</v>
      </c>
      <c r="AB8" s="19" t="s">
        <v>347</v>
      </c>
      <c r="AC8" s="21" t="str">
        <f>VLOOKUP(AB8,'Axe 2 Règles de gestion'!$D$2:$F$85,3, FALSE)</f>
        <v>Retraite : Le congé est considéré comme une période d'activité pour la retraite.</v>
      </c>
      <c r="AD8" s="19" t="s">
        <v>155</v>
      </c>
      <c r="AE8" s="21"/>
    </row>
    <row r="9" spans="1:31" ht="43.5" x14ac:dyDescent="0.35">
      <c r="A9" s="13" t="s">
        <v>80</v>
      </c>
      <c r="B9" s="13" t="s">
        <v>81</v>
      </c>
      <c r="C9" s="14">
        <v>43756.476388888892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85</v>
      </c>
      <c r="J9" s="15" t="s">
        <v>87</v>
      </c>
      <c r="K9" s="15" t="s">
        <v>88</v>
      </c>
      <c r="L9" s="13" t="s">
        <v>125</v>
      </c>
      <c r="M9" s="15" t="s">
        <v>126</v>
      </c>
      <c r="N9" s="13" t="s">
        <v>127</v>
      </c>
      <c r="O9" s="15"/>
      <c r="P9" s="15"/>
      <c r="Q9" s="15" t="s">
        <v>149</v>
      </c>
      <c r="R9" s="13" t="s">
        <v>150</v>
      </c>
      <c r="S9" s="13" t="s">
        <v>94</v>
      </c>
      <c r="T9" s="13" t="s">
        <v>95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</row>
    <row r="10" spans="1:31" ht="58" x14ac:dyDescent="0.35">
      <c r="A10" s="13" t="s">
        <v>80</v>
      </c>
      <c r="B10" s="13" t="s">
        <v>81</v>
      </c>
      <c r="C10" s="14">
        <v>43775.683333333334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85</v>
      </c>
      <c r="J10" s="15" t="s">
        <v>87</v>
      </c>
      <c r="K10" s="15" t="s">
        <v>88</v>
      </c>
      <c r="L10" s="13" t="s">
        <v>89</v>
      </c>
      <c r="M10" s="15" t="s">
        <v>90</v>
      </c>
      <c r="N10" s="13" t="s">
        <v>91</v>
      </c>
      <c r="O10" s="15"/>
      <c r="P10" s="15"/>
      <c r="Q10" s="15" t="s">
        <v>156</v>
      </c>
      <c r="R10" s="13" t="s">
        <v>157</v>
      </c>
      <c r="S10" s="13" t="s">
        <v>94</v>
      </c>
      <c r="T10" s="13" t="s">
        <v>95</v>
      </c>
      <c r="U10" s="14">
        <v>40725</v>
      </c>
      <c r="V10" s="14"/>
      <c r="W10" s="15" t="s">
        <v>349</v>
      </c>
      <c r="X10" s="13" t="s">
        <v>343</v>
      </c>
      <c r="Y10" s="15" t="str">
        <f>VLOOKUP(X10,'Axe 2 Règles de gestion'!$D$2:$F$85,3, FALSE)</f>
        <v>Rémunération : L'agent perçoit l'intégralité de sa rémunération.</v>
      </c>
      <c r="Z10" s="13" t="s">
        <v>350</v>
      </c>
      <c r="AA10" s="15" t="str">
        <f>VLOOKUP(Z10,'Axe 2 Règles de gestion'!$D$2:$F$85,3, FALSE)</f>
        <v>Carrière : La durée du congé est prise en compte comme service effectif.</v>
      </c>
      <c r="AB10" s="13" t="s">
        <v>347</v>
      </c>
      <c r="AC10" s="15" t="str">
        <f>VLOOKUP(AB10,'Axe 2 Règles de gestion'!$D$2:$F$85,3, FALSE)</f>
        <v>Retraite : Le congé est considéré comme une période d'activité pour la retraite.</v>
      </c>
      <c r="AD10" s="13"/>
      <c r="AE10" s="15"/>
    </row>
    <row r="11" spans="1:31" ht="43.5" x14ac:dyDescent="0.35">
      <c r="A11" s="13" t="s">
        <v>80</v>
      </c>
      <c r="B11" s="13" t="s">
        <v>81</v>
      </c>
      <c r="C11" s="14">
        <v>43756.477777777778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85</v>
      </c>
      <c r="J11" s="15" t="s">
        <v>87</v>
      </c>
      <c r="K11" s="15" t="s">
        <v>88</v>
      </c>
      <c r="L11" s="13" t="s">
        <v>125</v>
      </c>
      <c r="M11" s="15" t="s">
        <v>126</v>
      </c>
      <c r="N11" s="13" t="s">
        <v>127</v>
      </c>
      <c r="O11" s="15"/>
      <c r="P11" s="15"/>
      <c r="Q11" s="15" t="s">
        <v>156</v>
      </c>
      <c r="R11" s="13" t="s">
        <v>157</v>
      </c>
      <c r="S11" s="13" t="s">
        <v>94</v>
      </c>
      <c r="T11" s="13" t="s">
        <v>95</v>
      </c>
      <c r="U11" s="14">
        <v>40725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</row>
    <row r="12" spans="1:31" ht="43.5" x14ac:dyDescent="0.35">
      <c r="A12" s="13" t="s">
        <v>80</v>
      </c>
      <c r="B12" s="13" t="s">
        <v>81</v>
      </c>
      <c r="C12" s="14">
        <v>43756.685416666667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86</v>
      </c>
      <c r="I12" s="15" t="s">
        <v>85</v>
      </c>
      <c r="J12" s="15" t="s">
        <v>87</v>
      </c>
      <c r="K12" s="15" t="s">
        <v>88</v>
      </c>
      <c r="L12" s="13" t="s">
        <v>89</v>
      </c>
      <c r="M12" s="15" t="s">
        <v>90</v>
      </c>
      <c r="N12" s="13" t="s">
        <v>91</v>
      </c>
      <c r="O12" s="15"/>
      <c r="P12" s="15"/>
      <c r="Q12" s="15" t="s">
        <v>160</v>
      </c>
      <c r="R12" s="13" t="s">
        <v>161</v>
      </c>
      <c r="S12" s="13" t="s">
        <v>162</v>
      </c>
      <c r="T12" s="13" t="s">
        <v>131</v>
      </c>
      <c r="U12" s="14">
        <v>40725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</row>
    <row r="13" spans="1:31" ht="43.5" x14ac:dyDescent="0.35">
      <c r="A13" s="13" t="s">
        <v>80</v>
      </c>
      <c r="B13" s="13" t="s">
        <v>81</v>
      </c>
      <c r="C13" s="14">
        <v>43756.478472222225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86</v>
      </c>
      <c r="I13" s="15" t="s">
        <v>85</v>
      </c>
      <c r="J13" s="15" t="s">
        <v>87</v>
      </c>
      <c r="K13" s="15" t="s">
        <v>88</v>
      </c>
      <c r="L13" s="13" t="s">
        <v>125</v>
      </c>
      <c r="M13" s="15" t="s">
        <v>126</v>
      </c>
      <c r="N13" s="13" t="s">
        <v>127</v>
      </c>
      <c r="O13" s="15"/>
      <c r="P13" s="15"/>
      <c r="Q13" s="15" t="s">
        <v>160</v>
      </c>
      <c r="R13" s="13" t="s">
        <v>161</v>
      </c>
      <c r="S13" s="13" t="s">
        <v>162</v>
      </c>
      <c r="T13" s="13" t="s">
        <v>131</v>
      </c>
      <c r="U13" s="14">
        <v>40725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</row>
    <row r="14" spans="1:31" ht="43.5" x14ac:dyDescent="0.35">
      <c r="A14" s="13" t="s">
        <v>80</v>
      </c>
      <c r="B14" s="13" t="s">
        <v>81</v>
      </c>
      <c r="C14" s="14">
        <v>43756.686805555553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86</v>
      </c>
      <c r="I14" s="15" t="s">
        <v>85</v>
      </c>
      <c r="J14" s="15" t="s">
        <v>87</v>
      </c>
      <c r="K14" s="15" t="s">
        <v>88</v>
      </c>
      <c r="L14" s="13" t="s">
        <v>89</v>
      </c>
      <c r="M14" s="15" t="s">
        <v>90</v>
      </c>
      <c r="N14" s="13" t="s">
        <v>91</v>
      </c>
      <c r="O14" s="15"/>
      <c r="P14" s="15"/>
      <c r="Q14" s="15" t="s">
        <v>163</v>
      </c>
      <c r="R14" s="13" t="s">
        <v>164</v>
      </c>
      <c r="S14" s="13" t="s">
        <v>162</v>
      </c>
      <c r="T14" s="13" t="s">
        <v>131</v>
      </c>
      <c r="U14" s="14">
        <v>40725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</row>
    <row r="15" spans="1:31" ht="43.5" x14ac:dyDescent="0.35">
      <c r="A15" s="13" t="s">
        <v>80</v>
      </c>
      <c r="B15" s="13" t="s">
        <v>81</v>
      </c>
      <c r="C15" s="14">
        <v>43756.480555555558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86</v>
      </c>
      <c r="I15" s="15" t="s">
        <v>85</v>
      </c>
      <c r="J15" s="15" t="s">
        <v>87</v>
      </c>
      <c r="K15" s="15" t="s">
        <v>88</v>
      </c>
      <c r="L15" s="13" t="s">
        <v>125</v>
      </c>
      <c r="M15" s="15" t="s">
        <v>126</v>
      </c>
      <c r="N15" s="13" t="s">
        <v>127</v>
      </c>
      <c r="O15" s="15"/>
      <c r="P15" s="15"/>
      <c r="Q15" s="15" t="s">
        <v>163</v>
      </c>
      <c r="R15" s="13" t="s">
        <v>164</v>
      </c>
      <c r="S15" s="13" t="s">
        <v>162</v>
      </c>
      <c r="T15" s="13" t="s">
        <v>131</v>
      </c>
      <c r="U15" s="14">
        <v>40725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</row>
    <row r="16" spans="1:31" ht="43.5" x14ac:dyDescent="0.35">
      <c r="A16" s="13" t="s">
        <v>80</v>
      </c>
      <c r="B16" s="13" t="s">
        <v>81</v>
      </c>
      <c r="C16" s="14">
        <v>43756.686805555553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86</v>
      </c>
      <c r="I16" s="15" t="s">
        <v>85</v>
      </c>
      <c r="J16" s="15" t="s">
        <v>87</v>
      </c>
      <c r="K16" s="15" t="s">
        <v>88</v>
      </c>
      <c r="L16" s="13" t="s">
        <v>89</v>
      </c>
      <c r="M16" s="15" t="s">
        <v>90</v>
      </c>
      <c r="N16" s="13" t="s">
        <v>91</v>
      </c>
      <c r="O16" s="15"/>
      <c r="P16" s="15"/>
      <c r="Q16" s="15" t="s">
        <v>165</v>
      </c>
      <c r="R16" s="13" t="s">
        <v>166</v>
      </c>
      <c r="S16" s="13" t="s">
        <v>162</v>
      </c>
      <c r="T16" s="13" t="s">
        <v>131</v>
      </c>
      <c r="U16" s="14">
        <v>40725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</row>
    <row r="17" spans="1:31" ht="43.5" x14ac:dyDescent="0.35">
      <c r="A17" s="13" t="s">
        <v>80</v>
      </c>
      <c r="B17" s="13" t="s">
        <v>81</v>
      </c>
      <c r="C17" s="14">
        <v>43756.479861111111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86</v>
      </c>
      <c r="I17" s="15" t="s">
        <v>85</v>
      </c>
      <c r="J17" s="15" t="s">
        <v>87</v>
      </c>
      <c r="K17" s="15" t="s">
        <v>88</v>
      </c>
      <c r="L17" s="13" t="s">
        <v>125</v>
      </c>
      <c r="M17" s="15" t="s">
        <v>126</v>
      </c>
      <c r="N17" s="13" t="s">
        <v>127</v>
      </c>
      <c r="O17" s="15"/>
      <c r="P17" s="15"/>
      <c r="Q17" s="15" t="s">
        <v>165</v>
      </c>
      <c r="R17" s="13" t="s">
        <v>166</v>
      </c>
      <c r="S17" s="13" t="s">
        <v>162</v>
      </c>
      <c r="T17" s="13" t="s">
        <v>131</v>
      </c>
      <c r="U17" s="14">
        <v>40725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</row>
    <row r="18" spans="1:31" ht="43.5" x14ac:dyDescent="0.35">
      <c r="A18" s="13" t="s">
        <v>80</v>
      </c>
      <c r="B18" s="13" t="s">
        <v>81</v>
      </c>
      <c r="C18" s="14">
        <v>43756.686805555553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86</v>
      </c>
      <c r="I18" s="15" t="s">
        <v>85</v>
      </c>
      <c r="J18" s="15" t="s">
        <v>87</v>
      </c>
      <c r="K18" s="15" t="s">
        <v>88</v>
      </c>
      <c r="L18" s="13" t="s">
        <v>89</v>
      </c>
      <c r="M18" s="15" t="s">
        <v>90</v>
      </c>
      <c r="N18" s="13" t="s">
        <v>91</v>
      </c>
      <c r="O18" s="15"/>
      <c r="P18" s="15"/>
      <c r="Q18" s="15" t="s">
        <v>167</v>
      </c>
      <c r="R18" s="13" t="s">
        <v>168</v>
      </c>
      <c r="S18" s="13" t="s">
        <v>162</v>
      </c>
      <c r="T18" s="13" t="s">
        <v>131</v>
      </c>
      <c r="U18" s="14">
        <v>40725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</row>
    <row r="19" spans="1:31" ht="43.5" x14ac:dyDescent="0.35">
      <c r="A19" s="13" t="s">
        <v>80</v>
      </c>
      <c r="B19" s="13" t="s">
        <v>81</v>
      </c>
      <c r="C19" s="14">
        <v>43756.479861111111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86</v>
      </c>
      <c r="I19" s="15" t="s">
        <v>85</v>
      </c>
      <c r="J19" s="15" t="s">
        <v>87</v>
      </c>
      <c r="K19" s="15" t="s">
        <v>88</v>
      </c>
      <c r="L19" s="13" t="s">
        <v>125</v>
      </c>
      <c r="M19" s="15" t="s">
        <v>126</v>
      </c>
      <c r="N19" s="13" t="s">
        <v>127</v>
      </c>
      <c r="O19" s="15"/>
      <c r="P19" s="15"/>
      <c r="Q19" s="15" t="s">
        <v>167</v>
      </c>
      <c r="R19" s="13" t="s">
        <v>168</v>
      </c>
      <c r="S19" s="13" t="s">
        <v>162</v>
      </c>
      <c r="T19" s="13" t="s">
        <v>131</v>
      </c>
      <c r="U19" s="14">
        <v>40725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</row>
    <row r="20" spans="1:31" ht="43.5" x14ac:dyDescent="0.35">
      <c r="A20" s="13" t="s">
        <v>80</v>
      </c>
      <c r="B20" s="13" t="s">
        <v>81</v>
      </c>
      <c r="C20" s="14">
        <v>43756.686805555553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86</v>
      </c>
      <c r="I20" s="15" t="s">
        <v>85</v>
      </c>
      <c r="J20" s="15" t="s">
        <v>87</v>
      </c>
      <c r="K20" s="15" t="s">
        <v>88</v>
      </c>
      <c r="L20" s="13" t="s">
        <v>89</v>
      </c>
      <c r="M20" s="15" t="s">
        <v>90</v>
      </c>
      <c r="N20" s="13" t="s">
        <v>91</v>
      </c>
      <c r="O20" s="15"/>
      <c r="P20" s="15"/>
      <c r="Q20" s="15" t="s">
        <v>169</v>
      </c>
      <c r="R20" s="13" t="s">
        <v>170</v>
      </c>
      <c r="S20" s="13" t="s">
        <v>162</v>
      </c>
      <c r="T20" s="13" t="s">
        <v>95</v>
      </c>
      <c r="U20" s="14">
        <v>40725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</row>
    <row r="21" spans="1:31" ht="43.5" x14ac:dyDescent="0.35">
      <c r="A21" s="13" t="s">
        <v>80</v>
      </c>
      <c r="B21" s="13" t="s">
        <v>81</v>
      </c>
      <c r="C21" s="14">
        <v>43756.479861111111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86</v>
      </c>
      <c r="I21" s="15" t="s">
        <v>85</v>
      </c>
      <c r="J21" s="15" t="s">
        <v>87</v>
      </c>
      <c r="K21" s="15" t="s">
        <v>88</v>
      </c>
      <c r="L21" s="13" t="s">
        <v>125</v>
      </c>
      <c r="M21" s="15" t="s">
        <v>126</v>
      </c>
      <c r="N21" s="13" t="s">
        <v>127</v>
      </c>
      <c r="O21" s="15"/>
      <c r="P21" s="15"/>
      <c r="Q21" s="15" t="s">
        <v>169</v>
      </c>
      <c r="R21" s="13" t="s">
        <v>170</v>
      </c>
      <c r="S21" s="13" t="s">
        <v>162</v>
      </c>
      <c r="T21" s="13" t="s">
        <v>95</v>
      </c>
      <c r="U21" s="14">
        <v>40725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</row>
    <row r="22" spans="1:31" ht="43.5" x14ac:dyDescent="0.35">
      <c r="A22" s="13" t="s">
        <v>80</v>
      </c>
      <c r="B22" s="13" t="s">
        <v>81</v>
      </c>
      <c r="C22" s="14">
        <v>43756.686805555553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86</v>
      </c>
      <c r="I22" s="15" t="s">
        <v>85</v>
      </c>
      <c r="J22" s="15" t="s">
        <v>87</v>
      </c>
      <c r="K22" s="15" t="s">
        <v>88</v>
      </c>
      <c r="L22" s="13" t="s">
        <v>89</v>
      </c>
      <c r="M22" s="15" t="s">
        <v>90</v>
      </c>
      <c r="N22" s="13" t="s">
        <v>91</v>
      </c>
      <c r="O22" s="15"/>
      <c r="P22" s="15"/>
      <c r="Q22" s="15" t="s">
        <v>172</v>
      </c>
      <c r="R22" s="13" t="s">
        <v>173</v>
      </c>
      <c r="S22" s="13" t="s">
        <v>162</v>
      </c>
      <c r="T22" s="13" t="s">
        <v>131</v>
      </c>
      <c r="U22" s="14">
        <v>40725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</row>
    <row r="23" spans="1:31" ht="43.5" x14ac:dyDescent="0.35">
      <c r="A23" s="13" t="s">
        <v>80</v>
      </c>
      <c r="B23" s="13" t="s">
        <v>81</v>
      </c>
      <c r="C23" s="14">
        <v>43756.480555555558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86</v>
      </c>
      <c r="I23" s="15" t="s">
        <v>85</v>
      </c>
      <c r="J23" s="15" t="s">
        <v>87</v>
      </c>
      <c r="K23" s="15" t="s">
        <v>88</v>
      </c>
      <c r="L23" s="13" t="s">
        <v>125</v>
      </c>
      <c r="M23" s="15" t="s">
        <v>126</v>
      </c>
      <c r="N23" s="13" t="s">
        <v>127</v>
      </c>
      <c r="O23" s="15"/>
      <c r="P23" s="15"/>
      <c r="Q23" s="15" t="s">
        <v>172</v>
      </c>
      <c r="R23" s="13" t="s">
        <v>173</v>
      </c>
      <c r="S23" s="13" t="s">
        <v>162</v>
      </c>
      <c r="T23" s="13" t="s">
        <v>131</v>
      </c>
      <c r="U23" s="14">
        <v>40725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</row>
    <row r="24" spans="1:31" s="22" customFormat="1" ht="43.5" x14ac:dyDescent="0.35">
      <c r="A24" s="19" t="s">
        <v>147</v>
      </c>
      <c r="B24" s="19" t="s">
        <v>148</v>
      </c>
      <c r="C24" s="20">
        <v>45995.467361111114</v>
      </c>
      <c r="D24" s="19" t="s">
        <v>82</v>
      </c>
      <c r="E24" s="21" t="s">
        <v>83</v>
      </c>
      <c r="F24" s="19" t="s">
        <v>84</v>
      </c>
      <c r="G24" s="21" t="s">
        <v>85</v>
      </c>
      <c r="H24" s="19" t="s">
        <v>86</v>
      </c>
      <c r="I24" s="21" t="s">
        <v>85</v>
      </c>
      <c r="J24" s="21" t="s">
        <v>87</v>
      </c>
      <c r="K24" s="21" t="s">
        <v>88</v>
      </c>
      <c r="L24" s="19" t="s">
        <v>89</v>
      </c>
      <c r="M24" s="21" t="s">
        <v>90</v>
      </c>
      <c r="N24" s="19" t="s">
        <v>91</v>
      </c>
      <c r="O24" s="21"/>
      <c r="P24" s="21"/>
      <c r="Q24" s="21" t="s">
        <v>174</v>
      </c>
      <c r="R24" s="19" t="s">
        <v>175</v>
      </c>
      <c r="S24" s="19" t="s">
        <v>162</v>
      </c>
      <c r="T24" s="19" t="s">
        <v>131</v>
      </c>
      <c r="U24" s="20">
        <v>40725</v>
      </c>
      <c r="V24" s="20">
        <v>45900</v>
      </c>
      <c r="W24" s="21"/>
      <c r="X24" s="19"/>
      <c r="Y24" s="21"/>
      <c r="Z24" s="19"/>
      <c r="AA24" s="21"/>
      <c r="AB24" s="19"/>
      <c r="AC24" s="21"/>
      <c r="AD24" s="19" t="s">
        <v>176</v>
      </c>
      <c r="AE24" s="21"/>
    </row>
    <row r="25" spans="1:31" s="22" customFormat="1" ht="43.5" x14ac:dyDescent="0.35">
      <c r="A25" s="19" t="s">
        <v>147</v>
      </c>
      <c r="B25" s="19" t="s">
        <v>81</v>
      </c>
      <c r="C25" s="20">
        <v>45995.467361111114</v>
      </c>
      <c r="D25" s="19" t="s">
        <v>82</v>
      </c>
      <c r="E25" s="21" t="s">
        <v>83</v>
      </c>
      <c r="F25" s="19" t="s">
        <v>84</v>
      </c>
      <c r="G25" s="21" t="s">
        <v>85</v>
      </c>
      <c r="H25" s="19" t="s">
        <v>86</v>
      </c>
      <c r="I25" s="21" t="s">
        <v>85</v>
      </c>
      <c r="J25" s="21" t="s">
        <v>87</v>
      </c>
      <c r="K25" s="21" t="s">
        <v>88</v>
      </c>
      <c r="L25" s="19" t="s">
        <v>89</v>
      </c>
      <c r="M25" s="21" t="s">
        <v>90</v>
      </c>
      <c r="N25" s="19" t="s">
        <v>91</v>
      </c>
      <c r="O25" s="21"/>
      <c r="P25" s="21"/>
      <c r="Q25" s="21" t="s">
        <v>174</v>
      </c>
      <c r="R25" s="19" t="s">
        <v>175</v>
      </c>
      <c r="S25" s="19" t="s">
        <v>162</v>
      </c>
      <c r="T25" s="19" t="s">
        <v>95</v>
      </c>
      <c r="U25" s="20">
        <v>45901</v>
      </c>
      <c r="V25" s="20"/>
      <c r="W25" s="21"/>
      <c r="X25" s="19"/>
      <c r="Y25" s="21"/>
      <c r="Z25" s="19"/>
      <c r="AA25" s="21"/>
      <c r="AB25" s="19"/>
      <c r="AC25" s="21"/>
      <c r="AD25" s="19" t="s">
        <v>176</v>
      </c>
      <c r="AE25" s="21"/>
    </row>
    <row r="26" spans="1:31" s="22" customFormat="1" ht="43.5" x14ac:dyDescent="0.35">
      <c r="A26" s="19" t="s">
        <v>147</v>
      </c>
      <c r="B26" s="19" t="s">
        <v>148</v>
      </c>
      <c r="C26" s="20">
        <v>45995.468055555553</v>
      </c>
      <c r="D26" s="19" t="s">
        <v>82</v>
      </c>
      <c r="E26" s="21" t="s">
        <v>83</v>
      </c>
      <c r="F26" s="19" t="s">
        <v>84</v>
      </c>
      <c r="G26" s="21" t="s">
        <v>85</v>
      </c>
      <c r="H26" s="19" t="s">
        <v>86</v>
      </c>
      <c r="I26" s="21" t="s">
        <v>85</v>
      </c>
      <c r="J26" s="21" t="s">
        <v>87</v>
      </c>
      <c r="K26" s="21" t="s">
        <v>88</v>
      </c>
      <c r="L26" s="19" t="s">
        <v>125</v>
      </c>
      <c r="M26" s="21" t="s">
        <v>126</v>
      </c>
      <c r="N26" s="19" t="s">
        <v>127</v>
      </c>
      <c r="O26" s="21"/>
      <c r="P26" s="21"/>
      <c r="Q26" s="21" t="s">
        <v>174</v>
      </c>
      <c r="R26" s="19" t="s">
        <v>175</v>
      </c>
      <c r="S26" s="19" t="s">
        <v>162</v>
      </c>
      <c r="T26" s="19" t="s">
        <v>131</v>
      </c>
      <c r="U26" s="20">
        <v>40725</v>
      </c>
      <c r="V26" s="20">
        <v>45900</v>
      </c>
      <c r="W26" s="21"/>
      <c r="X26" s="19"/>
      <c r="Y26" s="21"/>
      <c r="Z26" s="19"/>
      <c r="AA26" s="21"/>
      <c r="AB26" s="19"/>
      <c r="AC26" s="21"/>
      <c r="AD26" s="19" t="s">
        <v>176</v>
      </c>
      <c r="AE26" s="21"/>
    </row>
    <row r="27" spans="1:31" s="22" customFormat="1" ht="43.5" x14ac:dyDescent="0.35">
      <c r="A27" s="19" t="s">
        <v>147</v>
      </c>
      <c r="B27" s="19" t="s">
        <v>81</v>
      </c>
      <c r="C27" s="20">
        <v>45995.468055555553</v>
      </c>
      <c r="D27" s="19" t="s">
        <v>82</v>
      </c>
      <c r="E27" s="21" t="s">
        <v>83</v>
      </c>
      <c r="F27" s="19" t="s">
        <v>84</v>
      </c>
      <c r="G27" s="21" t="s">
        <v>85</v>
      </c>
      <c r="H27" s="19" t="s">
        <v>86</v>
      </c>
      <c r="I27" s="21" t="s">
        <v>85</v>
      </c>
      <c r="J27" s="21" t="s">
        <v>87</v>
      </c>
      <c r="K27" s="21" t="s">
        <v>88</v>
      </c>
      <c r="L27" s="19" t="s">
        <v>125</v>
      </c>
      <c r="M27" s="21" t="s">
        <v>126</v>
      </c>
      <c r="N27" s="19" t="s">
        <v>127</v>
      </c>
      <c r="O27" s="21"/>
      <c r="P27" s="21"/>
      <c r="Q27" s="21" t="s">
        <v>174</v>
      </c>
      <c r="R27" s="19" t="s">
        <v>175</v>
      </c>
      <c r="S27" s="19" t="s">
        <v>162</v>
      </c>
      <c r="T27" s="19" t="s">
        <v>95</v>
      </c>
      <c r="U27" s="20">
        <v>45901</v>
      </c>
      <c r="V27" s="20"/>
      <c r="W27" s="21"/>
      <c r="X27" s="19"/>
      <c r="Y27" s="21"/>
      <c r="Z27" s="19"/>
      <c r="AA27" s="21"/>
      <c r="AB27" s="19"/>
      <c r="AC27" s="21"/>
      <c r="AD27" s="19" t="s">
        <v>176</v>
      </c>
      <c r="AE27" s="21"/>
    </row>
    <row r="28" spans="1:31" ht="43.5" x14ac:dyDescent="0.35">
      <c r="A28" s="13" t="s">
        <v>80</v>
      </c>
      <c r="B28" s="13" t="s">
        <v>81</v>
      </c>
      <c r="C28" s="14">
        <v>43756.686805555553</v>
      </c>
      <c r="D28" s="13" t="s">
        <v>82</v>
      </c>
      <c r="E28" s="15" t="s">
        <v>83</v>
      </c>
      <c r="F28" s="13" t="s">
        <v>84</v>
      </c>
      <c r="G28" s="15" t="s">
        <v>85</v>
      </c>
      <c r="H28" s="13" t="s">
        <v>86</v>
      </c>
      <c r="I28" s="15" t="s">
        <v>85</v>
      </c>
      <c r="J28" s="15" t="s">
        <v>87</v>
      </c>
      <c r="K28" s="15" t="s">
        <v>88</v>
      </c>
      <c r="L28" s="13" t="s">
        <v>89</v>
      </c>
      <c r="M28" s="15" t="s">
        <v>90</v>
      </c>
      <c r="N28" s="13" t="s">
        <v>91</v>
      </c>
      <c r="O28" s="15"/>
      <c r="P28" s="15"/>
      <c r="Q28" s="15" t="s">
        <v>181</v>
      </c>
      <c r="R28" s="13" t="s">
        <v>182</v>
      </c>
      <c r="S28" s="13" t="s">
        <v>162</v>
      </c>
      <c r="T28" s="13" t="s">
        <v>131</v>
      </c>
      <c r="U28" s="14">
        <v>40725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</row>
    <row r="29" spans="1:31" ht="43.5" x14ac:dyDescent="0.35">
      <c r="A29" s="13" t="s">
        <v>80</v>
      </c>
      <c r="B29" s="13" t="s">
        <v>81</v>
      </c>
      <c r="C29" s="14">
        <v>43756.481249999997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86</v>
      </c>
      <c r="I29" s="15" t="s">
        <v>85</v>
      </c>
      <c r="J29" s="15" t="s">
        <v>87</v>
      </c>
      <c r="K29" s="15" t="s">
        <v>88</v>
      </c>
      <c r="L29" s="13" t="s">
        <v>125</v>
      </c>
      <c r="M29" s="15" t="s">
        <v>126</v>
      </c>
      <c r="N29" s="13" t="s">
        <v>127</v>
      </c>
      <c r="O29" s="15"/>
      <c r="P29" s="15"/>
      <c r="Q29" s="15" t="s">
        <v>181</v>
      </c>
      <c r="R29" s="13" t="s">
        <v>182</v>
      </c>
      <c r="S29" s="13" t="s">
        <v>162</v>
      </c>
      <c r="T29" s="13" t="s">
        <v>131</v>
      </c>
      <c r="U29" s="14">
        <v>40725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</row>
    <row r="30" spans="1:31" ht="87" x14ac:dyDescent="0.35">
      <c r="A30" s="13" t="s">
        <v>183</v>
      </c>
      <c r="B30" s="13" t="s">
        <v>81</v>
      </c>
      <c r="C30" s="14">
        <v>44959.53402777778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184</v>
      </c>
      <c r="I30" s="15" t="s">
        <v>185</v>
      </c>
      <c r="J30" s="15" t="s">
        <v>186</v>
      </c>
      <c r="K30" s="15" t="s">
        <v>187</v>
      </c>
      <c r="L30" s="13" t="s">
        <v>188</v>
      </c>
      <c r="M30" s="15" t="s">
        <v>189</v>
      </c>
      <c r="N30" s="13" t="s">
        <v>91</v>
      </c>
      <c r="O30" s="15"/>
      <c r="P30" s="15"/>
      <c r="Q30" s="15" t="s">
        <v>92</v>
      </c>
      <c r="R30" s="13" t="s">
        <v>93</v>
      </c>
      <c r="S30" s="13" t="s">
        <v>94</v>
      </c>
      <c r="T30" s="13" t="s">
        <v>95</v>
      </c>
      <c r="U30" s="14">
        <v>44767</v>
      </c>
      <c r="V30" s="14"/>
      <c r="W30" s="15" t="s">
        <v>342</v>
      </c>
      <c r="X30" s="13" t="s">
        <v>343</v>
      </c>
      <c r="Y30" s="15" t="str">
        <f>VLOOKUP(X30,'Axe 2 Règles de gestion'!$D$2:$F$85,3, FALSE)</f>
        <v>Rémunération : L'agent perçoit l'intégralité de sa rémunération.</v>
      </c>
      <c r="Z30" s="13" t="s">
        <v>345</v>
      </c>
      <c r="AA30" s="15" t="str">
        <f>VLOOKUP(Z30,'Axe 2 Règles de gestion'!$D$2:$F$85,3, FALSE)</f>
        <v>Carrière : L'agent conserve ses droits à l'avancement d'échelon et à l'avancement de grade en totalité. La durée du congé est prise en compte comme service effectif.</v>
      </c>
      <c r="AB30" s="13" t="s">
        <v>347</v>
      </c>
      <c r="AC30" s="15" t="str">
        <f>VLOOKUP(AB30,'Axe 2 Règles de gestion'!$D$2:$F$85,3, FALSE)</f>
        <v>Retraite : Le congé est considéré comme une période d'activité pour la retraite.</v>
      </c>
      <c r="AD30" s="13"/>
      <c r="AE30" s="15"/>
    </row>
    <row r="31" spans="1:31" ht="43.5" x14ac:dyDescent="0.35">
      <c r="A31" s="13" t="s">
        <v>183</v>
      </c>
      <c r="B31" s="13" t="s">
        <v>81</v>
      </c>
      <c r="C31" s="14">
        <v>44959.474999999999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184</v>
      </c>
      <c r="I31" s="15" t="s">
        <v>185</v>
      </c>
      <c r="J31" s="15" t="s">
        <v>186</v>
      </c>
      <c r="K31" s="15" t="s">
        <v>187</v>
      </c>
      <c r="L31" s="13" t="s">
        <v>193</v>
      </c>
      <c r="M31" s="15" t="s">
        <v>194</v>
      </c>
      <c r="N31" s="13" t="s">
        <v>127</v>
      </c>
      <c r="O31" s="15"/>
      <c r="P31" s="15"/>
      <c r="Q31" s="15" t="s">
        <v>92</v>
      </c>
      <c r="R31" s="13" t="s">
        <v>93</v>
      </c>
      <c r="S31" s="13" t="s">
        <v>94</v>
      </c>
      <c r="T31" s="13" t="s">
        <v>95</v>
      </c>
      <c r="U31" s="14">
        <v>44767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</row>
    <row r="32" spans="1:31" ht="43.5" x14ac:dyDescent="0.35">
      <c r="A32" s="13" t="s">
        <v>183</v>
      </c>
      <c r="B32" s="13" t="s">
        <v>81</v>
      </c>
      <c r="C32" s="14">
        <v>44959.499305555553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184</v>
      </c>
      <c r="I32" s="15" t="s">
        <v>185</v>
      </c>
      <c r="J32" s="15" t="s">
        <v>186</v>
      </c>
      <c r="K32" s="15" t="s">
        <v>187</v>
      </c>
      <c r="L32" s="13" t="s">
        <v>188</v>
      </c>
      <c r="M32" s="15" t="s">
        <v>189</v>
      </c>
      <c r="N32" s="13" t="s">
        <v>91</v>
      </c>
      <c r="O32" s="15"/>
      <c r="P32" s="15"/>
      <c r="Q32" s="15" t="s">
        <v>129</v>
      </c>
      <c r="R32" s="13" t="s">
        <v>130</v>
      </c>
      <c r="S32" s="13" t="s">
        <v>94</v>
      </c>
      <c r="T32" s="13" t="s">
        <v>131</v>
      </c>
      <c r="U32" s="14">
        <v>44767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</row>
    <row r="33" spans="1:31" ht="43.5" x14ac:dyDescent="0.35">
      <c r="A33" s="13" t="s">
        <v>183</v>
      </c>
      <c r="B33" s="13" t="s">
        <v>81</v>
      </c>
      <c r="C33" s="14">
        <v>44959.498611111114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184</v>
      </c>
      <c r="I33" s="15" t="s">
        <v>185</v>
      </c>
      <c r="J33" s="15" t="s">
        <v>186</v>
      </c>
      <c r="K33" s="15" t="s">
        <v>187</v>
      </c>
      <c r="L33" s="13" t="s">
        <v>193</v>
      </c>
      <c r="M33" s="15" t="s">
        <v>194</v>
      </c>
      <c r="N33" s="13" t="s">
        <v>127</v>
      </c>
      <c r="O33" s="15"/>
      <c r="P33" s="15"/>
      <c r="Q33" s="15" t="s">
        <v>129</v>
      </c>
      <c r="R33" s="13" t="s">
        <v>130</v>
      </c>
      <c r="S33" s="13" t="s">
        <v>94</v>
      </c>
      <c r="T33" s="13" t="s">
        <v>131</v>
      </c>
      <c r="U33" s="14">
        <v>44767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</row>
    <row r="34" spans="1:31" ht="58" x14ac:dyDescent="0.35">
      <c r="A34" s="13" t="s">
        <v>183</v>
      </c>
      <c r="B34" s="13" t="s">
        <v>81</v>
      </c>
      <c r="C34" s="14">
        <v>44959.53402777778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184</v>
      </c>
      <c r="I34" s="15" t="s">
        <v>185</v>
      </c>
      <c r="J34" s="15" t="s">
        <v>186</v>
      </c>
      <c r="K34" s="15" t="s">
        <v>187</v>
      </c>
      <c r="L34" s="13" t="s">
        <v>188</v>
      </c>
      <c r="M34" s="15" t="s">
        <v>189</v>
      </c>
      <c r="N34" s="13" t="s">
        <v>91</v>
      </c>
      <c r="O34" s="15"/>
      <c r="P34" s="15"/>
      <c r="Q34" s="15" t="s">
        <v>132</v>
      </c>
      <c r="R34" s="13" t="s">
        <v>133</v>
      </c>
      <c r="S34" s="13" t="s">
        <v>94</v>
      </c>
      <c r="T34" s="13" t="s">
        <v>95</v>
      </c>
      <c r="U34" s="14">
        <v>44767</v>
      </c>
      <c r="V34" s="14"/>
      <c r="W34" s="15" t="s">
        <v>349</v>
      </c>
      <c r="X34" s="13" t="s">
        <v>343</v>
      </c>
      <c r="Y34" s="15" t="str">
        <f>VLOOKUP(X34,'Axe 2 Règles de gestion'!$D$2:$F$85,3, FALSE)</f>
        <v>Rémunération : L'agent perçoit l'intégralité de sa rémunération.</v>
      </c>
      <c r="Z34" s="13" t="s">
        <v>350</v>
      </c>
      <c r="AA34" s="15" t="str">
        <f>VLOOKUP(Z34,'Axe 2 Règles de gestion'!$D$2:$F$85,3, FALSE)</f>
        <v>Carrière : La durée du congé est prise en compte comme service effectif.</v>
      </c>
      <c r="AB34" s="13" t="s">
        <v>347</v>
      </c>
      <c r="AC34" s="15" t="str">
        <f>VLOOKUP(AB34,'Axe 2 Règles de gestion'!$D$2:$F$85,3, FALSE)</f>
        <v>Retraite : Le congé est considéré comme une période d'activité pour la retraite.</v>
      </c>
      <c r="AD34" s="13"/>
      <c r="AE34" s="15"/>
    </row>
    <row r="35" spans="1:31" ht="43.5" x14ac:dyDescent="0.35">
      <c r="A35" s="13" t="s">
        <v>183</v>
      </c>
      <c r="B35" s="13" t="s">
        <v>81</v>
      </c>
      <c r="C35" s="14">
        <v>44959.476388888892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184</v>
      </c>
      <c r="I35" s="15" t="s">
        <v>185</v>
      </c>
      <c r="J35" s="15" t="s">
        <v>186</v>
      </c>
      <c r="K35" s="15" t="s">
        <v>187</v>
      </c>
      <c r="L35" s="13" t="s">
        <v>193</v>
      </c>
      <c r="M35" s="15" t="s">
        <v>194</v>
      </c>
      <c r="N35" s="13" t="s">
        <v>127</v>
      </c>
      <c r="O35" s="15"/>
      <c r="P35" s="15"/>
      <c r="Q35" s="15" t="s">
        <v>132</v>
      </c>
      <c r="R35" s="13" t="s">
        <v>133</v>
      </c>
      <c r="S35" s="13" t="s">
        <v>94</v>
      </c>
      <c r="T35" s="13" t="s">
        <v>95</v>
      </c>
      <c r="U35" s="14">
        <v>44767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</row>
    <row r="36" spans="1:31" s="22" customFormat="1" ht="87" x14ac:dyDescent="0.35">
      <c r="A36" s="19" t="s">
        <v>147</v>
      </c>
      <c r="B36" s="19" t="s">
        <v>148</v>
      </c>
      <c r="C36" s="20">
        <v>45973.649305555555</v>
      </c>
      <c r="D36" s="19" t="s">
        <v>82</v>
      </c>
      <c r="E36" s="21" t="s">
        <v>83</v>
      </c>
      <c r="F36" s="19" t="s">
        <v>84</v>
      </c>
      <c r="G36" s="21" t="s">
        <v>85</v>
      </c>
      <c r="H36" s="19" t="s">
        <v>184</v>
      </c>
      <c r="I36" s="21" t="s">
        <v>185</v>
      </c>
      <c r="J36" s="21" t="s">
        <v>186</v>
      </c>
      <c r="K36" s="21" t="s">
        <v>187</v>
      </c>
      <c r="L36" s="19" t="s">
        <v>188</v>
      </c>
      <c r="M36" s="21" t="s">
        <v>189</v>
      </c>
      <c r="N36" s="19" t="s">
        <v>91</v>
      </c>
      <c r="O36" s="21"/>
      <c r="P36" s="21"/>
      <c r="Q36" s="21" t="s">
        <v>149</v>
      </c>
      <c r="R36" s="19" t="s">
        <v>150</v>
      </c>
      <c r="S36" s="19" t="s">
        <v>94</v>
      </c>
      <c r="T36" s="19" t="s">
        <v>95</v>
      </c>
      <c r="U36" s="20">
        <v>44767</v>
      </c>
      <c r="V36" s="20"/>
      <c r="W36" s="21" t="s">
        <v>352</v>
      </c>
      <c r="X36" s="19" t="s">
        <v>343</v>
      </c>
      <c r="Y36" s="21" t="str">
        <f>VLOOKUP(X36,'Axe 2 Règles de gestion'!$D$2:$F$85,3, FALSE)</f>
        <v>Rémunération : L'agent perçoit l'intégralité de sa rémunération.</v>
      </c>
      <c r="Z36" s="19" t="s">
        <v>353</v>
      </c>
      <c r="AA36" s="21" t="str">
        <f>VLOOKUP(Z36,'Axe 2 Règles de gestion'!$D$2:$F$85,3, FALSE)</f>
        <v>Carrière : L'agent conserve ses droits à l'avancement d'échelon en totalité. La durée du congé est prise en compte comme service effectif.</v>
      </c>
      <c r="AB36" s="19" t="s">
        <v>347</v>
      </c>
      <c r="AC36" s="21" t="str">
        <f>VLOOKUP(AB36,'Axe 2 Règles de gestion'!$D$2:$F$85,3, FALSE)</f>
        <v>Retraite : Le congé est considéré comme une période d'activité pour la retraite.</v>
      </c>
      <c r="AD36" s="19" t="s">
        <v>155</v>
      </c>
      <c r="AE36" s="21"/>
    </row>
    <row r="37" spans="1:31" ht="43.5" x14ac:dyDescent="0.35">
      <c r="A37" s="13" t="s">
        <v>183</v>
      </c>
      <c r="B37" s="13" t="s">
        <v>81</v>
      </c>
      <c r="C37" s="14">
        <v>44959.497916666667</v>
      </c>
      <c r="D37" s="13" t="s">
        <v>82</v>
      </c>
      <c r="E37" s="15" t="s">
        <v>83</v>
      </c>
      <c r="F37" s="13" t="s">
        <v>84</v>
      </c>
      <c r="G37" s="15" t="s">
        <v>85</v>
      </c>
      <c r="H37" s="13" t="s">
        <v>184</v>
      </c>
      <c r="I37" s="15" t="s">
        <v>185</v>
      </c>
      <c r="J37" s="15" t="s">
        <v>186</v>
      </c>
      <c r="K37" s="15" t="s">
        <v>187</v>
      </c>
      <c r="L37" s="13" t="s">
        <v>193</v>
      </c>
      <c r="M37" s="15" t="s">
        <v>194</v>
      </c>
      <c r="N37" s="13" t="s">
        <v>127</v>
      </c>
      <c r="O37" s="15"/>
      <c r="P37" s="15"/>
      <c r="Q37" s="15" t="s">
        <v>149</v>
      </c>
      <c r="R37" s="13" t="s">
        <v>150</v>
      </c>
      <c r="S37" s="13" t="s">
        <v>94</v>
      </c>
      <c r="T37" s="13" t="s">
        <v>95</v>
      </c>
      <c r="U37" s="14">
        <v>44767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</row>
    <row r="38" spans="1:31" ht="58" x14ac:dyDescent="0.35">
      <c r="A38" s="13" t="s">
        <v>183</v>
      </c>
      <c r="B38" s="13" t="s">
        <v>81</v>
      </c>
      <c r="C38" s="14">
        <v>44959.534722222219</v>
      </c>
      <c r="D38" s="13" t="s">
        <v>82</v>
      </c>
      <c r="E38" s="15" t="s">
        <v>83</v>
      </c>
      <c r="F38" s="13" t="s">
        <v>84</v>
      </c>
      <c r="G38" s="15" t="s">
        <v>85</v>
      </c>
      <c r="H38" s="13" t="s">
        <v>184</v>
      </c>
      <c r="I38" s="15" t="s">
        <v>185</v>
      </c>
      <c r="J38" s="15" t="s">
        <v>186</v>
      </c>
      <c r="K38" s="15" t="s">
        <v>187</v>
      </c>
      <c r="L38" s="13" t="s">
        <v>188</v>
      </c>
      <c r="M38" s="15" t="s">
        <v>189</v>
      </c>
      <c r="N38" s="13" t="s">
        <v>91</v>
      </c>
      <c r="O38" s="15"/>
      <c r="P38" s="15"/>
      <c r="Q38" s="15" t="s">
        <v>156</v>
      </c>
      <c r="R38" s="13" t="s">
        <v>157</v>
      </c>
      <c r="S38" s="13" t="s">
        <v>94</v>
      </c>
      <c r="T38" s="13" t="s">
        <v>95</v>
      </c>
      <c r="U38" s="14">
        <v>44767</v>
      </c>
      <c r="V38" s="14"/>
      <c r="W38" s="15" t="s">
        <v>349</v>
      </c>
      <c r="X38" s="13" t="s">
        <v>343</v>
      </c>
      <c r="Y38" s="15" t="str">
        <f>VLOOKUP(X38,'Axe 2 Règles de gestion'!$D$2:$F$85,3, FALSE)</f>
        <v>Rémunération : L'agent perçoit l'intégralité de sa rémunération.</v>
      </c>
      <c r="Z38" s="13" t="s">
        <v>350</v>
      </c>
      <c r="AA38" s="15" t="str">
        <f>VLOOKUP(Z38,'Axe 2 Règles de gestion'!$D$2:$F$85,3, FALSE)</f>
        <v>Carrière : La durée du congé est prise en compte comme service effectif.</v>
      </c>
      <c r="AB38" s="13" t="s">
        <v>347</v>
      </c>
      <c r="AC38" s="15" t="str">
        <f>VLOOKUP(AB38,'Axe 2 Règles de gestion'!$D$2:$F$85,3, FALSE)</f>
        <v>Retraite : Le congé est considéré comme une période d'activité pour la retraite.</v>
      </c>
      <c r="AD38" s="13"/>
      <c r="AE38" s="15"/>
    </row>
    <row r="39" spans="1:31" ht="43.5" x14ac:dyDescent="0.35">
      <c r="A39" s="13" t="s">
        <v>183</v>
      </c>
      <c r="B39" s="13" t="s">
        <v>81</v>
      </c>
      <c r="C39" s="14">
        <v>44959.498611111114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184</v>
      </c>
      <c r="I39" s="15" t="s">
        <v>185</v>
      </c>
      <c r="J39" s="15" t="s">
        <v>186</v>
      </c>
      <c r="K39" s="15" t="s">
        <v>187</v>
      </c>
      <c r="L39" s="13" t="s">
        <v>193</v>
      </c>
      <c r="M39" s="15" t="s">
        <v>194</v>
      </c>
      <c r="N39" s="13" t="s">
        <v>127</v>
      </c>
      <c r="O39" s="15"/>
      <c r="P39" s="15"/>
      <c r="Q39" s="15" t="s">
        <v>156</v>
      </c>
      <c r="R39" s="13" t="s">
        <v>157</v>
      </c>
      <c r="S39" s="13" t="s">
        <v>94</v>
      </c>
      <c r="T39" s="13" t="s">
        <v>95</v>
      </c>
      <c r="U39" s="14">
        <v>44767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</row>
    <row r="40" spans="1:31" ht="43.5" x14ac:dyDescent="0.35">
      <c r="A40" s="13" t="s">
        <v>183</v>
      </c>
      <c r="B40" s="13" t="s">
        <v>81</v>
      </c>
      <c r="C40" s="14">
        <v>44959.535416666666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184</v>
      </c>
      <c r="I40" s="15" t="s">
        <v>185</v>
      </c>
      <c r="J40" s="15" t="s">
        <v>186</v>
      </c>
      <c r="K40" s="15" t="s">
        <v>187</v>
      </c>
      <c r="L40" s="13" t="s">
        <v>188</v>
      </c>
      <c r="M40" s="15" t="s">
        <v>189</v>
      </c>
      <c r="N40" s="13" t="s">
        <v>91</v>
      </c>
      <c r="O40" s="15"/>
      <c r="P40" s="15"/>
      <c r="Q40" s="15" t="s">
        <v>160</v>
      </c>
      <c r="R40" s="13" t="s">
        <v>161</v>
      </c>
      <c r="S40" s="13" t="s">
        <v>162</v>
      </c>
      <c r="T40" s="13" t="s">
        <v>131</v>
      </c>
      <c r="U40" s="14">
        <v>44767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</row>
    <row r="41" spans="1:31" ht="43.5" x14ac:dyDescent="0.35">
      <c r="A41" s="13" t="s">
        <v>183</v>
      </c>
      <c r="B41" s="13" t="s">
        <v>81</v>
      </c>
      <c r="C41" s="14">
        <v>44959.53402777778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184</v>
      </c>
      <c r="I41" s="15" t="s">
        <v>185</v>
      </c>
      <c r="J41" s="15" t="s">
        <v>186</v>
      </c>
      <c r="K41" s="15" t="s">
        <v>187</v>
      </c>
      <c r="L41" s="13" t="s">
        <v>193</v>
      </c>
      <c r="M41" s="15" t="s">
        <v>194</v>
      </c>
      <c r="N41" s="13" t="s">
        <v>127</v>
      </c>
      <c r="O41" s="15"/>
      <c r="P41" s="15"/>
      <c r="Q41" s="15" t="s">
        <v>160</v>
      </c>
      <c r="R41" s="13" t="s">
        <v>161</v>
      </c>
      <c r="S41" s="13" t="s">
        <v>162</v>
      </c>
      <c r="T41" s="13" t="s">
        <v>131</v>
      </c>
      <c r="U41" s="14">
        <v>44767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</row>
    <row r="42" spans="1:31" ht="43.5" x14ac:dyDescent="0.35">
      <c r="A42" s="13" t="s">
        <v>183</v>
      </c>
      <c r="B42" s="13" t="s">
        <v>81</v>
      </c>
      <c r="C42" s="14">
        <v>44959.535416666666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184</v>
      </c>
      <c r="I42" s="15" t="s">
        <v>185</v>
      </c>
      <c r="J42" s="15" t="s">
        <v>186</v>
      </c>
      <c r="K42" s="15" t="s">
        <v>187</v>
      </c>
      <c r="L42" s="13" t="s">
        <v>188</v>
      </c>
      <c r="M42" s="15" t="s">
        <v>189</v>
      </c>
      <c r="N42" s="13" t="s">
        <v>91</v>
      </c>
      <c r="O42" s="15"/>
      <c r="P42" s="15"/>
      <c r="Q42" s="15" t="s">
        <v>163</v>
      </c>
      <c r="R42" s="13" t="s">
        <v>164</v>
      </c>
      <c r="S42" s="13" t="s">
        <v>162</v>
      </c>
      <c r="T42" s="13" t="s">
        <v>131</v>
      </c>
      <c r="U42" s="14">
        <v>44767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</row>
    <row r="43" spans="1:31" ht="43.5" x14ac:dyDescent="0.35">
      <c r="A43" s="13" t="s">
        <v>183</v>
      </c>
      <c r="B43" s="13" t="s">
        <v>81</v>
      </c>
      <c r="C43" s="14">
        <v>44959.53402777778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184</v>
      </c>
      <c r="I43" s="15" t="s">
        <v>185</v>
      </c>
      <c r="J43" s="15" t="s">
        <v>186</v>
      </c>
      <c r="K43" s="15" t="s">
        <v>187</v>
      </c>
      <c r="L43" s="13" t="s">
        <v>193</v>
      </c>
      <c r="M43" s="15" t="s">
        <v>194</v>
      </c>
      <c r="N43" s="13" t="s">
        <v>127</v>
      </c>
      <c r="O43" s="15"/>
      <c r="P43" s="15"/>
      <c r="Q43" s="15" t="s">
        <v>163</v>
      </c>
      <c r="R43" s="13" t="s">
        <v>164</v>
      </c>
      <c r="S43" s="13" t="s">
        <v>162</v>
      </c>
      <c r="T43" s="13" t="s">
        <v>131</v>
      </c>
      <c r="U43" s="14">
        <v>44767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</row>
    <row r="44" spans="1:31" ht="43.5" x14ac:dyDescent="0.35">
      <c r="A44" s="13" t="s">
        <v>183</v>
      </c>
      <c r="B44" s="13" t="s">
        <v>81</v>
      </c>
      <c r="C44" s="14">
        <v>44959.537499999999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184</v>
      </c>
      <c r="I44" s="15" t="s">
        <v>185</v>
      </c>
      <c r="J44" s="15" t="s">
        <v>186</v>
      </c>
      <c r="K44" s="15" t="s">
        <v>187</v>
      </c>
      <c r="L44" s="13" t="s">
        <v>188</v>
      </c>
      <c r="M44" s="15" t="s">
        <v>189</v>
      </c>
      <c r="N44" s="13" t="s">
        <v>91</v>
      </c>
      <c r="O44" s="15"/>
      <c r="P44" s="15"/>
      <c r="Q44" s="15" t="s">
        <v>165</v>
      </c>
      <c r="R44" s="13" t="s">
        <v>166</v>
      </c>
      <c r="S44" s="13" t="s">
        <v>162</v>
      </c>
      <c r="T44" s="13" t="s">
        <v>131</v>
      </c>
      <c r="U44" s="14">
        <v>44767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</row>
    <row r="45" spans="1:31" ht="43.5" x14ac:dyDescent="0.35">
      <c r="A45" s="13" t="s">
        <v>183</v>
      </c>
      <c r="B45" s="13" t="s">
        <v>81</v>
      </c>
      <c r="C45" s="14">
        <v>44959.53402777778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184</v>
      </c>
      <c r="I45" s="15" t="s">
        <v>185</v>
      </c>
      <c r="J45" s="15" t="s">
        <v>186</v>
      </c>
      <c r="K45" s="15" t="s">
        <v>187</v>
      </c>
      <c r="L45" s="13" t="s">
        <v>193</v>
      </c>
      <c r="M45" s="15" t="s">
        <v>194</v>
      </c>
      <c r="N45" s="13" t="s">
        <v>127</v>
      </c>
      <c r="O45" s="15"/>
      <c r="P45" s="15"/>
      <c r="Q45" s="15" t="s">
        <v>165</v>
      </c>
      <c r="R45" s="13" t="s">
        <v>166</v>
      </c>
      <c r="S45" s="13" t="s">
        <v>162</v>
      </c>
      <c r="T45" s="13" t="s">
        <v>131</v>
      </c>
      <c r="U45" s="14">
        <v>44767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</row>
    <row r="46" spans="1:31" ht="43.5" x14ac:dyDescent="0.35">
      <c r="A46" s="13" t="s">
        <v>183</v>
      </c>
      <c r="B46" s="13" t="s">
        <v>81</v>
      </c>
      <c r="C46" s="14">
        <v>44959.537499999999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184</v>
      </c>
      <c r="I46" s="15" t="s">
        <v>185</v>
      </c>
      <c r="J46" s="15" t="s">
        <v>186</v>
      </c>
      <c r="K46" s="15" t="s">
        <v>187</v>
      </c>
      <c r="L46" s="13" t="s">
        <v>188</v>
      </c>
      <c r="M46" s="15" t="s">
        <v>189</v>
      </c>
      <c r="N46" s="13" t="s">
        <v>91</v>
      </c>
      <c r="O46" s="15"/>
      <c r="P46" s="15"/>
      <c r="Q46" s="15" t="s">
        <v>167</v>
      </c>
      <c r="R46" s="13" t="s">
        <v>168</v>
      </c>
      <c r="S46" s="13" t="s">
        <v>162</v>
      </c>
      <c r="T46" s="13" t="s">
        <v>131</v>
      </c>
      <c r="U46" s="14">
        <v>44767</v>
      </c>
      <c r="V46" s="14"/>
      <c r="W46" s="15"/>
      <c r="X46" s="13"/>
      <c r="Y46" s="15"/>
      <c r="Z46" s="13"/>
      <c r="AA46" s="15"/>
      <c r="AB46" s="13"/>
      <c r="AC46" s="15"/>
      <c r="AD46" s="13"/>
      <c r="AE46" s="15"/>
    </row>
    <row r="47" spans="1:31" ht="43.5" x14ac:dyDescent="0.35">
      <c r="A47" s="13" t="s">
        <v>183</v>
      </c>
      <c r="B47" s="13" t="s">
        <v>81</v>
      </c>
      <c r="C47" s="14">
        <v>44959.534722222219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184</v>
      </c>
      <c r="I47" s="15" t="s">
        <v>185</v>
      </c>
      <c r="J47" s="15" t="s">
        <v>186</v>
      </c>
      <c r="K47" s="15" t="s">
        <v>187</v>
      </c>
      <c r="L47" s="13" t="s">
        <v>193</v>
      </c>
      <c r="M47" s="15" t="s">
        <v>194</v>
      </c>
      <c r="N47" s="13" t="s">
        <v>127</v>
      </c>
      <c r="O47" s="15"/>
      <c r="P47" s="15"/>
      <c r="Q47" s="15" t="s">
        <v>167</v>
      </c>
      <c r="R47" s="13" t="s">
        <v>168</v>
      </c>
      <c r="S47" s="13" t="s">
        <v>162</v>
      </c>
      <c r="T47" s="13" t="s">
        <v>131</v>
      </c>
      <c r="U47" s="14">
        <v>44767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</row>
    <row r="48" spans="1:31" ht="43.5" x14ac:dyDescent="0.35">
      <c r="A48" s="13" t="s">
        <v>183</v>
      </c>
      <c r="B48" s="13" t="s">
        <v>81</v>
      </c>
      <c r="C48" s="14">
        <v>44959.538194444445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184</v>
      </c>
      <c r="I48" s="15" t="s">
        <v>185</v>
      </c>
      <c r="J48" s="15" t="s">
        <v>186</v>
      </c>
      <c r="K48" s="15" t="s">
        <v>187</v>
      </c>
      <c r="L48" s="13" t="s">
        <v>188</v>
      </c>
      <c r="M48" s="15" t="s">
        <v>189</v>
      </c>
      <c r="N48" s="13" t="s">
        <v>91</v>
      </c>
      <c r="O48" s="15"/>
      <c r="P48" s="15"/>
      <c r="Q48" s="15" t="s">
        <v>169</v>
      </c>
      <c r="R48" s="13" t="s">
        <v>170</v>
      </c>
      <c r="S48" s="13" t="s">
        <v>162</v>
      </c>
      <c r="T48" s="13" t="s">
        <v>131</v>
      </c>
      <c r="U48" s="14">
        <v>44767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</row>
    <row r="49" spans="1:31" ht="43.5" x14ac:dyDescent="0.35">
      <c r="A49" s="13" t="s">
        <v>183</v>
      </c>
      <c r="B49" s="13" t="s">
        <v>81</v>
      </c>
      <c r="C49" s="14">
        <v>44959.534722222219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184</v>
      </c>
      <c r="I49" s="15" t="s">
        <v>185</v>
      </c>
      <c r="J49" s="15" t="s">
        <v>186</v>
      </c>
      <c r="K49" s="15" t="s">
        <v>187</v>
      </c>
      <c r="L49" s="13" t="s">
        <v>193</v>
      </c>
      <c r="M49" s="15" t="s">
        <v>194</v>
      </c>
      <c r="N49" s="13" t="s">
        <v>127</v>
      </c>
      <c r="O49" s="15"/>
      <c r="P49" s="15"/>
      <c r="Q49" s="15" t="s">
        <v>169</v>
      </c>
      <c r="R49" s="13" t="s">
        <v>170</v>
      </c>
      <c r="S49" s="13" t="s">
        <v>162</v>
      </c>
      <c r="T49" s="13" t="s">
        <v>131</v>
      </c>
      <c r="U49" s="14">
        <v>44767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</row>
    <row r="50" spans="1:31" ht="43.5" x14ac:dyDescent="0.35">
      <c r="A50" s="13" t="s">
        <v>183</v>
      </c>
      <c r="B50" s="13" t="s">
        <v>81</v>
      </c>
      <c r="C50" s="14">
        <v>44959.538194444445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184</v>
      </c>
      <c r="I50" s="15" t="s">
        <v>185</v>
      </c>
      <c r="J50" s="15" t="s">
        <v>186</v>
      </c>
      <c r="K50" s="15" t="s">
        <v>187</v>
      </c>
      <c r="L50" s="13" t="s">
        <v>188</v>
      </c>
      <c r="M50" s="15" t="s">
        <v>189</v>
      </c>
      <c r="N50" s="13" t="s">
        <v>91</v>
      </c>
      <c r="O50" s="15"/>
      <c r="P50" s="15"/>
      <c r="Q50" s="15" t="s">
        <v>172</v>
      </c>
      <c r="R50" s="13" t="s">
        <v>173</v>
      </c>
      <c r="S50" s="13" t="s">
        <v>162</v>
      </c>
      <c r="T50" s="13" t="s">
        <v>131</v>
      </c>
      <c r="U50" s="14">
        <v>44767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</row>
    <row r="51" spans="1:31" ht="43.5" x14ac:dyDescent="0.35">
      <c r="A51" s="13" t="s">
        <v>183</v>
      </c>
      <c r="B51" s="13" t="s">
        <v>81</v>
      </c>
      <c r="C51" s="14">
        <v>44959.534722222219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184</v>
      </c>
      <c r="I51" s="15" t="s">
        <v>185</v>
      </c>
      <c r="J51" s="15" t="s">
        <v>186</v>
      </c>
      <c r="K51" s="15" t="s">
        <v>187</v>
      </c>
      <c r="L51" s="13" t="s">
        <v>193</v>
      </c>
      <c r="M51" s="15" t="s">
        <v>194</v>
      </c>
      <c r="N51" s="13" t="s">
        <v>127</v>
      </c>
      <c r="O51" s="15"/>
      <c r="P51" s="15"/>
      <c r="Q51" s="15" t="s">
        <v>172</v>
      </c>
      <c r="R51" s="13" t="s">
        <v>173</v>
      </c>
      <c r="S51" s="13" t="s">
        <v>162</v>
      </c>
      <c r="T51" s="13" t="s">
        <v>131</v>
      </c>
      <c r="U51" s="14">
        <v>44767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</row>
    <row r="52" spans="1:31" s="22" customFormat="1" ht="43.5" x14ac:dyDescent="0.35">
      <c r="A52" s="19" t="s">
        <v>147</v>
      </c>
      <c r="B52" s="19" t="s">
        <v>148</v>
      </c>
      <c r="C52" s="20">
        <v>45995.470138888886</v>
      </c>
      <c r="D52" s="19" t="s">
        <v>82</v>
      </c>
      <c r="E52" s="21" t="s">
        <v>83</v>
      </c>
      <c r="F52" s="19" t="s">
        <v>84</v>
      </c>
      <c r="G52" s="21" t="s">
        <v>85</v>
      </c>
      <c r="H52" s="19" t="s">
        <v>184</v>
      </c>
      <c r="I52" s="21" t="s">
        <v>185</v>
      </c>
      <c r="J52" s="21" t="s">
        <v>186</v>
      </c>
      <c r="K52" s="21" t="s">
        <v>187</v>
      </c>
      <c r="L52" s="19" t="s">
        <v>188</v>
      </c>
      <c r="M52" s="21" t="s">
        <v>189</v>
      </c>
      <c r="N52" s="19" t="s">
        <v>91</v>
      </c>
      <c r="O52" s="21"/>
      <c r="P52" s="21"/>
      <c r="Q52" s="21" t="s">
        <v>174</v>
      </c>
      <c r="R52" s="19" t="s">
        <v>175</v>
      </c>
      <c r="S52" s="19" t="s">
        <v>162</v>
      </c>
      <c r="T52" s="19" t="s">
        <v>131</v>
      </c>
      <c r="U52" s="20">
        <v>44767</v>
      </c>
      <c r="V52" s="20">
        <v>45900</v>
      </c>
      <c r="W52" s="21"/>
      <c r="X52" s="19"/>
      <c r="Y52" s="21"/>
      <c r="Z52" s="19"/>
      <c r="AA52" s="21"/>
      <c r="AB52" s="19"/>
      <c r="AC52" s="21"/>
      <c r="AD52" s="19" t="s">
        <v>176</v>
      </c>
      <c r="AE52" s="21"/>
    </row>
    <row r="53" spans="1:31" s="22" customFormat="1" ht="43.5" x14ac:dyDescent="0.35">
      <c r="A53" s="19" t="s">
        <v>147</v>
      </c>
      <c r="B53" s="19" t="s">
        <v>81</v>
      </c>
      <c r="C53" s="20">
        <v>45995.470138888886</v>
      </c>
      <c r="D53" s="19" t="s">
        <v>82</v>
      </c>
      <c r="E53" s="21" t="s">
        <v>83</v>
      </c>
      <c r="F53" s="19" t="s">
        <v>84</v>
      </c>
      <c r="G53" s="21" t="s">
        <v>85</v>
      </c>
      <c r="H53" s="19" t="s">
        <v>184</v>
      </c>
      <c r="I53" s="21" t="s">
        <v>185</v>
      </c>
      <c r="J53" s="21" t="s">
        <v>186</v>
      </c>
      <c r="K53" s="21" t="s">
        <v>187</v>
      </c>
      <c r="L53" s="19" t="s">
        <v>188</v>
      </c>
      <c r="M53" s="21" t="s">
        <v>189</v>
      </c>
      <c r="N53" s="19" t="s">
        <v>91</v>
      </c>
      <c r="O53" s="21"/>
      <c r="P53" s="21"/>
      <c r="Q53" s="21" t="s">
        <v>174</v>
      </c>
      <c r="R53" s="19" t="s">
        <v>175</v>
      </c>
      <c r="S53" s="19" t="s">
        <v>162</v>
      </c>
      <c r="T53" s="19" t="s">
        <v>95</v>
      </c>
      <c r="U53" s="20">
        <v>45901</v>
      </c>
      <c r="V53" s="20"/>
      <c r="W53" s="21"/>
      <c r="X53" s="19"/>
      <c r="Y53" s="21"/>
      <c r="Z53" s="19"/>
      <c r="AA53" s="21"/>
      <c r="AB53" s="19"/>
      <c r="AC53" s="21"/>
      <c r="AD53" s="19" t="s">
        <v>176</v>
      </c>
      <c r="AE53" s="21"/>
    </row>
    <row r="54" spans="1:31" s="22" customFormat="1" ht="43.5" x14ac:dyDescent="0.35">
      <c r="A54" s="19" t="s">
        <v>147</v>
      </c>
      <c r="B54" s="19" t="s">
        <v>148</v>
      </c>
      <c r="C54" s="20">
        <v>45995.470833333333</v>
      </c>
      <c r="D54" s="19" t="s">
        <v>82</v>
      </c>
      <c r="E54" s="21" t="s">
        <v>83</v>
      </c>
      <c r="F54" s="19" t="s">
        <v>84</v>
      </c>
      <c r="G54" s="21" t="s">
        <v>85</v>
      </c>
      <c r="H54" s="19" t="s">
        <v>184</v>
      </c>
      <c r="I54" s="21" t="s">
        <v>185</v>
      </c>
      <c r="J54" s="21" t="s">
        <v>186</v>
      </c>
      <c r="K54" s="21" t="s">
        <v>187</v>
      </c>
      <c r="L54" s="19" t="s">
        <v>193</v>
      </c>
      <c r="M54" s="21" t="s">
        <v>194</v>
      </c>
      <c r="N54" s="19" t="s">
        <v>127</v>
      </c>
      <c r="O54" s="21"/>
      <c r="P54" s="21"/>
      <c r="Q54" s="21" t="s">
        <v>174</v>
      </c>
      <c r="R54" s="19" t="s">
        <v>175</v>
      </c>
      <c r="S54" s="19" t="s">
        <v>162</v>
      </c>
      <c r="T54" s="19" t="s">
        <v>131</v>
      </c>
      <c r="U54" s="20">
        <v>44767</v>
      </c>
      <c r="V54" s="20">
        <v>45900</v>
      </c>
      <c r="W54" s="21"/>
      <c r="X54" s="19"/>
      <c r="Y54" s="21"/>
      <c r="Z54" s="19"/>
      <c r="AA54" s="21"/>
      <c r="AB54" s="19"/>
      <c r="AC54" s="21"/>
      <c r="AD54" s="19" t="s">
        <v>176</v>
      </c>
      <c r="AE54" s="21"/>
    </row>
    <row r="55" spans="1:31" s="22" customFormat="1" ht="43.5" x14ac:dyDescent="0.35">
      <c r="A55" s="19" t="s">
        <v>147</v>
      </c>
      <c r="B55" s="19" t="s">
        <v>81</v>
      </c>
      <c r="C55" s="20">
        <v>45995.470833333333</v>
      </c>
      <c r="D55" s="19" t="s">
        <v>82</v>
      </c>
      <c r="E55" s="21" t="s">
        <v>83</v>
      </c>
      <c r="F55" s="19" t="s">
        <v>84</v>
      </c>
      <c r="G55" s="21" t="s">
        <v>85</v>
      </c>
      <c r="H55" s="19" t="s">
        <v>184</v>
      </c>
      <c r="I55" s="21" t="s">
        <v>185</v>
      </c>
      <c r="J55" s="21" t="s">
        <v>186</v>
      </c>
      <c r="K55" s="21" t="s">
        <v>187</v>
      </c>
      <c r="L55" s="19" t="s">
        <v>193</v>
      </c>
      <c r="M55" s="21" t="s">
        <v>194</v>
      </c>
      <c r="N55" s="19" t="s">
        <v>127</v>
      </c>
      <c r="O55" s="21"/>
      <c r="P55" s="21"/>
      <c r="Q55" s="21" t="s">
        <v>174</v>
      </c>
      <c r="R55" s="19" t="s">
        <v>175</v>
      </c>
      <c r="S55" s="19" t="s">
        <v>162</v>
      </c>
      <c r="T55" s="19" t="s">
        <v>95</v>
      </c>
      <c r="U55" s="20">
        <v>45901</v>
      </c>
      <c r="V55" s="20"/>
      <c r="W55" s="21"/>
      <c r="X55" s="19"/>
      <c r="Y55" s="21"/>
      <c r="Z55" s="19"/>
      <c r="AA55" s="21"/>
      <c r="AB55" s="19"/>
      <c r="AC55" s="21"/>
      <c r="AD55" s="19" t="s">
        <v>176</v>
      </c>
      <c r="AE55" s="21"/>
    </row>
    <row r="56" spans="1:31" ht="43.5" x14ac:dyDescent="0.35">
      <c r="A56" s="13" t="s">
        <v>183</v>
      </c>
      <c r="B56" s="13" t="s">
        <v>81</v>
      </c>
      <c r="C56" s="14">
        <v>44959.538194444445</v>
      </c>
      <c r="D56" s="13" t="s">
        <v>82</v>
      </c>
      <c r="E56" s="15" t="s">
        <v>83</v>
      </c>
      <c r="F56" s="13" t="s">
        <v>84</v>
      </c>
      <c r="G56" s="15" t="s">
        <v>85</v>
      </c>
      <c r="H56" s="13" t="s">
        <v>184</v>
      </c>
      <c r="I56" s="15" t="s">
        <v>185</v>
      </c>
      <c r="J56" s="15" t="s">
        <v>186</v>
      </c>
      <c r="K56" s="15" t="s">
        <v>187</v>
      </c>
      <c r="L56" s="13" t="s">
        <v>188</v>
      </c>
      <c r="M56" s="15" t="s">
        <v>189</v>
      </c>
      <c r="N56" s="13" t="s">
        <v>91</v>
      </c>
      <c r="O56" s="15"/>
      <c r="P56" s="15"/>
      <c r="Q56" s="15" t="s">
        <v>181</v>
      </c>
      <c r="R56" s="13" t="s">
        <v>182</v>
      </c>
      <c r="S56" s="13" t="s">
        <v>162</v>
      </c>
      <c r="T56" s="13" t="s">
        <v>131</v>
      </c>
      <c r="U56" s="14">
        <v>44767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</row>
    <row r="57" spans="1:31" ht="43.5" x14ac:dyDescent="0.35">
      <c r="A57" s="13" t="s">
        <v>183</v>
      </c>
      <c r="B57" s="13" t="s">
        <v>81</v>
      </c>
      <c r="C57" s="14">
        <v>44959.535416666666</v>
      </c>
      <c r="D57" s="13" t="s">
        <v>82</v>
      </c>
      <c r="E57" s="15" t="s">
        <v>83</v>
      </c>
      <c r="F57" s="13" t="s">
        <v>84</v>
      </c>
      <c r="G57" s="15" t="s">
        <v>85</v>
      </c>
      <c r="H57" s="13" t="s">
        <v>184</v>
      </c>
      <c r="I57" s="15" t="s">
        <v>185</v>
      </c>
      <c r="J57" s="15" t="s">
        <v>186</v>
      </c>
      <c r="K57" s="15" t="s">
        <v>187</v>
      </c>
      <c r="L57" s="13" t="s">
        <v>193</v>
      </c>
      <c r="M57" s="15" t="s">
        <v>194</v>
      </c>
      <c r="N57" s="13" t="s">
        <v>127</v>
      </c>
      <c r="O57" s="15"/>
      <c r="P57" s="15"/>
      <c r="Q57" s="15" t="s">
        <v>181</v>
      </c>
      <c r="R57" s="13" t="s">
        <v>182</v>
      </c>
      <c r="S57" s="13" t="s">
        <v>162</v>
      </c>
      <c r="T57" s="13" t="s">
        <v>131</v>
      </c>
      <c r="U57" s="14">
        <v>44767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</row>
    <row r="58" spans="1:31" ht="29" x14ac:dyDescent="0.35">
      <c r="A58" s="13" t="s">
        <v>80</v>
      </c>
      <c r="B58" s="13" t="s">
        <v>81</v>
      </c>
      <c r="C58" s="14">
        <v>45069.478472222225</v>
      </c>
      <c r="D58" s="13" t="s">
        <v>205</v>
      </c>
      <c r="E58" s="15" t="s">
        <v>206</v>
      </c>
      <c r="F58" s="13" t="s">
        <v>207</v>
      </c>
      <c r="G58" s="15" t="s">
        <v>208</v>
      </c>
      <c r="H58" s="13" t="s">
        <v>209</v>
      </c>
      <c r="I58" s="15" t="s">
        <v>210</v>
      </c>
      <c r="J58" s="15" t="s">
        <v>211</v>
      </c>
      <c r="K58" s="15" t="s">
        <v>212</v>
      </c>
      <c r="L58" s="13" t="s">
        <v>213</v>
      </c>
      <c r="M58" s="15" t="s">
        <v>214</v>
      </c>
      <c r="N58" s="13" t="s">
        <v>91</v>
      </c>
      <c r="O58" s="15"/>
      <c r="P58" s="15"/>
      <c r="Q58" s="15" t="s">
        <v>92</v>
      </c>
      <c r="R58" s="13" t="s">
        <v>93</v>
      </c>
      <c r="S58" s="13" t="s">
        <v>94</v>
      </c>
      <c r="T58" s="13" t="s">
        <v>95</v>
      </c>
      <c r="U58" s="14">
        <v>40725</v>
      </c>
      <c r="V58" s="14">
        <v>42865</v>
      </c>
      <c r="W58" s="15"/>
      <c r="X58" s="13"/>
      <c r="Y58" s="15"/>
      <c r="Z58" s="13"/>
      <c r="AA58" s="15"/>
      <c r="AB58" s="13"/>
      <c r="AC58" s="15"/>
      <c r="AD58" s="13"/>
      <c r="AE58" s="15"/>
    </row>
    <row r="59" spans="1:31" ht="101.5" x14ac:dyDescent="0.35">
      <c r="A59" s="13" t="s">
        <v>80</v>
      </c>
      <c r="B59" s="13" t="s">
        <v>81</v>
      </c>
      <c r="C59" s="14">
        <v>43775.69027777778</v>
      </c>
      <c r="D59" s="13" t="s">
        <v>205</v>
      </c>
      <c r="E59" s="15" t="s">
        <v>206</v>
      </c>
      <c r="F59" s="13" t="s">
        <v>207</v>
      </c>
      <c r="G59" s="15" t="s">
        <v>208</v>
      </c>
      <c r="H59" s="13" t="s">
        <v>209</v>
      </c>
      <c r="I59" s="15" t="s">
        <v>210</v>
      </c>
      <c r="J59" s="15" t="s">
        <v>211</v>
      </c>
      <c r="K59" s="15" t="s">
        <v>212</v>
      </c>
      <c r="L59" s="13" t="s">
        <v>213</v>
      </c>
      <c r="M59" s="15" t="s">
        <v>214</v>
      </c>
      <c r="N59" s="13" t="s">
        <v>91</v>
      </c>
      <c r="O59" s="15"/>
      <c r="P59" s="15"/>
      <c r="Q59" s="15" t="s">
        <v>92</v>
      </c>
      <c r="R59" s="13" t="s">
        <v>93</v>
      </c>
      <c r="S59" s="13" t="s">
        <v>94</v>
      </c>
      <c r="T59" s="13" t="s">
        <v>95</v>
      </c>
      <c r="U59" s="14">
        <v>42866</v>
      </c>
      <c r="V59" s="14"/>
      <c r="W59" s="15" t="s">
        <v>355</v>
      </c>
      <c r="X59" s="13" t="s">
        <v>343</v>
      </c>
      <c r="Y59" s="15" t="str">
        <f>VLOOKUP(X59,'Axe 2 Règles de gestion'!$D$2:$F$85,3, FALSE)</f>
        <v>Rémunération : L'agent perçoit l'intégralité de sa rémunération.</v>
      </c>
      <c r="Z59" s="13" t="s">
        <v>356</v>
      </c>
      <c r="AA59" s="15" t="str">
        <f>VLOOKUP(Z59,'Axe 2 Règles de gestion'!$D$2:$F$85,3, FALSE)</f>
        <v>Carrière : L'agent conserve ses droits à l'avancement d'échelon et à l'avancement de grade en totalité. La durée de la formation est prise en compte comme service effectif.</v>
      </c>
      <c r="AB59" s="13" t="s">
        <v>358</v>
      </c>
      <c r="AC59" s="15" t="str">
        <f>VLOOKUP(AB59,'Axe 2 Règles de gestion'!$D$2:$F$85,3, FALSE)</f>
        <v>Retraite : La formation est considérée comme une période d'activité pour la retraite.</v>
      </c>
      <c r="AD59" s="13"/>
      <c r="AE59" s="15"/>
    </row>
    <row r="60" spans="1:31" ht="29" x14ac:dyDescent="0.35">
      <c r="A60" s="13" t="s">
        <v>80</v>
      </c>
      <c r="B60" s="13" t="s">
        <v>81</v>
      </c>
      <c r="C60" s="14">
        <v>43756.491666666669</v>
      </c>
      <c r="D60" s="13" t="s">
        <v>205</v>
      </c>
      <c r="E60" s="15" t="s">
        <v>206</v>
      </c>
      <c r="F60" s="13" t="s">
        <v>207</v>
      </c>
      <c r="G60" s="15" t="s">
        <v>208</v>
      </c>
      <c r="H60" s="13" t="s">
        <v>209</v>
      </c>
      <c r="I60" s="15" t="s">
        <v>210</v>
      </c>
      <c r="J60" s="15" t="s">
        <v>211</v>
      </c>
      <c r="K60" s="15" t="s">
        <v>212</v>
      </c>
      <c r="L60" s="13" t="s">
        <v>241</v>
      </c>
      <c r="M60" s="15" t="s">
        <v>242</v>
      </c>
      <c r="N60" s="13" t="s">
        <v>127</v>
      </c>
      <c r="O60" s="15"/>
      <c r="P60" s="15"/>
      <c r="Q60" s="15" t="s">
        <v>92</v>
      </c>
      <c r="R60" s="13" t="s">
        <v>93</v>
      </c>
      <c r="S60" s="13" t="s">
        <v>94</v>
      </c>
      <c r="T60" s="13" t="s">
        <v>95</v>
      </c>
      <c r="U60" s="14">
        <v>40725</v>
      </c>
      <c r="V60" s="14"/>
      <c r="W60" s="15"/>
      <c r="X60" s="13"/>
      <c r="Y60" s="15"/>
      <c r="Z60" s="13"/>
      <c r="AA60" s="15"/>
      <c r="AB60" s="13"/>
      <c r="AC60" s="15"/>
      <c r="AD60" s="13"/>
      <c r="AE60" s="15"/>
    </row>
    <row r="61" spans="1:31" ht="29" x14ac:dyDescent="0.35">
      <c r="A61" s="13" t="s">
        <v>80</v>
      </c>
      <c r="B61" s="13" t="s">
        <v>81</v>
      </c>
      <c r="C61" s="14">
        <v>43756.48333333333</v>
      </c>
      <c r="D61" s="13" t="s">
        <v>205</v>
      </c>
      <c r="E61" s="15" t="s">
        <v>206</v>
      </c>
      <c r="F61" s="13" t="s">
        <v>207</v>
      </c>
      <c r="G61" s="15" t="s">
        <v>208</v>
      </c>
      <c r="H61" s="13" t="s">
        <v>209</v>
      </c>
      <c r="I61" s="15" t="s">
        <v>210</v>
      </c>
      <c r="J61" s="15" t="s">
        <v>211</v>
      </c>
      <c r="K61" s="15" t="s">
        <v>212</v>
      </c>
      <c r="L61" s="13" t="s">
        <v>213</v>
      </c>
      <c r="M61" s="15" t="s">
        <v>214</v>
      </c>
      <c r="N61" s="13" t="s">
        <v>91</v>
      </c>
      <c r="O61" s="15"/>
      <c r="P61" s="15"/>
      <c r="Q61" s="15" t="s">
        <v>129</v>
      </c>
      <c r="R61" s="13" t="s">
        <v>130</v>
      </c>
      <c r="S61" s="13" t="s">
        <v>94</v>
      </c>
      <c r="T61" s="13" t="s">
        <v>131</v>
      </c>
      <c r="U61" s="14">
        <v>40725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</row>
    <row r="62" spans="1:31" ht="29" x14ac:dyDescent="0.35">
      <c r="A62" s="13" t="s">
        <v>80</v>
      </c>
      <c r="B62" s="13" t="s">
        <v>81</v>
      </c>
      <c r="C62" s="14">
        <v>43756.492361111108</v>
      </c>
      <c r="D62" s="13" t="s">
        <v>205</v>
      </c>
      <c r="E62" s="15" t="s">
        <v>206</v>
      </c>
      <c r="F62" s="13" t="s">
        <v>207</v>
      </c>
      <c r="G62" s="15" t="s">
        <v>208</v>
      </c>
      <c r="H62" s="13" t="s">
        <v>209</v>
      </c>
      <c r="I62" s="15" t="s">
        <v>210</v>
      </c>
      <c r="J62" s="15" t="s">
        <v>211</v>
      </c>
      <c r="K62" s="15" t="s">
        <v>212</v>
      </c>
      <c r="L62" s="13" t="s">
        <v>241</v>
      </c>
      <c r="M62" s="15" t="s">
        <v>242</v>
      </c>
      <c r="N62" s="13" t="s">
        <v>127</v>
      </c>
      <c r="O62" s="15"/>
      <c r="P62" s="15"/>
      <c r="Q62" s="15" t="s">
        <v>129</v>
      </c>
      <c r="R62" s="13" t="s">
        <v>130</v>
      </c>
      <c r="S62" s="13" t="s">
        <v>94</v>
      </c>
      <c r="T62" s="13" t="s">
        <v>131</v>
      </c>
      <c r="U62" s="14">
        <v>40725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</row>
    <row r="63" spans="1:31" ht="29" x14ac:dyDescent="0.35">
      <c r="A63" s="13" t="s">
        <v>80</v>
      </c>
      <c r="B63" s="13" t="s">
        <v>81</v>
      </c>
      <c r="C63" s="14">
        <v>43851.474999999999</v>
      </c>
      <c r="D63" s="13" t="s">
        <v>205</v>
      </c>
      <c r="E63" s="15" t="s">
        <v>206</v>
      </c>
      <c r="F63" s="13" t="s">
        <v>207</v>
      </c>
      <c r="G63" s="15" t="s">
        <v>208</v>
      </c>
      <c r="H63" s="13" t="s">
        <v>209</v>
      </c>
      <c r="I63" s="15" t="s">
        <v>210</v>
      </c>
      <c r="J63" s="15" t="s">
        <v>211</v>
      </c>
      <c r="K63" s="15" t="s">
        <v>212</v>
      </c>
      <c r="L63" s="13" t="s">
        <v>213</v>
      </c>
      <c r="M63" s="15" t="s">
        <v>214</v>
      </c>
      <c r="N63" s="13" t="s">
        <v>91</v>
      </c>
      <c r="O63" s="15"/>
      <c r="P63" s="15"/>
      <c r="Q63" s="15" t="s">
        <v>132</v>
      </c>
      <c r="R63" s="13" t="s">
        <v>133</v>
      </c>
      <c r="S63" s="13" t="s">
        <v>94</v>
      </c>
      <c r="T63" s="13" t="s">
        <v>95</v>
      </c>
      <c r="U63" s="14">
        <v>40725</v>
      </c>
      <c r="V63" s="14">
        <v>42865</v>
      </c>
      <c r="W63" s="15"/>
      <c r="X63" s="13"/>
      <c r="Y63" s="15"/>
      <c r="Z63" s="13"/>
      <c r="AA63" s="15"/>
      <c r="AB63" s="13"/>
      <c r="AC63" s="15"/>
      <c r="AD63" s="13"/>
      <c r="AE63" s="15"/>
    </row>
    <row r="64" spans="1:31" ht="58" x14ac:dyDescent="0.35">
      <c r="A64" s="13" t="s">
        <v>80</v>
      </c>
      <c r="B64" s="13" t="s">
        <v>81</v>
      </c>
      <c r="C64" s="14">
        <v>43851.474999999999</v>
      </c>
      <c r="D64" s="13" t="s">
        <v>205</v>
      </c>
      <c r="E64" s="15" t="s">
        <v>206</v>
      </c>
      <c r="F64" s="13" t="s">
        <v>207</v>
      </c>
      <c r="G64" s="15" t="s">
        <v>208</v>
      </c>
      <c r="H64" s="13" t="s">
        <v>209</v>
      </c>
      <c r="I64" s="15" t="s">
        <v>210</v>
      </c>
      <c r="J64" s="15" t="s">
        <v>211</v>
      </c>
      <c r="K64" s="15" t="s">
        <v>212</v>
      </c>
      <c r="L64" s="13" t="s">
        <v>213</v>
      </c>
      <c r="M64" s="15" t="s">
        <v>214</v>
      </c>
      <c r="N64" s="13" t="s">
        <v>91</v>
      </c>
      <c r="O64" s="15"/>
      <c r="P64" s="15"/>
      <c r="Q64" s="15" t="s">
        <v>132</v>
      </c>
      <c r="R64" s="13" t="s">
        <v>133</v>
      </c>
      <c r="S64" s="13" t="s">
        <v>94</v>
      </c>
      <c r="T64" s="13" t="s">
        <v>95</v>
      </c>
      <c r="U64" s="14">
        <v>42866</v>
      </c>
      <c r="V64" s="14"/>
      <c r="W64" s="15" t="s">
        <v>360</v>
      </c>
      <c r="X64" s="13" t="s">
        <v>343</v>
      </c>
      <c r="Y64" s="15" t="str">
        <f>VLOOKUP(X64,'Axe 2 Règles de gestion'!$D$2:$F$85,3, FALSE)</f>
        <v>Rémunération : L'agent perçoit l'intégralité de sa rémunération.</v>
      </c>
      <c r="Z64" s="13" t="s">
        <v>361</v>
      </c>
      <c r="AA64" s="15" t="str">
        <f>VLOOKUP(Z64,'Axe 2 Règles de gestion'!$D$2:$F$85,3, FALSE)</f>
        <v>Carrière : La durée de la formation est prise en compte comme service effectif.</v>
      </c>
      <c r="AB64" s="13" t="s">
        <v>358</v>
      </c>
      <c r="AC64" s="15" t="str">
        <f>VLOOKUP(AB64,'Axe 2 Règles de gestion'!$D$2:$F$85,3, FALSE)</f>
        <v>Retraite : La formation est considérée comme une période d'activité pour la retraite.</v>
      </c>
      <c r="AD64" s="13"/>
      <c r="AE64" s="15"/>
    </row>
    <row r="65" spans="1:31" ht="29" x14ac:dyDescent="0.35">
      <c r="A65" s="13" t="s">
        <v>80</v>
      </c>
      <c r="B65" s="13" t="s">
        <v>81</v>
      </c>
      <c r="C65" s="14">
        <v>43851.476388888892</v>
      </c>
      <c r="D65" s="13" t="s">
        <v>205</v>
      </c>
      <c r="E65" s="15" t="s">
        <v>206</v>
      </c>
      <c r="F65" s="13" t="s">
        <v>207</v>
      </c>
      <c r="G65" s="15" t="s">
        <v>208</v>
      </c>
      <c r="H65" s="13" t="s">
        <v>209</v>
      </c>
      <c r="I65" s="15" t="s">
        <v>210</v>
      </c>
      <c r="J65" s="15" t="s">
        <v>211</v>
      </c>
      <c r="K65" s="15" t="s">
        <v>212</v>
      </c>
      <c r="L65" s="13" t="s">
        <v>241</v>
      </c>
      <c r="M65" s="15" t="s">
        <v>242</v>
      </c>
      <c r="N65" s="13" t="s">
        <v>127</v>
      </c>
      <c r="O65" s="15"/>
      <c r="P65" s="15"/>
      <c r="Q65" s="15" t="s">
        <v>132</v>
      </c>
      <c r="R65" s="13" t="s">
        <v>133</v>
      </c>
      <c r="S65" s="13" t="s">
        <v>94</v>
      </c>
      <c r="T65" s="13" t="s">
        <v>95</v>
      </c>
      <c r="U65" s="14">
        <v>40725</v>
      </c>
      <c r="V65" s="14"/>
      <c r="W65" s="15"/>
      <c r="X65" s="13"/>
      <c r="Y65" s="15"/>
      <c r="Z65" s="13"/>
      <c r="AA65" s="15"/>
      <c r="AB65" s="13"/>
      <c r="AC65" s="15"/>
      <c r="AD65" s="13"/>
      <c r="AE65" s="15"/>
    </row>
    <row r="66" spans="1:31" ht="29" x14ac:dyDescent="0.35">
      <c r="A66" s="13" t="s">
        <v>261</v>
      </c>
      <c r="B66" s="13" t="s">
        <v>148</v>
      </c>
      <c r="C66" s="14">
        <v>45069.481944444444</v>
      </c>
      <c r="D66" s="13" t="s">
        <v>205</v>
      </c>
      <c r="E66" s="15" t="s">
        <v>206</v>
      </c>
      <c r="F66" s="13" t="s">
        <v>207</v>
      </c>
      <c r="G66" s="15" t="s">
        <v>208</v>
      </c>
      <c r="H66" s="13" t="s">
        <v>209</v>
      </c>
      <c r="I66" s="15" t="s">
        <v>210</v>
      </c>
      <c r="J66" s="15" t="s">
        <v>211</v>
      </c>
      <c r="K66" s="15" t="s">
        <v>212</v>
      </c>
      <c r="L66" s="13" t="s">
        <v>213</v>
      </c>
      <c r="M66" s="15" t="s">
        <v>214</v>
      </c>
      <c r="N66" s="13" t="s">
        <v>91</v>
      </c>
      <c r="O66" s="15"/>
      <c r="P66" s="15"/>
      <c r="Q66" s="15" t="s">
        <v>149</v>
      </c>
      <c r="R66" s="13" t="s">
        <v>150</v>
      </c>
      <c r="S66" s="13" t="s">
        <v>94</v>
      </c>
      <c r="T66" s="13" t="s">
        <v>95</v>
      </c>
      <c r="U66" s="14">
        <v>40725</v>
      </c>
      <c r="V66" s="14">
        <v>42865</v>
      </c>
      <c r="W66" s="15"/>
      <c r="X66" s="13"/>
      <c r="Y66" s="15"/>
      <c r="Z66" s="13"/>
      <c r="AA66" s="15"/>
      <c r="AB66" s="13"/>
      <c r="AC66" s="15"/>
      <c r="AD66" s="13"/>
      <c r="AE66" s="15"/>
    </row>
    <row r="67" spans="1:31" s="22" customFormat="1" ht="87" x14ac:dyDescent="0.35">
      <c r="A67" s="19" t="s">
        <v>147</v>
      </c>
      <c r="B67" s="19" t="s">
        <v>148</v>
      </c>
      <c r="C67" s="20">
        <v>45973.647222222222</v>
      </c>
      <c r="D67" s="19" t="s">
        <v>205</v>
      </c>
      <c r="E67" s="21" t="s">
        <v>206</v>
      </c>
      <c r="F67" s="19" t="s">
        <v>207</v>
      </c>
      <c r="G67" s="21" t="s">
        <v>208</v>
      </c>
      <c r="H67" s="19" t="s">
        <v>209</v>
      </c>
      <c r="I67" s="21" t="s">
        <v>210</v>
      </c>
      <c r="J67" s="21" t="s">
        <v>211</v>
      </c>
      <c r="K67" s="21" t="s">
        <v>212</v>
      </c>
      <c r="L67" s="19" t="s">
        <v>213</v>
      </c>
      <c r="M67" s="21" t="s">
        <v>214</v>
      </c>
      <c r="N67" s="19" t="s">
        <v>91</v>
      </c>
      <c r="O67" s="21"/>
      <c r="P67" s="21"/>
      <c r="Q67" s="21" t="s">
        <v>149</v>
      </c>
      <c r="R67" s="19" t="s">
        <v>150</v>
      </c>
      <c r="S67" s="19" t="s">
        <v>94</v>
      </c>
      <c r="T67" s="19" t="s">
        <v>95</v>
      </c>
      <c r="U67" s="20">
        <v>42866</v>
      </c>
      <c r="V67" s="20"/>
      <c r="W67" s="21" t="s">
        <v>363</v>
      </c>
      <c r="X67" s="19" t="s">
        <v>343</v>
      </c>
      <c r="Y67" s="21" t="str">
        <f>VLOOKUP(X67,'Axe 2 Règles de gestion'!$D$2:$F$85,3, FALSE)</f>
        <v>Rémunération : L'agent perçoit l'intégralité de sa rémunération.</v>
      </c>
      <c r="Z67" s="19" t="s">
        <v>364</v>
      </c>
      <c r="AA67" s="21" t="str">
        <f>VLOOKUP(Z67,'Axe 2 Règles de gestion'!$D$2:$F$85,3, FALSE)</f>
        <v>Carrière : L'agent conserve ses droits à l'avancement d'échelon en totalité. La durée de la formation est prise en compte comme service effectif.</v>
      </c>
      <c r="AB67" s="19" t="s">
        <v>358</v>
      </c>
      <c r="AC67" s="21" t="str">
        <f>VLOOKUP(AB67,'Axe 2 Règles de gestion'!$D$2:$F$85,3, FALSE)</f>
        <v>Retraite : La formation est considérée comme une période d'activité pour la retraite.</v>
      </c>
      <c r="AD67" s="19" t="s">
        <v>155</v>
      </c>
      <c r="AE67" s="21"/>
    </row>
    <row r="68" spans="1:31" s="22" customFormat="1" ht="29" x14ac:dyDescent="0.35">
      <c r="A68" s="19" t="s">
        <v>147</v>
      </c>
      <c r="B68" s="19" t="s">
        <v>148</v>
      </c>
      <c r="C68" s="20">
        <v>45973.647916666669</v>
      </c>
      <c r="D68" s="19" t="s">
        <v>205</v>
      </c>
      <c r="E68" s="21" t="s">
        <v>206</v>
      </c>
      <c r="F68" s="19" t="s">
        <v>207</v>
      </c>
      <c r="G68" s="21" t="s">
        <v>208</v>
      </c>
      <c r="H68" s="19" t="s">
        <v>209</v>
      </c>
      <c r="I68" s="21" t="s">
        <v>210</v>
      </c>
      <c r="J68" s="21" t="s">
        <v>211</v>
      </c>
      <c r="K68" s="21" t="s">
        <v>212</v>
      </c>
      <c r="L68" s="19" t="s">
        <v>241</v>
      </c>
      <c r="M68" s="21" t="s">
        <v>242</v>
      </c>
      <c r="N68" s="19" t="s">
        <v>127</v>
      </c>
      <c r="O68" s="21"/>
      <c r="P68" s="21"/>
      <c r="Q68" s="21" t="s">
        <v>149</v>
      </c>
      <c r="R68" s="19" t="s">
        <v>150</v>
      </c>
      <c r="S68" s="19" t="s">
        <v>94</v>
      </c>
      <c r="T68" s="19" t="s">
        <v>95</v>
      </c>
      <c r="U68" s="20">
        <v>40725</v>
      </c>
      <c r="V68" s="20"/>
      <c r="W68" s="21"/>
      <c r="X68" s="19"/>
      <c r="Y68" s="21"/>
      <c r="Z68" s="19"/>
      <c r="AA68" s="21"/>
      <c r="AB68" s="19"/>
      <c r="AC68" s="21"/>
      <c r="AD68" s="19" t="s">
        <v>155</v>
      </c>
      <c r="AE68" s="21"/>
    </row>
    <row r="69" spans="1:31" ht="29" x14ac:dyDescent="0.35">
      <c r="A69" s="13" t="s">
        <v>80</v>
      </c>
      <c r="B69" s="13" t="s">
        <v>81</v>
      </c>
      <c r="C69" s="14">
        <v>43775.688888888886</v>
      </c>
      <c r="D69" s="13" t="s">
        <v>205</v>
      </c>
      <c r="E69" s="15" t="s">
        <v>206</v>
      </c>
      <c r="F69" s="13" t="s">
        <v>207</v>
      </c>
      <c r="G69" s="15" t="s">
        <v>208</v>
      </c>
      <c r="H69" s="13" t="s">
        <v>209</v>
      </c>
      <c r="I69" s="15" t="s">
        <v>210</v>
      </c>
      <c r="J69" s="15" t="s">
        <v>211</v>
      </c>
      <c r="K69" s="15" t="s">
        <v>212</v>
      </c>
      <c r="L69" s="13" t="s">
        <v>213</v>
      </c>
      <c r="M69" s="15" t="s">
        <v>214</v>
      </c>
      <c r="N69" s="13" t="s">
        <v>91</v>
      </c>
      <c r="O69" s="15"/>
      <c r="P69" s="15"/>
      <c r="Q69" s="15" t="s">
        <v>156</v>
      </c>
      <c r="R69" s="13" t="s">
        <v>157</v>
      </c>
      <c r="S69" s="13" t="s">
        <v>94</v>
      </c>
      <c r="T69" s="13" t="s">
        <v>95</v>
      </c>
      <c r="U69" s="14">
        <v>40725</v>
      </c>
      <c r="V69" s="14">
        <v>42865</v>
      </c>
      <c r="W69" s="15"/>
      <c r="X69" s="13"/>
      <c r="Y69" s="15"/>
      <c r="Z69" s="13"/>
      <c r="AA69" s="15"/>
      <c r="AB69" s="13"/>
      <c r="AC69" s="15"/>
      <c r="AD69" s="13"/>
      <c r="AE69" s="15"/>
    </row>
    <row r="70" spans="1:31" ht="58" x14ac:dyDescent="0.35">
      <c r="A70" s="13" t="s">
        <v>80</v>
      </c>
      <c r="B70" s="13" t="s">
        <v>81</v>
      </c>
      <c r="C70" s="14">
        <v>43775.688888888886</v>
      </c>
      <c r="D70" s="13" t="s">
        <v>205</v>
      </c>
      <c r="E70" s="15" t="s">
        <v>206</v>
      </c>
      <c r="F70" s="13" t="s">
        <v>207</v>
      </c>
      <c r="G70" s="15" t="s">
        <v>208</v>
      </c>
      <c r="H70" s="13" t="s">
        <v>209</v>
      </c>
      <c r="I70" s="15" t="s">
        <v>210</v>
      </c>
      <c r="J70" s="15" t="s">
        <v>211</v>
      </c>
      <c r="K70" s="15" t="s">
        <v>212</v>
      </c>
      <c r="L70" s="13" t="s">
        <v>213</v>
      </c>
      <c r="M70" s="15" t="s">
        <v>214</v>
      </c>
      <c r="N70" s="13" t="s">
        <v>91</v>
      </c>
      <c r="O70" s="15"/>
      <c r="P70" s="15"/>
      <c r="Q70" s="15" t="s">
        <v>156</v>
      </c>
      <c r="R70" s="13" t="s">
        <v>157</v>
      </c>
      <c r="S70" s="13" t="s">
        <v>94</v>
      </c>
      <c r="T70" s="13" t="s">
        <v>95</v>
      </c>
      <c r="U70" s="14">
        <v>42866</v>
      </c>
      <c r="V70" s="14"/>
      <c r="W70" s="15" t="s">
        <v>360</v>
      </c>
      <c r="X70" s="13" t="s">
        <v>343</v>
      </c>
      <c r="Y70" s="15" t="str">
        <f>VLOOKUP(X70,'Axe 2 Règles de gestion'!$D$2:$F$85,3, FALSE)</f>
        <v>Rémunération : L'agent perçoit l'intégralité de sa rémunération.</v>
      </c>
      <c r="Z70" s="13" t="s">
        <v>361</v>
      </c>
      <c r="AA70" s="15" t="str">
        <f>VLOOKUP(Z70,'Axe 2 Règles de gestion'!$D$2:$F$85,3, FALSE)</f>
        <v>Carrière : La durée de la formation est prise en compte comme service effectif.</v>
      </c>
      <c r="AB70" s="13" t="s">
        <v>358</v>
      </c>
      <c r="AC70" s="15" t="str">
        <f>VLOOKUP(AB70,'Axe 2 Règles de gestion'!$D$2:$F$85,3, FALSE)</f>
        <v>Retraite : La formation est considérée comme une période d'activité pour la retraite.</v>
      </c>
      <c r="AD70" s="13"/>
      <c r="AE70" s="15"/>
    </row>
    <row r="71" spans="1:31" ht="29" x14ac:dyDescent="0.35">
      <c r="A71" s="13" t="s">
        <v>80</v>
      </c>
      <c r="B71" s="13" t="s">
        <v>81</v>
      </c>
      <c r="C71" s="14">
        <v>43756.493750000001</v>
      </c>
      <c r="D71" s="13" t="s">
        <v>205</v>
      </c>
      <c r="E71" s="15" t="s">
        <v>206</v>
      </c>
      <c r="F71" s="13" t="s">
        <v>207</v>
      </c>
      <c r="G71" s="15" t="s">
        <v>208</v>
      </c>
      <c r="H71" s="13" t="s">
        <v>209</v>
      </c>
      <c r="I71" s="15" t="s">
        <v>210</v>
      </c>
      <c r="J71" s="15" t="s">
        <v>211</v>
      </c>
      <c r="K71" s="15" t="s">
        <v>212</v>
      </c>
      <c r="L71" s="13" t="s">
        <v>241</v>
      </c>
      <c r="M71" s="15" t="s">
        <v>242</v>
      </c>
      <c r="N71" s="13" t="s">
        <v>127</v>
      </c>
      <c r="O71" s="15"/>
      <c r="P71" s="15"/>
      <c r="Q71" s="15" t="s">
        <v>156</v>
      </c>
      <c r="R71" s="13" t="s">
        <v>157</v>
      </c>
      <c r="S71" s="13" t="s">
        <v>94</v>
      </c>
      <c r="T71" s="13" t="s">
        <v>95</v>
      </c>
      <c r="U71" s="14">
        <v>40725</v>
      </c>
      <c r="V71" s="14"/>
      <c r="W71" s="15"/>
      <c r="X71" s="13"/>
      <c r="Y71" s="15"/>
      <c r="Z71" s="13"/>
      <c r="AA71" s="15"/>
      <c r="AB71" s="13"/>
      <c r="AC71" s="15"/>
      <c r="AD71" s="13"/>
      <c r="AE71" s="15"/>
    </row>
    <row r="72" spans="1:31" ht="29" x14ac:dyDescent="0.35">
      <c r="A72" s="13" t="s">
        <v>80</v>
      </c>
      <c r="B72" s="13" t="s">
        <v>81</v>
      </c>
      <c r="C72" s="14">
        <v>43756.486111111109</v>
      </c>
      <c r="D72" s="13" t="s">
        <v>205</v>
      </c>
      <c r="E72" s="15" t="s">
        <v>206</v>
      </c>
      <c r="F72" s="13" t="s">
        <v>207</v>
      </c>
      <c r="G72" s="15" t="s">
        <v>208</v>
      </c>
      <c r="H72" s="13" t="s">
        <v>209</v>
      </c>
      <c r="I72" s="15" t="s">
        <v>210</v>
      </c>
      <c r="J72" s="15" t="s">
        <v>211</v>
      </c>
      <c r="K72" s="15" t="s">
        <v>212</v>
      </c>
      <c r="L72" s="13" t="s">
        <v>213</v>
      </c>
      <c r="M72" s="15" t="s">
        <v>214</v>
      </c>
      <c r="N72" s="13" t="s">
        <v>91</v>
      </c>
      <c r="O72" s="15"/>
      <c r="P72" s="15"/>
      <c r="Q72" s="15" t="s">
        <v>160</v>
      </c>
      <c r="R72" s="13" t="s">
        <v>161</v>
      </c>
      <c r="S72" s="13" t="s">
        <v>162</v>
      </c>
      <c r="T72" s="13" t="s">
        <v>131</v>
      </c>
      <c r="U72" s="14">
        <v>40725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</row>
    <row r="73" spans="1:31" ht="29" x14ac:dyDescent="0.35">
      <c r="A73" s="13" t="s">
        <v>80</v>
      </c>
      <c r="B73" s="13" t="s">
        <v>81</v>
      </c>
      <c r="C73" s="14">
        <v>43756.494444444441</v>
      </c>
      <c r="D73" s="13" t="s">
        <v>205</v>
      </c>
      <c r="E73" s="15" t="s">
        <v>206</v>
      </c>
      <c r="F73" s="13" t="s">
        <v>207</v>
      </c>
      <c r="G73" s="15" t="s">
        <v>208</v>
      </c>
      <c r="H73" s="13" t="s">
        <v>209</v>
      </c>
      <c r="I73" s="15" t="s">
        <v>210</v>
      </c>
      <c r="J73" s="15" t="s">
        <v>211</v>
      </c>
      <c r="K73" s="15" t="s">
        <v>212</v>
      </c>
      <c r="L73" s="13" t="s">
        <v>241</v>
      </c>
      <c r="M73" s="15" t="s">
        <v>242</v>
      </c>
      <c r="N73" s="13" t="s">
        <v>127</v>
      </c>
      <c r="O73" s="15"/>
      <c r="P73" s="15"/>
      <c r="Q73" s="15" t="s">
        <v>160</v>
      </c>
      <c r="R73" s="13" t="s">
        <v>161</v>
      </c>
      <c r="S73" s="13" t="s">
        <v>162</v>
      </c>
      <c r="T73" s="13" t="s">
        <v>131</v>
      </c>
      <c r="U73" s="14">
        <v>40725</v>
      </c>
      <c r="V73" s="14"/>
      <c r="W73" s="15"/>
      <c r="X73" s="13"/>
      <c r="Y73" s="15"/>
      <c r="Z73" s="13"/>
      <c r="AA73" s="15"/>
      <c r="AB73" s="13"/>
      <c r="AC73" s="15"/>
      <c r="AD73" s="13"/>
      <c r="AE73" s="15"/>
    </row>
    <row r="74" spans="1:31" ht="29" x14ac:dyDescent="0.35">
      <c r="A74" s="13" t="s">
        <v>80</v>
      </c>
      <c r="B74" s="13" t="s">
        <v>81</v>
      </c>
      <c r="C74" s="14">
        <v>43756.488194444442</v>
      </c>
      <c r="D74" s="13" t="s">
        <v>205</v>
      </c>
      <c r="E74" s="15" t="s">
        <v>206</v>
      </c>
      <c r="F74" s="13" t="s">
        <v>207</v>
      </c>
      <c r="G74" s="15" t="s">
        <v>208</v>
      </c>
      <c r="H74" s="13" t="s">
        <v>209</v>
      </c>
      <c r="I74" s="15" t="s">
        <v>210</v>
      </c>
      <c r="J74" s="15" t="s">
        <v>211</v>
      </c>
      <c r="K74" s="15" t="s">
        <v>212</v>
      </c>
      <c r="L74" s="13" t="s">
        <v>213</v>
      </c>
      <c r="M74" s="15" t="s">
        <v>214</v>
      </c>
      <c r="N74" s="13" t="s">
        <v>91</v>
      </c>
      <c r="O74" s="15"/>
      <c r="P74" s="15"/>
      <c r="Q74" s="15" t="s">
        <v>163</v>
      </c>
      <c r="R74" s="13" t="s">
        <v>164</v>
      </c>
      <c r="S74" s="13" t="s">
        <v>162</v>
      </c>
      <c r="T74" s="13" t="s">
        <v>131</v>
      </c>
      <c r="U74" s="14">
        <v>40725</v>
      </c>
      <c r="V74" s="14"/>
      <c r="W74" s="15"/>
      <c r="X74" s="13"/>
      <c r="Y74" s="15"/>
      <c r="Z74" s="13"/>
      <c r="AA74" s="15"/>
      <c r="AB74" s="13"/>
      <c r="AC74" s="15"/>
      <c r="AD74" s="13"/>
      <c r="AE74" s="15"/>
    </row>
    <row r="75" spans="1:31" ht="29" x14ac:dyDescent="0.35">
      <c r="A75" s="13" t="s">
        <v>80</v>
      </c>
      <c r="B75" s="13" t="s">
        <v>81</v>
      </c>
      <c r="C75" s="14">
        <v>43756.495833333334</v>
      </c>
      <c r="D75" s="13" t="s">
        <v>205</v>
      </c>
      <c r="E75" s="15" t="s">
        <v>206</v>
      </c>
      <c r="F75" s="13" t="s">
        <v>207</v>
      </c>
      <c r="G75" s="15" t="s">
        <v>208</v>
      </c>
      <c r="H75" s="13" t="s">
        <v>209</v>
      </c>
      <c r="I75" s="15" t="s">
        <v>210</v>
      </c>
      <c r="J75" s="15" t="s">
        <v>211</v>
      </c>
      <c r="K75" s="15" t="s">
        <v>212</v>
      </c>
      <c r="L75" s="13" t="s">
        <v>241</v>
      </c>
      <c r="M75" s="15" t="s">
        <v>242</v>
      </c>
      <c r="N75" s="13" t="s">
        <v>127</v>
      </c>
      <c r="O75" s="15"/>
      <c r="P75" s="15"/>
      <c r="Q75" s="15" t="s">
        <v>163</v>
      </c>
      <c r="R75" s="13" t="s">
        <v>164</v>
      </c>
      <c r="S75" s="13" t="s">
        <v>162</v>
      </c>
      <c r="T75" s="13" t="s">
        <v>131</v>
      </c>
      <c r="U75" s="14">
        <v>40725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</row>
    <row r="76" spans="1:31" ht="43.5" x14ac:dyDescent="0.35">
      <c r="A76" s="13" t="s">
        <v>80</v>
      </c>
      <c r="B76" s="13" t="s">
        <v>81</v>
      </c>
      <c r="C76" s="14">
        <v>43756.488194444442</v>
      </c>
      <c r="D76" s="13" t="s">
        <v>205</v>
      </c>
      <c r="E76" s="15" t="s">
        <v>206</v>
      </c>
      <c r="F76" s="13" t="s">
        <v>207</v>
      </c>
      <c r="G76" s="15" t="s">
        <v>208</v>
      </c>
      <c r="H76" s="13" t="s">
        <v>209</v>
      </c>
      <c r="I76" s="15" t="s">
        <v>210</v>
      </c>
      <c r="J76" s="15" t="s">
        <v>211</v>
      </c>
      <c r="K76" s="15" t="s">
        <v>212</v>
      </c>
      <c r="L76" s="13" t="s">
        <v>213</v>
      </c>
      <c r="M76" s="15" t="s">
        <v>214</v>
      </c>
      <c r="N76" s="13" t="s">
        <v>91</v>
      </c>
      <c r="O76" s="15"/>
      <c r="P76" s="15"/>
      <c r="Q76" s="15" t="s">
        <v>165</v>
      </c>
      <c r="R76" s="13" t="s">
        <v>166</v>
      </c>
      <c r="S76" s="13" t="s">
        <v>162</v>
      </c>
      <c r="T76" s="13" t="s">
        <v>131</v>
      </c>
      <c r="U76" s="14">
        <v>40725</v>
      </c>
      <c r="V76" s="14"/>
      <c r="W76" s="15"/>
      <c r="X76" s="13"/>
      <c r="Y76" s="15"/>
      <c r="Z76" s="13"/>
      <c r="AA76" s="15"/>
      <c r="AB76" s="13"/>
      <c r="AC76" s="15"/>
      <c r="AD76" s="13"/>
      <c r="AE76" s="15"/>
    </row>
    <row r="77" spans="1:31" ht="43.5" x14ac:dyDescent="0.35">
      <c r="A77" s="13" t="s">
        <v>80</v>
      </c>
      <c r="B77" s="13" t="s">
        <v>81</v>
      </c>
      <c r="C77" s="14">
        <v>43756.495833333334</v>
      </c>
      <c r="D77" s="13" t="s">
        <v>205</v>
      </c>
      <c r="E77" s="15" t="s">
        <v>206</v>
      </c>
      <c r="F77" s="13" t="s">
        <v>207</v>
      </c>
      <c r="G77" s="15" t="s">
        <v>208</v>
      </c>
      <c r="H77" s="13" t="s">
        <v>209</v>
      </c>
      <c r="I77" s="15" t="s">
        <v>210</v>
      </c>
      <c r="J77" s="15" t="s">
        <v>211</v>
      </c>
      <c r="K77" s="15" t="s">
        <v>212</v>
      </c>
      <c r="L77" s="13" t="s">
        <v>241</v>
      </c>
      <c r="M77" s="15" t="s">
        <v>242</v>
      </c>
      <c r="N77" s="13" t="s">
        <v>127</v>
      </c>
      <c r="O77" s="15"/>
      <c r="P77" s="15"/>
      <c r="Q77" s="15" t="s">
        <v>165</v>
      </c>
      <c r="R77" s="13" t="s">
        <v>166</v>
      </c>
      <c r="S77" s="13" t="s">
        <v>162</v>
      </c>
      <c r="T77" s="13" t="s">
        <v>131</v>
      </c>
      <c r="U77" s="14">
        <v>40725</v>
      </c>
      <c r="V77" s="14"/>
      <c r="W77" s="15"/>
      <c r="X77" s="13"/>
      <c r="Y77" s="15"/>
      <c r="Z77" s="13"/>
      <c r="AA77" s="15"/>
      <c r="AB77" s="13"/>
      <c r="AC77" s="15"/>
      <c r="AD77" s="13"/>
      <c r="AE77" s="15"/>
    </row>
    <row r="78" spans="1:31" ht="29" x14ac:dyDescent="0.35">
      <c r="A78" s="13" t="s">
        <v>80</v>
      </c>
      <c r="B78" s="13" t="s">
        <v>81</v>
      </c>
      <c r="C78" s="14">
        <v>43756.487500000003</v>
      </c>
      <c r="D78" s="13" t="s">
        <v>205</v>
      </c>
      <c r="E78" s="15" t="s">
        <v>206</v>
      </c>
      <c r="F78" s="13" t="s">
        <v>207</v>
      </c>
      <c r="G78" s="15" t="s">
        <v>208</v>
      </c>
      <c r="H78" s="13" t="s">
        <v>209</v>
      </c>
      <c r="I78" s="15" t="s">
        <v>210</v>
      </c>
      <c r="J78" s="15" t="s">
        <v>211</v>
      </c>
      <c r="K78" s="15" t="s">
        <v>212</v>
      </c>
      <c r="L78" s="13" t="s">
        <v>213</v>
      </c>
      <c r="M78" s="15" t="s">
        <v>214</v>
      </c>
      <c r="N78" s="13" t="s">
        <v>91</v>
      </c>
      <c r="O78" s="15"/>
      <c r="P78" s="15"/>
      <c r="Q78" s="15" t="s">
        <v>167</v>
      </c>
      <c r="R78" s="13" t="s">
        <v>168</v>
      </c>
      <c r="S78" s="13" t="s">
        <v>162</v>
      </c>
      <c r="T78" s="13" t="s">
        <v>131</v>
      </c>
      <c r="U78" s="14">
        <v>40725</v>
      </c>
      <c r="V78" s="14"/>
      <c r="W78" s="15"/>
      <c r="X78" s="13"/>
      <c r="Y78" s="15"/>
      <c r="Z78" s="13"/>
      <c r="AA78" s="15"/>
      <c r="AB78" s="13"/>
      <c r="AC78" s="15"/>
      <c r="AD78" s="13"/>
      <c r="AE78" s="15"/>
    </row>
    <row r="79" spans="1:31" ht="29" x14ac:dyDescent="0.35">
      <c r="A79" s="13" t="s">
        <v>80</v>
      </c>
      <c r="B79" s="13" t="s">
        <v>81</v>
      </c>
      <c r="C79" s="14">
        <v>43756.495138888888</v>
      </c>
      <c r="D79" s="13" t="s">
        <v>205</v>
      </c>
      <c r="E79" s="15" t="s">
        <v>206</v>
      </c>
      <c r="F79" s="13" t="s">
        <v>207</v>
      </c>
      <c r="G79" s="15" t="s">
        <v>208</v>
      </c>
      <c r="H79" s="13" t="s">
        <v>209</v>
      </c>
      <c r="I79" s="15" t="s">
        <v>210</v>
      </c>
      <c r="J79" s="15" t="s">
        <v>211</v>
      </c>
      <c r="K79" s="15" t="s">
        <v>212</v>
      </c>
      <c r="L79" s="13" t="s">
        <v>241</v>
      </c>
      <c r="M79" s="15" t="s">
        <v>242</v>
      </c>
      <c r="N79" s="13" t="s">
        <v>127</v>
      </c>
      <c r="O79" s="15"/>
      <c r="P79" s="15"/>
      <c r="Q79" s="15" t="s">
        <v>167</v>
      </c>
      <c r="R79" s="13" t="s">
        <v>168</v>
      </c>
      <c r="S79" s="13" t="s">
        <v>162</v>
      </c>
      <c r="T79" s="13" t="s">
        <v>131</v>
      </c>
      <c r="U79" s="14">
        <v>40725</v>
      </c>
      <c r="V79" s="14"/>
      <c r="W79" s="15"/>
      <c r="X79" s="13"/>
      <c r="Y79" s="15"/>
      <c r="Z79" s="13"/>
      <c r="AA79" s="15"/>
      <c r="AB79" s="13"/>
      <c r="AC79" s="15"/>
      <c r="AD79" s="13"/>
      <c r="AE79" s="15"/>
    </row>
    <row r="80" spans="1:31" ht="29" x14ac:dyDescent="0.35">
      <c r="A80" s="13" t="s">
        <v>80</v>
      </c>
      <c r="B80" s="13" t="s">
        <v>81</v>
      </c>
      <c r="C80" s="14">
        <v>43756.486805555556</v>
      </c>
      <c r="D80" s="13" t="s">
        <v>205</v>
      </c>
      <c r="E80" s="15" t="s">
        <v>206</v>
      </c>
      <c r="F80" s="13" t="s">
        <v>207</v>
      </c>
      <c r="G80" s="15" t="s">
        <v>208</v>
      </c>
      <c r="H80" s="13" t="s">
        <v>209</v>
      </c>
      <c r="I80" s="15" t="s">
        <v>210</v>
      </c>
      <c r="J80" s="15" t="s">
        <v>211</v>
      </c>
      <c r="K80" s="15" t="s">
        <v>212</v>
      </c>
      <c r="L80" s="13" t="s">
        <v>213</v>
      </c>
      <c r="M80" s="15" t="s">
        <v>214</v>
      </c>
      <c r="N80" s="13" t="s">
        <v>91</v>
      </c>
      <c r="O80" s="15"/>
      <c r="P80" s="15"/>
      <c r="Q80" s="15" t="s">
        <v>169</v>
      </c>
      <c r="R80" s="13" t="s">
        <v>170</v>
      </c>
      <c r="S80" s="13" t="s">
        <v>162</v>
      </c>
      <c r="T80" s="13" t="s">
        <v>95</v>
      </c>
      <c r="U80" s="14">
        <v>40725</v>
      </c>
      <c r="V80" s="14">
        <v>43465</v>
      </c>
      <c r="W80" s="15"/>
      <c r="X80" s="13"/>
      <c r="Y80" s="15"/>
      <c r="Z80" s="13"/>
      <c r="AA80" s="15"/>
      <c r="AB80" s="13"/>
      <c r="AC80" s="15"/>
      <c r="AD80" s="13"/>
      <c r="AE80" s="15"/>
    </row>
    <row r="81" spans="1:31" ht="29" x14ac:dyDescent="0.35">
      <c r="A81" s="13" t="s">
        <v>80</v>
      </c>
      <c r="B81" s="13" t="s">
        <v>81</v>
      </c>
      <c r="C81" s="14">
        <v>43756.487500000003</v>
      </c>
      <c r="D81" s="13" t="s">
        <v>205</v>
      </c>
      <c r="E81" s="15" t="s">
        <v>206</v>
      </c>
      <c r="F81" s="13" t="s">
        <v>207</v>
      </c>
      <c r="G81" s="15" t="s">
        <v>208</v>
      </c>
      <c r="H81" s="13" t="s">
        <v>209</v>
      </c>
      <c r="I81" s="15" t="s">
        <v>210</v>
      </c>
      <c r="J81" s="15" t="s">
        <v>211</v>
      </c>
      <c r="K81" s="15" t="s">
        <v>212</v>
      </c>
      <c r="L81" s="13" t="s">
        <v>213</v>
      </c>
      <c r="M81" s="15" t="s">
        <v>214</v>
      </c>
      <c r="N81" s="13" t="s">
        <v>91</v>
      </c>
      <c r="O81" s="15"/>
      <c r="P81" s="15"/>
      <c r="Q81" s="15" t="s">
        <v>169</v>
      </c>
      <c r="R81" s="13" t="s">
        <v>170</v>
      </c>
      <c r="S81" s="13" t="s">
        <v>162</v>
      </c>
      <c r="T81" s="13" t="s">
        <v>95</v>
      </c>
      <c r="U81" s="14">
        <v>43466</v>
      </c>
      <c r="V81" s="14"/>
      <c r="W81" s="15"/>
      <c r="X81" s="13"/>
      <c r="Y81" s="15"/>
      <c r="Z81" s="13"/>
      <c r="AA81" s="15"/>
      <c r="AB81" s="13"/>
      <c r="AC81" s="15"/>
      <c r="AD81" s="13"/>
      <c r="AE81" s="15"/>
    </row>
    <row r="82" spans="1:31" ht="29" x14ac:dyDescent="0.35">
      <c r="A82" s="13" t="s">
        <v>80</v>
      </c>
      <c r="B82" s="13" t="s">
        <v>81</v>
      </c>
      <c r="C82" s="14">
        <v>43756.495138888888</v>
      </c>
      <c r="D82" s="13" t="s">
        <v>205</v>
      </c>
      <c r="E82" s="15" t="s">
        <v>206</v>
      </c>
      <c r="F82" s="13" t="s">
        <v>207</v>
      </c>
      <c r="G82" s="15" t="s">
        <v>208</v>
      </c>
      <c r="H82" s="13" t="s">
        <v>209</v>
      </c>
      <c r="I82" s="15" t="s">
        <v>210</v>
      </c>
      <c r="J82" s="15" t="s">
        <v>211</v>
      </c>
      <c r="K82" s="15" t="s">
        <v>212</v>
      </c>
      <c r="L82" s="13" t="s">
        <v>241</v>
      </c>
      <c r="M82" s="15" t="s">
        <v>242</v>
      </c>
      <c r="N82" s="13" t="s">
        <v>127</v>
      </c>
      <c r="O82" s="15"/>
      <c r="P82" s="15"/>
      <c r="Q82" s="15" t="s">
        <v>169</v>
      </c>
      <c r="R82" s="13" t="s">
        <v>170</v>
      </c>
      <c r="S82" s="13" t="s">
        <v>162</v>
      </c>
      <c r="T82" s="13" t="s">
        <v>95</v>
      </c>
      <c r="U82" s="14">
        <v>40725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</row>
    <row r="83" spans="1:31" ht="43.5" x14ac:dyDescent="0.35">
      <c r="A83" s="13" t="s">
        <v>80</v>
      </c>
      <c r="B83" s="13" t="s">
        <v>81</v>
      </c>
      <c r="C83" s="14">
        <v>43756.489583333336</v>
      </c>
      <c r="D83" s="13" t="s">
        <v>205</v>
      </c>
      <c r="E83" s="15" t="s">
        <v>206</v>
      </c>
      <c r="F83" s="13" t="s">
        <v>207</v>
      </c>
      <c r="G83" s="15" t="s">
        <v>208</v>
      </c>
      <c r="H83" s="13" t="s">
        <v>209</v>
      </c>
      <c r="I83" s="15" t="s">
        <v>210</v>
      </c>
      <c r="J83" s="15" t="s">
        <v>211</v>
      </c>
      <c r="K83" s="15" t="s">
        <v>212</v>
      </c>
      <c r="L83" s="13" t="s">
        <v>213</v>
      </c>
      <c r="M83" s="15" t="s">
        <v>214</v>
      </c>
      <c r="N83" s="13" t="s">
        <v>91</v>
      </c>
      <c r="O83" s="15"/>
      <c r="P83" s="15"/>
      <c r="Q83" s="15" t="s">
        <v>172</v>
      </c>
      <c r="R83" s="13" t="s">
        <v>173</v>
      </c>
      <c r="S83" s="13" t="s">
        <v>162</v>
      </c>
      <c r="T83" s="13" t="s">
        <v>131</v>
      </c>
      <c r="U83" s="14">
        <v>40725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</row>
    <row r="84" spans="1:31" ht="43.5" x14ac:dyDescent="0.35">
      <c r="A84" s="13" t="s">
        <v>80</v>
      </c>
      <c r="B84" s="13" t="s">
        <v>81</v>
      </c>
      <c r="C84" s="14">
        <v>43756.496527777781</v>
      </c>
      <c r="D84" s="13" t="s">
        <v>205</v>
      </c>
      <c r="E84" s="15" t="s">
        <v>206</v>
      </c>
      <c r="F84" s="13" t="s">
        <v>207</v>
      </c>
      <c r="G84" s="15" t="s">
        <v>208</v>
      </c>
      <c r="H84" s="13" t="s">
        <v>209</v>
      </c>
      <c r="I84" s="15" t="s">
        <v>210</v>
      </c>
      <c r="J84" s="15" t="s">
        <v>211</v>
      </c>
      <c r="K84" s="15" t="s">
        <v>212</v>
      </c>
      <c r="L84" s="13" t="s">
        <v>241</v>
      </c>
      <c r="M84" s="15" t="s">
        <v>242</v>
      </c>
      <c r="N84" s="13" t="s">
        <v>127</v>
      </c>
      <c r="O84" s="15"/>
      <c r="P84" s="15"/>
      <c r="Q84" s="15" t="s">
        <v>172</v>
      </c>
      <c r="R84" s="13" t="s">
        <v>173</v>
      </c>
      <c r="S84" s="13" t="s">
        <v>162</v>
      </c>
      <c r="T84" s="13" t="s">
        <v>131</v>
      </c>
      <c r="U84" s="14">
        <v>40725</v>
      </c>
      <c r="V84" s="14"/>
      <c r="W84" s="15"/>
      <c r="X84" s="13"/>
      <c r="Y84" s="15"/>
      <c r="Z84" s="13"/>
      <c r="AA84" s="15"/>
      <c r="AB84" s="13"/>
      <c r="AC84" s="15"/>
      <c r="AD84" s="13"/>
      <c r="AE84" s="15"/>
    </row>
    <row r="85" spans="1:31" s="22" customFormat="1" ht="43.5" x14ac:dyDescent="0.35">
      <c r="A85" s="19" t="s">
        <v>147</v>
      </c>
      <c r="B85" s="19" t="s">
        <v>148</v>
      </c>
      <c r="C85" s="20">
        <v>45995.472222222219</v>
      </c>
      <c r="D85" s="19" t="s">
        <v>205</v>
      </c>
      <c r="E85" s="21" t="s">
        <v>206</v>
      </c>
      <c r="F85" s="19" t="s">
        <v>207</v>
      </c>
      <c r="G85" s="21" t="s">
        <v>208</v>
      </c>
      <c r="H85" s="19" t="s">
        <v>209</v>
      </c>
      <c r="I85" s="21" t="s">
        <v>210</v>
      </c>
      <c r="J85" s="21" t="s">
        <v>211</v>
      </c>
      <c r="K85" s="21" t="s">
        <v>212</v>
      </c>
      <c r="L85" s="19" t="s">
        <v>213</v>
      </c>
      <c r="M85" s="21" t="s">
        <v>214</v>
      </c>
      <c r="N85" s="19" t="s">
        <v>91</v>
      </c>
      <c r="O85" s="21"/>
      <c r="P85" s="21"/>
      <c r="Q85" s="21" t="s">
        <v>174</v>
      </c>
      <c r="R85" s="19" t="s">
        <v>175</v>
      </c>
      <c r="S85" s="19" t="s">
        <v>162</v>
      </c>
      <c r="T85" s="19" t="s">
        <v>131</v>
      </c>
      <c r="U85" s="20">
        <v>40725</v>
      </c>
      <c r="V85" s="20">
        <v>45900</v>
      </c>
      <c r="W85" s="21"/>
      <c r="X85" s="19"/>
      <c r="Y85" s="21"/>
      <c r="Z85" s="19"/>
      <c r="AA85" s="21"/>
      <c r="AB85" s="19"/>
      <c r="AC85" s="21"/>
      <c r="AD85" s="19" t="s">
        <v>176</v>
      </c>
      <c r="AE85" s="21"/>
    </row>
    <row r="86" spans="1:31" s="22" customFormat="1" ht="43.5" x14ac:dyDescent="0.35">
      <c r="A86" s="19" t="s">
        <v>147</v>
      </c>
      <c r="B86" s="19" t="s">
        <v>81</v>
      </c>
      <c r="C86" s="20">
        <v>45995.472222222219</v>
      </c>
      <c r="D86" s="19" t="s">
        <v>205</v>
      </c>
      <c r="E86" s="21" t="s">
        <v>206</v>
      </c>
      <c r="F86" s="19" t="s">
        <v>207</v>
      </c>
      <c r="G86" s="21" t="s">
        <v>208</v>
      </c>
      <c r="H86" s="19" t="s">
        <v>209</v>
      </c>
      <c r="I86" s="21" t="s">
        <v>210</v>
      </c>
      <c r="J86" s="21" t="s">
        <v>211</v>
      </c>
      <c r="K86" s="21" t="s">
        <v>212</v>
      </c>
      <c r="L86" s="19" t="s">
        <v>213</v>
      </c>
      <c r="M86" s="21" t="s">
        <v>214</v>
      </c>
      <c r="N86" s="19" t="s">
        <v>91</v>
      </c>
      <c r="O86" s="21"/>
      <c r="P86" s="21"/>
      <c r="Q86" s="21" t="s">
        <v>174</v>
      </c>
      <c r="R86" s="19" t="s">
        <v>175</v>
      </c>
      <c r="S86" s="19" t="s">
        <v>162</v>
      </c>
      <c r="T86" s="19" t="s">
        <v>95</v>
      </c>
      <c r="U86" s="20">
        <v>45901</v>
      </c>
      <c r="V86" s="20"/>
      <c r="W86" s="21"/>
      <c r="X86" s="19"/>
      <c r="Y86" s="21"/>
      <c r="Z86" s="19"/>
      <c r="AA86" s="21"/>
      <c r="AB86" s="19"/>
      <c r="AC86" s="21"/>
      <c r="AD86" s="19" t="s">
        <v>176</v>
      </c>
      <c r="AE86" s="21"/>
    </row>
    <row r="87" spans="1:31" s="22" customFormat="1" ht="43.5" x14ac:dyDescent="0.35">
      <c r="A87" s="19" t="s">
        <v>147</v>
      </c>
      <c r="B87" s="19" t="s">
        <v>148</v>
      </c>
      <c r="C87" s="20">
        <v>45995.472916666666</v>
      </c>
      <c r="D87" s="19" t="s">
        <v>205</v>
      </c>
      <c r="E87" s="21" t="s">
        <v>206</v>
      </c>
      <c r="F87" s="19" t="s">
        <v>207</v>
      </c>
      <c r="G87" s="21" t="s">
        <v>208</v>
      </c>
      <c r="H87" s="19" t="s">
        <v>209</v>
      </c>
      <c r="I87" s="21" t="s">
        <v>210</v>
      </c>
      <c r="J87" s="21" t="s">
        <v>211</v>
      </c>
      <c r="K87" s="21" t="s">
        <v>212</v>
      </c>
      <c r="L87" s="19" t="s">
        <v>241</v>
      </c>
      <c r="M87" s="21" t="s">
        <v>242</v>
      </c>
      <c r="N87" s="19" t="s">
        <v>127</v>
      </c>
      <c r="O87" s="21"/>
      <c r="P87" s="21"/>
      <c r="Q87" s="21" t="s">
        <v>174</v>
      </c>
      <c r="R87" s="19" t="s">
        <v>175</v>
      </c>
      <c r="S87" s="19" t="s">
        <v>162</v>
      </c>
      <c r="T87" s="19" t="s">
        <v>131</v>
      </c>
      <c r="U87" s="20">
        <v>40725</v>
      </c>
      <c r="V87" s="20">
        <v>45900</v>
      </c>
      <c r="W87" s="21"/>
      <c r="X87" s="19"/>
      <c r="Y87" s="21"/>
      <c r="Z87" s="19"/>
      <c r="AA87" s="21"/>
      <c r="AB87" s="19"/>
      <c r="AC87" s="21"/>
      <c r="AD87" s="19" t="s">
        <v>176</v>
      </c>
      <c r="AE87" s="21"/>
    </row>
    <row r="88" spans="1:31" s="22" customFormat="1" ht="43.5" x14ac:dyDescent="0.35">
      <c r="A88" s="19" t="s">
        <v>147</v>
      </c>
      <c r="B88" s="19" t="s">
        <v>81</v>
      </c>
      <c r="C88" s="20">
        <v>45995.472916666666</v>
      </c>
      <c r="D88" s="19" t="s">
        <v>205</v>
      </c>
      <c r="E88" s="21" t="s">
        <v>206</v>
      </c>
      <c r="F88" s="19" t="s">
        <v>207</v>
      </c>
      <c r="G88" s="21" t="s">
        <v>208</v>
      </c>
      <c r="H88" s="19" t="s">
        <v>209</v>
      </c>
      <c r="I88" s="21" t="s">
        <v>210</v>
      </c>
      <c r="J88" s="21" t="s">
        <v>211</v>
      </c>
      <c r="K88" s="21" t="s">
        <v>212</v>
      </c>
      <c r="L88" s="19" t="s">
        <v>241</v>
      </c>
      <c r="M88" s="21" t="s">
        <v>242</v>
      </c>
      <c r="N88" s="19" t="s">
        <v>127</v>
      </c>
      <c r="O88" s="21"/>
      <c r="P88" s="21"/>
      <c r="Q88" s="21" t="s">
        <v>174</v>
      </c>
      <c r="R88" s="19" t="s">
        <v>175</v>
      </c>
      <c r="S88" s="19" t="s">
        <v>162</v>
      </c>
      <c r="T88" s="19" t="s">
        <v>95</v>
      </c>
      <c r="U88" s="20">
        <v>45901</v>
      </c>
      <c r="V88" s="20"/>
      <c r="W88" s="21"/>
      <c r="X88" s="19"/>
      <c r="Y88" s="21"/>
      <c r="Z88" s="19"/>
      <c r="AA88" s="21"/>
      <c r="AB88" s="19"/>
      <c r="AC88" s="21"/>
      <c r="AD88" s="19" t="s">
        <v>176</v>
      </c>
      <c r="AE88" s="21"/>
    </row>
    <row r="89" spans="1:31" ht="29" x14ac:dyDescent="0.35">
      <c r="A89" s="13" t="s">
        <v>80</v>
      </c>
      <c r="B89" s="13" t="s">
        <v>81</v>
      </c>
      <c r="C89" s="14">
        <v>43756.490277777775</v>
      </c>
      <c r="D89" s="13" t="s">
        <v>205</v>
      </c>
      <c r="E89" s="15" t="s">
        <v>206</v>
      </c>
      <c r="F89" s="13" t="s">
        <v>207</v>
      </c>
      <c r="G89" s="15" t="s">
        <v>208</v>
      </c>
      <c r="H89" s="13" t="s">
        <v>209</v>
      </c>
      <c r="I89" s="15" t="s">
        <v>210</v>
      </c>
      <c r="J89" s="15" t="s">
        <v>211</v>
      </c>
      <c r="K89" s="15" t="s">
        <v>212</v>
      </c>
      <c r="L89" s="13" t="s">
        <v>213</v>
      </c>
      <c r="M89" s="15" t="s">
        <v>214</v>
      </c>
      <c r="N89" s="13" t="s">
        <v>91</v>
      </c>
      <c r="O89" s="15"/>
      <c r="P89" s="15"/>
      <c r="Q89" s="15" t="s">
        <v>181</v>
      </c>
      <c r="R89" s="13" t="s">
        <v>182</v>
      </c>
      <c r="S89" s="13" t="s">
        <v>162</v>
      </c>
      <c r="T89" s="13" t="s">
        <v>131</v>
      </c>
      <c r="U89" s="14">
        <v>40725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</row>
    <row r="90" spans="1:31" ht="29" x14ac:dyDescent="0.35">
      <c r="A90" s="13" t="s">
        <v>80</v>
      </c>
      <c r="B90" s="13" t="s">
        <v>81</v>
      </c>
      <c r="C90" s="14">
        <v>43756.49722222222</v>
      </c>
      <c r="D90" s="13" t="s">
        <v>205</v>
      </c>
      <c r="E90" s="15" t="s">
        <v>206</v>
      </c>
      <c r="F90" s="13" t="s">
        <v>207</v>
      </c>
      <c r="G90" s="15" t="s">
        <v>208</v>
      </c>
      <c r="H90" s="13" t="s">
        <v>209</v>
      </c>
      <c r="I90" s="15" t="s">
        <v>210</v>
      </c>
      <c r="J90" s="15" t="s">
        <v>211</v>
      </c>
      <c r="K90" s="15" t="s">
        <v>212</v>
      </c>
      <c r="L90" s="13" t="s">
        <v>241</v>
      </c>
      <c r="M90" s="15" t="s">
        <v>242</v>
      </c>
      <c r="N90" s="13" t="s">
        <v>127</v>
      </c>
      <c r="O90" s="15"/>
      <c r="P90" s="15"/>
      <c r="Q90" s="15" t="s">
        <v>181</v>
      </c>
      <c r="R90" s="13" t="s">
        <v>182</v>
      </c>
      <c r="S90" s="13" t="s">
        <v>162</v>
      </c>
      <c r="T90" s="13" t="s">
        <v>131</v>
      </c>
      <c r="U90" s="14">
        <v>40725</v>
      </c>
      <c r="V90" s="14"/>
      <c r="W90" s="15"/>
      <c r="X90" s="13"/>
      <c r="Y90" s="15"/>
      <c r="Z90" s="13"/>
      <c r="AA90" s="15"/>
      <c r="AB90" s="13"/>
      <c r="AC90" s="15"/>
      <c r="AD90" s="13"/>
      <c r="AE90" s="15"/>
    </row>
    <row r="91" spans="1:31" ht="101.5" x14ac:dyDescent="0.35">
      <c r="A91" s="13" t="s">
        <v>183</v>
      </c>
      <c r="B91" s="13" t="s">
        <v>81</v>
      </c>
      <c r="C91" s="14">
        <v>44959.538194444445</v>
      </c>
      <c r="D91" s="13" t="s">
        <v>205</v>
      </c>
      <c r="E91" s="15" t="s">
        <v>206</v>
      </c>
      <c r="F91" s="13" t="s">
        <v>207</v>
      </c>
      <c r="G91" s="15" t="s">
        <v>208</v>
      </c>
      <c r="H91" s="13" t="s">
        <v>288</v>
      </c>
      <c r="I91" s="15" t="s">
        <v>289</v>
      </c>
      <c r="J91" s="15" t="s">
        <v>290</v>
      </c>
      <c r="K91" s="15" t="s">
        <v>291</v>
      </c>
      <c r="L91" s="13" t="s">
        <v>292</v>
      </c>
      <c r="M91" s="15" t="s">
        <v>293</v>
      </c>
      <c r="N91" s="13" t="s">
        <v>91</v>
      </c>
      <c r="O91" s="15"/>
      <c r="P91" s="15"/>
      <c r="Q91" s="15" t="s">
        <v>92</v>
      </c>
      <c r="R91" s="13" t="s">
        <v>93</v>
      </c>
      <c r="S91" s="13" t="s">
        <v>94</v>
      </c>
      <c r="T91" s="13" t="s">
        <v>95</v>
      </c>
      <c r="U91" s="14">
        <v>44767</v>
      </c>
      <c r="V91" s="14"/>
      <c r="W91" s="15" t="s">
        <v>355</v>
      </c>
      <c r="X91" s="13" t="s">
        <v>343</v>
      </c>
      <c r="Y91" s="15" t="str">
        <f>VLOOKUP(X91,'Axe 2 Règles de gestion'!$D$2:$F$85,3, FALSE)</f>
        <v>Rémunération : L'agent perçoit l'intégralité de sa rémunération.</v>
      </c>
      <c r="Z91" s="13" t="s">
        <v>356</v>
      </c>
      <c r="AA91" s="15" t="str">
        <f>VLOOKUP(Z91,'Axe 2 Règles de gestion'!$D$2:$F$85,3, FALSE)</f>
        <v>Carrière : L'agent conserve ses droits à l'avancement d'échelon et à l'avancement de grade en totalité. La durée de la formation est prise en compte comme service effectif.</v>
      </c>
      <c r="AB91" s="13" t="s">
        <v>358</v>
      </c>
      <c r="AC91" s="15" t="str">
        <f>VLOOKUP(AB91,'Axe 2 Règles de gestion'!$D$2:$F$85,3, FALSE)</f>
        <v>Retraite : La formation est considérée comme une période d'activité pour la retraite.</v>
      </c>
      <c r="AD91" s="13"/>
      <c r="AE91" s="15"/>
    </row>
    <row r="92" spans="1:31" ht="58" x14ac:dyDescent="0.35">
      <c r="A92" s="13" t="s">
        <v>183</v>
      </c>
      <c r="B92" s="13" t="s">
        <v>81</v>
      </c>
      <c r="C92" s="14">
        <v>44959.537499999999</v>
      </c>
      <c r="D92" s="13" t="s">
        <v>205</v>
      </c>
      <c r="E92" s="15" t="s">
        <v>206</v>
      </c>
      <c r="F92" s="13" t="s">
        <v>207</v>
      </c>
      <c r="G92" s="15" t="s">
        <v>208</v>
      </c>
      <c r="H92" s="13" t="s">
        <v>288</v>
      </c>
      <c r="I92" s="15" t="s">
        <v>289</v>
      </c>
      <c r="J92" s="15" t="s">
        <v>290</v>
      </c>
      <c r="K92" s="15" t="s">
        <v>291</v>
      </c>
      <c r="L92" s="13" t="s">
        <v>309</v>
      </c>
      <c r="M92" s="15" t="s">
        <v>310</v>
      </c>
      <c r="N92" s="13" t="s">
        <v>127</v>
      </c>
      <c r="O92" s="15"/>
      <c r="P92" s="15"/>
      <c r="Q92" s="15" t="s">
        <v>92</v>
      </c>
      <c r="R92" s="13" t="s">
        <v>93</v>
      </c>
      <c r="S92" s="13" t="s">
        <v>94</v>
      </c>
      <c r="T92" s="13" t="s">
        <v>95</v>
      </c>
      <c r="U92" s="14">
        <v>44767</v>
      </c>
      <c r="V92" s="14"/>
      <c r="W92" s="15"/>
      <c r="X92" s="13"/>
      <c r="Y92" s="15"/>
      <c r="Z92" s="13"/>
      <c r="AA92" s="15"/>
      <c r="AB92" s="13"/>
      <c r="AC92" s="15"/>
      <c r="AD92" s="13"/>
      <c r="AE92" s="15"/>
    </row>
    <row r="93" spans="1:31" ht="58" x14ac:dyDescent="0.35">
      <c r="A93" s="13" t="s">
        <v>183</v>
      </c>
      <c r="B93" s="13" t="s">
        <v>81</v>
      </c>
      <c r="C93" s="14">
        <v>44959.506944444445</v>
      </c>
      <c r="D93" s="13" t="s">
        <v>205</v>
      </c>
      <c r="E93" s="15" t="s">
        <v>206</v>
      </c>
      <c r="F93" s="13" t="s">
        <v>207</v>
      </c>
      <c r="G93" s="15" t="s">
        <v>208</v>
      </c>
      <c r="H93" s="13" t="s">
        <v>288</v>
      </c>
      <c r="I93" s="15" t="s">
        <v>289</v>
      </c>
      <c r="J93" s="15" t="s">
        <v>290</v>
      </c>
      <c r="K93" s="15" t="s">
        <v>291</v>
      </c>
      <c r="L93" s="13" t="s">
        <v>292</v>
      </c>
      <c r="M93" s="15" t="s">
        <v>293</v>
      </c>
      <c r="N93" s="13" t="s">
        <v>91</v>
      </c>
      <c r="O93" s="15"/>
      <c r="P93" s="15"/>
      <c r="Q93" s="15" t="s">
        <v>129</v>
      </c>
      <c r="R93" s="13" t="s">
        <v>130</v>
      </c>
      <c r="S93" s="13" t="s">
        <v>94</v>
      </c>
      <c r="T93" s="13" t="s">
        <v>131</v>
      </c>
      <c r="U93" s="14">
        <v>44767</v>
      </c>
      <c r="V93" s="14"/>
      <c r="W93" s="15"/>
      <c r="X93" s="13"/>
      <c r="Y93" s="15"/>
      <c r="Z93" s="13"/>
      <c r="AA93" s="15"/>
      <c r="AB93" s="13"/>
      <c r="AC93" s="15"/>
      <c r="AD93" s="13"/>
      <c r="AE93" s="15"/>
    </row>
    <row r="94" spans="1:31" ht="58" x14ac:dyDescent="0.35">
      <c r="A94" s="13" t="s">
        <v>183</v>
      </c>
      <c r="B94" s="13" t="s">
        <v>81</v>
      </c>
      <c r="C94" s="14">
        <v>44959.510416666664</v>
      </c>
      <c r="D94" s="13" t="s">
        <v>205</v>
      </c>
      <c r="E94" s="15" t="s">
        <v>206</v>
      </c>
      <c r="F94" s="13" t="s">
        <v>207</v>
      </c>
      <c r="G94" s="15" t="s">
        <v>208</v>
      </c>
      <c r="H94" s="13" t="s">
        <v>288</v>
      </c>
      <c r="I94" s="15" t="s">
        <v>289</v>
      </c>
      <c r="J94" s="15" t="s">
        <v>290</v>
      </c>
      <c r="K94" s="15" t="s">
        <v>291</v>
      </c>
      <c r="L94" s="13" t="s">
        <v>309</v>
      </c>
      <c r="M94" s="15" t="s">
        <v>310</v>
      </c>
      <c r="N94" s="13" t="s">
        <v>127</v>
      </c>
      <c r="O94" s="15"/>
      <c r="P94" s="15"/>
      <c r="Q94" s="15" t="s">
        <v>129</v>
      </c>
      <c r="R94" s="13" t="s">
        <v>130</v>
      </c>
      <c r="S94" s="13" t="s">
        <v>94</v>
      </c>
      <c r="T94" s="13" t="s">
        <v>131</v>
      </c>
      <c r="U94" s="14">
        <v>44767</v>
      </c>
      <c r="V94" s="14"/>
      <c r="W94" s="15"/>
      <c r="X94" s="13"/>
      <c r="Y94" s="15"/>
      <c r="Z94" s="13"/>
      <c r="AA94" s="15"/>
      <c r="AB94" s="13"/>
      <c r="AC94" s="15"/>
      <c r="AD94" s="13"/>
      <c r="AE94" s="15"/>
    </row>
    <row r="95" spans="1:31" ht="58" x14ac:dyDescent="0.35">
      <c r="A95" s="13" t="s">
        <v>183</v>
      </c>
      <c r="B95" s="13" t="s">
        <v>81</v>
      </c>
      <c r="C95" s="14">
        <v>44959.538194444445</v>
      </c>
      <c r="D95" s="13" t="s">
        <v>205</v>
      </c>
      <c r="E95" s="15" t="s">
        <v>206</v>
      </c>
      <c r="F95" s="13" t="s">
        <v>207</v>
      </c>
      <c r="G95" s="15" t="s">
        <v>208</v>
      </c>
      <c r="H95" s="13" t="s">
        <v>288</v>
      </c>
      <c r="I95" s="15" t="s">
        <v>289</v>
      </c>
      <c r="J95" s="15" t="s">
        <v>290</v>
      </c>
      <c r="K95" s="15" t="s">
        <v>291</v>
      </c>
      <c r="L95" s="13" t="s">
        <v>292</v>
      </c>
      <c r="M95" s="15" t="s">
        <v>293</v>
      </c>
      <c r="N95" s="13" t="s">
        <v>91</v>
      </c>
      <c r="O95" s="15"/>
      <c r="P95" s="15"/>
      <c r="Q95" s="15" t="s">
        <v>132</v>
      </c>
      <c r="R95" s="13" t="s">
        <v>133</v>
      </c>
      <c r="S95" s="13" t="s">
        <v>94</v>
      </c>
      <c r="T95" s="13" t="s">
        <v>95</v>
      </c>
      <c r="U95" s="14">
        <v>44767</v>
      </c>
      <c r="V95" s="14"/>
      <c r="W95" s="15" t="s">
        <v>360</v>
      </c>
      <c r="X95" s="13" t="s">
        <v>343</v>
      </c>
      <c r="Y95" s="15" t="str">
        <f>VLOOKUP(X95,'Axe 2 Règles de gestion'!$D$2:$F$85,3, FALSE)</f>
        <v>Rémunération : L'agent perçoit l'intégralité de sa rémunération.</v>
      </c>
      <c r="Z95" s="13" t="s">
        <v>361</v>
      </c>
      <c r="AA95" s="15" t="str">
        <f>VLOOKUP(Z95,'Axe 2 Règles de gestion'!$D$2:$F$85,3, FALSE)</f>
        <v>Carrière : La durée de la formation est prise en compte comme service effectif.</v>
      </c>
      <c r="AB95" s="13" t="s">
        <v>358</v>
      </c>
      <c r="AC95" s="15" t="str">
        <f>VLOOKUP(AB95,'Axe 2 Règles de gestion'!$D$2:$F$85,3, FALSE)</f>
        <v>Retraite : La formation est considérée comme une période d'activité pour la retraite.</v>
      </c>
      <c r="AD95" s="13"/>
      <c r="AE95" s="15"/>
    </row>
    <row r="96" spans="1:31" ht="58" x14ac:dyDescent="0.35">
      <c r="A96" s="13" t="s">
        <v>183</v>
      </c>
      <c r="B96" s="13" t="s">
        <v>81</v>
      </c>
      <c r="C96" s="14">
        <v>44959.536805555559</v>
      </c>
      <c r="D96" s="13" t="s">
        <v>205</v>
      </c>
      <c r="E96" s="15" t="s">
        <v>206</v>
      </c>
      <c r="F96" s="13" t="s">
        <v>207</v>
      </c>
      <c r="G96" s="15" t="s">
        <v>208</v>
      </c>
      <c r="H96" s="13" t="s">
        <v>288</v>
      </c>
      <c r="I96" s="15" t="s">
        <v>289</v>
      </c>
      <c r="J96" s="15" t="s">
        <v>290</v>
      </c>
      <c r="K96" s="15" t="s">
        <v>291</v>
      </c>
      <c r="L96" s="13" t="s">
        <v>309</v>
      </c>
      <c r="M96" s="15" t="s">
        <v>310</v>
      </c>
      <c r="N96" s="13" t="s">
        <v>127</v>
      </c>
      <c r="O96" s="15"/>
      <c r="P96" s="15"/>
      <c r="Q96" s="15" t="s">
        <v>132</v>
      </c>
      <c r="R96" s="13" t="s">
        <v>133</v>
      </c>
      <c r="S96" s="13" t="s">
        <v>94</v>
      </c>
      <c r="T96" s="13" t="s">
        <v>95</v>
      </c>
      <c r="U96" s="14">
        <v>44767</v>
      </c>
      <c r="V96" s="14"/>
      <c r="W96" s="15"/>
      <c r="X96" s="13"/>
      <c r="Y96" s="15"/>
      <c r="Z96" s="13"/>
      <c r="AA96" s="15"/>
      <c r="AB96" s="13"/>
      <c r="AC96" s="15"/>
      <c r="AD96" s="13"/>
      <c r="AE96" s="15"/>
    </row>
    <row r="97" spans="1:31" s="22" customFormat="1" ht="87" x14ac:dyDescent="0.35">
      <c r="A97" s="19" t="s">
        <v>147</v>
      </c>
      <c r="B97" s="19" t="s">
        <v>148</v>
      </c>
      <c r="C97" s="20">
        <v>45973.65347222222</v>
      </c>
      <c r="D97" s="19" t="s">
        <v>205</v>
      </c>
      <c r="E97" s="21" t="s">
        <v>206</v>
      </c>
      <c r="F97" s="19" t="s">
        <v>207</v>
      </c>
      <c r="G97" s="21" t="s">
        <v>208</v>
      </c>
      <c r="H97" s="19" t="s">
        <v>288</v>
      </c>
      <c r="I97" s="21" t="s">
        <v>289</v>
      </c>
      <c r="J97" s="21" t="s">
        <v>290</v>
      </c>
      <c r="K97" s="21" t="s">
        <v>291</v>
      </c>
      <c r="L97" s="19" t="s">
        <v>292</v>
      </c>
      <c r="M97" s="21" t="s">
        <v>293</v>
      </c>
      <c r="N97" s="19" t="s">
        <v>91</v>
      </c>
      <c r="O97" s="21"/>
      <c r="P97" s="21"/>
      <c r="Q97" s="21" t="s">
        <v>149</v>
      </c>
      <c r="R97" s="19" t="s">
        <v>150</v>
      </c>
      <c r="S97" s="19" t="s">
        <v>94</v>
      </c>
      <c r="T97" s="19" t="s">
        <v>95</v>
      </c>
      <c r="U97" s="20">
        <v>44767</v>
      </c>
      <c r="V97" s="20"/>
      <c r="W97" s="21" t="s">
        <v>363</v>
      </c>
      <c r="X97" s="19" t="s">
        <v>343</v>
      </c>
      <c r="Y97" s="21" t="str">
        <f>VLOOKUP(X97,'Axe 2 Règles de gestion'!$D$2:$F$85,3, FALSE)</f>
        <v>Rémunération : L'agent perçoit l'intégralité de sa rémunération.</v>
      </c>
      <c r="Z97" s="19" t="s">
        <v>364</v>
      </c>
      <c r="AA97" s="21" t="str">
        <f>VLOOKUP(Z97,'Axe 2 Règles de gestion'!$D$2:$F$85,3, FALSE)</f>
        <v>Carrière : L'agent conserve ses droits à l'avancement d'échelon en totalité. La durée de la formation est prise en compte comme service effectif.</v>
      </c>
      <c r="AB97" s="19" t="s">
        <v>358</v>
      </c>
      <c r="AC97" s="21" t="str">
        <f>VLOOKUP(AB97,'Axe 2 Règles de gestion'!$D$2:$F$85,3, FALSE)</f>
        <v>Retraite : La formation est considérée comme une période d'activité pour la retraite.</v>
      </c>
      <c r="AD97" s="19" t="s">
        <v>155</v>
      </c>
      <c r="AE97" s="21"/>
    </row>
    <row r="98" spans="1:31" s="22" customFormat="1" ht="58" x14ac:dyDescent="0.35">
      <c r="A98" s="19" t="s">
        <v>147</v>
      </c>
      <c r="B98" s="19" t="s">
        <v>148</v>
      </c>
      <c r="C98" s="20">
        <v>45973.654861111114</v>
      </c>
      <c r="D98" s="19" t="s">
        <v>205</v>
      </c>
      <c r="E98" s="21" t="s">
        <v>206</v>
      </c>
      <c r="F98" s="19" t="s">
        <v>207</v>
      </c>
      <c r="G98" s="21" t="s">
        <v>208</v>
      </c>
      <c r="H98" s="19" t="s">
        <v>288</v>
      </c>
      <c r="I98" s="21" t="s">
        <v>289</v>
      </c>
      <c r="J98" s="21" t="s">
        <v>290</v>
      </c>
      <c r="K98" s="21" t="s">
        <v>291</v>
      </c>
      <c r="L98" s="19" t="s">
        <v>309</v>
      </c>
      <c r="M98" s="21" t="s">
        <v>310</v>
      </c>
      <c r="N98" s="19" t="s">
        <v>127</v>
      </c>
      <c r="O98" s="21"/>
      <c r="P98" s="21"/>
      <c r="Q98" s="21" t="s">
        <v>149</v>
      </c>
      <c r="R98" s="19" t="s">
        <v>150</v>
      </c>
      <c r="S98" s="19" t="s">
        <v>94</v>
      </c>
      <c r="T98" s="19" t="s">
        <v>95</v>
      </c>
      <c r="U98" s="20">
        <v>44767</v>
      </c>
      <c r="V98" s="20"/>
      <c r="W98" s="21"/>
      <c r="X98" s="19"/>
      <c r="Y98" s="21"/>
      <c r="Z98" s="19"/>
      <c r="AA98" s="21"/>
      <c r="AB98" s="19"/>
      <c r="AC98" s="21"/>
      <c r="AD98" s="19" t="s">
        <v>155</v>
      </c>
      <c r="AE98" s="21"/>
    </row>
    <row r="99" spans="1:31" ht="58" x14ac:dyDescent="0.35">
      <c r="A99" s="13" t="s">
        <v>183</v>
      </c>
      <c r="B99" s="13" t="s">
        <v>81</v>
      </c>
      <c r="C99" s="14">
        <v>44959.538194444445</v>
      </c>
      <c r="D99" s="13" t="s">
        <v>205</v>
      </c>
      <c r="E99" s="15" t="s">
        <v>206</v>
      </c>
      <c r="F99" s="13" t="s">
        <v>207</v>
      </c>
      <c r="G99" s="15" t="s">
        <v>208</v>
      </c>
      <c r="H99" s="13" t="s">
        <v>288</v>
      </c>
      <c r="I99" s="15" t="s">
        <v>289</v>
      </c>
      <c r="J99" s="15" t="s">
        <v>290</v>
      </c>
      <c r="K99" s="15" t="s">
        <v>291</v>
      </c>
      <c r="L99" s="13" t="s">
        <v>292</v>
      </c>
      <c r="M99" s="15" t="s">
        <v>293</v>
      </c>
      <c r="N99" s="13" t="s">
        <v>91</v>
      </c>
      <c r="O99" s="15"/>
      <c r="P99" s="15"/>
      <c r="Q99" s="15" t="s">
        <v>156</v>
      </c>
      <c r="R99" s="13" t="s">
        <v>157</v>
      </c>
      <c r="S99" s="13" t="s">
        <v>94</v>
      </c>
      <c r="T99" s="13" t="s">
        <v>95</v>
      </c>
      <c r="U99" s="14">
        <v>44767</v>
      </c>
      <c r="V99" s="14"/>
      <c r="W99" s="15" t="s">
        <v>360</v>
      </c>
      <c r="X99" s="13" t="s">
        <v>343</v>
      </c>
      <c r="Y99" s="15" t="str">
        <f>VLOOKUP(X99,'Axe 2 Règles de gestion'!$D$2:$F$85,3, FALSE)</f>
        <v>Rémunération : L'agent perçoit l'intégralité de sa rémunération.</v>
      </c>
      <c r="Z99" s="13" t="s">
        <v>361</v>
      </c>
      <c r="AA99" s="15" t="str">
        <f>VLOOKUP(Z99,'Axe 2 Règles de gestion'!$D$2:$F$85,3, FALSE)</f>
        <v>Carrière : La durée de la formation est prise en compte comme service effectif.</v>
      </c>
      <c r="AB99" s="13" t="s">
        <v>358</v>
      </c>
      <c r="AC99" s="15" t="str">
        <f>VLOOKUP(AB99,'Axe 2 Règles de gestion'!$D$2:$F$85,3, FALSE)</f>
        <v>Retraite : La formation est considérée comme une période d'activité pour la retraite.</v>
      </c>
      <c r="AD99" s="13"/>
      <c r="AE99" s="15"/>
    </row>
    <row r="100" spans="1:31" ht="58" x14ac:dyDescent="0.35">
      <c r="A100" s="13" t="s">
        <v>183</v>
      </c>
      <c r="B100" s="13" t="s">
        <v>81</v>
      </c>
      <c r="C100" s="14">
        <v>44959.510416666664</v>
      </c>
      <c r="D100" s="13" t="s">
        <v>205</v>
      </c>
      <c r="E100" s="15" t="s">
        <v>206</v>
      </c>
      <c r="F100" s="13" t="s">
        <v>207</v>
      </c>
      <c r="G100" s="15" t="s">
        <v>208</v>
      </c>
      <c r="H100" s="13" t="s">
        <v>288</v>
      </c>
      <c r="I100" s="15" t="s">
        <v>289</v>
      </c>
      <c r="J100" s="15" t="s">
        <v>290</v>
      </c>
      <c r="K100" s="15" t="s">
        <v>291</v>
      </c>
      <c r="L100" s="13" t="s">
        <v>309</v>
      </c>
      <c r="M100" s="15" t="s">
        <v>310</v>
      </c>
      <c r="N100" s="13" t="s">
        <v>127</v>
      </c>
      <c r="O100" s="15"/>
      <c r="P100" s="15"/>
      <c r="Q100" s="15" t="s">
        <v>156</v>
      </c>
      <c r="R100" s="13" t="s">
        <v>157</v>
      </c>
      <c r="S100" s="13" t="s">
        <v>94</v>
      </c>
      <c r="T100" s="13" t="s">
        <v>95</v>
      </c>
      <c r="U100" s="14">
        <v>44767</v>
      </c>
      <c r="V100" s="14"/>
      <c r="W100" s="15"/>
      <c r="X100" s="13"/>
      <c r="Y100" s="15"/>
      <c r="Z100" s="13"/>
      <c r="AA100" s="15"/>
      <c r="AB100" s="13"/>
      <c r="AC100" s="15"/>
      <c r="AD100" s="13"/>
      <c r="AE100" s="15"/>
    </row>
    <row r="101" spans="1:31" ht="58" x14ac:dyDescent="0.35">
      <c r="A101" s="13" t="s">
        <v>183</v>
      </c>
      <c r="B101" s="13" t="s">
        <v>81</v>
      </c>
      <c r="C101" s="14">
        <v>44959.538888888892</v>
      </c>
      <c r="D101" s="13" t="s">
        <v>205</v>
      </c>
      <c r="E101" s="15" t="s">
        <v>206</v>
      </c>
      <c r="F101" s="13" t="s">
        <v>207</v>
      </c>
      <c r="G101" s="15" t="s">
        <v>208</v>
      </c>
      <c r="H101" s="13" t="s">
        <v>288</v>
      </c>
      <c r="I101" s="15" t="s">
        <v>289</v>
      </c>
      <c r="J101" s="15" t="s">
        <v>290</v>
      </c>
      <c r="K101" s="15" t="s">
        <v>291</v>
      </c>
      <c r="L101" s="13" t="s">
        <v>292</v>
      </c>
      <c r="M101" s="15" t="s">
        <v>293</v>
      </c>
      <c r="N101" s="13" t="s">
        <v>91</v>
      </c>
      <c r="O101" s="15"/>
      <c r="P101" s="15"/>
      <c r="Q101" s="15" t="s">
        <v>160</v>
      </c>
      <c r="R101" s="13" t="s">
        <v>161</v>
      </c>
      <c r="S101" s="13" t="s">
        <v>162</v>
      </c>
      <c r="T101" s="13" t="s">
        <v>131</v>
      </c>
      <c r="U101" s="14">
        <v>44767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</row>
    <row r="102" spans="1:31" ht="58" x14ac:dyDescent="0.35">
      <c r="A102" s="13" t="s">
        <v>183</v>
      </c>
      <c r="B102" s="13" t="s">
        <v>81</v>
      </c>
      <c r="C102" s="14">
        <v>44959.540972222225</v>
      </c>
      <c r="D102" s="13" t="s">
        <v>205</v>
      </c>
      <c r="E102" s="15" t="s">
        <v>206</v>
      </c>
      <c r="F102" s="13" t="s">
        <v>207</v>
      </c>
      <c r="G102" s="15" t="s">
        <v>208</v>
      </c>
      <c r="H102" s="13" t="s">
        <v>288</v>
      </c>
      <c r="I102" s="15" t="s">
        <v>289</v>
      </c>
      <c r="J102" s="15" t="s">
        <v>290</v>
      </c>
      <c r="K102" s="15" t="s">
        <v>291</v>
      </c>
      <c r="L102" s="13" t="s">
        <v>309</v>
      </c>
      <c r="M102" s="15" t="s">
        <v>310</v>
      </c>
      <c r="N102" s="13" t="s">
        <v>127</v>
      </c>
      <c r="O102" s="15"/>
      <c r="P102" s="15"/>
      <c r="Q102" s="15" t="s">
        <v>160</v>
      </c>
      <c r="R102" s="13" t="s">
        <v>161</v>
      </c>
      <c r="S102" s="13" t="s">
        <v>162</v>
      </c>
      <c r="T102" s="13" t="s">
        <v>131</v>
      </c>
      <c r="U102" s="14">
        <v>44767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</row>
    <row r="103" spans="1:31" ht="58" x14ac:dyDescent="0.35">
      <c r="A103" s="13" t="s">
        <v>183</v>
      </c>
      <c r="B103" s="13" t="s">
        <v>81</v>
      </c>
      <c r="C103" s="14">
        <v>44959.538888888892</v>
      </c>
      <c r="D103" s="13" t="s">
        <v>205</v>
      </c>
      <c r="E103" s="15" t="s">
        <v>206</v>
      </c>
      <c r="F103" s="13" t="s">
        <v>207</v>
      </c>
      <c r="G103" s="15" t="s">
        <v>208</v>
      </c>
      <c r="H103" s="13" t="s">
        <v>288</v>
      </c>
      <c r="I103" s="15" t="s">
        <v>289</v>
      </c>
      <c r="J103" s="15" t="s">
        <v>290</v>
      </c>
      <c r="K103" s="15" t="s">
        <v>291</v>
      </c>
      <c r="L103" s="13" t="s">
        <v>292</v>
      </c>
      <c r="M103" s="15" t="s">
        <v>293</v>
      </c>
      <c r="N103" s="13" t="s">
        <v>91</v>
      </c>
      <c r="O103" s="15"/>
      <c r="P103" s="15"/>
      <c r="Q103" s="15" t="s">
        <v>163</v>
      </c>
      <c r="R103" s="13" t="s">
        <v>164</v>
      </c>
      <c r="S103" s="13" t="s">
        <v>162</v>
      </c>
      <c r="T103" s="13" t="s">
        <v>131</v>
      </c>
      <c r="U103" s="14">
        <v>44767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</row>
    <row r="104" spans="1:31" ht="58" x14ac:dyDescent="0.35">
      <c r="A104" s="13" t="s">
        <v>183</v>
      </c>
      <c r="B104" s="13" t="s">
        <v>81</v>
      </c>
      <c r="C104" s="14">
        <v>44959.540972222225</v>
      </c>
      <c r="D104" s="13" t="s">
        <v>205</v>
      </c>
      <c r="E104" s="15" t="s">
        <v>206</v>
      </c>
      <c r="F104" s="13" t="s">
        <v>207</v>
      </c>
      <c r="G104" s="15" t="s">
        <v>208</v>
      </c>
      <c r="H104" s="13" t="s">
        <v>288</v>
      </c>
      <c r="I104" s="15" t="s">
        <v>289</v>
      </c>
      <c r="J104" s="15" t="s">
        <v>290</v>
      </c>
      <c r="K104" s="15" t="s">
        <v>291</v>
      </c>
      <c r="L104" s="13" t="s">
        <v>309</v>
      </c>
      <c r="M104" s="15" t="s">
        <v>310</v>
      </c>
      <c r="N104" s="13" t="s">
        <v>127</v>
      </c>
      <c r="O104" s="15"/>
      <c r="P104" s="15"/>
      <c r="Q104" s="15" t="s">
        <v>163</v>
      </c>
      <c r="R104" s="13" t="s">
        <v>164</v>
      </c>
      <c r="S104" s="13" t="s">
        <v>162</v>
      </c>
      <c r="T104" s="13" t="s">
        <v>131</v>
      </c>
      <c r="U104" s="14">
        <v>44767</v>
      </c>
      <c r="V104" s="14"/>
      <c r="W104" s="15"/>
      <c r="X104" s="13"/>
      <c r="Y104" s="15"/>
      <c r="Z104" s="13"/>
      <c r="AA104" s="15"/>
      <c r="AB104" s="13"/>
      <c r="AC104" s="15"/>
      <c r="AD104" s="13"/>
      <c r="AE104" s="15"/>
    </row>
    <row r="105" spans="1:31" ht="58" x14ac:dyDescent="0.35">
      <c r="A105" s="13" t="s">
        <v>183</v>
      </c>
      <c r="B105" s="13" t="s">
        <v>81</v>
      </c>
      <c r="C105" s="14">
        <v>44959.538888888892</v>
      </c>
      <c r="D105" s="13" t="s">
        <v>205</v>
      </c>
      <c r="E105" s="15" t="s">
        <v>206</v>
      </c>
      <c r="F105" s="13" t="s">
        <v>207</v>
      </c>
      <c r="G105" s="15" t="s">
        <v>208</v>
      </c>
      <c r="H105" s="13" t="s">
        <v>288</v>
      </c>
      <c r="I105" s="15" t="s">
        <v>289</v>
      </c>
      <c r="J105" s="15" t="s">
        <v>290</v>
      </c>
      <c r="K105" s="15" t="s">
        <v>291</v>
      </c>
      <c r="L105" s="13" t="s">
        <v>292</v>
      </c>
      <c r="M105" s="15" t="s">
        <v>293</v>
      </c>
      <c r="N105" s="13" t="s">
        <v>91</v>
      </c>
      <c r="O105" s="15"/>
      <c r="P105" s="15"/>
      <c r="Q105" s="15" t="s">
        <v>165</v>
      </c>
      <c r="R105" s="13" t="s">
        <v>166</v>
      </c>
      <c r="S105" s="13" t="s">
        <v>162</v>
      </c>
      <c r="T105" s="13" t="s">
        <v>131</v>
      </c>
      <c r="U105" s="14">
        <v>44767</v>
      </c>
      <c r="V105" s="14"/>
      <c r="W105" s="15"/>
      <c r="X105" s="13"/>
      <c r="Y105" s="15"/>
      <c r="Z105" s="13"/>
      <c r="AA105" s="15"/>
      <c r="AB105" s="13"/>
      <c r="AC105" s="15"/>
      <c r="AD105" s="13"/>
      <c r="AE105" s="15"/>
    </row>
    <row r="106" spans="1:31" ht="58" x14ac:dyDescent="0.35">
      <c r="A106" s="13" t="s">
        <v>183</v>
      </c>
      <c r="B106" s="13" t="s">
        <v>81</v>
      </c>
      <c r="C106" s="14">
        <v>44959.541666666664</v>
      </c>
      <c r="D106" s="13" t="s">
        <v>205</v>
      </c>
      <c r="E106" s="15" t="s">
        <v>206</v>
      </c>
      <c r="F106" s="13" t="s">
        <v>207</v>
      </c>
      <c r="G106" s="15" t="s">
        <v>208</v>
      </c>
      <c r="H106" s="13" t="s">
        <v>288</v>
      </c>
      <c r="I106" s="15" t="s">
        <v>289</v>
      </c>
      <c r="J106" s="15" t="s">
        <v>290</v>
      </c>
      <c r="K106" s="15" t="s">
        <v>291</v>
      </c>
      <c r="L106" s="13" t="s">
        <v>309</v>
      </c>
      <c r="M106" s="15" t="s">
        <v>310</v>
      </c>
      <c r="N106" s="13" t="s">
        <v>127</v>
      </c>
      <c r="O106" s="15"/>
      <c r="P106" s="15"/>
      <c r="Q106" s="15" t="s">
        <v>165</v>
      </c>
      <c r="R106" s="13" t="s">
        <v>166</v>
      </c>
      <c r="S106" s="13" t="s">
        <v>162</v>
      </c>
      <c r="T106" s="13" t="s">
        <v>131</v>
      </c>
      <c r="U106" s="14">
        <v>44767</v>
      </c>
      <c r="V106" s="14"/>
      <c r="W106" s="15"/>
      <c r="X106" s="13"/>
      <c r="Y106" s="15"/>
      <c r="Z106" s="13"/>
      <c r="AA106" s="15"/>
      <c r="AB106" s="13"/>
      <c r="AC106" s="15"/>
      <c r="AD106" s="13"/>
      <c r="AE106" s="15"/>
    </row>
    <row r="107" spans="1:31" ht="58" x14ac:dyDescent="0.35">
      <c r="A107" s="13" t="s">
        <v>183</v>
      </c>
      <c r="B107" s="13" t="s">
        <v>81</v>
      </c>
      <c r="C107" s="14">
        <v>44959.539583333331</v>
      </c>
      <c r="D107" s="13" t="s">
        <v>205</v>
      </c>
      <c r="E107" s="15" t="s">
        <v>206</v>
      </c>
      <c r="F107" s="13" t="s">
        <v>207</v>
      </c>
      <c r="G107" s="15" t="s">
        <v>208</v>
      </c>
      <c r="H107" s="13" t="s">
        <v>288</v>
      </c>
      <c r="I107" s="15" t="s">
        <v>289</v>
      </c>
      <c r="J107" s="15" t="s">
        <v>290</v>
      </c>
      <c r="K107" s="15" t="s">
        <v>291</v>
      </c>
      <c r="L107" s="13" t="s">
        <v>292</v>
      </c>
      <c r="M107" s="15" t="s">
        <v>293</v>
      </c>
      <c r="N107" s="13" t="s">
        <v>91</v>
      </c>
      <c r="O107" s="15"/>
      <c r="P107" s="15"/>
      <c r="Q107" s="15" t="s">
        <v>167</v>
      </c>
      <c r="R107" s="13" t="s">
        <v>168</v>
      </c>
      <c r="S107" s="13" t="s">
        <v>162</v>
      </c>
      <c r="T107" s="13" t="s">
        <v>131</v>
      </c>
      <c r="U107" s="14">
        <v>44767</v>
      </c>
      <c r="V107" s="14"/>
      <c r="W107" s="15"/>
      <c r="X107" s="13"/>
      <c r="Y107" s="15"/>
      <c r="Z107" s="13"/>
      <c r="AA107" s="15"/>
      <c r="AB107" s="13"/>
      <c r="AC107" s="15"/>
      <c r="AD107" s="13"/>
      <c r="AE107" s="15"/>
    </row>
    <row r="108" spans="1:31" ht="58" x14ac:dyDescent="0.35">
      <c r="A108" s="13" t="s">
        <v>183</v>
      </c>
      <c r="B108" s="13" t="s">
        <v>81</v>
      </c>
      <c r="C108" s="14">
        <v>44959.541666666664</v>
      </c>
      <c r="D108" s="13" t="s">
        <v>205</v>
      </c>
      <c r="E108" s="15" t="s">
        <v>206</v>
      </c>
      <c r="F108" s="13" t="s">
        <v>207</v>
      </c>
      <c r="G108" s="15" t="s">
        <v>208</v>
      </c>
      <c r="H108" s="13" t="s">
        <v>288</v>
      </c>
      <c r="I108" s="15" t="s">
        <v>289</v>
      </c>
      <c r="J108" s="15" t="s">
        <v>290</v>
      </c>
      <c r="K108" s="15" t="s">
        <v>291</v>
      </c>
      <c r="L108" s="13" t="s">
        <v>309</v>
      </c>
      <c r="M108" s="15" t="s">
        <v>310</v>
      </c>
      <c r="N108" s="13" t="s">
        <v>127</v>
      </c>
      <c r="O108" s="15"/>
      <c r="P108" s="15"/>
      <c r="Q108" s="15" t="s">
        <v>167</v>
      </c>
      <c r="R108" s="13" t="s">
        <v>168</v>
      </c>
      <c r="S108" s="13" t="s">
        <v>162</v>
      </c>
      <c r="T108" s="13" t="s">
        <v>131</v>
      </c>
      <c r="U108" s="14">
        <v>44767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</row>
    <row r="109" spans="1:31" ht="58" x14ac:dyDescent="0.35">
      <c r="A109" s="13" t="s">
        <v>183</v>
      </c>
      <c r="B109" s="13" t="s">
        <v>81</v>
      </c>
      <c r="C109" s="14">
        <v>44959.539583333331</v>
      </c>
      <c r="D109" s="13" t="s">
        <v>205</v>
      </c>
      <c r="E109" s="15" t="s">
        <v>206</v>
      </c>
      <c r="F109" s="13" t="s">
        <v>207</v>
      </c>
      <c r="G109" s="15" t="s">
        <v>208</v>
      </c>
      <c r="H109" s="13" t="s">
        <v>288</v>
      </c>
      <c r="I109" s="15" t="s">
        <v>289</v>
      </c>
      <c r="J109" s="15" t="s">
        <v>290</v>
      </c>
      <c r="K109" s="15" t="s">
        <v>291</v>
      </c>
      <c r="L109" s="13" t="s">
        <v>292</v>
      </c>
      <c r="M109" s="15" t="s">
        <v>293</v>
      </c>
      <c r="N109" s="13" t="s">
        <v>91</v>
      </c>
      <c r="O109" s="15"/>
      <c r="P109" s="15"/>
      <c r="Q109" s="15" t="s">
        <v>169</v>
      </c>
      <c r="R109" s="13" t="s">
        <v>170</v>
      </c>
      <c r="S109" s="13" t="s">
        <v>162</v>
      </c>
      <c r="T109" s="13" t="s">
        <v>131</v>
      </c>
      <c r="U109" s="14">
        <v>44767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</row>
    <row r="110" spans="1:31" ht="58" x14ac:dyDescent="0.35">
      <c r="A110" s="13" t="s">
        <v>183</v>
      </c>
      <c r="B110" s="13" t="s">
        <v>81</v>
      </c>
      <c r="C110" s="14">
        <v>44959.541666666664</v>
      </c>
      <c r="D110" s="13" t="s">
        <v>205</v>
      </c>
      <c r="E110" s="15" t="s">
        <v>206</v>
      </c>
      <c r="F110" s="13" t="s">
        <v>207</v>
      </c>
      <c r="G110" s="15" t="s">
        <v>208</v>
      </c>
      <c r="H110" s="13" t="s">
        <v>288</v>
      </c>
      <c r="I110" s="15" t="s">
        <v>289</v>
      </c>
      <c r="J110" s="15" t="s">
        <v>290</v>
      </c>
      <c r="K110" s="15" t="s">
        <v>291</v>
      </c>
      <c r="L110" s="13" t="s">
        <v>309</v>
      </c>
      <c r="M110" s="15" t="s">
        <v>310</v>
      </c>
      <c r="N110" s="13" t="s">
        <v>127</v>
      </c>
      <c r="O110" s="15"/>
      <c r="P110" s="15"/>
      <c r="Q110" s="15" t="s">
        <v>169</v>
      </c>
      <c r="R110" s="13" t="s">
        <v>170</v>
      </c>
      <c r="S110" s="13" t="s">
        <v>162</v>
      </c>
      <c r="T110" s="13" t="s">
        <v>131</v>
      </c>
      <c r="U110" s="14">
        <v>44767</v>
      </c>
      <c r="V110" s="14"/>
      <c r="W110" s="15"/>
      <c r="X110" s="13"/>
      <c r="Y110" s="15"/>
      <c r="Z110" s="13"/>
      <c r="AA110" s="15"/>
      <c r="AB110" s="13"/>
      <c r="AC110" s="15"/>
      <c r="AD110" s="13"/>
      <c r="AE110" s="15"/>
    </row>
    <row r="111" spans="1:31" ht="58" x14ac:dyDescent="0.35">
      <c r="A111" s="13" t="s">
        <v>183</v>
      </c>
      <c r="B111" s="13" t="s">
        <v>81</v>
      </c>
      <c r="C111" s="14">
        <v>44959.539583333331</v>
      </c>
      <c r="D111" s="13" t="s">
        <v>205</v>
      </c>
      <c r="E111" s="15" t="s">
        <v>206</v>
      </c>
      <c r="F111" s="13" t="s">
        <v>207</v>
      </c>
      <c r="G111" s="15" t="s">
        <v>208</v>
      </c>
      <c r="H111" s="13" t="s">
        <v>288</v>
      </c>
      <c r="I111" s="15" t="s">
        <v>289</v>
      </c>
      <c r="J111" s="15" t="s">
        <v>290</v>
      </c>
      <c r="K111" s="15" t="s">
        <v>291</v>
      </c>
      <c r="L111" s="13" t="s">
        <v>292</v>
      </c>
      <c r="M111" s="15" t="s">
        <v>293</v>
      </c>
      <c r="N111" s="13" t="s">
        <v>91</v>
      </c>
      <c r="O111" s="15"/>
      <c r="P111" s="15"/>
      <c r="Q111" s="15" t="s">
        <v>172</v>
      </c>
      <c r="R111" s="13" t="s">
        <v>173</v>
      </c>
      <c r="S111" s="13" t="s">
        <v>162</v>
      </c>
      <c r="T111" s="13" t="s">
        <v>131</v>
      </c>
      <c r="U111" s="14">
        <v>44767</v>
      </c>
      <c r="V111" s="14"/>
      <c r="W111" s="15"/>
      <c r="X111" s="13"/>
      <c r="Y111" s="15"/>
      <c r="Z111" s="13"/>
      <c r="AA111" s="15"/>
      <c r="AB111" s="13"/>
      <c r="AC111" s="15"/>
      <c r="AD111" s="13"/>
      <c r="AE111" s="15"/>
    </row>
    <row r="112" spans="1:31" ht="58" x14ac:dyDescent="0.35">
      <c r="A112" s="13" t="s">
        <v>183</v>
      </c>
      <c r="B112" s="13" t="s">
        <v>81</v>
      </c>
      <c r="C112" s="14">
        <v>44959.541666666664</v>
      </c>
      <c r="D112" s="13" t="s">
        <v>205</v>
      </c>
      <c r="E112" s="15" t="s">
        <v>206</v>
      </c>
      <c r="F112" s="13" t="s">
        <v>207</v>
      </c>
      <c r="G112" s="15" t="s">
        <v>208</v>
      </c>
      <c r="H112" s="13" t="s">
        <v>288</v>
      </c>
      <c r="I112" s="15" t="s">
        <v>289</v>
      </c>
      <c r="J112" s="15" t="s">
        <v>290</v>
      </c>
      <c r="K112" s="15" t="s">
        <v>291</v>
      </c>
      <c r="L112" s="13" t="s">
        <v>309</v>
      </c>
      <c r="M112" s="15" t="s">
        <v>310</v>
      </c>
      <c r="N112" s="13" t="s">
        <v>127</v>
      </c>
      <c r="O112" s="15"/>
      <c r="P112" s="15"/>
      <c r="Q112" s="15" t="s">
        <v>172</v>
      </c>
      <c r="R112" s="13" t="s">
        <v>173</v>
      </c>
      <c r="S112" s="13" t="s">
        <v>162</v>
      </c>
      <c r="T112" s="13" t="s">
        <v>131</v>
      </c>
      <c r="U112" s="14">
        <v>44767</v>
      </c>
      <c r="V112" s="14"/>
      <c r="W112" s="15"/>
      <c r="X112" s="13"/>
      <c r="Y112" s="15"/>
      <c r="Z112" s="13"/>
      <c r="AA112" s="15"/>
      <c r="AB112" s="13"/>
      <c r="AC112" s="15"/>
      <c r="AD112" s="13"/>
      <c r="AE112" s="15"/>
    </row>
    <row r="113" spans="1:31" s="22" customFormat="1" ht="58" x14ac:dyDescent="0.35">
      <c r="A113" s="19" t="s">
        <v>147</v>
      </c>
      <c r="B113" s="19" t="s">
        <v>148</v>
      </c>
      <c r="C113" s="20">
        <v>45995.475694444445</v>
      </c>
      <c r="D113" s="19" t="s">
        <v>205</v>
      </c>
      <c r="E113" s="21" t="s">
        <v>206</v>
      </c>
      <c r="F113" s="19" t="s">
        <v>207</v>
      </c>
      <c r="G113" s="21" t="s">
        <v>208</v>
      </c>
      <c r="H113" s="19" t="s">
        <v>288</v>
      </c>
      <c r="I113" s="21" t="s">
        <v>289</v>
      </c>
      <c r="J113" s="21" t="s">
        <v>290</v>
      </c>
      <c r="K113" s="21" t="s">
        <v>291</v>
      </c>
      <c r="L113" s="19" t="s">
        <v>292</v>
      </c>
      <c r="M113" s="21" t="s">
        <v>293</v>
      </c>
      <c r="N113" s="19" t="s">
        <v>91</v>
      </c>
      <c r="O113" s="21"/>
      <c r="P113" s="21"/>
      <c r="Q113" s="21" t="s">
        <v>174</v>
      </c>
      <c r="R113" s="19" t="s">
        <v>175</v>
      </c>
      <c r="S113" s="19" t="s">
        <v>162</v>
      </c>
      <c r="T113" s="19" t="s">
        <v>131</v>
      </c>
      <c r="U113" s="20">
        <v>44767</v>
      </c>
      <c r="V113" s="20">
        <v>45900</v>
      </c>
      <c r="W113" s="21"/>
      <c r="X113" s="19"/>
      <c r="Y113" s="21"/>
      <c r="Z113" s="19"/>
      <c r="AA113" s="21"/>
      <c r="AB113" s="19"/>
      <c r="AC113" s="21"/>
      <c r="AD113" s="19" t="s">
        <v>176</v>
      </c>
      <c r="AE113" s="21"/>
    </row>
    <row r="114" spans="1:31" s="22" customFormat="1" ht="58" x14ac:dyDescent="0.35">
      <c r="A114" s="19" t="s">
        <v>147</v>
      </c>
      <c r="B114" s="19" t="s">
        <v>81</v>
      </c>
      <c r="C114" s="20">
        <v>45995.475694444445</v>
      </c>
      <c r="D114" s="19" t="s">
        <v>205</v>
      </c>
      <c r="E114" s="21" t="s">
        <v>206</v>
      </c>
      <c r="F114" s="19" t="s">
        <v>207</v>
      </c>
      <c r="G114" s="21" t="s">
        <v>208</v>
      </c>
      <c r="H114" s="19" t="s">
        <v>288</v>
      </c>
      <c r="I114" s="21" t="s">
        <v>289</v>
      </c>
      <c r="J114" s="21" t="s">
        <v>290</v>
      </c>
      <c r="K114" s="21" t="s">
        <v>291</v>
      </c>
      <c r="L114" s="19" t="s">
        <v>292</v>
      </c>
      <c r="M114" s="21" t="s">
        <v>293</v>
      </c>
      <c r="N114" s="19" t="s">
        <v>91</v>
      </c>
      <c r="O114" s="21"/>
      <c r="P114" s="21"/>
      <c r="Q114" s="21" t="s">
        <v>174</v>
      </c>
      <c r="R114" s="19" t="s">
        <v>175</v>
      </c>
      <c r="S114" s="19" t="s">
        <v>162</v>
      </c>
      <c r="T114" s="19" t="s">
        <v>95</v>
      </c>
      <c r="U114" s="20">
        <v>45901</v>
      </c>
      <c r="V114" s="20"/>
      <c r="W114" s="21"/>
      <c r="X114" s="19"/>
      <c r="Y114" s="21"/>
      <c r="Z114" s="19"/>
      <c r="AA114" s="21"/>
      <c r="AB114" s="19"/>
      <c r="AC114" s="21"/>
      <c r="AD114" s="19" t="s">
        <v>176</v>
      </c>
      <c r="AE114" s="21"/>
    </row>
    <row r="115" spans="1:31" s="22" customFormat="1" ht="58" x14ac:dyDescent="0.35">
      <c r="A115" s="19" t="s">
        <v>147</v>
      </c>
      <c r="B115" s="19" t="s">
        <v>148</v>
      </c>
      <c r="C115" s="20">
        <v>45995.477083333331</v>
      </c>
      <c r="D115" s="19" t="s">
        <v>205</v>
      </c>
      <c r="E115" s="21" t="s">
        <v>206</v>
      </c>
      <c r="F115" s="19" t="s">
        <v>207</v>
      </c>
      <c r="G115" s="21" t="s">
        <v>208</v>
      </c>
      <c r="H115" s="19" t="s">
        <v>288</v>
      </c>
      <c r="I115" s="21" t="s">
        <v>289</v>
      </c>
      <c r="J115" s="21" t="s">
        <v>290</v>
      </c>
      <c r="K115" s="21" t="s">
        <v>291</v>
      </c>
      <c r="L115" s="19" t="s">
        <v>309</v>
      </c>
      <c r="M115" s="21" t="s">
        <v>310</v>
      </c>
      <c r="N115" s="19" t="s">
        <v>127</v>
      </c>
      <c r="O115" s="21"/>
      <c r="P115" s="21"/>
      <c r="Q115" s="21" t="s">
        <v>174</v>
      </c>
      <c r="R115" s="19" t="s">
        <v>175</v>
      </c>
      <c r="S115" s="19" t="s">
        <v>162</v>
      </c>
      <c r="T115" s="19" t="s">
        <v>131</v>
      </c>
      <c r="U115" s="20">
        <v>44767</v>
      </c>
      <c r="V115" s="20">
        <v>45900</v>
      </c>
      <c r="W115" s="21"/>
      <c r="X115" s="19"/>
      <c r="Y115" s="21"/>
      <c r="Z115" s="19"/>
      <c r="AA115" s="21"/>
      <c r="AB115" s="19"/>
      <c r="AC115" s="21"/>
      <c r="AD115" s="19" t="s">
        <v>176</v>
      </c>
      <c r="AE115" s="21"/>
    </row>
    <row r="116" spans="1:31" s="22" customFormat="1" ht="58" x14ac:dyDescent="0.35">
      <c r="A116" s="19" t="s">
        <v>147</v>
      </c>
      <c r="B116" s="19" t="s">
        <v>81</v>
      </c>
      <c r="C116" s="20">
        <v>45995.477083333331</v>
      </c>
      <c r="D116" s="19" t="s">
        <v>205</v>
      </c>
      <c r="E116" s="21" t="s">
        <v>206</v>
      </c>
      <c r="F116" s="19" t="s">
        <v>207</v>
      </c>
      <c r="G116" s="21" t="s">
        <v>208</v>
      </c>
      <c r="H116" s="19" t="s">
        <v>288</v>
      </c>
      <c r="I116" s="21" t="s">
        <v>289</v>
      </c>
      <c r="J116" s="21" t="s">
        <v>290</v>
      </c>
      <c r="K116" s="21" t="s">
        <v>291</v>
      </c>
      <c r="L116" s="19" t="s">
        <v>309</v>
      </c>
      <c r="M116" s="21" t="s">
        <v>310</v>
      </c>
      <c r="N116" s="19" t="s">
        <v>127</v>
      </c>
      <c r="O116" s="21"/>
      <c r="P116" s="21"/>
      <c r="Q116" s="21" t="s">
        <v>174</v>
      </c>
      <c r="R116" s="19" t="s">
        <v>175</v>
      </c>
      <c r="S116" s="19" t="s">
        <v>162</v>
      </c>
      <c r="T116" s="19" t="s">
        <v>95</v>
      </c>
      <c r="U116" s="20">
        <v>45901</v>
      </c>
      <c r="V116" s="20"/>
      <c r="W116" s="21"/>
      <c r="X116" s="19"/>
      <c r="Y116" s="21"/>
      <c r="Z116" s="19"/>
      <c r="AA116" s="21"/>
      <c r="AB116" s="19"/>
      <c r="AC116" s="21"/>
      <c r="AD116" s="19" t="s">
        <v>176</v>
      </c>
      <c r="AE116" s="21"/>
    </row>
    <row r="117" spans="1:31" ht="58" x14ac:dyDescent="0.35">
      <c r="A117" s="13" t="s">
        <v>183</v>
      </c>
      <c r="B117" s="13" t="s">
        <v>81</v>
      </c>
      <c r="C117" s="14">
        <v>44959.540972222225</v>
      </c>
      <c r="D117" s="13" t="s">
        <v>205</v>
      </c>
      <c r="E117" s="15" t="s">
        <v>206</v>
      </c>
      <c r="F117" s="13" t="s">
        <v>207</v>
      </c>
      <c r="G117" s="15" t="s">
        <v>208</v>
      </c>
      <c r="H117" s="13" t="s">
        <v>288</v>
      </c>
      <c r="I117" s="15" t="s">
        <v>289</v>
      </c>
      <c r="J117" s="15" t="s">
        <v>290</v>
      </c>
      <c r="K117" s="15" t="s">
        <v>291</v>
      </c>
      <c r="L117" s="13" t="s">
        <v>292</v>
      </c>
      <c r="M117" s="15" t="s">
        <v>293</v>
      </c>
      <c r="N117" s="13" t="s">
        <v>91</v>
      </c>
      <c r="O117" s="15"/>
      <c r="P117" s="15"/>
      <c r="Q117" s="15" t="s">
        <v>181</v>
      </c>
      <c r="R117" s="13" t="s">
        <v>182</v>
      </c>
      <c r="S117" s="13" t="s">
        <v>162</v>
      </c>
      <c r="T117" s="13" t="s">
        <v>131</v>
      </c>
      <c r="U117" s="14">
        <v>44767</v>
      </c>
      <c r="V117" s="14"/>
      <c r="W117" s="15"/>
      <c r="X117" s="13"/>
      <c r="Y117" s="15"/>
      <c r="Z117" s="13"/>
      <c r="AA117" s="15"/>
      <c r="AB117" s="13"/>
      <c r="AC117" s="15"/>
      <c r="AD117" s="13"/>
      <c r="AE117" s="15"/>
    </row>
    <row r="118" spans="1:31" ht="58" x14ac:dyDescent="0.35">
      <c r="A118" s="13" t="s">
        <v>183</v>
      </c>
      <c r="B118" s="13" t="s">
        <v>81</v>
      </c>
      <c r="C118" s="14">
        <v>44959.541666666664</v>
      </c>
      <c r="D118" s="13" t="s">
        <v>205</v>
      </c>
      <c r="E118" s="15" t="s">
        <v>206</v>
      </c>
      <c r="F118" s="13" t="s">
        <v>207</v>
      </c>
      <c r="G118" s="15" t="s">
        <v>208</v>
      </c>
      <c r="H118" s="13" t="s">
        <v>288</v>
      </c>
      <c r="I118" s="15" t="s">
        <v>289</v>
      </c>
      <c r="J118" s="15" t="s">
        <v>290</v>
      </c>
      <c r="K118" s="15" t="s">
        <v>291</v>
      </c>
      <c r="L118" s="13" t="s">
        <v>309</v>
      </c>
      <c r="M118" s="15" t="s">
        <v>310</v>
      </c>
      <c r="N118" s="13" t="s">
        <v>127</v>
      </c>
      <c r="O118" s="15"/>
      <c r="P118" s="15"/>
      <c r="Q118" s="15" t="s">
        <v>181</v>
      </c>
      <c r="R118" s="13" t="s">
        <v>182</v>
      </c>
      <c r="S118" s="13" t="s">
        <v>162</v>
      </c>
      <c r="T118" s="13" t="s">
        <v>131</v>
      </c>
      <c r="U118" s="14">
        <v>44767</v>
      </c>
      <c r="V118" s="14"/>
      <c r="W118" s="15"/>
      <c r="X118" s="13"/>
      <c r="Y118" s="15"/>
      <c r="Z118" s="13"/>
      <c r="AA118" s="15"/>
      <c r="AB118" s="13"/>
      <c r="AC118" s="15"/>
      <c r="AD118" s="13"/>
      <c r="AE118" s="15"/>
    </row>
    <row r="119" spans="1:31" x14ac:dyDescent="0.35">
      <c r="C119" s="16"/>
      <c r="U119" s="16"/>
      <c r="V119" s="16"/>
    </row>
    <row r="120" spans="1:31" x14ac:dyDescent="0.35">
      <c r="C120" s="16"/>
      <c r="U120" s="16"/>
      <c r="V120" s="16"/>
    </row>
    <row r="121" spans="1:31" x14ac:dyDescent="0.35">
      <c r="C121" s="16"/>
      <c r="U121" s="16"/>
      <c r="V121" s="16"/>
    </row>
    <row r="122" spans="1:31" x14ac:dyDescent="0.35">
      <c r="C122" s="16"/>
      <c r="U122" s="16"/>
      <c r="V122" s="16"/>
    </row>
    <row r="123" spans="1:31" x14ac:dyDescent="0.35">
      <c r="C123" s="16"/>
      <c r="U123" s="16"/>
      <c r="V123" s="16"/>
    </row>
    <row r="124" spans="1:31" x14ac:dyDescent="0.35">
      <c r="C124" s="16"/>
      <c r="U124" s="16"/>
      <c r="V124" s="16"/>
    </row>
    <row r="125" spans="1:31" x14ac:dyDescent="0.35">
      <c r="C125" s="16"/>
      <c r="U125" s="16"/>
      <c r="V125" s="16"/>
    </row>
    <row r="126" spans="1:31" x14ac:dyDescent="0.35">
      <c r="C126" s="16"/>
      <c r="U126" s="16"/>
      <c r="V126" s="16"/>
    </row>
    <row r="127" spans="1:31" x14ac:dyDescent="0.35">
      <c r="C127" s="16"/>
      <c r="U127" s="16"/>
      <c r="V127" s="16"/>
    </row>
    <row r="128" spans="1:31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  <row r="427" spans="3:22" x14ac:dyDescent="0.35">
      <c r="C427" s="16"/>
      <c r="U427" s="16"/>
      <c r="V427" s="16"/>
    </row>
    <row r="428" spans="3:22" x14ac:dyDescent="0.35">
      <c r="C428" s="16"/>
      <c r="U428" s="16"/>
      <c r="V428" s="16"/>
    </row>
    <row r="429" spans="3:22" x14ac:dyDescent="0.35">
      <c r="C429" s="16"/>
      <c r="U429" s="16"/>
      <c r="V429" s="16"/>
    </row>
    <row r="430" spans="3:22" x14ac:dyDescent="0.35">
      <c r="C430" s="16"/>
      <c r="U430" s="16"/>
      <c r="V430" s="16"/>
    </row>
    <row r="431" spans="3:22" x14ac:dyDescent="0.35">
      <c r="C431" s="16"/>
      <c r="U431" s="16"/>
      <c r="V431" s="16"/>
    </row>
    <row r="432" spans="3:22" x14ac:dyDescent="0.35">
      <c r="C432" s="16"/>
      <c r="U432" s="16"/>
      <c r="V432" s="16"/>
    </row>
    <row r="433" spans="3:22" x14ac:dyDescent="0.35">
      <c r="C433" s="16"/>
      <c r="U433" s="16"/>
      <c r="V433" s="16"/>
    </row>
    <row r="434" spans="3:22" x14ac:dyDescent="0.35">
      <c r="C434" s="16"/>
      <c r="U434" s="16"/>
      <c r="V434" s="16"/>
    </row>
    <row r="435" spans="3:22" x14ac:dyDescent="0.35">
      <c r="C435" s="16"/>
      <c r="U435" s="16"/>
      <c r="V435" s="16"/>
    </row>
    <row r="436" spans="3:22" x14ac:dyDescent="0.35">
      <c r="C436" s="16"/>
      <c r="U436" s="16"/>
      <c r="V436" s="16"/>
    </row>
    <row r="437" spans="3:22" x14ac:dyDescent="0.35">
      <c r="C437" s="16"/>
      <c r="U437" s="16"/>
      <c r="V437" s="16"/>
    </row>
    <row r="438" spans="3:22" x14ac:dyDescent="0.35">
      <c r="C438" s="16"/>
      <c r="U438" s="16"/>
      <c r="V438" s="16"/>
    </row>
    <row r="439" spans="3:22" x14ac:dyDescent="0.35">
      <c r="C439" s="16"/>
      <c r="U439" s="16"/>
      <c r="V439" s="16"/>
    </row>
    <row r="440" spans="3:22" x14ac:dyDescent="0.35">
      <c r="C440" s="16"/>
      <c r="U440" s="16"/>
      <c r="V440" s="16"/>
    </row>
    <row r="441" spans="3:22" x14ac:dyDescent="0.35">
      <c r="C441" s="16"/>
      <c r="U441" s="16"/>
      <c r="V441" s="16"/>
    </row>
    <row r="442" spans="3:22" x14ac:dyDescent="0.35">
      <c r="C442" s="16"/>
      <c r="U442" s="16"/>
      <c r="V442" s="16"/>
    </row>
    <row r="443" spans="3:22" x14ac:dyDescent="0.35">
      <c r="C443" s="16"/>
      <c r="U443" s="16"/>
      <c r="V443" s="16"/>
    </row>
    <row r="444" spans="3:22" x14ac:dyDescent="0.35">
      <c r="C444" s="16"/>
      <c r="U444" s="16"/>
      <c r="V444" s="16"/>
    </row>
    <row r="445" spans="3:22" x14ac:dyDescent="0.35">
      <c r="C445" s="16"/>
      <c r="U445" s="16"/>
      <c r="V445" s="16"/>
    </row>
    <row r="446" spans="3:22" x14ac:dyDescent="0.35">
      <c r="C446" s="16"/>
      <c r="U446" s="16"/>
      <c r="V446" s="16"/>
    </row>
    <row r="447" spans="3:22" x14ac:dyDescent="0.35">
      <c r="C447" s="16"/>
      <c r="U447" s="16"/>
      <c r="V447" s="16"/>
    </row>
    <row r="448" spans="3:22" x14ac:dyDescent="0.35">
      <c r="C448" s="16"/>
      <c r="U448" s="16"/>
      <c r="V448" s="16"/>
    </row>
    <row r="449" spans="3:22" x14ac:dyDescent="0.35">
      <c r="C449" s="16"/>
      <c r="U449" s="16"/>
      <c r="V449" s="16"/>
    </row>
    <row r="450" spans="3:22" x14ac:dyDescent="0.35">
      <c r="C450" s="16"/>
      <c r="U450" s="16"/>
      <c r="V450" s="16"/>
    </row>
    <row r="451" spans="3:22" x14ac:dyDescent="0.35">
      <c r="C451" s="16"/>
      <c r="U451" s="16"/>
      <c r="V451" s="16"/>
    </row>
    <row r="452" spans="3:22" x14ac:dyDescent="0.35">
      <c r="C452" s="16"/>
      <c r="U452" s="16"/>
      <c r="V452" s="16"/>
    </row>
    <row r="453" spans="3:22" x14ac:dyDescent="0.35">
      <c r="C453" s="16"/>
      <c r="U453" s="16"/>
      <c r="V453" s="16"/>
    </row>
    <row r="454" spans="3:22" x14ac:dyDescent="0.35">
      <c r="C454" s="16"/>
      <c r="U454" s="16"/>
      <c r="V454" s="16"/>
    </row>
    <row r="455" spans="3:22" x14ac:dyDescent="0.35">
      <c r="C455" s="16"/>
      <c r="U455" s="16"/>
      <c r="V455" s="16"/>
    </row>
    <row r="456" spans="3:22" x14ac:dyDescent="0.35">
      <c r="C456" s="16"/>
      <c r="U456" s="16"/>
      <c r="V456" s="16"/>
    </row>
    <row r="457" spans="3:22" x14ac:dyDescent="0.35">
      <c r="C457" s="16"/>
      <c r="U457" s="16"/>
      <c r="V457" s="16"/>
    </row>
    <row r="458" spans="3:22" x14ac:dyDescent="0.35">
      <c r="C458" s="16"/>
      <c r="U458" s="16"/>
      <c r="V458" s="16"/>
    </row>
    <row r="459" spans="3:22" x14ac:dyDescent="0.35">
      <c r="C459" s="16"/>
      <c r="U459" s="16"/>
      <c r="V459" s="16"/>
    </row>
    <row r="460" spans="3:22" x14ac:dyDescent="0.35">
      <c r="C460" s="16"/>
      <c r="U460" s="16"/>
      <c r="V460" s="16"/>
    </row>
    <row r="461" spans="3:22" x14ac:dyDescent="0.35">
      <c r="C461" s="16"/>
      <c r="U461" s="16"/>
      <c r="V461" s="16"/>
    </row>
    <row r="462" spans="3:22" x14ac:dyDescent="0.35">
      <c r="C462" s="16"/>
      <c r="U462" s="16"/>
      <c r="V462" s="16"/>
    </row>
    <row r="463" spans="3:22" x14ac:dyDescent="0.35">
      <c r="C463" s="16"/>
      <c r="U463" s="16"/>
      <c r="V463" s="16"/>
    </row>
    <row r="464" spans="3:22" x14ac:dyDescent="0.35">
      <c r="C464" s="16"/>
      <c r="U464" s="16"/>
      <c r="V464" s="16"/>
    </row>
    <row r="465" spans="3:22" x14ac:dyDescent="0.35">
      <c r="C465" s="16"/>
      <c r="U465" s="16"/>
      <c r="V465" s="16"/>
    </row>
    <row r="466" spans="3:22" x14ac:dyDescent="0.35">
      <c r="C466" s="16"/>
      <c r="U466" s="16"/>
      <c r="V466" s="16"/>
    </row>
    <row r="467" spans="3:22" x14ac:dyDescent="0.35">
      <c r="C467" s="16"/>
      <c r="U467" s="16"/>
      <c r="V467" s="16"/>
    </row>
    <row r="468" spans="3:22" x14ac:dyDescent="0.35">
      <c r="C468" s="16"/>
      <c r="U468" s="16"/>
      <c r="V468" s="16"/>
    </row>
    <row r="469" spans="3:22" x14ac:dyDescent="0.35">
      <c r="C469" s="16"/>
      <c r="U469" s="16"/>
      <c r="V469" s="16"/>
    </row>
    <row r="470" spans="3:22" x14ac:dyDescent="0.35">
      <c r="C470" s="16"/>
      <c r="U470" s="16"/>
      <c r="V470" s="16"/>
    </row>
    <row r="471" spans="3:22" x14ac:dyDescent="0.35">
      <c r="C471" s="16"/>
      <c r="U471" s="16"/>
      <c r="V471" s="16"/>
    </row>
    <row r="472" spans="3:22" x14ac:dyDescent="0.35">
      <c r="C472" s="16"/>
      <c r="U472" s="16"/>
      <c r="V472" s="16"/>
    </row>
    <row r="473" spans="3:22" x14ac:dyDescent="0.35">
      <c r="C473" s="16"/>
      <c r="U473" s="16"/>
      <c r="V473" s="16"/>
    </row>
    <row r="474" spans="3:22" x14ac:dyDescent="0.35">
      <c r="C474" s="16"/>
      <c r="U474" s="16"/>
      <c r="V474" s="16"/>
    </row>
    <row r="475" spans="3:22" x14ac:dyDescent="0.35">
      <c r="C475" s="16"/>
      <c r="U475" s="16"/>
      <c r="V475" s="16"/>
    </row>
    <row r="476" spans="3:22" x14ac:dyDescent="0.35">
      <c r="C476" s="16"/>
      <c r="U476" s="16"/>
      <c r="V476" s="16"/>
    </row>
    <row r="477" spans="3:22" x14ac:dyDescent="0.35">
      <c r="C477" s="16"/>
      <c r="U477" s="16"/>
      <c r="V477" s="16"/>
    </row>
    <row r="478" spans="3:22" x14ac:dyDescent="0.35">
      <c r="C478" s="16"/>
      <c r="U478" s="16"/>
      <c r="V478" s="16"/>
    </row>
    <row r="479" spans="3:22" x14ac:dyDescent="0.35">
      <c r="C479" s="16"/>
      <c r="U479" s="16"/>
      <c r="V479" s="16"/>
    </row>
    <row r="480" spans="3:22" x14ac:dyDescent="0.35">
      <c r="C480" s="16"/>
      <c r="U480" s="16"/>
      <c r="V480" s="16"/>
    </row>
    <row r="481" spans="3:22" x14ac:dyDescent="0.35">
      <c r="C481" s="16"/>
      <c r="U481" s="16"/>
      <c r="V481" s="16"/>
    </row>
    <row r="482" spans="3:22" x14ac:dyDescent="0.35">
      <c r="C482" s="16"/>
      <c r="U482" s="16"/>
      <c r="V482" s="16"/>
    </row>
    <row r="483" spans="3:22" x14ac:dyDescent="0.35">
      <c r="C483" s="16"/>
      <c r="U483" s="16"/>
      <c r="V483" s="16"/>
    </row>
    <row r="484" spans="3:22" x14ac:dyDescent="0.35">
      <c r="C484" s="16"/>
      <c r="U484" s="16"/>
      <c r="V484" s="16"/>
    </row>
    <row r="485" spans="3:22" x14ac:dyDescent="0.35">
      <c r="C485" s="16"/>
      <c r="U485" s="16"/>
      <c r="V485" s="16"/>
    </row>
    <row r="486" spans="3:22" x14ac:dyDescent="0.35">
      <c r="C486" s="16"/>
      <c r="U486" s="16"/>
      <c r="V486" s="16"/>
    </row>
    <row r="487" spans="3:22" x14ac:dyDescent="0.35">
      <c r="C487" s="16"/>
      <c r="U487" s="16"/>
      <c r="V487" s="16"/>
    </row>
    <row r="488" spans="3:22" x14ac:dyDescent="0.35">
      <c r="C488" s="16"/>
      <c r="U488" s="16"/>
      <c r="V488" s="16"/>
    </row>
    <row r="489" spans="3:22" x14ac:dyDescent="0.35">
      <c r="C489" s="16"/>
      <c r="U489" s="16"/>
      <c r="V489" s="16"/>
    </row>
    <row r="490" spans="3:22" x14ac:dyDescent="0.35">
      <c r="C490" s="16"/>
      <c r="U490" s="16"/>
      <c r="V490" s="16"/>
    </row>
    <row r="491" spans="3:22" x14ac:dyDescent="0.35">
      <c r="C491" s="16"/>
      <c r="U491" s="16"/>
      <c r="V491" s="16"/>
    </row>
    <row r="492" spans="3:22" x14ac:dyDescent="0.35">
      <c r="C492" s="16"/>
      <c r="U492" s="16"/>
      <c r="V492" s="16"/>
    </row>
    <row r="493" spans="3:22" x14ac:dyDescent="0.35">
      <c r="C493" s="16"/>
      <c r="U493" s="16"/>
      <c r="V493" s="16"/>
    </row>
    <row r="494" spans="3:22" x14ac:dyDescent="0.35">
      <c r="C494" s="16"/>
      <c r="U494" s="16"/>
      <c r="V494" s="16"/>
    </row>
    <row r="495" spans="3:22" x14ac:dyDescent="0.35">
      <c r="C495" s="16"/>
      <c r="U495" s="16"/>
      <c r="V495" s="16"/>
    </row>
    <row r="496" spans="3:22" x14ac:dyDescent="0.35">
      <c r="C496" s="16"/>
      <c r="U496" s="16"/>
      <c r="V496" s="16"/>
    </row>
    <row r="497" spans="3:22" x14ac:dyDescent="0.35">
      <c r="C497" s="16"/>
      <c r="U497" s="16"/>
      <c r="V497" s="16"/>
    </row>
    <row r="498" spans="3:22" x14ac:dyDescent="0.35">
      <c r="C498" s="16"/>
      <c r="U498" s="16"/>
      <c r="V498" s="16"/>
    </row>
    <row r="499" spans="3:22" x14ac:dyDescent="0.35">
      <c r="C499" s="16"/>
      <c r="U499" s="16"/>
      <c r="V499" s="16"/>
    </row>
    <row r="500" spans="3:22" x14ac:dyDescent="0.35">
      <c r="C500" s="16"/>
      <c r="U500" s="16"/>
      <c r="V500" s="16"/>
    </row>
    <row r="501" spans="3:22" x14ac:dyDescent="0.35">
      <c r="C501" s="16"/>
      <c r="U501" s="16"/>
      <c r="V501" s="16"/>
    </row>
    <row r="502" spans="3:22" x14ac:dyDescent="0.35">
      <c r="C502" s="16"/>
      <c r="U502" s="16"/>
      <c r="V502" s="16"/>
    </row>
    <row r="503" spans="3:22" x14ac:dyDescent="0.35">
      <c r="C503" s="16"/>
      <c r="U503" s="16"/>
      <c r="V503" s="16"/>
    </row>
    <row r="504" spans="3:22" x14ac:dyDescent="0.35">
      <c r="C504" s="16"/>
      <c r="U504" s="16"/>
      <c r="V504" s="16"/>
    </row>
    <row r="505" spans="3:22" x14ac:dyDescent="0.35">
      <c r="C505" s="16"/>
      <c r="U505" s="16"/>
      <c r="V505" s="16"/>
    </row>
    <row r="506" spans="3:22" x14ac:dyDescent="0.35">
      <c r="C506" s="16"/>
      <c r="U506" s="16"/>
      <c r="V506" s="16"/>
    </row>
    <row r="507" spans="3:22" x14ac:dyDescent="0.35">
      <c r="C507" s="16"/>
      <c r="U507" s="16"/>
      <c r="V507" s="16"/>
    </row>
    <row r="508" spans="3:22" x14ac:dyDescent="0.35">
      <c r="C508" s="16"/>
      <c r="U508" s="16"/>
      <c r="V508" s="16"/>
    </row>
    <row r="509" spans="3:22" x14ac:dyDescent="0.35">
      <c r="C509" s="16"/>
      <c r="U509" s="16"/>
      <c r="V509" s="16"/>
    </row>
    <row r="510" spans="3:22" x14ac:dyDescent="0.35">
      <c r="C510" s="16"/>
      <c r="U510" s="16"/>
      <c r="V510" s="16"/>
    </row>
    <row r="511" spans="3:22" x14ac:dyDescent="0.35">
      <c r="C511" s="16"/>
      <c r="U511" s="16"/>
      <c r="V511" s="16"/>
    </row>
    <row r="512" spans="3:22" x14ac:dyDescent="0.35">
      <c r="C512" s="16"/>
      <c r="U512" s="16"/>
      <c r="V512" s="16"/>
    </row>
    <row r="513" spans="3:22" x14ac:dyDescent="0.35">
      <c r="C513" s="16"/>
      <c r="U513" s="16"/>
      <c r="V513" s="16"/>
    </row>
    <row r="514" spans="3:22" x14ac:dyDescent="0.35">
      <c r="C514" s="16"/>
      <c r="U514" s="16"/>
      <c r="V514" s="16"/>
    </row>
    <row r="515" spans="3:22" x14ac:dyDescent="0.35">
      <c r="C515" s="16"/>
      <c r="U515" s="16"/>
      <c r="V515" s="16"/>
    </row>
    <row r="516" spans="3:22" x14ac:dyDescent="0.35">
      <c r="C516" s="16"/>
      <c r="U516" s="16"/>
      <c r="V516" s="16"/>
    </row>
    <row r="517" spans="3:22" x14ac:dyDescent="0.35">
      <c r="C517" s="16"/>
      <c r="U517" s="16"/>
      <c r="V517" s="16"/>
    </row>
    <row r="518" spans="3:22" x14ac:dyDescent="0.35">
      <c r="C518" s="16"/>
      <c r="U518" s="16"/>
      <c r="V518" s="16"/>
    </row>
    <row r="519" spans="3:22" x14ac:dyDescent="0.35">
      <c r="C519" s="16"/>
      <c r="U519" s="16"/>
      <c r="V519" s="16"/>
    </row>
    <row r="520" spans="3:22" x14ac:dyDescent="0.35">
      <c r="C520" s="16"/>
      <c r="U520" s="16"/>
      <c r="V520" s="16"/>
    </row>
    <row r="521" spans="3:22" x14ac:dyDescent="0.35">
      <c r="C521" s="16"/>
      <c r="U521" s="16"/>
      <c r="V521" s="16"/>
    </row>
    <row r="522" spans="3:22" x14ac:dyDescent="0.35">
      <c r="C522" s="16"/>
      <c r="U522" s="16"/>
      <c r="V522" s="16"/>
    </row>
    <row r="523" spans="3:22" x14ac:dyDescent="0.35">
      <c r="C523" s="16"/>
      <c r="U523" s="16"/>
      <c r="V523" s="16"/>
    </row>
    <row r="524" spans="3:22" x14ac:dyDescent="0.35">
      <c r="C524" s="16"/>
      <c r="U524" s="16"/>
      <c r="V524" s="16"/>
    </row>
    <row r="525" spans="3:22" x14ac:dyDescent="0.35">
      <c r="C525" s="16"/>
      <c r="U525" s="16"/>
      <c r="V525" s="16"/>
    </row>
    <row r="526" spans="3:22" x14ac:dyDescent="0.35">
      <c r="C526" s="16"/>
      <c r="U526" s="16"/>
      <c r="V526" s="16"/>
    </row>
    <row r="527" spans="3:22" x14ac:dyDescent="0.35">
      <c r="C527" s="16"/>
      <c r="U527" s="16"/>
      <c r="V527" s="16"/>
    </row>
    <row r="528" spans="3:22" x14ac:dyDescent="0.35">
      <c r="C528" s="16"/>
      <c r="U528" s="16"/>
      <c r="V528" s="16"/>
    </row>
    <row r="529" spans="3:22" x14ac:dyDescent="0.35">
      <c r="C529" s="16"/>
      <c r="U529" s="16"/>
      <c r="V529" s="16"/>
    </row>
    <row r="530" spans="3:22" x14ac:dyDescent="0.35">
      <c r="C530" s="16"/>
      <c r="U530" s="16"/>
      <c r="V530" s="16"/>
    </row>
    <row r="531" spans="3:22" x14ac:dyDescent="0.35">
      <c r="C531" s="16"/>
      <c r="U531" s="16"/>
      <c r="V531" s="16"/>
    </row>
    <row r="532" spans="3:22" x14ac:dyDescent="0.35">
      <c r="C532" s="16"/>
      <c r="U532" s="16"/>
      <c r="V532" s="16"/>
    </row>
    <row r="533" spans="3:22" x14ac:dyDescent="0.35">
      <c r="C533" s="16"/>
      <c r="U533" s="16"/>
      <c r="V533" s="16"/>
    </row>
    <row r="534" spans="3:22" x14ac:dyDescent="0.35">
      <c r="C534" s="16"/>
      <c r="U534" s="16"/>
      <c r="V534" s="16"/>
    </row>
    <row r="535" spans="3:22" x14ac:dyDescent="0.35">
      <c r="C535" s="16"/>
      <c r="U535" s="16"/>
      <c r="V535" s="16"/>
    </row>
    <row r="536" spans="3:22" x14ac:dyDescent="0.35">
      <c r="C536" s="16"/>
      <c r="U536" s="16"/>
      <c r="V536" s="16"/>
    </row>
    <row r="537" spans="3:22" x14ac:dyDescent="0.35">
      <c r="C537" s="16"/>
      <c r="U537" s="16"/>
      <c r="V537" s="16"/>
    </row>
    <row r="538" spans="3:22" x14ac:dyDescent="0.35">
      <c r="C538" s="16"/>
      <c r="U538" s="16"/>
      <c r="V538" s="16"/>
    </row>
    <row r="539" spans="3:22" x14ac:dyDescent="0.35">
      <c r="C539" s="16"/>
      <c r="U539" s="16"/>
      <c r="V539" s="16"/>
    </row>
    <row r="540" spans="3:22" x14ac:dyDescent="0.35">
      <c r="C540" s="16"/>
      <c r="U540" s="16"/>
      <c r="V540" s="16"/>
    </row>
    <row r="541" spans="3:22" x14ac:dyDescent="0.35">
      <c r="C541" s="16"/>
      <c r="U541" s="16"/>
      <c r="V541" s="16"/>
    </row>
    <row r="542" spans="3:22" x14ac:dyDescent="0.35">
      <c r="C542" s="16"/>
      <c r="U542" s="16"/>
      <c r="V542" s="16"/>
    </row>
    <row r="543" spans="3:22" x14ac:dyDescent="0.35">
      <c r="C543" s="16"/>
      <c r="U543" s="16"/>
      <c r="V543" s="16"/>
    </row>
    <row r="544" spans="3:22" x14ac:dyDescent="0.35">
      <c r="C544" s="16"/>
      <c r="U544" s="16"/>
      <c r="V544" s="16"/>
    </row>
    <row r="545" spans="3:22" x14ac:dyDescent="0.35">
      <c r="C545" s="16"/>
      <c r="U545" s="16"/>
      <c r="V545" s="16"/>
    </row>
    <row r="546" spans="3:22" x14ac:dyDescent="0.35">
      <c r="C546" s="16"/>
      <c r="U546" s="16"/>
      <c r="V546" s="16"/>
    </row>
    <row r="547" spans="3:22" x14ac:dyDescent="0.35">
      <c r="C547" s="16"/>
      <c r="U547" s="16"/>
      <c r="V547" s="16"/>
    </row>
    <row r="548" spans="3:22" x14ac:dyDescent="0.35">
      <c r="C548" s="16"/>
      <c r="U548" s="16"/>
      <c r="V548" s="16"/>
    </row>
    <row r="549" spans="3:22" x14ac:dyDescent="0.35">
      <c r="C549" s="16"/>
      <c r="U549" s="16"/>
      <c r="V549" s="16"/>
    </row>
    <row r="550" spans="3:22" x14ac:dyDescent="0.35">
      <c r="C550" s="16"/>
      <c r="U550" s="16"/>
      <c r="V550" s="16"/>
    </row>
    <row r="551" spans="3:22" x14ac:dyDescent="0.35">
      <c r="C551" s="16"/>
      <c r="U551" s="16"/>
      <c r="V551" s="16"/>
    </row>
    <row r="552" spans="3:22" x14ac:dyDescent="0.35">
      <c r="C552" s="16"/>
      <c r="U552" s="16"/>
      <c r="V552" s="16"/>
    </row>
    <row r="553" spans="3:22" x14ac:dyDescent="0.35">
      <c r="C553" s="16"/>
      <c r="U553" s="16"/>
      <c r="V553" s="16"/>
    </row>
    <row r="554" spans="3:22" x14ac:dyDescent="0.35">
      <c r="C554" s="16"/>
      <c r="U554" s="16"/>
      <c r="V554" s="16"/>
    </row>
    <row r="555" spans="3:22" x14ac:dyDescent="0.35">
      <c r="C555" s="16"/>
      <c r="U555" s="16"/>
      <c r="V555" s="16"/>
    </row>
    <row r="556" spans="3:22" x14ac:dyDescent="0.35">
      <c r="C556" s="16"/>
      <c r="U556" s="16"/>
      <c r="V556" s="16"/>
    </row>
    <row r="557" spans="3:22" x14ac:dyDescent="0.35">
      <c r="C557" s="16"/>
      <c r="U557" s="16"/>
      <c r="V557" s="16"/>
    </row>
    <row r="558" spans="3:22" x14ac:dyDescent="0.35">
      <c r="C558" s="16"/>
      <c r="U558" s="16"/>
      <c r="V558" s="16"/>
    </row>
    <row r="559" spans="3:22" x14ac:dyDescent="0.35">
      <c r="C559" s="16"/>
      <c r="U559" s="16"/>
      <c r="V559" s="16"/>
    </row>
    <row r="560" spans="3:22" x14ac:dyDescent="0.35">
      <c r="C560" s="16"/>
      <c r="U560" s="16"/>
      <c r="V560" s="16"/>
    </row>
    <row r="561" spans="3:22" x14ac:dyDescent="0.35">
      <c r="C561" s="16"/>
      <c r="U561" s="16"/>
      <c r="V561" s="16"/>
    </row>
    <row r="562" spans="3:22" x14ac:dyDescent="0.35">
      <c r="C562" s="16"/>
      <c r="U562" s="16"/>
      <c r="V562" s="16"/>
    </row>
    <row r="563" spans="3:22" x14ac:dyDescent="0.35">
      <c r="C563" s="16"/>
      <c r="U563" s="16"/>
      <c r="V563" s="16"/>
    </row>
    <row r="564" spans="3:22" x14ac:dyDescent="0.35">
      <c r="C564" s="16"/>
      <c r="U564" s="16"/>
      <c r="V564" s="16"/>
    </row>
    <row r="565" spans="3:22" x14ac:dyDescent="0.35">
      <c r="C565" s="16"/>
      <c r="U565" s="16"/>
      <c r="V565" s="16"/>
    </row>
    <row r="566" spans="3:22" x14ac:dyDescent="0.35">
      <c r="C566" s="16"/>
      <c r="U566" s="16"/>
      <c r="V566" s="16"/>
    </row>
    <row r="567" spans="3:22" x14ac:dyDescent="0.35">
      <c r="C567" s="16"/>
      <c r="U567" s="16"/>
      <c r="V567" s="16"/>
    </row>
    <row r="568" spans="3:22" x14ac:dyDescent="0.35">
      <c r="C568" s="16"/>
      <c r="U568" s="16"/>
      <c r="V568" s="16"/>
    </row>
    <row r="569" spans="3:22" x14ac:dyDescent="0.35">
      <c r="C569" s="16"/>
      <c r="U569" s="16"/>
      <c r="V569" s="16"/>
    </row>
    <row r="570" spans="3:22" x14ac:dyDescent="0.35">
      <c r="C570" s="16"/>
      <c r="U570" s="16"/>
      <c r="V570" s="16"/>
    </row>
    <row r="571" spans="3:22" x14ac:dyDescent="0.35">
      <c r="C571" s="16"/>
      <c r="U571" s="16"/>
      <c r="V571" s="16"/>
    </row>
    <row r="572" spans="3:22" x14ac:dyDescent="0.35">
      <c r="C572" s="16"/>
      <c r="U572" s="16"/>
      <c r="V572" s="16"/>
    </row>
    <row r="573" spans="3:22" x14ac:dyDescent="0.35">
      <c r="C573" s="16"/>
      <c r="U573" s="16"/>
      <c r="V573" s="16"/>
    </row>
    <row r="574" spans="3:22" x14ac:dyDescent="0.35">
      <c r="C574" s="16"/>
      <c r="U574" s="16"/>
      <c r="V574" s="16"/>
    </row>
  </sheetData>
  <autoFilter ref="A1:OJ118" xr:uid="{79B531AE-84CF-4F14-80AD-0E6FED6017F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C732-8FE3-4C33-BC18-1B9FBB398758}">
  <dimension ref="A1:AO11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366</v>
      </c>
      <c r="X1" s="10" t="s">
        <v>367</v>
      </c>
      <c r="Y1" s="10" t="s">
        <v>368</v>
      </c>
      <c r="Z1" s="10" t="s">
        <v>369</v>
      </c>
      <c r="AA1" s="10" t="s">
        <v>370</v>
      </c>
      <c r="AB1" s="10" t="s">
        <v>371</v>
      </c>
      <c r="AC1" s="10" t="s">
        <v>372</v>
      </c>
      <c r="AD1" s="10" t="s">
        <v>373</v>
      </c>
      <c r="AE1" s="10" t="s">
        <v>374</v>
      </c>
      <c r="AF1" s="10" t="s">
        <v>375</v>
      </c>
      <c r="AG1" s="10" t="s">
        <v>376</v>
      </c>
      <c r="AH1" s="10" t="s">
        <v>377</v>
      </c>
      <c r="AI1" s="10" t="s">
        <v>378</v>
      </c>
      <c r="AJ1" s="10" t="s">
        <v>379</v>
      </c>
      <c r="AK1" s="10" t="s">
        <v>380</v>
      </c>
      <c r="AL1" s="10" t="s">
        <v>381</v>
      </c>
      <c r="AM1" s="10" t="s">
        <v>382</v>
      </c>
      <c r="AN1" s="10" t="s">
        <v>78</v>
      </c>
      <c r="AO1" s="10" t="s">
        <v>79</v>
      </c>
    </row>
    <row r="2" spans="1:41" ht="43.5" x14ac:dyDescent="0.35">
      <c r="A2" s="13" t="s">
        <v>80</v>
      </c>
      <c r="B2" s="13" t="s">
        <v>81</v>
      </c>
      <c r="C2" s="14">
        <v>43775.684027777781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85</v>
      </c>
      <c r="J2" s="15" t="s">
        <v>87</v>
      </c>
      <c r="K2" s="15" t="s">
        <v>88</v>
      </c>
      <c r="L2" s="13" t="s">
        <v>89</v>
      </c>
      <c r="M2" s="15" t="s">
        <v>90</v>
      </c>
      <c r="N2" s="13" t="s">
        <v>91</v>
      </c>
      <c r="O2" s="15"/>
      <c r="P2" s="15"/>
      <c r="Q2" s="15" t="s">
        <v>92</v>
      </c>
      <c r="R2" s="13" t="s">
        <v>93</v>
      </c>
      <c r="S2" s="13" t="s">
        <v>94</v>
      </c>
      <c r="T2" s="13" t="s">
        <v>95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80</v>
      </c>
      <c r="B3" s="13" t="s">
        <v>81</v>
      </c>
      <c r="C3" s="14">
        <v>43756.474305555559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85</v>
      </c>
      <c r="J3" s="15" t="s">
        <v>87</v>
      </c>
      <c r="K3" s="15" t="s">
        <v>88</v>
      </c>
      <c r="L3" s="13" t="s">
        <v>125</v>
      </c>
      <c r="M3" s="15" t="s">
        <v>126</v>
      </c>
      <c r="N3" s="13" t="s">
        <v>127</v>
      </c>
      <c r="O3" s="15"/>
      <c r="P3" s="15"/>
      <c r="Q3" s="15" t="s">
        <v>92</v>
      </c>
      <c r="R3" s="13" t="s">
        <v>93</v>
      </c>
      <c r="S3" s="13" t="s">
        <v>94</v>
      </c>
      <c r="T3" s="13" t="s">
        <v>95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80</v>
      </c>
      <c r="B4" s="13" t="s">
        <v>81</v>
      </c>
      <c r="C4" s="14">
        <v>43756.684027777781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85</v>
      </c>
      <c r="J4" s="15" t="s">
        <v>87</v>
      </c>
      <c r="K4" s="15" t="s">
        <v>88</v>
      </c>
      <c r="L4" s="13" t="s">
        <v>89</v>
      </c>
      <c r="M4" s="15" t="s">
        <v>90</v>
      </c>
      <c r="N4" s="13" t="s">
        <v>91</v>
      </c>
      <c r="O4" s="15"/>
      <c r="P4" s="15"/>
      <c r="Q4" s="15" t="s">
        <v>129</v>
      </c>
      <c r="R4" s="13" t="s">
        <v>130</v>
      </c>
      <c r="S4" s="13" t="s">
        <v>94</v>
      </c>
      <c r="T4" s="13" t="s">
        <v>131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80</v>
      </c>
      <c r="B5" s="13" t="s">
        <v>81</v>
      </c>
      <c r="C5" s="14">
        <v>43756.475694444445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85</v>
      </c>
      <c r="J5" s="15" t="s">
        <v>87</v>
      </c>
      <c r="K5" s="15" t="s">
        <v>88</v>
      </c>
      <c r="L5" s="13" t="s">
        <v>125</v>
      </c>
      <c r="M5" s="15" t="s">
        <v>126</v>
      </c>
      <c r="N5" s="13" t="s">
        <v>127</v>
      </c>
      <c r="O5" s="15"/>
      <c r="P5" s="15"/>
      <c r="Q5" s="15" t="s">
        <v>129</v>
      </c>
      <c r="R5" s="13" t="s">
        <v>130</v>
      </c>
      <c r="S5" s="13" t="s">
        <v>94</v>
      </c>
      <c r="T5" s="13" t="s">
        <v>131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80</v>
      </c>
      <c r="B6" s="13" t="s">
        <v>81</v>
      </c>
      <c r="C6" s="14">
        <v>43851.472916666666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85</v>
      </c>
      <c r="J6" s="15" t="s">
        <v>87</v>
      </c>
      <c r="K6" s="15" t="s">
        <v>88</v>
      </c>
      <c r="L6" s="13" t="s">
        <v>89</v>
      </c>
      <c r="M6" s="15" t="s">
        <v>90</v>
      </c>
      <c r="N6" s="13" t="s">
        <v>91</v>
      </c>
      <c r="O6" s="15"/>
      <c r="P6" s="15"/>
      <c r="Q6" s="15" t="s">
        <v>132</v>
      </c>
      <c r="R6" s="13" t="s">
        <v>133</v>
      </c>
      <c r="S6" s="13" t="s">
        <v>94</v>
      </c>
      <c r="T6" s="13" t="s">
        <v>95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80</v>
      </c>
      <c r="B7" s="13" t="s">
        <v>81</v>
      </c>
      <c r="C7" s="14">
        <v>43851.473611111112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85</v>
      </c>
      <c r="J7" s="15" t="s">
        <v>87</v>
      </c>
      <c r="K7" s="15" t="s">
        <v>88</v>
      </c>
      <c r="L7" s="13" t="s">
        <v>125</v>
      </c>
      <c r="M7" s="15" t="s">
        <v>126</v>
      </c>
      <c r="N7" s="13" t="s">
        <v>127</v>
      </c>
      <c r="O7" s="15"/>
      <c r="P7" s="15"/>
      <c r="Q7" s="15" t="s">
        <v>132</v>
      </c>
      <c r="R7" s="13" t="s">
        <v>133</v>
      </c>
      <c r="S7" s="13" t="s">
        <v>94</v>
      </c>
      <c r="T7" s="13" t="s">
        <v>95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147</v>
      </c>
      <c r="B8" s="13" t="s">
        <v>148</v>
      </c>
      <c r="C8" s="14">
        <v>45973.646527777775</v>
      </c>
      <c r="D8" s="13" t="s">
        <v>82</v>
      </c>
      <c r="E8" s="15" t="s">
        <v>83</v>
      </c>
      <c r="F8" s="13" t="s">
        <v>84</v>
      </c>
      <c r="G8" s="15" t="s">
        <v>85</v>
      </c>
      <c r="H8" s="13" t="s">
        <v>86</v>
      </c>
      <c r="I8" s="15" t="s">
        <v>85</v>
      </c>
      <c r="J8" s="15" t="s">
        <v>87</v>
      </c>
      <c r="K8" s="15" t="s">
        <v>88</v>
      </c>
      <c r="L8" s="13" t="s">
        <v>89</v>
      </c>
      <c r="M8" s="15" t="s">
        <v>90</v>
      </c>
      <c r="N8" s="13" t="s">
        <v>91</v>
      </c>
      <c r="O8" s="15"/>
      <c r="P8" s="15"/>
      <c r="Q8" s="15" t="s">
        <v>149</v>
      </c>
      <c r="R8" s="13" t="s">
        <v>150</v>
      </c>
      <c r="S8" s="13" t="s">
        <v>94</v>
      </c>
      <c r="T8" s="13" t="s">
        <v>95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80</v>
      </c>
      <c r="B9" s="13" t="s">
        <v>81</v>
      </c>
      <c r="C9" s="14">
        <v>43756.476388888892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85</v>
      </c>
      <c r="J9" s="15" t="s">
        <v>87</v>
      </c>
      <c r="K9" s="15" t="s">
        <v>88</v>
      </c>
      <c r="L9" s="13" t="s">
        <v>125</v>
      </c>
      <c r="M9" s="15" t="s">
        <v>126</v>
      </c>
      <c r="N9" s="13" t="s">
        <v>127</v>
      </c>
      <c r="O9" s="15"/>
      <c r="P9" s="15"/>
      <c r="Q9" s="15" t="s">
        <v>149</v>
      </c>
      <c r="R9" s="13" t="s">
        <v>150</v>
      </c>
      <c r="S9" s="13" t="s">
        <v>94</v>
      </c>
      <c r="T9" s="13" t="s">
        <v>95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80</v>
      </c>
      <c r="B10" s="13" t="s">
        <v>81</v>
      </c>
      <c r="C10" s="14">
        <v>43775.683333333334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85</v>
      </c>
      <c r="J10" s="15" t="s">
        <v>87</v>
      </c>
      <c r="K10" s="15" t="s">
        <v>88</v>
      </c>
      <c r="L10" s="13" t="s">
        <v>89</v>
      </c>
      <c r="M10" s="15" t="s">
        <v>90</v>
      </c>
      <c r="N10" s="13" t="s">
        <v>91</v>
      </c>
      <c r="O10" s="15"/>
      <c r="P10" s="15"/>
      <c r="Q10" s="15" t="s">
        <v>156</v>
      </c>
      <c r="R10" s="13" t="s">
        <v>157</v>
      </c>
      <c r="S10" s="13" t="s">
        <v>94</v>
      </c>
      <c r="T10" s="13" t="s">
        <v>95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80</v>
      </c>
      <c r="B11" s="13" t="s">
        <v>81</v>
      </c>
      <c r="C11" s="14">
        <v>43756.477777777778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85</v>
      </c>
      <c r="J11" s="15" t="s">
        <v>87</v>
      </c>
      <c r="K11" s="15" t="s">
        <v>88</v>
      </c>
      <c r="L11" s="13" t="s">
        <v>125</v>
      </c>
      <c r="M11" s="15" t="s">
        <v>126</v>
      </c>
      <c r="N11" s="13" t="s">
        <v>127</v>
      </c>
      <c r="O11" s="15"/>
      <c r="P11" s="15"/>
      <c r="Q11" s="15" t="s">
        <v>156</v>
      </c>
      <c r="R11" s="13" t="s">
        <v>157</v>
      </c>
      <c r="S11" s="13" t="s">
        <v>94</v>
      </c>
      <c r="T11" s="13" t="s">
        <v>95</v>
      </c>
      <c r="U11" s="14">
        <v>40725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43.5" x14ac:dyDescent="0.35">
      <c r="A12" s="13" t="s">
        <v>80</v>
      </c>
      <c r="B12" s="13" t="s">
        <v>81</v>
      </c>
      <c r="C12" s="14">
        <v>43756.685416666667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86</v>
      </c>
      <c r="I12" s="15" t="s">
        <v>85</v>
      </c>
      <c r="J12" s="15" t="s">
        <v>87</v>
      </c>
      <c r="K12" s="15" t="s">
        <v>88</v>
      </c>
      <c r="L12" s="13" t="s">
        <v>89</v>
      </c>
      <c r="M12" s="15" t="s">
        <v>90</v>
      </c>
      <c r="N12" s="13" t="s">
        <v>91</v>
      </c>
      <c r="O12" s="15"/>
      <c r="P12" s="15"/>
      <c r="Q12" s="15" t="s">
        <v>160</v>
      </c>
      <c r="R12" s="13" t="s">
        <v>161</v>
      </c>
      <c r="S12" s="13" t="s">
        <v>162</v>
      </c>
      <c r="T12" s="13" t="s">
        <v>131</v>
      </c>
      <c r="U12" s="14">
        <v>40725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80</v>
      </c>
      <c r="B13" s="13" t="s">
        <v>81</v>
      </c>
      <c r="C13" s="14">
        <v>43756.478472222225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86</v>
      </c>
      <c r="I13" s="15" t="s">
        <v>85</v>
      </c>
      <c r="J13" s="15" t="s">
        <v>87</v>
      </c>
      <c r="K13" s="15" t="s">
        <v>88</v>
      </c>
      <c r="L13" s="13" t="s">
        <v>125</v>
      </c>
      <c r="M13" s="15" t="s">
        <v>126</v>
      </c>
      <c r="N13" s="13" t="s">
        <v>127</v>
      </c>
      <c r="O13" s="15"/>
      <c r="P13" s="15"/>
      <c r="Q13" s="15" t="s">
        <v>160</v>
      </c>
      <c r="R13" s="13" t="s">
        <v>161</v>
      </c>
      <c r="S13" s="13" t="s">
        <v>162</v>
      </c>
      <c r="T13" s="13" t="s">
        <v>131</v>
      </c>
      <c r="U13" s="14">
        <v>40725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43.5" x14ac:dyDescent="0.35">
      <c r="A14" s="13" t="s">
        <v>80</v>
      </c>
      <c r="B14" s="13" t="s">
        <v>81</v>
      </c>
      <c r="C14" s="14">
        <v>43756.686805555553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86</v>
      </c>
      <c r="I14" s="15" t="s">
        <v>85</v>
      </c>
      <c r="J14" s="15" t="s">
        <v>87</v>
      </c>
      <c r="K14" s="15" t="s">
        <v>88</v>
      </c>
      <c r="L14" s="13" t="s">
        <v>89</v>
      </c>
      <c r="M14" s="15" t="s">
        <v>90</v>
      </c>
      <c r="N14" s="13" t="s">
        <v>91</v>
      </c>
      <c r="O14" s="15"/>
      <c r="P14" s="15"/>
      <c r="Q14" s="15" t="s">
        <v>163</v>
      </c>
      <c r="R14" s="13" t="s">
        <v>164</v>
      </c>
      <c r="S14" s="13" t="s">
        <v>162</v>
      </c>
      <c r="T14" s="13" t="s">
        <v>131</v>
      </c>
      <c r="U14" s="14">
        <v>40725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80</v>
      </c>
      <c r="B15" s="13" t="s">
        <v>81</v>
      </c>
      <c r="C15" s="14">
        <v>43756.480555555558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86</v>
      </c>
      <c r="I15" s="15" t="s">
        <v>85</v>
      </c>
      <c r="J15" s="15" t="s">
        <v>87</v>
      </c>
      <c r="K15" s="15" t="s">
        <v>88</v>
      </c>
      <c r="L15" s="13" t="s">
        <v>125</v>
      </c>
      <c r="M15" s="15" t="s">
        <v>126</v>
      </c>
      <c r="N15" s="13" t="s">
        <v>127</v>
      </c>
      <c r="O15" s="15"/>
      <c r="P15" s="15"/>
      <c r="Q15" s="15" t="s">
        <v>163</v>
      </c>
      <c r="R15" s="13" t="s">
        <v>164</v>
      </c>
      <c r="S15" s="13" t="s">
        <v>162</v>
      </c>
      <c r="T15" s="13" t="s">
        <v>131</v>
      </c>
      <c r="U15" s="14">
        <v>40725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80</v>
      </c>
      <c r="B16" s="13" t="s">
        <v>81</v>
      </c>
      <c r="C16" s="14">
        <v>43756.686805555553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86</v>
      </c>
      <c r="I16" s="15" t="s">
        <v>85</v>
      </c>
      <c r="J16" s="15" t="s">
        <v>87</v>
      </c>
      <c r="K16" s="15" t="s">
        <v>88</v>
      </c>
      <c r="L16" s="13" t="s">
        <v>89</v>
      </c>
      <c r="M16" s="15" t="s">
        <v>90</v>
      </c>
      <c r="N16" s="13" t="s">
        <v>91</v>
      </c>
      <c r="O16" s="15"/>
      <c r="P16" s="15"/>
      <c r="Q16" s="15" t="s">
        <v>165</v>
      </c>
      <c r="R16" s="13" t="s">
        <v>166</v>
      </c>
      <c r="S16" s="13" t="s">
        <v>162</v>
      </c>
      <c r="T16" s="13" t="s">
        <v>131</v>
      </c>
      <c r="U16" s="14">
        <v>40725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80</v>
      </c>
      <c r="B17" s="13" t="s">
        <v>81</v>
      </c>
      <c r="C17" s="14">
        <v>43756.479861111111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86</v>
      </c>
      <c r="I17" s="15" t="s">
        <v>85</v>
      </c>
      <c r="J17" s="15" t="s">
        <v>87</v>
      </c>
      <c r="K17" s="15" t="s">
        <v>88</v>
      </c>
      <c r="L17" s="13" t="s">
        <v>125</v>
      </c>
      <c r="M17" s="15" t="s">
        <v>126</v>
      </c>
      <c r="N17" s="13" t="s">
        <v>127</v>
      </c>
      <c r="O17" s="15"/>
      <c r="P17" s="15"/>
      <c r="Q17" s="15" t="s">
        <v>165</v>
      </c>
      <c r="R17" s="13" t="s">
        <v>166</v>
      </c>
      <c r="S17" s="13" t="s">
        <v>162</v>
      </c>
      <c r="T17" s="13" t="s">
        <v>131</v>
      </c>
      <c r="U17" s="14">
        <v>40725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43.5" x14ac:dyDescent="0.35">
      <c r="A18" s="13" t="s">
        <v>80</v>
      </c>
      <c r="B18" s="13" t="s">
        <v>81</v>
      </c>
      <c r="C18" s="14">
        <v>43756.686805555553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86</v>
      </c>
      <c r="I18" s="15" t="s">
        <v>85</v>
      </c>
      <c r="J18" s="15" t="s">
        <v>87</v>
      </c>
      <c r="K18" s="15" t="s">
        <v>88</v>
      </c>
      <c r="L18" s="13" t="s">
        <v>89</v>
      </c>
      <c r="M18" s="15" t="s">
        <v>90</v>
      </c>
      <c r="N18" s="13" t="s">
        <v>91</v>
      </c>
      <c r="O18" s="15"/>
      <c r="P18" s="15"/>
      <c r="Q18" s="15" t="s">
        <v>167</v>
      </c>
      <c r="R18" s="13" t="s">
        <v>168</v>
      </c>
      <c r="S18" s="13" t="s">
        <v>162</v>
      </c>
      <c r="T18" s="13" t="s">
        <v>131</v>
      </c>
      <c r="U18" s="14">
        <v>40725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43.5" x14ac:dyDescent="0.35">
      <c r="A19" s="13" t="s">
        <v>80</v>
      </c>
      <c r="B19" s="13" t="s">
        <v>81</v>
      </c>
      <c r="C19" s="14">
        <v>43756.479861111111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86</v>
      </c>
      <c r="I19" s="15" t="s">
        <v>85</v>
      </c>
      <c r="J19" s="15" t="s">
        <v>87</v>
      </c>
      <c r="K19" s="15" t="s">
        <v>88</v>
      </c>
      <c r="L19" s="13" t="s">
        <v>125</v>
      </c>
      <c r="M19" s="15" t="s">
        <v>126</v>
      </c>
      <c r="N19" s="13" t="s">
        <v>127</v>
      </c>
      <c r="O19" s="15"/>
      <c r="P19" s="15"/>
      <c r="Q19" s="15" t="s">
        <v>167</v>
      </c>
      <c r="R19" s="13" t="s">
        <v>168</v>
      </c>
      <c r="S19" s="13" t="s">
        <v>162</v>
      </c>
      <c r="T19" s="13" t="s">
        <v>131</v>
      </c>
      <c r="U19" s="14">
        <v>40725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43.5" x14ac:dyDescent="0.35">
      <c r="A20" s="13" t="s">
        <v>80</v>
      </c>
      <c r="B20" s="13" t="s">
        <v>81</v>
      </c>
      <c r="C20" s="14">
        <v>43756.686805555553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86</v>
      </c>
      <c r="I20" s="15" t="s">
        <v>85</v>
      </c>
      <c r="J20" s="15" t="s">
        <v>87</v>
      </c>
      <c r="K20" s="15" t="s">
        <v>88</v>
      </c>
      <c r="L20" s="13" t="s">
        <v>89</v>
      </c>
      <c r="M20" s="15" t="s">
        <v>90</v>
      </c>
      <c r="N20" s="13" t="s">
        <v>91</v>
      </c>
      <c r="O20" s="15"/>
      <c r="P20" s="15"/>
      <c r="Q20" s="15" t="s">
        <v>169</v>
      </c>
      <c r="R20" s="13" t="s">
        <v>170</v>
      </c>
      <c r="S20" s="13" t="s">
        <v>162</v>
      </c>
      <c r="T20" s="13" t="s">
        <v>95</v>
      </c>
      <c r="U20" s="14">
        <v>40725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43.5" x14ac:dyDescent="0.35">
      <c r="A21" s="13" t="s">
        <v>80</v>
      </c>
      <c r="B21" s="13" t="s">
        <v>81</v>
      </c>
      <c r="C21" s="14">
        <v>43756.479861111111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86</v>
      </c>
      <c r="I21" s="15" t="s">
        <v>85</v>
      </c>
      <c r="J21" s="15" t="s">
        <v>87</v>
      </c>
      <c r="K21" s="15" t="s">
        <v>88</v>
      </c>
      <c r="L21" s="13" t="s">
        <v>125</v>
      </c>
      <c r="M21" s="15" t="s">
        <v>126</v>
      </c>
      <c r="N21" s="13" t="s">
        <v>127</v>
      </c>
      <c r="O21" s="15"/>
      <c r="P21" s="15"/>
      <c r="Q21" s="15" t="s">
        <v>169</v>
      </c>
      <c r="R21" s="13" t="s">
        <v>170</v>
      </c>
      <c r="S21" s="13" t="s">
        <v>162</v>
      </c>
      <c r="T21" s="13" t="s">
        <v>95</v>
      </c>
      <c r="U21" s="14">
        <v>40725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43.5" x14ac:dyDescent="0.35">
      <c r="A22" s="13" t="s">
        <v>80</v>
      </c>
      <c r="B22" s="13" t="s">
        <v>81</v>
      </c>
      <c r="C22" s="14">
        <v>43756.686805555553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86</v>
      </c>
      <c r="I22" s="15" t="s">
        <v>85</v>
      </c>
      <c r="J22" s="15" t="s">
        <v>87</v>
      </c>
      <c r="K22" s="15" t="s">
        <v>88</v>
      </c>
      <c r="L22" s="13" t="s">
        <v>89</v>
      </c>
      <c r="M22" s="15" t="s">
        <v>90</v>
      </c>
      <c r="N22" s="13" t="s">
        <v>91</v>
      </c>
      <c r="O22" s="15"/>
      <c r="P22" s="15"/>
      <c r="Q22" s="15" t="s">
        <v>172</v>
      </c>
      <c r="R22" s="13" t="s">
        <v>173</v>
      </c>
      <c r="S22" s="13" t="s">
        <v>162</v>
      </c>
      <c r="T22" s="13" t="s">
        <v>131</v>
      </c>
      <c r="U22" s="14">
        <v>40725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43.5" x14ac:dyDescent="0.35">
      <c r="A23" s="13" t="s">
        <v>80</v>
      </c>
      <c r="B23" s="13" t="s">
        <v>81</v>
      </c>
      <c r="C23" s="14">
        <v>43756.480555555558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86</v>
      </c>
      <c r="I23" s="15" t="s">
        <v>85</v>
      </c>
      <c r="J23" s="15" t="s">
        <v>87</v>
      </c>
      <c r="K23" s="15" t="s">
        <v>88</v>
      </c>
      <c r="L23" s="13" t="s">
        <v>125</v>
      </c>
      <c r="M23" s="15" t="s">
        <v>126</v>
      </c>
      <c r="N23" s="13" t="s">
        <v>127</v>
      </c>
      <c r="O23" s="15"/>
      <c r="P23" s="15"/>
      <c r="Q23" s="15" t="s">
        <v>172</v>
      </c>
      <c r="R23" s="13" t="s">
        <v>173</v>
      </c>
      <c r="S23" s="13" t="s">
        <v>162</v>
      </c>
      <c r="T23" s="13" t="s">
        <v>131</v>
      </c>
      <c r="U23" s="14">
        <v>40725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43.5" x14ac:dyDescent="0.35">
      <c r="A24" s="13" t="s">
        <v>147</v>
      </c>
      <c r="B24" s="13" t="s">
        <v>148</v>
      </c>
      <c r="C24" s="14">
        <v>45995.467361111114</v>
      </c>
      <c r="D24" s="13" t="s">
        <v>82</v>
      </c>
      <c r="E24" s="15" t="s">
        <v>83</v>
      </c>
      <c r="F24" s="13" t="s">
        <v>84</v>
      </c>
      <c r="G24" s="15" t="s">
        <v>85</v>
      </c>
      <c r="H24" s="13" t="s">
        <v>86</v>
      </c>
      <c r="I24" s="15" t="s">
        <v>85</v>
      </c>
      <c r="J24" s="15" t="s">
        <v>87</v>
      </c>
      <c r="K24" s="15" t="s">
        <v>88</v>
      </c>
      <c r="L24" s="13" t="s">
        <v>89</v>
      </c>
      <c r="M24" s="15" t="s">
        <v>90</v>
      </c>
      <c r="N24" s="13" t="s">
        <v>91</v>
      </c>
      <c r="O24" s="15"/>
      <c r="P24" s="15"/>
      <c r="Q24" s="15" t="s">
        <v>174</v>
      </c>
      <c r="R24" s="13" t="s">
        <v>175</v>
      </c>
      <c r="S24" s="13" t="s">
        <v>162</v>
      </c>
      <c r="T24" s="13" t="s">
        <v>131</v>
      </c>
      <c r="U24" s="14">
        <v>40725</v>
      </c>
      <c r="V24" s="14">
        <v>45900</v>
      </c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147</v>
      </c>
      <c r="B25" s="13" t="s">
        <v>81</v>
      </c>
      <c r="C25" s="14">
        <v>45995.467361111114</v>
      </c>
      <c r="D25" s="13" t="s">
        <v>82</v>
      </c>
      <c r="E25" s="15" t="s">
        <v>83</v>
      </c>
      <c r="F25" s="13" t="s">
        <v>84</v>
      </c>
      <c r="G25" s="15" t="s">
        <v>85</v>
      </c>
      <c r="H25" s="13" t="s">
        <v>86</v>
      </c>
      <c r="I25" s="15" t="s">
        <v>85</v>
      </c>
      <c r="J25" s="15" t="s">
        <v>87</v>
      </c>
      <c r="K25" s="15" t="s">
        <v>88</v>
      </c>
      <c r="L25" s="13" t="s">
        <v>89</v>
      </c>
      <c r="M25" s="15" t="s">
        <v>90</v>
      </c>
      <c r="N25" s="13" t="s">
        <v>91</v>
      </c>
      <c r="O25" s="15"/>
      <c r="P25" s="15"/>
      <c r="Q25" s="15" t="s">
        <v>174</v>
      </c>
      <c r="R25" s="13" t="s">
        <v>175</v>
      </c>
      <c r="S25" s="13" t="s">
        <v>162</v>
      </c>
      <c r="T25" s="13" t="s">
        <v>95</v>
      </c>
      <c r="U25" s="14">
        <v>45901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43.5" x14ac:dyDescent="0.35">
      <c r="A26" s="13" t="s">
        <v>147</v>
      </c>
      <c r="B26" s="13" t="s">
        <v>148</v>
      </c>
      <c r="C26" s="14">
        <v>45995.468055555553</v>
      </c>
      <c r="D26" s="13" t="s">
        <v>82</v>
      </c>
      <c r="E26" s="15" t="s">
        <v>83</v>
      </c>
      <c r="F26" s="13" t="s">
        <v>84</v>
      </c>
      <c r="G26" s="15" t="s">
        <v>85</v>
      </c>
      <c r="H26" s="13" t="s">
        <v>86</v>
      </c>
      <c r="I26" s="15" t="s">
        <v>85</v>
      </c>
      <c r="J26" s="15" t="s">
        <v>87</v>
      </c>
      <c r="K26" s="15" t="s">
        <v>88</v>
      </c>
      <c r="L26" s="13" t="s">
        <v>125</v>
      </c>
      <c r="M26" s="15" t="s">
        <v>126</v>
      </c>
      <c r="N26" s="13" t="s">
        <v>127</v>
      </c>
      <c r="O26" s="15"/>
      <c r="P26" s="15"/>
      <c r="Q26" s="15" t="s">
        <v>174</v>
      </c>
      <c r="R26" s="13" t="s">
        <v>175</v>
      </c>
      <c r="S26" s="13" t="s">
        <v>162</v>
      </c>
      <c r="T26" s="13" t="s">
        <v>131</v>
      </c>
      <c r="U26" s="14">
        <v>40725</v>
      </c>
      <c r="V26" s="14">
        <v>45900</v>
      </c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43.5" x14ac:dyDescent="0.35">
      <c r="A27" s="13" t="s">
        <v>147</v>
      </c>
      <c r="B27" s="13" t="s">
        <v>81</v>
      </c>
      <c r="C27" s="14">
        <v>45995.468055555553</v>
      </c>
      <c r="D27" s="13" t="s">
        <v>82</v>
      </c>
      <c r="E27" s="15" t="s">
        <v>83</v>
      </c>
      <c r="F27" s="13" t="s">
        <v>84</v>
      </c>
      <c r="G27" s="15" t="s">
        <v>85</v>
      </c>
      <c r="H27" s="13" t="s">
        <v>86</v>
      </c>
      <c r="I27" s="15" t="s">
        <v>85</v>
      </c>
      <c r="J27" s="15" t="s">
        <v>87</v>
      </c>
      <c r="K27" s="15" t="s">
        <v>88</v>
      </c>
      <c r="L27" s="13" t="s">
        <v>125</v>
      </c>
      <c r="M27" s="15" t="s">
        <v>126</v>
      </c>
      <c r="N27" s="13" t="s">
        <v>127</v>
      </c>
      <c r="O27" s="15"/>
      <c r="P27" s="15"/>
      <c r="Q27" s="15" t="s">
        <v>174</v>
      </c>
      <c r="R27" s="13" t="s">
        <v>175</v>
      </c>
      <c r="S27" s="13" t="s">
        <v>162</v>
      </c>
      <c r="T27" s="13" t="s">
        <v>95</v>
      </c>
      <c r="U27" s="14">
        <v>45901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43.5" x14ac:dyDescent="0.35">
      <c r="A28" s="13" t="s">
        <v>80</v>
      </c>
      <c r="B28" s="13" t="s">
        <v>81</v>
      </c>
      <c r="C28" s="14">
        <v>43756.686805555553</v>
      </c>
      <c r="D28" s="13" t="s">
        <v>82</v>
      </c>
      <c r="E28" s="15" t="s">
        <v>83</v>
      </c>
      <c r="F28" s="13" t="s">
        <v>84</v>
      </c>
      <c r="G28" s="15" t="s">
        <v>85</v>
      </c>
      <c r="H28" s="13" t="s">
        <v>86</v>
      </c>
      <c r="I28" s="15" t="s">
        <v>85</v>
      </c>
      <c r="J28" s="15" t="s">
        <v>87</v>
      </c>
      <c r="K28" s="15" t="s">
        <v>88</v>
      </c>
      <c r="L28" s="13" t="s">
        <v>89</v>
      </c>
      <c r="M28" s="15" t="s">
        <v>90</v>
      </c>
      <c r="N28" s="13" t="s">
        <v>91</v>
      </c>
      <c r="O28" s="15"/>
      <c r="P28" s="15"/>
      <c r="Q28" s="15" t="s">
        <v>181</v>
      </c>
      <c r="R28" s="13" t="s">
        <v>182</v>
      </c>
      <c r="S28" s="13" t="s">
        <v>162</v>
      </c>
      <c r="T28" s="13" t="s">
        <v>131</v>
      </c>
      <c r="U28" s="14">
        <v>40725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43.5" x14ac:dyDescent="0.35">
      <c r="A29" s="13" t="s">
        <v>80</v>
      </c>
      <c r="B29" s="13" t="s">
        <v>81</v>
      </c>
      <c r="C29" s="14">
        <v>43756.481249999997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86</v>
      </c>
      <c r="I29" s="15" t="s">
        <v>85</v>
      </c>
      <c r="J29" s="15" t="s">
        <v>87</v>
      </c>
      <c r="K29" s="15" t="s">
        <v>88</v>
      </c>
      <c r="L29" s="13" t="s">
        <v>125</v>
      </c>
      <c r="M29" s="15" t="s">
        <v>126</v>
      </c>
      <c r="N29" s="13" t="s">
        <v>127</v>
      </c>
      <c r="O29" s="15"/>
      <c r="P29" s="15"/>
      <c r="Q29" s="15" t="s">
        <v>181</v>
      </c>
      <c r="R29" s="13" t="s">
        <v>182</v>
      </c>
      <c r="S29" s="13" t="s">
        <v>162</v>
      </c>
      <c r="T29" s="13" t="s">
        <v>131</v>
      </c>
      <c r="U29" s="14">
        <v>40725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43.5" x14ac:dyDescent="0.35">
      <c r="A30" s="13" t="s">
        <v>183</v>
      </c>
      <c r="B30" s="13" t="s">
        <v>81</v>
      </c>
      <c r="C30" s="14">
        <v>44959.53402777778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184</v>
      </c>
      <c r="I30" s="15" t="s">
        <v>185</v>
      </c>
      <c r="J30" s="15" t="s">
        <v>186</v>
      </c>
      <c r="K30" s="15" t="s">
        <v>187</v>
      </c>
      <c r="L30" s="13" t="s">
        <v>188</v>
      </c>
      <c r="M30" s="15" t="s">
        <v>189</v>
      </c>
      <c r="N30" s="13" t="s">
        <v>91</v>
      </c>
      <c r="O30" s="15"/>
      <c r="P30" s="15"/>
      <c r="Q30" s="15" t="s">
        <v>92</v>
      </c>
      <c r="R30" s="13" t="s">
        <v>93</v>
      </c>
      <c r="S30" s="13" t="s">
        <v>94</v>
      </c>
      <c r="T30" s="13" t="s">
        <v>95</v>
      </c>
      <c r="U30" s="14">
        <v>44767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43.5" x14ac:dyDescent="0.35">
      <c r="A31" s="13" t="s">
        <v>183</v>
      </c>
      <c r="B31" s="13" t="s">
        <v>81</v>
      </c>
      <c r="C31" s="14">
        <v>44959.474999999999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184</v>
      </c>
      <c r="I31" s="15" t="s">
        <v>185</v>
      </c>
      <c r="J31" s="15" t="s">
        <v>186</v>
      </c>
      <c r="K31" s="15" t="s">
        <v>187</v>
      </c>
      <c r="L31" s="13" t="s">
        <v>193</v>
      </c>
      <c r="M31" s="15" t="s">
        <v>194</v>
      </c>
      <c r="N31" s="13" t="s">
        <v>127</v>
      </c>
      <c r="O31" s="15"/>
      <c r="P31" s="15"/>
      <c r="Q31" s="15" t="s">
        <v>92</v>
      </c>
      <c r="R31" s="13" t="s">
        <v>93</v>
      </c>
      <c r="S31" s="13" t="s">
        <v>94</v>
      </c>
      <c r="T31" s="13" t="s">
        <v>95</v>
      </c>
      <c r="U31" s="14">
        <v>44767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43.5" x14ac:dyDescent="0.35">
      <c r="A32" s="13" t="s">
        <v>183</v>
      </c>
      <c r="B32" s="13" t="s">
        <v>81</v>
      </c>
      <c r="C32" s="14">
        <v>44959.499305555553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184</v>
      </c>
      <c r="I32" s="15" t="s">
        <v>185</v>
      </c>
      <c r="J32" s="15" t="s">
        <v>186</v>
      </c>
      <c r="K32" s="15" t="s">
        <v>187</v>
      </c>
      <c r="L32" s="13" t="s">
        <v>188</v>
      </c>
      <c r="M32" s="15" t="s">
        <v>189</v>
      </c>
      <c r="N32" s="13" t="s">
        <v>91</v>
      </c>
      <c r="O32" s="15"/>
      <c r="P32" s="15"/>
      <c r="Q32" s="15" t="s">
        <v>129</v>
      </c>
      <c r="R32" s="13" t="s">
        <v>130</v>
      </c>
      <c r="S32" s="13" t="s">
        <v>94</v>
      </c>
      <c r="T32" s="13" t="s">
        <v>131</v>
      </c>
      <c r="U32" s="14">
        <v>44767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43.5" x14ac:dyDescent="0.35">
      <c r="A33" s="13" t="s">
        <v>183</v>
      </c>
      <c r="B33" s="13" t="s">
        <v>81</v>
      </c>
      <c r="C33" s="14">
        <v>44959.498611111114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184</v>
      </c>
      <c r="I33" s="15" t="s">
        <v>185</v>
      </c>
      <c r="J33" s="15" t="s">
        <v>186</v>
      </c>
      <c r="K33" s="15" t="s">
        <v>187</v>
      </c>
      <c r="L33" s="13" t="s">
        <v>193</v>
      </c>
      <c r="M33" s="15" t="s">
        <v>194</v>
      </c>
      <c r="N33" s="13" t="s">
        <v>127</v>
      </c>
      <c r="O33" s="15"/>
      <c r="P33" s="15"/>
      <c r="Q33" s="15" t="s">
        <v>129</v>
      </c>
      <c r="R33" s="13" t="s">
        <v>130</v>
      </c>
      <c r="S33" s="13" t="s">
        <v>94</v>
      </c>
      <c r="T33" s="13" t="s">
        <v>131</v>
      </c>
      <c r="U33" s="14">
        <v>44767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43.5" x14ac:dyDescent="0.35">
      <c r="A34" s="13" t="s">
        <v>183</v>
      </c>
      <c r="B34" s="13" t="s">
        <v>81</v>
      </c>
      <c r="C34" s="14">
        <v>44959.53402777778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184</v>
      </c>
      <c r="I34" s="15" t="s">
        <v>185</v>
      </c>
      <c r="J34" s="15" t="s">
        <v>186</v>
      </c>
      <c r="K34" s="15" t="s">
        <v>187</v>
      </c>
      <c r="L34" s="13" t="s">
        <v>188</v>
      </c>
      <c r="M34" s="15" t="s">
        <v>189</v>
      </c>
      <c r="N34" s="13" t="s">
        <v>91</v>
      </c>
      <c r="O34" s="15"/>
      <c r="P34" s="15"/>
      <c r="Q34" s="15" t="s">
        <v>132</v>
      </c>
      <c r="R34" s="13" t="s">
        <v>133</v>
      </c>
      <c r="S34" s="13" t="s">
        <v>94</v>
      </c>
      <c r="T34" s="13" t="s">
        <v>95</v>
      </c>
      <c r="U34" s="14">
        <v>44767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43.5" x14ac:dyDescent="0.35">
      <c r="A35" s="13" t="s">
        <v>183</v>
      </c>
      <c r="B35" s="13" t="s">
        <v>81</v>
      </c>
      <c r="C35" s="14">
        <v>44959.476388888892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184</v>
      </c>
      <c r="I35" s="15" t="s">
        <v>185</v>
      </c>
      <c r="J35" s="15" t="s">
        <v>186</v>
      </c>
      <c r="K35" s="15" t="s">
        <v>187</v>
      </c>
      <c r="L35" s="13" t="s">
        <v>193</v>
      </c>
      <c r="M35" s="15" t="s">
        <v>194</v>
      </c>
      <c r="N35" s="13" t="s">
        <v>127</v>
      </c>
      <c r="O35" s="15"/>
      <c r="P35" s="15"/>
      <c r="Q35" s="15" t="s">
        <v>132</v>
      </c>
      <c r="R35" s="13" t="s">
        <v>133</v>
      </c>
      <c r="S35" s="13" t="s">
        <v>94</v>
      </c>
      <c r="T35" s="13" t="s">
        <v>95</v>
      </c>
      <c r="U35" s="14">
        <v>44767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43.5" x14ac:dyDescent="0.35">
      <c r="A36" s="13" t="s">
        <v>147</v>
      </c>
      <c r="B36" s="13" t="s">
        <v>148</v>
      </c>
      <c r="C36" s="14">
        <v>45973.649305555555</v>
      </c>
      <c r="D36" s="13" t="s">
        <v>82</v>
      </c>
      <c r="E36" s="15" t="s">
        <v>83</v>
      </c>
      <c r="F36" s="13" t="s">
        <v>84</v>
      </c>
      <c r="G36" s="15" t="s">
        <v>85</v>
      </c>
      <c r="H36" s="13" t="s">
        <v>184</v>
      </c>
      <c r="I36" s="15" t="s">
        <v>185</v>
      </c>
      <c r="J36" s="15" t="s">
        <v>186</v>
      </c>
      <c r="K36" s="15" t="s">
        <v>187</v>
      </c>
      <c r="L36" s="13" t="s">
        <v>188</v>
      </c>
      <c r="M36" s="15" t="s">
        <v>189</v>
      </c>
      <c r="N36" s="13" t="s">
        <v>91</v>
      </c>
      <c r="O36" s="15"/>
      <c r="P36" s="15"/>
      <c r="Q36" s="15" t="s">
        <v>149</v>
      </c>
      <c r="R36" s="13" t="s">
        <v>150</v>
      </c>
      <c r="S36" s="13" t="s">
        <v>94</v>
      </c>
      <c r="T36" s="13" t="s">
        <v>95</v>
      </c>
      <c r="U36" s="14">
        <v>44767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43.5" x14ac:dyDescent="0.35">
      <c r="A37" s="13" t="s">
        <v>183</v>
      </c>
      <c r="B37" s="13" t="s">
        <v>81</v>
      </c>
      <c r="C37" s="14">
        <v>44959.497916666667</v>
      </c>
      <c r="D37" s="13" t="s">
        <v>82</v>
      </c>
      <c r="E37" s="15" t="s">
        <v>83</v>
      </c>
      <c r="F37" s="13" t="s">
        <v>84</v>
      </c>
      <c r="G37" s="15" t="s">
        <v>85</v>
      </c>
      <c r="H37" s="13" t="s">
        <v>184</v>
      </c>
      <c r="I37" s="15" t="s">
        <v>185</v>
      </c>
      <c r="J37" s="15" t="s">
        <v>186</v>
      </c>
      <c r="K37" s="15" t="s">
        <v>187</v>
      </c>
      <c r="L37" s="13" t="s">
        <v>193</v>
      </c>
      <c r="M37" s="15" t="s">
        <v>194</v>
      </c>
      <c r="N37" s="13" t="s">
        <v>127</v>
      </c>
      <c r="O37" s="15"/>
      <c r="P37" s="15"/>
      <c r="Q37" s="15" t="s">
        <v>149</v>
      </c>
      <c r="R37" s="13" t="s">
        <v>150</v>
      </c>
      <c r="S37" s="13" t="s">
        <v>94</v>
      </c>
      <c r="T37" s="13" t="s">
        <v>95</v>
      </c>
      <c r="U37" s="14">
        <v>44767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43.5" x14ac:dyDescent="0.35">
      <c r="A38" s="13" t="s">
        <v>183</v>
      </c>
      <c r="B38" s="13" t="s">
        <v>81</v>
      </c>
      <c r="C38" s="14">
        <v>44959.534722222219</v>
      </c>
      <c r="D38" s="13" t="s">
        <v>82</v>
      </c>
      <c r="E38" s="15" t="s">
        <v>83</v>
      </c>
      <c r="F38" s="13" t="s">
        <v>84</v>
      </c>
      <c r="G38" s="15" t="s">
        <v>85</v>
      </c>
      <c r="H38" s="13" t="s">
        <v>184</v>
      </c>
      <c r="I38" s="15" t="s">
        <v>185</v>
      </c>
      <c r="J38" s="15" t="s">
        <v>186</v>
      </c>
      <c r="K38" s="15" t="s">
        <v>187</v>
      </c>
      <c r="L38" s="13" t="s">
        <v>188</v>
      </c>
      <c r="M38" s="15" t="s">
        <v>189</v>
      </c>
      <c r="N38" s="13" t="s">
        <v>91</v>
      </c>
      <c r="O38" s="15"/>
      <c r="P38" s="15"/>
      <c r="Q38" s="15" t="s">
        <v>156</v>
      </c>
      <c r="R38" s="13" t="s">
        <v>157</v>
      </c>
      <c r="S38" s="13" t="s">
        <v>94</v>
      </c>
      <c r="T38" s="13" t="s">
        <v>95</v>
      </c>
      <c r="U38" s="14">
        <v>44767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43.5" x14ac:dyDescent="0.35">
      <c r="A39" s="13" t="s">
        <v>183</v>
      </c>
      <c r="B39" s="13" t="s">
        <v>81</v>
      </c>
      <c r="C39" s="14">
        <v>44959.498611111114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184</v>
      </c>
      <c r="I39" s="15" t="s">
        <v>185</v>
      </c>
      <c r="J39" s="15" t="s">
        <v>186</v>
      </c>
      <c r="K39" s="15" t="s">
        <v>187</v>
      </c>
      <c r="L39" s="13" t="s">
        <v>193</v>
      </c>
      <c r="M39" s="15" t="s">
        <v>194</v>
      </c>
      <c r="N39" s="13" t="s">
        <v>127</v>
      </c>
      <c r="O39" s="15"/>
      <c r="P39" s="15"/>
      <c r="Q39" s="15" t="s">
        <v>156</v>
      </c>
      <c r="R39" s="13" t="s">
        <v>157</v>
      </c>
      <c r="S39" s="13" t="s">
        <v>94</v>
      </c>
      <c r="T39" s="13" t="s">
        <v>95</v>
      </c>
      <c r="U39" s="14">
        <v>44767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43.5" x14ac:dyDescent="0.35">
      <c r="A40" s="13" t="s">
        <v>183</v>
      </c>
      <c r="B40" s="13" t="s">
        <v>81</v>
      </c>
      <c r="C40" s="14">
        <v>44959.535416666666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184</v>
      </c>
      <c r="I40" s="15" t="s">
        <v>185</v>
      </c>
      <c r="J40" s="15" t="s">
        <v>186</v>
      </c>
      <c r="K40" s="15" t="s">
        <v>187</v>
      </c>
      <c r="L40" s="13" t="s">
        <v>188</v>
      </c>
      <c r="M40" s="15" t="s">
        <v>189</v>
      </c>
      <c r="N40" s="13" t="s">
        <v>91</v>
      </c>
      <c r="O40" s="15"/>
      <c r="P40" s="15"/>
      <c r="Q40" s="15" t="s">
        <v>160</v>
      </c>
      <c r="R40" s="13" t="s">
        <v>161</v>
      </c>
      <c r="S40" s="13" t="s">
        <v>162</v>
      </c>
      <c r="T40" s="13" t="s">
        <v>131</v>
      </c>
      <c r="U40" s="14">
        <v>44767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43.5" x14ac:dyDescent="0.35">
      <c r="A41" s="13" t="s">
        <v>183</v>
      </c>
      <c r="B41" s="13" t="s">
        <v>81</v>
      </c>
      <c r="C41" s="14">
        <v>44959.53402777778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184</v>
      </c>
      <c r="I41" s="15" t="s">
        <v>185</v>
      </c>
      <c r="J41" s="15" t="s">
        <v>186</v>
      </c>
      <c r="K41" s="15" t="s">
        <v>187</v>
      </c>
      <c r="L41" s="13" t="s">
        <v>193</v>
      </c>
      <c r="M41" s="15" t="s">
        <v>194</v>
      </c>
      <c r="N41" s="13" t="s">
        <v>127</v>
      </c>
      <c r="O41" s="15"/>
      <c r="P41" s="15"/>
      <c r="Q41" s="15" t="s">
        <v>160</v>
      </c>
      <c r="R41" s="13" t="s">
        <v>161</v>
      </c>
      <c r="S41" s="13" t="s">
        <v>162</v>
      </c>
      <c r="T41" s="13" t="s">
        <v>131</v>
      </c>
      <c r="U41" s="14">
        <v>44767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43.5" x14ac:dyDescent="0.35">
      <c r="A42" s="13" t="s">
        <v>183</v>
      </c>
      <c r="B42" s="13" t="s">
        <v>81</v>
      </c>
      <c r="C42" s="14">
        <v>44959.535416666666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184</v>
      </c>
      <c r="I42" s="15" t="s">
        <v>185</v>
      </c>
      <c r="J42" s="15" t="s">
        <v>186</v>
      </c>
      <c r="K42" s="15" t="s">
        <v>187</v>
      </c>
      <c r="L42" s="13" t="s">
        <v>188</v>
      </c>
      <c r="M42" s="15" t="s">
        <v>189</v>
      </c>
      <c r="N42" s="13" t="s">
        <v>91</v>
      </c>
      <c r="O42" s="15"/>
      <c r="P42" s="15"/>
      <c r="Q42" s="15" t="s">
        <v>163</v>
      </c>
      <c r="R42" s="13" t="s">
        <v>164</v>
      </c>
      <c r="S42" s="13" t="s">
        <v>162</v>
      </c>
      <c r="T42" s="13" t="s">
        <v>131</v>
      </c>
      <c r="U42" s="14">
        <v>44767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43.5" x14ac:dyDescent="0.35">
      <c r="A43" s="13" t="s">
        <v>183</v>
      </c>
      <c r="B43" s="13" t="s">
        <v>81</v>
      </c>
      <c r="C43" s="14">
        <v>44959.53402777778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184</v>
      </c>
      <c r="I43" s="15" t="s">
        <v>185</v>
      </c>
      <c r="J43" s="15" t="s">
        <v>186</v>
      </c>
      <c r="K43" s="15" t="s">
        <v>187</v>
      </c>
      <c r="L43" s="13" t="s">
        <v>193</v>
      </c>
      <c r="M43" s="15" t="s">
        <v>194</v>
      </c>
      <c r="N43" s="13" t="s">
        <v>127</v>
      </c>
      <c r="O43" s="15"/>
      <c r="P43" s="15"/>
      <c r="Q43" s="15" t="s">
        <v>163</v>
      </c>
      <c r="R43" s="13" t="s">
        <v>164</v>
      </c>
      <c r="S43" s="13" t="s">
        <v>162</v>
      </c>
      <c r="T43" s="13" t="s">
        <v>131</v>
      </c>
      <c r="U43" s="14">
        <v>44767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43.5" x14ac:dyDescent="0.35">
      <c r="A44" s="13" t="s">
        <v>183</v>
      </c>
      <c r="B44" s="13" t="s">
        <v>81</v>
      </c>
      <c r="C44" s="14">
        <v>44959.537499999999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184</v>
      </c>
      <c r="I44" s="15" t="s">
        <v>185</v>
      </c>
      <c r="J44" s="15" t="s">
        <v>186</v>
      </c>
      <c r="K44" s="15" t="s">
        <v>187</v>
      </c>
      <c r="L44" s="13" t="s">
        <v>188</v>
      </c>
      <c r="M44" s="15" t="s">
        <v>189</v>
      </c>
      <c r="N44" s="13" t="s">
        <v>91</v>
      </c>
      <c r="O44" s="15"/>
      <c r="P44" s="15"/>
      <c r="Q44" s="15" t="s">
        <v>165</v>
      </c>
      <c r="R44" s="13" t="s">
        <v>166</v>
      </c>
      <c r="S44" s="13" t="s">
        <v>162</v>
      </c>
      <c r="T44" s="13" t="s">
        <v>131</v>
      </c>
      <c r="U44" s="14">
        <v>44767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43.5" x14ac:dyDescent="0.35">
      <c r="A45" s="13" t="s">
        <v>183</v>
      </c>
      <c r="B45" s="13" t="s">
        <v>81</v>
      </c>
      <c r="C45" s="14">
        <v>44959.53402777778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184</v>
      </c>
      <c r="I45" s="15" t="s">
        <v>185</v>
      </c>
      <c r="J45" s="15" t="s">
        <v>186</v>
      </c>
      <c r="K45" s="15" t="s">
        <v>187</v>
      </c>
      <c r="L45" s="13" t="s">
        <v>193</v>
      </c>
      <c r="M45" s="15" t="s">
        <v>194</v>
      </c>
      <c r="N45" s="13" t="s">
        <v>127</v>
      </c>
      <c r="O45" s="15"/>
      <c r="P45" s="15"/>
      <c r="Q45" s="15" t="s">
        <v>165</v>
      </c>
      <c r="R45" s="13" t="s">
        <v>166</v>
      </c>
      <c r="S45" s="13" t="s">
        <v>162</v>
      </c>
      <c r="T45" s="13" t="s">
        <v>131</v>
      </c>
      <c r="U45" s="14">
        <v>44767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43.5" x14ac:dyDescent="0.35">
      <c r="A46" s="13" t="s">
        <v>183</v>
      </c>
      <c r="B46" s="13" t="s">
        <v>81</v>
      </c>
      <c r="C46" s="14">
        <v>44959.537499999999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184</v>
      </c>
      <c r="I46" s="15" t="s">
        <v>185</v>
      </c>
      <c r="J46" s="15" t="s">
        <v>186</v>
      </c>
      <c r="K46" s="15" t="s">
        <v>187</v>
      </c>
      <c r="L46" s="13" t="s">
        <v>188</v>
      </c>
      <c r="M46" s="15" t="s">
        <v>189</v>
      </c>
      <c r="N46" s="13" t="s">
        <v>91</v>
      </c>
      <c r="O46" s="15"/>
      <c r="P46" s="15"/>
      <c r="Q46" s="15" t="s">
        <v>167</v>
      </c>
      <c r="R46" s="13" t="s">
        <v>168</v>
      </c>
      <c r="S46" s="13" t="s">
        <v>162</v>
      </c>
      <c r="T46" s="13" t="s">
        <v>131</v>
      </c>
      <c r="U46" s="14">
        <v>44767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43.5" x14ac:dyDescent="0.35">
      <c r="A47" s="13" t="s">
        <v>183</v>
      </c>
      <c r="B47" s="13" t="s">
        <v>81</v>
      </c>
      <c r="C47" s="14">
        <v>44959.534722222219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184</v>
      </c>
      <c r="I47" s="15" t="s">
        <v>185</v>
      </c>
      <c r="J47" s="15" t="s">
        <v>186</v>
      </c>
      <c r="K47" s="15" t="s">
        <v>187</v>
      </c>
      <c r="L47" s="13" t="s">
        <v>193</v>
      </c>
      <c r="M47" s="15" t="s">
        <v>194</v>
      </c>
      <c r="N47" s="13" t="s">
        <v>127</v>
      </c>
      <c r="O47" s="15"/>
      <c r="P47" s="15"/>
      <c r="Q47" s="15" t="s">
        <v>167</v>
      </c>
      <c r="R47" s="13" t="s">
        <v>168</v>
      </c>
      <c r="S47" s="13" t="s">
        <v>162</v>
      </c>
      <c r="T47" s="13" t="s">
        <v>131</v>
      </c>
      <c r="U47" s="14">
        <v>44767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43.5" x14ac:dyDescent="0.35">
      <c r="A48" s="13" t="s">
        <v>183</v>
      </c>
      <c r="B48" s="13" t="s">
        <v>81</v>
      </c>
      <c r="C48" s="14">
        <v>44959.538194444445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184</v>
      </c>
      <c r="I48" s="15" t="s">
        <v>185</v>
      </c>
      <c r="J48" s="15" t="s">
        <v>186</v>
      </c>
      <c r="K48" s="15" t="s">
        <v>187</v>
      </c>
      <c r="L48" s="13" t="s">
        <v>188</v>
      </c>
      <c r="M48" s="15" t="s">
        <v>189</v>
      </c>
      <c r="N48" s="13" t="s">
        <v>91</v>
      </c>
      <c r="O48" s="15"/>
      <c r="P48" s="15"/>
      <c r="Q48" s="15" t="s">
        <v>169</v>
      </c>
      <c r="R48" s="13" t="s">
        <v>170</v>
      </c>
      <c r="S48" s="13" t="s">
        <v>162</v>
      </c>
      <c r="T48" s="13" t="s">
        <v>131</v>
      </c>
      <c r="U48" s="14">
        <v>44767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43.5" x14ac:dyDescent="0.35">
      <c r="A49" s="13" t="s">
        <v>183</v>
      </c>
      <c r="B49" s="13" t="s">
        <v>81</v>
      </c>
      <c r="C49" s="14">
        <v>44959.534722222219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184</v>
      </c>
      <c r="I49" s="15" t="s">
        <v>185</v>
      </c>
      <c r="J49" s="15" t="s">
        <v>186</v>
      </c>
      <c r="K49" s="15" t="s">
        <v>187</v>
      </c>
      <c r="L49" s="13" t="s">
        <v>193</v>
      </c>
      <c r="M49" s="15" t="s">
        <v>194</v>
      </c>
      <c r="N49" s="13" t="s">
        <v>127</v>
      </c>
      <c r="O49" s="15"/>
      <c r="P49" s="15"/>
      <c r="Q49" s="15" t="s">
        <v>169</v>
      </c>
      <c r="R49" s="13" t="s">
        <v>170</v>
      </c>
      <c r="S49" s="13" t="s">
        <v>162</v>
      </c>
      <c r="T49" s="13" t="s">
        <v>131</v>
      </c>
      <c r="U49" s="14">
        <v>44767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43.5" x14ac:dyDescent="0.35">
      <c r="A50" s="13" t="s">
        <v>183</v>
      </c>
      <c r="B50" s="13" t="s">
        <v>81</v>
      </c>
      <c r="C50" s="14">
        <v>44959.538194444445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184</v>
      </c>
      <c r="I50" s="15" t="s">
        <v>185</v>
      </c>
      <c r="J50" s="15" t="s">
        <v>186</v>
      </c>
      <c r="K50" s="15" t="s">
        <v>187</v>
      </c>
      <c r="L50" s="13" t="s">
        <v>188</v>
      </c>
      <c r="M50" s="15" t="s">
        <v>189</v>
      </c>
      <c r="N50" s="13" t="s">
        <v>91</v>
      </c>
      <c r="O50" s="15"/>
      <c r="P50" s="15"/>
      <c r="Q50" s="15" t="s">
        <v>172</v>
      </c>
      <c r="R50" s="13" t="s">
        <v>173</v>
      </c>
      <c r="S50" s="13" t="s">
        <v>162</v>
      </c>
      <c r="T50" s="13" t="s">
        <v>131</v>
      </c>
      <c r="U50" s="14">
        <v>44767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43.5" x14ac:dyDescent="0.35">
      <c r="A51" s="13" t="s">
        <v>183</v>
      </c>
      <c r="B51" s="13" t="s">
        <v>81</v>
      </c>
      <c r="C51" s="14">
        <v>44959.534722222219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184</v>
      </c>
      <c r="I51" s="15" t="s">
        <v>185</v>
      </c>
      <c r="J51" s="15" t="s">
        <v>186</v>
      </c>
      <c r="K51" s="15" t="s">
        <v>187</v>
      </c>
      <c r="L51" s="13" t="s">
        <v>193</v>
      </c>
      <c r="M51" s="15" t="s">
        <v>194</v>
      </c>
      <c r="N51" s="13" t="s">
        <v>127</v>
      </c>
      <c r="O51" s="15"/>
      <c r="P51" s="15"/>
      <c r="Q51" s="15" t="s">
        <v>172</v>
      </c>
      <c r="R51" s="13" t="s">
        <v>173</v>
      </c>
      <c r="S51" s="13" t="s">
        <v>162</v>
      </c>
      <c r="T51" s="13" t="s">
        <v>131</v>
      </c>
      <c r="U51" s="14">
        <v>44767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43.5" x14ac:dyDescent="0.35">
      <c r="A52" s="13" t="s">
        <v>147</v>
      </c>
      <c r="B52" s="13" t="s">
        <v>148</v>
      </c>
      <c r="C52" s="14">
        <v>45995.470138888886</v>
      </c>
      <c r="D52" s="13" t="s">
        <v>82</v>
      </c>
      <c r="E52" s="15" t="s">
        <v>83</v>
      </c>
      <c r="F52" s="13" t="s">
        <v>84</v>
      </c>
      <c r="G52" s="15" t="s">
        <v>85</v>
      </c>
      <c r="H52" s="13" t="s">
        <v>184</v>
      </c>
      <c r="I52" s="15" t="s">
        <v>185</v>
      </c>
      <c r="J52" s="15" t="s">
        <v>186</v>
      </c>
      <c r="K52" s="15" t="s">
        <v>187</v>
      </c>
      <c r="L52" s="13" t="s">
        <v>188</v>
      </c>
      <c r="M52" s="15" t="s">
        <v>189</v>
      </c>
      <c r="N52" s="13" t="s">
        <v>91</v>
      </c>
      <c r="O52" s="15"/>
      <c r="P52" s="15"/>
      <c r="Q52" s="15" t="s">
        <v>174</v>
      </c>
      <c r="R52" s="13" t="s">
        <v>175</v>
      </c>
      <c r="S52" s="13" t="s">
        <v>162</v>
      </c>
      <c r="T52" s="13" t="s">
        <v>131</v>
      </c>
      <c r="U52" s="14">
        <v>44767</v>
      </c>
      <c r="V52" s="14">
        <v>45900</v>
      </c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43.5" x14ac:dyDescent="0.35">
      <c r="A53" s="13" t="s">
        <v>147</v>
      </c>
      <c r="B53" s="13" t="s">
        <v>81</v>
      </c>
      <c r="C53" s="14">
        <v>45995.470138888886</v>
      </c>
      <c r="D53" s="13" t="s">
        <v>82</v>
      </c>
      <c r="E53" s="15" t="s">
        <v>83</v>
      </c>
      <c r="F53" s="13" t="s">
        <v>84</v>
      </c>
      <c r="G53" s="15" t="s">
        <v>85</v>
      </c>
      <c r="H53" s="13" t="s">
        <v>184</v>
      </c>
      <c r="I53" s="15" t="s">
        <v>185</v>
      </c>
      <c r="J53" s="15" t="s">
        <v>186</v>
      </c>
      <c r="K53" s="15" t="s">
        <v>187</v>
      </c>
      <c r="L53" s="13" t="s">
        <v>188</v>
      </c>
      <c r="M53" s="15" t="s">
        <v>189</v>
      </c>
      <c r="N53" s="13" t="s">
        <v>91</v>
      </c>
      <c r="O53" s="15"/>
      <c r="P53" s="15"/>
      <c r="Q53" s="15" t="s">
        <v>174</v>
      </c>
      <c r="R53" s="13" t="s">
        <v>175</v>
      </c>
      <c r="S53" s="13" t="s">
        <v>162</v>
      </c>
      <c r="T53" s="13" t="s">
        <v>95</v>
      </c>
      <c r="U53" s="14">
        <v>45901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43.5" x14ac:dyDescent="0.35">
      <c r="A54" s="13" t="s">
        <v>147</v>
      </c>
      <c r="B54" s="13" t="s">
        <v>148</v>
      </c>
      <c r="C54" s="14">
        <v>45995.470833333333</v>
      </c>
      <c r="D54" s="13" t="s">
        <v>82</v>
      </c>
      <c r="E54" s="15" t="s">
        <v>83</v>
      </c>
      <c r="F54" s="13" t="s">
        <v>84</v>
      </c>
      <c r="G54" s="15" t="s">
        <v>85</v>
      </c>
      <c r="H54" s="13" t="s">
        <v>184</v>
      </c>
      <c r="I54" s="15" t="s">
        <v>185</v>
      </c>
      <c r="J54" s="15" t="s">
        <v>186</v>
      </c>
      <c r="K54" s="15" t="s">
        <v>187</v>
      </c>
      <c r="L54" s="13" t="s">
        <v>193</v>
      </c>
      <c r="M54" s="15" t="s">
        <v>194</v>
      </c>
      <c r="N54" s="13" t="s">
        <v>127</v>
      </c>
      <c r="O54" s="15"/>
      <c r="P54" s="15"/>
      <c r="Q54" s="15" t="s">
        <v>174</v>
      </c>
      <c r="R54" s="13" t="s">
        <v>175</v>
      </c>
      <c r="S54" s="13" t="s">
        <v>162</v>
      </c>
      <c r="T54" s="13" t="s">
        <v>131</v>
      </c>
      <c r="U54" s="14">
        <v>44767</v>
      </c>
      <c r="V54" s="14">
        <v>45900</v>
      </c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43.5" x14ac:dyDescent="0.35">
      <c r="A55" s="13" t="s">
        <v>147</v>
      </c>
      <c r="B55" s="13" t="s">
        <v>81</v>
      </c>
      <c r="C55" s="14">
        <v>45995.470833333333</v>
      </c>
      <c r="D55" s="13" t="s">
        <v>82</v>
      </c>
      <c r="E55" s="15" t="s">
        <v>83</v>
      </c>
      <c r="F55" s="13" t="s">
        <v>84</v>
      </c>
      <c r="G55" s="15" t="s">
        <v>85</v>
      </c>
      <c r="H55" s="13" t="s">
        <v>184</v>
      </c>
      <c r="I55" s="15" t="s">
        <v>185</v>
      </c>
      <c r="J55" s="15" t="s">
        <v>186</v>
      </c>
      <c r="K55" s="15" t="s">
        <v>187</v>
      </c>
      <c r="L55" s="13" t="s">
        <v>193</v>
      </c>
      <c r="M55" s="15" t="s">
        <v>194</v>
      </c>
      <c r="N55" s="13" t="s">
        <v>127</v>
      </c>
      <c r="O55" s="15"/>
      <c r="P55" s="15"/>
      <c r="Q55" s="15" t="s">
        <v>174</v>
      </c>
      <c r="R55" s="13" t="s">
        <v>175</v>
      </c>
      <c r="S55" s="13" t="s">
        <v>162</v>
      </c>
      <c r="T55" s="13" t="s">
        <v>95</v>
      </c>
      <c r="U55" s="14">
        <v>45901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43.5" x14ac:dyDescent="0.35">
      <c r="A56" s="13" t="s">
        <v>183</v>
      </c>
      <c r="B56" s="13" t="s">
        <v>81</v>
      </c>
      <c r="C56" s="14">
        <v>44959.538194444445</v>
      </c>
      <c r="D56" s="13" t="s">
        <v>82</v>
      </c>
      <c r="E56" s="15" t="s">
        <v>83</v>
      </c>
      <c r="F56" s="13" t="s">
        <v>84</v>
      </c>
      <c r="G56" s="15" t="s">
        <v>85</v>
      </c>
      <c r="H56" s="13" t="s">
        <v>184</v>
      </c>
      <c r="I56" s="15" t="s">
        <v>185</v>
      </c>
      <c r="J56" s="15" t="s">
        <v>186</v>
      </c>
      <c r="K56" s="15" t="s">
        <v>187</v>
      </c>
      <c r="L56" s="13" t="s">
        <v>188</v>
      </c>
      <c r="M56" s="15" t="s">
        <v>189</v>
      </c>
      <c r="N56" s="13" t="s">
        <v>91</v>
      </c>
      <c r="O56" s="15"/>
      <c r="P56" s="15"/>
      <c r="Q56" s="15" t="s">
        <v>181</v>
      </c>
      <c r="R56" s="13" t="s">
        <v>182</v>
      </c>
      <c r="S56" s="13" t="s">
        <v>162</v>
      </c>
      <c r="T56" s="13" t="s">
        <v>131</v>
      </c>
      <c r="U56" s="14">
        <v>44767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43.5" x14ac:dyDescent="0.35">
      <c r="A57" s="13" t="s">
        <v>183</v>
      </c>
      <c r="B57" s="13" t="s">
        <v>81</v>
      </c>
      <c r="C57" s="14">
        <v>44959.535416666666</v>
      </c>
      <c r="D57" s="13" t="s">
        <v>82</v>
      </c>
      <c r="E57" s="15" t="s">
        <v>83</v>
      </c>
      <c r="F57" s="13" t="s">
        <v>84</v>
      </c>
      <c r="G57" s="15" t="s">
        <v>85</v>
      </c>
      <c r="H57" s="13" t="s">
        <v>184</v>
      </c>
      <c r="I57" s="15" t="s">
        <v>185</v>
      </c>
      <c r="J57" s="15" t="s">
        <v>186</v>
      </c>
      <c r="K57" s="15" t="s">
        <v>187</v>
      </c>
      <c r="L57" s="13" t="s">
        <v>193</v>
      </c>
      <c r="M57" s="15" t="s">
        <v>194</v>
      </c>
      <c r="N57" s="13" t="s">
        <v>127</v>
      </c>
      <c r="O57" s="15"/>
      <c r="P57" s="15"/>
      <c r="Q57" s="15" t="s">
        <v>181</v>
      </c>
      <c r="R57" s="13" t="s">
        <v>182</v>
      </c>
      <c r="S57" s="13" t="s">
        <v>162</v>
      </c>
      <c r="T57" s="13" t="s">
        <v>131</v>
      </c>
      <c r="U57" s="14">
        <v>44767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29" x14ac:dyDescent="0.35">
      <c r="A58" s="13" t="s">
        <v>80</v>
      </c>
      <c r="B58" s="13" t="s">
        <v>81</v>
      </c>
      <c r="C58" s="14">
        <v>45069.478472222225</v>
      </c>
      <c r="D58" s="13" t="s">
        <v>205</v>
      </c>
      <c r="E58" s="15" t="s">
        <v>206</v>
      </c>
      <c r="F58" s="13" t="s">
        <v>207</v>
      </c>
      <c r="G58" s="15" t="s">
        <v>208</v>
      </c>
      <c r="H58" s="13" t="s">
        <v>209</v>
      </c>
      <c r="I58" s="15" t="s">
        <v>210</v>
      </c>
      <c r="J58" s="15" t="s">
        <v>211</v>
      </c>
      <c r="K58" s="15" t="s">
        <v>212</v>
      </c>
      <c r="L58" s="13" t="s">
        <v>213</v>
      </c>
      <c r="M58" s="15" t="s">
        <v>214</v>
      </c>
      <c r="N58" s="13" t="s">
        <v>91</v>
      </c>
      <c r="O58" s="15"/>
      <c r="P58" s="15"/>
      <c r="Q58" s="15" t="s">
        <v>92</v>
      </c>
      <c r="R58" s="13" t="s">
        <v>93</v>
      </c>
      <c r="S58" s="13" t="s">
        <v>94</v>
      </c>
      <c r="T58" s="13" t="s">
        <v>95</v>
      </c>
      <c r="U58" s="14">
        <v>40725</v>
      </c>
      <c r="V58" s="14">
        <v>42865</v>
      </c>
      <c r="W58" s="15"/>
      <c r="X58" s="15"/>
      <c r="Y58" s="13"/>
      <c r="Z58" s="15"/>
      <c r="AA58" s="15"/>
      <c r="AB58" s="15"/>
      <c r="AC58" s="13"/>
      <c r="AD58" s="15"/>
      <c r="AE58" s="15"/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  <row r="59" spans="1:41" ht="29" x14ac:dyDescent="0.35">
      <c r="A59" s="13" t="s">
        <v>80</v>
      </c>
      <c r="B59" s="13" t="s">
        <v>81</v>
      </c>
      <c r="C59" s="14">
        <v>43775.69027777778</v>
      </c>
      <c r="D59" s="13" t="s">
        <v>205</v>
      </c>
      <c r="E59" s="15" t="s">
        <v>206</v>
      </c>
      <c r="F59" s="13" t="s">
        <v>207</v>
      </c>
      <c r="G59" s="15" t="s">
        <v>208</v>
      </c>
      <c r="H59" s="13" t="s">
        <v>209</v>
      </c>
      <c r="I59" s="15" t="s">
        <v>210</v>
      </c>
      <c r="J59" s="15" t="s">
        <v>211</v>
      </c>
      <c r="K59" s="15" t="s">
        <v>212</v>
      </c>
      <c r="L59" s="13" t="s">
        <v>213</v>
      </c>
      <c r="M59" s="15" t="s">
        <v>214</v>
      </c>
      <c r="N59" s="13" t="s">
        <v>91</v>
      </c>
      <c r="O59" s="15"/>
      <c r="P59" s="15"/>
      <c r="Q59" s="15" t="s">
        <v>92</v>
      </c>
      <c r="R59" s="13" t="s">
        <v>93</v>
      </c>
      <c r="S59" s="13" t="s">
        <v>94</v>
      </c>
      <c r="T59" s="13" t="s">
        <v>95</v>
      </c>
      <c r="U59" s="14">
        <v>42866</v>
      </c>
      <c r="V59" s="14"/>
      <c r="W59" s="15"/>
      <c r="X59" s="15"/>
      <c r="Y59" s="13"/>
      <c r="Z59" s="15"/>
      <c r="AA59" s="15"/>
      <c r="AB59" s="15"/>
      <c r="AC59" s="13"/>
      <c r="AD59" s="15"/>
      <c r="AE59" s="15"/>
      <c r="AF59" s="15"/>
      <c r="AG59" s="13"/>
      <c r="AH59" s="15"/>
      <c r="AI59" s="15"/>
      <c r="AJ59" s="15"/>
      <c r="AK59" s="13"/>
      <c r="AL59" s="15"/>
      <c r="AM59" s="15"/>
      <c r="AN59" s="13"/>
      <c r="AO59" s="13"/>
    </row>
    <row r="60" spans="1:41" ht="29" x14ac:dyDescent="0.35">
      <c r="A60" s="13" t="s">
        <v>80</v>
      </c>
      <c r="B60" s="13" t="s">
        <v>81</v>
      </c>
      <c r="C60" s="14">
        <v>43756.491666666669</v>
      </c>
      <c r="D60" s="13" t="s">
        <v>205</v>
      </c>
      <c r="E60" s="15" t="s">
        <v>206</v>
      </c>
      <c r="F60" s="13" t="s">
        <v>207</v>
      </c>
      <c r="G60" s="15" t="s">
        <v>208</v>
      </c>
      <c r="H60" s="13" t="s">
        <v>209</v>
      </c>
      <c r="I60" s="15" t="s">
        <v>210</v>
      </c>
      <c r="J60" s="15" t="s">
        <v>211</v>
      </c>
      <c r="K60" s="15" t="s">
        <v>212</v>
      </c>
      <c r="L60" s="13" t="s">
        <v>241</v>
      </c>
      <c r="M60" s="15" t="s">
        <v>242</v>
      </c>
      <c r="N60" s="13" t="s">
        <v>127</v>
      </c>
      <c r="O60" s="15"/>
      <c r="P60" s="15"/>
      <c r="Q60" s="15" t="s">
        <v>92</v>
      </c>
      <c r="R60" s="13" t="s">
        <v>93</v>
      </c>
      <c r="S60" s="13" t="s">
        <v>94</v>
      </c>
      <c r="T60" s="13" t="s">
        <v>95</v>
      </c>
      <c r="U60" s="14">
        <v>40725</v>
      </c>
      <c r="V60" s="14"/>
      <c r="W60" s="15"/>
      <c r="X60" s="15"/>
      <c r="Y60" s="13"/>
      <c r="Z60" s="15"/>
      <c r="AA60" s="15"/>
      <c r="AB60" s="15"/>
      <c r="AC60" s="13"/>
      <c r="AD60" s="15"/>
      <c r="AE60" s="15"/>
      <c r="AF60" s="15"/>
      <c r="AG60" s="13"/>
      <c r="AH60" s="15"/>
      <c r="AI60" s="15"/>
      <c r="AJ60" s="15"/>
      <c r="AK60" s="13"/>
      <c r="AL60" s="15"/>
      <c r="AM60" s="15"/>
      <c r="AN60" s="13"/>
      <c r="AO60" s="13"/>
    </row>
    <row r="61" spans="1:41" ht="29" x14ac:dyDescent="0.35">
      <c r="A61" s="13" t="s">
        <v>80</v>
      </c>
      <c r="B61" s="13" t="s">
        <v>81</v>
      </c>
      <c r="C61" s="14">
        <v>43756.48333333333</v>
      </c>
      <c r="D61" s="13" t="s">
        <v>205</v>
      </c>
      <c r="E61" s="15" t="s">
        <v>206</v>
      </c>
      <c r="F61" s="13" t="s">
        <v>207</v>
      </c>
      <c r="G61" s="15" t="s">
        <v>208</v>
      </c>
      <c r="H61" s="13" t="s">
        <v>209</v>
      </c>
      <c r="I61" s="15" t="s">
        <v>210</v>
      </c>
      <c r="J61" s="15" t="s">
        <v>211</v>
      </c>
      <c r="K61" s="15" t="s">
        <v>212</v>
      </c>
      <c r="L61" s="13" t="s">
        <v>213</v>
      </c>
      <c r="M61" s="15" t="s">
        <v>214</v>
      </c>
      <c r="N61" s="13" t="s">
        <v>91</v>
      </c>
      <c r="O61" s="15"/>
      <c r="P61" s="15"/>
      <c r="Q61" s="15" t="s">
        <v>129</v>
      </c>
      <c r="R61" s="13" t="s">
        <v>130</v>
      </c>
      <c r="S61" s="13" t="s">
        <v>94</v>
      </c>
      <c r="T61" s="13" t="s">
        <v>131</v>
      </c>
      <c r="U61" s="14">
        <v>40725</v>
      </c>
      <c r="V61" s="14"/>
      <c r="W61" s="15"/>
      <c r="X61" s="15"/>
      <c r="Y61" s="13"/>
      <c r="Z61" s="15"/>
      <c r="AA61" s="15"/>
      <c r="AB61" s="15"/>
      <c r="AC61" s="13"/>
      <c r="AD61" s="15"/>
      <c r="AE61" s="15"/>
      <c r="AF61" s="15"/>
      <c r="AG61" s="13"/>
      <c r="AH61" s="15"/>
      <c r="AI61" s="15"/>
      <c r="AJ61" s="15"/>
      <c r="AK61" s="13"/>
      <c r="AL61" s="15"/>
      <c r="AM61" s="15"/>
      <c r="AN61" s="13"/>
      <c r="AO61" s="13"/>
    </row>
    <row r="62" spans="1:41" ht="29" x14ac:dyDescent="0.35">
      <c r="A62" s="13" t="s">
        <v>80</v>
      </c>
      <c r="B62" s="13" t="s">
        <v>81</v>
      </c>
      <c r="C62" s="14">
        <v>43756.492361111108</v>
      </c>
      <c r="D62" s="13" t="s">
        <v>205</v>
      </c>
      <c r="E62" s="15" t="s">
        <v>206</v>
      </c>
      <c r="F62" s="13" t="s">
        <v>207</v>
      </c>
      <c r="G62" s="15" t="s">
        <v>208</v>
      </c>
      <c r="H62" s="13" t="s">
        <v>209</v>
      </c>
      <c r="I62" s="15" t="s">
        <v>210</v>
      </c>
      <c r="J62" s="15" t="s">
        <v>211</v>
      </c>
      <c r="K62" s="15" t="s">
        <v>212</v>
      </c>
      <c r="L62" s="13" t="s">
        <v>241</v>
      </c>
      <c r="M62" s="15" t="s">
        <v>242</v>
      </c>
      <c r="N62" s="13" t="s">
        <v>127</v>
      </c>
      <c r="O62" s="15"/>
      <c r="P62" s="15"/>
      <c r="Q62" s="15" t="s">
        <v>129</v>
      </c>
      <c r="R62" s="13" t="s">
        <v>130</v>
      </c>
      <c r="S62" s="13" t="s">
        <v>94</v>
      </c>
      <c r="T62" s="13" t="s">
        <v>131</v>
      </c>
      <c r="U62" s="14">
        <v>40725</v>
      </c>
      <c r="V62" s="14"/>
      <c r="W62" s="15"/>
      <c r="X62" s="15"/>
      <c r="Y62" s="13"/>
      <c r="Z62" s="15"/>
      <c r="AA62" s="15"/>
      <c r="AB62" s="15"/>
      <c r="AC62" s="13"/>
      <c r="AD62" s="15"/>
      <c r="AE62" s="15"/>
      <c r="AF62" s="15"/>
      <c r="AG62" s="13"/>
      <c r="AH62" s="15"/>
      <c r="AI62" s="15"/>
      <c r="AJ62" s="15"/>
      <c r="AK62" s="13"/>
      <c r="AL62" s="15"/>
      <c r="AM62" s="15"/>
      <c r="AN62" s="13"/>
      <c r="AO62" s="13"/>
    </row>
    <row r="63" spans="1:41" ht="29" x14ac:dyDescent="0.35">
      <c r="A63" s="13" t="s">
        <v>80</v>
      </c>
      <c r="B63" s="13" t="s">
        <v>81</v>
      </c>
      <c r="C63" s="14">
        <v>43851.474999999999</v>
      </c>
      <c r="D63" s="13" t="s">
        <v>205</v>
      </c>
      <c r="E63" s="15" t="s">
        <v>206</v>
      </c>
      <c r="F63" s="13" t="s">
        <v>207</v>
      </c>
      <c r="G63" s="15" t="s">
        <v>208</v>
      </c>
      <c r="H63" s="13" t="s">
        <v>209</v>
      </c>
      <c r="I63" s="15" t="s">
        <v>210</v>
      </c>
      <c r="J63" s="15" t="s">
        <v>211</v>
      </c>
      <c r="K63" s="15" t="s">
        <v>212</v>
      </c>
      <c r="L63" s="13" t="s">
        <v>213</v>
      </c>
      <c r="M63" s="15" t="s">
        <v>214</v>
      </c>
      <c r="N63" s="13" t="s">
        <v>91</v>
      </c>
      <c r="O63" s="15"/>
      <c r="P63" s="15"/>
      <c r="Q63" s="15" t="s">
        <v>132</v>
      </c>
      <c r="R63" s="13" t="s">
        <v>133</v>
      </c>
      <c r="S63" s="13" t="s">
        <v>94</v>
      </c>
      <c r="T63" s="13" t="s">
        <v>95</v>
      </c>
      <c r="U63" s="14">
        <v>40725</v>
      </c>
      <c r="V63" s="14">
        <v>42865</v>
      </c>
      <c r="W63" s="15"/>
      <c r="X63" s="15"/>
      <c r="Y63" s="13"/>
      <c r="Z63" s="15"/>
      <c r="AA63" s="15"/>
      <c r="AB63" s="15"/>
      <c r="AC63" s="13"/>
      <c r="AD63" s="15"/>
      <c r="AE63" s="15"/>
      <c r="AF63" s="15"/>
      <c r="AG63" s="13"/>
      <c r="AH63" s="15"/>
      <c r="AI63" s="15"/>
      <c r="AJ63" s="15"/>
      <c r="AK63" s="13"/>
      <c r="AL63" s="15"/>
      <c r="AM63" s="15"/>
      <c r="AN63" s="13"/>
      <c r="AO63" s="13"/>
    </row>
    <row r="64" spans="1:41" ht="29" x14ac:dyDescent="0.35">
      <c r="A64" s="13" t="s">
        <v>80</v>
      </c>
      <c r="B64" s="13" t="s">
        <v>81</v>
      </c>
      <c r="C64" s="14">
        <v>43851.474999999999</v>
      </c>
      <c r="D64" s="13" t="s">
        <v>205</v>
      </c>
      <c r="E64" s="15" t="s">
        <v>206</v>
      </c>
      <c r="F64" s="13" t="s">
        <v>207</v>
      </c>
      <c r="G64" s="15" t="s">
        <v>208</v>
      </c>
      <c r="H64" s="13" t="s">
        <v>209</v>
      </c>
      <c r="I64" s="15" t="s">
        <v>210</v>
      </c>
      <c r="J64" s="15" t="s">
        <v>211</v>
      </c>
      <c r="K64" s="15" t="s">
        <v>212</v>
      </c>
      <c r="L64" s="13" t="s">
        <v>213</v>
      </c>
      <c r="M64" s="15" t="s">
        <v>214</v>
      </c>
      <c r="N64" s="13" t="s">
        <v>91</v>
      </c>
      <c r="O64" s="15"/>
      <c r="P64" s="15"/>
      <c r="Q64" s="15" t="s">
        <v>132</v>
      </c>
      <c r="R64" s="13" t="s">
        <v>133</v>
      </c>
      <c r="S64" s="13" t="s">
        <v>94</v>
      </c>
      <c r="T64" s="13" t="s">
        <v>95</v>
      </c>
      <c r="U64" s="14">
        <v>42866</v>
      </c>
      <c r="V64" s="14"/>
      <c r="W64" s="15"/>
      <c r="X64" s="15"/>
      <c r="Y64" s="13"/>
      <c r="Z64" s="15"/>
      <c r="AA64" s="15"/>
      <c r="AB64" s="15"/>
      <c r="AC64" s="13"/>
      <c r="AD64" s="15"/>
      <c r="AE64" s="15"/>
      <c r="AF64" s="15"/>
      <c r="AG64" s="13"/>
      <c r="AH64" s="15"/>
      <c r="AI64" s="15"/>
      <c r="AJ64" s="15"/>
      <c r="AK64" s="13"/>
      <c r="AL64" s="15"/>
      <c r="AM64" s="15"/>
      <c r="AN64" s="13"/>
      <c r="AO64" s="13"/>
    </row>
    <row r="65" spans="1:41" ht="29" x14ac:dyDescent="0.35">
      <c r="A65" s="13" t="s">
        <v>80</v>
      </c>
      <c r="B65" s="13" t="s">
        <v>81</v>
      </c>
      <c r="C65" s="14">
        <v>43851.476388888892</v>
      </c>
      <c r="D65" s="13" t="s">
        <v>205</v>
      </c>
      <c r="E65" s="15" t="s">
        <v>206</v>
      </c>
      <c r="F65" s="13" t="s">
        <v>207</v>
      </c>
      <c r="G65" s="15" t="s">
        <v>208</v>
      </c>
      <c r="H65" s="13" t="s">
        <v>209</v>
      </c>
      <c r="I65" s="15" t="s">
        <v>210</v>
      </c>
      <c r="J65" s="15" t="s">
        <v>211</v>
      </c>
      <c r="K65" s="15" t="s">
        <v>212</v>
      </c>
      <c r="L65" s="13" t="s">
        <v>241</v>
      </c>
      <c r="M65" s="15" t="s">
        <v>242</v>
      </c>
      <c r="N65" s="13" t="s">
        <v>127</v>
      </c>
      <c r="O65" s="15"/>
      <c r="P65" s="15"/>
      <c r="Q65" s="15" t="s">
        <v>132</v>
      </c>
      <c r="R65" s="13" t="s">
        <v>133</v>
      </c>
      <c r="S65" s="13" t="s">
        <v>94</v>
      </c>
      <c r="T65" s="13" t="s">
        <v>95</v>
      </c>
      <c r="U65" s="14">
        <v>40725</v>
      </c>
      <c r="V65" s="14"/>
      <c r="W65" s="15"/>
      <c r="X65" s="15"/>
      <c r="Y65" s="13"/>
      <c r="Z65" s="15"/>
      <c r="AA65" s="15"/>
      <c r="AB65" s="15"/>
      <c r="AC65" s="13"/>
      <c r="AD65" s="15"/>
      <c r="AE65" s="15"/>
      <c r="AF65" s="15"/>
      <c r="AG65" s="13"/>
      <c r="AH65" s="15"/>
      <c r="AI65" s="15"/>
      <c r="AJ65" s="15"/>
      <c r="AK65" s="13"/>
      <c r="AL65" s="15"/>
      <c r="AM65" s="15"/>
      <c r="AN65" s="13"/>
      <c r="AO65" s="13"/>
    </row>
    <row r="66" spans="1:41" ht="29" x14ac:dyDescent="0.35">
      <c r="A66" s="13" t="s">
        <v>261</v>
      </c>
      <c r="B66" s="13" t="s">
        <v>148</v>
      </c>
      <c r="C66" s="14">
        <v>45069.481944444444</v>
      </c>
      <c r="D66" s="13" t="s">
        <v>205</v>
      </c>
      <c r="E66" s="15" t="s">
        <v>206</v>
      </c>
      <c r="F66" s="13" t="s">
        <v>207</v>
      </c>
      <c r="G66" s="15" t="s">
        <v>208</v>
      </c>
      <c r="H66" s="13" t="s">
        <v>209</v>
      </c>
      <c r="I66" s="15" t="s">
        <v>210</v>
      </c>
      <c r="J66" s="15" t="s">
        <v>211</v>
      </c>
      <c r="K66" s="15" t="s">
        <v>212</v>
      </c>
      <c r="L66" s="13" t="s">
        <v>213</v>
      </c>
      <c r="M66" s="15" t="s">
        <v>214</v>
      </c>
      <c r="N66" s="13" t="s">
        <v>91</v>
      </c>
      <c r="O66" s="15"/>
      <c r="P66" s="15"/>
      <c r="Q66" s="15" t="s">
        <v>149</v>
      </c>
      <c r="R66" s="13" t="s">
        <v>150</v>
      </c>
      <c r="S66" s="13" t="s">
        <v>94</v>
      </c>
      <c r="T66" s="13" t="s">
        <v>95</v>
      </c>
      <c r="U66" s="14">
        <v>40725</v>
      </c>
      <c r="V66" s="14">
        <v>42865</v>
      </c>
      <c r="W66" s="15"/>
      <c r="X66" s="15"/>
      <c r="Y66" s="13"/>
      <c r="Z66" s="15"/>
      <c r="AA66" s="15"/>
      <c r="AB66" s="15"/>
      <c r="AC66" s="13"/>
      <c r="AD66" s="15"/>
      <c r="AE66" s="15"/>
      <c r="AF66" s="15"/>
      <c r="AG66" s="13"/>
      <c r="AH66" s="15"/>
      <c r="AI66" s="15"/>
      <c r="AJ66" s="15"/>
      <c r="AK66" s="13"/>
      <c r="AL66" s="15"/>
      <c r="AM66" s="15"/>
      <c r="AN66" s="13"/>
      <c r="AO66" s="13"/>
    </row>
    <row r="67" spans="1:41" ht="29" x14ac:dyDescent="0.35">
      <c r="A67" s="13" t="s">
        <v>147</v>
      </c>
      <c r="B67" s="13" t="s">
        <v>148</v>
      </c>
      <c r="C67" s="14">
        <v>45973.647222222222</v>
      </c>
      <c r="D67" s="13" t="s">
        <v>205</v>
      </c>
      <c r="E67" s="15" t="s">
        <v>206</v>
      </c>
      <c r="F67" s="13" t="s">
        <v>207</v>
      </c>
      <c r="G67" s="15" t="s">
        <v>208</v>
      </c>
      <c r="H67" s="13" t="s">
        <v>209</v>
      </c>
      <c r="I67" s="15" t="s">
        <v>210</v>
      </c>
      <c r="J67" s="15" t="s">
        <v>211</v>
      </c>
      <c r="K67" s="15" t="s">
        <v>212</v>
      </c>
      <c r="L67" s="13" t="s">
        <v>213</v>
      </c>
      <c r="M67" s="15" t="s">
        <v>214</v>
      </c>
      <c r="N67" s="13" t="s">
        <v>91</v>
      </c>
      <c r="O67" s="15"/>
      <c r="P67" s="15"/>
      <c r="Q67" s="15" t="s">
        <v>149</v>
      </c>
      <c r="R67" s="13" t="s">
        <v>150</v>
      </c>
      <c r="S67" s="13" t="s">
        <v>94</v>
      </c>
      <c r="T67" s="13" t="s">
        <v>95</v>
      </c>
      <c r="U67" s="14">
        <v>42866</v>
      </c>
      <c r="V67" s="14"/>
      <c r="W67" s="15"/>
      <c r="X67" s="15"/>
      <c r="Y67" s="13"/>
      <c r="Z67" s="15"/>
      <c r="AA67" s="15"/>
      <c r="AB67" s="15"/>
      <c r="AC67" s="13"/>
      <c r="AD67" s="15"/>
      <c r="AE67" s="15"/>
      <c r="AF67" s="15"/>
      <c r="AG67" s="13"/>
      <c r="AH67" s="15"/>
      <c r="AI67" s="15"/>
      <c r="AJ67" s="15"/>
      <c r="AK67" s="13"/>
      <c r="AL67" s="15"/>
      <c r="AM67" s="15"/>
      <c r="AN67" s="13"/>
      <c r="AO67" s="13"/>
    </row>
    <row r="68" spans="1:41" ht="29" x14ac:dyDescent="0.35">
      <c r="A68" s="13" t="s">
        <v>147</v>
      </c>
      <c r="B68" s="13" t="s">
        <v>148</v>
      </c>
      <c r="C68" s="14">
        <v>45973.647916666669</v>
      </c>
      <c r="D68" s="13" t="s">
        <v>205</v>
      </c>
      <c r="E68" s="15" t="s">
        <v>206</v>
      </c>
      <c r="F68" s="13" t="s">
        <v>207</v>
      </c>
      <c r="G68" s="15" t="s">
        <v>208</v>
      </c>
      <c r="H68" s="13" t="s">
        <v>209</v>
      </c>
      <c r="I68" s="15" t="s">
        <v>210</v>
      </c>
      <c r="J68" s="15" t="s">
        <v>211</v>
      </c>
      <c r="K68" s="15" t="s">
        <v>212</v>
      </c>
      <c r="L68" s="13" t="s">
        <v>241</v>
      </c>
      <c r="M68" s="15" t="s">
        <v>242</v>
      </c>
      <c r="N68" s="13" t="s">
        <v>127</v>
      </c>
      <c r="O68" s="15"/>
      <c r="P68" s="15"/>
      <c r="Q68" s="15" t="s">
        <v>149</v>
      </c>
      <c r="R68" s="13" t="s">
        <v>150</v>
      </c>
      <c r="S68" s="13" t="s">
        <v>94</v>
      </c>
      <c r="T68" s="13" t="s">
        <v>95</v>
      </c>
      <c r="U68" s="14">
        <v>40725</v>
      </c>
      <c r="V68" s="14"/>
      <c r="W68" s="15"/>
      <c r="X68" s="15"/>
      <c r="Y68" s="13"/>
      <c r="Z68" s="15"/>
      <c r="AA68" s="15"/>
      <c r="AB68" s="15"/>
      <c r="AC68" s="13"/>
      <c r="AD68" s="15"/>
      <c r="AE68" s="15"/>
      <c r="AF68" s="15"/>
      <c r="AG68" s="13"/>
      <c r="AH68" s="15"/>
      <c r="AI68" s="15"/>
      <c r="AJ68" s="15"/>
      <c r="AK68" s="13"/>
      <c r="AL68" s="15"/>
      <c r="AM68" s="15"/>
      <c r="AN68" s="13"/>
      <c r="AO68" s="13"/>
    </row>
    <row r="69" spans="1:41" ht="29" x14ac:dyDescent="0.35">
      <c r="A69" s="13" t="s">
        <v>80</v>
      </c>
      <c r="B69" s="13" t="s">
        <v>81</v>
      </c>
      <c r="C69" s="14">
        <v>43775.688888888886</v>
      </c>
      <c r="D69" s="13" t="s">
        <v>205</v>
      </c>
      <c r="E69" s="15" t="s">
        <v>206</v>
      </c>
      <c r="F69" s="13" t="s">
        <v>207</v>
      </c>
      <c r="G69" s="15" t="s">
        <v>208</v>
      </c>
      <c r="H69" s="13" t="s">
        <v>209</v>
      </c>
      <c r="I69" s="15" t="s">
        <v>210</v>
      </c>
      <c r="J69" s="15" t="s">
        <v>211</v>
      </c>
      <c r="K69" s="15" t="s">
        <v>212</v>
      </c>
      <c r="L69" s="13" t="s">
        <v>213</v>
      </c>
      <c r="M69" s="15" t="s">
        <v>214</v>
      </c>
      <c r="N69" s="13" t="s">
        <v>91</v>
      </c>
      <c r="O69" s="15"/>
      <c r="P69" s="15"/>
      <c r="Q69" s="15" t="s">
        <v>156</v>
      </c>
      <c r="R69" s="13" t="s">
        <v>157</v>
      </c>
      <c r="S69" s="13" t="s">
        <v>94</v>
      </c>
      <c r="T69" s="13" t="s">
        <v>95</v>
      </c>
      <c r="U69" s="14">
        <v>40725</v>
      </c>
      <c r="V69" s="14">
        <v>42865</v>
      </c>
      <c r="W69" s="15"/>
      <c r="X69" s="15"/>
      <c r="Y69" s="13"/>
      <c r="Z69" s="15"/>
      <c r="AA69" s="15"/>
      <c r="AB69" s="15"/>
      <c r="AC69" s="13"/>
      <c r="AD69" s="15"/>
      <c r="AE69" s="15"/>
      <c r="AF69" s="15"/>
      <c r="AG69" s="13"/>
      <c r="AH69" s="15"/>
      <c r="AI69" s="15"/>
      <c r="AJ69" s="15"/>
      <c r="AK69" s="13"/>
      <c r="AL69" s="15"/>
      <c r="AM69" s="15"/>
      <c r="AN69" s="13"/>
      <c r="AO69" s="13"/>
    </row>
    <row r="70" spans="1:41" ht="29" x14ac:dyDescent="0.35">
      <c r="A70" s="13" t="s">
        <v>80</v>
      </c>
      <c r="B70" s="13" t="s">
        <v>81</v>
      </c>
      <c r="C70" s="14">
        <v>43775.688888888886</v>
      </c>
      <c r="D70" s="13" t="s">
        <v>205</v>
      </c>
      <c r="E70" s="15" t="s">
        <v>206</v>
      </c>
      <c r="F70" s="13" t="s">
        <v>207</v>
      </c>
      <c r="G70" s="15" t="s">
        <v>208</v>
      </c>
      <c r="H70" s="13" t="s">
        <v>209</v>
      </c>
      <c r="I70" s="15" t="s">
        <v>210</v>
      </c>
      <c r="J70" s="15" t="s">
        <v>211</v>
      </c>
      <c r="K70" s="15" t="s">
        <v>212</v>
      </c>
      <c r="L70" s="13" t="s">
        <v>213</v>
      </c>
      <c r="M70" s="15" t="s">
        <v>214</v>
      </c>
      <c r="N70" s="13" t="s">
        <v>91</v>
      </c>
      <c r="O70" s="15"/>
      <c r="P70" s="15"/>
      <c r="Q70" s="15" t="s">
        <v>156</v>
      </c>
      <c r="R70" s="13" t="s">
        <v>157</v>
      </c>
      <c r="S70" s="13" t="s">
        <v>94</v>
      </c>
      <c r="T70" s="13" t="s">
        <v>95</v>
      </c>
      <c r="U70" s="14">
        <v>42866</v>
      </c>
      <c r="V70" s="14"/>
      <c r="W70" s="15"/>
      <c r="X70" s="15"/>
      <c r="Y70" s="13"/>
      <c r="Z70" s="15"/>
      <c r="AA70" s="15"/>
      <c r="AB70" s="15"/>
      <c r="AC70" s="13"/>
      <c r="AD70" s="15"/>
      <c r="AE70" s="15"/>
      <c r="AF70" s="15"/>
      <c r="AG70" s="13"/>
      <c r="AH70" s="15"/>
      <c r="AI70" s="15"/>
      <c r="AJ70" s="15"/>
      <c r="AK70" s="13"/>
      <c r="AL70" s="15"/>
      <c r="AM70" s="15"/>
      <c r="AN70" s="13"/>
      <c r="AO70" s="13"/>
    </row>
    <row r="71" spans="1:41" ht="29" x14ac:dyDescent="0.35">
      <c r="A71" s="13" t="s">
        <v>80</v>
      </c>
      <c r="B71" s="13" t="s">
        <v>81</v>
      </c>
      <c r="C71" s="14">
        <v>43756.493750000001</v>
      </c>
      <c r="D71" s="13" t="s">
        <v>205</v>
      </c>
      <c r="E71" s="15" t="s">
        <v>206</v>
      </c>
      <c r="F71" s="13" t="s">
        <v>207</v>
      </c>
      <c r="G71" s="15" t="s">
        <v>208</v>
      </c>
      <c r="H71" s="13" t="s">
        <v>209</v>
      </c>
      <c r="I71" s="15" t="s">
        <v>210</v>
      </c>
      <c r="J71" s="15" t="s">
        <v>211</v>
      </c>
      <c r="K71" s="15" t="s">
        <v>212</v>
      </c>
      <c r="L71" s="13" t="s">
        <v>241</v>
      </c>
      <c r="M71" s="15" t="s">
        <v>242</v>
      </c>
      <c r="N71" s="13" t="s">
        <v>127</v>
      </c>
      <c r="O71" s="15"/>
      <c r="P71" s="15"/>
      <c r="Q71" s="15" t="s">
        <v>156</v>
      </c>
      <c r="R71" s="13" t="s">
        <v>157</v>
      </c>
      <c r="S71" s="13" t="s">
        <v>94</v>
      </c>
      <c r="T71" s="13" t="s">
        <v>95</v>
      </c>
      <c r="U71" s="14">
        <v>40725</v>
      </c>
      <c r="V71" s="14"/>
      <c r="W71" s="15"/>
      <c r="X71" s="15"/>
      <c r="Y71" s="13"/>
      <c r="Z71" s="15"/>
      <c r="AA71" s="15"/>
      <c r="AB71" s="15"/>
      <c r="AC71" s="13"/>
      <c r="AD71" s="15"/>
      <c r="AE71" s="15"/>
      <c r="AF71" s="15"/>
      <c r="AG71" s="13"/>
      <c r="AH71" s="15"/>
      <c r="AI71" s="15"/>
      <c r="AJ71" s="15"/>
      <c r="AK71" s="13"/>
      <c r="AL71" s="15"/>
      <c r="AM71" s="15"/>
      <c r="AN71" s="13"/>
      <c r="AO71" s="13"/>
    </row>
    <row r="72" spans="1:41" ht="29" x14ac:dyDescent="0.35">
      <c r="A72" s="13" t="s">
        <v>80</v>
      </c>
      <c r="B72" s="13" t="s">
        <v>81</v>
      </c>
      <c r="C72" s="14">
        <v>43756.486111111109</v>
      </c>
      <c r="D72" s="13" t="s">
        <v>205</v>
      </c>
      <c r="E72" s="15" t="s">
        <v>206</v>
      </c>
      <c r="F72" s="13" t="s">
        <v>207</v>
      </c>
      <c r="G72" s="15" t="s">
        <v>208</v>
      </c>
      <c r="H72" s="13" t="s">
        <v>209</v>
      </c>
      <c r="I72" s="15" t="s">
        <v>210</v>
      </c>
      <c r="J72" s="15" t="s">
        <v>211</v>
      </c>
      <c r="K72" s="15" t="s">
        <v>212</v>
      </c>
      <c r="L72" s="13" t="s">
        <v>213</v>
      </c>
      <c r="M72" s="15" t="s">
        <v>214</v>
      </c>
      <c r="N72" s="13" t="s">
        <v>91</v>
      </c>
      <c r="O72" s="15"/>
      <c r="P72" s="15"/>
      <c r="Q72" s="15" t="s">
        <v>160</v>
      </c>
      <c r="R72" s="13" t="s">
        <v>161</v>
      </c>
      <c r="S72" s="13" t="s">
        <v>162</v>
      </c>
      <c r="T72" s="13" t="s">
        <v>131</v>
      </c>
      <c r="U72" s="14">
        <v>40725</v>
      </c>
      <c r="V72" s="14"/>
      <c r="W72" s="15"/>
      <c r="X72" s="15"/>
      <c r="Y72" s="13"/>
      <c r="Z72" s="15"/>
      <c r="AA72" s="15"/>
      <c r="AB72" s="15"/>
      <c r="AC72" s="13"/>
      <c r="AD72" s="15"/>
      <c r="AE72" s="15"/>
      <c r="AF72" s="15"/>
      <c r="AG72" s="13"/>
      <c r="AH72" s="15"/>
      <c r="AI72" s="15"/>
      <c r="AJ72" s="15"/>
      <c r="AK72" s="13"/>
      <c r="AL72" s="15"/>
      <c r="AM72" s="15"/>
      <c r="AN72" s="13"/>
      <c r="AO72" s="13"/>
    </row>
    <row r="73" spans="1:41" ht="29" x14ac:dyDescent="0.35">
      <c r="A73" s="13" t="s">
        <v>80</v>
      </c>
      <c r="B73" s="13" t="s">
        <v>81</v>
      </c>
      <c r="C73" s="14">
        <v>43756.494444444441</v>
      </c>
      <c r="D73" s="13" t="s">
        <v>205</v>
      </c>
      <c r="E73" s="15" t="s">
        <v>206</v>
      </c>
      <c r="F73" s="13" t="s">
        <v>207</v>
      </c>
      <c r="G73" s="15" t="s">
        <v>208</v>
      </c>
      <c r="H73" s="13" t="s">
        <v>209</v>
      </c>
      <c r="I73" s="15" t="s">
        <v>210</v>
      </c>
      <c r="J73" s="15" t="s">
        <v>211</v>
      </c>
      <c r="K73" s="15" t="s">
        <v>212</v>
      </c>
      <c r="L73" s="13" t="s">
        <v>241</v>
      </c>
      <c r="M73" s="15" t="s">
        <v>242</v>
      </c>
      <c r="N73" s="13" t="s">
        <v>127</v>
      </c>
      <c r="O73" s="15"/>
      <c r="P73" s="15"/>
      <c r="Q73" s="15" t="s">
        <v>160</v>
      </c>
      <c r="R73" s="13" t="s">
        <v>161</v>
      </c>
      <c r="S73" s="13" t="s">
        <v>162</v>
      </c>
      <c r="T73" s="13" t="s">
        <v>131</v>
      </c>
      <c r="U73" s="14">
        <v>40725</v>
      </c>
      <c r="V73" s="14"/>
      <c r="W73" s="15"/>
      <c r="X73" s="15"/>
      <c r="Y73" s="13"/>
      <c r="Z73" s="15"/>
      <c r="AA73" s="15"/>
      <c r="AB73" s="15"/>
      <c r="AC73" s="13"/>
      <c r="AD73" s="15"/>
      <c r="AE73" s="15"/>
      <c r="AF73" s="15"/>
      <c r="AG73" s="13"/>
      <c r="AH73" s="15"/>
      <c r="AI73" s="15"/>
      <c r="AJ73" s="15"/>
      <c r="AK73" s="13"/>
      <c r="AL73" s="15"/>
      <c r="AM73" s="15"/>
      <c r="AN73" s="13"/>
      <c r="AO73" s="13"/>
    </row>
    <row r="74" spans="1:41" ht="29" x14ac:dyDescent="0.35">
      <c r="A74" s="13" t="s">
        <v>80</v>
      </c>
      <c r="B74" s="13" t="s">
        <v>81</v>
      </c>
      <c r="C74" s="14">
        <v>43756.488194444442</v>
      </c>
      <c r="D74" s="13" t="s">
        <v>205</v>
      </c>
      <c r="E74" s="15" t="s">
        <v>206</v>
      </c>
      <c r="F74" s="13" t="s">
        <v>207</v>
      </c>
      <c r="G74" s="15" t="s">
        <v>208</v>
      </c>
      <c r="H74" s="13" t="s">
        <v>209</v>
      </c>
      <c r="I74" s="15" t="s">
        <v>210</v>
      </c>
      <c r="J74" s="15" t="s">
        <v>211</v>
      </c>
      <c r="K74" s="15" t="s">
        <v>212</v>
      </c>
      <c r="L74" s="13" t="s">
        <v>213</v>
      </c>
      <c r="M74" s="15" t="s">
        <v>214</v>
      </c>
      <c r="N74" s="13" t="s">
        <v>91</v>
      </c>
      <c r="O74" s="15"/>
      <c r="P74" s="15"/>
      <c r="Q74" s="15" t="s">
        <v>163</v>
      </c>
      <c r="R74" s="13" t="s">
        <v>164</v>
      </c>
      <c r="S74" s="13" t="s">
        <v>162</v>
      </c>
      <c r="T74" s="13" t="s">
        <v>131</v>
      </c>
      <c r="U74" s="14">
        <v>40725</v>
      </c>
      <c r="V74" s="14"/>
      <c r="W74" s="15"/>
      <c r="X74" s="15"/>
      <c r="Y74" s="13"/>
      <c r="Z74" s="15"/>
      <c r="AA74" s="15"/>
      <c r="AB74" s="15"/>
      <c r="AC74" s="13"/>
      <c r="AD74" s="15"/>
      <c r="AE74" s="15"/>
      <c r="AF74" s="15"/>
      <c r="AG74" s="13"/>
      <c r="AH74" s="15"/>
      <c r="AI74" s="15"/>
      <c r="AJ74" s="15"/>
      <c r="AK74" s="13"/>
      <c r="AL74" s="15"/>
      <c r="AM74" s="15"/>
      <c r="AN74" s="13"/>
      <c r="AO74" s="13"/>
    </row>
    <row r="75" spans="1:41" ht="29" x14ac:dyDescent="0.35">
      <c r="A75" s="13" t="s">
        <v>80</v>
      </c>
      <c r="B75" s="13" t="s">
        <v>81</v>
      </c>
      <c r="C75" s="14">
        <v>43756.495833333334</v>
      </c>
      <c r="D75" s="13" t="s">
        <v>205</v>
      </c>
      <c r="E75" s="15" t="s">
        <v>206</v>
      </c>
      <c r="F75" s="13" t="s">
        <v>207</v>
      </c>
      <c r="G75" s="15" t="s">
        <v>208</v>
      </c>
      <c r="H75" s="13" t="s">
        <v>209</v>
      </c>
      <c r="I75" s="15" t="s">
        <v>210</v>
      </c>
      <c r="J75" s="15" t="s">
        <v>211</v>
      </c>
      <c r="K75" s="15" t="s">
        <v>212</v>
      </c>
      <c r="L75" s="13" t="s">
        <v>241</v>
      </c>
      <c r="M75" s="15" t="s">
        <v>242</v>
      </c>
      <c r="N75" s="13" t="s">
        <v>127</v>
      </c>
      <c r="O75" s="15"/>
      <c r="P75" s="15"/>
      <c r="Q75" s="15" t="s">
        <v>163</v>
      </c>
      <c r="R75" s="13" t="s">
        <v>164</v>
      </c>
      <c r="S75" s="13" t="s">
        <v>162</v>
      </c>
      <c r="T75" s="13" t="s">
        <v>131</v>
      </c>
      <c r="U75" s="14">
        <v>40725</v>
      </c>
      <c r="V75" s="14"/>
      <c r="W75" s="15"/>
      <c r="X75" s="15"/>
      <c r="Y75" s="13"/>
      <c r="Z75" s="15"/>
      <c r="AA75" s="15"/>
      <c r="AB75" s="15"/>
      <c r="AC75" s="13"/>
      <c r="AD75" s="15"/>
      <c r="AE75" s="15"/>
      <c r="AF75" s="15"/>
      <c r="AG75" s="13"/>
      <c r="AH75" s="15"/>
      <c r="AI75" s="15"/>
      <c r="AJ75" s="15"/>
      <c r="AK75" s="13"/>
      <c r="AL75" s="15"/>
      <c r="AM75" s="15"/>
      <c r="AN75" s="13"/>
      <c r="AO75" s="13"/>
    </row>
    <row r="76" spans="1:41" ht="43.5" x14ac:dyDescent="0.35">
      <c r="A76" s="13" t="s">
        <v>80</v>
      </c>
      <c r="B76" s="13" t="s">
        <v>81</v>
      </c>
      <c r="C76" s="14">
        <v>43756.488194444442</v>
      </c>
      <c r="D76" s="13" t="s">
        <v>205</v>
      </c>
      <c r="E76" s="15" t="s">
        <v>206</v>
      </c>
      <c r="F76" s="13" t="s">
        <v>207</v>
      </c>
      <c r="G76" s="15" t="s">
        <v>208</v>
      </c>
      <c r="H76" s="13" t="s">
        <v>209</v>
      </c>
      <c r="I76" s="15" t="s">
        <v>210</v>
      </c>
      <c r="J76" s="15" t="s">
        <v>211</v>
      </c>
      <c r="K76" s="15" t="s">
        <v>212</v>
      </c>
      <c r="L76" s="13" t="s">
        <v>213</v>
      </c>
      <c r="M76" s="15" t="s">
        <v>214</v>
      </c>
      <c r="N76" s="13" t="s">
        <v>91</v>
      </c>
      <c r="O76" s="15"/>
      <c r="P76" s="15"/>
      <c r="Q76" s="15" t="s">
        <v>165</v>
      </c>
      <c r="R76" s="13" t="s">
        <v>166</v>
      </c>
      <c r="S76" s="13" t="s">
        <v>162</v>
      </c>
      <c r="T76" s="13" t="s">
        <v>131</v>
      </c>
      <c r="U76" s="14">
        <v>40725</v>
      </c>
      <c r="V76" s="14"/>
      <c r="W76" s="15"/>
      <c r="X76" s="15"/>
      <c r="Y76" s="13"/>
      <c r="Z76" s="15"/>
      <c r="AA76" s="15"/>
      <c r="AB76" s="15"/>
      <c r="AC76" s="13"/>
      <c r="AD76" s="15"/>
      <c r="AE76" s="15"/>
      <c r="AF76" s="15"/>
      <c r="AG76" s="13"/>
      <c r="AH76" s="15"/>
      <c r="AI76" s="15"/>
      <c r="AJ76" s="15"/>
      <c r="AK76" s="13"/>
      <c r="AL76" s="15"/>
      <c r="AM76" s="15"/>
      <c r="AN76" s="13"/>
      <c r="AO76" s="13"/>
    </row>
    <row r="77" spans="1:41" ht="43.5" x14ac:dyDescent="0.35">
      <c r="A77" s="13" t="s">
        <v>80</v>
      </c>
      <c r="B77" s="13" t="s">
        <v>81</v>
      </c>
      <c r="C77" s="14">
        <v>43756.495833333334</v>
      </c>
      <c r="D77" s="13" t="s">
        <v>205</v>
      </c>
      <c r="E77" s="15" t="s">
        <v>206</v>
      </c>
      <c r="F77" s="13" t="s">
        <v>207</v>
      </c>
      <c r="G77" s="15" t="s">
        <v>208</v>
      </c>
      <c r="H77" s="13" t="s">
        <v>209</v>
      </c>
      <c r="I77" s="15" t="s">
        <v>210</v>
      </c>
      <c r="J77" s="15" t="s">
        <v>211</v>
      </c>
      <c r="K77" s="15" t="s">
        <v>212</v>
      </c>
      <c r="L77" s="13" t="s">
        <v>241</v>
      </c>
      <c r="M77" s="15" t="s">
        <v>242</v>
      </c>
      <c r="N77" s="13" t="s">
        <v>127</v>
      </c>
      <c r="O77" s="15"/>
      <c r="P77" s="15"/>
      <c r="Q77" s="15" t="s">
        <v>165</v>
      </c>
      <c r="R77" s="13" t="s">
        <v>166</v>
      </c>
      <c r="S77" s="13" t="s">
        <v>162</v>
      </c>
      <c r="T77" s="13" t="s">
        <v>131</v>
      </c>
      <c r="U77" s="14">
        <v>40725</v>
      </c>
      <c r="V77" s="14"/>
      <c r="W77" s="15"/>
      <c r="X77" s="15"/>
      <c r="Y77" s="13"/>
      <c r="Z77" s="15"/>
      <c r="AA77" s="15"/>
      <c r="AB77" s="15"/>
      <c r="AC77" s="13"/>
      <c r="AD77" s="15"/>
      <c r="AE77" s="15"/>
      <c r="AF77" s="15"/>
      <c r="AG77" s="13"/>
      <c r="AH77" s="15"/>
      <c r="AI77" s="15"/>
      <c r="AJ77" s="15"/>
      <c r="AK77" s="13"/>
      <c r="AL77" s="15"/>
      <c r="AM77" s="15"/>
      <c r="AN77" s="13"/>
      <c r="AO77" s="13"/>
    </row>
    <row r="78" spans="1:41" ht="29" x14ac:dyDescent="0.35">
      <c r="A78" s="13" t="s">
        <v>80</v>
      </c>
      <c r="B78" s="13" t="s">
        <v>81</v>
      </c>
      <c r="C78" s="14">
        <v>43756.487500000003</v>
      </c>
      <c r="D78" s="13" t="s">
        <v>205</v>
      </c>
      <c r="E78" s="15" t="s">
        <v>206</v>
      </c>
      <c r="F78" s="13" t="s">
        <v>207</v>
      </c>
      <c r="G78" s="15" t="s">
        <v>208</v>
      </c>
      <c r="H78" s="13" t="s">
        <v>209</v>
      </c>
      <c r="I78" s="15" t="s">
        <v>210</v>
      </c>
      <c r="J78" s="15" t="s">
        <v>211</v>
      </c>
      <c r="K78" s="15" t="s">
        <v>212</v>
      </c>
      <c r="L78" s="13" t="s">
        <v>213</v>
      </c>
      <c r="M78" s="15" t="s">
        <v>214</v>
      </c>
      <c r="N78" s="13" t="s">
        <v>91</v>
      </c>
      <c r="O78" s="15"/>
      <c r="P78" s="15"/>
      <c r="Q78" s="15" t="s">
        <v>167</v>
      </c>
      <c r="R78" s="13" t="s">
        <v>168</v>
      </c>
      <c r="S78" s="13" t="s">
        <v>162</v>
      </c>
      <c r="T78" s="13" t="s">
        <v>131</v>
      </c>
      <c r="U78" s="14">
        <v>40725</v>
      </c>
      <c r="V78" s="14"/>
      <c r="W78" s="15"/>
      <c r="X78" s="15"/>
      <c r="Y78" s="13"/>
      <c r="Z78" s="15"/>
      <c r="AA78" s="15"/>
      <c r="AB78" s="15"/>
      <c r="AC78" s="13"/>
      <c r="AD78" s="15"/>
      <c r="AE78" s="15"/>
      <c r="AF78" s="15"/>
      <c r="AG78" s="13"/>
      <c r="AH78" s="15"/>
      <c r="AI78" s="15"/>
      <c r="AJ78" s="15"/>
      <c r="AK78" s="13"/>
      <c r="AL78" s="15"/>
      <c r="AM78" s="15"/>
      <c r="AN78" s="13"/>
      <c r="AO78" s="13"/>
    </row>
    <row r="79" spans="1:41" ht="29" x14ac:dyDescent="0.35">
      <c r="A79" s="13" t="s">
        <v>80</v>
      </c>
      <c r="B79" s="13" t="s">
        <v>81</v>
      </c>
      <c r="C79" s="14">
        <v>43756.495138888888</v>
      </c>
      <c r="D79" s="13" t="s">
        <v>205</v>
      </c>
      <c r="E79" s="15" t="s">
        <v>206</v>
      </c>
      <c r="F79" s="13" t="s">
        <v>207</v>
      </c>
      <c r="G79" s="15" t="s">
        <v>208</v>
      </c>
      <c r="H79" s="13" t="s">
        <v>209</v>
      </c>
      <c r="I79" s="15" t="s">
        <v>210</v>
      </c>
      <c r="J79" s="15" t="s">
        <v>211</v>
      </c>
      <c r="K79" s="15" t="s">
        <v>212</v>
      </c>
      <c r="L79" s="13" t="s">
        <v>241</v>
      </c>
      <c r="M79" s="15" t="s">
        <v>242</v>
      </c>
      <c r="N79" s="13" t="s">
        <v>127</v>
      </c>
      <c r="O79" s="15"/>
      <c r="P79" s="15"/>
      <c r="Q79" s="15" t="s">
        <v>167</v>
      </c>
      <c r="R79" s="13" t="s">
        <v>168</v>
      </c>
      <c r="S79" s="13" t="s">
        <v>162</v>
      </c>
      <c r="T79" s="13" t="s">
        <v>131</v>
      </c>
      <c r="U79" s="14">
        <v>40725</v>
      </c>
      <c r="V79" s="14"/>
      <c r="W79" s="15"/>
      <c r="X79" s="15"/>
      <c r="Y79" s="13"/>
      <c r="Z79" s="15"/>
      <c r="AA79" s="15"/>
      <c r="AB79" s="15"/>
      <c r="AC79" s="13"/>
      <c r="AD79" s="15"/>
      <c r="AE79" s="15"/>
      <c r="AF79" s="15"/>
      <c r="AG79" s="13"/>
      <c r="AH79" s="15"/>
      <c r="AI79" s="15"/>
      <c r="AJ79" s="15"/>
      <c r="AK79" s="13"/>
      <c r="AL79" s="15"/>
      <c r="AM79" s="15"/>
      <c r="AN79" s="13"/>
      <c r="AO79" s="13"/>
    </row>
    <row r="80" spans="1:41" ht="29" x14ac:dyDescent="0.35">
      <c r="A80" s="13" t="s">
        <v>80</v>
      </c>
      <c r="B80" s="13" t="s">
        <v>81</v>
      </c>
      <c r="C80" s="14">
        <v>43756.486805555556</v>
      </c>
      <c r="D80" s="13" t="s">
        <v>205</v>
      </c>
      <c r="E80" s="15" t="s">
        <v>206</v>
      </c>
      <c r="F80" s="13" t="s">
        <v>207</v>
      </c>
      <c r="G80" s="15" t="s">
        <v>208</v>
      </c>
      <c r="H80" s="13" t="s">
        <v>209</v>
      </c>
      <c r="I80" s="15" t="s">
        <v>210</v>
      </c>
      <c r="J80" s="15" t="s">
        <v>211</v>
      </c>
      <c r="K80" s="15" t="s">
        <v>212</v>
      </c>
      <c r="L80" s="13" t="s">
        <v>213</v>
      </c>
      <c r="M80" s="15" t="s">
        <v>214</v>
      </c>
      <c r="N80" s="13" t="s">
        <v>91</v>
      </c>
      <c r="O80" s="15"/>
      <c r="P80" s="15"/>
      <c r="Q80" s="15" t="s">
        <v>169</v>
      </c>
      <c r="R80" s="13" t="s">
        <v>170</v>
      </c>
      <c r="S80" s="13" t="s">
        <v>162</v>
      </c>
      <c r="T80" s="13" t="s">
        <v>95</v>
      </c>
      <c r="U80" s="14">
        <v>40725</v>
      </c>
      <c r="V80" s="14">
        <v>43465</v>
      </c>
      <c r="W80" s="15"/>
      <c r="X80" s="15"/>
      <c r="Y80" s="13"/>
      <c r="Z80" s="15"/>
      <c r="AA80" s="15"/>
      <c r="AB80" s="15"/>
      <c r="AC80" s="13"/>
      <c r="AD80" s="15"/>
      <c r="AE80" s="15"/>
      <c r="AF80" s="15"/>
      <c r="AG80" s="13"/>
      <c r="AH80" s="15"/>
      <c r="AI80" s="15"/>
      <c r="AJ80" s="15"/>
      <c r="AK80" s="13"/>
      <c r="AL80" s="15"/>
      <c r="AM80" s="15"/>
      <c r="AN80" s="13"/>
      <c r="AO80" s="13"/>
    </row>
    <row r="81" spans="1:41" ht="29" x14ac:dyDescent="0.35">
      <c r="A81" s="13" t="s">
        <v>80</v>
      </c>
      <c r="B81" s="13" t="s">
        <v>81</v>
      </c>
      <c r="C81" s="14">
        <v>43756.487500000003</v>
      </c>
      <c r="D81" s="13" t="s">
        <v>205</v>
      </c>
      <c r="E81" s="15" t="s">
        <v>206</v>
      </c>
      <c r="F81" s="13" t="s">
        <v>207</v>
      </c>
      <c r="G81" s="15" t="s">
        <v>208</v>
      </c>
      <c r="H81" s="13" t="s">
        <v>209</v>
      </c>
      <c r="I81" s="15" t="s">
        <v>210</v>
      </c>
      <c r="J81" s="15" t="s">
        <v>211</v>
      </c>
      <c r="K81" s="15" t="s">
        <v>212</v>
      </c>
      <c r="L81" s="13" t="s">
        <v>213</v>
      </c>
      <c r="M81" s="15" t="s">
        <v>214</v>
      </c>
      <c r="N81" s="13" t="s">
        <v>91</v>
      </c>
      <c r="O81" s="15"/>
      <c r="P81" s="15"/>
      <c r="Q81" s="15" t="s">
        <v>169</v>
      </c>
      <c r="R81" s="13" t="s">
        <v>170</v>
      </c>
      <c r="S81" s="13" t="s">
        <v>162</v>
      </c>
      <c r="T81" s="13" t="s">
        <v>95</v>
      </c>
      <c r="U81" s="14">
        <v>43466</v>
      </c>
      <c r="V81" s="14"/>
      <c r="W81" s="15"/>
      <c r="X81" s="15"/>
      <c r="Y81" s="13"/>
      <c r="Z81" s="15"/>
      <c r="AA81" s="15"/>
      <c r="AB81" s="15"/>
      <c r="AC81" s="13"/>
      <c r="AD81" s="15"/>
      <c r="AE81" s="15"/>
      <c r="AF81" s="15"/>
      <c r="AG81" s="13"/>
      <c r="AH81" s="15"/>
      <c r="AI81" s="15"/>
      <c r="AJ81" s="15"/>
      <c r="AK81" s="13"/>
      <c r="AL81" s="15"/>
      <c r="AM81" s="15"/>
      <c r="AN81" s="13"/>
      <c r="AO81" s="13"/>
    </row>
    <row r="82" spans="1:41" ht="29" x14ac:dyDescent="0.35">
      <c r="A82" s="13" t="s">
        <v>80</v>
      </c>
      <c r="B82" s="13" t="s">
        <v>81</v>
      </c>
      <c r="C82" s="14">
        <v>43756.495138888888</v>
      </c>
      <c r="D82" s="13" t="s">
        <v>205</v>
      </c>
      <c r="E82" s="15" t="s">
        <v>206</v>
      </c>
      <c r="F82" s="13" t="s">
        <v>207</v>
      </c>
      <c r="G82" s="15" t="s">
        <v>208</v>
      </c>
      <c r="H82" s="13" t="s">
        <v>209</v>
      </c>
      <c r="I82" s="15" t="s">
        <v>210</v>
      </c>
      <c r="J82" s="15" t="s">
        <v>211</v>
      </c>
      <c r="K82" s="15" t="s">
        <v>212</v>
      </c>
      <c r="L82" s="13" t="s">
        <v>241</v>
      </c>
      <c r="M82" s="15" t="s">
        <v>242</v>
      </c>
      <c r="N82" s="13" t="s">
        <v>127</v>
      </c>
      <c r="O82" s="15"/>
      <c r="P82" s="15"/>
      <c r="Q82" s="15" t="s">
        <v>169</v>
      </c>
      <c r="R82" s="13" t="s">
        <v>170</v>
      </c>
      <c r="S82" s="13" t="s">
        <v>162</v>
      </c>
      <c r="T82" s="13" t="s">
        <v>95</v>
      </c>
      <c r="U82" s="14">
        <v>40725</v>
      </c>
      <c r="V82" s="14"/>
      <c r="W82" s="15"/>
      <c r="X82" s="15"/>
      <c r="Y82" s="13"/>
      <c r="Z82" s="15"/>
      <c r="AA82" s="15"/>
      <c r="AB82" s="15"/>
      <c r="AC82" s="13"/>
      <c r="AD82" s="15"/>
      <c r="AE82" s="15"/>
      <c r="AF82" s="15"/>
      <c r="AG82" s="13"/>
      <c r="AH82" s="15"/>
      <c r="AI82" s="15"/>
      <c r="AJ82" s="15"/>
      <c r="AK82" s="13"/>
      <c r="AL82" s="15"/>
      <c r="AM82" s="15"/>
      <c r="AN82" s="13"/>
      <c r="AO82" s="13"/>
    </row>
    <row r="83" spans="1:41" ht="43.5" x14ac:dyDescent="0.35">
      <c r="A83" s="13" t="s">
        <v>80</v>
      </c>
      <c r="B83" s="13" t="s">
        <v>81</v>
      </c>
      <c r="C83" s="14">
        <v>43756.489583333336</v>
      </c>
      <c r="D83" s="13" t="s">
        <v>205</v>
      </c>
      <c r="E83" s="15" t="s">
        <v>206</v>
      </c>
      <c r="F83" s="13" t="s">
        <v>207</v>
      </c>
      <c r="G83" s="15" t="s">
        <v>208</v>
      </c>
      <c r="H83" s="13" t="s">
        <v>209</v>
      </c>
      <c r="I83" s="15" t="s">
        <v>210</v>
      </c>
      <c r="J83" s="15" t="s">
        <v>211</v>
      </c>
      <c r="K83" s="15" t="s">
        <v>212</v>
      </c>
      <c r="L83" s="13" t="s">
        <v>213</v>
      </c>
      <c r="M83" s="15" t="s">
        <v>214</v>
      </c>
      <c r="N83" s="13" t="s">
        <v>91</v>
      </c>
      <c r="O83" s="15"/>
      <c r="P83" s="15"/>
      <c r="Q83" s="15" t="s">
        <v>172</v>
      </c>
      <c r="R83" s="13" t="s">
        <v>173</v>
      </c>
      <c r="S83" s="13" t="s">
        <v>162</v>
      </c>
      <c r="T83" s="13" t="s">
        <v>131</v>
      </c>
      <c r="U83" s="14">
        <v>40725</v>
      </c>
      <c r="V83" s="14"/>
      <c r="W83" s="15"/>
      <c r="X83" s="15"/>
      <c r="Y83" s="13"/>
      <c r="Z83" s="15"/>
      <c r="AA83" s="15"/>
      <c r="AB83" s="15"/>
      <c r="AC83" s="13"/>
      <c r="AD83" s="15"/>
      <c r="AE83" s="15"/>
      <c r="AF83" s="15"/>
      <c r="AG83" s="13"/>
      <c r="AH83" s="15"/>
      <c r="AI83" s="15"/>
      <c r="AJ83" s="15"/>
      <c r="AK83" s="13"/>
      <c r="AL83" s="15"/>
      <c r="AM83" s="15"/>
      <c r="AN83" s="13"/>
      <c r="AO83" s="13"/>
    </row>
    <row r="84" spans="1:41" ht="43.5" x14ac:dyDescent="0.35">
      <c r="A84" s="13" t="s">
        <v>80</v>
      </c>
      <c r="B84" s="13" t="s">
        <v>81</v>
      </c>
      <c r="C84" s="14">
        <v>43756.496527777781</v>
      </c>
      <c r="D84" s="13" t="s">
        <v>205</v>
      </c>
      <c r="E84" s="15" t="s">
        <v>206</v>
      </c>
      <c r="F84" s="13" t="s">
        <v>207</v>
      </c>
      <c r="G84" s="15" t="s">
        <v>208</v>
      </c>
      <c r="H84" s="13" t="s">
        <v>209</v>
      </c>
      <c r="I84" s="15" t="s">
        <v>210</v>
      </c>
      <c r="J84" s="15" t="s">
        <v>211</v>
      </c>
      <c r="K84" s="15" t="s">
        <v>212</v>
      </c>
      <c r="L84" s="13" t="s">
        <v>241</v>
      </c>
      <c r="M84" s="15" t="s">
        <v>242</v>
      </c>
      <c r="N84" s="13" t="s">
        <v>127</v>
      </c>
      <c r="O84" s="15"/>
      <c r="P84" s="15"/>
      <c r="Q84" s="15" t="s">
        <v>172</v>
      </c>
      <c r="R84" s="13" t="s">
        <v>173</v>
      </c>
      <c r="S84" s="13" t="s">
        <v>162</v>
      </c>
      <c r="T84" s="13" t="s">
        <v>131</v>
      </c>
      <c r="U84" s="14">
        <v>40725</v>
      </c>
      <c r="V84" s="14"/>
      <c r="W84" s="15"/>
      <c r="X84" s="15"/>
      <c r="Y84" s="13"/>
      <c r="Z84" s="15"/>
      <c r="AA84" s="15"/>
      <c r="AB84" s="15"/>
      <c r="AC84" s="13"/>
      <c r="AD84" s="15"/>
      <c r="AE84" s="15"/>
      <c r="AF84" s="15"/>
      <c r="AG84" s="13"/>
      <c r="AH84" s="15"/>
      <c r="AI84" s="15"/>
      <c r="AJ84" s="15"/>
      <c r="AK84" s="13"/>
      <c r="AL84" s="15"/>
      <c r="AM84" s="15"/>
      <c r="AN84" s="13"/>
      <c r="AO84" s="13"/>
    </row>
    <row r="85" spans="1:41" ht="43.5" x14ac:dyDescent="0.35">
      <c r="A85" s="13" t="s">
        <v>147</v>
      </c>
      <c r="B85" s="13" t="s">
        <v>148</v>
      </c>
      <c r="C85" s="14">
        <v>45995.472222222219</v>
      </c>
      <c r="D85" s="13" t="s">
        <v>205</v>
      </c>
      <c r="E85" s="15" t="s">
        <v>206</v>
      </c>
      <c r="F85" s="13" t="s">
        <v>207</v>
      </c>
      <c r="G85" s="15" t="s">
        <v>208</v>
      </c>
      <c r="H85" s="13" t="s">
        <v>209</v>
      </c>
      <c r="I85" s="15" t="s">
        <v>210</v>
      </c>
      <c r="J85" s="15" t="s">
        <v>211</v>
      </c>
      <c r="K85" s="15" t="s">
        <v>212</v>
      </c>
      <c r="L85" s="13" t="s">
        <v>213</v>
      </c>
      <c r="M85" s="15" t="s">
        <v>214</v>
      </c>
      <c r="N85" s="13" t="s">
        <v>91</v>
      </c>
      <c r="O85" s="15"/>
      <c r="P85" s="15"/>
      <c r="Q85" s="15" t="s">
        <v>174</v>
      </c>
      <c r="R85" s="13" t="s">
        <v>175</v>
      </c>
      <c r="S85" s="13" t="s">
        <v>162</v>
      </c>
      <c r="T85" s="13" t="s">
        <v>131</v>
      </c>
      <c r="U85" s="14">
        <v>40725</v>
      </c>
      <c r="V85" s="14">
        <v>45900</v>
      </c>
      <c r="W85" s="15"/>
      <c r="X85" s="15"/>
      <c r="Y85" s="13"/>
      <c r="Z85" s="15"/>
      <c r="AA85" s="15"/>
      <c r="AB85" s="15"/>
      <c r="AC85" s="13"/>
      <c r="AD85" s="15"/>
      <c r="AE85" s="15"/>
      <c r="AF85" s="15"/>
      <c r="AG85" s="13"/>
      <c r="AH85" s="15"/>
      <c r="AI85" s="15"/>
      <c r="AJ85" s="15"/>
      <c r="AK85" s="13"/>
      <c r="AL85" s="15"/>
      <c r="AM85" s="15"/>
      <c r="AN85" s="13"/>
      <c r="AO85" s="13"/>
    </row>
    <row r="86" spans="1:41" ht="43.5" x14ac:dyDescent="0.35">
      <c r="A86" s="13" t="s">
        <v>147</v>
      </c>
      <c r="B86" s="13" t="s">
        <v>81</v>
      </c>
      <c r="C86" s="14">
        <v>45995.472222222219</v>
      </c>
      <c r="D86" s="13" t="s">
        <v>205</v>
      </c>
      <c r="E86" s="15" t="s">
        <v>206</v>
      </c>
      <c r="F86" s="13" t="s">
        <v>207</v>
      </c>
      <c r="G86" s="15" t="s">
        <v>208</v>
      </c>
      <c r="H86" s="13" t="s">
        <v>209</v>
      </c>
      <c r="I86" s="15" t="s">
        <v>210</v>
      </c>
      <c r="J86" s="15" t="s">
        <v>211</v>
      </c>
      <c r="K86" s="15" t="s">
        <v>212</v>
      </c>
      <c r="L86" s="13" t="s">
        <v>213</v>
      </c>
      <c r="M86" s="15" t="s">
        <v>214</v>
      </c>
      <c r="N86" s="13" t="s">
        <v>91</v>
      </c>
      <c r="O86" s="15"/>
      <c r="P86" s="15"/>
      <c r="Q86" s="15" t="s">
        <v>174</v>
      </c>
      <c r="R86" s="13" t="s">
        <v>175</v>
      </c>
      <c r="S86" s="13" t="s">
        <v>162</v>
      </c>
      <c r="T86" s="13" t="s">
        <v>95</v>
      </c>
      <c r="U86" s="14">
        <v>45901</v>
      </c>
      <c r="V86" s="14"/>
      <c r="W86" s="15"/>
      <c r="X86" s="15"/>
      <c r="Y86" s="13"/>
      <c r="Z86" s="15"/>
      <c r="AA86" s="15"/>
      <c r="AB86" s="15"/>
      <c r="AC86" s="13"/>
      <c r="AD86" s="15"/>
      <c r="AE86" s="15"/>
      <c r="AF86" s="15"/>
      <c r="AG86" s="13"/>
      <c r="AH86" s="15"/>
      <c r="AI86" s="15"/>
      <c r="AJ86" s="15"/>
      <c r="AK86" s="13"/>
      <c r="AL86" s="15"/>
      <c r="AM86" s="15"/>
      <c r="AN86" s="13"/>
      <c r="AO86" s="13"/>
    </row>
    <row r="87" spans="1:41" ht="43.5" x14ac:dyDescent="0.35">
      <c r="A87" s="13" t="s">
        <v>147</v>
      </c>
      <c r="B87" s="13" t="s">
        <v>148</v>
      </c>
      <c r="C87" s="14">
        <v>45995.472916666666</v>
      </c>
      <c r="D87" s="13" t="s">
        <v>205</v>
      </c>
      <c r="E87" s="15" t="s">
        <v>206</v>
      </c>
      <c r="F87" s="13" t="s">
        <v>207</v>
      </c>
      <c r="G87" s="15" t="s">
        <v>208</v>
      </c>
      <c r="H87" s="13" t="s">
        <v>209</v>
      </c>
      <c r="I87" s="15" t="s">
        <v>210</v>
      </c>
      <c r="J87" s="15" t="s">
        <v>211</v>
      </c>
      <c r="K87" s="15" t="s">
        <v>212</v>
      </c>
      <c r="L87" s="13" t="s">
        <v>241</v>
      </c>
      <c r="M87" s="15" t="s">
        <v>242</v>
      </c>
      <c r="N87" s="13" t="s">
        <v>127</v>
      </c>
      <c r="O87" s="15"/>
      <c r="P87" s="15"/>
      <c r="Q87" s="15" t="s">
        <v>174</v>
      </c>
      <c r="R87" s="13" t="s">
        <v>175</v>
      </c>
      <c r="S87" s="13" t="s">
        <v>162</v>
      </c>
      <c r="T87" s="13" t="s">
        <v>131</v>
      </c>
      <c r="U87" s="14">
        <v>40725</v>
      </c>
      <c r="V87" s="14">
        <v>45900</v>
      </c>
      <c r="W87" s="15"/>
      <c r="X87" s="15"/>
      <c r="Y87" s="13"/>
      <c r="Z87" s="15"/>
      <c r="AA87" s="15"/>
      <c r="AB87" s="15"/>
      <c r="AC87" s="13"/>
      <c r="AD87" s="15"/>
      <c r="AE87" s="15"/>
      <c r="AF87" s="15"/>
      <c r="AG87" s="13"/>
      <c r="AH87" s="15"/>
      <c r="AI87" s="15"/>
      <c r="AJ87" s="15"/>
      <c r="AK87" s="13"/>
      <c r="AL87" s="15"/>
      <c r="AM87" s="15"/>
      <c r="AN87" s="13"/>
      <c r="AO87" s="13"/>
    </row>
    <row r="88" spans="1:41" ht="43.5" x14ac:dyDescent="0.35">
      <c r="A88" s="13" t="s">
        <v>147</v>
      </c>
      <c r="B88" s="13" t="s">
        <v>81</v>
      </c>
      <c r="C88" s="14">
        <v>45995.472916666666</v>
      </c>
      <c r="D88" s="13" t="s">
        <v>205</v>
      </c>
      <c r="E88" s="15" t="s">
        <v>206</v>
      </c>
      <c r="F88" s="13" t="s">
        <v>207</v>
      </c>
      <c r="G88" s="15" t="s">
        <v>208</v>
      </c>
      <c r="H88" s="13" t="s">
        <v>209</v>
      </c>
      <c r="I88" s="15" t="s">
        <v>210</v>
      </c>
      <c r="J88" s="15" t="s">
        <v>211</v>
      </c>
      <c r="K88" s="15" t="s">
        <v>212</v>
      </c>
      <c r="L88" s="13" t="s">
        <v>241</v>
      </c>
      <c r="M88" s="15" t="s">
        <v>242</v>
      </c>
      <c r="N88" s="13" t="s">
        <v>127</v>
      </c>
      <c r="O88" s="15"/>
      <c r="P88" s="15"/>
      <c r="Q88" s="15" t="s">
        <v>174</v>
      </c>
      <c r="R88" s="13" t="s">
        <v>175</v>
      </c>
      <c r="S88" s="13" t="s">
        <v>162</v>
      </c>
      <c r="T88" s="13" t="s">
        <v>95</v>
      </c>
      <c r="U88" s="14">
        <v>45901</v>
      </c>
      <c r="V88" s="14"/>
      <c r="W88" s="15"/>
      <c r="X88" s="15"/>
      <c r="Y88" s="13"/>
      <c r="Z88" s="15"/>
      <c r="AA88" s="15"/>
      <c r="AB88" s="15"/>
      <c r="AC88" s="13"/>
      <c r="AD88" s="15"/>
      <c r="AE88" s="15"/>
      <c r="AF88" s="15"/>
      <c r="AG88" s="13"/>
      <c r="AH88" s="15"/>
      <c r="AI88" s="15"/>
      <c r="AJ88" s="15"/>
      <c r="AK88" s="13"/>
      <c r="AL88" s="15"/>
      <c r="AM88" s="15"/>
      <c r="AN88" s="13"/>
      <c r="AO88" s="13"/>
    </row>
    <row r="89" spans="1:41" ht="29" x14ac:dyDescent="0.35">
      <c r="A89" s="13" t="s">
        <v>80</v>
      </c>
      <c r="B89" s="13" t="s">
        <v>81</v>
      </c>
      <c r="C89" s="14">
        <v>43756.490277777775</v>
      </c>
      <c r="D89" s="13" t="s">
        <v>205</v>
      </c>
      <c r="E89" s="15" t="s">
        <v>206</v>
      </c>
      <c r="F89" s="13" t="s">
        <v>207</v>
      </c>
      <c r="G89" s="15" t="s">
        <v>208</v>
      </c>
      <c r="H89" s="13" t="s">
        <v>209</v>
      </c>
      <c r="I89" s="15" t="s">
        <v>210</v>
      </c>
      <c r="J89" s="15" t="s">
        <v>211</v>
      </c>
      <c r="K89" s="15" t="s">
        <v>212</v>
      </c>
      <c r="L89" s="13" t="s">
        <v>213</v>
      </c>
      <c r="M89" s="15" t="s">
        <v>214</v>
      </c>
      <c r="N89" s="13" t="s">
        <v>91</v>
      </c>
      <c r="O89" s="15"/>
      <c r="P89" s="15"/>
      <c r="Q89" s="15" t="s">
        <v>181</v>
      </c>
      <c r="R89" s="13" t="s">
        <v>182</v>
      </c>
      <c r="S89" s="13" t="s">
        <v>162</v>
      </c>
      <c r="T89" s="13" t="s">
        <v>131</v>
      </c>
      <c r="U89" s="14">
        <v>40725</v>
      </c>
      <c r="V89" s="14"/>
      <c r="W89" s="15"/>
      <c r="X89" s="15"/>
      <c r="Y89" s="13"/>
      <c r="Z89" s="15"/>
      <c r="AA89" s="15"/>
      <c r="AB89" s="15"/>
      <c r="AC89" s="13"/>
      <c r="AD89" s="15"/>
      <c r="AE89" s="15"/>
      <c r="AF89" s="15"/>
      <c r="AG89" s="13"/>
      <c r="AH89" s="15"/>
      <c r="AI89" s="15"/>
      <c r="AJ89" s="15"/>
      <c r="AK89" s="13"/>
      <c r="AL89" s="15"/>
      <c r="AM89" s="15"/>
      <c r="AN89" s="13"/>
      <c r="AO89" s="13"/>
    </row>
    <row r="90" spans="1:41" ht="29" x14ac:dyDescent="0.35">
      <c r="A90" s="13" t="s">
        <v>80</v>
      </c>
      <c r="B90" s="13" t="s">
        <v>81</v>
      </c>
      <c r="C90" s="14">
        <v>43756.49722222222</v>
      </c>
      <c r="D90" s="13" t="s">
        <v>205</v>
      </c>
      <c r="E90" s="15" t="s">
        <v>206</v>
      </c>
      <c r="F90" s="13" t="s">
        <v>207</v>
      </c>
      <c r="G90" s="15" t="s">
        <v>208</v>
      </c>
      <c r="H90" s="13" t="s">
        <v>209</v>
      </c>
      <c r="I90" s="15" t="s">
        <v>210</v>
      </c>
      <c r="J90" s="15" t="s">
        <v>211</v>
      </c>
      <c r="K90" s="15" t="s">
        <v>212</v>
      </c>
      <c r="L90" s="13" t="s">
        <v>241</v>
      </c>
      <c r="M90" s="15" t="s">
        <v>242</v>
      </c>
      <c r="N90" s="13" t="s">
        <v>127</v>
      </c>
      <c r="O90" s="15"/>
      <c r="P90" s="15"/>
      <c r="Q90" s="15" t="s">
        <v>181</v>
      </c>
      <c r="R90" s="13" t="s">
        <v>182</v>
      </c>
      <c r="S90" s="13" t="s">
        <v>162</v>
      </c>
      <c r="T90" s="13" t="s">
        <v>131</v>
      </c>
      <c r="U90" s="14">
        <v>40725</v>
      </c>
      <c r="V90" s="14"/>
      <c r="W90" s="15"/>
      <c r="X90" s="15"/>
      <c r="Y90" s="13"/>
      <c r="Z90" s="15"/>
      <c r="AA90" s="15"/>
      <c r="AB90" s="15"/>
      <c r="AC90" s="13"/>
      <c r="AD90" s="15"/>
      <c r="AE90" s="15"/>
      <c r="AF90" s="15"/>
      <c r="AG90" s="13"/>
      <c r="AH90" s="15"/>
      <c r="AI90" s="15"/>
      <c r="AJ90" s="15"/>
      <c r="AK90" s="13"/>
      <c r="AL90" s="15"/>
      <c r="AM90" s="15"/>
      <c r="AN90" s="13"/>
      <c r="AO90" s="13"/>
    </row>
    <row r="91" spans="1:41" ht="58" x14ac:dyDescent="0.35">
      <c r="A91" s="13" t="s">
        <v>183</v>
      </c>
      <c r="B91" s="13" t="s">
        <v>81</v>
      </c>
      <c r="C91" s="14">
        <v>44959.538194444445</v>
      </c>
      <c r="D91" s="13" t="s">
        <v>205</v>
      </c>
      <c r="E91" s="15" t="s">
        <v>206</v>
      </c>
      <c r="F91" s="13" t="s">
        <v>207</v>
      </c>
      <c r="G91" s="15" t="s">
        <v>208</v>
      </c>
      <c r="H91" s="13" t="s">
        <v>288</v>
      </c>
      <c r="I91" s="15" t="s">
        <v>289</v>
      </c>
      <c r="J91" s="15" t="s">
        <v>290</v>
      </c>
      <c r="K91" s="15" t="s">
        <v>291</v>
      </c>
      <c r="L91" s="13" t="s">
        <v>292</v>
      </c>
      <c r="M91" s="15" t="s">
        <v>293</v>
      </c>
      <c r="N91" s="13" t="s">
        <v>91</v>
      </c>
      <c r="O91" s="15"/>
      <c r="P91" s="15"/>
      <c r="Q91" s="15" t="s">
        <v>92</v>
      </c>
      <c r="R91" s="13" t="s">
        <v>93</v>
      </c>
      <c r="S91" s="13" t="s">
        <v>94</v>
      </c>
      <c r="T91" s="13" t="s">
        <v>95</v>
      </c>
      <c r="U91" s="14">
        <v>44767</v>
      </c>
      <c r="V91" s="14"/>
      <c r="W91" s="15"/>
      <c r="X91" s="15"/>
      <c r="Y91" s="13"/>
      <c r="Z91" s="15"/>
      <c r="AA91" s="15"/>
      <c r="AB91" s="15"/>
      <c r="AC91" s="13"/>
      <c r="AD91" s="15"/>
      <c r="AE91" s="15"/>
      <c r="AF91" s="15"/>
      <c r="AG91" s="13"/>
      <c r="AH91" s="15"/>
      <c r="AI91" s="15"/>
      <c r="AJ91" s="15"/>
      <c r="AK91" s="13"/>
      <c r="AL91" s="15"/>
      <c r="AM91" s="15"/>
      <c r="AN91" s="13"/>
      <c r="AO91" s="13"/>
    </row>
    <row r="92" spans="1:41" ht="58" x14ac:dyDescent="0.35">
      <c r="A92" s="13" t="s">
        <v>183</v>
      </c>
      <c r="B92" s="13" t="s">
        <v>81</v>
      </c>
      <c r="C92" s="14">
        <v>44959.537499999999</v>
      </c>
      <c r="D92" s="13" t="s">
        <v>205</v>
      </c>
      <c r="E92" s="15" t="s">
        <v>206</v>
      </c>
      <c r="F92" s="13" t="s">
        <v>207</v>
      </c>
      <c r="G92" s="15" t="s">
        <v>208</v>
      </c>
      <c r="H92" s="13" t="s">
        <v>288</v>
      </c>
      <c r="I92" s="15" t="s">
        <v>289</v>
      </c>
      <c r="J92" s="15" t="s">
        <v>290</v>
      </c>
      <c r="K92" s="15" t="s">
        <v>291</v>
      </c>
      <c r="L92" s="13" t="s">
        <v>309</v>
      </c>
      <c r="M92" s="15" t="s">
        <v>310</v>
      </c>
      <c r="N92" s="13" t="s">
        <v>127</v>
      </c>
      <c r="O92" s="15"/>
      <c r="P92" s="15"/>
      <c r="Q92" s="15" t="s">
        <v>92</v>
      </c>
      <c r="R92" s="13" t="s">
        <v>93</v>
      </c>
      <c r="S92" s="13" t="s">
        <v>94</v>
      </c>
      <c r="T92" s="13" t="s">
        <v>95</v>
      </c>
      <c r="U92" s="14">
        <v>44767</v>
      </c>
      <c r="V92" s="14"/>
      <c r="W92" s="15"/>
      <c r="X92" s="15"/>
      <c r="Y92" s="13"/>
      <c r="Z92" s="15"/>
      <c r="AA92" s="15"/>
      <c r="AB92" s="15"/>
      <c r="AC92" s="13"/>
      <c r="AD92" s="15"/>
      <c r="AE92" s="15"/>
      <c r="AF92" s="15"/>
      <c r="AG92" s="13"/>
      <c r="AH92" s="15"/>
      <c r="AI92" s="15"/>
      <c r="AJ92" s="15"/>
      <c r="AK92" s="13"/>
      <c r="AL92" s="15"/>
      <c r="AM92" s="15"/>
      <c r="AN92" s="13"/>
      <c r="AO92" s="13"/>
    </row>
    <row r="93" spans="1:41" ht="58" x14ac:dyDescent="0.35">
      <c r="A93" s="13" t="s">
        <v>183</v>
      </c>
      <c r="B93" s="13" t="s">
        <v>81</v>
      </c>
      <c r="C93" s="14">
        <v>44959.506944444445</v>
      </c>
      <c r="D93" s="13" t="s">
        <v>205</v>
      </c>
      <c r="E93" s="15" t="s">
        <v>206</v>
      </c>
      <c r="F93" s="13" t="s">
        <v>207</v>
      </c>
      <c r="G93" s="15" t="s">
        <v>208</v>
      </c>
      <c r="H93" s="13" t="s">
        <v>288</v>
      </c>
      <c r="I93" s="15" t="s">
        <v>289</v>
      </c>
      <c r="J93" s="15" t="s">
        <v>290</v>
      </c>
      <c r="K93" s="15" t="s">
        <v>291</v>
      </c>
      <c r="L93" s="13" t="s">
        <v>292</v>
      </c>
      <c r="M93" s="15" t="s">
        <v>293</v>
      </c>
      <c r="N93" s="13" t="s">
        <v>91</v>
      </c>
      <c r="O93" s="15"/>
      <c r="P93" s="15"/>
      <c r="Q93" s="15" t="s">
        <v>129</v>
      </c>
      <c r="R93" s="13" t="s">
        <v>130</v>
      </c>
      <c r="S93" s="13" t="s">
        <v>94</v>
      </c>
      <c r="T93" s="13" t="s">
        <v>131</v>
      </c>
      <c r="U93" s="14">
        <v>44767</v>
      </c>
      <c r="V93" s="14"/>
      <c r="W93" s="15"/>
      <c r="X93" s="15"/>
      <c r="Y93" s="13"/>
      <c r="Z93" s="15"/>
      <c r="AA93" s="15"/>
      <c r="AB93" s="15"/>
      <c r="AC93" s="13"/>
      <c r="AD93" s="15"/>
      <c r="AE93" s="15"/>
      <c r="AF93" s="15"/>
      <c r="AG93" s="13"/>
      <c r="AH93" s="15"/>
      <c r="AI93" s="15"/>
      <c r="AJ93" s="15"/>
      <c r="AK93" s="13"/>
      <c r="AL93" s="15"/>
      <c r="AM93" s="15"/>
      <c r="AN93" s="13"/>
      <c r="AO93" s="13"/>
    </row>
    <row r="94" spans="1:41" ht="58" x14ac:dyDescent="0.35">
      <c r="A94" s="13" t="s">
        <v>183</v>
      </c>
      <c r="B94" s="13" t="s">
        <v>81</v>
      </c>
      <c r="C94" s="14">
        <v>44959.510416666664</v>
      </c>
      <c r="D94" s="13" t="s">
        <v>205</v>
      </c>
      <c r="E94" s="15" t="s">
        <v>206</v>
      </c>
      <c r="F94" s="13" t="s">
        <v>207</v>
      </c>
      <c r="G94" s="15" t="s">
        <v>208</v>
      </c>
      <c r="H94" s="13" t="s">
        <v>288</v>
      </c>
      <c r="I94" s="15" t="s">
        <v>289</v>
      </c>
      <c r="J94" s="15" t="s">
        <v>290</v>
      </c>
      <c r="K94" s="15" t="s">
        <v>291</v>
      </c>
      <c r="L94" s="13" t="s">
        <v>309</v>
      </c>
      <c r="M94" s="15" t="s">
        <v>310</v>
      </c>
      <c r="N94" s="13" t="s">
        <v>127</v>
      </c>
      <c r="O94" s="15"/>
      <c r="P94" s="15"/>
      <c r="Q94" s="15" t="s">
        <v>129</v>
      </c>
      <c r="R94" s="13" t="s">
        <v>130</v>
      </c>
      <c r="S94" s="13" t="s">
        <v>94</v>
      </c>
      <c r="T94" s="13" t="s">
        <v>131</v>
      </c>
      <c r="U94" s="14">
        <v>44767</v>
      </c>
      <c r="V94" s="14"/>
      <c r="W94" s="15"/>
      <c r="X94" s="15"/>
      <c r="Y94" s="13"/>
      <c r="Z94" s="15"/>
      <c r="AA94" s="15"/>
      <c r="AB94" s="15"/>
      <c r="AC94" s="13"/>
      <c r="AD94" s="15"/>
      <c r="AE94" s="15"/>
      <c r="AF94" s="15"/>
      <c r="AG94" s="13"/>
      <c r="AH94" s="15"/>
      <c r="AI94" s="15"/>
      <c r="AJ94" s="15"/>
      <c r="AK94" s="13"/>
      <c r="AL94" s="15"/>
      <c r="AM94" s="15"/>
      <c r="AN94" s="13"/>
      <c r="AO94" s="13"/>
    </row>
    <row r="95" spans="1:41" ht="58" x14ac:dyDescent="0.35">
      <c r="A95" s="13" t="s">
        <v>183</v>
      </c>
      <c r="B95" s="13" t="s">
        <v>81</v>
      </c>
      <c r="C95" s="14">
        <v>44959.538194444445</v>
      </c>
      <c r="D95" s="13" t="s">
        <v>205</v>
      </c>
      <c r="E95" s="15" t="s">
        <v>206</v>
      </c>
      <c r="F95" s="13" t="s">
        <v>207</v>
      </c>
      <c r="G95" s="15" t="s">
        <v>208</v>
      </c>
      <c r="H95" s="13" t="s">
        <v>288</v>
      </c>
      <c r="I95" s="15" t="s">
        <v>289</v>
      </c>
      <c r="J95" s="15" t="s">
        <v>290</v>
      </c>
      <c r="K95" s="15" t="s">
        <v>291</v>
      </c>
      <c r="L95" s="13" t="s">
        <v>292</v>
      </c>
      <c r="M95" s="15" t="s">
        <v>293</v>
      </c>
      <c r="N95" s="13" t="s">
        <v>91</v>
      </c>
      <c r="O95" s="15"/>
      <c r="P95" s="15"/>
      <c r="Q95" s="15" t="s">
        <v>132</v>
      </c>
      <c r="R95" s="13" t="s">
        <v>133</v>
      </c>
      <c r="S95" s="13" t="s">
        <v>94</v>
      </c>
      <c r="T95" s="13" t="s">
        <v>95</v>
      </c>
      <c r="U95" s="14">
        <v>44767</v>
      </c>
      <c r="V95" s="14"/>
      <c r="W95" s="15"/>
      <c r="X95" s="15"/>
      <c r="Y95" s="13"/>
      <c r="Z95" s="15"/>
      <c r="AA95" s="15"/>
      <c r="AB95" s="15"/>
      <c r="AC95" s="13"/>
      <c r="AD95" s="15"/>
      <c r="AE95" s="15"/>
      <c r="AF95" s="15"/>
      <c r="AG95" s="13"/>
      <c r="AH95" s="15"/>
      <c r="AI95" s="15"/>
      <c r="AJ95" s="15"/>
      <c r="AK95" s="13"/>
      <c r="AL95" s="15"/>
      <c r="AM95" s="15"/>
      <c r="AN95" s="13"/>
      <c r="AO95" s="13"/>
    </row>
    <row r="96" spans="1:41" ht="58" x14ac:dyDescent="0.35">
      <c r="A96" s="13" t="s">
        <v>183</v>
      </c>
      <c r="B96" s="13" t="s">
        <v>81</v>
      </c>
      <c r="C96" s="14">
        <v>44959.536805555559</v>
      </c>
      <c r="D96" s="13" t="s">
        <v>205</v>
      </c>
      <c r="E96" s="15" t="s">
        <v>206</v>
      </c>
      <c r="F96" s="13" t="s">
        <v>207</v>
      </c>
      <c r="G96" s="15" t="s">
        <v>208</v>
      </c>
      <c r="H96" s="13" t="s">
        <v>288</v>
      </c>
      <c r="I96" s="15" t="s">
        <v>289</v>
      </c>
      <c r="J96" s="15" t="s">
        <v>290</v>
      </c>
      <c r="K96" s="15" t="s">
        <v>291</v>
      </c>
      <c r="L96" s="13" t="s">
        <v>309</v>
      </c>
      <c r="M96" s="15" t="s">
        <v>310</v>
      </c>
      <c r="N96" s="13" t="s">
        <v>127</v>
      </c>
      <c r="O96" s="15"/>
      <c r="P96" s="15"/>
      <c r="Q96" s="15" t="s">
        <v>132</v>
      </c>
      <c r="R96" s="13" t="s">
        <v>133</v>
      </c>
      <c r="S96" s="13" t="s">
        <v>94</v>
      </c>
      <c r="T96" s="13" t="s">
        <v>95</v>
      </c>
      <c r="U96" s="14">
        <v>44767</v>
      </c>
      <c r="V96" s="14"/>
      <c r="W96" s="15"/>
      <c r="X96" s="15"/>
      <c r="Y96" s="13"/>
      <c r="Z96" s="15"/>
      <c r="AA96" s="15"/>
      <c r="AB96" s="15"/>
      <c r="AC96" s="13"/>
      <c r="AD96" s="15"/>
      <c r="AE96" s="15"/>
      <c r="AF96" s="15"/>
      <c r="AG96" s="13"/>
      <c r="AH96" s="15"/>
      <c r="AI96" s="15"/>
      <c r="AJ96" s="15"/>
      <c r="AK96" s="13"/>
      <c r="AL96" s="15"/>
      <c r="AM96" s="15"/>
      <c r="AN96" s="13"/>
      <c r="AO96" s="13"/>
    </row>
    <row r="97" spans="1:41" ht="58" x14ac:dyDescent="0.35">
      <c r="A97" s="13" t="s">
        <v>147</v>
      </c>
      <c r="B97" s="13" t="s">
        <v>148</v>
      </c>
      <c r="C97" s="14">
        <v>45973.65347222222</v>
      </c>
      <c r="D97" s="13" t="s">
        <v>205</v>
      </c>
      <c r="E97" s="15" t="s">
        <v>206</v>
      </c>
      <c r="F97" s="13" t="s">
        <v>207</v>
      </c>
      <c r="G97" s="15" t="s">
        <v>208</v>
      </c>
      <c r="H97" s="13" t="s">
        <v>288</v>
      </c>
      <c r="I97" s="15" t="s">
        <v>289</v>
      </c>
      <c r="J97" s="15" t="s">
        <v>290</v>
      </c>
      <c r="K97" s="15" t="s">
        <v>291</v>
      </c>
      <c r="L97" s="13" t="s">
        <v>292</v>
      </c>
      <c r="M97" s="15" t="s">
        <v>293</v>
      </c>
      <c r="N97" s="13" t="s">
        <v>91</v>
      </c>
      <c r="O97" s="15"/>
      <c r="P97" s="15"/>
      <c r="Q97" s="15" t="s">
        <v>149</v>
      </c>
      <c r="R97" s="13" t="s">
        <v>150</v>
      </c>
      <c r="S97" s="13" t="s">
        <v>94</v>
      </c>
      <c r="T97" s="13" t="s">
        <v>95</v>
      </c>
      <c r="U97" s="14">
        <v>44767</v>
      </c>
      <c r="V97" s="14"/>
      <c r="W97" s="15"/>
      <c r="X97" s="15"/>
      <c r="Y97" s="13"/>
      <c r="Z97" s="15"/>
      <c r="AA97" s="15"/>
      <c r="AB97" s="15"/>
      <c r="AC97" s="13"/>
      <c r="AD97" s="15"/>
      <c r="AE97" s="15"/>
      <c r="AF97" s="15"/>
      <c r="AG97" s="13"/>
      <c r="AH97" s="15"/>
      <c r="AI97" s="15"/>
      <c r="AJ97" s="15"/>
      <c r="AK97" s="13"/>
      <c r="AL97" s="15"/>
      <c r="AM97" s="15"/>
      <c r="AN97" s="13"/>
      <c r="AO97" s="13"/>
    </row>
    <row r="98" spans="1:41" ht="58" x14ac:dyDescent="0.35">
      <c r="A98" s="13" t="s">
        <v>147</v>
      </c>
      <c r="B98" s="13" t="s">
        <v>148</v>
      </c>
      <c r="C98" s="14">
        <v>45973.654861111114</v>
      </c>
      <c r="D98" s="13" t="s">
        <v>205</v>
      </c>
      <c r="E98" s="15" t="s">
        <v>206</v>
      </c>
      <c r="F98" s="13" t="s">
        <v>207</v>
      </c>
      <c r="G98" s="15" t="s">
        <v>208</v>
      </c>
      <c r="H98" s="13" t="s">
        <v>288</v>
      </c>
      <c r="I98" s="15" t="s">
        <v>289</v>
      </c>
      <c r="J98" s="15" t="s">
        <v>290</v>
      </c>
      <c r="K98" s="15" t="s">
        <v>291</v>
      </c>
      <c r="L98" s="13" t="s">
        <v>309</v>
      </c>
      <c r="M98" s="15" t="s">
        <v>310</v>
      </c>
      <c r="N98" s="13" t="s">
        <v>127</v>
      </c>
      <c r="O98" s="15"/>
      <c r="P98" s="15"/>
      <c r="Q98" s="15" t="s">
        <v>149</v>
      </c>
      <c r="R98" s="13" t="s">
        <v>150</v>
      </c>
      <c r="S98" s="13" t="s">
        <v>94</v>
      </c>
      <c r="T98" s="13" t="s">
        <v>95</v>
      </c>
      <c r="U98" s="14">
        <v>44767</v>
      </c>
      <c r="V98" s="14"/>
      <c r="W98" s="15"/>
      <c r="X98" s="15"/>
      <c r="Y98" s="13"/>
      <c r="Z98" s="15"/>
      <c r="AA98" s="15"/>
      <c r="AB98" s="15"/>
      <c r="AC98" s="13"/>
      <c r="AD98" s="15"/>
      <c r="AE98" s="15"/>
      <c r="AF98" s="15"/>
      <c r="AG98" s="13"/>
      <c r="AH98" s="15"/>
      <c r="AI98" s="15"/>
      <c r="AJ98" s="15"/>
      <c r="AK98" s="13"/>
      <c r="AL98" s="15"/>
      <c r="AM98" s="15"/>
      <c r="AN98" s="13"/>
      <c r="AO98" s="13"/>
    </row>
    <row r="99" spans="1:41" ht="58" x14ac:dyDescent="0.35">
      <c r="A99" s="13" t="s">
        <v>183</v>
      </c>
      <c r="B99" s="13" t="s">
        <v>81</v>
      </c>
      <c r="C99" s="14">
        <v>44959.538194444445</v>
      </c>
      <c r="D99" s="13" t="s">
        <v>205</v>
      </c>
      <c r="E99" s="15" t="s">
        <v>206</v>
      </c>
      <c r="F99" s="13" t="s">
        <v>207</v>
      </c>
      <c r="G99" s="15" t="s">
        <v>208</v>
      </c>
      <c r="H99" s="13" t="s">
        <v>288</v>
      </c>
      <c r="I99" s="15" t="s">
        <v>289</v>
      </c>
      <c r="J99" s="15" t="s">
        <v>290</v>
      </c>
      <c r="K99" s="15" t="s">
        <v>291</v>
      </c>
      <c r="L99" s="13" t="s">
        <v>292</v>
      </c>
      <c r="M99" s="15" t="s">
        <v>293</v>
      </c>
      <c r="N99" s="13" t="s">
        <v>91</v>
      </c>
      <c r="O99" s="15"/>
      <c r="P99" s="15"/>
      <c r="Q99" s="15" t="s">
        <v>156</v>
      </c>
      <c r="R99" s="13" t="s">
        <v>157</v>
      </c>
      <c r="S99" s="13" t="s">
        <v>94</v>
      </c>
      <c r="T99" s="13" t="s">
        <v>95</v>
      </c>
      <c r="U99" s="14">
        <v>44767</v>
      </c>
      <c r="V99" s="14"/>
      <c r="W99" s="15"/>
      <c r="X99" s="15"/>
      <c r="Y99" s="13"/>
      <c r="Z99" s="15"/>
      <c r="AA99" s="15"/>
      <c r="AB99" s="15"/>
      <c r="AC99" s="13"/>
      <c r="AD99" s="15"/>
      <c r="AE99" s="15"/>
      <c r="AF99" s="15"/>
      <c r="AG99" s="13"/>
      <c r="AH99" s="15"/>
      <c r="AI99" s="15"/>
      <c r="AJ99" s="15"/>
      <c r="AK99" s="13"/>
      <c r="AL99" s="15"/>
      <c r="AM99" s="15"/>
      <c r="AN99" s="13"/>
      <c r="AO99" s="13"/>
    </row>
    <row r="100" spans="1:41" ht="58" x14ac:dyDescent="0.35">
      <c r="A100" s="13" t="s">
        <v>183</v>
      </c>
      <c r="B100" s="13" t="s">
        <v>81</v>
      </c>
      <c r="C100" s="14">
        <v>44959.510416666664</v>
      </c>
      <c r="D100" s="13" t="s">
        <v>205</v>
      </c>
      <c r="E100" s="15" t="s">
        <v>206</v>
      </c>
      <c r="F100" s="13" t="s">
        <v>207</v>
      </c>
      <c r="G100" s="15" t="s">
        <v>208</v>
      </c>
      <c r="H100" s="13" t="s">
        <v>288</v>
      </c>
      <c r="I100" s="15" t="s">
        <v>289</v>
      </c>
      <c r="J100" s="15" t="s">
        <v>290</v>
      </c>
      <c r="K100" s="15" t="s">
        <v>291</v>
      </c>
      <c r="L100" s="13" t="s">
        <v>309</v>
      </c>
      <c r="M100" s="15" t="s">
        <v>310</v>
      </c>
      <c r="N100" s="13" t="s">
        <v>127</v>
      </c>
      <c r="O100" s="15"/>
      <c r="P100" s="15"/>
      <c r="Q100" s="15" t="s">
        <v>156</v>
      </c>
      <c r="R100" s="13" t="s">
        <v>157</v>
      </c>
      <c r="S100" s="13" t="s">
        <v>94</v>
      </c>
      <c r="T100" s="13" t="s">
        <v>95</v>
      </c>
      <c r="U100" s="14">
        <v>44767</v>
      </c>
      <c r="V100" s="14"/>
      <c r="W100" s="15"/>
      <c r="X100" s="15"/>
      <c r="Y100" s="13"/>
      <c r="Z100" s="15"/>
      <c r="AA100" s="15"/>
      <c r="AB100" s="15"/>
      <c r="AC100" s="13"/>
      <c r="AD100" s="15"/>
      <c r="AE100" s="15"/>
      <c r="AF100" s="15"/>
      <c r="AG100" s="13"/>
      <c r="AH100" s="15"/>
      <c r="AI100" s="15"/>
      <c r="AJ100" s="15"/>
      <c r="AK100" s="13"/>
      <c r="AL100" s="15"/>
      <c r="AM100" s="15"/>
      <c r="AN100" s="13"/>
      <c r="AO100" s="13"/>
    </row>
    <row r="101" spans="1:41" ht="58" x14ac:dyDescent="0.35">
      <c r="A101" s="13" t="s">
        <v>183</v>
      </c>
      <c r="B101" s="13" t="s">
        <v>81</v>
      </c>
      <c r="C101" s="14">
        <v>44959.538888888892</v>
      </c>
      <c r="D101" s="13" t="s">
        <v>205</v>
      </c>
      <c r="E101" s="15" t="s">
        <v>206</v>
      </c>
      <c r="F101" s="13" t="s">
        <v>207</v>
      </c>
      <c r="G101" s="15" t="s">
        <v>208</v>
      </c>
      <c r="H101" s="13" t="s">
        <v>288</v>
      </c>
      <c r="I101" s="15" t="s">
        <v>289</v>
      </c>
      <c r="J101" s="15" t="s">
        <v>290</v>
      </c>
      <c r="K101" s="15" t="s">
        <v>291</v>
      </c>
      <c r="L101" s="13" t="s">
        <v>292</v>
      </c>
      <c r="M101" s="15" t="s">
        <v>293</v>
      </c>
      <c r="N101" s="13" t="s">
        <v>91</v>
      </c>
      <c r="O101" s="15"/>
      <c r="P101" s="15"/>
      <c r="Q101" s="15" t="s">
        <v>160</v>
      </c>
      <c r="R101" s="13" t="s">
        <v>161</v>
      </c>
      <c r="S101" s="13" t="s">
        <v>162</v>
      </c>
      <c r="T101" s="13" t="s">
        <v>131</v>
      </c>
      <c r="U101" s="14">
        <v>44767</v>
      </c>
      <c r="V101" s="14"/>
      <c r="W101" s="15"/>
      <c r="X101" s="15"/>
      <c r="Y101" s="13"/>
      <c r="Z101" s="15"/>
      <c r="AA101" s="15"/>
      <c r="AB101" s="15"/>
      <c r="AC101" s="13"/>
      <c r="AD101" s="15"/>
      <c r="AE101" s="15"/>
      <c r="AF101" s="15"/>
      <c r="AG101" s="13"/>
      <c r="AH101" s="15"/>
      <c r="AI101" s="15"/>
      <c r="AJ101" s="15"/>
      <c r="AK101" s="13"/>
      <c r="AL101" s="15"/>
      <c r="AM101" s="15"/>
      <c r="AN101" s="13"/>
      <c r="AO101" s="13"/>
    </row>
    <row r="102" spans="1:41" ht="58" x14ac:dyDescent="0.35">
      <c r="A102" s="13" t="s">
        <v>183</v>
      </c>
      <c r="B102" s="13" t="s">
        <v>81</v>
      </c>
      <c r="C102" s="14">
        <v>44959.540972222225</v>
      </c>
      <c r="D102" s="13" t="s">
        <v>205</v>
      </c>
      <c r="E102" s="15" t="s">
        <v>206</v>
      </c>
      <c r="F102" s="13" t="s">
        <v>207</v>
      </c>
      <c r="G102" s="15" t="s">
        <v>208</v>
      </c>
      <c r="H102" s="13" t="s">
        <v>288</v>
      </c>
      <c r="I102" s="15" t="s">
        <v>289</v>
      </c>
      <c r="J102" s="15" t="s">
        <v>290</v>
      </c>
      <c r="K102" s="15" t="s">
        <v>291</v>
      </c>
      <c r="L102" s="13" t="s">
        <v>309</v>
      </c>
      <c r="M102" s="15" t="s">
        <v>310</v>
      </c>
      <c r="N102" s="13" t="s">
        <v>127</v>
      </c>
      <c r="O102" s="15"/>
      <c r="P102" s="15"/>
      <c r="Q102" s="15" t="s">
        <v>160</v>
      </c>
      <c r="R102" s="13" t="s">
        <v>161</v>
      </c>
      <c r="S102" s="13" t="s">
        <v>162</v>
      </c>
      <c r="T102" s="13" t="s">
        <v>131</v>
      </c>
      <c r="U102" s="14">
        <v>44767</v>
      </c>
      <c r="V102" s="14"/>
      <c r="W102" s="15"/>
      <c r="X102" s="15"/>
      <c r="Y102" s="13"/>
      <c r="Z102" s="15"/>
      <c r="AA102" s="15"/>
      <c r="AB102" s="15"/>
      <c r="AC102" s="13"/>
      <c r="AD102" s="15"/>
      <c r="AE102" s="15"/>
      <c r="AF102" s="15"/>
      <c r="AG102" s="13"/>
      <c r="AH102" s="15"/>
      <c r="AI102" s="15"/>
      <c r="AJ102" s="15"/>
      <c r="AK102" s="13"/>
      <c r="AL102" s="15"/>
      <c r="AM102" s="15"/>
      <c r="AN102" s="13"/>
      <c r="AO102" s="13"/>
    </row>
    <row r="103" spans="1:41" ht="58" x14ac:dyDescent="0.35">
      <c r="A103" s="13" t="s">
        <v>183</v>
      </c>
      <c r="B103" s="13" t="s">
        <v>81</v>
      </c>
      <c r="C103" s="14">
        <v>44959.538888888892</v>
      </c>
      <c r="D103" s="13" t="s">
        <v>205</v>
      </c>
      <c r="E103" s="15" t="s">
        <v>206</v>
      </c>
      <c r="F103" s="13" t="s">
        <v>207</v>
      </c>
      <c r="G103" s="15" t="s">
        <v>208</v>
      </c>
      <c r="H103" s="13" t="s">
        <v>288</v>
      </c>
      <c r="I103" s="15" t="s">
        <v>289</v>
      </c>
      <c r="J103" s="15" t="s">
        <v>290</v>
      </c>
      <c r="K103" s="15" t="s">
        <v>291</v>
      </c>
      <c r="L103" s="13" t="s">
        <v>292</v>
      </c>
      <c r="M103" s="15" t="s">
        <v>293</v>
      </c>
      <c r="N103" s="13" t="s">
        <v>91</v>
      </c>
      <c r="O103" s="15"/>
      <c r="P103" s="15"/>
      <c r="Q103" s="15" t="s">
        <v>163</v>
      </c>
      <c r="R103" s="13" t="s">
        <v>164</v>
      </c>
      <c r="S103" s="13" t="s">
        <v>162</v>
      </c>
      <c r="T103" s="13" t="s">
        <v>131</v>
      </c>
      <c r="U103" s="14">
        <v>44767</v>
      </c>
      <c r="V103" s="14"/>
      <c r="W103" s="15"/>
      <c r="X103" s="15"/>
      <c r="Y103" s="13"/>
      <c r="Z103" s="15"/>
      <c r="AA103" s="15"/>
      <c r="AB103" s="15"/>
      <c r="AC103" s="13"/>
      <c r="AD103" s="15"/>
      <c r="AE103" s="15"/>
      <c r="AF103" s="15"/>
      <c r="AG103" s="13"/>
      <c r="AH103" s="15"/>
      <c r="AI103" s="15"/>
      <c r="AJ103" s="15"/>
      <c r="AK103" s="13"/>
      <c r="AL103" s="15"/>
      <c r="AM103" s="15"/>
      <c r="AN103" s="13"/>
      <c r="AO103" s="13"/>
    </row>
    <row r="104" spans="1:41" ht="58" x14ac:dyDescent="0.35">
      <c r="A104" s="13" t="s">
        <v>183</v>
      </c>
      <c r="B104" s="13" t="s">
        <v>81</v>
      </c>
      <c r="C104" s="14">
        <v>44959.540972222225</v>
      </c>
      <c r="D104" s="13" t="s">
        <v>205</v>
      </c>
      <c r="E104" s="15" t="s">
        <v>206</v>
      </c>
      <c r="F104" s="13" t="s">
        <v>207</v>
      </c>
      <c r="G104" s="15" t="s">
        <v>208</v>
      </c>
      <c r="H104" s="13" t="s">
        <v>288</v>
      </c>
      <c r="I104" s="15" t="s">
        <v>289</v>
      </c>
      <c r="J104" s="15" t="s">
        <v>290</v>
      </c>
      <c r="K104" s="15" t="s">
        <v>291</v>
      </c>
      <c r="L104" s="13" t="s">
        <v>309</v>
      </c>
      <c r="M104" s="15" t="s">
        <v>310</v>
      </c>
      <c r="N104" s="13" t="s">
        <v>127</v>
      </c>
      <c r="O104" s="15"/>
      <c r="P104" s="15"/>
      <c r="Q104" s="15" t="s">
        <v>163</v>
      </c>
      <c r="R104" s="13" t="s">
        <v>164</v>
      </c>
      <c r="S104" s="13" t="s">
        <v>162</v>
      </c>
      <c r="T104" s="13" t="s">
        <v>131</v>
      </c>
      <c r="U104" s="14">
        <v>44767</v>
      </c>
      <c r="V104" s="14"/>
      <c r="W104" s="15"/>
      <c r="X104" s="15"/>
      <c r="Y104" s="13"/>
      <c r="Z104" s="15"/>
      <c r="AA104" s="15"/>
      <c r="AB104" s="15"/>
      <c r="AC104" s="13"/>
      <c r="AD104" s="15"/>
      <c r="AE104" s="15"/>
      <c r="AF104" s="15"/>
      <c r="AG104" s="13"/>
      <c r="AH104" s="15"/>
      <c r="AI104" s="15"/>
      <c r="AJ104" s="15"/>
      <c r="AK104" s="13"/>
      <c r="AL104" s="15"/>
      <c r="AM104" s="15"/>
      <c r="AN104" s="13"/>
      <c r="AO104" s="13"/>
    </row>
    <row r="105" spans="1:41" ht="58" x14ac:dyDescent="0.35">
      <c r="A105" s="13" t="s">
        <v>183</v>
      </c>
      <c r="B105" s="13" t="s">
        <v>81</v>
      </c>
      <c r="C105" s="14">
        <v>44959.538888888892</v>
      </c>
      <c r="D105" s="13" t="s">
        <v>205</v>
      </c>
      <c r="E105" s="15" t="s">
        <v>206</v>
      </c>
      <c r="F105" s="13" t="s">
        <v>207</v>
      </c>
      <c r="G105" s="15" t="s">
        <v>208</v>
      </c>
      <c r="H105" s="13" t="s">
        <v>288</v>
      </c>
      <c r="I105" s="15" t="s">
        <v>289</v>
      </c>
      <c r="J105" s="15" t="s">
        <v>290</v>
      </c>
      <c r="K105" s="15" t="s">
        <v>291</v>
      </c>
      <c r="L105" s="13" t="s">
        <v>292</v>
      </c>
      <c r="M105" s="15" t="s">
        <v>293</v>
      </c>
      <c r="N105" s="13" t="s">
        <v>91</v>
      </c>
      <c r="O105" s="15"/>
      <c r="P105" s="15"/>
      <c r="Q105" s="15" t="s">
        <v>165</v>
      </c>
      <c r="R105" s="13" t="s">
        <v>166</v>
      </c>
      <c r="S105" s="13" t="s">
        <v>162</v>
      </c>
      <c r="T105" s="13" t="s">
        <v>131</v>
      </c>
      <c r="U105" s="14">
        <v>44767</v>
      </c>
      <c r="V105" s="14"/>
      <c r="W105" s="15"/>
      <c r="X105" s="15"/>
      <c r="Y105" s="13"/>
      <c r="Z105" s="15"/>
      <c r="AA105" s="15"/>
      <c r="AB105" s="15"/>
      <c r="AC105" s="13"/>
      <c r="AD105" s="15"/>
      <c r="AE105" s="15"/>
      <c r="AF105" s="15"/>
      <c r="AG105" s="13"/>
      <c r="AH105" s="15"/>
      <c r="AI105" s="15"/>
      <c r="AJ105" s="15"/>
      <c r="AK105" s="13"/>
      <c r="AL105" s="15"/>
      <c r="AM105" s="15"/>
      <c r="AN105" s="13"/>
      <c r="AO105" s="13"/>
    </row>
    <row r="106" spans="1:41" ht="58" x14ac:dyDescent="0.35">
      <c r="A106" s="13" t="s">
        <v>183</v>
      </c>
      <c r="B106" s="13" t="s">
        <v>81</v>
      </c>
      <c r="C106" s="14">
        <v>44959.541666666664</v>
      </c>
      <c r="D106" s="13" t="s">
        <v>205</v>
      </c>
      <c r="E106" s="15" t="s">
        <v>206</v>
      </c>
      <c r="F106" s="13" t="s">
        <v>207</v>
      </c>
      <c r="G106" s="15" t="s">
        <v>208</v>
      </c>
      <c r="H106" s="13" t="s">
        <v>288</v>
      </c>
      <c r="I106" s="15" t="s">
        <v>289</v>
      </c>
      <c r="J106" s="15" t="s">
        <v>290</v>
      </c>
      <c r="K106" s="15" t="s">
        <v>291</v>
      </c>
      <c r="L106" s="13" t="s">
        <v>309</v>
      </c>
      <c r="M106" s="15" t="s">
        <v>310</v>
      </c>
      <c r="N106" s="13" t="s">
        <v>127</v>
      </c>
      <c r="O106" s="15"/>
      <c r="P106" s="15"/>
      <c r="Q106" s="15" t="s">
        <v>165</v>
      </c>
      <c r="R106" s="13" t="s">
        <v>166</v>
      </c>
      <c r="S106" s="13" t="s">
        <v>162</v>
      </c>
      <c r="T106" s="13" t="s">
        <v>131</v>
      </c>
      <c r="U106" s="14">
        <v>44767</v>
      </c>
      <c r="V106" s="14"/>
      <c r="W106" s="15"/>
      <c r="X106" s="15"/>
      <c r="Y106" s="13"/>
      <c r="Z106" s="15"/>
      <c r="AA106" s="15"/>
      <c r="AB106" s="15"/>
      <c r="AC106" s="13"/>
      <c r="AD106" s="15"/>
      <c r="AE106" s="15"/>
      <c r="AF106" s="15"/>
      <c r="AG106" s="13"/>
      <c r="AH106" s="15"/>
      <c r="AI106" s="15"/>
      <c r="AJ106" s="15"/>
      <c r="AK106" s="13"/>
      <c r="AL106" s="15"/>
      <c r="AM106" s="15"/>
      <c r="AN106" s="13"/>
      <c r="AO106" s="13"/>
    </row>
    <row r="107" spans="1:41" ht="58" x14ac:dyDescent="0.35">
      <c r="A107" s="13" t="s">
        <v>183</v>
      </c>
      <c r="B107" s="13" t="s">
        <v>81</v>
      </c>
      <c r="C107" s="14">
        <v>44959.539583333331</v>
      </c>
      <c r="D107" s="13" t="s">
        <v>205</v>
      </c>
      <c r="E107" s="15" t="s">
        <v>206</v>
      </c>
      <c r="F107" s="13" t="s">
        <v>207</v>
      </c>
      <c r="G107" s="15" t="s">
        <v>208</v>
      </c>
      <c r="H107" s="13" t="s">
        <v>288</v>
      </c>
      <c r="I107" s="15" t="s">
        <v>289</v>
      </c>
      <c r="J107" s="15" t="s">
        <v>290</v>
      </c>
      <c r="K107" s="15" t="s">
        <v>291</v>
      </c>
      <c r="L107" s="13" t="s">
        <v>292</v>
      </c>
      <c r="M107" s="15" t="s">
        <v>293</v>
      </c>
      <c r="N107" s="13" t="s">
        <v>91</v>
      </c>
      <c r="O107" s="15"/>
      <c r="P107" s="15"/>
      <c r="Q107" s="15" t="s">
        <v>167</v>
      </c>
      <c r="R107" s="13" t="s">
        <v>168</v>
      </c>
      <c r="S107" s="13" t="s">
        <v>162</v>
      </c>
      <c r="T107" s="13" t="s">
        <v>131</v>
      </c>
      <c r="U107" s="14">
        <v>44767</v>
      </c>
      <c r="V107" s="14"/>
      <c r="W107" s="15"/>
      <c r="X107" s="15"/>
      <c r="Y107" s="13"/>
      <c r="Z107" s="15"/>
      <c r="AA107" s="15"/>
      <c r="AB107" s="15"/>
      <c r="AC107" s="13"/>
      <c r="AD107" s="15"/>
      <c r="AE107" s="15"/>
      <c r="AF107" s="15"/>
      <c r="AG107" s="13"/>
      <c r="AH107" s="15"/>
      <c r="AI107" s="15"/>
      <c r="AJ107" s="15"/>
      <c r="AK107" s="13"/>
      <c r="AL107" s="15"/>
      <c r="AM107" s="15"/>
      <c r="AN107" s="13"/>
      <c r="AO107" s="13"/>
    </row>
    <row r="108" spans="1:41" ht="58" x14ac:dyDescent="0.35">
      <c r="A108" s="13" t="s">
        <v>183</v>
      </c>
      <c r="B108" s="13" t="s">
        <v>81</v>
      </c>
      <c r="C108" s="14">
        <v>44959.541666666664</v>
      </c>
      <c r="D108" s="13" t="s">
        <v>205</v>
      </c>
      <c r="E108" s="15" t="s">
        <v>206</v>
      </c>
      <c r="F108" s="13" t="s">
        <v>207</v>
      </c>
      <c r="G108" s="15" t="s">
        <v>208</v>
      </c>
      <c r="H108" s="13" t="s">
        <v>288</v>
      </c>
      <c r="I108" s="15" t="s">
        <v>289</v>
      </c>
      <c r="J108" s="15" t="s">
        <v>290</v>
      </c>
      <c r="K108" s="15" t="s">
        <v>291</v>
      </c>
      <c r="L108" s="13" t="s">
        <v>309</v>
      </c>
      <c r="M108" s="15" t="s">
        <v>310</v>
      </c>
      <c r="N108" s="13" t="s">
        <v>127</v>
      </c>
      <c r="O108" s="15"/>
      <c r="P108" s="15"/>
      <c r="Q108" s="15" t="s">
        <v>167</v>
      </c>
      <c r="R108" s="13" t="s">
        <v>168</v>
      </c>
      <c r="S108" s="13" t="s">
        <v>162</v>
      </c>
      <c r="T108" s="13" t="s">
        <v>131</v>
      </c>
      <c r="U108" s="14">
        <v>44767</v>
      </c>
      <c r="V108" s="14"/>
      <c r="W108" s="15"/>
      <c r="X108" s="15"/>
      <c r="Y108" s="13"/>
      <c r="Z108" s="15"/>
      <c r="AA108" s="15"/>
      <c r="AB108" s="15"/>
      <c r="AC108" s="13"/>
      <c r="AD108" s="15"/>
      <c r="AE108" s="15"/>
      <c r="AF108" s="15"/>
      <c r="AG108" s="13"/>
      <c r="AH108" s="15"/>
      <c r="AI108" s="15"/>
      <c r="AJ108" s="15"/>
      <c r="AK108" s="13"/>
      <c r="AL108" s="15"/>
      <c r="AM108" s="15"/>
      <c r="AN108" s="13"/>
      <c r="AO108" s="13"/>
    </row>
    <row r="109" spans="1:41" ht="58" x14ac:dyDescent="0.35">
      <c r="A109" s="13" t="s">
        <v>183</v>
      </c>
      <c r="B109" s="13" t="s">
        <v>81</v>
      </c>
      <c r="C109" s="14">
        <v>44959.539583333331</v>
      </c>
      <c r="D109" s="13" t="s">
        <v>205</v>
      </c>
      <c r="E109" s="15" t="s">
        <v>206</v>
      </c>
      <c r="F109" s="13" t="s">
        <v>207</v>
      </c>
      <c r="G109" s="15" t="s">
        <v>208</v>
      </c>
      <c r="H109" s="13" t="s">
        <v>288</v>
      </c>
      <c r="I109" s="15" t="s">
        <v>289</v>
      </c>
      <c r="J109" s="15" t="s">
        <v>290</v>
      </c>
      <c r="K109" s="15" t="s">
        <v>291</v>
      </c>
      <c r="L109" s="13" t="s">
        <v>292</v>
      </c>
      <c r="M109" s="15" t="s">
        <v>293</v>
      </c>
      <c r="N109" s="13" t="s">
        <v>91</v>
      </c>
      <c r="O109" s="15"/>
      <c r="P109" s="15"/>
      <c r="Q109" s="15" t="s">
        <v>169</v>
      </c>
      <c r="R109" s="13" t="s">
        <v>170</v>
      </c>
      <c r="S109" s="13" t="s">
        <v>162</v>
      </c>
      <c r="T109" s="13" t="s">
        <v>131</v>
      </c>
      <c r="U109" s="14">
        <v>44767</v>
      </c>
      <c r="V109" s="14"/>
      <c r="W109" s="15"/>
      <c r="X109" s="15"/>
      <c r="Y109" s="13"/>
      <c r="Z109" s="15"/>
      <c r="AA109" s="15"/>
      <c r="AB109" s="15"/>
      <c r="AC109" s="13"/>
      <c r="AD109" s="15"/>
      <c r="AE109" s="15"/>
      <c r="AF109" s="15"/>
      <c r="AG109" s="13"/>
      <c r="AH109" s="15"/>
      <c r="AI109" s="15"/>
      <c r="AJ109" s="15"/>
      <c r="AK109" s="13"/>
      <c r="AL109" s="15"/>
      <c r="AM109" s="15"/>
      <c r="AN109" s="13"/>
      <c r="AO109" s="13"/>
    </row>
    <row r="110" spans="1:41" ht="58" x14ac:dyDescent="0.35">
      <c r="A110" s="13" t="s">
        <v>183</v>
      </c>
      <c r="B110" s="13" t="s">
        <v>81</v>
      </c>
      <c r="C110" s="14">
        <v>44959.541666666664</v>
      </c>
      <c r="D110" s="13" t="s">
        <v>205</v>
      </c>
      <c r="E110" s="15" t="s">
        <v>206</v>
      </c>
      <c r="F110" s="13" t="s">
        <v>207</v>
      </c>
      <c r="G110" s="15" t="s">
        <v>208</v>
      </c>
      <c r="H110" s="13" t="s">
        <v>288</v>
      </c>
      <c r="I110" s="15" t="s">
        <v>289</v>
      </c>
      <c r="J110" s="15" t="s">
        <v>290</v>
      </c>
      <c r="K110" s="15" t="s">
        <v>291</v>
      </c>
      <c r="L110" s="13" t="s">
        <v>309</v>
      </c>
      <c r="M110" s="15" t="s">
        <v>310</v>
      </c>
      <c r="N110" s="13" t="s">
        <v>127</v>
      </c>
      <c r="O110" s="15"/>
      <c r="P110" s="15"/>
      <c r="Q110" s="15" t="s">
        <v>169</v>
      </c>
      <c r="R110" s="13" t="s">
        <v>170</v>
      </c>
      <c r="S110" s="13" t="s">
        <v>162</v>
      </c>
      <c r="T110" s="13" t="s">
        <v>131</v>
      </c>
      <c r="U110" s="14">
        <v>44767</v>
      </c>
      <c r="V110" s="14"/>
      <c r="W110" s="15"/>
      <c r="X110" s="15"/>
      <c r="Y110" s="13"/>
      <c r="Z110" s="15"/>
      <c r="AA110" s="15"/>
      <c r="AB110" s="15"/>
      <c r="AC110" s="13"/>
      <c r="AD110" s="15"/>
      <c r="AE110" s="15"/>
      <c r="AF110" s="15"/>
      <c r="AG110" s="13"/>
      <c r="AH110" s="15"/>
      <c r="AI110" s="15"/>
      <c r="AJ110" s="15"/>
      <c r="AK110" s="13"/>
      <c r="AL110" s="15"/>
      <c r="AM110" s="15"/>
      <c r="AN110" s="13"/>
      <c r="AO110" s="13"/>
    </row>
    <row r="111" spans="1:41" ht="58" x14ac:dyDescent="0.35">
      <c r="A111" s="13" t="s">
        <v>183</v>
      </c>
      <c r="B111" s="13" t="s">
        <v>81</v>
      </c>
      <c r="C111" s="14">
        <v>44959.539583333331</v>
      </c>
      <c r="D111" s="13" t="s">
        <v>205</v>
      </c>
      <c r="E111" s="15" t="s">
        <v>206</v>
      </c>
      <c r="F111" s="13" t="s">
        <v>207</v>
      </c>
      <c r="G111" s="15" t="s">
        <v>208</v>
      </c>
      <c r="H111" s="13" t="s">
        <v>288</v>
      </c>
      <c r="I111" s="15" t="s">
        <v>289</v>
      </c>
      <c r="J111" s="15" t="s">
        <v>290</v>
      </c>
      <c r="K111" s="15" t="s">
        <v>291</v>
      </c>
      <c r="L111" s="13" t="s">
        <v>292</v>
      </c>
      <c r="M111" s="15" t="s">
        <v>293</v>
      </c>
      <c r="N111" s="13" t="s">
        <v>91</v>
      </c>
      <c r="O111" s="15"/>
      <c r="P111" s="15"/>
      <c r="Q111" s="15" t="s">
        <v>172</v>
      </c>
      <c r="R111" s="13" t="s">
        <v>173</v>
      </c>
      <c r="S111" s="13" t="s">
        <v>162</v>
      </c>
      <c r="T111" s="13" t="s">
        <v>131</v>
      </c>
      <c r="U111" s="14">
        <v>44767</v>
      </c>
      <c r="V111" s="14"/>
      <c r="W111" s="15"/>
      <c r="X111" s="15"/>
      <c r="Y111" s="13"/>
      <c r="Z111" s="15"/>
      <c r="AA111" s="15"/>
      <c r="AB111" s="15"/>
      <c r="AC111" s="13"/>
      <c r="AD111" s="15"/>
      <c r="AE111" s="15"/>
      <c r="AF111" s="15"/>
      <c r="AG111" s="13"/>
      <c r="AH111" s="15"/>
      <c r="AI111" s="15"/>
      <c r="AJ111" s="15"/>
      <c r="AK111" s="13"/>
      <c r="AL111" s="15"/>
      <c r="AM111" s="15"/>
      <c r="AN111" s="13"/>
      <c r="AO111" s="13"/>
    </row>
    <row r="112" spans="1:41" ht="58" x14ac:dyDescent="0.35">
      <c r="A112" s="13" t="s">
        <v>183</v>
      </c>
      <c r="B112" s="13" t="s">
        <v>81</v>
      </c>
      <c r="C112" s="14">
        <v>44959.541666666664</v>
      </c>
      <c r="D112" s="13" t="s">
        <v>205</v>
      </c>
      <c r="E112" s="15" t="s">
        <v>206</v>
      </c>
      <c r="F112" s="13" t="s">
        <v>207</v>
      </c>
      <c r="G112" s="15" t="s">
        <v>208</v>
      </c>
      <c r="H112" s="13" t="s">
        <v>288</v>
      </c>
      <c r="I112" s="15" t="s">
        <v>289</v>
      </c>
      <c r="J112" s="15" t="s">
        <v>290</v>
      </c>
      <c r="K112" s="15" t="s">
        <v>291</v>
      </c>
      <c r="L112" s="13" t="s">
        <v>309</v>
      </c>
      <c r="M112" s="15" t="s">
        <v>310</v>
      </c>
      <c r="N112" s="13" t="s">
        <v>127</v>
      </c>
      <c r="O112" s="15"/>
      <c r="P112" s="15"/>
      <c r="Q112" s="15" t="s">
        <v>172</v>
      </c>
      <c r="R112" s="13" t="s">
        <v>173</v>
      </c>
      <c r="S112" s="13" t="s">
        <v>162</v>
      </c>
      <c r="T112" s="13" t="s">
        <v>131</v>
      </c>
      <c r="U112" s="14">
        <v>44767</v>
      </c>
      <c r="V112" s="14"/>
      <c r="W112" s="15"/>
      <c r="X112" s="15"/>
      <c r="Y112" s="13"/>
      <c r="Z112" s="15"/>
      <c r="AA112" s="15"/>
      <c r="AB112" s="15"/>
      <c r="AC112" s="13"/>
      <c r="AD112" s="15"/>
      <c r="AE112" s="15"/>
      <c r="AF112" s="15"/>
      <c r="AG112" s="13"/>
      <c r="AH112" s="15"/>
      <c r="AI112" s="15"/>
      <c r="AJ112" s="15"/>
      <c r="AK112" s="13"/>
      <c r="AL112" s="15"/>
      <c r="AM112" s="15"/>
      <c r="AN112" s="13"/>
      <c r="AO112" s="13"/>
    </row>
    <row r="113" spans="1:41" ht="58" x14ac:dyDescent="0.35">
      <c r="A113" s="13" t="s">
        <v>147</v>
      </c>
      <c r="B113" s="13" t="s">
        <v>148</v>
      </c>
      <c r="C113" s="14">
        <v>45995.475694444445</v>
      </c>
      <c r="D113" s="13" t="s">
        <v>205</v>
      </c>
      <c r="E113" s="15" t="s">
        <v>206</v>
      </c>
      <c r="F113" s="13" t="s">
        <v>207</v>
      </c>
      <c r="G113" s="15" t="s">
        <v>208</v>
      </c>
      <c r="H113" s="13" t="s">
        <v>288</v>
      </c>
      <c r="I113" s="15" t="s">
        <v>289</v>
      </c>
      <c r="J113" s="15" t="s">
        <v>290</v>
      </c>
      <c r="K113" s="15" t="s">
        <v>291</v>
      </c>
      <c r="L113" s="13" t="s">
        <v>292</v>
      </c>
      <c r="M113" s="15" t="s">
        <v>293</v>
      </c>
      <c r="N113" s="13" t="s">
        <v>91</v>
      </c>
      <c r="O113" s="15"/>
      <c r="P113" s="15"/>
      <c r="Q113" s="15" t="s">
        <v>174</v>
      </c>
      <c r="R113" s="13" t="s">
        <v>175</v>
      </c>
      <c r="S113" s="13" t="s">
        <v>162</v>
      </c>
      <c r="T113" s="13" t="s">
        <v>131</v>
      </c>
      <c r="U113" s="14">
        <v>44767</v>
      </c>
      <c r="V113" s="14">
        <v>45900</v>
      </c>
      <c r="W113" s="15"/>
      <c r="X113" s="15"/>
      <c r="Y113" s="13"/>
      <c r="Z113" s="15"/>
      <c r="AA113" s="15"/>
      <c r="AB113" s="15"/>
      <c r="AC113" s="13"/>
      <c r="AD113" s="15"/>
      <c r="AE113" s="15"/>
      <c r="AF113" s="15"/>
      <c r="AG113" s="13"/>
      <c r="AH113" s="15"/>
      <c r="AI113" s="15"/>
      <c r="AJ113" s="15"/>
      <c r="AK113" s="13"/>
      <c r="AL113" s="15"/>
      <c r="AM113" s="15"/>
      <c r="AN113" s="13"/>
      <c r="AO113" s="13"/>
    </row>
    <row r="114" spans="1:41" ht="58" x14ac:dyDescent="0.35">
      <c r="A114" s="13" t="s">
        <v>147</v>
      </c>
      <c r="B114" s="13" t="s">
        <v>81</v>
      </c>
      <c r="C114" s="14">
        <v>45995.475694444445</v>
      </c>
      <c r="D114" s="13" t="s">
        <v>205</v>
      </c>
      <c r="E114" s="15" t="s">
        <v>206</v>
      </c>
      <c r="F114" s="13" t="s">
        <v>207</v>
      </c>
      <c r="G114" s="15" t="s">
        <v>208</v>
      </c>
      <c r="H114" s="13" t="s">
        <v>288</v>
      </c>
      <c r="I114" s="15" t="s">
        <v>289</v>
      </c>
      <c r="J114" s="15" t="s">
        <v>290</v>
      </c>
      <c r="K114" s="15" t="s">
        <v>291</v>
      </c>
      <c r="L114" s="13" t="s">
        <v>292</v>
      </c>
      <c r="M114" s="15" t="s">
        <v>293</v>
      </c>
      <c r="N114" s="13" t="s">
        <v>91</v>
      </c>
      <c r="O114" s="15"/>
      <c r="P114" s="15"/>
      <c r="Q114" s="15" t="s">
        <v>174</v>
      </c>
      <c r="R114" s="13" t="s">
        <v>175</v>
      </c>
      <c r="S114" s="13" t="s">
        <v>162</v>
      </c>
      <c r="T114" s="13" t="s">
        <v>95</v>
      </c>
      <c r="U114" s="14">
        <v>45901</v>
      </c>
      <c r="V114" s="14"/>
      <c r="W114" s="15"/>
      <c r="X114" s="15"/>
      <c r="Y114" s="13"/>
      <c r="Z114" s="15"/>
      <c r="AA114" s="15"/>
      <c r="AB114" s="15"/>
      <c r="AC114" s="13"/>
      <c r="AD114" s="15"/>
      <c r="AE114" s="15"/>
      <c r="AF114" s="15"/>
      <c r="AG114" s="13"/>
      <c r="AH114" s="15"/>
      <c r="AI114" s="15"/>
      <c r="AJ114" s="15"/>
      <c r="AK114" s="13"/>
      <c r="AL114" s="15"/>
      <c r="AM114" s="15"/>
      <c r="AN114" s="13"/>
      <c r="AO114" s="13"/>
    </row>
    <row r="115" spans="1:41" ht="58" x14ac:dyDescent="0.35">
      <c r="A115" s="13" t="s">
        <v>147</v>
      </c>
      <c r="B115" s="13" t="s">
        <v>148</v>
      </c>
      <c r="C115" s="14">
        <v>45995.477083333331</v>
      </c>
      <c r="D115" s="13" t="s">
        <v>205</v>
      </c>
      <c r="E115" s="15" t="s">
        <v>206</v>
      </c>
      <c r="F115" s="13" t="s">
        <v>207</v>
      </c>
      <c r="G115" s="15" t="s">
        <v>208</v>
      </c>
      <c r="H115" s="13" t="s">
        <v>288</v>
      </c>
      <c r="I115" s="15" t="s">
        <v>289</v>
      </c>
      <c r="J115" s="15" t="s">
        <v>290</v>
      </c>
      <c r="K115" s="15" t="s">
        <v>291</v>
      </c>
      <c r="L115" s="13" t="s">
        <v>309</v>
      </c>
      <c r="M115" s="15" t="s">
        <v>310</v>
      </c>
      <c r="N115" s="13" t="s">
        <v>127</v>
      </c>
      <c r="O115" s="15"/>
      <c r="P115" s="15"/>
      <c r="Q115" s="15" t="s">
        <v>174</v>
      </c>
      <c r="R115" s="13" t="s">
        <v>175</v>
      </c>
      <c r="S115" s="13" t="s">
        <v>162</v>
      </c>
      <c r="T115" s="13" t="s">
        <v>131</v>
      </c>
      <c r="U115" s="14">
        <v>44767</v>
      </c>
      <c r="V115" s="14">
        <v>45900</v>
      </c>
      <c r="W115" s="15"/>
      <c r="X115" s="15"/>
      <c r="Y115" s="13"/>
      <c r="Z115" s="15"/>
      <c r="AA115" s="15"/>
      <c r="AB115" s="15"/>
      <c r="AC115" s="13"/>
      <c r="AD115" s="15"/>
      <c r="AE115" s="15"/>
      <c r="AF115" s="15"/>
      <c r="AG115" s="13"/>
      <c r="AH115" s="15"/>
      <c r="AI115" s="15"/>
      <c r="AJ115" s="15"/>
      <c r="AK115" s="13"/>
      <c r="AL115" s="15"/>
      <c r="AM115" s="15"/>
      <c r="AN115" s="13"/>
      <c r="AO115" s="13"/>
    </row>
    <row r="116" spans="1:41" ht="58" x14ac:dyDescent="0.35">
      <c r="A116" s="13" t="s">
        <v>147</v>
      </c>
      <c r="B116" s="13" t="s">
        <v>81</v>
      </c>
      <c r="C116" s="14">
        <v>45995.477083333331</v>
      </c>
      <c r="D116" s="13" t="s">
        <v>205</v>
      </c>
      <c r="E116" s="15" t="s">
        <v>206</v>
      </c>
      <c r="F116" s="13" t="s">
        <v>207</v>
      </c>
      <c r="G116" s="15" t="s">
        <v>208</v>
      </c>
      <c r="H116" s="13" t="s">
        <v>288</v>
      </c>
      <c r="I116" s="15" t="s">
        <v>289</v>
      </c>
      <c r="J116" s="15" t="s">
        <v>290</v>
      </c>
      <c r="K116" s="15" t="s">
        <v>291</v>
      </c>
      <c r="L116" s="13" t="s">
        <v>309</v>
      </c>
      <c r="M116" s="15" t="s">
        <v>310</v>
      </c>
      <c r="N116" s="13" t="s">
        <v>127</v>
      </c>
      <c r="O116" s="15"/>
      <c r="P116" s="15"/>
      <c r="Q116" s="15" t="s">
        <v>174</v>
      </c>
      <c r="R116" s="13" t="s">
        <v>175</v>
      </c>
      <c r="S116" s="13" t="s">
        <v>162</v>
      </c>
      <c r="T116" s="13" t="s">
        <v>95</v>
      </c>
      <c r="U116" s="14">
        <v>45901</v>
      </c>
      <c r="V116" s="14"/>
      <c r="W116" s="15"/>
      <c r="X116" s="15"/>
      <c r="Y116" s="13"/>
      <c r="Z116" s="15"/>
      <c r="AA116" s="15"/>
      <c r="AB116" s="15"/>
      <c r="AC116" s="13"/>
      <c r="AD116" s="15"/>
      <c r="AE116" s="15"/>
      <c r="AF116" s="15"/>
      <c r="AG116" s="13"/>
      <c r="AH116" s="15"/>
      <c r="AI116" s="15"/>
      <c r="AJ116" s="15"/>
      <c r="AK116" s="13"/>
      <c r="AL116" s="15"/>
      <c r="AM116" s="15"/>
      <c r="AN116" s="13"/>
      <c r="AO116" s="13"/>
    </row>
    <row r="117" spans="1:41" ht="58" x14ac:dyDescent="0.35">
      <c r="A117" s="13" t="s">
        <v>183</v>
      </c>
      <c r="B117" s="13" t="s">
        <v>81</v>
      </c>
      <c r="C117" s="14">
        <v>44959.540972222225</v>
      </c>
      <c r="D117" s="13" t="s">
        <v>205</v>
      </c>
      <c r="E117" s="15" t="s">
        <v>206</v>
      </c>
      <c r="F117" s="13" t="s">
        <v>207</v>
      </c>
      <c r="G117" s="15" t="s">
        <v>208</v>
      </c>
      <c r="H117" s="13" t="s">
        <v>288</v>
      </c>
      <c r="I117" s="15" t="s">
        <v>289</v>
      </c>
      <c r="J117" s="15" t="s">
        <v>290</v>
      </c>
      <c r="K117" s="15" t="s">
        <v>291</v>
      </c>
      <c r="L117" s="13" t="s">
        <v>292</v>
      </c>
      <c r="M117" s="15" t="s">
        <v>293</v>
      </c>
      <c r="N117" s="13" t="s">
        <v>91</v>
      </c>
      <c r="O117" s="15"/>
      <c r="P117" s="15"/>
      <c r="Q117" s="15" t="s">
        <v>181</v>
      </c>
      <c r="R117" s="13" t="s">
        <v>182</v>
      </c>
      <c r="S117" s="13" t="s">
        <v>162</v>
      </c>
      <c r="T117" s="13" t="s">
        <v>131</v>
      </c>
      <c r="U117" s="14">
        <v>44767</v>
      </c>
      <c r="V117" s="14"/>
      <c r="W117" s="15"/>
      <c r="X117" s="15"/>
      <c r="Y117" s="13"/>
      <c r="Z117" s="15"/>
      <c r="AA117" s="15"/>
      <c r="AB117" s="15"/>
      <c r="AC117" s="13"/>
      <c r="AD117" s="15"/>
      <c r="AE117" s="15"/>
      <c r="AF117" s="15"/>
      <c r="AG117" s="13"/>
      <c r="AH117" s="15"/>
      <c r="AI117" s="15"/>
      <c r="AJ117" s="15"/>
      <c r="AK117" s="13"/>
      <c r="AL117" s="15"/>
      <c r="AM117" s="15"/>
      <c r="AN117" s="13"/>
      <c r="AO117" s="13"/>
    </row>
    <row r="118" spans="1:41" ht="58" x14ac:dyDescent="0.35">
      <c r="A118" s="13" t="s">
        <v>183</v>
      </c>
      <c r="B118" s="13" t="s">
        <v>81</v>
      </c>
      <c r="C118" s="14">
        <v>44959.541666666664</v>
      </c>
      <c r="D118" s="13" t="s">
        <v>205</v>
      </c>
      <c r="E118" s="15" t="s">
        <v>206</v>
      </c>
      <c r="F118" s="13" t="s">
        <v>207</v>
      </c>
      <c r="G118" s="15" t="s">
        <v>208</v>
      </c>
      <c r="H118" s="13" t="s">
        <v>288</v>
      </c>
      <c r="I118" s="15" t="s">
        <v>289</v>
      </c>
      <c r="J118" s="15" t="s">
        <v>290</v>
      </c>
      <c r="K118" s="15" t="s">
        <v>291</v>
      </c>
      <c r="L118" s="13" t="s">
        <v>309</v>
      </c>
      <c r="M118" s="15" t="s">
        <v>310</v>
      </c>
      <c r="N118" s="13" t="s">
        <v>127</v>
      </c>
      <c r="O118" s="15"/>
      <c r="P118" s="15"/>
      <c r="Q118" s="15" t="s">
        <v>181</v>
      </c>
      <c r="R118" s="13" t="s">
        <v>182</v>
      </c>
      <c r="S118" s="13" t="s">
        <v>162</v>
      </c>
      <c r="T118" s="13" t="s">
        <v>131</v>
      </c>
      <c r="U118" s="14">
        <v>44767</v>
      </c>
      <c r="V118" s="14"/>
      <c r="W118" s="15"/>
      <c r="X118" s="15"/>
      <c r="Y118" s="13"/>
      <c r="Z118" s="15"/>
      <c r="AA118" s="15"/>
      <c r="AB118" s="15"/>
      <c r="AC118" s="13"/>
      <c r="AD118" s="15"/>
      <c r="AE118" s="15"/>
      <c r="AF118" s="15"/>
      <c r="AG118" s="13"/>
      <c r="AH118" s="15"/>
      <c r="AI118" s="15"/>
      <c r="AJ118" s="15"/>
      <c r="AK118" s="13"/>
      <c r="AL118" s="15"/>
      <c r="AM118" s="15"/>
      <c r="AN118" s="13"/>
      <c r="AO118" s="13"/>
    </row>
  </sheetData>
  <autoFilter ref="A1:AS1" xr:uid="{315FC732-8FE3-4C33-BC18-1B9FBB39875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8192-3493-4731-8691-3E1B4F18EB5F}">
  <dimension ref="A1:U8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383</v>
      </c>
      <c r="E1" s="10" t="s">
        <v>384</v>
      </c>
      <c r="F1" s="10" t="s">
        <v>385</v>
      </c>
      <c r="G1" s="10" t="s">
        <v>386</v>
      </c>
      <c r="H1" s="11" t="s">
        <v>21</v>
      </c>
      <c r="I1" s="11" t="s">
        <v>22</v>
      </c>
      <c r="J1" s="10" t="s">
        <v>387</v>
      </c>
      <c r="K1" s="10" t="s">
        <v>388</v>
      </c>
      <c r="L1" s="10" t="s">
        <v>389</v>
      </c>
      <c r="M1" s="10" t="s">
        <v>382</v>
      </c>
      <c r="N1" s="10" t="s">
        <v>390</v>
      </c>
      <c r="O1" s="10" t="s">
        <v>391</v>
      </c>
      <c r="P1" s="10" t="s">
        <v>392</v>
      </c>
      <c r="Q1" s="10" t="s">
        <v>393</v>
      </c>
      <c r="R1" s="10" t="s">
        <v>78</v>
      </c>
      <c r="S1" s="10" t="s">
        <v>79</v>
      </c>
      <c r="T1" s="10" t="s">
        <v>394</v>
      </c>
      <c r="U1" s="10" t="s">
        <v>395</v>
      </c>
    </row>
    <row r="2" spans="1:21" ht="87" x14ac:dyDescent="0.35">
      <c r="A2" s="13" t="s">
        <v>261</v>
      </c>
      <c r="B2" s="13" t="s">
        <v>148</v>
      </c>
      <c r="C2" s="14">
        <v>44705.474305555559</v>
      </c>
      <c r="D2" s="13" t="s">
        <v>105</v>
      </c>
      <c r="E2" s="13" t="s">
        <v>387</v>
      </c>
      <c r="F2" s="15" t="s">
        <v>106</v>
      </c>
      <c r="G2" s="13" t="s">
        <v>396</v>
      </c>
      <c r="H2" s="14">
        <v>40725</v>
      </c>
      <c r="I2" s="14"/>
      <c r="J2" s="15"/>
      <c r="K2" s="15" t="s">
        <v>397</v>
      </c>
      <c r="L2" s="13" t="s">
        <v>398</v>
      </c>
      <c r="M2" s="15"/>
      <c r="N2" s="13" t="s">
        <v>399</v>
      </c>
      <c r="O2" s="13"/>
      <c r="P2" s="13"/>
      <c r="Q2" s="13"/>
      <c r="R2" s="13"/>
      <c r="S2" s="13"/>
      <c r="T2" s="13" t="s">
        <v>400</v>
      </c>
      <c r="U2" s="15" t="s">
        <v>106</v>
      </c>
    </row>
    <row r="3" spans="1:21" ht="43.5" x14ac:dyDescent="0.35">
      <c r="A3" s="13" t="s">
        <v>80</v>
      </c>
      <c r="B3" s="13" t="s">
        <v>81</v>
      </c>
      <c r="C3" s="14">
        <v>43756.418749999997</v>
      </c>
      <c r="D3" s="13" t="s">
        <v>228</v>
      </c>
      <c r="E3" s="13" t="s">
        <v>387</v>
      </c>
      <c r="F3" s="15" t="s">
        <v>229</v>
      </c>
      <c r="G3" s="13" t="s">
        <v>401</v>
      </c>
      <c r="H3" s="14">
        <v>40725</v>
      </c>
      <c r="I3" s="14">
        <v>42865</v>
      </c>
      <c r="J3" s="15"/>
      <c r="K3" s="15" t="s">
        <v>402</v>
      </c>
      <c r="L3" s="13" t="s">
        <v>398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87" x14ac:dyDescent="0.35">
      <c r="A4" s="13" t="s">
        <v>80</v>
      </c>
      <c r="B4" s="13" t="s">
        <v>81</v>
      </c>
      <c r="C4" s="14">
        <v>43756.43472222222</v>
      </c>
      <c r="D4" s="13" t="s">
        <v>139</v>
      </c>
      <c r="E4" s="13" t="s">
        <v>387</v>
      </c>
      <c r="F4" s="15" t="s">
        <v>106</v>
      </c>
      <c r="G4" s="13" t="s">
        <v>403</v>
      </c>
      <c r="H4" s="14">
        <v>40725</v>
      </c>
      <c r="I4" s="14"/>
      <c r="J4" s="15"/>
      <c r="K4" s="15" t="s">
        <v>397</v>
      </c>
      <c r="L4" s="13" t="s">
        <v>398</v>
      </c>
      <c r="M4" s="15"/>
      <c r="N4" s="13"/>
      <c r="O4" s="13"/>
      <c r="P4" s="13"/>
      <c r="Q4" s="13"/>
      <c r="R4" s="13"/>
      <c r="S4" s="13"/>
      <c r="T4" s="13" t="s">
        <v>400</v>
      </c>
      <c r="U4" s="15" t="s">
        <v>106</v>
      </c>
    </row>
    <row r="5" spans="1:21" ht="43.5" x14ac:dyDescent="0.35">
      <c r="A5" s="13" t="s">
        <v>80</v>
      </c>
      <c r="B5" s="13" t="s">
        <v>81</v>
      </c>
      <c r="C5" s="14">
        <v>43756.4375</v>
      </c>
      <c r="D5" s="13" t="s">
        <v>251</v>
      </c>
      <c r="E5" s="13" t="s">
        <v>387</v>
      </c>
      <c r="F5" s="15" t="s">
        <v>229</v>
      </c>
      <c r="G5" s="13" t="s">
        <v>404</v>
      </c>
      <c r="H5" s="14">
        <v>40725</v>
      </c>
      <c r="I5" s="14">
        <v>42865</v>
      </c>
      <c r="J5" s="15"/>
      <c r="K5" s="15" t="s">
        <v>402</v>
      </c>
      <c r="L5" s="13" t="s">
        <v>398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87" x14ac:dyDescent="0.35">
      <c r="A6" s="13" t="s">
        <v>261</v>
      </c>
      <c r="B6" s="13" t="s">
        <v>81</v>
      </c>
      <c r="C6" s="14">
        <v>44705.478472222225</v>
      </c>
      <c r="D6" s="13" t="s">
        <v>154</v>
      </c>
      <c r="E6" s="13" t="s">
        <v>387</v>
      </c>
      <c r="F6" s="15" t="s">
        <v>106</v>
      </c>
      <c r="G6" s="13" t="s">
        <v>405</v>
      </c>
      <c r="H6" s="14">
        <v>40725</v>
      </c>
      <c r="I6" s="14"/>
      <c r="J6" s="15"/>
      <c r="K6" s="15" t="s">
        <v>397</v>
      </c>
      <c r="L6" s="13" t="s">
        <v>398</v>
      </c>
      <c r="M6" s="15"/>
      <c r="N6" s="13" t="s">
        <v>406</v>
      </c>
      <c r="O6" s="13"/>
      <c r="P6" s="13"/>
      <c r="Q6" s="13"/>
      <c r="R6" s="13"/>
      <c r="S6" s="13"/>
      <c r="T6" s="13" t="s">
        <v>400</v>
      </c>
      <c r="U6" s="15" t="s">
        <v>106</v>
      </c>
    </row>
    <row r="7" spans="1:21" ht="43.5" x14ac:dyDescent="0.35">
      <c r="A7" s="13" t="s">
        <v>407</v>
      </c>
      <c r="B7" s="13" t="s">
        <v>81</v>
      </c>
      <c r="C7" s="14">
        <v>43152.5</v>
      </c>
      <c r="D7" s="13" t="s">
        <v>107</v>
      </c>
      <c r="E7" s="13" t="s">
        <v>408</v>
      </c>
      <c r="F7" s="15" t="s">
        <v>108</v>
      </c>
      <c r="G7" s="13"/>
      <c r="H7" s="14">
        <v>40725</v>
      </c>
      <c r="I7" s="14"/>
      <c r="J7" s="15"/>
      <c r="K7" s="15" t="s">
        <v>409</v>
      </c>
      <c r="L7" s="13" t="s">
        <v>398</v>
      </c>
      <c r="M7" s="15"/>
      <c r="N7" s="13"/>
      <c r="O7" s="13"/>
      <c r="P7" s="13"/>
      <c r="Q7" s="13"/>
      <c r="R7" s="13"/>
      <c r="S7" s="13"/>
      <c r="T7" s="13"/>
      <c r="U7" s="15"/>
    </row>
    <row r="8" spans="1:21" ht="43.5" x14ac:dyDescent="0.35">
      <c r="A8" s="13" t="s">
        <v>407</v>
      </c>
      <c r="B8" s="13" t="s">
        <v>81</v>
      </c>
      <c r="C8" s="14">
        <v>43152.5</v>
      </c>
      <c r="D8" s="13" t="s">
        <v>140</v>
      </c>
      <c r="E8" s="13" t="s">
        <v>408</v>
      </c>
      <c r="F8" s="15" t="s">
        <v>141</v>
      </c>
      <c r="G8" s="13"/>
      <c r="H8" s="14">
        <v>40725</v>
      </c>
      <c r="I8" s="14"/>
      <c r="J8" s="15"/>
      <c r="K8" s="15" t="s">
        <v>410</v>
      </c>
      <c r="L8" s="13" t="s">
        <v>398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407</v>
      </c>
      <c r="B9" s="13" t="s">
        <v>81</v>
      </c>
      <c r="C9" s="14">
        <v>43152.5</v>
      </c>
      <c r="D9" s="13" t="s">
        <v>109</v>
      </c>
      <c r="E9" s="13" t="s">
        <v>408</v>
      </c>
      <c r="F9" s="15" t="s">
        <v>110</v>
      </c>
      <c r="G9" s="13"/>
      <c r="H9" s="14">
        <v>40725</v>
      </c>
      <c r="I9" s="14"/>
      <c r="J9" s="15" t="s">
        <v>411</v>
      </c>
      <c r="K9" s="15" t="s">
        <v>412</v>
      </c>
      <c r="L9" s="13" t="s">
        <v>398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ht="43.5" x14ac:dyDescent="0.35">
      <c r="A10" s="13" t="s">
        <v>407</v>
      </c>
      <c r="B10" s="13" t="s">
        <v>81</v>
      </c>
      <c r="C10" s="14">
        <v>43152.5</v>
      </c>
      <c r="D10" s="13" t="s">
        <v>111</v>
      </c>
      <c r="E10" s="13" t="s">
        <v>408</v>
      </c>
      <c r="F10" s="15" t="s">
        <v>112</v>
      </c>
      <c r="G10" s="13"/>
      <c r="H10" s="14">
        <v>40725</v>
      </c>
      <c r="I10" s="14"/>
      <c r="J10" s="15" t="s">
        <v>413</v>
      </c>
      <c r="K10" s="15" t="s">
        <v>414</v>
      </c>
      <c r="L10" s="13" t="s">
        <v>398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43.5" x14ac:dyDescent="0.35">
      <c r="A11" s="13" t="s">
        <v>407</v>
      </c>
      <c r="B11" s="13" t="s">
        <v>81</v>
      </c>
      <c r="C11" s="14">
        <v>43152.5</v>
      </c>
      <c r="D11" s="13" t="s">
        <v>142</v>
      </c>
      <c r="E11" s="13" t="s">
        <v>408</v>
      </c>
      <c r="F11" s="15" t="s">
        <v>143</v>
      </c>
      <c r="G11" s="13"/>
      <c r="H11" s="14">
        <v>40725</v>
      </c>
      <c r="I11" s="14"/>
      <c r="J11" s="15" t="s">
        <v>415</v>
      </c>
      <c r="K11" s="15" t="s">
        <v>416</v>
      </c>
      <c r="L11" s="13" t="s">
        <v>398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43.5" x14ac:dyDescent="0.35">
      <c r="A12" s="13" t="s">
        <v>407</v>
      </c>
      <c r="B12" s="13" t="s">
        <v>81</v>
      </c>
      <c r="C12" s="14">
        <v>43152.5</v>
      </c>
      <c r="D12" s="13" t="s">
        <v>144</v>
      </c>
      <c r="E12" s="13" t="s">
        <v>408</v>
      </c>
      <c r="F12" s="15" t="s">
        <v>145</v>
      </c>
      <c r="G12" s="13"/>
      <c r="H12" s="14">
        <v>40725</v>
      </c>
      <c r="I12" s="14"/>
      <c r="J12" s="15" t="s">
        <v>417</v>
      </c>
      <c r="K12" s="15" t="s">
        <v>418</v>
      </c>
      <c r="L12" s="13" t="s">
        <v>398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43.5" x14ac:dyDescent="0.35">
      <c r="A13" s="13" t="s">
        <v>407</v>
      </c>
      <c r="B13" s="13" t="s">
        <v>81</v>
      </c>
      <c r="C13" s="14">
        <v>43152.5</v>
      </c>
      <c r="D13" s="13" t="s">
        <v>113</v>
      </c>
      <c r="E13" s="13" t="s">
        <v>408</v>
      </c>
      <c r="F13" s="15" t="s">
        <v>114</v>
      </c>
      <c r="G13" s="13"/>
      <c r="H13" s="14">
        <v>40725</v>
      </c>
      <c r="I13" s="14"/>
      <c r="J13" s="15" t="s">
        <v>411</v>
      </c>
      <c r="K13" s="15" t="s">
        <v>419</v>
      </c>
      <c r="L13" s="13" t="s">
        <v>420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43.5" x14ac:dyDescent="0.35">
      <c r="A14" s="13" t="s">
        <v>407</v>
      </c>
      <c r="B14" s="13" t="s">
        <v>81</v>
      </c>
      <c r="C14" s="14">
        <v>43152.5</v>
      </c>
      <c r="D14" s="13" t="s">
        <v>115</v>
      </c>
      <c r="E14" s="13" t="s">
        <v>408</v>
      </c>
      <c r="F14" s="15" t="s">
        <v>116</v>
      </c>
      <c r="G14" s="13"/>
      <c r="H14" s="14">
        <v>40725</v>
      </c>
      <c r="I14" s="14"/>
      <c r="J14" s="15" t="s">
        <v>413</v>
      </c>
      <c r="K14" s="15" t="s">
        <v>421</v>
      </c>
      <c r="L14" s="13" t="s">
        <v>420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43.5" x14ac:dyDescent="0.35">
      <c r="A15" s="13" t="s">
        <v>407</v>
      </c>
      <c r="B15" s="13" t="s">
        <v>81</v>
      </c>
      <c r="C15" s="14">
        <v>43152.5</v>
      </c>
      <c r="D15" s="13" t="s">
        <v>117</v>
      </c>
      <c r="E15" s="13" t="s">
        <v>408</v>
      </c>
      <c r="F15" s="15" t="s">
        <v>118</v>
      </c>
      <c r="G15" s="13"/>
      <c r="H15" s="14">
        <v>40725</v>
      </c>
      <c r="I15" s="14"/>
      <c r="J15" s="15"/>
      <c r="K15" s="15" t="s">
        <v>422</v>
      </c>
      <c r="L15" s="13" t="s">
        <v>398</v>
      </c>
      <c r="M15" s="15"/>
      <c r="N15" s="13"/>
      <c r="O15" s="13"/>
      <c r="P15" s="13"/>
      <c r="Q15" s="13"/>
      <c r="R15" s="13"/>
      <c r="S15" s="13"/>
      <c r="T15" s="13"/>
      <c r="U15" s="15"/>
    </row>
    <row r="16" spans="1:21" ht="72.5" x14ac:dyDescent="0.35">
      <c r="A16" s="13" t="s">
        <v>407</v>
      </c>
      <c r="B16" s="13" t="s">
        <v>81</v>
      </c>
      <c r="C16" s="14">
        <v>44932.46875</v>
      </c>
      <c r="D16" s="13" t="s">
        <v>119</v>
      </c>
      <c r="E16" s="13" t="s">
        <v>408</v>
      </c>
      <c r="F16" s="15" t="s">
        <v>120</v>
      </c>
      <c r="G16" s="13"/>
      <c r="H16" s="14">
        <v>40725</v>
      </c>
      <c r="I16" s="14"/>
      <c r="J16" s="15" t="s">
        <v>423</v>
      </c>
      <c r="K16" s="15" t="s">
        <v>424</v>
      </c>
      <c r="L16" s="13" t="s">
        <v>398</v>
      </c>
      <c r="M16" s="15" t="s">
        <v>425</v>
      </c>
      <c r="N16" s="13"/>
      <c r="O16" s="13"/>
      <c r="P16" s="13"/>
      <c r="Q16" s="13"/>
      <c r="R16" s="13"/>
      <c r="S16" s="13"/>
      <c r="T16" s="13"/>
      <c r="U16" s="15"/>
    </row>
    <row r="17" spans="1:21" ht="72.5" x14ac:dyDescent="0.35">
      <c r="A17" s="13" t="s">
        <v>407</v>
      </c>
      <c r="B17" s="13" t="s">
        <v>81</v>
      </c>
      <c r="C17" s="14">
        <v>44932.470833333333</v>
      </c>
      <c r="D17" s="13" t="s">
        <v>121</v>
      </c>
      <c r="E17" s="13" t="s">
        <v>408</v>
      </c>
      <c r="F17" s="15" t="s">
        <v>122</v>
      </c>
      <c r="G17" s="13"/>
      <c r="H17" s="14">
        <v>40725</v>
      </c>
      <c r="I17" s="14"/>
      <c r="J17" s="15" t="s">
        <v>426</v>
      </c>
      <c r="K17" s="15" t="s">
        <v>427</v>
      </c>
      <c r="L17" s="13" t="s">
        <v>398</v>
      </c>
      <c r="M17" s="15" t="s">
        <v>425</v>
      </c>
      <c r="N17" s="13"/>
      <c r="O17" s="13"/>
      <c r="P17" s="13"/>
      <c r="Q17" s="13"/>
      <c r="R17" s="13"/>
      <c r="S17" s="13"/>
      <c r="T17" s="13"/>
      <c r="U17" s="15"/>
    </row>
    <row r="18" spans="1:21" ht="72.5" x14ac:dyDescent="0.35">
      <c r="A18" s="13" t="s">
        <v>428</v>
      </c>
      <c r="B18" s="13" t="s">
        <v>148</v>
      </c>
      <c r="C18" s="14">
        <v>43669.656944444447</v>
      </c>
      <c r="D18" s="13" t="s">
        <v>123</v>
      </c>
      <c r="E18" s="13" t="s">
        <v>408</v>
      </c>
      <c r="F18" s="15" t="s">
        <v>124</v>
      </c>
      <c r="G18" s="13"/>
      <c r="H18" s="14">
        <v>40725</v>
      </c>
      <c r="I18" s="14"/>
      <c r="J18" s="15"/>
      <c r="K18" s="15" t="s">
        <v>429</v>
      </c>
      <c r="L18" s="13" t="s">
        <v>398</v>
      </c>
      <c r="M18" s="15"/>
      <c r="N18" s="13"/>
      <c r="O18" s="13"/>
      <c r="P18" s="13"/>
      <c r="Q18" s="13"/>
      <c r="R18" s="13"/>
      <c r="S18" s="13"/>
      <c r="T18" s="13"/>
      <c r="U18" s="15"/>
    </row>
    <row r="19" spans="1:21" ht="43.5" x14ac:dyDescent="0.35">
      <c r="A19" s="13" t="s">
        <v>80</v>
      </c>
      <c r="B19" s="13" t="s">
        <v>81</v>
      </c>
      <c r="C19" s="14">
        <v>43756.454861111109</v>
      </c>
      <c r="D19" s="13" t="s">
        <v>230</v>
      </c>
      <c r="E19" s="13" t="s">
        <v>408</v>
      </c>
      <c r="F19" s="15" t="s">
        <v>231</v>
      </c>
      <c r="G19" s="13"/>
      <c r="H19" s="14">
        <v>40725</v>
      </c>
      <c r="I19" s="14"/>
      <c r="J19" s="15"/>
      <c r="K19" s="15" t="s">
        <v>430</v>
      </c>
      <c r="L19" s="13" t="s">
        <v>398</v>
      </c>
      <c r="M19" s="15"/>
      <c r="N19" s="13"/>
      <c r="O19" s="13"/>
      <c r="P19" s="13"/>
      <c r="Q19" s="13"/>
      <c r="R19" s="13"/>
      <c r="S19" s="13"/>
      <c r="T19" s="13"/>
      <c r="U19" s="15"/>
    </row>
    <row r="20" spans="1:21" ht="43.5" x14ac:dyDescent="0.35">
      <c r="A20" s="13" t="s">
        <v>80</v>
      </c>
      <c r="B20" s="13" t="s">
        <v>81</v>
      </c>
      <c r="C20" s="14">
        <v>43756.455555555556</v>
      </c>
      <c r="D20" s="13" t="s">
        <v>252</v>
      </c>
      <c r="E20" s="13" t="s">
        <v>408</v>
      </c>
      <c r="F20" s="15" t="s">
        <v>253</v>
      </c>
      <c r="G20" s="13"/>
      <c r="H20" s="14">
        <v>40725</v>
      </c>
      <c r="I20" s="14"/>
      <c r="J20" s="15"/>
      <c r="K20" s="15" t="s">
        <v>431</v>
      </c>
      <c r="L20" s="13" t="s">
        <v>398</v>
      </c>
      <c r="M20" s="15"/>
      <c r="N20" s="13"/>
      <c r="O20" s="13"/>
      <c r="P20" s="13"/>
      <c r="Q20" s="13"/>
      <c r="R20" s="13"/>
      <c r="S20" s="13"/>
      <c r="T20" s="13"/>
      <c r="U20" s="15"/>
    </row>
    <row r="21" spans="1:21" ht="43.5" x14ac:dyDescent="0.35">
      <c r="A21" s="13" t="s">
        <v>80</v>
      </c>
      <c r="B21" s="13" t="s">
        <v>81</v>
      </c>
      <c r="C21" s="14">
        <v>43756.455555555556</v>
      </c>
      <c r="D21" s="13" t="s">
        <v>232</v>
      </c>
      <c r="E21" s="13" t="s">
        <v>408</v>
      </c>
      <c r="F21" s="15" t="s">
        <v>233</v>
      </c>
      <c r="G21" s="13"/>
      <c r="H21" s="14">
        <v>40725</v>
      </c>
      <c r="I21" s="14"/>
      <c r="J21" s="15"/>
      <c r="K21" s="15" t="s">
        <v>432</v>
      </c>
      <c r="L21" s="13" t="s">
        <v>398</v>
      </c>
      <c r="M21" s="15"/>
      <c r="N21" s="13"/>
      <c r="O21" s="13"/>
      <c r="P21" s="13"/>
      <c r="Q21" s="13"/>
      <c r="R21" s="13"/>
      <c r="S21" s="13"/>
      <c r="T21" s="13"/>
      <c r="U21" s="15"/>
    </row>
    <row r="22" spans="1:21" ht="29" x14ac:dyDescent="0.35">
      <c r="A22" s="13" t="s">
        <v>80</v>
      </c>
      <c r="B22" s="13" t="s">
        <v>81</v>
      </c>
      <c r="C22" s="14">
        <v>43756.456250000003</v>
      </c>
      <c r="D22" s="13" t="s">
        <v>234</v>
      </c>
      <c r="E22" s="13" t="s">
        <v>408</v>
      </c>
      <c r="F22" s="15" t="s">
        <v>235</v>
      </c>
      <c r="G22" s="13"/>
      <c r="H22" s="14">
        <v>40725</v>
      </c>
      <c r="I22" s="14"/>
      <c r="J22" s="15"/>
      <c r="K22" s="15" t="s">
        <v>433</v>
      </c>
      <c r="L22" s="13" t="s">
        <v>420</v>
      </c>
      <c r="M22" s="15" t="s">
        <v>434</v>
      </c>
      <c r="N22" s="13"/>
      <c r="O22" s="13"/>
      <c r="P22" s="13"/>
      <c r="Q22" s="13"/>
      <c r="R22" s="13"/>
      <c r="S22" s="13"/>
      <c r="T22" s="13"/>
      <c r="U22" s="15"/>
    </row>
    <row r="23" spans="1:21" ht="43.5" x14ac:dyDescent="0.35">
      <c r="A23" s="13" t="s">
        <v>80</v>
      </c>
      <c r="B23" s="13" t="s">
        <v>81</v>
      </c>
      <c r="C23" s="14">
        <v>43790.404861111114</v>
      </c>
      <c r="D23" s="13" t="s">
        <v>254</v>
      </c>
      <c r="E23" s="13" t="s">
        <v>408</v>
      </c>
      <c r="F23" s="15" t="s">
        <v>255</v>
      </c>
      <c r="G23" s="13"/>
      <c r="H23" s="14">
        <v>40725</v>
      </c>
      <c r="I23" s="14"/>
      <c r="J23" s="15" t="s">
        <v>435</v>
      </c>
      <c r="K23" s="15" t="s">
        <v>436</v>
      </c>
      <c r="L23" s="13" t="s">
        <v>398</v>
      </c>
      <c r="M23" s="15"/>
      <c r="N23" s="13"/>
      <c r="O23" s="13"/>
      <c r="P23" s="13"/>
      <c r="Q23" s="13"/>
      <c r="R23" s="13"/>
      <c r="S23" s="13"/>
      <c r="T23" s="13"/>
      <c r="U23" s="15"/>
    </row>
    <row r="24" spans="1:21" ht="29" x14ac:dyDescent="0.35">
      <c r="A24" s="13" t="s">
        <v>80</v>
      </c>
      <c r="B24" s="13" t="s">
        <v>81</v>
      </c>
      <c r="C24" s="14">
        <v>43756.463888888888</v>
      </c>
      <c r="D24" s="13" t="s">
        <v>216</v>
      </c>
      <c r="E24" s="13" t="s">
        <v>437</v>
      </c>
      <c r="F24" s="15" t="s">
        <v>217</v>
      </c>
      <c r="G24" s="13" t="s">
        <v>438</v>
      </c>
      <c r="H24" s="14">
        <v>40725</v>
      </c>
      <c r="I24" s="14"/>
      <c r="J24" s="15"/>
      <c r="K24" s="15"/>
      <c r="L24" s="13" t="s">
        <v>420</v>
      </c>
      <c r="M24" s="15"/>
      <c r="N24" s="13"/>
      <c r="O24" s="13"/>
      <c r="P24" s="13"/>
      <c r="Q24" s="13"/>
      <c r="R24" s="13"/>
      <c r="S24" s="13"/>
      <c r="T24" s="13" t="s">
        <v>400</v>
      </c>
      <c r="U24" s="15" t="s">
        <v>217</v>
      </c>
    </row>
    <row r="25" spans="1:21" ht="43.5" x14ac:dyDescent="0.35">
      <c r="A25" s="13" t="s">
        <v>80</v>
      </c>
      <c r="B25" s="13" t="s">
        <v>81</v>
      </c>
      <c r="C25" s="14">
        <v>43756.463888888888</v>
      </c>
      <c r="D25" s="13" t="s">
        <v>220</v>
      </c>
      <c r="E25" s="13" t="s">
        <v>437</v>
      </c>
      <c r="F25" s="15" t="s">
        <v>221</v>
      </c>
      <c r="G25" s="13" t="s">
        <v>439</v>
      </c>
      <c r="H25" s="14">
        <v>40725</v>
      </c>
      <c r="I25" s="14"/>
      <c r="J25" s="15"/>
      <c r="K25" s="15"/>
      <c r="L25" s="13" t="s">
        <v>420</v>
      </c>
      <c r="M25" s="15"/>
      <c r="N25" s="13"/>
      <c r="O25" s="13"/>
      <c r="P25" s="13"/>
      <c r="Q25" s="13"/>
      <c r="R25" s="13"/>
      <c r="S25" s="13"/>
      <c r="T25" s="13" t="s">
        <v>400</v>
      </c>
      <c r="U25" s="15" t="s">
        <v>221</v>
      </c>
    </row>
    <row r="26" spans="1:21" ht="29" x14ac:dyDescent="0.35">
      <c r="A26" s="13" t="s">
        <v>80</v>
      </c>
      <c r="B26" s="13" t="s">
        <v>81</v>
      </c>
      <c r="C26" s="14">
        <v>43756.463888888888</v>
      </c>
      <c r="D26" s="13" t="s">
        <v>222</v>
      </c>
      <c r="E26" s="13" t="s">
        <v>437</v>
      </c>
      <c r="F26" s="15" t="s">
        <v>223</v>
      </c>
      <c r="G26" s="13" t="s">
        <v>439</v>
      </c>
      <c r="H26" s="14">
        <v>40725</v>
      </c>
      <c r="I26" s="14"/>
      <c r="J26" s="15"/>
      <c r="K26" s="15"/>
      <c r="L26" s="13" t="s">
        <v>420</v>
      </c>
      <c r="M26" s="15"/>
      <c r="N26" s="13"/>
      <c r="O26" s="13"/>
      <c r="P26" s="13"/>
      <c r="Q26" s="13"/>
      <c r="R26" s="13"/>
      <c r="S26" s="13"/>
      <c r="T26" s="13" t="s">
        <v>400</v>
      </c>
      <c r="U26" s="15" t="s">
        <v>223</v>
      </c>
    </row>
    <row r="27" spans="1:21" ht="43.5" x14ac:dyDescent="0.35">
      <c r="A27" s="13" t="s">
        <v>80</v>
      </c>
      <c r="B27" s="13" t="s">
        <v>81</v>
      </c>
      <c r="C27" s="14">
        <v>43756.463888888888</v>
      </c>
      <c r="D27" s="13" t="s">
        <v>224</v>
      </c>
      <c r="E27" s="13" t="s">
        <v>437</v>
      </c>
      <c r="F27" s="15" t="s">
        <v>225</v>
      </c>
      <c r="G27" s="13" t="s">
        <v>440</v>
      </c>
      <c r="H27" s="14">
        <v>40725</v>
      </c>
      <c r="I27" s="14"/>
      <c r="J27" s="15"/>
      <c r="K27" s="15"/>
      <c r="L27" s="13" t="s">
        <v>420</v>
      </c>
      <c r="M27" s="15"/>
      <c r="N27" s="13"/>
      <c r="O27" s="13"/>
      <c r="P27" s="13"/>
      <c r="Q27" s="13"/>
      <c r="R27" s="13"/>
      <c r="S27" s="13"/>
      <c r="T27" s="13" t="s">
        <v>400</v>
      </c>
      <c r="U27" s="15" t="s">
        <v>225</v>
      </c>
    </row>
    <row r="28" spans="1:21" ht="58" x14ac:dyDescent="0.35">
      <c r="A28" s="13" t="s">
        <v>80</v>
      </c>
      <c r="B28" s="13" t="s">
        <v>81</v>
      </c>
      <c r="C28" s="14">
        <v>43756.463888888888</v>
      </c>
      <c r="D28" s="13" t="s">
        <v>244</v>
      </c>
      <c r="E28" s="13" t="s">
        <v>437</v>
      </c>
      <c r="F28" s="15" t="s">
        <v>245</v>
      </c>
      <c r="G28" s="13" t="s">
        <v>441</v>
      </c>
      <c r="H28" s="14">
        <v>40725</v>
      </c>
      <c r="I28" s="14"/>
      <c r="J28" s="15"/>
      <c r="K28" s="15"/>
      <c r="L28" s="13" t="s">
        <v>420</v>
      </c>
      <c r="M28" s="15"/>
      <c r="N28" s="13"/>
      <c r="O28" s="13"/>
      <c r="P28" s="13"/>
      <c r="Q28" s="13"/>
      <c r="R28" s="13"/>
      <c r="S28" s="13"/>
      <c r="T28" s="13" t="s">
        <v>400</v>
      </c>
      <c r="U28" s="15" t="s">
        <v>245</v>
      </c>
    </row>
    <row r="29" spans="1:21" ht="43.5" x14ac:dyDescent="0.35">
      <c r="A29" s="13" t="s">
        <v>80</v>
      </c>
      <c r="B29" s="13" t="s">
        <v>81</v>
      </c>
      <c r="C29" s="14">
        <v>43756.463888888888</v>
      </c>
      <c r="D29" s="13" t="s">
        <v>246</v>
      </c>
      <c r="E29" s="13" t="s">
        <v>437</v>
      </c>
      <c r="F29" s="15" t="s">
        <v>247</v>
      </c>
      <c r="G29" s="13" t="s">
        <v>442</v>
      </c>
      <c r="H29" s="14">
        <v>40725</v>
      </c>
      <c r="I29" s="14"/>
      <c r="J29" s="15"/>
      <c r="K29" s="15"/>
      <c r="L29" s="13" t="s">
        <v>420</v>
      </c>
      <c r="M29" s="15"/>
      <c r="N29" s="13"/>
      <c r="O29" s="13"/>
      <c r="P29" s="13"/>
      <c r="Q29" s="13"/>
      <c r="R29" s="13"/>
      <c r="S29" s="13"/>
      <c r="T29" s="13" t="s">
        <v>400</v>
      </c>
      <c r="U29" s="15" t="s">
        <v>247</v>
      </c>
    </row>
    <row r="30" spans="1:21" ht="43.5" x14ac:dyDescent="0.35">
      <c r="A30" s="13" t="s">
        <v>80</v>
      </c>
      <c r="B30" s="13" t="s">
        <v>81</v>
      </c>
      <c r="C30" s="14">
        <v>43756.463888888888</v>
      </c>
      <c r="D30" s="13" t="s">
        <v>97</v>
      </c>
      <c r="E30" s="13" t="s">
        <v>437</v>
      </c>
      <c r="F30" s="15" t="s">
        <v>98</v>
      </c>
      <c r="G30" s="13" t="s">
        <v>443</v>
      </c>
      <c r="H30" s="14">
        <v>40725</v>
      </c>
      <c r="I30" s="14"/>
      <c r="J30" s="15"/>
      <c r="K30" s="15"/>
      <c r="L30" s="13" t="s">
        <v>420</v>
      </c>
      <c r="M30" s="15"/>
      <c r="N30" s="13"/>
      <c r="O30" s="13"/>
      <c r="P30" s="13"/>
      <c r="Q30" s="13"/>
      <c r="R30" s="13"/>
      <c r="S30" s="13"/>
      <c r="T30" s="13" t="s">
        <v>400</v>
      </c>
      <c r="U30" s="15" t="s">
        <v>98</v>
      </c>
    </row>
    <row r="31" spans="1:21" ht="43.5" x14ac:dyDescent="0.35">
      <c r="A31" s="13" t="s">
        <v>80</v>
      </c>
      <c r="B31" s="13" t="s">
        <v>81</v>
      </c>
      <c r="C31" s="14">
        <v>43756.463888888888</v>
      </c>
      <c r="D31" s="13" t="s">
        <v>99</v>
      </c>
      <c r="E31" s="13" t="s">
        <v>437</v>
      </c>
      <c r="F31" s="15" t="s">
        <v>100</v>
      </c>
      <c r="G31" s="13" t="s">
        <v>443</v>
      </c>
      <c r="H31" s="14">
        <v>40725</v>
      </c>
      <c r="I31" s="14"/>
      <c r="J31" s="15"/>
      <c r="K31" s="15"/>
      <c r="L31" s="13" t="s">
        <v>420</v>
      </c>
      <c r="M31" s="15"/>
      <c r="N31" s="13"/>
      <c r="O31" s="13"/>
      <c r="P31" s="13"/>
      <c r="Q31" s="13"/>
      <c r="R31" s="13"/>
      <c r="S31" s="13"/>
      <c r="T31" s="13" t="s">
        <v>400</v>
      </c>
      <c r="U31" s="15" t="s">
        <v>100</v>
      </c>
    </row>
    <row r="32" spans="1:21" ht="43.5" x14ac:dyDescent="0.35">
      <c r="A32" s="13" t="s">
        <v>80</v>
      </c>
      <c r="B32" s="13" t="s">
        <v>81</v>
      </c>
      <c r="C32" s="14">
        <v>43756.418749999997</v>
      </c>
      <c r="D32" s="13" t="s">
        <v>226</v>
      </c>
      <c r="E32" s="13" t="s">
        <v>437</v>
      </c>
      <c r="F32" s="15" t="s">
        <v>227</v>
      </c>
      <c r="G32" s="13" t="s">
        <v>401</v>
      </c>
      <c r="H32" s="14">
        <v>40725</v>
      </c>
      <c r="I32" s="14">
        <v>42865</v>
      </c>
      <c r="J32" s="15"/>
      <c r="K32" s="15"/>
      <c r="L32" s="13" t="s">
        <v>420</v>
      </c>
      <c r="M32" s="15"/>
      <c r="N32" s="13"/>
      <c r="O32" s="13"/>
      <c r="P32" s="13"/>
      <c r="Q32" s="13"/>
      <c r="R32" s="13"/>
      <c r="S32" s="13"/>
      <c r="T32" s="13"/>
      <c r="U32" s="15"/>
    </row>
    <row r="33" spans="1:21" ht="58" x14ac:dyDescent="0.35">
      <c r="A33" s="13" t="s">
        <v>80</v>
      </c>
      <c r="B33" s="13" t="s">
        <v>81</v>
      </c>
      <c r="C33" s="14">
        <v>43756.419444444444</v>
      </c>
      <c r="D33" s="13" t="s">
        <v>218</v>
      </c>
      <c r="E33" s="13" t="s">
        <v>437</v>
      </c>
      <c r="F33" s="15" t="s">
        <v>219</v>
      </c>
      <c r="G33" s="13" t="s">
        <v>444</v>
      </c>
      <c r="H33" s="14">
        <v>40725</v>
      </c>
      <c r="I33" s="14"/>
      <c r="J33" s="15"/>
      <c r="K33" s="15"/>
      <c r="L33" s="13" t="s">
        <v>420</v>
      </c>
      <c r="M33" s="15"/>
      <c r="N33" s="13"/>
      <c r="O33" s="13"/>
      <c r="P33" s="13"/>
      <c r="Q33" s="13"/>
      <c r="R33" s="13"/>
      <c r="S33" s="13"/>
      <c r="T33" s="13" t="s">
        <v>400</v>
      </c>
      <c r="U33" s="15" t="s">
        <v>219</v>
      </c>
    </row>
    <row r="34" spans="1:21" ht="43.5" x14ac:dyDescent="0.35">
      <c r="A34" s="13" t="s">
        <v>80</v>
      </c>
      <c r="B34" s="13" t="s">
        <v>81</v>
      </c>
      <c r="C34" s="14">
        <v>43756.420138888891</v>
      </c>
      <c r="D34" s="13" t="s">
        <v>237</v>
      </c>
      <c r="E34" s="13" t="s">
        <v>437</v>
      </c>
      <c r="F34" s="15" t="s">
        <v>238</v>
      </c>
      <c r="G34" s="13" t="s">
        <v>401</v>
      </c>
      <c r="H34" s="14">
        <v>42866</v>
      </c>
      <c r="I34" s="14"/>
      <c r="J34" s="15"/>
      <c r="K34" s="15"/>
      <c r="L34" s="13" t="s">
        <v>420</v>
      </c>
      <c r="M34" s="15"/>
      <c r="N34" s="13"/>
      <c r="O34" s="13"/>
      <c r="P34" s="13"/>
      <c r="Q34" s="13"/>
      <c r="R34" s="13"/>
      <c r="S34" s="13"/>
      <c r="T34" s="13" t="s">
        <v>400</v>
      </c>
      <c r="U34" s="15" t="s">
        <v>238</v>
      </c>
    </row>
    <row r="35" spans="1:21" ht="29" x14ac:dyDescent="0.35">
      <c r="A35" s="13" t="s">
        <v>80</v>
      </c>
      <c r="B35" s="13" t="s">
        <v>81</v>
      </c>
      <c r="C35" s="14">
        <v>43756.42083333333</v>
      </c>
      <c r="D35" s="13" t="s">
        <v>101</v>
      </c>
      <c r="E35" s="13" t="s">
        <v>437</v>
      </c>
      <c r="F35" s="15" t="s">
        <v>102</v>
      </c>
      <c r="G35" s="13" t="s">
        <v>401</v>
      </c>
      <c r="H35" s="14">
        <v>40725</v>
      </c>
      <c r="I35" s="14"/>
      <c r="J35" s="15"/>
      <c r="K35" s="15"/>
      <c r="L35" s="13" t="s">
        <v>420</v>
      </c>
      <c r="M35" s="15"/>
      <c r="N35" s="13"/>
      <c r="O35" s="13"/>
      <c r="P35" s="13"/>
      <c r="Q35" s="13"/>
      <c r="R35" s="13"/>
      <c r="S35" s="13"/>
      <c r="T35" s="13" t="s">
        <v>400</v>
      </c>
      <c r="U35" s="15" t="s">
        <v>102</v>
      </c>
    </row>
    <row r="36" spans="1:21" x14ac:dyDescent="0.35">
      <c r="A36" s="13" t="s">
        <v>80</v>
      </c>
      <c r="B36" s="13" t="s">
        <v>81</v>
      </c>
      <c r="C36" s="14">
        <v>43756.42083333333</v>
      </c>
      <c r="D36" s="13" t="s">
        <v>103</v>
      </c>
      <c r="E36" s="13" t="s">
        <v>437</v>
      </c>
      <c r="F36" s="15" t="s">
        <v>104</v>
      </c>
      <c r="G36" s="13" t="s">
        <v>401</v>
      </c>
      <c r="H36" s="14">
        <v>40725</v>
      </c>
      <c r="I36" s="14"/>
      <c r="J36" s="15"/>
      <c r="K36" s="15"/>
      <c r="L36" s="13" t="s">
        <v>420</v>
      </c>
      <c r="M36" s="15"/>
      <c r="N36" s="13"/>
      <c r="O36" s="13"/>
      <c r="P36" s="13"/>
      <c r="Q36" s="13"/>
      <c r="R36" s="13"/>
      <c r="S36" s="13"/>
      <c r="T36" s="13" t="s">
        <v>400</v>
      </c>
      <c r="U36" s="15" t="s">
        <v>104</v>
      </c>
    </row>
    <row r="37" spans="1:21" ht="43.5" x14ac:dyDescent="0.35">
      <c r="A37" s="13" t="s">
        <v>80</v>
      </c>
      <c r="B37" s="13" t="s">
        <v>81</v>
      </c>
      <c r="C37" s="14">
        <v>43756.421527777777</v>
      </c>
      <c r="D37" s="13" t="s">
        <v>239</v>
      </c>
      <c r="E37" s="13" t="s">
        <v>437</v>
      </c>
      <c r="F37" s="15" t="s">
        <v>240</v>
      </c>
      <c r="G37" s="13" t="s">
        <v>401</v>
      </c>
      <c r="H37" s="14">
        <v>42866</v>
      </c>
      <c r="I37" s="14"/>
      <c r="J37" s="15"/>
      <c r="K37" s="15"/>
      <c r="L37" s="13" t="s">
        <v>420</v>
      </c>
      <c r="M37" s="15"/>
      <c r="N37" s="13"/>
      <c r="O37" s="13"/>
      <c r="P37" s="13"/>
      <c r="Q37" s="13"/>
      <c r="R37" s="13"/>
      <c r="S37" s="13"/>
      <c r="T37" s="13" t="s">
        <v>400</v>
      </c>
      <c r="U37" s="15" t="s">
        <v>240</v>
      </c>
    </row>
    <row r="38" spans="1:21" s="22" customFormat="1" ht="87" x14ac:dyDescent="0.35">
      <c r="A38" s="19" t="s">
        <v>147</v>
      </c>
      <c r="B38" s="19" t="s">
        <v>81</v>
      </c>
      <c r="C38" s="20">
        <v>45995.455555555556</v>
      </c>
      <c r="D38" s="19" t="s">
        <v>178</v>
      </c>
      <c r="E38" s="19" t="s">
        <v>437</v>
      </c>
      <c r="F38" s="21" t="s">
        <v>179</v>
      </c>
      <c r="G38" s="19" t="s">
        <v>445</v>
      </c>
      <c r="H38" s="20">
        <v>45901</v>
      </c>
      <c r="I38" s="20"/>
      <c r="J38" s="21"/>
      <c r="K38" s="21"/>
      <c r="L38" s="19" t="s">
        <v>420</v>
      </c>
      <c r="M38" s="21"/>
      <c r="N38" s="19"/>
      <c r="O38" s="19"/>
      <c r="P38" s="19" t="s">
        <v>446</v>
      </c>
      <c r="Q38" s="19"/>
      <c r="R38" s="19" t="s">
        <v>176</v>
      </c>
      <c r="S38" s="19"/>
      <c r="T38" s="19" t="s">
        <v>400</v>
      </c>
      <c r="U38" s="21" t="s">
        <v>179</v>
      </c>
    </row>
    <row r="39" spans="1:21" ht="43.5" x14ac:dyDescent="0.35">
      <c r="A39" s="13" t="s">
        <v>80</v>
      </c>
      <c r="B39" s="13" t="s">
        <v>81</v>
      </c>
      <c r="C39" s="14">
        <v>43756.438194444447</v>
      </c>
      <c r="D39" s="13" t="s">
        <v>250</v>
      </c>
      <c r="E39" s="13" t="s">
        <v>437</v>
      </c>
      <c r="F39" s="15" t="s">
        <v>227</v>
      </c>
      <c r="G39" s="13" t="s">
        <v>404</v>
      </c>
      <c r="H39" s="14">
        <v>40725</v>
      </c>
      <c r="I39" s="14">
        <v>42865</v>
      </c>
      <c r="J39" s="15"/>
      <c r="K39" s="15"/>
      <c r="L39" s="13" t="s">
        <v>420</v>
      </c>
      <c r="M39" s="15"/>
      <c r="N39" s="13"/>
      <c r="O39" s="13"/>
      <c r="P39" s="13"/>
      <c r="Q39" s="13"/>
      <c r="R39" s="13"/>
      <c r="S39" s="13"/>
      <c r="T39" s="13"/>
      <c r="U39" s="15"/>
    </row>
    <row r="40" spans="1:21" ht="43.5" x14ac:dyDescent="0.35">
      <c r="A40" s="13" t="s">
        <v>80</v>
      </c>
      <c r="B40" s="13" t="s">
        <v>81</v>
      </c>
      <c r="C40" s="14">
        <v>43756.438888888886</v>
      </c>
      <c r="D40" s="13" t="s">
        <v>257</v>
      </c>
      <c r="E40" s="13" t="s">
        <v>437</v>
      </c>
      <c r="F40" s="15" t="s">
        <v>258</v>
      </c>
      <c r="G40" s="13" t="s">
        <v>404</v>
      </c>
      <c r="H40" s="14">
        <v>42866</v>
      </c>
      <c r="I40" s="14"/>
      <c r="J40" s="15"/>
      <c r="K40" s="15"/>
      <c r="L40" s="13" t="s">
        <v>420</v>
      </c>
      <c r="M40" s="15"/>
      <c r="N40" s="13"/>
      <c r="O40" s="13"/>
      <c r="P40" s="13"/>
      <c r="Q40" s="13"/>
      <c r="R40" s="13"/>
      <c r="S40" s="13"/>
      <c r="T40" s="13" t="s">
        <v>400</v>
      </c>
      <c r="U40" s="15" t="s">
        <v>258</v>
      </c>
    </row>
    <row r="41" spans="1:21" ht="29" x14ac:dyDescent="0.35">
      <c r="A41" s="13" t="s">
        <v>80</v>
      </c>
      <c r="B41" s="13" t="s">
        <v>81</v>
      </c>
      <c r="C41" s="14">
        <v>43756.439583333333</v>
      </c>
      <c r="D41" s="13" t="s">
        <v>137</v>
      </c>
      <c r="E41" s="13" t="s">
        <v>437</v>
      </c>
      <c r="F41" s="15" t="s">
        <v>102</v>
      </c>
      <c r="G41" s="13" t="s">
        <v>404</v>
      </c>
      <c r="H41" s="14">
        <v>40725</v>
      </c>
      <c r="I41" s="14"/>
      <c r="J41" s="15"/>
      <c r="K41" s="15"/>
      <c r="L41" s="13" t="s">
        <v>420</v>
      </c>
      <c r="M41" s="15"/>
      <c r="N41" s="13"/>
      <c r="O41" s="13"/>
      <c r="P41" s="13"/>
      <c r="Q41" s="13"/>
      <c r="R41" s="13"/>
      <c r="S41" s="13"/>
      <c r="T41" s="13" t="s">
        <v>400</v>
      </c>
      <c r="U41" s="15" t="s">
        <v>102</v>
      </c>
    </row>
    <row r="42" spans="1:21" ht="29" x14ac:dyDescent="0.35">
      <c r="A42" s="13" t="s">
        <v>80</v>
      </c>
      <c r="B42" s="13" t="s">
        <v>81</v>
      </c>
      <c r="C42" s="14">
        <v>43756.44027777778</v>
      </c>
      <c r="D42" s="13" t="s">
        <v>138</v>
      </c>
      <c r="E42" s="13" t="s">
        <v>437</v>
      </c>
      <c r="F42" s="15" t="s">
        <v>104</v>
      </c>
      <c r="G42" s="13" t="s">
        <v>404</v>
      </c>
      <c r="H42" s="14">
        <v>40725</v>
      </c>
      <c r="I42" s="14"/>
      <c r="J42" s="15"/>
      <c r="K42" s="15"/>
      <c r="L42" s="13" t="s">
        <v>420</v>
      </c>
      <c r="M42" s="15"/>
      <c r="N42" s="13"/>
      <c r="O42" s="13"/>
      <c r="P42" s="13"/>
      <c r="Q42" s="13"/>
      <c r="R42" s="13"/>
      <c r="S42" s="13"/>
      <c r="T42" s="13" t="s">
        <v>400</v>
      </c>
      <c r="U42" s="15" t="s">
        <v>104</v>
      </c>
    </row>
    <row r="43" spans="1:21" ht="43.5" x14ac:dyDescent="0.35">
      <c r="A43" s="13" t="s">
        <v>80</v>
      </c>
      <c r="B43" s="13" t="s">
        <v>81</v>
      </c>
      <c r="C43" s="14">
        <v>43756.440972222219</v>
      </c>
      <c r="D43" s="13" t="s">
        <v>259</v>
      </c>
      <c r="E43" s="13" t="s">
        <v>437</v>
      </c>
      <c r="F43" s="15" t="s">
        <v>240</v>
      </c>
      <c r="G43" s="13" t="s">
        <v>404</v>
      </c>
      <c r="H43" s="14">
        <v>42866</v>
      </c>
      <c r="I43" s="14"/>
      <c r="J43" s="15"/>
      <c r="K43" s="15"/>
      <c r="L43" s="13" t="s">
        <v>420</v>
      </c>
      <c r="M43" s="15"/>
      <c r="N43" s="13"/>
      <c r="O43" s="13"/>
      <c r="P43" s="13"/>
      <c r="Q43" s="13"/>
      <c r="R43" s="13"/>
      <c r="S43" s="13"/>
      <c r="T43" s="13" t="s">
        <v>400</v>
      </c>
      <c r="U43" s="15" t="s">
        <v>240</v>
      </c>
    </row>
    <row r="44" spans="1:21" ht="43.5" x14ac:dyDescent="0.35">
      <c r="A44" s="13" t="s">
        <v>80</v>
      </c>
      <c r="B44" s="13" t="s">
        <v>81</v>
      </c>
      <c r="C44" s="14">
        <v>43756.441666666666</v>
      </c>
      <c r="D44" s="13" t="s">
        <v>272</v>
      </c>
      <c r="E44" s="13" t="s">
        <v>437</v>
      </c>
      <c r="F44" s="15" t="s">
        <v>273</v>
      </c>
      <c r="G44" s="13" t="s">
        <v>447</v>
      </c>
      <c r="H44" s="14">
        <v>43466</v>
      </c>
      <c r="I44" s="14"/>
      <c r="J44" s="15"/>
      <c r="K44" s="15"/>
      <c r="L44" s="13" t="s">
        <v>420</v>
      </c>
      <c r="M44" s="15"/>
      <c r="N44" s="13"/>
      <c r="O44" s="13"/>
      <c r="P44" s="13"/>
      <c r="Q44" s="13"/>
      <c r="R44" s="13"/>
      <c r="S44" s="13"/>
      <c r="T44" s="13" t="s">
        <v>400</v>
      </c>
      <c r="U44" s="15" t="s">
        <v>273</v>
      </c>
    </row>
    <row r="45" spans="1:21" x14ac:dyDescent="0.35">
      <c r="A45" s="13" t="s">
        <v>80</v>
      </c>
      <c r="B45" s="13" t="s">
        <v>81</v>
      </c>
      <c r="C45" s="14">
        <v>43756.442361111112</v>
      </c>
      <c r="D45" s="13" t="s">
        <v>279</v>
      </c>
      <c r="E45" s="13" t="s">
        <v>437</v>
      </c>
      <c r="F45" s="15" t="s">
        <v>280</v>
      </c>
      <c r="G45" s="13" t="s">
        <v>447</v>
      </c>
      <c r="H45" s="14">
        <v>43466</v>
      </c>
      <c r="I45" s="14"/>
      <c r="J45" s="15"/>
      <c r="K45" s="15"/>
      <c r="L45" s="13" t="s">
        <v>420</v>
      </c>
      <c r="M45" s="15"/>
      <c r="N45" s="13"/>
      <c r="O45" s="13"/>
      <c r="P45" s="13"/>
      <c r="Q45" s="13"/>
      <c r="R45" s="13"/>
      <c r="S45" s="13"/>
      <c r="T45" s="13" t="s">
        <v>400</v>
      </c>
      <c r="U45" s="15" t="s">
        <v>280</v>
      </c>
    </row>
    <row r="46" spans="1:21" ht="43.5" x14ac:dyDescent="0.35">
      <c r="A46" s="13" t="s">
        <v>80</v>
      </c>
      <c r="B46" s="13" t="s">
        <v>81</v>
      </c>
      <c r="C46" s="14">
        <v>43756.443055555559</v>
      </c>
      <c r="D46" s="13" t="s">
        <v>274</v>
      </c>
      <c r="E46" s="13" t="s">
        <v>437</v>
      </c>
      <c r="F46" s="15" t="s">
        <v>225</v>
      </c>
      <c r="G46" s="13" t="s">
        <v>448</v>
      </c>
      <c r="H46" s="14">
        <v>43466</v>
      </c>
      <c r="I46" s="14"/>
      <c r="J46" s="15"/>
      <c r="K46" s="15"/>
      <c r="L46" s="13" t="s">
        <v>420</v>
      </c>
      <c r="M46" s="15"/>
      <c r="N46" s="13"/>
      <c r="O46" s="13"/>
      <c r="P46" s="13"/>
      <c r="Q46" s="13"/>
      <c r="R46" s="13"/>
      <c r="S46" s="13"/>
      <c r="T46" s="13" t="s">
        <v>400</v>
      </c>
      <c r="U46" s="15" t="s">
        <v>225</v>
      </c>
    </row>
    <row r="47" spans="1:21" ht="43.5" x14ac:dyDescent="0.35">
      <c r="A47" s="13" t="s">
        <v>80</v>
      </c>
      <c r="B47" s="13" t="s">
        <v>81</v>
      </c>
      <c r="C47" s="14">
        <v>43756.443055555559</v>
      </c>
      <c r="D47" s="13" t="s">
        <v>275</v>
      </c>
      <c r="E47" s="13" t="s">
        <v>437</v>
      </c>
      <c r="F47" s="15" t="s">
        <v>276</v>
      </c>
      <c r="G47" s="13" t="s">
        <v>448</v>
      </c>
      <c r="H47" s="14">
        <v>43466</v>
      </c>
      <c r="I47" s="14"/>
      <c r="J47" s="15"/>
      <c r="K47" s="15"/>
      <c r="L47" s="13" t="s">
        <v>420</v>
      </c>
      <c r="M47" s="15"/>
      <c r="N47" s="13"/>
      <c r="O47" s="13"/>
      <c r="P47" s="13"/>
      <c r="Q47" s="13"/>
      <c r="R47" s="13"/>
      <c r="S47" s="13"/>
      <c r="T47" s="13" t="s">
        <v>400</v>
      </c>
      <c r="U47" s="15" t="s">
        <v>276</v>
      </c>
    </row>
    <row r="48" spans="1:21" ht="29" x14ac:dyDescent="0.35">
      <c r="A48" s="13" t="s">
        <v>80</v>
      </c>
      <c r="B48" s="13" t="s">
        <v>81</v>
      </c>
      <c r="C48" s="14">
        <v>43756.443749999999</v>
      </c>
      <c r="D48" s="13" t="s">
        <v>277</v>
      </c>
      <c r="E48" s="13" t="s">
        <v>437</v>
      </c>
      <c r="F48" s="15" t="s">
        <v>278</v>
      </c>
      <c r="G48" s="13" t="s">
        <v>448</v>
      </c>
      <c r="H48" s="14">
        <v>43466</v>
      </c>
      <c r="I48" s="14"/>
      <c r="J48" s="15"/>
      <c r="K48" s="15"/>
      <c r="L48" s="13" t="s">
        <v>420</v>
      </c>
      <c r="M48" s="15"/>
      <c r="N48" s="13"/>
      <c r="O48" s="13"/>
      <c r="P48" s="13"/>
      <c r="Q48" s="13"/>
      <c r="R48" s="13"/>
      <c r="S48" s="13"/>
      <c r="T48" s="13" t="s">
        <v>400</v>
      </c>
      <c r="U48" s="15" t="s">
        <v>278</v>
      </c>
    </row>
    <row r="49" spans="1:21" ht="43.5" x14ac:dyDescent="0.35">
      <c r="A49" s="13" t="s">
        <v>80</v>
      </c>
      <c r="B49" s="13" t="s">
        <v>81</v>
      </c>
      <c r="C49" s="14">
        <v>43756.45416666667</v>
      </c>
      <c r="D49" s="13" t="s">
        <v>281</v>
      </c>
      <c r="E49" s="13" t="s">
        <v>437</v>
      </c>
      <c r="F49" s="15" t="s">
        <v>282</v>
      </c>
      <c r="G49" s="13" t="s">
        <v>449</v>
      </c>
      <c r="H49" s="14">
        <v>43466</v>
      </c>
      <c r="I49" s="14"/>
      <c r="J49" s="15"/>
      <c r="K49" s="15"/>
      <c r="L49" s="13" t="s">
        <v>420</v>
      </c>
      <c r="M49" s="15"/>
      <c r="N49" s="13"/>
      <c r="O49" s="13"/>
      <c r="P49" s="13"/>
      <c r="Q49" s="13"/>
      <c r="R49" s="13"/>
      <c r="S49" s="13"/>
      <c r="T49" s="13" t="s">
        <v>400</v>
      </c>
      <c r="U49" s="15" t="s">
        <v>282</v>
      </c>
    </row>
    <row r="50" spans="1:21" ht="58" x14ac:dyDescent="0.35">
      <c r="A50" s="13" t="s">
        <v>80</v>
      </c>
      <c r="B50" s="13" t="s">
        <v>81</v>
      </c>
      <c r="C50" s="14">
        <v>43756.45208333333</v>
      </c>
      <c r="D50" s="13" t="s">
        <v>249</v>
      </c>
      <c r="E50" s="13" t="s">
        <v>437</v>
      </c>
      <c r="F50" s="15" t="s">
        <v>219</v>
      </c>
      <c r="G50" s="13" t="s">
        <v>450</v>
      </c>
      <c r="H50" s="14">
        <v>40725</v>
      </c>
      <c r="I50" s="14"/>
      <c r="J50" s="15"/>
      <c r="K50" s="15"/>
      <c r="L50" s="13" t="s">
        <v>420</v>
      </c>
      <c r="M50" s="15"/>
      <c r="N50" s="13"/>
      <c r="O50" s="13"/>
      <c r="P50" s="13"/>
      <c r="Q50" s="13"/>
      <c r="R50" s="13"/>
      <c r="S50" s="13"/>
      <c r="T50" s="13" t="s">
        <v>400</v>
      </c>
      <c r="U50" s="15" t="s">
        <v>219</v>
      </c>
    </row>
    <row r="51" spans="1:21" ht="72.5" x14ac:dyDescent="0.35">
      <c r="A51" s="13" t="s">
        <v>80</v>
      </c>
      <c r="B51" s="13" t="s">
        <v>81</v>
      </c>
      <c r="C51" s="14">
        <v>43851.468055555553</v>
      </c>
      <c r="D51" s="13" t="s">
        <v>135</v>
      </c>
      <c r="E51" s="13" t="s">
        <v>437</v>
      </c>
      <c r="F51" s="15" t="s">
        <v>136</v>
      </c>
      <c r="G51" s="13" t="s">
        <v>451</v>
      </c>
      <c r="H51" s="14">
        <v>40725</v>
      </c>
      <c r="I51" s="14"/>
      <c r="J51" s="15"/>
      <c r="K51" s="15"/>
      <c r="L51" s="13" t="s">
        <v>420</v>
      </c>
      <c r="M51" s="15"/>
      <c r="N51" s="13"/>
      <c r="O51" s="13"/>
      <c r="P51" s="13"/>
      <c r="Q51" s="13"/>
      <c r="R51" s="13"/>
      <c r="S51" s="13"/>
      <c r="T51" s="13" t="s">
        <v>400</v>
      </c>
      <c r="U51" s="15" t="s">
        <v>136</v>
      </c>
    </row>
    <row r="52" spans="1:21" ht="72.5" x14ac:dyDescent="0.35">
      <c r="A52" s="13" t="s">
        <v>183</v>
      </c>
      <c r="B52" s="13" t="s">
        <v>81</v>
      </c>
      <c r="C52" s="14">
        <v>44960.482638888891</v>
      </c>
      <c r="D52" s="13" t="s">
        <v>295</v>
      </c>
      <c r="E52" s="13" t="s">
        <v>437</v>
      </c>
      <c r="F52" s="15" t="s">
        <v>296</v>
      </c>
      <c r="G52" s="13" t="s">
        <v>452</v>
      </c>
      <c r="H52" s="14">
        <v>44767</v>
      </c>
      <c r="I52" s="14"/>
      <c r="J52" s="15"/>
      <c r="K52" s="15"/>
      <c r="L52" s="13" t="s">
        <v>420</v>
      </c>
      <c r="M52" s="15"/>
      <c r="N52" s="13"/>
      <c r="O52" s="13"/>
      <c r="P52" s="13" t="s">
        <v>453</v>
      </c>
      <c r="Q52" s="13"/>
      <c r="R52" s="13"/>
      <c r="S52" s="13"/>
      <c r="T52" s="13" t="s">
        <v>400</v>
      </c>
      <c r="U52" s="15" t="s">
        <v>296</v>
      </c>
    </row>
    <row r="53" spans="1:21" ht="72.5" x14ac:dyDescent="0.35">
      <c r="A53" s="13" t="s">
        <v>183</v>
      </c>
      <c r="B53" s="13" t="s">
        <v>81</v>
      </c>
      <c r="C53" s="14">
        <v>44960.484027777777</v>
      </c>
      <c r="D53" s="13" t="s">
        <v>315</v>
      </c>
      <c r="E53" s="13" t="s">
        <v>437</v>
      </c>
      <c r="F53" s="15" t="s">
        <v>316</v>
      </c>
      <c r="G53" s="13" t="s">
        <v>454</v>
      </c>
      <c r="H53" s="14">
        <v>44767</v>
      </c>
      <c r="I53" s="14"/>
      <c r="J53" s="15"/>
      <c r="K53" s="15"/>
      <c r="L53" s="13" t="s">
        <v>420</v>
      </c>
      <c r="M53" s="15"/>
      <c r="N53" s="13"/>
      <c r="O53" s="13"/>
      <c r="P53" s="13" t="s">
        <v>455</v>
      </c>
      <c r="Q53" s="13"/>
      <c r="R53" s="13"/>
      <c r="S53" s="13"/>
      <c r="T53" s="13" t="s">
        <v>400</v>
      </c>
      <c r="U53" s="15" t="s">
        <v>316</v>
      </c>
    </row>
    <row r="54" spans="1:21" ht="72.5" x14ac:dyDescent="0.35">
      <c r="A54" s="13" t="s">
        <v>183</v>
      </c>
      <c r="B54" s="13" t="s">
        <v>81</v>
      </c>
      <c r="C54" s="14">
        <v>44963.686805555553</v>
      </c>
      <c r="D54" s="13" t="s">
        <v>297</v>
      </c>
      <c r="E54" s="13" t="s">
        <v>437</v>
      </c>
      <c r="F54" s="15" t="s">
        <v>298</v>
      </c>
      <c r="G54" s="13" t="s">
        <v>456</v>
      </c>
      <c r="H54" s="14">
        <v>44767</v>
      </c>
      <c r="I54" s="14"/>
      <c r="J54" s="15"/>
      <c r="K54" s="15"/>
      <c r="L54" s="13" t="s">
        <v>420</v>
      </c>
      <c r="M54" s="15"/>
      <c r="N54" s="13"/>
      <c r="O54" s="13"/>
      <c r="P54" s="13" t="s">
        <v>453</v>
      </c>
      <c r="Q54" s="13"/>
      <c r="R54" s="13"/>
      <c r="S54" s="13"/>
      <c r="T54" s="13" t="s">
        <v>400</v>
      </c>
      <c r="U54" s="15" t="s">
        <v>298</v>
      </c>
    </row>
    <row r="55" spans="1:21" ht="72.5" x14ac:dyDescent="0.35">
      <c r="A55" s="13" t="s">
        <v>183</v>
      </c>
      <c r="B55" s="13" t="s">
        <v>81</v>
      </c>
      <c r="C55" s="14">
        <v>44963.6875</v>
      </c>
      <c r="D55" s="13" t="s">
        <v>317</v>
      </c>
      <c r="E55" s="13" t="s">
        <v>437</v>
      </c>
      <c r="F55" s="15" t="s">
        <v>298</v>
      </c>
      <c r="G55" s="13" t="s">
        <v>457</v>
      </c>
      <c r="H55" s="14">
        <v>44767</v>
      </c>
      <c r="I55" s="14"/>
      <c r="J55" s="15"/>
      <c r="K55" s="15"/>
      <c r="L55" s="13" t="s">
        <v>420</v>
      </c>
      <c r="M55" s="15"/>
      <c r="N55" s="13"/>
      <c r="O55" s="13"/>
      <c r="P55" s="13" t="s">
        <v>455</v>
      </c>
      <c r="Q55" s="13"/>
      <c r="R55" s="13"/>
      <c r="S55" s="13"/>
      <c r="T55" s="13" t="s">
        <v>400</v>
      </c>
      <c r="U55" s="15" t="s">
        <v>298</v>
      </c>
    </row>
    <row r="56" spans="1:21" ht="43.5" x14ac:dyDescent="0.35">
      <c r="A56" s="13" t="s">
        <v>183</v>
      </c>
      <c r="B56" s="13" t="s">
        <v>81</v>
      </c>
      <c r="C56" s="14">
        <v>44960.484027777777</v>
      </c>
      <c r="D56" s="13" t="s">
        <v>299</v>
      </c>
      <c r="E56" s="13" t="s">
        <v>437</v>
      </c>
      <c r="F56" s="15" t="s">
        <v>300</v>
      </c>
      <c r="G56" s="13" t="s">
        <v>458</v>
      </c>
      <c r="H56" s="14">
        <v>44767</v>
      </c>
      <c r="I56" s="14"/>
      <c r="J56" s="15"/>
      <c r="K56" s="15"/>
      <c r="L56" s="13" t="s">
        <v>420</v>
      </c>
      <c r="M56" s="15"/>
      <c r="N56" s="13"/>
      <c r="O56" s="13"/>
      <c r="P56" s="13" t="s">
        <v>453</v>
      </c>
      <c r="Q56" s="13"/>
      <c r="R56" s="13"/>
      <c r="S56" s="13"/>
      <c r="T56" s="13" t="s">
        <v>400</v>
      </c>
      <c r="U56" s="15" t="s">
        <v>300</v>
      </c>
    </row>
    <row r="57" spans="1:21" ht="58" x14ac:dyDescent="0.35">
      <c r="A57" s="13" t="s">
        <v>183</v>
      </c>
      <c r="B57" s="13" t="s">
        <v>81</v>
      </c>
      <c r="C57" s="14">
        <v>44960.48541666667</v>
      </c>
      <c r="D57" s="13" t="s">
        <v>318</v>
      </c>
      <c r="E57" s="13" t="s">
        <v>437</v>
      </c>
      <c r="F57" s="15" t="s">
        <v>300</v>
      </c>
      <c r="G57" s="13" t="s">
        <v>459</v>
      </c>
      <c r="H57" s="14">
        <v>44767</v>
      </c>
      <c r="I57" s="14"/>
      <c r="J57" s="15"/>
      <c r="K57" s="15"/>
      <c r="L57" s="13" t="s">
        <v>420</v>
      </c>
      <c r="M57" s="15"/>
      <c r="N57" s="13"/>
      <c r="O57" s="13"/>
      <c r="P57" s="13" t="s">
        <v>455</v>
      </c>
      <c r="Q57" s="13"/>
      <c r="R57" s="13"/>
      <c r="S57" s="13"/>
      <c r="T57" s="13" t="s">
        <v>400</v>
      </c>
      <c r="U57" s="15" t="s">
        <v>300</v>
      </c>
    </row>
    <row r="58" spans="1:21" ht="72.5" x14ac:dyDescent="0.35">
      <c r="A58" s="13" t="s">
        <v>183</v>
      </c>
      <c r="B58" s="13" t="s">
        <v>81</v>
      </c>
      <c r="C58" s="14">
        <v>44960.486111111109</v>
      </c>
      <c r="D58" s="13" t="s">
        <v>301</v>
      </c>
      <c r="E58" s="13" t="s">
        <v>437</v>
      </c>
      <c r="F58" s="15" t="s">
        <v>302</v>
      </c>
      <c r="G58" s="13" t="s">
        <v>452</v>
      </c>
      <c r="H58" s="14">
        <v>44767</v>
      </c>
      <c r="I58" s="14"/>
      <c r="J58" s="15"/>
      <c r="K58" s="15"/>
      <c r="L58" s="13" t="s">
        <v>420</v>
      </c>
      <c r="M58" s="15"/>
      <c r="N58" s="13"/>
      <c r="O58" s="13"/>
      <c r="P58" s="13" t="s">
        <v>453</v>
      </c>
      <c r="Q58" s="13"/>
      <c r="R58" s="13"/>
      <c r="S58" s="13"/>
      <c r="T58" s="13" t="s">
        <v>400</v>
      </c>
      <c r="U58" s="15" t="s">
        <v>302</v>
      </c>
    </row>
    <row r="59" spans="1:21" ht="72.5" x14ac:dyDescent="0.35">
      <c r="A59" s="13" t="s">
        <v>183</v>
      </c>
      <c r="B59" s="13" t="s">
        <v>81</v>
      </c>
      <c r="C59" s="14">
        <v>44960.486805555556</v>
      </c>
      <c r="D59" s="13" t="s">
        <v>319</v>
      </c>
      <c r="E59" s="13" t="s">
        <v>437</v>
      </c>
      <c r="F59" s="15" t="s">
        <v>302</v>
      </c>
      <c r="G59" s="13" t="s">
        <v>454</v>
      </c>
      <c r="H59" s="14">
        <v>44767</v>
      </c>
      <c r="I59" s="14"/>
      <c r="J59" s="15"/>
      <c r="K59" s="15"/>
      <c r="L59" s="13" t="s">
        <v>420</v>
      </c>
      <c r="M59" s="15"/>
      <c r="N59" s="13"/>
      <c r="O59" s="13"/>
      <c r="P59" s="13" t="s">
        <v>455</v>
      </c>
      <c r="Q59" s="13"/>
      <c r="R59" s="13"/>
      <c r="S59" s="13"/>
      <c r="T59" s="13" t="s">
        <v>400</v>
      </c>
      <c r="U59" s="15" t="s">
        <v>302</v>
      </c>
    </row>
    <row r="60" spans="1:21" ht="43.5" x14ac:dyDescent="0.35">
      <c r="A60" s="13" t="s">
        <v>183</v>
      </c>
      <c r="B60" s="13" t="s">
        <v>81</v>
      </c>
      <c r="C60" s="14">
        <v>44946.6875</v>
      </c>
      <c r="D60" s="13" t="s">
        <v>303</v>
      </c>
      <c r="E60" s="13" t="s">
        <v>437</v>
      </c>
      <c r="F60" s="15" t="s">
        <v>304</v>
      </c>
      <c r="G60" s="13" t="s">
        <v>452</v>
      </c>
      <c r="H60" s="14">
        <v>44767</v>
      </c>
      <c r="I60" s="14"/>
      <c r="J60" s="15"/>
      <c r="K60" s="15"/>
      <c r="L60" s="13" t="s">
        <v>420</v>
      </c>
      <c r="M60" s="15"/>
      <c r="N60" s="13"/>
      <c r="O60" s="13"/>
      <c r="P60" s="13" t="s">
        <v>453</v>
      </c>
      <c r="Q60" s="13"/>
      <c r="R60" s="13"/>
      <c r="S60" s="13"/>
      <c r="T60" s="13" t="s">
        <v>400</v>
      </c>
      <c r="U60" s="15" t="s">
        <v>304</v>
      </c>
    </row>
    <row r="61" spans="1:21" ht="58" x14ac:dyDescent="0.35">
      <c r="A61" s="13" t="s">
        <v>183</v>
      </c>
      <c r="B61" s="13" t="s">
        <v>81</v>
      </c>
      <c r="C61" s="14">
        <v>44951.599305555559</v>
      </c>
      <c r="D61" s="13" t="s">
        <v>320</v>
      </c>
      <c r="E61" s="13" t="s">
        <v>437</v>
      </c>
      <c r="F61" s="15" t="s">
        <v>304</v>
      </c>
      <c r="G61" s="13" t="s">
        <v>454</v>
      </c>
      <c r="H61" s="14">
        <v>44767</v>
      </c>
      <c r="I61" s="14"/>
      <c r="J61" s="15"/>
      <c r="K61" s="15"/>
      <c r="L61" s="13" t="s">
        <v>420</v>
      </c>
      <c r="M61" s="15"/>
      <c r="N61" s="13"/>
      <c r="O61" s="13"/>
      <c r="P61" s="13" t="s">
        <v>455</v>
      </c>
      <c r="Q61" s="13"/>
      <c r="R61" s="13"/>
      <c r="S61" s="13"/>
      <c r="T61" s="13" t="s">
        <v>400</v>
      </c>
      <c r="U61" s="15" t="s">
        <v>304</v>
      </c>
    </row>
    <row r="62" spans="1:21" ht="58" x14ac:dyDescent="0.35">
      <c r="A62" s="13" t="s">
        <v>183</v>
      </c>
      <c r="B62" s="13" t="s">
        <v>81</v>
      </c>
      <c r="C62" s="14">
        <v>44951.600694444445</v>
      </c>
      <c r="D62" s="13" t="s">
        <v>307</v>
      </c>
      <c r="E62" s="13" t="s">
        <v>437</v>
      </c>
      <c r="F62" s="15" t="s">
        <v>308</v>
      </c>
      <c r="G62" s="13" t="s">
        <v>452</v>
      </c>
      <c r="H62" s="14">
        <v>44767</v>
      </c>
      <c r="I62" s="14"/>
      <c r="J62" s="15"/>
      <c r="K62" s="15"/>
      <c r="L62" s="13" t="s">
        <v>420</v>
      </c>
      <c r="M62" s="15"/>
      <c r="N62" s="13"/>
      <c r="O62" s="13"/>
      <c r="P62" s="13" t="s">
        <v>453</v>
      </c>
      <c r="Q62" s="13"/>
      <c r="R62" s="13"/>
      <c r="S62" s="13"/>
      <c r="T62" s="13" t="s">
        <v>400</v>
      </c>
      <c r="U62" s="15" t="s">
        <v>308</v>
      </c>
    </row>
    <row r="63" spans="1:21" ht="58" x14ac:dyDescent="0.35">
      <c r="A63" s="13" t="s">
        <v>183</v>
      </c>
      <c r="B63" s="13" t="s">
        <v>81</v>
      </c>
      <c r="C63" s="14">
        <v>44951.618750000001</v>
      </c>
      <c r="D63" s="13" t="s">
        <v>322</v>
      </c>
      <c r="E63" s="13" t="s">
        <v>437</v>
      </c>
      <c r="F63" s="15" t="s">
        <v>308</v>
      </c>
      <c r="G63" s="13" t="s">
        <v>454</v>
      </c>
      <c r="H63" s="14">
        <v>44767</v>
      </c>
      <c r="I63" s="14"/>
      <c r="J63" s="15"/>
      <c r="K63" s="15"/>
      <c r="L63" s="13" t="s">
        <v>420</v>
      </c>
      <c r="M63" s="15"/>
      <c r="N63" s="13"/>
      <c r="O63" s="13"/>
      <c r="P63" s="13" t="s">
        <v>455</v>
      </c>
      <c r="Q63" s="13"/>
      <c r="R63" s="13"/>
      <c r="S63" s="13"/>
      <c r="T63" s="13" t="s">
        <v>400</v>
      </c>
      <c r="U63" s="15" t="s">
        <v>308</v>
      </c>
    </row>
    <row r="64" spans="1:21" ht="43.5" x14ac:dyDescent="0.35">
      <c r="A64" s="13" t="s">
        <v>183</v>
      </c>
      <c r="B64" s="13" t="s">
        <v>81</v>
      </c>
      <c r="C64" s="14">
        <v>44963.683333333334</v>
      </c>
      <c r="D64" s="13" t="s">
        <v>312</v>
      </c>
      <c r="E64" s="13" t="s">
        <v>437</v>
      </c>
      <c r="F64" s="15" t="s">
        <v>313</v>
      </c>
      <c r="G64" s="13" t="s">
        <v>452</v>
      </c>
      <c r="H64" s="14">
        <v>44767</v>
      </c>
      <c r="I64" s="14"/>
      <c r="J64" s="15"/>
      <c r="K64" s="15"/>
      <c r="L64" s="13" t="s">
        <v>420</v>
      </c>
      <c r="M64" s="15"/>
      <c r="N64" s="13"/>
      <c r="O64" s="13"/>
      <c r="P64" s="13" t="s">
        <v>460</v>
      </c>
      <c r="Q64" s="13"/>
      <c r="R64" s="13"/>
      <c r="S64" s="13"/>
      <c r="T64" s="13" t="s">
        <v>400</v>
      </c>
      <c r="U64" s="15" t="s">
        <v>313</v>
      </c>
    </row>
    <row r="65" spans="1:21" ht="58" x14ac:dyDescent="0.35">
      <c r="A65" s="13" t="s">
        <v>183</v>
      </c>
      <c r="B65" s="13" t="s">
        <v>81</v>
      </c>
      <c r="C65" s="14">
        <v>44951.625694444447</v>
      </c>
      <c r="D65" s="13" t="s">
        <v>324</v>
      </c>
      <c r="E65" s="13" t="s">
        <v>437</v>
      </c>
      <c r="F65" s="15" t="s">
        <v>313</v>
      </c>
      <c r="G65" s="13" t="s">
        <v>454</v>
      </c>
      <c r="H65" s="14">
        <v>44767</v>
      </c>
      <c r="I65" s="14"/>
      <c r="J65" s="15"/>
      <c r="K65" s="15"/>
      <c r="L65" s="13" t="s">
        <v>420</v>
      </c>
      <c r="M65" s="15"/>
      <c r="N65" s="13"/>
      <c r="O65" s="13"/>
      <c r="P65" s="13" t="s">
        <v>461</v>
      </c>
      <c r="Q65" s="13"/>
      <c r="R65" s="13"/>
      <c r="S65" s="13"/>
      <c r="T65" s="13" t="s">
        <v>400</v>
      </c>
      <c r="U65" s="15" t="s">
        <v>313</v>
      </c>
    </row>
    <row r="66" spans="1:21" ht="43.5" x14ac:dyDescent="0.35">
      <c r="A66" s="13" t="s">
        <v>183</v>
      </c>
      <c r="B66" s="13" t="s">
        <v>81</v>
      </c>
      <c r="C66" s="14">
        <v>44951.643750000003</v>
      </c>
      <c r="D66" s="13" t="s">
        <v>191</v>
      </c>
      <c r="E66" s="13" t="s">
        <v>437</v>
      </c>
      <c r="F66" s="15" t="s">
        <v>192</v>
      </c>
      <c r="G66" s="13" t="s">
        <v>462</v>
      </c>
      <c r="H66" s="14">
        <v>44767</v>
      </c>
      <c r="I66" s="14"/>
      <c r="J66" s="15"/>
      <c r="K66" s="15"/>
      <c r="L66" s="13" t="s">
        <v>420</v>
      </c>
      <c r="M66" s="15"/>
      <c r="N66" s="13"/>
      <c r="O66" s="13"/>
      <c r="P66" s="13" t="s">
        <v>463</v>
      </c>
      <c r="Q66" s="13"/>
      <c r="R66" s="13"/>
      <c r="S66" s="13"/>
      <c r="T66" s="13" t="s">
        <v>400</v>
      </c>
      <c r="U66" s="15" t="s">
        <v>192</v>
      </c>
    </row>
    <row r="67" spans="1:21" ht="58" x14ac:dyDescent="0.35">
      <c r="A67" s="13" t="s">
        <v>183</v>
      </c>
      <c r="B67" s="13" t="s">
        <v>81</v>
      </c>
      <c r="C67" s="14">
        <v>44951.647222222222</v>
      </c>
      <c r="D67" s="13" t="s">
        <v>196</v>
      </c>
      <c r="E67" s="13" t="s">
        <v>437</v>
      </c>
      <c r="F67" s="15" t="s">
        <v>192</v>
      </c>
      <c r="G67" s="13" t="s">
        <v>464</v>
      </c>
      <c r="H67" s="14">
        <v>44767</v>
      </c>
      <c r="I67" s="14"/>
      <c r="J67" s="15"/>
      <c r="K67" s="15"/>
      <c r="L67" s="13" t="s">
        <v>420</v>
      </c>
      <c r="M67" s="15"/>
      <c r="N67" s="13"/>
      <c r="O67" s="13"/>
      <c r="P67" s="13" t="s">
        <v>465</v>
      </c>
      <c r="Q67" s="13"/>
      <c r="R67" s="13"/>
      <c r="S67" s="13"/>
      <c r="T67" s="13" t="s">
        <v>400</v>
      </c>
      <c r="U67" s="15" t="s">
        <v>192</v>
      </c>
    </row>
    <row r="68" spans="1:21" ht="43.5" x14ac:dyDescent="0.35">
      <c r="A68" s="13" t="s">
        <v>183</v>
      </c>
      <c r="B68" s="13" t="s">
        <v>81</v>
      </c>
      <c r="C68" s="14">
        <v>44951.685416666667</v>
      </c>
      <c r="D68" s="13" t="s">
        <v>305</v>
      </c>
      <c r="E68" s="13" t="s">
        <v>437</v>
      </c>
      <c r="F68" s="15" t="s">
        <v>306</v>
      </c>
      <c r="G68" s="13" t="s">
        <v>462</v>
      </c>
      <c r="H68" s="14">
        <v>44767</v>
      </c>
      <c r="I68" s="14"/>
      <c r="J68" s="15"/>
      <c r="K68" s="15"/>
      <c r="L68" s="13" t="s">
        <v>420</v>
      </c>
      <c r="M68" s="15"/>
      <c r="N68" s="13"/>
      <c r="O68" s="13"/>
      <c r="P68" s="13" t="s">
        <v>453</v>
      </c>
      <c r="Q68" s="13"/>
      <c r="R68" s="13"/>
      <c r="S68" s="13"/>
      <c r="T68" s="13" t="s">
        <v>400</v>
      </c>
      <c r="U68" s="15" t="s">
        <v>306</v>
      </c>
    </row>
    <row r="69" spans="1:21" ht="58" x14ac:dyDescent="0.35">
      <c r="A69" s="13" t="s">
        <v>183</v>
      </c>
      <c r="B69" s="13" t="s">
        <v>81</v>
      </c>
      <c r="C69" s="14">
        <v>44951.688888888886</v>
      </c>
      <c r="D69" s="13" t="s">
        <v>321</v>
      </c>
      <c r="E69" s="13" t="s">
        <v>437</v>
      </c>
      <c r="F69" s="15" t="s">
        <v>306</v>
      </c>
      <c r="G69" s="13" t="s">
        <v>464</v>
      </c>
      <c r="H69" s="14">
        <v>44767</v>
      </c>
      <c r="I69" s="14"/>
      <c r="J69" s="15"/>
      <c r="K69" s="15"/>
      <c r="L69" s="13" t="s">
        <v>420</v>
      </c>
      <c r="M69" s="15"/>
      <c r="N69" s="13"/>
      <c r="O69" s="13"/>
      <c r="P69" s="13" t="s">
        <v>455</v>
      </c>
      <c r="Q69" s="13"/>
      <c r="R69" s="13"/>
      <c r="S69" s="13"/>
      <c r="T69" s="13" t="s">
        <v>400</v>
      </c>
      <c r="U69" s="15" t="s">
        <v>306</v>
      </c>
    </row>
    <row r="70" spans="1:21" s="22" customFormat="1" ht="87" x14ac:dyDescent="0.35">
      <c r="A70" s="19" t="s">
        <v>147</v>
      </c>
      <c r="B70" s="19" t="s">
        <v>81</v>
      </c>
      <c r="C70" s="20">
        <v>45973.628472222219</v>
      </c>
      <c r="D70" s="19" t="s">
        <v>152</v>
      </c>
      <c r="E70" s="19" t="s">
        <v>437</v>
      </c>
      <c r="F70" s="21" t="s">
        <v>153</v>
      </c>
      <c r="G70" s="19" t="s">
        <v>466</v>
      </c>
      <c r="H70" s="20">
        <v>40725</v>
      </c>
      <c r="I70" s="20"/>
      <c r="J70" s="21"/>
      <c r="K70" s="21"/>
      <c r="L70" s="19" t="s">
        <v>420</v>
      </c>
      <c r="M70" s="21"/>
      <c r="N70" s="19"/>
      <c r="O70" s="19"/>
      <c r="P70" s="19" t="s">
        <v>467</v>
      </c>
      <c r="Q70" s="19"/>
      <c r="R70" s="19" t="s">
        <v>155</v>
      </c>
      <c r="S70" s="19"/>
      <c r="T70" s="19" t="s">
        <v>400</v>
      </c>
      <c r="U70" s="21" t="s">
        <v>153</v>
      </c>
    </row>
    <row r="71" spans="1:21" s="22" customFormat="1" ht="87" x14ac:dyDescent="0.35">
      <c r="A71" s="19" t="s">
        <v>147</v>
      </c>
      <c r="B71" s="19" t="s">
        <v>81</v>
      </c>
      <c r="C71" s="20">
        <v>45973.631944444445</v>
      </c>
      <c r="D71" s="19" t="s">
        <v>198</v>
      </c>
      <c r="E71" s="19" t="s">
        <v>437</v>
      </c>
      <c r="F71" s="21" t="s">
        <v>199</v>
      </c>
      <c r="G71" s="19" t="s">
        <v>468</v>
      </c>
      <c r="H71" s="20">
        <v>44767</v>
      </c>
      <c r="I71" s="20"/>
      <c r="J71" s="21"/>
      <c r="K71" s="21"/>
      <c r="L71" s="19" t="s">
        <v>420</v>
      </c>
      <c r="M71" s="21"/>
      <c r="N71" s="19"/>
      <c r="O71" s="19"/>
      <c r="P71" s="19" t="s">
        <v>469</v>
      </c>
      <c r="Q71" s="19"/>
      <c r="R71" s="19" t="s">
        <v>155</v>
      </c>
      <c r="S71" s="19"/>
      <c r="T71" s="19" t="s">
        <v>400</v>
      </c>
      <c r="U71" s="21" t="s">
        <v>199</v>
      </c>
    </row>
    <row r="72" spans="1:21" s="22" customFormat="1" ht="87" x14ac:dyDescent="0.35">
      <c r="A72" s="19" t="s">
        <v>147</v>
      </c>
      <c r="B72" s="19" t="s">
        <v>81</v>
      </c>
      <c r="C72" s="20">
        <v>45975.482638888891</v>
      </c>
      <c r="D72" s="19" t="s">
        <v>264</v>
      </c>
      <c r="E72" s="19" t="s">
        <v>437</v>
      </c>
      <c r="F72" s="21" t="s">
        <v>265</v>
      </c>
      <c r="G72" s="19" t="s">
        <v>466</v>
      </c>
      <c r="H72" s="20">
        <v>40725</v>
      </c>
      <c r="I72" s="20"/>
      <c r="J72" s="21"/>
      <c r="K72" s="21"/>
      <c r="L72" s="19" t="s">
        <v>420</v>
      </c>
      <c r="M72" s="21"/>
      <c r="N72" s="19"/>
      <c r="O72" s="19"/>
      <c r="P72" s="19" t="s">
        <v>470</v>
      </c>
      <c r="Q72" s="19"/>
      <c r="R72" s="19" t="s">
        <v>155</v>
      </c>
      <c r="S72" s="19"/>
      <c r="T72" s="19" t="s">
        <v>400</v>
      </c>
      <c r="U72" s="21" t="s">
        <v>265</v>
      </c>
    </row>
    <row r="73" spans="1:21" s="22" customFormat="1" ht="87" x14ac:dyDescent="0.35">
      <c r="A73" s="19" t="s">
        <v>147</v>
      </c>
      <c r="B73" s="19" t="s">
        <v>81</v>
      </c>
      <c r="C73" s="20">
        <v>45975.482638888891</v>
      </c>
      <c r="D73" s="19" t="s">
        <v>326</v>
      </c>
      <c r="E73" s="19" t="s">
        <v>437</v>
      </c>
      <c r="F73" s="21" t="s">
        <v>327</v>
      </c>
      <c r="G73" s="19" t="s">
        <v>468</v>
      </c>
      <c r="H73" s="20">
        <v>44767</v>
      </c>
      <c r="I73" s="20"/>
      <c r="J73" s="21"/>
      <c r="K73" s="21"/>
      <c r="L73" s="19" t="s">
        <v>420</v>
      </c>
      <c r="M73" s="21"/>
      <c r="N73" s="19"/>
      <c r="O73" s="19"/>
      <c r="P73" s="19" t="s">
        <v>471</v>
      </c>
      <c r="Q73" s="19"/>
      <c r="R73" s="19" t="s">
        <v>155</v>
      </c>
      <c r="S73" s="19"/>
      <c r="T73" s="19" t="s">
        <v>400</v>
      </c>
      <c r="U73" s="21" t="s">
        <v>327</v>
      </c>
    </row>
    <row r="74" spans="1:21" s="22" customFormat="1" ht="87" x14ac:dyDescent="0.35">
      <c r="A74" s="19" t="s">
        <v>147</v>
      </c>
      <c r="B74" s="19" t="s">
        <v>81</v>
      </c>
      <c r="C74" s="20">
        <v>45995.459027777775</v>
      </c>
      <c r="D74" s="19" t="s">
        <v>202</v>
      </c>
      <c r="E74" s="19" t="s">
        <v>437</v>
      </c>
      <c r="F74" s="21" t="s">
        <v>203</v>
      </c>
      <c r="G74" s="19" t="s">
        <v>472</v>
      </c>
      <c r="H74" s="20">
        <v>45901</v>
      </c>
      <c r="I74" s="20"/>
      <c r="J74" s="21"/>
      <c r="K74" s="21"/>
      <c r="L74" s="19" t="s">
        <v>420</v>
      </c>
      <c r="M74" s="21"/>
      <c r="N74" s="19"/>
      <c r="O74" s="19"/>
      <c r="P74" s="19" t="s">
        <v>473</v>
      </c>
      <c r="Q74" s="19"/>
      <c r="R74" s="19" t="s">
        <v>176</v>
      </c>
      <c r="S74" s="19"/>
      <c r="T74" s="19" t="s">
        <v>400</v>
      </c>
      <c r="U74" s="21" t="s">
        <v>203</v>
      </c>
    </row>
    <row r="75" spans="1:21" s="22" customFormat="1" ht="72.5" x14ac:dyDescent="0.35">
      <c r="A75" s="19" t="s">
        <v>147</v>
      </c>
      <c r="B75" s="19" t="s">
        <v>81</v>
      </c>
      <c r="C75" s="20">
        <v>45995.462500000001</v>
      </c>
      <c r="D75" s="19" t="s">
        <v>285</v>
      </c>
      <c r="E75" s="19" t="s">
        <v>437</v>
      </c>
      <c r="F75" s="21" t="s">
        <v>286</v>
      </c>
      <c r="G75" s="19" t="s">
        <v>474</v>
      </c>
      <c r="H75" s="20">
        <v>45901</v>
      </c>
      <c r="I75" s="20"/>
      <c r="J75" s="21"/>
      <c r="K75" s="21"/>
      <c r="L75" s="19" t="s">
        <v>420</v>
      </c>
      <c r="M75" s="21"/>
      <c r="N75" s="19"/>
      <c r="O75" s="19"/>
      <c r="P75" s="19" t="s">
        <v>475</v>
      </c>
      <c r="Q75" s="19"/>
      <c r="R75" s="19" t="s">
        <v>176</v>
      </c>
      <c r="S75" s="19"/>
      <c r="T75" s="19" t="s">
        <v>400</v>
      </c>
      <c r="U75" s="21" t="s">
        <v>286</v>
      </c>
    </row>
    <row r="76" spans="1:21" s="22" customFormat="1" ht="72.5" x14ac:dyDescent="0.35">
      <c r="A76" s="19" t="s">
        <v>147</v>
      </c>
      <c r="B76" s="19" t="s">
        <v>81</v>
      </c>
      <c r="C76" s="20">
        <v>45995.465277777781</v>
      </c>
      <c r="D76" s="19" t="s">
        <v>332</v>
      </c>
      <c r="E76" s="19" t="s">
        <v>437</v>
      </c>
      <c r="F76" s="21" t="s">
        <v>333</v>
      </c>
      <c r="G76" s="19" t="s">
        <v>476</v>
      </c>
      <c r="H76" s="20">
        <v>45901</v>
      </c>
      <c r="I76" s="20"/>
      <c r="J76" s="21"/>
      <c r="K76" s="21"/>
      <c r="L76" s="19" t="s">
        <v>420</v>
      </c>
      <c r="M76" s="21"/>
      <c r="N76" s="19"/>
      <c r="O76" s="19"/>
      <c r="P76" s="19" t="s">
        <v>477</v>
      </c>
      <c r="Q76" s="19"/>
      <c r="R76" s="19" t="s">
        <v>176</v>
      </c>
      <c r="S76" s="19"/>
      <c r="T76" s="19" t="s">
        <v>400</v>
      </c>
      <c r="U76" s="21" t="s">
        <v>333</v>
      </c>
    </row>
    <row r="77" spans="1:21" ht="58" x14ac:dyDescent="0.35">
      <c r="A77" s="13" t="s">
        <v>80</v>
      </c>
      <c r="B77" s="13" t="s">
        <v>81</v>
      </c>
      <c r="C77" s="14">
        <v>43801.393055555556</v>
      </c>
      <c r="D77" s="13" t="s">
        <v>343</v>
      </c>
      <c r="E77" s="13" t="s">
        <v>478</v>
      </c>
      <c r="F77" s="15" t="s">
        <v>344</v>
      </c>
      <c r="G77" s="13"/>
      <c r="H77" s="14">
        <v>40725</v>
      </c>
      <c r="I77" s="14"/>
      <c r="J77" s="15"/>
      <c r="K77" s="15"/>
      <c r="L77" s="13" t="s">
        <v>420</v>
      </c>
      <c r="M77" s="15"/>
      <c r="N77" s="13"/>
      <c r="O77" s="13"/>
      <c r="P77" s="13"/>
      <c r="Q77" s="13" t="s">
        <v>479</v>
      </c>
      <c r="R77" s="13"/>
      <c r="S77" s="13"/>
      <c r="T77" s="13" t="s">
        <v>400</v>
      </c>
      <c r="U77" s="15" t="s">
        <v>344</v>
      </c>
    </row>
    <row r="78" spans="1:21" ht="58" x14ac:dyDescent="0.35">
      <c r="A78" s="13" t="s">
        <v>80</v>
      </c>
      <c r="B78" s="13" t="s">
        <v>81</v>
      </c>
      <c r="C78" s="14">
        <v>43801.393055555556</v>
      </c>
      <c r="D78" s="13" t="s">
        <v>345</v>
      </c>
      <c r="E78" s="13" t="s">
        <v>478</v>
      </c>
      <c r="F78" s="15" t="s">
        <v>346</v>
      </c>
      <c r="G78" s="13"/>
      <c r="H78" s="14">
        <v>40725</v>
      </c>
      <c r="I78" s="14"/>
      <c r="J78" s="15"/>
      <c r="K78" s="15"/>
      <c r="L78" s="13" t="s">
        <v>420</v>
      </c>
      <c r="M78" s="15"/>
      <c r="N78" s="13"/>
      <c r="O78" s="13"/>
      <c r="P78" s="13"/>
      <c r="Q78" s="13" t="s">
        <v>480</v>
      </c>
      <c r="R78" s="13"/>
      <c r="S78" s="13"/>
      <c r="T78" s="13" t="s">
        <v>400</v>
      </c>
      <c r="U78" s="15" t="s">
        <v>346</v>
      </c>
    </row>
    <row r="79" spans="1:21" ht="58" x14ac:dyDescent="0.35">
      <c r="A79" s="13" t="s">
        <v>80</v>
      </c>
      <c r="B79" s="13" t="s">
        <v>81</v>
      </c>
      <c r="C79" s="14">
        <v>43801.393750000003</v>
      </c>
      <c r="D79" s="13" t="s">
        <v>353</v>
      </c>
      <c r="E79" s="13" t="s">
        <v>478</v>
      </c>
      <c r="F79" s="15" t="s">
        <v>354</v>
      </c>
      <c r="G79" s="13"/>
      <c r="H79" s="14">
        <v>40725</v>
      </c>
      <c r="I79" s="14"/>
      <c r="J79" s="15"/>
      <c r="K79" s="15"/>
      <c r="L79" s="13" t="s">
        <v>420</v>
      </c>
      <c r="M79" s="15"/>
      <c r="N79" s="13"/>
      <c r="O79" s="13"/>
      <c r="P79" s="13"/>
      <c r="Q79" s="13" t="s">
        <v>481</v>
      </c>
      <c r="R79" s="13"/>
      <c r="S79" s="13"/>
      <c r="T79" s="13" t="s">
        <v>400</v>
      </c>
      <c r="U79" s="15" t="s">
        <v>354</v>
      </c>
    </row>
    <row r="80" spans="1:21" ht="29" x14ac:dyDescent="0.35">
      <c r="A80" s="13" t="s">
        <v>80</v>
      </c>
      <c r="B80" s="13" t="s">
        <v>81</v>
      </c>
      <c r="C80" s="14">
        <v>43801.393750000003</v>
      </c>
      <c r="D80" s="13" t="s">
        <v>350</v>
      </c>
      <c r="E80" s="13" t="s">
        <v>478</v>
      </c>
      <c r="F80" s="15" t="s">
        <v>351</v>
      </c>
      <c r="G80" s="13"/>
      <c r="H80" s="14">
        <v>40725</v>
      </c>
      <c r="I80" s="14"/>
      <c r="J80" s="15"/>
      <c r="K80" s="15"/>
      <c r="L80" s="13" t="s">
        <v>420</v>
      </c>
      <c r="M80" s="15"/>
      <c r="N80" s="13"/>
      <c r="O80" s="13"/>
      <c r="P80" s="13"/>
      <c r="Q80" s="13" t="s">
        <v>482</v>
      </c>
      <c r="R80" s="13"/>
      <c r="S80" s="13"/>
      <c r="T80" s="13" t="s">
        <v>400</v>
      </c>
      <c r="U80" s="15" t="s">
        <v>351</v>
      </c>
    </row>
    <row r="81" spans="1:21" ht="58" x14ac:dyDescent="0.35">
      <c r="A81" s="13" t="s">
        <v>80</v>
      </c>
      <c r="B81" s="13" t="s">
        <v>81</v>
      </c>
      <c r="C81" s="14">
        <v>43801.394444444442</v>
      </c>
      <c r="D81" s="13" t="s">
        <v>356</v>
      </c>
      <c r="E81" s="13" t="s">
        <v>478</v>
      </c>
      <c r="F81" s="15" t="s">
        <v>357</v>
      </c>
      <c r="G81" s="13"/>
      <c r="H81" s="14">
        <v>40725</v>
      </c>
      <c r="I81" s="14"/>
      <c r="J81" s="15"/>
      <c r="K81" s="15"/>
      <c r="L81" s="13" t="s">
        <v>420</v>
      </c>
      <c r="M81" s="15"/>
      <c r="N81" s="13"/>
      <c r="O81" s="13"/>
      <c r="P81" s="13"/>
      <c r="Q81" s="13" t="s">
        <v>483</v>
      </c>
      <c r="R81" s="13"/>
      <c r="S81" s="13"/>
      <c r="T81" s="13" t="s">
        <v>400</v>
      </c>
      <c r="U81" s="15" t="s">
        <v>357</v>
      </c>
    </row>
    <row r="82" spans="1:21" ht="58" x14ac:dyDescent="0.35">
      <c r="A82" s="13" t="s">
        <v>80</v>
      </c>
      <c r="B82" s="13" t="s">
        <v>81</v>
      </c>
      <c r="C82" s="14">
        <v>43801.394444444442</v>
      </c>
      <c r="D82" s="13" t="s">
        <v>364</v>
      </c>
      <c r="E82" s="13" t="s">
        <v>478</v>
      </c>
      <c r="F82" s="15" t="s">
        <v>365</v>
      </c>
      <c r="G82" s="13"/>
      <c r="H82" s="14">
        <v>40725</v>
      </c>
      <c r="I82" s="14"/>
      <c r="J82" s="15"/>
      <c r="K82" s="15"/>
      <c r="L82" s="13" t="s">
        <v>420</v>
      </c>
      <c r="M82" s="15"/>
      <c r="N82" s="13"/>
      <c r="O82" s="13"/>
      <c r="P82" s="13"/>
      <c r="Q82" s="13" t="s">
        <v>484</v>
      </c>
      <c r="R82" s="13"/>
      <c r="S82" s="13"/>
      <c r="T82" s="13" t="s">
        <v>400</v>
      </c>
      <c r="U82" s="15" t="s">
        <v>365</v>
      </c>
    </row>
    <row r="83" spans="1:21" ht="29" x14ac:dyDescent="0.35">
      <c r="A83" s="13" t="s">
        <v>80</v>
      </c>
      <c r="B83" s="13" t="s">
        <v>81</v>
      </c>
      <c r="C83" s="14">
        <v>43801.395138888889</v>
      </c>
      <c r="D83" s="13" t="s">
        <v>361</v>
      </c>
      <c r="E83" s="13" t="s">
        <v>478</v>
      </c>
      <c r="F83" s="15" t="s">
        <v>362</v>
      </c>
      <c r="G83" s="13"/>
      <c r="H83" s="14">
        <v>40725</v>
      </c>
      <c r="I83" s="14"/>
      <c r="J83" s="15"/>
      <c r="K83" s="15"/>
      <c r="L83" s="13" t="s">
        <v>420</v>
      </c>
      <c r="M83" s="15"/>
      <c r="N83" s="13"/>
      <c r="O83" s="13"/>
      <c r="P83" s="13"/>
      <c r="Q83" s="13" t="s">
        <v>485</v>
      </c>
      <c r="R83" s="13"/>
      <c r="S83" s="13"/>
      <c r="T83" s="13" t="s">
        <v>400</v>
      </c>
      <c r="U83" s="15" t="s">
        <v>362</v>
      </c>
    </row>
    <row r="84" spans="1:21" ht="43.5" x14ac:dyDescent="0.35">
      <c r="A84" s="13" t="s">
        <v>80</v>
      </c>
      <c r="B84" s="13" t="s">
        <v>81</v>
      </c>
      <c r="C84" s="14">
        <v>43801.395138888889</v>
      </c>
      <c r="D84" s="13" t="s">
        <v>347</v>
      </c>
      <c r="E84" s="13" t="s">
        <v>478</v>
      </c>
      <c r="F84" s="15" t="s">
        <v>348</v>
      </c>
      <c r="G84" s="13"/>
      <c r="H84" s="14">
        <v>40725</v>
      </c>
      <c r="I84" s="14"/>
      <c r="J84" s="15"/>
      <c r="K84" s="15"/>
      <c r="L84" s="13" t="s">
        <v>420</v>
      </c>
      <c r="M84" s="15"/>
      <c r="N84" s="13"/>
      <c r="O84" s="13"/>
      <c r="P84" s="13"/>
      <c r="Q84" s="13" t="s">
        <v>486</v>
      </c>
      <c r="R84" s="13"/>
      <c r="S84" s="13"/>
      <c r="T84" s="13" t="s">
        <v>400</v>
      </c>
      <c r="U84" s="15" t="s">
        <v>348</v>
      </c>
    </row>
    <row r="85" spans="1:21" ht="43.5" x14ac:dyDescent="0.35">
      <c r="A85" s="13" t="s">
        <v>80</v>
      </c>
      <c r="B85" s="13" t="s">
        <v>81</v>
      </c>
      <c r="C85" s="14">
        <v>43801.395833333336</v>
      </c>
      <c r="D85" s="13" t="s">
        <v>358</v>
      </c>
      <c r="E85" s="13" t="s">
        <v>478</v>
      </c>
      <c r="F85" s="15" t="s">
        <v>359</v>
      </c>
      <c r="G85" s="13"/>
      <c r="H85" s="14">
        <v>40725</v>
      </c>
      <c r="I85" s="14"/>
      <c r="J85" s="15"/>
      <c r="K85" s="15"/>
      <c r="L85" s="13" t="s">
        <v>420</v>
      </c>
      <c r="M85" s="15"/>
      <c r="N85" s="13"/>
      <c r="O85" s="13"/>
      <c r="P85" s="13"/>
      <c r="Q85" s="13" t="s">
        <v>487</v>
      </c>
      <c r="R85" s="13"/>
      <c r="S85" s="13"/>
      <c r="T85" s="13" t="s">
        <v>400</v>
      </c>
      <c r="U85" s="15" t="s">
        <v>359</v>
      </c>
    </row>
  </sheetData>
  <autoFilter ref="A1:Z85" xr:uid="{BB168192-3493-4731-8691-3E1B4F18EB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2026-01-02T10:37:19Z</dcterms:created>
  <dcterms:modified xsi:type="dcterms:W3CDTF">2026-01-02T12:27:07Z</dcterms:modified>
</cp:coreProperties>
</file>