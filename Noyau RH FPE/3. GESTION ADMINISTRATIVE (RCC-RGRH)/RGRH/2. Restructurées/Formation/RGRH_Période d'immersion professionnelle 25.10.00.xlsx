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0E2DEDF7-A0B7-477B-83FD-3DC1E35A48F3}" xr6:coauthVersionLast="47" xr6:coauthVersionMax="47" xr10:uidLastSave="{00000000-0000-0000-0000-000000000000}"/>
  <bookViews>
    <workbookView xWindow="-110" yWindow="-110" windowWidth="19420" windowHeight="11500" xr2:uid="{3E507EC8-F58A-499B-AD03-0F1F4B521C0C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8" i="4" l="1"/>
  <c r="AA6" i="4"/>
  <c r="AA4" i="4"/>
  <c r="AA2" i="4"/>
  <c r="Y8" i="4"/>
  <c r="Y6" i="4"/>
  <c r="Y4" i="4"/>
  <c r="Y2" i="4"/>
  <c r="BC9" i="5"/>
  <c r="BC8" i="5"/>
  <c r="BC5" i="5"/>
  <c r="BC4" i="5"/>
  <c r="BA9" i="5"/>
  <c r="BA8" i="5"/>
  <c r="BA7" i="5"/>
  <c r="BA6" i="5"/>
  <c r="BA5" i="5"/>
  <c r="BA4" i="5"/>
  <c r="BA3" i="5"/>
  <c r="BA2" i="5"/>
  <c r="AY9" i="5"/>
  <c r="AY8" i="5"/>
  <c r="AY7" i="5"/>
  <c r="AY6" i="5"/>
  <c r="AY5" i="5"/>
  <c r="AY4" i="5"/>
  <c r="AY3" i="5"/>
  <c r="AY2" i="5"/>
  <c r="AW9" i="5"/>
  <c r="AW8" i="5"/>
  <c r="AW7" i="5"/>
  <c r="AW6" i="5"/>
  <c r="AW5" i="5"/>
  <c r="AW4" i="5"/>
  <c r="AW3" i="5"/>
  <c r="AW2" i="5"/>
  <c r="AU8" i="5"/>
  <c r="AU6" i="5"/>
  <c r="AU4" i="5"/>
  <c r="AU2" i="5"/>
  <c r="AS8" i="5"/>
  <c r="AS6" i="5"/>
  <c r="AS4" i="5"/>
  <c r="AS2" i="5"/>
  <c r="AQ8" i="5"/>
  <c r="AQ6" i="5"/>
  <c r="AQ4" i="5"/>
  <c r="AQ2" i="5"/>
  <c r="AO8" i="5"/>
  <c r="AO6" i="5"/>
  <c r="AO4" i="5"/>
  <c r="AO2" i="5"/>
  <c r="AM8" i="5"/>
  <c r="AM6" i="5"/>
  <c r="AM4" i="5"/>
  <c r="AM2" i="5"/>
  <c r="AK8" i="5"/>
  <c r="AK6" i="5"/>
  <c r="AK4" i="5"/>
  <c r="AK2" i="5"/>
  <c r="AI8" i="5"/>
  <c r="AI6" i="5"/>
  <c r="AI4" i="5"/>
  <c r="AI2" i="5"/>
  <c r="AG8" i="5"/>
  <c r="AG6" i="5"/>
  <c r="AG4" i="5"/>
  <c r="AG2" i="5"/>
  <c r="AE8" i="5"/>
  <c r="AE6" i="5"/>
  <c r="AE4" i="5"/>
  <c r="AE2" i="5"/>
  <c r="AC8" i="5"/>
  <c r="AC6" i="5"/>
  <c r="AC4" i="5"/>
  <c r="AC2" i="5"/>
  <c r="AA8" i="5"/>
  <c r="AA6" i="5"/>
  <c r="AA4" i="5"/>
  <c r="AA2" i="5"/>
  <c r="Y8" i="5"/>
  <c r="Y6" i="5"/>
  <c r="Y4" i="5"/>
  <c r="Y2" i="5"/>
</calcChain>
</file>

<file path=xl/sharedStrings.xml><?xml version="1.0" encoding="utf-8"?>
<sst xmlns="http://schemas.openxmlformats.org/spreadsheetml/2006/main" count="831" uniqueCount="180">
  <si>
    <t>MODE OPERATOIRE</t>
  </si>
  <si>
    <t>La transaction de l'événement "E0916 - Période d'immersion professionnelle"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</si>
  <si>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</si>
  <si>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</si>
  <si>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</si>
  <si>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</si>
  <si>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</si>
  <si>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</si>
  <si>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</si>
  <si>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</si>
  <si>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</si>
  <si>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</si>
  <si>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</si>
  <si>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</si>
  <si>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</si>
  <si>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</si>
  <si>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</si>
  <si>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</si>
  <si>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</si>
  <si>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</si>
  <si>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</si>
  <si>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</si>
  <si>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</si>
  <si>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</si>
  <si>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</si>
  <si>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</si>
  <si>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</si>
  <si>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</si>
  <si>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</si>
  <si>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</si>
  <si>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</si>
  <si>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</si>
  <si>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</si>
  <si>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</si>
  <si>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</si>
  <si>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</si>
  <si>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</si>
  <si>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</si>
  <si>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</si>
  <si>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</si>
  <si>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</si>
  <si>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</si>
  <si>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</si>
  <si>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</si>
  <si>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</si>
  <si>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</si>
  <si>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</si>
  <si>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</si>
  <si>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</si>
  <si>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</si>
  <si>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</si>
  <si>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</si>
  <si>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</si>
  <si>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</si>
  <si>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</si>
  <si>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</si>
  <si>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</si>
  <si>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</si>
  <si>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22.10.00</t>
  </si>
  <si>
    <t>A</t>
  </si>
  <si>
    <t>D0009</t>
  </si>
  <si>
    <t>Formation</t>
  </si>
  <si>
    <t>S0164</t>
  </si>
  <si>
    <t>Période d'immersion professionnelle</t>
  </si>
  <si>
    <t>E0916</t>
  </si>
  <si>
    <t>Type de la formation demandée saisi égal 'Période d'immersion professionnelle'</t>
  </si>
  <si>
    <t>P_ACF_TYDFOR [Saisi] = 'F22'</t>
  </si>
  <si>
    <t>T2235</t>
  </si>
  <si>
    <t>Période d'immersion professionnelle - Demande</t>
  </si>
  <si>
    <t>Création</t>
  </si>
  <si>
    <t>Titulaire ou magistrat</t>
  </si>
  <si>
    <t>P0001</t>
  </si>
  <si>
    <t>Général</t>
  </si>
  <si>
    <t>Passant</t>
  </si>
  <si>
    <t>PIM_I_001 ET PIM_I_004 ET PIM_I_005 ET PIM_I_006 ET PIM_I_007 ET PIM_I_008 ET PIM_I_009 ET PIM_I_010 ET PIM_I_011 ET PIM_I_012 ET PIM_I_002 ET PIM_I_003 ET FOR_C_001 ET FOR_C_003 ET FOR_C_004</t>
  </si>
  <si>
    <t>PIM_I_001</t>
  </si>
  <si>
    <t>La période d'immersion professionnelle doit être réalisée auprès d'un organisme public.</t>
  </si>
  <si>
    <t>PIM_I_004</t>
  </si>
  <si>
    <t>L'agent doit présenter une demande motivée à son administration d'emploi.</t>
  </si>
  <si>
    <t>PIM_I_005</t>
  </si>
  <si>
    <t>La demande doit être formulée 3 mois au moins avant la date à laquelle son commencement est souhaité ou dans un délai réduit en cas d'accord entre l'agent et l'autorité hiérarchique compétente.</t>
  </si>
  <si>
    <t>PIM_I_006</t>
  </si>
  <si>
    <t>La demande doit préciser la structure d'accueil souhaitée, la durée et la période envisagée.</t>
  </si>
  <si>
    <t>PIM_I_007</t>
  </si>
  <si>
    <t>L'autorité hiérarchique compétente instruit la demande notamment au regard de sa cohérence avec le projet d'évolution professionnelle exprimé.</t>
  </si>
  <si>
    <t>PIM_I_008</t>
  </si>
  <si>
    <t>Dans le mois qui suit la réception de la demande, l'autorité hiérarchique compétente fait connaître à l'agent son accord ou les motifs du rejet ou du report de la demande.</t>
  </si>
  <si>
    <t>PIM_I_009</t>
  </si>
  <si>
    <t>Une convention entre l'agent, l'administration d'emploi et la structure d'accueil est élaborée.</t>
  </si>
  <si>
    <t>PIM_I_010</t>
  </si>
  <si>
    <t>La convention définit les fonctions observées par l'agent, le lieu, la durée ainsi que la ou les dates de son déroulement.</t>
  </si>
  <si>
    <t>PIM_I_011</t>
  </si>
  <si>
    <t>Pendant la période d'immersion, le bénéficiaire est considéré comme étant en mission. Cette période donne lieu, le cas échéant, à une prise en charge des frais de déplacement.</t>
  </si>
  <si>
    <t>PIM_I_012</t>
  </si>
  <si>
    <t>Lorsque l'agent bénéficie de l'obligation d'emploi, son employeur s'assure qu'elle bénéficie des aides nécessaires au bon déroulement de cette période. Ces aides sont définies dans la convention.</t>
  </si>
  <si>
    <t>PIM_I_002</t>
  </si>
  <si>
    <t>La durée de la période d'immersion est comprise entre 2 jours et 10 jours ouvrés.</t>
  </si>
  <si>
    <t>PIM_I_003</t>
  </si>
  <si>
    <t>La durée cumulée de la période d'immersion ne peut être supérieure à 20 jours sur une période de 3 ans.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</si>
  <si>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</si>
  <si>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</si>
  <si>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</si>
  <si>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</si>
  <si>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</si>
  <si>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</si>
  <si>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T2236</t>
  </si>
  <si>
    <t>Période d'immersion professionnelle - Fin</t>
  </si>
  <si>
    <t>Modification</t>
  </si>
  <si>
    <t>FOR_C_001 ET FOR_C_003 ET FOR_C_004</t>
  </si>
  <si>
    <t>Contractuel</t>
  </si>
  <si>
    <t>P0003</t>
  </si>
  <si>
    <t>PIM_I_001 ET PIM_I_004 ET PIM_I_005 ET PIM_I_006 ET PIM_I_007 ET PIM_I_008 ET PIM_I_009 ET PIM_I_010 ET PIM_I_011 ET PIM_I_012 ET PIM_I_002 ET PIM_I_003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</si>
  <si>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</si>
  <si>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</si>
  <si>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</si>
  <si>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</si>
  <si>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FOR_C_002 ET FOR_C_003 ET FOR_C_004 ET FOR_C_005</t>
  </si>
  <si>
    <t>Stagiaire ou auditeur ou élève</t>
  </si>
  <si>
    <t>P0004</t>
  </si>
  <si>
    <t>Ouvrier d'état</t>
  </si>
  <si>
    <t>P0005</t>
  </si>
  <si>
    <t>Impacts</t>
  </si>
  <si>
    <t>Identifiant Impacts  1</t>
  </si>
  <si>
    <t>Libellé Impacts  1</t>
  </si>
  <si>
    <t>Identifiant Impacts 2</t>
  </si>
  <si>
    <t>Libellé Impacts 2</t>
  </si>
  <si>
    <t>PIM_P_001 ET PIM_P_002</t>
  </si>
  <si>
    <t>PIM_P_001</t>
  </si>
  <si>
    <t>Rémunération : L'agent perçoit l'intégralité de sa rémunération.</t>
  </si>
  <si>
    <t>PIM_P_002</t>
  </si>
  <si>
    <t>Carrière : La période d'immersion est décomptée du temps de service de l'agent.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</si>
  <si>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</si>
  <si>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</si>
  <si>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</si>
  <si>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</si>
  <si>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</si>
  <si>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</si>
  <si>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</si>
  <si>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</si>
  <si>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</si>
  <si>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</si>
  <si>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</si>
  <si>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</si>
  <si>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</si>
  <si>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</si>
  <si>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</si>
  <si>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</si>
  <si>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</si>
  <si>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</si>
  <si>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</si>
  <si>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</si>
  <si>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</si>
  <si>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</si>
  <si>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</si>
  <si>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</si>
  <si>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</si>
  <si>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</si>
  <si>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</si>
  <si>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</si>
  <si>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</si>
  <si>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</si>
  <si>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</si>
  <si>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</si>
  <si>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</si>
  <si>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</si>
  <si>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</si>
  <si>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</si>
  <si>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</si>
  <si>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</si>
  <si>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</si>
  <si>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</si>
  <si>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</si>
  <si>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Intellectuel</t>
  </si>
  <si>
    <t>Décret 2022-1043 A9</t>
  </si>
  <si>
    <t>P0001 / P0003 / P0004 / P0005 - E0916</t>
  </si>
  <si>
    <t>x</t>
  </si>
  <si>
    <t>Décret 2022-1043 A10</t>
  </si>
  <si>
    <t>Décret 2022-1043 A11</t>
  </si>
  <si>
    <t>Décret 2022-1043 A12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</si>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</sst>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5A8F-EDD9-4D69-9554-4D780869EFBB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E0C5-D82E-4A92-86ED-3C7FACE61781}">
  <dimension ref="A1:BE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9.6328125" style="18" customWidth="1"/>
    <col min="57" max="57" width="15.6328125" style="12" customWidth="1"/>
    <col min="58" max="16384" width="10.90625" style="12"/>
  </cols>
  <sheetData>
    <row r="1" spans="1:5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</row>
    <row r="2" spans="1:57" ht="116" x14ac:dyDescent="0.35">
      <c r="A2" s="13" t="s">
        <v>58</v>
      </c>
      <c r="B2" s="13" t="s">
        <v>59</v>
      </c>
      <c r="C2" s="14">
        <v>44936.474999999999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44767</v>
      </c>
      <c r="V2" s="14"/>
      <c r="W2" s="15" t="s">
        <v>74</v>
      </c>
      <c r="X2" s="13" t="s">
        <v>75</v>
      </c>
      <c r="Y2" s="15" t="str">
        <f>VLOOKUP(X2,'Axe 2 Règles de gestion'!$D$2:$F$20,3, FALSE)</f>
        <v>La période d'immersion professionnelle doit être réalisée auprès d'un organisme public.</v>
      </c>
      <c r="Z2" s="13" t="s">
        <v>77</v>
      </c>
      <c r="AA2" s="15" t="str">
        <f>VLOOKUP(Z2,'Axe 2 Règles de gestion'!$D$2:$F$20,3, FALSE)</f>
        <v>L'agent doit présenter une demande motivée à son administration d'emploi.</v>
      </c>
      <c r="AB2" s="13" t="s">
        <v>79</v>
      </c>
      <c r="AC2" s="15" t="str">
        <f>VLOOKUP(AB2,'Axe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D2" s="13" t="s">
        <v>81</v>
      </c>
      <c r="AE2" s="15" t="str">
        <f>VLOOKUP(AD2,'Axe 2 Règles de gestion'!$D$2:$F$20,3, FALSE)</f>
        <v>La demande doit préciser la structure d'accueil souhaitée, la durée et la période envisagée.</v>
      </c>
      <c r="AF2" s="13" t="s">
        <v>83</v>
      </c>
      <c r="AG2" s="15" t="str">
        <f>VLOOKUP(AF2,'Axe 2 Règles de gestion'!$D$2:$F$20,3, FALSE)</f>
        <v>L'autorité hiérarchique compétente instruit la demande notamment au regard de sa cohérence avec le projet d'évolution professionnelle exprimé.</v>
      </c>
      <c r="AH2" s="13" t="s">
        <v>85</v>
      </c>
      <c r="AI2" s="15" t="str">
        <f>VLOOKUP(AH2,'Axe 2 Règles de gestion'!$D$2:$F$20,3, FALSE)</f>
        <v>Dans le mois qui suit la réception de la demande, l'autorité hiérarchique compétente fait connaître à l'agent son accord ou les motifs du rejet ou du report de la demande.</v>
      </c>
      <c r="AJ2" s="13" t="s">
        <v>87</v>
      </c>
      <c r="AK2" s="15" t="str">
        <f>VLOOKUP(AJ2,'Axe 2 Règles de gestion'!$D$2:$F$20,3, FALSE)</f>
        <v>Une convention entre l'agent, l'administration d'emploi et la structure d'accueil est élaborée.</v>
      </c>
      <c r="AL2" s="13" t="s">
        <v>89</v>
      </c>
      <c r="AM2" s="15" t="str">
        <f>VLOOKUP(AL2,'Axe 2 Règles de gestion'!$D$2:$F$20,3, FALSE)</f>
        <v>La convention définit les fonctions observées par l'agent, le lieu, la durée ainsi que la ou les dates de son déroulement.</v>
      </c>
      <c r="AN2" s="13" t="s">
        <v>91</v>
      </c>
      <c r="AO2" s="15" t="str">
        <f>VLOOKUP(AN2,'Axe 2 Règles de gestion'!$D$2:$F$20,3, FALSE)</f>
        <v>Pendant la période d'immersion, le bénéficiaire est considéré comme étant en mission. Cette période donne lieu, le cas échéant, à une prise en charge des frais de déplacement.</v>
      </c>
      <c r="AP2" s="13" t="s">
        <v>93</v>
      </c>
      <c r="AQ2" s="15" t="str">
        <f>VLOOKUP(AP2,'Axe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R2" s="13" t="s">
        <v>95</v>
      </c>
      <c r="AS2" s="15" t="str">
        <f>VLOOKUP(AR2,'Axe 2 Règles de gestion'!$D$2:$F$20,3, FALSE)</f>
        <v>La durée de la période d'immersion est comprise entre 2 jours et 10 jours ouvrés.</v>
      </c>
      <c r="AT2" s="13" t="s">
        <v>97</v>
      </c>
      <c r="AU2" s="15" t="str">
        <f>VLOOKUP(AT2,'Axe 2 Règles de gestion'!$D$2:$F$20,3, FALSE)</f>
        <v>La durée cumulée de la période d'immersion ne peut être supérieure à 20 jours sur une période de 3 ans.</v>
      </c>
      <c r="AV2" s="13" t="s">
        <v>99</v>
      </c>
      <c r="AW2" s="15" t="str">
        <f>VLOOKUP(AV2,'Axe 2 Règles de gestion'!$D$2:$F$20,3, FALSE)</f>
        <v>La date de début de la formation doit être postérieure ou égale à la date de recrutement dans la FPE ou dans la carrière militaire.</v>
      </c>
      <c r="AX2" s="13" t="s">
        <v>101</v>
      </c>
      <c r="AY2" s="15" t="str">
        <f>VLOOKUP(AX2,'Axe 2 Règles de gestion'!$D$2:$F$20,3, FALSE)</f>
        <v>La date de début de la formation doit être antérieure ou égale à la date de fin de la formation.</v>
      </c>
      <c r="AZ2" s="13" t="s">
        <v>103</v>
      </c>
      <c r="BA2" s="15" t="str">
        <f>VLOOKUP(AZ2,'Axe 2 Règles de gestion'!$D$2:$F$20,3, FALSE)</f>
        <v>La date de fin de formation doit être antérieure ou égale à la date limite de départ à la retraite.</v>
      </c>
      <c r="BB2" s="13"/>
      <c r="BC2" s="15"/>
      <c r="BD2" s="13"/>
      <c r="BE2" s="13"/>
    </row>
    <row r="3" spans="1:57" ht="72.5" x14ac:dyDescent="0.35">
      <c r="A3" s="13" t="s">
        <v>58</v>
      </c>
      <c r="B3" s="13" t="s">
        <v>59</v>
      </c>
      <c r="C3" s="14">
        <v>44936.477777777778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105</v>
      </c>
      <c r="M3" s="15" t="s">
        <v>106</v>
      </c>
      <c r="N3" s="13" t="s">
        <v>107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44767</v>
      </c>
      <c r="V3" s="14"/>
      <c r="W3" s="15" t="s">
        <v>108</v>
      </c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 t="s">
        <v>99</v>
      </c>
      <c r="AW3" s="15" t="str">
        <f>VLOOKUP(AV3,'Axe 2 Règles de gestion'!$D$2:$F$20,3, FALSE)</f>
        <v>La date de début de la formation doit être postérieure ou égale à la date de recrutement dans la FPE ou dans la carrière militaire.</v>
      </c>
      <c r="AX3" s="13" t="s">
        <v>101</v>
      </c>
      <c r="AY3" s="15" t="str">
        <f>VLOOKUP(AX3,'Axe 2 Règles de gestion'!$D$2:$F$20,3, FALSE)</f>
        <v>La date de début de la formation doit être antérieure ou égale à la date de fin de la formation.</v>
      </c>
      <c r="AZ3" s="13" t="s">
        <v>103</v>
      </c>
      <c r="BA3" s="15" t="str">
        <f>VLOOKUP(AZ3,'Axe 2 Règles de gestion'!$D$2:$F$20,3, FALSE)</f>
        <v>La date de fin de formation doit être antérieure ou égale à la date limite de départ à la retraite.</v>
      </c>
      <c r="BB3" s="13"/>
      <c r="BC3" s="15"/>
      <c r="BD3" s="13"/>
      <c r="BE3" s="13"/>
    </row>
    <row r="4" spans="1:57" ht="116" x14ac:dyDescent="0.35">
      <c r="A4" s="13" t="s">
        <v>58</v>
      </c>
      <c r="B4" s="13" t="s">
        <v>59</v>
      </c>
      <c r="C4" s="14">
        <v>44936.466666666667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109</v>
      </c>
      <c r="R4" s="13" t="s">
        <v>110</v>
      </c>
      <c r="S4" s="13" t="s">
        <v>72</v>
      </c>
      <c r="T4" s="13" t="s">
        <v>73</v>
      </c>
      <c r="U4" s="14">
        <v>44767</v>
      </c>
      <c r="V4" s="14"/>
      <c r="W4" s="15" t="s">
        <v>111</v>
      </c>
      <c r="X4" s="13" t="s">
        <v>75</v>
      </c>
      <c r="Y4" s="15" t="str">
        <f>VLOOKUP(X4,'Axe 2 Règles de gestion'!$D$2:$F$20,3, FALSE)</f>
        <v>La période d'immersion professionnelle doit être réalisée auprès d'un organisme public.</v>
      </c>
      <c r="Z4" s="13" t="s">
        <v>77</v>
      </c>
      <c r="AA4" s="15" t="str">
        <f>VLOOKUP(Z4,'Axe 2 Règles de gestion'!$D$2:$F$20,3, FALSE)</f>
        <v>L'agent doit présenter une demande motivée à son administration d'emploi.</v>
      </c>
      <c r="AB4" s="13" t="s">
        <v>79</v>
      </c>
      <c r="AC4" s="15" t="str">
        <f>VLOOKUP(AB4,'Axe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D4" s="13" t="s">
        <v>81</v>
      </c>
      <c r="AE4" s="15" t="str">
        <f>VLOOKUP(AD4,'Axe 2 Règles de gestion'!$D$2:$F$20,3, FALSE)</f>
        <v>La demande doit préciser la structure d'accueil souhaitée, la durée et la période envisagée.</v>
      </c>
      <c r="AF4" s="13" t="s">
        <v>83</v>
      </c>
      <c r="AG4" s="15" t="str">
        <f>VLOOKUP(AF4,'Axe 2 Règles de gestion'!$D$2:$F$20,3, FALSE)</f>
        <v>L'autorité hiérarchique compétente instruit la demande notamment au regard de sa cohérence avec le projet d'évolution professionnelle exprimé.</v>
      </c>
      <c r="AH4" s="13" t="s">
        <v>85</v>
      </c>
      <c r="AI4" s="15" t="str">
        <f>VLOOKUP(AH4,'Axe 2 Règles de gestion'!$D$2:$F$20,3, FALSE)</f>
        <v>Dans le mois qui suit la réception de la demande, l'autorité hiérarchique compétente fait connaître à l'agent son accord ou les motifs du rejet ou du report de la demande.</v>
      </c>
      <c r="AJ4" s="13" t="s">
        <v>87</v>
      </c>
      <c r="AK4" s="15" t="str">
        <f>VLOOKUP(AJ4,'Axe 2 Règles de gestion'!$D$2:$F$20,3, FALSE)</f>
        <v>Une convention entre l'agent, l'administration d'emploi et la structure d'accueil est élaborée.</v>
      </c>
      <c r="AL4" s="13" t="s">
        <v>89</v>
      </c>
      <c r="AM4" s="15" t="str">
        <f>VLOOKUP(AL4,'Axe 2 Règles de gestion'!$D$2:$F$20,3, FALSE)</f>
        <v>La convention définit les fonctions observées par l'agent, le lieu, la durée ainsi que la ou les dates de son déroulement.</v>
      </c>
      <c r="AN4" s="13" t="s">
        <v>91</v>
      </c>
      <c r="AO4" s="15" t="str">
        <f>VLOOKUP(AN4,'Axe 2 Règles de gestion'!$D$2:$F$20,3, FALSE)</f>
        <v>Pendant la période d'immersion, le bénéficiaire est considéré comme étant en mission. Cette période donne lieu, le cas échéant, à une prise en charge des frais de déplacement.</v>
      </c>
      <c r="AP4" s="13" t="s">
        <v>93</v>
      </c>
      <c r="AQ4" s="15" t="str">
        <f>VLOOKUP(AP4,'Axe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R4" s="13" t="s">
        <v>95</v>
      </c>
      <c r="AS4" s="15" t="str">
        <f>VLOOKUP(AR4,'Axe 2 Règles de gestion'!$D$2:$F$20,3, FALSE)</f>
        <v>La durée de la période d'immersion est comprise entre 2 jours et 10 jours ouvrés.</v>
      </c>
      <c r="AT4" s="13" t="s">
        <v>97</v>
      </c>
      <c r="AU4" s="15" t="str">
        <f>VLOOKUP(AT4,'Axe 2 Règles de gestion'!$D$2:$F$20,3, FALSE)</f>
        <v>La durée cumulée de la période d'immersion ne peut être supérieure à 20 jours sur une période de 3 ans.</v>
      </c>
      <c r="AV4" s="13" t="s">
        <v>112</v>
      </c>
      <c r="AW4" s="15" t="str">
        <f>VLOOKUP(AV4,'Axe 2 Règles de gestion'!$D$2:$F$20,3, FALSE)</f>
        <v>La date de début de la formation doit être postérieure ou égale à la date de début du lien juridique.</v>
      </c>
      <c r="AX4" s="13" t="s">
        <v>101</v>
      </c>
      <c r="AY4" s="15" t="str">
        <f>VLOOKUP(AX4,'Axe 2 Règles de gestion'!$D$2:$F$20,3, FALSE)</f>
        <v>La date de début de la formation doit être antérieure ou égale à la date de fin de la formation.</v>
      </c>
      <c r="AZ4" s="13" t="s">
        <v>103</v>
      </c>
      <c r="BA4" s="15" t="str">
        <f>VLOOKUP(AZ4,'Axe 2 Règles de gestion'!$D$2:$F$20,3, FALSE)</f>
        <v>La date de fin de formation doit être antérieure ou égale à la date limite de départ à la retraite.</v>
      </c>
      <c r="BB4" s="13" t="s">
        <v>114</v>
      </c>
      <c r="BC4" s="15" t="str">
        <f>VLOOKUP(BB4,'Axe 2 Règles de gestion'!$D$2:$F$20,3, FALSE)</f>
        <v>La date de fin de la formation doit être antérieure ou égale à la date limite de fin réelle ou prévisionnelle du lien juridique.</v>
      </c>
      <c r="BD4" s="13"/>
      <c r="BE4" s="13"/>
    </row>
    <row r="5" spans="1:57" ht="72.5" x14ac:dyDescent="0.35">
      <c r="A5" s="13" t="s">
        <v>58</v>
      </c>
      <c r="B5" s="13" t="s">
        <v>59</v>
      </c>
      <c r="C5" s="14">
        <v>44936.472222222219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105</v>
      </c>
      <c r="M5" s="15" t="s">
        <v>106</v>
      </c>
      <c r="N5" s="13" t="s">
        <v>107</v>
      </c>
      <c r="O5" s="15"/>
      <c r="P5" s="15"/>
      <c r="Q5" s="15" t="s">
        <v>109</v>
      </c>
      <c r="R5" s="13" t="s">
        <v>110</v>
      </c>
      <c r="S5" s="13" t="s">
        <v>72</v>
      </c>
      <c r="T5" s="13" t="s">
        <v>73</v>
      </c>
      <c r="U5" s="14">
        <v>44767</v>
      </c>
      <c r="V5" s="14"/>
      <c r="W5" s="15" t="s">
        <v>116</v>
      </c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 t="s">
        <v>112</v>
      </c>
      <c r="AW5" s="15" t="str">
        <f>VLOOKUP(AV5,'Axe 2 Règles de gestion'!$D$2:$F$20,3, FALSE)</f>
        <v>La date de début de la formation doit être postérieure ou égale à la date de début du lien juridique.</v>
      </c>
      <c r="AX5" s="13" t="s">
        <v>101</v>
      </c>
      <c r="AY5" s="15" t="str">
        <f>VLOOKUP(AX5,'Axe 2 Règles de gestion'!$D$2:$F$20,3, FALSE)</f>
        <v>La date de début de la formation doit être antérieure ou égale à la date de fin de la formation.</v>
      </c>
      <c r="AZ5" s="13" t="s">
        <v>103</v>
      </c>
      <c r="BA5" s="15" t="str">
        <f>VLOOKUP(AZ5,'Axe 2 Règles de gestion'!$D$2:$F$20,3, FALSE)</f>
        <v>La date de fin de formation doit être antérieure ou égale à la date limite de départ à la retraite.</v>
      </c>
      <c r="BB5" s="13" t="s">
        <v>114</v>
      </c>
      <c r="BC5" s="15" t="str">
        <f>VLOOKUP(BB5,'Axe 2 Règles de gestion'!$D$2:$F$20,3, FALSE)</f>
        <v>La date de fin de la formation doit être antérieure ou égale à la date limite de fin réelle ou prévisionnelle du lien juridique.</v>
      </c>
      <c r="BD5" s="13"/>
      <c r="BE5" s="13"/>
    </row>
    <row r="6" spans="1:57" ht="116" x14ac:dyDescent="0.35">
      <c r="A6" s="13" t="s">
        <v>58</v>
      </c>
      <c r="B6" s="13" t="s">
        <v>59</v>
      </c>
      <c r="C6" s="14">
        <v>44936.474305555559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117</v>
      </c>
      <c r="R6" s="13" t="s">
        <v>118</v>
      </c>
      <c r="S6" s="13" t="s">
        <v>72</v>
      </c>
      <c r="T6" s="13" t="s">
        <v>73</v>
      </c>
      <c r="U6" s="14">
        <v>44767</v>
      </c>
      <c r="V6" s="14"/>
      <c r="W6" s="15" t="s">
        <v>74</v>
      </c>
      <c r="X6" s="13" t="s">
        <v>75</v>
      </c>
      <c r="Y6" s="15" t="str">
        <f>VLOOKUP(X6,'Axe 2 Règles de gestion'!$D$2:$F$20,3, FALSE)</f>
        <v>La période d'immersion professionnelle doit être réalisée auprès d'un organisme public.</v>
      </c>
      <c r="Z6" s="13" t="s">
        <v>77</v>
      </c>
      <c r="AA6" s="15" t="str">
        <f>VLOOKUP(Z6,'Axe 2 Règles de gestion'!$D$2:$F$20,3, FALSE)</f>
        <v>L'agent doit présenter une demande motivée à son administration d'emploi.</v>
      </c>
      <c r="AB6" s="13" t="s">
        <v>79</v>
      </c>
      <c r="AC6" s="15" t="str">
        <f>VLOOKUP(AB6,'Axe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D6" s="13" t="s">
        <v>81</v>
      </c>
      <c r="AE6" s="15" t="str">
        <f>VLOOKUP(AD6,'Axe 2 Règles de gestion'!$D$2:$F$20,3, FALSE)</f>
        <v>La demande doit préciser la structure d'accueil souhaitée, la durée et la période envisagée.</v>
      </c>
      <c r="AF6" s="13" t="s">
        <v>83</v>
      </c>
      <c r="AG6" s="15" t="str">
        <f>VLOOKUP(AF6,'Axe 2 Règles de gestion'!$D$2:$F$20,3, FALSE)</f>
        <v>L'autorité hiérarchique compétente instruit la demande notamment au regard de sa cohérence avec le projet d'évolution professionnelle exprimé.</v>
      </c>
      <c r="AH6" s="13" t="s">
        <v>85</v>
      </c>
      <c r="AI6" s="15" t="str">
        <f>VLOOKUP(AH6,'Axe 2 Règles de gestion'!$D$2:$F$20,3, FALSE)</f>
        <v>Dans le mois qui suit la réception de la demande, l'autorité hiérarchique compétente fait connaître à l'agent son accord ou les motifs du rejet ou du report de la demande.</v>
      </c>
      <c r="AJ6" s="13" t="s">
        <v>87</v>
      </c>
      <c r="AK6" s="15" t="str">
        <f>VLOOKUP(AJ6,'Axe 2 Règles de gestion'!$D$2:$F$20,3, FALSE)</f>
        <v>Une convention entre l'agent, l'administration d'emploi et la structure d'accueil est élaborée.</v>
      </c>
      <c r="AL6" s="13" t="s">
        <v>89</v>
      </c>
      <c r="AM6" s="15" t="str">
        <f>VLOOKUP(AL6,'Axe 2 Règles de gestion'!$D$2:$F$20,3, FALSE)</f>
        <v>La convention définit les fonctions observées par l'agent, le lieu, la durée ainsi que la ou les dates de son déroulement.</v>
      </c>
      <c r="AN6" s="13" t="s">
        <v>91</v>
      </c>
      <c r="AO6" s="15" t="str">
        <f>VLOOKUP(AN6,'Axe 2 Règles de gestion'!$D$2:$F$20,3, FALSE)</f>
        <v>Pendant la période d'immersion, le bénéficiaire est considéré comme étant en mission. Cette période donne lieu, le cas échéant, à une prise en charge des frais de déplacement.</v>
      </c>
      <c r="AP6" s="13" t="s">
        <v>93</v>
      </c>
      <c r="AQ6" s="15" t="str">
        <f>VLOOKUP(AP6,'Axe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R6" s="13" t="s">
        <v>95</v>
      </c>
      <c r="AS6" s="15" t="str">
        <f>VLOOKUP(AR6,'Axe 2 Règles de gestion'!$D$2:$F$20,3, FALSE)</f>
        <v>La durée de la période d'immersion est comprise entre 2 jours et 10 jours ouvrés.</v>
      </c>
      <c r="AT6" s="13" t="s">
        <v>97</v>
      </c>
      <c r="AU6" s="15" t="str">
        <f>VLOOKUP(AT6,'Axe 2 Règles de gestion'!$D$2:$F$20,3, FALSE)</f>
        <v>La durée cumulée de la période d'immersion ne peut être supérieure à 20 jours sur une période de 3 ans.</v>
      </c>
      <c r="AV6" s="13" t="s">
        <v>99</v>
      </c>
      <c r="AW6" s="15" t="str">
        <f>VLOOKUP(AV6,'Axe 2 Règles de gestion'!$D$2:$F$20,3, FALSE)</f>
        <v>La date de début de la formation doit être postérieure ou égale à la date de recrutement dans la FPE ou dans la carrière militaire.</v>
      </c>
      <c r="AX6" s="13" t="s">
        <v>101</v>
      </c>
      <c r="AY6" s="15" t="str">
        <f>VLOOKUP(AX6,'Axe 2 Règles de gestion'!$D$2:$F$20,3, FALSE)</f>
        <v>La date de début de la formation doit être antérieure ou égale à la date de fin de la formation.</v>
      </c>
      <c r="AZ6" s="13" t="s">
        <v>103</v>
      </c>
      <c r="BA6" s="15" t="str">
        <f>VLOOKUP(AZ6,'Axe 2 Règles de gestion'!$D$2:$F$20,3, FALSE)</f>
        <v>La date de fin de formation doit être antérieure ou égale à la date limite de départ à la retraite.</v>
      </c>
      <c r="BB6" s="13"/>
      <c r="BC6" s="15"/>
      <c r="BD6" s="13"/>
      <c r="BE6" s="13"/>
    </row>
    <row r="7" spans="1:57" ht="72.5" x14ac:dyDescent="0.35">
      <c r="A7" s="13" t="s">
        <v>58</v>
      </c>
      <c r="B7" s="13" t="s">
        <v>59</v>
      </c>
      <c r="C7" s="14">
        <v>44936.478472222225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105</v>
      </c>
      <c r="M7" s="15" t="s">
        <v>106</v>
      </c>
      <c r="N7" s="13" t="s">
        <v>107</v>
      </c>
      <c r="O7" s="15"/>
      <c r="P7" s="15"/>
      <c r="Q7" s="15" t="s">
        <v>117</v>
      </c>
      <c r="R7" s="13" t="s">
        <v>118</v>
      </c>
      <c r="S7" s="13" t="s">
        <v>72</v>
      </c>
      <c r="T7" s="13" t="s">
        <v>73</v>
      </c>
      <c r="U7" s="14">
        <v>44767</v>
      </c>
      <c r="V7" s="14"/>
      <c r="W7" s="15" t="s">
        <v>108</v>
      </c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 t="s">
        <v>99</v>
      </c>
      <c r="AW7" s="15" t="str">
        <f>VLOOKUP(AV7,'Axe 2 Règles de gestion'!$D$2:$F$20,3, FALSE)</f>
        <v>La date de début de la formation doit être postérieure ou égale à la date de recrutement dans la FPE ou dans la carrière militaire.</v>
      </c>
      <c r="AX7" s="13" t="s">
        <v>101</v>
      </c>
      <c r="AY7" s="15" t="str">
        <f>VLOOKUP(AX7,'Axe 2 Règles de gestion'!$D$2:$F$20,3, FALSE)</f>
        <v>La date de début de la formation doit être antérieure ou égale à la date de fin de la formation.</v>
      </c>
      <c r="AZ7" s="13" t="s">
        <v>103</v>
      </c>
      <c r="BA7" s="15" t="str">
        <f>VLOOKUP(AZ7,'Axe 2 Règles de gestion'!$D$2:$F$20,3, FALSE)</f>
        <v>La date de fin de formation doit être antérieure ou égale à la date limite de départ à la retraite.</v>
      </c>
      <c r="BB7" s="13"/>
      <c r="BC7" s="15"/>
      <c r="BD7" s="13"/>
      <c r="BE7" s="13"/>
    </row>
    <row r="8" spans="1:57" ht="116" x14ac:dyDescent="0.35">
      <c r="A8" s="13" t="s">
        <v>58</v>
      </c>
      <c r="B8" s="13" t="s">
        <v>59</v>
      </c>
      <c r="C8" s="14">
        <v>44936.466666666667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119</v>
      </c>
      <c r="R8" s="13" t="s">
        <v>120</v>
      </c>
      <c r="S8" s="13" t="s">
        <v>72</v>
      </c>
      <c r="T8" s="13" t="s">
        <v>73</v>
      </c>
      <c r="U8" s="14">
        <v>44767</v>
      </c>
      <c r="V8" s="14"/>
      <c r="W8" s="15" t="s">
        <v>111</v>
      </c>
      <c r="X8" s="13" t="s">
        <v>75</v>
      </c>
      <c r="Y8" s="15" t="str">
        <f>VLOOKUP(X8,'Axe 2 Règles de gestion'!$D$2:$F$20,3, FALSE)</f>
        <v>La période d'immersion professionnelle doit être réalisée auprès d'un organisme public.</v>
      </c>
      <c r="Z8" s="13" t="s">
        <v>77</v>
      </c>
      <c r="AA8" s="15" t="str">
        <f>VLOOKUP(Z8,'Axe 2 Règles de gestion'!$D$2:$F$20,3, FALSE)</f>
        <v>L'agent doit présenter une demande motivée à son administration d'emploi.</v>
      </c>
      <c r="AB8" s="13" t="s">
        <v>79</v>
      </c>
      <c r="AC8" s="15" t="str">
        <f>VLOOKUP(AB8,'Axe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D8" s="13" t="s">
        <v>81</v>
      </c>
      <c r="AE8" s="15" t="str">
        <f>VLOOKUP(AD8,'Axe 2 Règles de gestion'!$D$2:$F$20,3, FALSE)</f>
        <v>La demande doit préciser la structure d'accueil souhaitée, la durée et la période envisagée.</v>
      </c>
      <c r="AF8" s="13" t="s">
        <v>83</v>
      </c>
      <c r="AG8" s="15" t="str">
        <f>VLOOKUP(AF8,'Axe 2 Règles de gestion'!$D$2:$F$20,3, FALSE)</f>
        <v>L'autorité hiérarchique compétente instruit la demande notamment au regard de sa cohérence avec le projet d'évolution professionnelle exprimé.</v>
      </c>
      <c r="AH8" s="13" t="s">
        <v>85</v>
      </c>
      <c r="AI8" s="15" t="str">
        <f>VLOOKUP(AH8,'Axe 2 Règles de gestion'!$D$2:$F$20,3, FALSE)</f>
        <v>Dans le mois qui suit la réception de la demande, l'autorité hiérarchique compétente fait connaître à l'agent son accord ou les motifs du rejet ou du report de la demande.</v>
      </c>
      <c r="AJ8" s="13" t="s">
        <v>87</v>
      </c>
      <c r="AK8" s="15" t="str">
        <f>VLOOKUP(AJ8,'Axe 2 Règles de gestion'!$D$2:$F$20,3, FALSE)</f>
        <v>Une convention entre l'agent, l'administration d'emploi et la structure d'accueil est élaborée.</v>
      </c>
      <c r="AL8" s="13" t="s">
        <v>89</v>
      </c>
      <c r="AM8" s="15" t="str">
        <f>VLOOKUP(AL8,'Axe 2 Règles de gestion'!$D$2:$F$20,3, FALSE)</f>
        <v>La convention définit les fonctions observées par l'agent, le lieu, la durée ainsi que la ou les dates de son déroulement.</v>
      </c>
      <c r="AN8" s="13" t="s">
        <v>91</v>
      </c>
      <c r="AO8" s="15" t="str">
        <f>VLOOKUP(AN8,'Axe 2 Règles de gestion'!$D$2:$F$20,3, FALSE)</f>
        <v>Pendant la période d'immersion, le bénéficiaire est considéré comme étant en mission. Cette période donne lieu, le cas échéant, à une prise en charge des frais de déplacement.</v>
      </c>
      <c r="AP8" s="13" t="s">
        <v>93</v>
      </c>
      <c r="AQ8" s="15" t="str">
        <f>VLOOKUP(AP8,'Axe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R8" s="13" t="s">
        <v>95</v>
      </c>
      <c r="AS8" s="15" t="str">
        <f>VLOOKUP(AR8,'Axe 2 Règles de gestion'!$D$2:$F$20,3, FALSE)</f>
        <v>La durée de la période d'immersion est comprise entre 2 jours et 10 jours ouvrés.</v>
      </c>
      <c r="AT8" s="13" t="s">
        <v>97</v>
      </c>
      <c r="AU8" s="15" t="str">
        <f>VLOOKUP(AT8,'Axe 2 Règles de gestion'!$D$2:$F$20,3, FALSE)</f>
        <v>La durée cumulée de la période d'immersion ne peut être supérieure à 20 jours sur une période de 3 ans.</v>
      </c>
      <c r="AV8" s="13" t="s">
        <v>112</v>
      </c>
      <c r="AW8" s="15" t="str">
        <f>VLOOKUP(AV8,'Axe 2 Règles de gestion'!$D$2:$F$20,3, FALSE)</f>
        <v>La date de début de la formation doit être postérieure ou égale à la date de début du lien juridique.</v>
      </c>
      <c r="AX8" s="13" t="s">
        <v>101</v>
      </c>
      <c r="AY8" s="15" t="str">
        <f>VLOOKUP(AX8,'Axe 2 Règles de gestion'!$D$2:$F$20,3, FALSE)</f>
        <v>La date de début de la formation doit être antérieure ou égale à la date de fin de la formation.</v>
      </c>
      <c r="AZ8" s="13" t="s">
        <v>103</v>
      </c>
      <c r="BA8" s="15" t="str">
        <f>VLOOKUP(AZ8,'Axe 2 Règles de gestion'!$D$2:$F$20,3, FALSE)</f>
        <v>La date de fin de formation doit être antérieure ou égale à la date limite de départ à la retraite.</v>
      </c>
      <c r="BB8" s="13" t="s">
        <v>114</v>
      </c>
      <c r="BC8" s="15" t="str">
        <f>VLOOKUP(BB8,'Axe 2 Règles de gestion'!$D$2:$F$20,3, FALSE)</f>
        <v>La date de fin de la formation doit être antérieure ou égale à la date limite de fin réelle ou prévisionnelle du lien juridique.</v>
      </c>
      <c r="BD8" s="13"/>
      <c r="BE8" s="13"/>
    </row>
    <row r="9" spans="1:57" ht="72.5" x14ac:dyDescent="0.35">
      <c r="A9" s="13" t="s">
        <v>58</v>
      </c>
      <c r="B9" s="13" t="s">
        <v>59</v>
      </c>
      <c r="C9" s="14">
        <v>44936.472916666666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105</v>
      </c>
      <c r="M9" s="15" t="s">
        <v>106</v>
      </c>
      <c r="N9" s="13" t="s">
        <v>107</v>
      </c>
      <c r="O9" s="15"/>
      <c r="P9" s="15"/>
      <c r="Q9" s="15" t="s">
        <v>119</v>
      </c>
      <c r="R9" s="13" t="s">
        <v>120</v>
      </c>
      <c r="S9" s="13" t="s">
        <v>72</v>
      </c>
      <c r="T9" s="13" t="s">
        <v>73</v>
      </c>
      <c r="U9" s="14">
        <v>44767</v>
      </c>
      <c r="V9" s="14"/>
      <c r="W9" s="15" t="s">
        <v>116</v>
      </c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 t="s">
        <v>112</v>
      </c>
      <c r="AW9" s="15" t="str">
        <f>VLOOKUP(AV9,'Axe 2 Règles de gestion'!$D$2:$F$20,3, FALSE)</f>
        <v>La date de début de la formation doit être postérieure ou égale à la date de début du lien juridique.</v>
      </c>
      <c r="AX9" s="13" t="s">
        <v>101</v>
      </c>
      <c r="AY9" s="15" t="str">
        <f>VLOOKUP(AX9,'Axe 2 Règles de gestion'!$D$2:$F$20,3, FALSE)</f>
        <v>La date de début de la formation doit être antérieure ou égale à la date de fin de la formation.</v>
      </c>
      <c r="AZ9" s="13" t="s">
        <v>103</v>
      </c>
      <c r="BA9" s="15" t="str">
        <f>VLOOKUP(AZ9,'Axe 2 Règles de gestion'!$D$2:$F$20,3, FALSE)</f>
        <v>La date de fin de formation doit être antérieure ou égale à la date limite de départ à la retraite.</v>
      </c>
      <c r="BB9" s="13" t="s">
        <v>114</v>
      </c>
      <c r="BC9" s="15" t="str">
        <f>VLOOKUP(BB9,'Axe 2 Règles de gestion'!$D$2:$F$20,3, FALSE)</f>
        <v>La date de fin de la formation doit être antérieure ou égale à la date limite de fin réelle ou prévisionnelle du lien juridique.</v>
      </c>
      <c r="BD9" s="13"/>
      <c r="BE9" s="13"/>
    </row>
    <row r="10" spans="1:57" x14ac:dyDescent="0.35">
      <c r="C10" s="16"/>
      <c r="U10" s="16"/>
      <c r="V10" s="16"/>
    </row>
    <row r="11" spans="1:57" x14ac:dyDescent="0.35">
      <c r="C11" s="16"/>
      <c r="U11" s="16"/>
      <c r="V11" s="16"/>
    </row>
    <row r="12" spans="1:57" x14ac:dyDescent="0.35">
      <c r="C12" s="16"/>
      <c r="U12" s="16"/>
      <c r="V12" s="16"/>
    </row>
    <row r="13" spans="1:57" x14ac:dyDescent="0.35">
      <c r="C13" s="16"/>
      <c r="U13" s="16"/>
      <c r="V13" s="16"/>
    </row>
    <row r="14" spans="1:57" x14ac:dyDescent="0.35">
      <c r="C14" s="16"/>
      <c r="U14" s="16"/>
      <c r="V14" s="16"/>
    </row>
    <row r="15" spans="1:57" x14ac:dyDescent="0.35">
      <c r="C15" s="16"/>
      <c r="U15" s="16"/>
      <c r="V15" s="16"/>
    </row>
    <row r="16" spans="1:57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</sheetData>
  <autoFilter ref="A1:OJ1" xr:uid="{5C8AE0C5-D82E-4A92-86ED-3C7FACE617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4A00-D53E-4F65-9CF4-FA5EC28BE30A}">
  <dimension ref="A1:AC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9.6328125" style="18" customWidth="1"/>
    <col min="29" max="29" width="15.6328125" style="12" customWidth="1"/>
    <col min="30" max="16384" width="10.90625" style="12"/>
  </cols>
  <sheetData>
    <row r="1" spans="1:2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121</v>
      </c>
      <c r="X1" s="10" t="s">
        <v>122</v>
      </c>
      <c r="Y1" s="10" t="s">
        <v>123</v>
      </c>
      <c r="Z1" s="10" t="s">
        <v>124</v>
      </c>
      <c r="AA1" s="10" t="s">
        <v>125</v>
      </c>
      <c r="AB1" s="10" t="s">
        <v>56</v>
      </c>
      <c r="AC1" s="10" t="s">
        <v>57</v>
      </c>
    </row>
    <row r="2" spans="1:29" ht="58" x14ac:dyDescent="0.35">
      <c r="A2" s="13" t="s">
        <v>58</v>
      </c>
      <c r="B2" s="13" t="s">
        <v>59</v>
      </c>
      <c r="C2" s="14">
        <v>44936.474999999999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44767</v>
      </c>
      <c r="V2" s="14"/>
      <c r="W2" s="15" t="s">
        <v>126</v>
      </c>
      <c r="X2" s="13" t="s">
        <v>127</v>
      </c>
      <c r="Y2" s="15" t="str">
        <f>VLOOKUP(X2,'Axe 2 Règles de gestion'!$D$2:$F$20,3, FALSE)</f>
        <v>Rémunération : L'agent perçoit l'intégralité de sa rémunération.</v>
      </c>
      <c r="Z2" s="13" t="s">
        <v>129</v>
      </c>
      <c r="AA2" s="15" t="str">
        <f>VLOOKUP(Z2,'Axe 2 Règles de gestion'!$D$2:$F$20,3, FALSE)</f>
        <v>Carrière : La période d'immersion est décomptée du temps de service de l'agent.</v>
      </c>
      <c r="AB2" s="13"/>
      <c r="AC2" s="13"/>
    </row>
    <row r="3" spans="1:29" ht="43.5" x14ac:dyDescent="0.35">
      <c r="A3" s="13" t="s">
        <v>58</v>
      </c>
      <c r="B3" s="13" t="s">
        <v>59</v>
      </c>
      <c r="C3" s="14">
        <v>44936.477777777778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105</v>
      </c>
      <c r="M3" s="15" t="s">
        <v>106</v>
      </c>
      <c r="N3" s="13" t="s">
        <v>107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44767</v>
      </c>
      <c r="V3" s="14"/>
      <c r="W3" s="15"/>
      <c r="X3" s="13"/>
      <c r="Y3" s="15"/>
      <c r="Z3" s="13"/>
      <c r="AA3" s="15"/>
      <c r="AB3" s="13"/>
      <c r="AC3" s="13"/>
    </row>
    <row r="4" spans="1:29" ht="58" x14ac:dyDescent="0.35">
      <c r="A4" s="13" t="s">
        <v>58</v>
      </c>
      <c r="B4" s="13" t="s">
        <v>59</v>
      </c>
      <c r="C4" s="14">
        <v>44936.466666666667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109</v>
      </c>
      <c r="R4" s="13" t="s">
        <v>110</v>
      </c>
      <c r="S4" s="13" t="s">
        <v>72</v>
      </c>
      <c r="T4" s="13" t="s">
        <v>73</v>
      </c>
      <c r="U4" s="14">
        <v>44767</v>
      </c>
      <c r="V4" s="14"/>
      <c r="W4" s="15" t="s">
        <v>126</v>
      </c>
      <c r="X4" s="13" t="s">
        <v>127</v>
      </c>
      <c r="Y4" s="15" t="str">
        <f>VLOOKUP(X4,'Axe 2 Règles de gestion'!$D$2:$F$20,3, FALSE)</f>
        <v>Rémunération : L'agent perçoit l'intégralité de sa rémunération.</v>
      </c>
      <c r="Z4" s="13" t="s">
        <v>129</v>
      </c>
      <c r="AA4" s="15" t="str">
        <f>VLOOKUP(Z4,'Axe 2 Règles de gestion'!$D$2:$F$20,3, FALSE)</f>
        <v>Carrière : La période d'immersion est décomptée du temps de service de l'agent.</v>
      </c>
      <c r="AB4" s="13"/>
      <c r="AC4" s="13"/>
    </row>
    <row r="5" spans="1:29" ht="43.5" x14ac:dyDescent="0.35">
      <c r="A5" s="13" t="s">
        <v>58</v>
      </c>
      <c r="B5" s="13" t="s">
        <v>59</v>
      </c>
      <c r="C5" s="14">
        <v>44936.472222222219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105</v>
      </c>
      <c r="M5" s="15" t="s">
        <v>106</v>
      </c>
      <c r="N5" s="13" t="s">
        <v>107</v>
      </c>
      <c r="O5" s="15"/>
      <c r="P5" s="15"/>
      <c r="Q5" s="15" t="s">
        <v>109</v>
      </c>
      <c r="R5" s="13" t="s">
        <v>110</v>
      </c>
      <c r="S5" s="13" t="s">
        <v>72</v>
      </c>
      <c r="T5" s="13" t="s">
        <v>73</v>
      </c>
      <c r="U5" s="14">
        <v>44767</v>
      </c>
      <c r="V5" s="14"/>
      <c r="W5" s="15"/>
      <c r="X5" s="13"/>
      <c r="Y5" s="15"/>
      <c r="Z5" s="13"/>
      <c r="AA5" s="15"/>
      <c r="AB5" s="13"/>
      <c r="AC5" s="13"/>
    </row>
    <row r="6" spans="1:29" ht="58" x14ac:dyDescent="0.35">
      <c r="A6" s="13" t="s">
        <v>58</v>
      </c>
      <c r="B6" s="13" t="s">
        <v>59</v>
      </c>
      <c r="C6" s="14">
        <v>44936.474305555559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117</v>
      </c>
      <c r="R6" s="13" t="s">
        <v>118</v>
      </c>
      <c r="S6" s="13" t="s">
        <v>72</v>
      </c>
      <c r="T6" s="13" t="s">
        <v>73</v>
      </c>
      <c r="U6" s="14">
        <v>44767</v>
      </c>
      <c r="V6" s="14"/>
      <c r="W6" s="15" t="s">
        <v>126</v>
      </c>
      <c r="X6" s="13" t="s">
        <v>127</v>
      </c>
      <c r="Y6" s="15" t="str">
        <f>VLOOKUP(X6,'Axe 2 Règles de gestion'!$D$2:$F$20,3, FALSE)</f>
        <v>Rémunération : L'agent perçoit l'intégralité de sa rémunération.</v>
      </c>
      <c r="Z6" s="13" t="s">
        <v>129</v>
      </c>
      <c r="AA6" s="15" t="str">
        <f>VLOOKUP(Z6,'Axe 2 Règles de gestion'!$D$2:$F$20,3, FALSE)</f>
        <v>Carrière : La période d'immersion est décomptée du temps de service de l'agent.</v>
      </c>
      <c r="AB6" s="13"/>
      <c r="AC6" s="13"/>
    </row>
    <row r="7" spans="1:29" ht="43.5" x14ac:dyDescent="0.35">
      <c r="A7" s="13" t="s">
        <v>58</v>
      </c>
      <c r="B7" s="13" t="s">
        <v>59</v>
      </c>
      <c r="C7" s="14">
        <v>44936.478472222225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105</v>
      </c>
      <c r="M7" s="15" t="s">
        <v>106</v>
      </c>
      <c r="N7" s="13" t="s">
        <v>107</v>
      </c>
      <c r="O7" s="15"/>
      <c r="P7" s="15"/>
      <c r="Q7" s="15" t="s">
        <v>117</v>
      </c>
      <c r="R7" s="13" t="s">
        <v>118</v>
      </c>
      <c r="S7" s="13" t="s">
        <v>72</v>
      </c>
      <c r="T7" s="13" t="s">
        <v>73</v>
      </c>
      <c r="U7" s="14">
        <v>44767</v>
      </c>
      <c r="V7" s="14"/>
      <c r="W7" s="15"/>
      <c r="X7" s="13"/>
      <c r="Y7" s="15"/>
      <c r="Z7" s="13"/>
      <c r="AA7" s="15"/>
      <c r="AB7" s="13"/>
      <c r="AC7" s="13"/>
    </row>
    <row r="8" spans="1:29" ht="58" x14ac:dyDescent="0.35">
      <c r="A8" s="13" t="s">
        <v>58</v>
      </c>
      <c r="B8" s="13" t="s">
        <v>59</v>
      </c>
      <c r="C8" s="14">
        <v>44936.466666666667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119</v>
      </c>
      <c r="R8" s="13" t="s">
        <v>120</v>
      </c>
      <c r="S8" s="13" t="s">
        <v>72</v>
      </c>
      <c r="T8" s="13" t="s">
        <v>73</v>
      </c>
      <c r="U8" s="14">
        <v>44767</v>
      </c>
      <c r="V8" s="14"/>
      <c r="W8" s="15" t="s">
        <v>126</v>
      </c>
      <c r="X8" s="13" t="s">
        <v>127</v>
      </c>
      <c r="Y8" s="15" t="str">
        <f>VLOOKUP(X8,'Axe 2 Règles de gestion'!$D$2:$F$20,3, FALSE)</f>
        <v>Rémunération : L'agent perçoit l'intégralité de sa rémunération.</v>
      </c>
      <c r="Z8" s="13" t="s">
        <v>129</v>
      </c>
      <c r="AA8" s="15" t="str">
        <f>VLOOKUP(Z8,'Axe 2 Règles de gestion'!$D$2:$F$20,3, FALSE)</f>
        <v>Carrière : La période d'immersion est décomptée du temps de service de l'agent.</v>
      </c>
      <c r="AB8" s="13"/>
      <c r="AC8" s="13"/>
    </row>
    <row r="9" spans="1:29" ht="43.5" x14ac:dyDescent="0.35">
      <c r="A9" s="13" t="s">
        <v>58</v>
      </c>
      <c r="B9" s="13" t="s">
        <v>59</v>
      </c>
      <c r="C9" s="14">
        <v>44936.472916666666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105</v>
      </c>
      <c r="M9" s="15" t="s">
        <v>106</v>
      </c>
      <c r="N9" s="13" t="s">
        <v>107</v>
      </c>
      <c r="O9" s="15"/>
      <c r="P9" s="15"/>
      <c r="Q9" s="15" t="s">
        <v>119</v>
      </c>
      <c r="R9" s="13" t="s">
        <v>120</v>
      </c>
      <c r="S9" s="13" t="s">
        <v>72</v>
      </c>
      <c r="T9" s="13" t="s">
        <v>73</v>
      </c>
      <c r="U9" s="14">
        <v>44767</v>
      </c>
      <c r="V9" s="14"/>
      <c r="W9" s="15"/>
      <c r="X9" s="13"/>
      <c r="Y9" s="15"/>
      <c r="Z9" s="13"/>
      <c r="AA9" s="15"/>
      <c r="AB9" s="13"/>
      <c r="AC9" s="13"/>
    </row>
    <row r="10" spans="1:29" x14ac:dyDescent="0.35">
      <c r="C10" s="16"/>
      <c r="U10" s="16"/>
      <c r="V10" s="16"/>
    </row>
    <row r="11" spans="1:29" x14ac:dyDescent="0.35">
      <c r="C11" s="16"/>
      <c r="U11" s="16"/>
      <c r="V11" s="16"/>
    </row>
    <row r="12" spans="1:29" x14ac:dyDescent="0.35">
      <c r="C12" s="16"/>
      <c r="U12" s="16"/>
      <c r="V12" s="16"/>
    </row>
    <row r="13" spans="1:29" x14ac:dyDescent="0.35">
      <c r="C13" s="16"/>
      <c r="U13" s="16"/>
      <c r="V13" s="16"/>
    </row>
    <row r="14" spans="1:29" x14ac:dyDescent="0.35">
      <c r="C14" s="16"/>
      <c r="U14" s="16"/>
      <c r="V14" s="16"/>
    </row>
    <row r="15" spans="1:29" x14ac:dyDescent="0.35">
      <c r="C15" s="16"/>
      <c r="U15" s="16"/>
      <c r="V15" s="16"/>
    </row>
    <row r="16" spans="1:29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</sheetData>
  <autoFilter ref="A1:OJ1" xr:uid="{587D4A00-D53E-4F65-9CF4-FA5EC28BE3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27D2-5402-43B9-B3E8-120B9857441A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131</v>
      </c>
      <c r="X1" s="10" t="s">
        <v>132</v>
      </c>
      <c r="Y1" s="10" t="s">
        <v>133</v>
      </c>
      <c r="Z1" s="10" t="s">
        <v>134</v>
      </c>
      <c r="AA1" s="10" t="s">
        <v>135</v>
      </c>
      <c r="AB1" s="10" t="s">
        <v>136</v>
      </c>
      <c r="AC1" s="10" t="s">
        <v>137</v>
      </c>
      <c r="AD1" s="10" t="s">
        <v>138</v>
      </c>
      <c r="AE1" s="10" t="s">
        <v>139</v>
      </c>
      <c r="AF1" s="10" t="s">
        <v>140</v>
      </c>
      <c r="AG1" s="10" t="s">
        <v>141</v>
      </c>
      <c r="AH1" s="10" t="s">
        <v>142</v>
      </c>
      <c r="AI1" s="10" t="s">
        <v>143</v>
      </c>
      <c r="AJ1" s="10" t="s">
        <v>144</v>
      </c>
      <c r="AK1" s="10" t="s">
        <v>145</v>
      </c>
      <c r="AL1" s="10" t="s">
        <v>146</v>
      </c>
      <c r="AM1" s="10" t="s">
        <v>147</v>
      </c>
      <c r="AN1" s="10" t="s">
        <v>56</v>
      </c>
      <c r="AO1" s="10" t="s">
        <v>57</v>
      </c>
    </row>
    <row r="2" spans="1:41" ht="43.5" x14ac:dyDescent="0.35">
      <c r="A2" s="13" t="s">
        <v>58</v>
      </c>
      <c r="B2" s="13" t="s">
        <v>59</v>
      </c>
      <c r="C2" s="14">
        <v>44936.474999999999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44767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58</v>
      </c>
      <c r="B3" s="13" t="s">
        <v>59</v>
      </c>
      <c r="C3" s="14">
        <v>44936.477777777778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105</v>
      </c>
      <c r="M3" s="15" t="s">
        <v>106</v>
      </c>
      <c r="N3" s="13" t="s">
        <v>107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44767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58</v>
      </c>
      <c r="B4" s="13" t="s">
        <v>59</v>
      </c>
      <c r="C4" s="14">
        <v>44936.466666666667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109</v>
      </c>
      <c r="R4" s="13" t="s">
        <v>110</v>
      </c>
      <c r="S4" s="13" t="s">
        <v>72</v>
      </c>
      <c r="T4" s="13" t="s">
        <v>73</v>
      </c>
      <c r="U4" s="14">
        <v>44767</v>
      </c>
      <c r="V4" s="14"/>
      <c r="W4" s="15"/>
      <c r="X4" s="15"/>
      <c r="Y4" s="13"/>
      <c r="Z4" s="15"/>
      <c r="AA4" s="15"/>
      <c r="AB4" s="15"/>
      <c r="AC4" s="13"/>
      <c r="AD4" s="15"/>
      <c r="AE4" s="15">
        <v>0</v>
      </c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58</v>
      </c>
      <c r="B5" s="13" t="s">
        <v>59</v>
      </c>
      <c r="C5" s="14">
        <v>44936.472222222219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105</v>
      </c>
      <c r="M5" s="15" t="s">
        <v>106</v>
      </c>
      <c r="N5" s="13" t="s">
        <v>107</v>
      </c>
      <c r="O5" s="15"/>
      <c r="P5" s="15"/>
      <c r="Q5" s="15" t="s">
        <v>109</v>
      </c>
      <c r="R5" s="13" t="s">
        <v>110</v>
      </c>
      <c r="S5" s="13" t="s">
        <v>72</v>
      </c>
      <c r="T5" s="13" t="s">
        <v>73</v>
      </c>
      <c r="U5" s="14">
        <v>44767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58</v>
      </c>
      <c r="B6" s="13" t="s">
        <v>59</v>
      </c>
      <c r="C6" s="14">
        <v>44936.474305555559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117</v>
      </c>
      <c r="R6" s="13" t="s">
        <v>118</v>
      </c>
      <c r="S6" s="13" t="s">
        <v>72</v>
      </c>
      <c r="T6" s="13" t="s">
        <v>73</v>
      </c>
      <c r="U6" s="14">
        <v>44767</v>
      </c>
      <c r="V6" s="14"/>
      <c r="W6" s="15"/>
      <c r="X6" s="15"/>
      <c r="Y6" s="13"/>
      <c r="Z6" s="15"/>
      <c r="AA6" s="15"/>
      <c r="AB6" s="15"/>
      <c r="AC6" s="13"/>
      <c r="AD6" s="15"/>
      <c r="AE6" s="15">
        <v>0</v>
      </c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58</v>
      </c>
      <c r="B7" s="13" t="s">
        <v>59</v>
      </c>
      <c r="C7" s="14">
        <v>44936.478472222225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105</v>
      </c>
      <c r="M7" s="15" t="s">
        <v>106</v>
      </c>
      <c r="N7" s="13" t="s">
        <v>107</v>
      </c>
      <c r="O7" s="15"/>
      <c r="P7" s="15"/>
      <c r="Q7" s="15" t="s">
        <v>117</v>
      </c>
      <c r="R7" s="13" t="s">
        <v>118</v>
      </c>
      <c r="S7" s="13" t="s">
        <v>72</v>
      </c>
      <c r="T7" s="13" t="s">
        <v>73</v>
      </c>
      <c r="U7" s="14">
        <v>44767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58</v>
      </c>
      <c r="B8" s="13" t="s">
        <v>59</v>
      </c>
      <c r="C8" s="14">
        <v>44936.466666666667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119</v>
      </c>
      <c r="R8" s="13" t="s">
        <v>120</v>
      </c>
      <c r="S8" s="13" t="s">
        <v>72</v>
      </c>
      <c r="T8" s="13" t="s">
        <v>73</v>
      </c>
      <c r="U8" s="14">
        <v>44767</v>
      </c>
      <c r="V8" s="14"/>
      <c r="W8" s="15"/>
      <c r="X8" s="15"/>
      <c r="Y8" s="13"/>
      <c r="Z8" s="15"/>
      <c r="AA8" s="15"/>
      <c r="AB8" s="15"/>
      <c r="AC8" s="13"/>
      <c r="AD8" s="15"/>
      <c r="AE8" s="15">
        <v>0</v>
      </c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58</v>
      </c>
      <c r="B9" s="13" t="s">
        <v>59</v>
      </c>
      <c r="C9" s="14">
        <v>44936.472916666666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105</v>
      </c>
      <c r="M9" s="15" t="s">
        <v>106</v>
      </c>
      <c r="N9" s="13" t="s">
        <v>107</v>
      </c>
      <c r="O9" s="15"/>
      <c r="P9" s="15"/>
      <c r="Q9" s="15" t="s">
        <v>119</v>
      </c>
      <c r="R9" s="13" t="s">
        <v>120</v>
      </c>
      <c r="S9" s="13" t="s">
        <v>72</v>
      </c>
      <c r="T9" s="13" t="s">
        <v>73</v>
      </c>
      <c r="U9" s="14">
        <v>44767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</sheetData>
  <autoFilter ref="A1:AS1" xr:uid="{38CB27D2-5402-43B9-B3E8-120B9857441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BE00-7F0B-453E-9E31-B784E53F1DE4}">
  <dimension ref="A1:U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148</v>
      </c>
      <c r="E1" s="10" t="s">
        <v>149</v>
      </c>
      <c r="F1" s="10" t="s">
        <v>150</v>
      </c>
      <c r="G1" s="10" t="s">
        <v>151</v>
      </c>
      <c r="H1" s="11" t="s">
        <v>21</v>
      </c>
      <c r="I1" s="11" t="s">
        <v>22</v>
      </c>
      <c r="J1" s="10" t="s">
        <v>152</v>
      </c>
      <c r="K1" s="10" t="s">
        <v>153</v>
      </c>
      <c r="L1" s="10" t="s">
        <v>154</v>
      </c>
      <c r="M1" s="10" t="s">
        <v>147</v>
      </c>
      <c r="N1" s="10" t="s">
        <v>155</v>
      </c>
      <c r="O1" s="10" t="s">
        <v>156</v>
      </c>
      <c r="P1" s="10" t="s">
        <v>157</v>
      </c>
      <c r="Q1" s="10" t="s">
        <v>158</v>
      </c>
      <c r="R1" s="10" t="s">
        <v>56</v>
      </c>
      <c r="S1" s="10" t="s">
        <v>57</v>
      </c>
      <c r="T1" s="10" t="s">
        <v>159</v>
      </c>
      <c r="U1" s="10" t="s">
        <v>160</v>
      </c>
    </row>
    <row r="2" spans="1:21" ht="43.5" x14ac:dyDescent="0.35">
      <c r="A2" s="13" t="s">
        <v>161</v>
      </c>
      <c r="B2" s="13" t="s">
        <v>59</v>
      </c>
      <c r="C2" s="14">
        <v>43756.454861111109</v>
      </c>
      <c r="D2" s="13" t="s">
        <v>99</v>
      </c>
      <c r="E2" s="13" t="s">
        <v>162</v>
      </c>
      <c r="F2" s="15" t="s">
        <v>100</v>
      </c>
      <c r="G2" s="13"/>
      <c r="H2" s="14">
        <v>40725</v>
      </c>
      <c r="I2" s="14"/>
      <c r="J2" s="15"/>
      <c r="K2" s="15" t="s">
        <v>163</v>
      </c>
      <c r="L2" s="13" t="s">
        <v>164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161</v>
      </c>
      <c r="B3" s="13" t="s">
        <v>59</v>
      </c>
      <c r="C3" s="14">
        <v>43756.455555555556</v>
      </c>
      <c r="D3" s="13" t="s">
        <v>112</v>
      </c>
      <c r="E3" s="13" t="s">
        <v>162</v>
      </c>
      <c r="F3" s="15" t="s">
        <v>113</v>
      </c>
      <c r="G3" s="13"/>
      <c r="H3" s="14">
        <v>40725</v>
      </c>
      <c r="I3" s="14"/>
      <c r="J3" s="15"/>
      <c r="K3" s="15" t="s">
        <v>165</v>
      </c>
      <c r="L3" s="13" t="s">
        <v>164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161</v>
      </c>
      <c r="B4" s="13" t="s">
        <v>59</v>
      </c>
      <c r="C4" s="14">
        <v>43756.455555555556</v>
      </c>
      <c r="D4" s="13" t="s">
        <v>101</v>
      </c>
      <c r="E4" s="13" t="s">
        <v>162</v>
      </c>
      <c r="F4" s="15" t="s">
        <v>102</v>
      </c>
      <c r="G4" s="13"/>
      <c r="H4" s="14">
        <v>40725</v>
      </c>
      <c r="I4" s="14"/>
      <c r="J4" s="15"/>
      <c r="K4" s="15" t="s">
        <v>166</v>
      </c>
      <c r="L4" s="13" t="s">
        <v>164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29" x14ac:dyDescent="0.35">
      <c r="A5" s="13" t="s">
        <v>161</v>
      </c>
      <c r="B5" s="13" t="s">
        <v>59</v>
      </c>
      <c r="C5" s="14">
        <v>43756.456250000003</v>
      </c>
      <c r="D5" s="13" t="s">
        <v>103</v>
      </c>
      <c r="E5" s="13" t="s">
        <v>162</v>
      </c>
      <c r="F5" s="15" t="s">
        <v>104</v>
      </c>
      <c r="G5" s="13"/>
      <c r="H5" s="14">
        <v>40725</v>
      </c>
      <c r="I5" s="14"/>
      <c r="J5" s="15"/>
      <c r="K5" s="15" t="s">
        <v>167</v>
      </c>
      <c r="L5" s="13" t="s">
        <v>168</v>
      </c>
      <c r="M5" s="15" t="s">
        <v>169</v>
      </c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161</v>
      </c>
      <c r="B6" s="13" t="s">
        <v>59</v>
      </c>
      <c r="C6" s="14">
        <v>43790.404861111114</v>
      </c>
      <c r="D6" s="13" t="s">
        <v>114</v>
      </c>
      <c r="E6" s="13" t="s">
        <v>162</v>
      </c>
      <c r="F6" s="15" t="s">
        <v>115</v>
      </c>
      <c r="G6" s="13"/>
      <c r="H6" s="14">
        <v>40725</v>
      </c>
      <c r="I6" s="14"/>
      <c r="J6" s="15" t="s">
        <v>170</v>
      </c>
      <c r="K6" s="15" t="s">
        <v>171</v>
      </c>
      <c r="L6" s="13" t="s">
        <v>164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29" x14ac:dyDescent="0.35">
      <c r="A7" s="13" t="s">
        <v>58</v>
      </c>
      <c r="B7" s="13" t="s">
        <v>59</v>
      </c>
      <c r="C7" s="14">
        <v>44936.490277777775</v>
      </c>
      <c r="D7" s="13" t="s">
        <v>75</v>
      </c>
      <c r="E7" s="13" t="s">
        <v>172</v>
      </c>
      <c r="F7" s="15" t="s">
        <v>76</v>
      </c>
      <c r="G7" s="13" t="s">
        <v>173</v>
      </c>
      <c r="H7" s="14">
        <v>44767</v>
      </c>
      <c r="I7" s="14"/>
      <c r="J7" s="15"/>
      <c r="K7" s="15"/>
      <c r="L7" s="13" t="s">
        <v>168</v>
      </c>
      <c r="M7" s="15"/>
      <c r="N7" s="13"/>
      <c r="O7" s="13"/>
      <c r="P7" s="13" t="s">
        <v>174</v>
      </c>
      <c r="Q7" s="13"/>
      <c r="R7" s="13"/>
      <c r="S7" s="13"/>
      <c r="T7" s="13" t="s">
        <v>175</v>
      </c>
      <c r="U7" s="15" t="s">
        <v>76</v>
      </c>
    </row>
    <row r="8" spans="1:21" ht="29" x14ac:dyDescent="0.35">
      <c r="A8" s="13" t="s">
        <v>58</v>
      </c>
      <c r="B8" s="13" t="s">
        <v>59</v>
      </c>
      <c r="C8" s="14">
        <v>44936.490277777775</v>
      </c>
      <c r="D8" s="13" t="s">
        <v>95</v>
      </c>
      <c r="E8" s="13" t="s">
        <v>172</v>
      </c>
      <c r="F8" s="15" t="s">
        <v>96</v>
      </c>
      <c r="G8" s="13" t="s">
        <v>173</v>
      </c>
      <c r="H8" s="14">
        <v>44767</v>
      </c>
      <c r="I8" s="14"/>
      <c r="J8" s="15"/>
      <c r="K8" s="15"/>
      <c r="L8" s="13" t="s">
        <v>168</v>
      </c>
      <c r="M8" s="15"/>
      <c r="N8" s="13"/>
      <c r="O8" s="13"/>
      <c r="P8" s="13" t="s">
        <v>174</v>
      </c>
      <c r="Q8" s="13"/>
      <c r="R8" s="13"/>
      <c r="S8" s="13"/>
      <c r="T8" s="13" t="s">
        <v>175</v>
      </c>
      <c r="U8" s="15" t="s">
        <v>96</v>
      </c>
    </row>
    <row r="9" spans="1:21" ht="43.5" x14ac:dyDescent="0.35">
      <c r="A9" s="13" t="s">
        <v>58</v>
      </c>
      <c r="B9" s="13" t="s">
        <v>59</v>
      </c>
      <c r="C9" s="14">
        <v>44936.490277777775</v>
      </c>
      <c r="D9" s="13" t="s">
        <v>97</v>
      </c>
      <c r="E9" s="13" t="s">
        <v>172</v>
      </c>
      <c r="F9" s="15" t="s">
        <v>98</v>
      </c>
      <c r="G9" s="13" t="s">
        <v>173</v>
      </c>
      <c r="H9" s="14">
        <v>44767</v>
      </c>
      <c r="I9" s="14"/>
      <c r="J9" s="15"/>
      <c r="K9" s="15"/>
      <c r="L9" s="13" t="s">
        <v>168</v>
      </c>
      <c r="M9" s="15"/>
      <c r="N9" s="13"/>
      <c r="O9" s="13"/>
      <c r="P9" s="13" t="s">
        <v>174</v>
      </c>
      <c r="Q9" s="13"/>
      <c r="R9" s="13"/>
      <c r="S9" s="13"/>
      <c r="T9" s="13" t="s">
        <v>175</v>
      </c>
      <c r="U9" s="15" t="s">
        <v>98</v>
      </c>
    </row>
    <row r="10" spans="1:21" ht="29" x14ac:dyDescent="0.35">
      <c r="A10" s="13" t="s">
        <v>58</v>
      </c>
      <c r="B10" s="13" t="s">
        <v>59</v>
      </c>
      <c r="C10" s="14">
        <v>44936.490277777775</v>
      </c>
      <c r="D10" s="13" t="s">
        <v>77</v>
      </c>
      <c r="E10" s="13" t="s">
        <v>172</v>
      </c>
      <c r="F10" s="15" t="s">
        <v>78</v>
      </c>
      <c r="G10" s="13" t="s">
        <v>176</v>
      </c>
      <c r="H10" s="14">
        <v>44767</v>
      </c>
      <c r="I10" s="14"/>
      <c r="J10" s="15"/>
      <c r="K10" s="15"/>
      <c r="L10" s="13" t="s">
        <v>168</v>
      </c>
      <c r="M10" s="15"/>
      <c r="N10" s="13"/>
      <c r="O10" s="13"/>
      <c r="P10" s="13" t="s">
        <v>174</v>
      </c>
      <c r="Q10" s="13"/>
      <c r="R10" s="13"/>
      <c r="S10" s="13"/>
      <c r="T10" s="13" t="s">
        <v>175</v>
      </c>
      <c r="U10" s="15" t="s">
        <v>78</v>
      </c>
    </row>
    <row r="11" spans="1:21" ht="72.5" x14ac:dyDescent="0.35">
      <c r="A11" s="13" t="s">
        <v>58</v>
      </c>
      <c r="B11" s="13" t="s">
        <v>59</v>
      </c>
      <c r="C11" s="14">
        <v>44936.388194444444</v>
      </c>
      <c r="D11" s="13" t="s">
        <v>79</v>
      </c>
      <c r="E11" s="13" t="s">
        <v>172</v>
      </c>
      <c r="F11" s="15" t="s">
        <v>80</v>
      </c>
      <c r="G11" s="13" t="s">
        <v>176</v>
      </c>
      <c r="H11" s="14">
        <v>44767</v>
      </c>
      <c r="I11" s="14"/>
      <c r="J11" s="15"/>
      <c r="K11" s="15"/>
      <c r="L11" s="13" t="s">
        <v>168</v>
      </c>
      <c r="M11" s="15"/>
      <c r="N11" s="13"/>
      <c r="O11" s="13"/>
      <c r="P11" s="13" t="s">
        <v>174</v>
      </c>
      <c r="Q11" s="13"/>
      <c r="R11" s="13"/>
      <c r="S11" s="13"/>
      <c r="T11" s="13" t="s">
        <v>175</v>
      </c>
      <c r="U11" s="15" t="s">
        <v>80</v>
      </c>
    </row>
    <row r="12" spans="1:21" ht="29" x14ac:dyDescent="0.35">
      <c r="A12" s="13" t="s">
        <v>58</v>
      </c>
      <c r="B12" s="13" t="s">
        <v>59</v>
      </c>
      <c r="C12" s="14">
        <v>44936.39166666667</v>
      </c>
      <c r="D12" s="13" t="s">
        <v>81</v>
      </c>
      <c r="E12" s="13" t="s">
        <v>172</v>
      </c>
      <c r="F12" s="15" t="s">
        <v>82</v>
      </c>
      <c r="G12" s="13" t="s">
        <v>176</v>
      </c>
      <c r="H12" s="14">
        <v>44767</v>
      </c>
      <c r="I12" s="14"/>
      <c r="J12" s="15"/>
      <c r="K12" s="15"/>
      <c r="L12" s="13" t="s">
        <v>168</v>
      </c>
      <c r="M12" s="15"/>
      <c r="N12" s="13"/>
      <c r="O12" s="13"/>
      <c r="P12" s="13" t="s">
        <v>174</v>
      </c>
      <c r="Q12" s="13"/>
      <c r="R12" s="13"/>
      <c r="S12" s="13"/>
      <c r="T12" s="13" t="s">
        <v>175</v>
      </c>
      <c r="U12" s="15" t="s">
        <v>82</v>
      </c>
    </row>
    <row r="13" spans="1:21" ht="58" x14ac:dyDescent="0.35">
      <c r="A13" s="13" t="s">
        <v>58</v>
      </c>
      <c r="B13" s="13" t="s">
        <v>59</v>
      </c>
      <c r="C13" s="14">
        <v>44936.409722222219</v>
      </c>
      <c r="D13" s="13" t="s">
        <v>83</v>
      </c>
      <c r="E13" s="13" t="s">
        <v>172</v>
      </c>
      <c r="F13" s="15" t="s">
        <v>84</v>
      </c>
      <c r="G13" s="13" t="s">
        <v>176</v>
      </c>
      <c r="H13" s="14">
        <v>44767</v>
      </c>
      <c r="I13" s="14"/>
      <c r="J13" s="15"/>
      <c r="K13" s="15"/>
      <c r="L13" s="13" t="s">
        <v>168</v>
      </c>
      <c r="M13" s="15"/>
      <c r="N13" s="13"/>
      <c r="O13" s="13"/>
      <c r="P13" s="13" t="s">
        <v>174</v>
      </c>
      <c r="Q13" s="13"/>
      <c r="R13" s="13"/>
      <c r="S13" s="13"/>
      <c r="T13" s="13" t="s">
        <v>175</v>
      </c>
      <c r="U13" s="15" t="s">
        <v>84</v>
      </c>
    </row>
    <row r="14" spans="1:21" ht="58" x14ac:dyDescent="0.35">
      <c r="A14" s="13" t="s">
        <v>58</v>
      </c>
      <c r="B14" s="13" t="s">
        <v>59</v>
      </c>
      <c r="C14" s="14">
        <v>44936.418055555558</v>
      </c>
      <c r="D14" s="13" t="s">
        <v>85</v>
      </c>
      <c r="E14" s="13" t="s">
        <v>172</v>
      </c>
      <c r="F14" s="15" t="s">
        <v>86</v>
      </c>
      <c r="G14" s="13" t="s">
        <v>176</v>
      </c>
      <c r="H14" s="14">
        <v>44767</v>
      </c>
      <c r="I14" s="14"/>
      <c r="J14" s="15"/>
      <c r="K14" s="15"/>
      <c r="L14" s="13" t="s">
        <v>164</v>
      </c>
      <c r="M14" s="15"/>
      <c r="N14" s="13"/>
      <c r="O14" s="13"/>
      <c r="P14" s="13" t="s">
        <v>174</v>
      </c>
      <c r="Q14" s="13"/>
      <c r="R14" s="13"/>
      <c r="S14" s="13"/>
      <c r="T14" s="13" t="s">
        <v>175</v>
      </c>
      <c r="U14" s="15" t="s">
        <v>86</v>
      </c>
    </row>
    <row r="15" spans="1:21" ht="29" x14ac:dyDescent="0.35">
      <c r="A15" s="13" t="s">
        <v>58</v>
      </c>
      <c r="B15" s="13" t="s">
        <v>59</v>
      </c>
      <c r="C15" s="14">
        <v>44936.422222222223</v>
      </c>
      <c r="D15" s="13" t="s">
        <v>87</v>
      </c>
      <c r="E15" s="13" t="s">
        <v>172</v>
      </c>
      <c r="F15" s="15" t="s">
        <v>88</v>
      </c>
      <c r="G15" s="13" t="s">
        <v>177</v>
      </c>
      <c r="H15" s="14">
        <v>44767</v>
      </c>
      <c r="I15" s="14"/>
      <c r="J15" s="15"/>
      <c r="K15" s="15"/>
      <c r="L15" s="13" t="s">
        <v>168</v>
      </c>
      <c r="M15" s="15"/>
      <c r="N15" s="13"/>
      <c r="O15" s="13"/>
      <c r="P15" s="13" t="s">
        <v>174</v>
      </c>
      <c r="Q15" s="13"/>
      <c r="R15" s="13"/>
      <c r="S15" s="13"/>
      <c r="T15" s="13" t="s">
        <v>175</v>
      </c>
      <c r="U15" s="15" t="s">
        <v>88</v>
      </c>
    </row>
    <row r="16" spans="1:21" ht="43.5" x14ac:dyDescent="0.35">
      <c r="A16" s="13" t="s">
        <v>58</v>
      </c>
      <c r="B16" s="13" t="s">
        <v>59</v>
      </c>
      <c r="C16" s="14">
        <v>44936.431944444441</v>
      </c>
      <c r="D16" s="13" t="s">
        <v>89</v>
      </c>
      <c r="E16" s="13" t="s">
        <v>172</v>
      </c>
      <c r="F16" s="15" t="s">
        <v>90</v>
      </c>
      <c r="G16" s="13" t="s">
        <v>177</v>
      </c>
      <c r="H16" s="14">
        <v>44767</v>
      </c>
      <c r="I16" s="14"/>
      <c r="J16" s="15"/>
      <c r="K16" s="15"/>
      <c r="L16" s="13" t="s">
        <v>168</v>
      </c>
      <c r="M16" s="15"/>
      <c r="N16" s="13"/>
      <c r="O16" s="13"/>
      <c r="P16" s="13" t="s">
        <v>174</v>
      </c>
      <c r="Q16" s="13"/>
      <c r="R16" s="13"/>
      <c r="S16" s="13"/>
      <c r="T16" s="13" t="s">
        <v>175</v>
      </c>
      <c r="U16" s="15" t="s">
        <v>90</v>
      </c>
    </row>
    <row r="17" spans="1:21" ht="58" x14ac:dyDescent="0.35">
      <c r="A17" s="13" t="s">
        <v>58</v>
      </c>
      <c r="B17" s="13" t="s">
        <v>59</v>
      </c>
      <c r="C17" s="14">
        <v>44936.444444444445</v>
      </c>
      <c r="D17" s="13" t="s">
        <v>91</v>
      </c>
      <c r="E17" s="13" t="s">
        <v>172</v>
      </c>
      <c r="F17" s="15" t="s">
        <v>92</v>
      </c>
      <c r="G17" s="13" t="s">
        <v>178</v>
      </c>
      <c r="H17" s="14">
        <v>44767</v>
      </c>
      <c r="I17" s="14"/>
      <c r="J17" s="15"/>
      <c r="K17" s="15"/>
      <c r="L17" s="13" t="s">
        <v>168</v>
      </c>
      <c r="M17" s="15"/>
      <c r="N17" s="13"/>
      <c r="O17" s="13"/>
      <c r="P17" s="13" t="s">
        <v>174</v>
      </c>
      <c r="Q17" s="13"/>
      <c r="R17" s="13"/>
      <c r="S17" s="13"/>
      <c r="T17" s="13" t="s">
        <v>175</v>
      </c>
      <c r="U17" s="15" t="s">
        <v>92</v>
      </c>
    </row>
    <row r="18" spans="1:21" ht="72.5" x14ac:dyDescent="0.35">
      <c r="A18" s="13" t="s">
        <v>58</v>
      </c>
      <c r="B18" s="13" t="s">
        <v>59</v>
      </c>
      <c r="C18" s="14">
        <v>44936.444444444445</v>
      </c>
      <c r="D18" s="13" t="s">
        <v>93</v>
      </c>
      <c r="E18" s="13" t="s">
        <v>172</v>
      </c>
      <c r="F18" s="15" t="s">
        <v>94</v>
      </c>
      <c r="G18" s="13" t="s">
        <v>178</v>
      </c>
      <c r="H18" s="14">
        <v>44767</v>
      </c>
      <c r="I18" s="14"/>
      <c r="J18" s="15"/>
      <c r="K18" s="15"/>
      <c r="L18" s="13" t="s">
        <v>168</v>
      </c>
      <c r="M18" s="15"/>
      <c r="N18" s="13"/>
      <c r="O18" s="13"/>
      <c r="P18" s="13" t="s">
        <v>174</v>
      </c>
      <c r="Q18" s="13"/>
      <c r="R18" s="13"/>
      <c r="S18" s="13"/>
      <c r="T18" s="13" t="s">
        <v>175</v>
      </c>
      <c r="U18" s="15" t="s">
        <v>94</v>
      </c>
    </row>
    <row r="19" spans="1:21" ht="29" x14ac:dyDescent="0.35">
      <c r="A19" s="13" t="s">
        <v>58</v>
      </c>
      <c r="B19" s="13" t="s">
        <v>59</v>
      </c>
      <c r="C19" s="14">
        <v>44936.448611111111</v>
      </c>
      <c r="D19" s="13" t="s">
        <v>127</v>
      </c>
      <c r="E19" s="13" t="s">
        <v>179</v>
      </c>
      <c r="F19" s="15" t="s">
        <v>128</v>
      </c>
      <c r="G19" s="13" t="s">
        <v>178</v>
      </c>
      <c r="H19" s="14">
        <v>44767</v>
      </c>
      <c r="I19" s="14"/>
      <c r="J19" s="15"/>
      <c r="K19" s="15"/>
      <c r="L19" s="13" t="s">
        <v>168</v>
      </c>
      <c r="M19" s="15"/>
      <c r="N19" s="13"/>
      <c r="O19" s="13"/>
      <c r="P19" s="13"/>
      <c r="Q19" s="13" t="s">
        <v>174</v>
      </c>
      <c r="R19" s="13"/>
      <c r="S19" s="13"/>
      <c r="T19" s="13" t="s">
        <v>175</v>
      </c>
      <c r="U19" s="15" t="s">
        <v>128</v>
      </c>
    </row>
    <row r="20" spans="1:21" ht="29" x14ac:dyDescent="0.35">
      <c r="A20" s="13" t="s">
        <v>58</v>
      </c>
      <c r="B20" s="13" t="s">
        <v>59</v>
      </c>
      <c r="C20" s="14">
        <v>44936.45</v>
      </c>
      <c r="D20" s="13" t="s">
        <v>129</v>
      </c>
      <c r="E20" s="13" t="s">
        <v>179</v>
      </c>
      <c r="F20" s="15" t="s">
        <v>130</v>
      </c>
      <c r="G20" s="13" t="s">
        <v>178</v>
      </c>
      <c r="H20" s="14">
        <v>44767</v>
      </c>
      <c r="I20" s="14"/>
      <c r="J20" s="15"/>
      <c r="K20" s="15"/>
      <c r="L20" s="13" t="s">
        <v>164</v>
      </c>
      <c r="M20" s="15"/>
      <c r="N20" s="13"/>
      <c r="O20" s="13"/>
      <c r="P20" s="13"/>
      <c r="Q20" s="13" t="s">
        <v>174</v>
      </c>
      <c r="R20" s="13"/>
      <c r="S20" s="13"/>
      <c r="T20" s="13" t="s">
        <v>175</v>
      </c>
      <c r="U20" s="15" t="s">
        <v>130</v>
      </c>
    </row>
    <row r="21" spans="1:21" x14ac:dyDescent="0.35">
      <c r="C21" s="16"/>
      <c r="H21" s="16"/>
      <c r="I21" s="16"/>
    </row>
    <row r="22" spans="1:21" x14ac:dyDescent="0.35">
      <c r="C22" s="16"/>
      <c r="H22" s="16"/>
      <c r="I22" s="16"/>
    </row>
    <row r="23" spans="1:21" x14ac:dyDescent="0.35">
      <c r="C23" s="16"/>
      <c r="H23" s="16"/>
      <c r="I23" s="16"/>
    </row>
    <row r="24" spans="1:21" x14ac:dyDescent="0.35">
      <c r="C24" s="16"/>
      <c r="H24" s="16"/>
      <c r="I24" s="16"/>
    </row>
    <row r="25" spans="1:21" x14ac:dyDescent="0.35">
      <c r="C25" s="16"/>
      <c r="H25" s="16"/>
      <c r="I25" s="16"/>
    </row>
    <row r="26" spans="1:21" x14ac:dyDescent="0.35">
      <c r="C26" s="16"/>
      <c r="H26" s="16"/>
      <c r="I26" s="16"/>
    </row>
    <row r="27" spans="1:21" x14ac:dyDescent="0.35">
      <c r="C27" s="16"/>
      <c r="H27" s="16"/>
      <c r="I27" s="16"/>
    </row>
    <row r="28" spans="1:21" x14ac:dyDescent="0.35">
      <c r="C28" s="16"/>
      <c r="H28" s="16"/>
      <c r="I28" s="16"/>
    </row>
  </sheetData>
  <autoFilter ref="A1:Z1" xr:uid="{B1AEBE00-7F0B-453E-9E31-B784E53F1D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2025-12-10T09:11:18Z</dcterms:created>
  <dcterms:modified xsi:type="dcterms:W3CDTF">2025-12-10T09:11:19Z</dcterms:modified>
</cp:coreProperties>
</file>