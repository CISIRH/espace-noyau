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Formation\"/>
    </mc:Choice>
  </mc:AlternateContent>
  <xr:revisionPtr revIDLastSave="0" documentId="13_ncr:1_{4C47AA28-54E9-42E8-98DD-8C2842E8218D}" xr6:coauthVersionLast="47" xr6:coauthVersionMax="47" xr10:uidLastSave="{00000000-0000-0000-0000-000000000000}"/>
  <bookViews>
    <workbookView xWindow="-110" yWindow="-110" windowWidth="19420" windowHeight="11500" xr2:uid="{87413608-3FB5-48B7-812D-6F2D046D78D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RG'!$A$1:$OJ$13</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A12" i="5" l="1"/>
  <c r="BA5" i="5"/>
  <c r="BA4" i="5"/>
  <c r="BA3" i="5"/>
  <c r="BA2" i="5"/>
  <c r="AY12" i="5"/>
  <c r="AY5" i="5"/>
  <c r="AY4" i="5"/>
  <c r="AY3" i="5"/>
  <c r="AY2" i="5"/>
  <c r="AW12" i="5"/>
  <c r="AW3" i="5"/>
  <c r="AU12" i="5"/>
  <c r="AU5" i="5"/>
  <c r="AU4" i="5"/>
  <c r="AU3" i="5"/>
  <c r="AU2" i="5"/>
  <c r="AS12" i="5"/>
  <c r="AS5" i="5"/>
  <c r="AS4" i="5"/>
  <c r="AS3" i="5"/>
  <c r="AS2" i="5"/>
  <c r="AQ12" i="5"/>
  <c r="AQ5" i="5"/>
  <c r="AQ4" i="5"/>
  <c r="AQ3" i="5"/>
  <c r="AQ2" i="5"/>
  <c r="AO12" i="5"/>
  <c r="AO5" i="5"/>
  <c r="AO4" i="5"/>
  <c r="AO3" i="5"/>
  <c r="AO2" i="5"/>
  <c r="AM12" i="5"/>
  <c r="AM5" i="5"/>
  <c r="AM4" i="5"/>
  <c r="AM3" i="5"/>
  <c r="AM2" i="5"/>
  <c r="AK12" i="5"/>
  <c r="AK5" i="5"/>
  <c r="AK4" i="5"/>
  <c r="AK3" i="5"/>
  <c r="AK2" i="5"/>
  <c r="AI12" i="5"/>
  <c r="AI5" i="5"/>
  <c r="AI4" i="5"/>
  <c r="AI3" i="5"/>
  <c r="AI2" i="5"/>
  <c r="AG12" i="5"/>
  <c r="AG5" i="5"/>
  <c r="AG4" i="5"/>
  <c r="AG3" i="5"/>
  <c r="AG2" i="5"/>
  <c r="AE12" i="5"/>
  <c r="AE5" i="5"/>
  <c r="AE4" i="5"/>
  <c r="AE3" i="5"/>
  <c r="AE2" i="5"/>
  <c r="AC12" i="5"/>
  <c r="AC5" i="5"/>
  <c r="AC4" i="5"/>
  <c r="AC3" i="5"/>
  <c r="AC2" i="5"/>
  <c r="AA12" i="5"/>
  <c r="AA5" i="5"/>
  <c r="AA4" i="5"/>
  <c r="AA3" i="5"/>
  <c r="AA2" i="5"/>
  <c r="Y12" i="5"/>
  <c r="Y5" i="5"/>
  <c r="Y4" i="5"/>
  <c r="Y3" i="5"/>
  <c r="Y2" i="5"/>
</calcChain>
</file>

<file path=xl/sharedStrings.xml><?xml version="1.0" encoding="utf-8"?>
<sst xmlns="http://schemas.openxmlformats.org/spreadsheetml/2006/main" count="1125" uniqueCount="196">
  <si>
    <t>MODE OPERATOIRE</t>
  </si>
  <si>
    <t>La transaction de l'événement "E0810 - Entretien de formation" s'effectue au niveau de la rubrique "Actions de formation" et inclut la sous-rubrique ''Formation demandée/suivie''.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</si>
  <si>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</si>
  <si>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</si>
  <si>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</si>
  <si>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</si>
  <si>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</si>
  <si>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</si>
  <si>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</si>
  <si>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</si>
  <si>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</si>
  <si>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</si>
  <si>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</si>
  <si>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</si>
  <si>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</si>
  <si>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</si>
  <si>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</si>
  <si>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</si>
  <si>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</si>
  <si>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</si>
  <si>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</si>
  <si>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</si>
  <si>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</si>
  <si>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</si>
  <si>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</si>
  <si>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</si>
  <si>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</si>
  <si>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</si>
  <si>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</si>
  <si>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</si>
  <si>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</si>
  <si>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</si>
  <si>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</si>
  <si>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</si>
  <si>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</si>
  <si>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</si>
  <si>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</si>
  <si>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</si>
  <si>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</si>
  <si>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</si>
  <si>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</si>
  <si>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</si>
  <si>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</si>
  <si>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</si>
  <si>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</si>
  <si>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</si>
  <si>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</si>
  <si>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</si>
  <si>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</si>
  <si>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</si>
  <si>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</si>
  <si>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</si>
  <si>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contrôle  1</t>
  </si>
  <si>
    <t>Libellé Règle de contrôle  1</t>
  </si>
  <si>
    <t>FIME</t>
  </si>
  <si>
    <t>Statut de travail</t>
  </si>
  <si>
    <t>20.00.00</t>
  </si>
  <si>
    <t>A</t>
  </si>
  <si>
    <t>D0009</t>
  </si>
  <si>
    <t>Formation</t>
  </si>
  <si>
    <t>S0144</t>
  </si>
  <si>
    <t>Entretien de formation</t>
  </si>
  <si>
    <t>E0810</t>
  </si>
  <si>
    <t>La date de l'entretien de formation est saisie</t>
  </si>
  <si>
    <t>A_NEV_ENTFOR [Saisi] &lt;&gt; Vide</t>
  </si>
  <si>
    <t>T2007</t>
  </si>
  <si>
    <t>Création Modification</t>
  </si>
  <si>
    <t>Titulaire ou magistrat</t>
  </si>
  <si>
    <t>P0001</t>
  </si>
  <si>
    <t>Général</t>
  </si>
  <si>
    <t>Passant</t>
  </si>
  <si>
    <t>EFO_I_001 ET EFO_I_002 ET EFO_I_003 ET EFO_I_004 ET EFO_I_005 ET EFO_I_006 ET EFO_I_007 ET EFO_I_008 ET EFO_I_009 ET EFO_I_010 ET EFO_I_011 ET EFO_I_012 ET EFO_D_001 ET EFO_C_001</t>
  </si>
  <si>
    <t>EFO_I_001</t>
  </si>
  <si>
    <t>L'entretien de formation vise à déterminer les besoins en formation de l'agent au vu des objectifs qui lui sont fixés et de son projet professionnel.</t>
  </si>
  <si>
    <t>EFO_I_002</t>
  </si>
  <si>
    <t>L'entretien de formation complète l'entretien d'évaluation dont il suit la périodicité, et peut lui être associé.</t>
  </si>
  <si>
    <t>EFO_I_003</t>
  </si>
  <si>
    <t>Avant l'entretien, l'agent peut consulter le service chargé de la formation.</t>
  </si>
  <si>
    <t>EFO_I_004</t>
  </si>
  <si>
    <t>L'entretien de formation est conduit par le supérieur hiérarchique de l'agent.</t>
  </si>
  <si>
    <t>EFO_I_005</t>
  </si>
  <si>
    <t>Lors de l'entretien de formation, sont rappelées les suites données aux demandes antérieures de formation de l'agent, puis sont débattues les formations nécessaires pour la nouvelle période au vu de ses missions et de ses perspectives professionnelles.</t>
  </si>
  <si>
    <t>EFO_I_006</t>
  </si>
  <si>
    <t>L'entretien permet à l'agent de présenter, le cas échéant, les demandes de préparation concours, validation des acquis de l'expérience, bilan de compétences et période de professionnalisation.</t>
  </si>
  <si>
    <t>EFO_I_007</t>
  </si>
  <si>
    <t>Un compte rendu de l'entretien est établi sous la responsabilité du supérieur hiérarchique.</t>
  </si>
  <si>
    <t>EFO_I_008</t>
  </si>
  <si>
    <t>Le compte rendu contient les objectifs de formation proposés à l'agent.</t>
  </si>
  <si>
    <t>EFO_I_009</t>
  </si>
  <si>
    <t>L'agent reçoit la communication du compte rendu et peut y ajouter ses observations.</t>
  </si>
  <si>
    <t>EFO_I_010</t>
  </si>
  <si>
    <t>Le compte rendu ainsi qu'une fiche retraçant les actions de formation auxquelles l'agent a participé et les actions de l'agent en tant que formateur sont versés à son dossier.</t>
  </si>
  <si>
    <t>EFO_I_011</t>
  </si>
  <si>
    <t>L'agent est informé par son supérieur hiérarchique des suites données à son entretien de formation.</t>
  </si>
  <si>
    <t>EFO_I_012</t>
  </si>
  <si>
    <t>Les refus opposés aux demandes de formation présentées à l'occasion de l'entretien de formation sont motivés.</t>
  </si>
  <si>
    <t>EFO_D_001</t>
  </si>
  <si>
    <t>L'agent doit être en activité.</t>
  </si>
  <si>
    <t>EFO_C_001</t>
  </si>
  <si>
    <t>La date de l'entretien de formation doit être postérieure ou égale à la date de recrutement dans la FPE.</t>
  </si>
  <si>
    <t>Contractuel</t>
  </si>
  <si>
    <t>P0003</t>
  </si>
  <si>
    <t>EFO_I_013 ET EFO_I_014 ET EFO_I_015 ET EFO_I_016 ET EFO_I_017 ET EFO_I_018 ET EFO_I_019 ET EFO_I_020 ET EFO_I_021 ET EFO_I_022 ET EFO_I_023 ET EFO_I_024 ET EFO_I_025 ET EFO_D_001 ET EFO_C_002</t>
  </si>
  <si>
    <t>EFO_I_013</t>
  </si>
  <si>
    <t>L'agent détaché auprès d'une administration de l'Etat ou dans un établissement public de l'Etat dans un emploi ne conduisant pas à pension est soumis aux règles applicables aux titulaires.</t>
  </si>
  <si>
    <t>EFO_I_014</t>
  </si>
  <si>
    <t>EFO_I_015</t>
  </si>
  <si>
    <t>EFO_I_016</t>
  </si>
  <si>
    <t>EFO_I_017</t>
  </si>
  <si>
    <t>EFO_I_018</t>
  </si>
  <si>
    <t>EFO_I_019</t>
  </si>
  <si>
    <t>EFO_I_020</t>
  </si>
  <si>
    <t>EFO_I_021</t>
  </si>
  <si>
    <t>EFO_I_022</t>
  </si>
  <si>
    <t>EFO_I_023</t>
  </si>
  <si>
    <t>Le compte rendu ainsi qu'une fiche retraçant les actions de formation de l'agent en tant que participant ou formateur sont versés à son dossier.</t>
  </si>
  <si>
    <t>EFO_I_024</t>
  </si>
  <si>
    <t>EFO_I_025</t>
  </si>
  <si>
    <t>EFO_C_002</t>
  </si>
  <si>
    <t>La date de l'entretien de formation doit être postérieure ou égale à la date de début du lien juridique.</t>
  </si>
  <si>
    <t>Stagiaire ou auditeur ou élève</t>
  </si>
  <si>
    <t>P0004</t>
  </si>
  <si>
    <t>Ouvrier d'état</t>
  </si>
  <si>
    <t>P0005</t>
  </si>
  <si>
    <t>EFO_I_014 ET EFO_I_015 ET EFO_I_016 ET EFO_I_017 ET EFO_I_018 ET EFO_I_019 ET EFO_I_020 ET EFO_I_021 ET EFO_I_022 ET EFO_I_023 ET EFO_I_024 ET EFO_I_025 ET EFO_D_001 ET EFO_C_002</t>
  </si>
  <si>
    <t>Magistrat de l'ordre judiciaire</t>
  </si>
  <si>
    <t>P0007</t>
  </si>
  <si>
    <t>Particulier</t>
  </si>
  <si>
    <t>Exclu</t>
  </si>
  <si>
    <t>Auditeur de justice</t>
  </si>
  <si>
    <t>P0009</t>
  </si>
  <si>
    <t>Conseiller ou avocat général à la Cour de cassation en service extraordinaire</t>
  </si>
  <si>
    <t>P0046</t>
  </si>
  <si>
    <t>Personnel civil payé à l'acte ou à la tâche</t>
  </si>
  <si>
    <t>P0054</t>
  </si>
  <si>
    <t>Ouvrier de la défense auxiliaire non affilié ou temporaire non mensualisé</t>
  </si>
  <si>
    <t>P0182</t>
  </si>
  <si>
    <t>25.10.00</t>
  </si>
  <si>
    <t>M</t>
  </si>
  <si>
    <t>Ouvrier des parcs et ateliers confirmé non affilié ou stagiaire</t>
  </si>
  <si>
    <t>P0185</t>
  </si>
  <si>
    <t>2025-119</t>
  </si>
  <si>
    <t>EFO_I_026 ET EFO_I_014 ET EFO_I_015 ET EFO_I_016 ET EFO_I_017 ET EFO_I_018 ET EFO_I_019 ET EFO_I_020 ET EFO_I_021 ET EFO_I_022 ET EFO_I_023 ET EFO_I_024 ET EFO_I_025 ET EFO_D_001 ET EFO_C_002</t>
  </si>
  <si>
    <t>EFO_I_026</t>
  </si>
  <si>
    <t>L'agent bénéficie des dispositions applicables aux agents ouvriers affiliés pour l'entretien de formation.</t>
  </si>
  <si>
    <t>Ouvrier du service des alcools confirmé non affilié</t>
  </si>
  <si>
    <t>P0221</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</si>
  <si>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</si>
  <si>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</si>
  <si>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</si>
  <si>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</si>
  <si>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</si>
  <si>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</si>
  <si>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</si>
  <si>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</si>
  <si>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</si>
  <si>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</si>
  <si>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</si>
  <si>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</si>
  <si>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</si>
  <si>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</si>
  <si>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</si>
  <si>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</si>
  <si>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</si>
  <si>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</si>
  <si>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</si>
  <si>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</si>
  <si>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</si>
  <si>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</si>
  <si>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</si>
  <si>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</si>
  <si>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</si>
  <si>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</si>
  <si>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</si>
  <si>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</si>
  <si>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</si>
  <si>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</si>
  <si>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</si>
  <si>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2007-1470 A3 / Décret 2007-1942 A2</t>
  </si>
  <si>
    <t>A_POS_POSIAD [Dossier] = POSITION_SITUATION.R_FOR_IDEN05 ET (POSITION_SITUATION.R_REL_PSSAG2 DANS ('ACI','HCA','MAD','DEL','MDE','MLD') OU (POSITION_SITUATION.R_REL_PSSAG1 DANS ('DEE00','DES00')))</t>
  </si>
  <si>
    <t>Bloquant</t>
  </si>
  <si>
    <t>P0185 - P0001 / P0003 / P0004 / P0005 - E0810</t>
  </si>
  <si>
    <t>x</t>
  </si>
  <si>
    <t>Contrôle</t>
  </si>
  <si>
    <t>P_ACF_DDSFOR [Saisi] &gt;= A_SAP_DENFPE [Dossier]</t>
  </si>
  <si>
    <t>P0001 / P0004 - E0810</t>
  </si>
  <si>
    <t>P_ACF_DDSFOR [Saisi] &gt;= A_CAR_DDLIJU [Dossier]</t>
  </si>
  <si>
    <t>P0003 / P0005 - E0810</t>
  </si>
  <si>
    <t>Intellectuel</t>
  </si>
  <si>
    <t>Décret 2007-1470 A5</t>
  </si>
  <si>
    <t>Non Bloquant</t>
  </si>
  <si>
    <t>Décret 2007-1470 A3 / Décret 2007-1942 A1</t>
  </si>
  <si>
    <t>Décret 2007-1470 A5 / Décret 2007-1942 A2</t>
  </si>
  <si>
    <t>P0185 - P0003 / P0005 - E0810</t>
  </si>
  <si>
    <t>Décret 2007-1470 A5 / Décret 2007-1942 A2 / Décret 65-382 A8-2</t>
  </si>
  <si>
    <t>P0185 - E0810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</si>
</sst>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F889-0B7E-4951-A998-7876D722471B}">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CE32-75B7-49EF-950C-4F73E147CE84}">
  <dimension ref="A1:BC63"/>
  <sheetViews>
    <sheetView workbookViewId="0">
      <pane ySplit="1" topLeftCell="A3" activePane="bottomLeft" state="frozenSplit"/>
      <selection pane="bottomLeft" activeCell="AX3" sqref="AX3"/>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9.6328125" style="18" customWidth="1"/>
    <col min="55" max="55" width="15.6328125" style="17" customWidth="1"/>
    <col min="56" max="16384" width="10.90625" style="12"/>
  </cols>
  <sheetData>
    <row r="1" spans="1:5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row>
    <row r="2" spans="1:55" ht="159.5" x14ac:dyDescent="0.35">
      <c r="A2" s="13" t="s">
        <v>56</v>
      </c>
      <c r="B2" s="13" t="s">
        <v>57</v>
      </c>
      <c r="C2" s="14">
        <v>43880.711111111108</v>
      </c>
      <c r="D2" s="13" t="s">
        <v>58</v>
      </c>
      <c r="E2" s="15" t="s">
        <v>59</v>
      </c>
      <c r="F2" s="13" t="s">
        <v>60</v>
      </c>
      <c r="G2" s="15" t="s">
        <v>61</v>
      </c>
      <c r="H2" s="13" t="s">
        <v>62</v>
      </c>
      <c r="I2" s="15" t="s">
        <v>61</v>
      </c>
      <c r="J2" s="15" t="s">
        <v>63</v>
      </c>
      <c r="K2" s="15" t="s">
        <v>64</v>
      </c>
      <c r="L2" s="13" t="s">
        <v>65</v>
      </c>
      <c r="M2" s="15" t="s">
        <v>61</v>
      </c>
      <c r="N2" s="13" t="s">
        <v>66</v>
      </c>
      <c r="O2" s="15"/>
      <c r="P2" s="15"/>
      <c r="Q2" s="15" t="s">
        <v>67</v>
      </c>
      <c r="R2" s="13" t="s">
        <v>68</v>
      </c>
      <c r="S2" s="13" t="s">
        <v>69</v>
      </c>
      <c r="T2" s="13" t="s">
        <v>70</v>
      </c>
      <c r="U2" s="14">
        <v>40725</v>
      </c>
      <c r="V2" s="14"/>
      <c r="W2" s="15" t="s">
        <v>71</v>
      </c>
      <c r="X2" s="13" t="s">
        <v>72</v>
      </c>
      <c r="Y2" s="15" t="str">
        <f>VLOOKUP(X2,'Axe 2 Règles de gestion'!$D$2:$F$30,3, FALSE)</f>
        <v>L'entretien de formation vise à déterminer les besoins en formation de l'agent au vu des objectifs qui lui sont fixés et de son projet professionnel.</v>
      </c>
      <c r="Z2" s="13" t="s">
        <v>74</v>
      </c>
      <c r="AA2" s="15" t="str">
        <f>VLOOKUP(Z2,'Axe 2 Règles de gestion'!$D$2:$F$30,3, FALSE)</f>
        <v>L'entretien de formation complète l'entretien d'évaluation dont il suit la périodicité, et peut lui être associé.</v>
      </c>
      <c r="AB2" s="13" t="s">
        <v>76</v>
      </c>
      <c r="AC2" s="15" t="str">
        <f>VLOOKUP(AB2,'Axe 2 Règles de gestion'!$D$2:$F$30,3, FALSE)</f>
        <v>Avant l'entretien, l'agent peut consulter le service chargé de la formation.</v>
      </c>
      <c r="AD2" s="13" t="s">
        <v>78</v>
      </c>
      <c r="AE2" s="15" t="str">
        <f>VLOOKUP(AD2,'Axe 2 Règles de gestion'!$D$2:$F$30,3, FALSE)</f>
        <v>L'entretien de formation est conduit par le supérieur hiérarchique de l'agent.</v>
      </c>
      <c r="AF2" s="13" t="s">
        <v>80</v>
      </c>
      <c r="AG2" s="15" t="str">
        <f>VLOOKUP(AF2,'Axe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H2" s="13" t="s">
        <v>82</v>
      </c>
      <c r="AI2" s="15" t="str">
        <f>VLOOKUP(AH2,'Axe 2 Règles de gestion'!$D$2:$F$30,3, FALSE)</f>
        <v>L'entretien permet à l'agent de présenter, le cas échéant, les demandes de préparation concours, validation des acquis de l'expérience, bilan de compétences et période de professionnalisation.</v>
      </c>
      <c r="AJ2" s="13" t="s">
        <v>84</v>
      </c>
      <c r="AK2" s="15" t="str">
        <f>VLOOKUP(AJ2,'Axe 2 Règles de gestion'!$D$2:$F$30,3, FALSE)</f>
        <v>Un compte rendu de l'entretien est établi sous la responsabilité du supérieur hiérarchique.</v>
      </c>
      <c r="AL2" s="13" t="s">
        <v>86</v>
      </c>
      <c r="AM2" s="15" t="str">
        <f>VLOOKUP(AL2,'Axe 2 Règles de gestion'!$D$2:$F$30,3, FALSE)</f>
        <v>Le compte rendu contient les objectifs de formation proposés à l'agent.</v>
      </c>
      <c r="AN2" s="13" t="s">
        <v>88</v>
      </c>
      <c r="AO2" s="15" t="str">
        <f>VLOOKUP(AN2,'Axe 2 Règles de gestion'!$D$2:$F$30,3, FALSE)</f>
        <v>L'agent reçoit la communication du compte rendu et peut y ajouter ses observations.</v>
      </c>
      <c r="AP2" s="13" t="s">
        <v>90</v>
      </c>
      <c r="AQ2" s="15" t="str">
        <f>VLOOKUP(AP2,'Axe 2 Règles de gestion'!$D$2:$F$30,3, FALSE)</f>
        <v>Le compte rendu ainsi qu'une fiche retraçant les actions de formation auxquelles l'agent a participé et les actions de l'agent en tant que formateur sont versés à son dossier.</v>
      </c>
      <c r="AR2" s="13" t="s">
        <v>92</v>
      </c>
      <c r="AS2" s="15" t="str">
        <f>VLOOKUP(AR2,'Axe 2 Règles de gestion'!$D$2:$F$30,3, FALSE)</f>
        <v>L'agent est informé par son supérieur hiérarchique des suites données à son entretien de formation.</v>
      </c>
      <c r="AT2" s="13" t="s">
        <v>94</v>
      </c>
      <c r="AU2" s="15" t="str">
        <f>VLOOKUP(AT2,'Axe 2 Règles de gestion'!$D$2:$F$30,3, FALSE)</f>
        <v>Les refus opposés aux demandes de formation présentées à l'occasion de l'entretien de formation sont motivés.</v>
      </c>
      <c r="AV2" s="13"/>
      <c r="AW2" s="15"/>
      <c r="AX2" s="13" t="s">
        <v>96</v>
      </c>
      <c r="AY2" s="15" t="str">
        <f>VLOOKUP(AX2,'Axe 2 Règles de gestion'!$D$2:$F$30,3, FALSE)</f>
        <v>L'agent doit être en activité.</v>
      </c>
      <c r="AZ2" s="13" t="s">
        <v>98</v>
      </c>
      <c r="BA2" s="15" t="str">
        <f>VLOOKUP(AZ2,'Axe 2 Règles de gestion'!$D$2:$F$30,3, FALSE)</f>
        <v>La date de l'entretien de formation doit être postérieure ou égale à la date de recrutement dans la FPE.</v>
      </c>
      <c r="BB2" s="13"/>
      <c r="BC2" s="15"/>
    </row>
    <row r="3" spans="1:55" ht="159.5" x14ac:dyDescent="0.35">
      <c r="A3" s="13" t="s">
        <v>56</v>
      </c>
      <c r="B3" s="13" t="s">
        <v>57</v>
      </c>
      <c r="C3" s="14">
        <v>43880.712500000001</v>
      </c>
      <c r="D3" s="13" t="s">
        <v>58</v>
      </c>
      <c r="E3" s="15" t="s">
        <v>59</v>
      </c>
      <c r="F3" s="13" t="s">
        <v>60</v>
      </c>
      <c r="G3" s="15" t="s">
        <v>61</v>
      </c>
      <c r="H3" s="13" t="s">
        <v>62</v>
      </c>
      <c r="I3" s="15" t="s">
        <v>61</v>
      </c>
      <c r="J3" s="15" t="s">
        <v>63</v>
      </c>
      <c r="K3" s="15" t="s">
        <v>64</v>
      </c>
      <c r="L3" s="13" t="s">
        <v>65</v>
      </c>
      <c r="M3" s="15" t="s">
        <v>61</v>
      </c>
      <c r="N3" s="13" t="s">
        <v>66</v>
      </c>
      <c r="O3" s="15"/>
      <c r="P3" s="15"/>
      <c r="Q3" s="15" t="s">
        <v>100</v>
      </c>
      <c r="R3" s="13" t="s">
        <v>101</v>
      </c>
      <c r="S3" s="13" t="s">
        <v>69</v>
      </c>
      <c r="T3" s="13" t="s">
        <v>70</v>
      </c>
      <c r="U3" s="14">
        <v>40725</v>
      </c>
      <c r="V3" s="14"/>
      <c r="W3" s="15" t="s">
        <v>102</v>
      </c>
      <c r="X3" s="13" t="s">
        <v>103</v>
      </c>
      <c r="Y3" s="15" t="str">
        <f>VLOOKUP(X3,'Axe 2 Règles de gestion'!$D$2:$F$30,3, FALSE)</f>
        <v>L'agent détaché auprès d'une administration de l'Etat ou dans un établissement public de l'Etat dans un emploi ne conduisant pas à pension est soumis aux règles applicables aux titulaires.</v>
      </c>
      <c r="Z3" s="13" t="s">
        <v>105</v>
      </c>
      <c r="AA3" s="15" t="str">
        <f>VLOOKUP(Z3,'Axe 2 Règles de gestion'!$D$2:$F$30,3, FALSE)</f>
        <v>L'entretien de formation vise à déterminer les besoins en formation de l'agent au vu des objectifs qui lui sont fixés et de son projet professionnel.</v>
      </c>
      <c r="AB3" s="13" t="s">
        <v>106</v>
      </c>
      <c r="AC3" s="15" t="str">
        <f>VLOOKUP(AB3,'Axe 2 Règles de gestion'!$D$2:$F$30,3, FALSE)</f>
        <v>L'entretien de formation complète l'entretien d'évaluation dont il suit la périodicité, et peut lui être associé.</v>
      </c>
      <c r="AD3" s="13" t="s">
        <v>107</v>
      </c>
      <c r="AE3" s="15" t="str">
        <f>VLOOKUP(AD3,'Axe 2 Règles de gestion'!$D$2:$F$30,3, FALSE)</f>
        <v>Avant l'entretien, l'agent peut consulter le service chargé de la formation.</v>
      </c>
      <c r="AF3" s="13" t="s">
        <v>108</v>
      </c>
      <c r="AG3" s="15" t="str">
        <f>VLOOKUP(AF3,'Axe 2 Règles de gestion'!$D$2:$F$30,3, FALSE)</f>
        <v>L'entretien de formation est conduit par le supérieur hiérarchique de l'agent.</v>
      </c>
      <c r="AH3" s="13" t="s">
        <v>109</v>
      </c>
      <c r="AI3" s="15" t="str">
        <f>VLOOKUP(AH3,'Axe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J3" s="13" t="s">
        <v>110</v>
      </c>
      <c r="AK3" s="15" t="str">
        <f>VLOOKUP(AJ3,'Axe 2 Règles de gestion'!$D$2:$F$30,3, FALSE)</f>
        <v>L'entretien permet à l'agent de présenter, le cas échéant, les demandes de préparation concours, validation des acquis de l'expérience, bilan de compétences et période de professionnalisation.</v>
      </c>
      <c r="AL3" s="13" t="s">
        <v>111</v>
      </c>
      <c r="AM3" s="15" t="str">
        <f>VLOOKUP(AL3,'Axe 2 Règles de gestion'!$D$2:$F$30,3, FALSE)</f>
        <v>Un compte rendu de l'entretien est établi sous la responsabilité du supérieur hiérarchique.</v>
      </c>
      <c r="AN3" s="13" t="s">
        <v>112</v>
      </c>
      <c r="AO3" s="15" t="str">
        <f>VLOOKUP(AN3,'Axe 2 Règles de gestion'!$D$2:$F$30,3, FALSE)</f>
        <v>Le compte rendu contient les objectifs de formation proposés à l'agent.</v>
      </c>
      <c r="AP3" s="13" t="s">
        <v>113</v>
      </c>
      <c r="AQ3" s="15" t="str">
        <f>VLOOKUP(AP3,'Axe 2 Règles de gestion'!$D$2:$F$30,3, FALSE)</f>
        <v>L'agent reçoit la communication du compte rendu et peut y ajouter ses observations.</v>
      </c>
      <c r="AR3" s="13" t="s">
        <v>114</v>
      </c>
      <c r="AS3" s="15" t="str">
        <f>VLOOKUP(AR3,'Axe 2 Règles de gestion'!$D$2:$F$30,3, FALSE)</f>
        <v>Le compte rendu ainsi qu'une fiche retraçant les actions de formation de l'agent en tant que participant ou formateur sont versés à son dossier.</v>
      </c>
      <c r="AT3" s="13" t="s">
        <v>116</v>
      </c>
      <c r="AU3" s="15" t="str">
        <f>VLOOKUP(AT3,'Axe 2 Règles de gestion'!$D$2:$F$30,3, FALSE)</f>
        <v>L'agent est informé par son supérieur hiérarchique des suites données à son entretien de formation.</v>
      </c>
      <c r="AV3" s="13" t="s">
        <v>117</v>
      </c>
      <c r="AW3" s="15" t="str">
        <f>VLOOKUP(AV3,'Axe 2 Règles de gestion'!$D$2:$F$30,3, FALSE)</f>
        <v>Les refus opposés aux demandes de formation présentées à l'occasion de l'entretien de formation sont motivés.</v>
      </c>
      <c r="AX3" s="13" t="s">
        <v>96</v>
      </c>
      <c r="AY3" s="15" t="str">
        <f>VLOOKUP(AX3,'Axe 2 Règles de gestion'!$D$2:$F$30,3, FALSE)</f>
        <v>L'agent doit être en activité.</v>
      </c>
      <c r="AZ3" s="13" t="s">
        <v>118</v>
      </c>
      <c r="BA3" s="15" t="str">
        <f>VLOOKUP(AZ3,'Axe 2 Règles de gestion'!$D$2:$F$30,3, FALSE)</f>
        <v>La date de l'entretien de formation doit être postérieure ou égale à la date de début du lien juridique.</v>
      </c>
      <c r="BB3" s="13"/>
      <c r="BC3" s="15"/>
    </row>
    <row r="4" spans="1:55" ht="159.5" x14ac:dyDescent="0.35">
      <c r="A4" s="13" t="s">
        <v>56</v>
      </c>
      <c r="B4" s="13" t="s">
        <v>57</v>
      </c>
      <c r="C4" s="14">
        <v>43880.712500000001</v>
      </c>
      <c r="D4" s="13" t="s">
        <v>58</v>
      </c>
      <c r="E4" s="15" t="s">
        <v>59</v>
      </c>
      <c r="F4" s="13" t="s">
        <v>60</v>
      </c>
      <c r="G4" s="15" t="s">
        <v>61</v>
      </c>
      <c r="H4" s="13" t="s">
        <v>62</v>
      </c>
      <c r="I4" s="15" t="s">
        <v>61</v>
      </c>
      <c r="J4" s="15" t="s">
        <v>63</v>
      </c>
      <c r="K4" s="15" t="s">
        <v>64</v>
      </c>
      <c r="L4" s="13" t="s">
        <v>65</v>
      </c>
      <c r="M4" s="15" t="s">
        <v>61</v>
      </c>
      <c r="N4" s="13" t="s">
        <v>66</v>
      </c>
      <c r="O4" s="15"/>
      <c r="P4" s="15"/>
      <c r="Q4" s="15" t="s">
        <v>120</v>
      </c>
      <c r="R4" s="13" t="s">
        <v>121</v>
      </c>
      <c r="S4" s="13" t="s">
        <v>69</v>
      </c>
      <c r="T4" s="13" t="s">
        <v>70</v>
      </c>
      <c r="U4" s="14">
        <v>40725</v>
      </c>
      <c r="V4" s="14"/>
      <c r="W4" s="15" t="s">
        <v>71</v>
      </c>
      <c r="X4" s="13" t="s">
        <v>72</v>
      </c>
      <c r="Y4" s="15" t="str">
        <f>VLOOKUP(X4,'Axe 2 Règles de gestion'!$D$2:$F$30,3, FALSE)</f>
        <v>L'entretien de formation vise à déterminer les besoins en formation de l'agent au vu des objectifs qui lui sont fixés et de son projet professionnel.</v>
      </c>
      <c r="Z4" s="13" t="s">
        <v>74</v>
      </c>
      <c r="AA4" s="15" t="str">
        <f>VLOOKUP(Z4,'Axe 2 Règles de gestion'!$D$2:$F$30,3, FALSE)</f>
        <v>L'entretien de formation complète l'entretien d'évaluation dont il suit la périodicité, et peut lui être associé.</v>
      </c>
      <c r="AB4" s="13" t="s">
        <v>76</v>
      </c>
      <c r="AC4" s="15" t="str">
        <f>VLOOKUP(AB4,'Axe 2 Règles de gestion'!$D$2:$F$30,3, FALSE)</f>
        <v>Avant l'entretien, l'agent peut consulter le service chargé de la formation.</v>
      </c>
      <c r="AD4" s="13" t="s">
        <v>78</v>
      </c>
      <c r="AE4" s="15" t="str">
        <f>VLOOKUP(AD4,'Axe 2 Règles de gestion'!$D$2:$F$30,3, FALSE)</f>
        <v>L'entretien de formation est conduit par le supérieur hiérarchique de l'agent.</v>
      </c>
      <c r="AF4" s="13" t="s">
        <v>80</v>
      </c>
      <c r="AG4" s="15" t="str">
        <f>VLOOKUP(AF4,'Axe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H4" s="13" t="s">
        <v>82</v>
      </c>
      <c r="AI4" s="15" t="str">
        <f>VLOOKUP(AH4,'Axe 2 Règles de gestion'!$D$2:$F$30,3, FALSE)</f>
        <v>L'entretien permet à l'agent de présenter, le cas échéant, les demandes de préparation concours, validation des acquis de l'expérience, bilan de compétences et période de professionnalisation.</v>
      </c>
      <c r="AJ4" s="13" t="s">
        <v>84</v>
      </c>
      <c r="AK4" s="15" t="str">
        <f>VLOOKUP(AJ4,'Axe 2 Règles de gestion'!$D$2:$F$30,3, FALSE)</f>
        <v>Un compte rendu de l'entretien est établi sous la responsabilité du supérieur hiérarchique.</v>
      </c>
      <c r="AL4" s="13" t="s">
        <v>86</v>
      </c>
      <c r="AM4" s="15" t="str">
        <f>VLOOKUP(AL4,'Axe 2 Règles de gestion'!$D$2:$F$30,3, FALSE)</f>
        <v>Le compte rendu contient les objectifs de formation proposés à l'agent.</v>
      </c>
      <c r="AN4" s="13" t="s">
        <v>88</v>
      </c>
      <c r="AO4" s="15" t="str">
        <f>VLOOKUP(AN4,'Axe 2 Règles de gestion'!$D$2:$F$30,3, FALSE)</f>
        <v>L'agent reçoit la communication du compte rendu et peut y ajouter ses observations.</v>
      </c>
      <c r="AP4" s="13" t="s">
        <v>90</v>
      </c>
      <c r="AQ4" s="15" t="str">
        <f>VLOOKUP(AP4,'Axe 2 Règles de gestion'!$D$2:$F$30,3, FALSE)</f>
        <v>Le compte rendu ainsi qu'une fiche retraçant les actions de formation auxquelles l'agent a participé et les actions de l'agent en tant que formateur sont versés à son dossier.</v>
      </c>
      <c r="AR4" s="13" t="s">
        <v>92</v>
      </c>
      <c r="AS4" s="15" t="str">
        <f>VLOOKUP(AR4,'Axe 2 Règles de gestion'!$D$2:$F$30,3, FALSE)</f>
        <v>L'agent est informé par son supérieur hiérarchique des suites données à son entretien de formation.</v>
      </c>
      <c r="AT4" s="13" t="s">
        <v>94</v>
      </c>
      <c r="AU4" s="15" t="str">
        <f>VLOOKUP(AT4,'Axe 2 Règles de gestion'!$D$2:$F$30,3, FALSE)</f>
        <v>Les refus opposés aux demandes de formation présentées à l'occasion de l'entretien de formation sont motivés.</v>
      </c>
      <c r="AV4" s="13"/>
      <c r="AW4" s="15"/>
      <c r="AX4" s="13" t="s">
        <v>96</v>
      </c>
      <c r="AY4" s="15" t="str">
        <f>VLOOKUP(AX4,'Axe 2 Règles de gestion'!$D$2:$F$30,3, FALSE)</f>
        <v>L'agent doit être en activité.</v>
      </c>
      <c r="AZ4" s="13" t="s">
        <v>98</v>
      </c>
      <c r="BA4" s="15" t="str">
        <f>VLOOKUP(AZ4,'Axe 2 Règles de gestion'!$D$2:$F$30,3, FALSE)</f>
        <v>La date de l'entretien de formation doit être postérieure ou égale à la date de recrutement dans la FPE.</v>
      </c>
      <c r="BB4" s="13"/>
      <c r="BC4" s="15"/>
    </row>
    <row r="5" spans="1:55" ht="159.5" x14ac:dyDescent="0.35">
      <c r="A5" s="13" t="s">
        <v>56</v>
      </c>
      <c r="B5" s="13" t="s">
        <v>57</v>
      </c>
      <c r="C5" s="14">
        <v>43880.713888888888</v>
      </c>
      <c r="D5" s="13" t="s">
        <v>58</v>
      </c>
      <c r="E5" s="15" t="s">
        <v>59</v>
      </c>
      <c r="F5" s="13" t="s">
        <v>60</v>
      </c>
      <c r="G5" s="15" t="s">
        <v>61</v>
      </c>
      <c r="H5" s="13" t="s">
        <v>62</v>
      </c>
      <c r="I5" s="15" t="s">
        <v>61</v>
      </c>
      <c r="J5" s="15" t="s">
        <v>63</v>
      </c>
      <c r="K5" s="15" t="s">
        <v>64</v>
      </c>
      <c r="L5" s="13" t="s">
        <v>65</v>
      </c>
      <c r="M5" s="15" t="s">
        <v>61</v>
      </c>
      <c r="N5" s="13" t="s">
        <v>66</v>
      </c>
      <c r="O5" s="15"/>
      <c r="P5" s="15"/>
      <c r="Q5" s="15" t="s">
        <v>122</v>
      </c>
      <c r="R5" s="13" t="s">
        <v>123</v>
      </c>
      <c r="S5" s="13" t="s">
        <v>69</v>
      </c>
      <c r="T5" s="13" t="s">
        <v>70</v>
      </c>
      <c r="U5" s="14">
        <v>40725</v>
      </c>
      <c r="V5" s="14"/>
      <c r="W5" s="15" t="s">
        <v>124</v>
      </c>
      <c r="X5" s="13" t="s">
        <v>105</v>
      </c>
      <c r="Y5" s="15" t="str">
        <f>VLOOKUP(X5,'Axe 2 Règles de gestion'!$D$2:$F$30,3, FALSE)</f>
        <v>L'entretien de formation vise à déterminer les besoins en formation de l'agent au vu des objectifs qui lui sont fixés et de son projet professionnel.</v>
      </c>
      <c r="Z5" s="13" t="s">
        <v>106</v>
      </c>
      <c r="AA5" s="15" t="str">
        <f>VLOOKUP(Z5,'Axe 2 Règles de gestion'!$D$2:$F$30,3, FALSE)</f>
        <v>L'entretien de formation complète l'entretien d'évaluation dont il suit la périodicité, et peut lui être associé.</v>
      </c>
      <c r="AB5" s="13" t="s">
        <v>107</v>
      </c>
      <c r="AC5" s="15" t="str">
        <f>VLOOKUP(AB5,'Axe 2 Règles de gestion'!$D$2:$F$30,3, FALSE)</f>
        <v>Avant l'entretien, l'agent peut consulter le service chargé de la formation.</v>
      </c>
      <c r="AD5" s="13" t="s">
        <v>108</v>
      </c>
      <c r="AE5" s="15" t="str">
        <f>VLOOKUP(AD5,'Axe 2 Règles de gestion'!$D$2:$F$30,3, FALSE)</f>
        <v>L'entretien de formation est conduit par le supérieur hiérarchique de l'agent.</v>
      </c>
      <c r="AF5" s="13" t="s">
        <v>109</v>
      </c>
      <c r="AG5" s="15" t="str">
        <f>VLOOKUP(AF5,'Axe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H5" s="13" t="s">
        <v>110</v>
      </c>
      <c r="AI5" s="15" t="str">
        <f>VLOOKUP(AH5,'Axe 2 Règles de gestion'!$D$2:$F$30,3, FALSE)</f>
        <v>L'entretien permet à l'agent de présenter, le cas échéant, les demandes de préparation concours, validation des acquis de l'expérience, bilan de compétences et période de professionnalisation.</v>
      </c>
      <c r="AJ5" s="13" t="s">
        <v>111</v>
      </c>
      <c r="AK5" s="15" t="str">
        <f>VLOOKUP(AJ5,'Axe 2 Règles de gestion'!$D$2:$F$30,3, FALSE)</f>
        <v>Un compte rendu de l'entretien est établi sous la responsabilité du supérieur hiérarchique.</v>
      </c>
      <c r="AL5" s="13" t="s">
        <v>112</v>
      </c>
      <c r="AM5" s="15" t="str">
        <f>VLOOKUP(AL5,'Axe 2 Règles de gestion'!$D$2:$F$30,3, FALSE)</f>
        <v>Le compte rendu contient les objectifs de formation proposés à l'agent.</v>
      </c>
      <c r="AN5" s="13" t="s">
        <v>113</v>
      </c>
      <c r="AO5" s="15" t="str">
        <f>VLOOKUP(AN5,'Axe 2 Règles de gestion'!$D$2:$F$30,3, FALSE)</f>
        <v>L'agent reçoit la communication du compte rendu et peut y ajouter ses observations.</v>
      </c>
      <c r="AP5" s="13" t="s">
        <v>114</v>
      </c>
      <c r="AQ5" s="15" t="str">
        <f>VLOOKUP(AP5,'Axe 2 Règles de gestion'!$D$2:$F$30,3, FALSE)</f>
        <v>Le compte rendu ainsi qu'une fiche retraçant les actions de formation de l'agent en tant que participant ou formateur sont versés à son dossier.</v>
      </c>
      <c r="AR5" s="13" t="s">
        <v>116</v>
      </c>
      <c r="AS5" s="15" t="str">
        <f>VLOOKUP(AR5,'Axe 2 Règles de gestion'!$D$2:$F$30,3, FALSE)</f>
        <v>L'agent est informé par son supérieur hiérarchique des suites données à son entretien de formation.</v>
      </c>
      <c r="AT5" s="13" t="s">
        <v>117</v>
      </c>
      <c r="AU5" s="15" t="str">
        <f>VLOOKUP(AT5,'Axe 2 Règles de gestion'!$D$2:$F$30,3, FALSE)</f>
        <v>Les refus opposés aux demandes de formation présentées à l'occasion de l'entretien de formation sont motivés.</v>
      </c>
      <c r="AV5" s="13"/>
      <c r="AW5" s="15"/>
      <c r="AX5" s="13" t="s">
        <v>96</v>
      </c>
      <c r="AY5" s="15" t="str">
        <f>VLOOKUP(AX5,'Axe 2 Règles de gestion'!$D$2:$F$30,3, FALSE)</f>
        <v>L'agent doit être en activité.</v>
      </c>
      <c r="AZ5" s="13" t="s">
        <v>118</v>
      </c>
      <c r="BA5" s="15" t="str">
        <f>VLOOKUP(AZ5,'Axe 2 Règles de gestion'!$D$2:$F$30,3, FALSE)</f>
        <v>La date de l'entretien de formation doit être postérieure ou égale à la date de début du lien juridique.</v>
      </c>
      <c r="BB5" s="13"/>
      <c r="BC5" s="15"/>
    </row>
    <row r="6" spans="1:55" ht="29" x14ac:dyDescent="0.35">
      <c r="A6" s="13" t="s">
        <v>56</v>
      </c>
      <c r="B6" s="13" t="s">
        <v>57</v>
      </c>
      <c r="C6" s="14">
        <v>43880.71597222222</v>
      </c>
      <c r="D6" s="13" t="s">
        <v>58</v>
      </c>
      <c r="E6" s="15" t="s">
        <v>59</v>
      </c>
      <c r="F6" s="13" t="s">
        <v>60</v>
      </c>
      <c r="G6" s="15" t="s">
        <v>61</v>
      </c>
      <c r="H6" s="13" t="s">
        <v>62</v>
      </c>
      <c r="I6" s="15" t="s">
        <v>61</v>
      </c>
      <c r="J6" s="15" t="s">
        <v>63</v>
      </c>
      <c r="K6" s="15" t="s">
        <v>64</v>
      </c>
      <c r="L6" s="13" t="s">
        <v>65</v>
      </c>
      <c r="M6" s="15" t="s">
        <v>61</v>
      </c>
      <c r="N6" s="13" t="s">
        <v>66</v>
      </c>
      <c r="O6" s="15"/>
      <c r="P6" s="15"/>
      <c r="Q6" s="15" t="s">
        <v>125</v>
      </c>
      <c r="R6" s="13" t="s">
        <v>126</v>
      </c>
      <c r="S6" s="13" t="s">
        <v>127</v>
      </c>
      <c r="T6" s="13" t="s">
        <v>128</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row>
    <row r="7" spans="1:55" ht="29" x14ac:dyDescent="0.35">
      <c r="A7" s="13" t="s">
        <v>56</v>
      </c>
      <c r="B7" s="13" t="s">
        <v>57</v>
      </c>
      <c r="C7" s="14">
        <v>43880.71597222222</v>
      </c>
      <c r="D7" s="13" t="s">
        <v>58</v>
      </c>
      <c r="E7" s="15" t="s">
        <v>59</v>
      </c>
      <c r="F7" s="13" t="s">
        <v>60</v>
      </c>
      <c r="G7" s="15" t="s">
        <v>61</v>
      </c>
      <c r="H7" s="13" t="s">
        <v>62</v>
      </c>
      <c r="I7" s="15" t="s">
        <v>61</v>
      </c>
      <c r="J7" s="15" t="s">
        <v>63</v>
      </c>
      <c r="K7" s="15" t="s">
        <v>64</v>
      </c>
      <c r="L7" s="13" t="s">
        <v>65</v>
      </c>
      <c r="M7" s="15" t="s">
        <v>61</v>
      </c>
      <c r="N7" s="13" t="s">
        <v>66</v>
      </c>
      <c r="O7" s="15"/>
      <c r="P7" s="15"/>
      <c r="Q7" s="15" t="s">
        <v>129</v>
      </c>
      <c r="R7" s="13" t="s">
        <v>130</v>
      </c>
      <c r="S7" s="13" t="s">
        <v>127</v>
      </c>
      <c r="T7" s="13" t="s">
        <v>128</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row>
    <row r="8" spans="1:55" ht="43.5" x14ac:dyDescent="0.35">
      <c r="A8" s="13" t="s">
        <v>56</v>
      </c>
      <c r="B8" s="13" t="s">
        <v>57</v>
      </c>
      <c r="C8" s="14">
        <v>43880.716666666667</v>
      </c>
      <c r="D8" s="13" t="s">
        <v>58</v>
      </c>
      <c r="E8" s="15" t="s">
        <v>59</v>
      </c>
      <c r="F8" s="13" t="s">
        <v>60</v>
      </c>
      <c r="G8" s="15" t="s">
        <v>61</v>
      </c>
      <c r="H8" s="13" t="s">
        <v>62</v>
      </c>
      <c r="I8" s="15" t="s">
        <v>61</v>
      </c>
      <c r="J8" s="15" t="s">
        <v>63</v>
      </c>
      <c r="K8" s="15" t="s">
        <v>64</v>
      </c>
      <c r="L8" s="13" t="s">
        <v>65</v>
      </c>
      <c r="M8" s="15" t="s">
        <v>61</v>
      </c>
      <c r="N8" s="13" t="s">
        <v>66</v>
      </c>
      <c r="O8" s="15"/>
      <c r="P8" s="15"/>
      <c r="Q8" s="15" t="s">
        <v>131</v>
      </c>
      <c r="R8" s="13" t="s">
        <v>132</v>
      </c>
      <c r="S8" s="13" t="s">
        <v>127</v>
      </c>
      <c r="T8" s="13" t="s">
        <v>128</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row>
    <row r="9" spans="1:55" ht="29" x14ac:dyDescent="0.35">
      <c r="A9" s="13" t="s">
        <v>56</v>
      </c>
      <c r="B9" s="13" t="s">
        <v>57</v>
      </c>
      <c r="C9" s="14">
        <v>43880.716666666667</v>
      </c>
      <c r="D9" s="13" t="s">
        <v>58</v>
      </c>
      <c r="E9" s="15" t="s">
        <v>59</v>
      </c>
      <c r="F9" s="13" t="s">
        <v>60</v>
      </c>
      <c r="G9" s="15" t="s">
        <v>61</v>
      </c>
      <c r="H9" s="13" t="s">
        <v>62</v>
      </c>
      <c r="I9" s="15" t="s">
        <v>61</v>
      </c>
      <c r="J9" s="15" t="s">
        <v>63</v>
      </c>
      <c r="K9" s="15" t="s">
        <v>64</v>
      </c>
      <c r="L9" s="13" t="s">
        <v>65</v>
      </c>
      <c r="M9" s="15" t="s">
        <v>61</v>
      </c>
      <c r="N9" s="13" t="s">
        <v>66</v>
      </c>
      <c r="O9" s="15"/>
      <c r="P9" s="15"/>
      <c r="Q9" s="15" t="s">
        <v>133</v>
      </c>
      <c r="R9" s="13" t="s">
        <v>134</v>
      </c>
      <c r="S9" s="13" t="s">
        <v>127</v>
      </c>
      <c r="T9" s="13" t="s">
        <v>128</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row>
    <row r="10" spans="1:55" ht="43.5" x14ac:dyDescent="0.35">
      <c r="A10" s="13" t="s">
        <v>56</v>
      </c>
      <c r="B10" s="13" t="s">
        <v>57</v>
      </c>
      <c r="C10" s="14">
        <v>43880.714583333334</v>
      </c>
      <c r="D10" s="13" t="s">
        <v>58</v>
      </c>
      <c r="E10" s="15" t="s">
        <v>59</v>
      </c>
      <c r="F10" s="13" t="s">
        <v>60</v>
      </c>
      <c r="G10" s="15" t="s">
        <v>61</v>
      </c>
      <c r="H10" s="13" t="s">
        <v>62</v>
      </c>
      <c r="I10" s="15" t="s">
        <v>61</v>
      </c>
      <c r="J10" s="15" t="s">
        <v>63</v>
      </c>
      <c r="K10" s="15" t="s">
        <v>64</v>
      </c>
      <c r="L10" s="13" t="s">
        <v>65</v>
      </c>
      <c r="M10" s="15" t="s">
        <v>61</v>
      </c>
      <c r="N10" s="13" t="s">
        <v>66</v>
      </c>
      <c r="O10" s="15"/>
      <c r="P10" s="15"/>
      <c r="Q10" s="15" t="s">
        <v>135</v>
      </c>
      <c r="R10" s="13" t="s">
        <v>136</v>
      </c>
      <c r="S10" s="13" t="s">
        <v>127</v>
      </c>
      <c r="T10" s="13" t="s">
        <v>128</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row>
    <row r="11" spans="1:55" s="22" customFormat="1" ht="43.5" x14ac:dyDescent="0.35">
      <c r="A11" s="19" t="s">
        <v>137</v>
      </c>
      <c r="B11" s="19" t="s">
        <v>138</v>
      </c>
      <c r="C11" s="20">
        <v>45995.629166666666</v>
      </c>
      <c r="D11" s="19" t="s">
        <v>58</v>
      </c>
      <c r="E11" s="21" t="s">
        <v>59</v>
      </c>
      <c r="F11" s="19" t="s">
        <v>60</v>
      </c>
      <c r="G11" s="21" t="s">
        <v>61</v>
      </c>
      <c r="H11" s="19" t="s">
        <v>62</v>
      </c>
      <c r="I11" s="21" t="s">
        <v>61</v>
      </c>
      <c r="J11" s="21" t="s">
        <v>63</v>
      </c>
      <c r="K11" s="21" t="s">
        <v>64</v>
      </c>
      <c r="L11" s="19" t="s">
        <v>65</v>
      </c>
      <c r="M11" s="21" t="s">
        <v>61</v>
      </c>
      <c r="N11" s="19" t="s">
        <v>66</v>
      </c>
      <c r="O11" s="21"/>
      <c r="P11" s="21"/>
      <c r="Q11" s="21" t="s">
        <v>139</v>
      </c>
      <c r="R11" s="19" t="s">
        <v>140</v>
      </c>
      <c r="S11" s="19" t="s">
        <v>127</v>
      </c>
      <c r="T11" s="19" t="s">
        <v>128</v>
      </c>
      <c r="U11" s="20">
        <v>40725</v>
      </c>
      <c r="V11" s="20">
        <v>45900</v>
      </c>
      <c r="W11" s="21"/>
      <c r="X11" s="19"/>
      <c r="Y11" s="21"/>
      <c r="Z11" s="19"/>
      <c r="AA11" s="21"/>
      <c r="AB11" s="19"/>
      <c r="AC11" s="21"/>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t="s">
        <v>141</v>
      </c>
      <c r="BC11" s="21"/>
    </row>
    <row r="12" spans="1:55" s="22" customFormat="1" ht="159.5" x14ac:dyDescent="0.35">
      <c r="A12" s="19" t="s">
        <v>137</v>
      </c>
      <c r="B12" s="19" t="s">
        <v>57</v>
      </c>
      <c r="C12" s="20">
        <v>45995.629166666666</v>
      </c>
      <c r="D12" s="19" t="s">
        <v>58</v>
      </c>
      <c r="E12" s="21" t="s">
        <v>59</v>
      </c>
      <c r="F12" s="19" t="s">
        <v>60</v>
      </c>
      <c r="G12" s="21" t="s">
        <v>61</v>
      </c>
      <c r="H12" s="19" t="s">
        <v>62</v>
      </c>
      <c r="I12" s="21" t="s">
        <v>61</v>
      </c>
      <c r="J12" s="21" t="s">
        <v>63</v>
      </c>
      <c r="K12" s="21" t="s">
        <v>64</v>
      </c>
      <c r="L12" s="19" t="s">
        <v>65</v>
      </c>
      <c r="M12" s="21" t="s">
        <v>61</v>
      </c>
      <c r="N12" s="19" t="s">
        <v>66</v>
      </c>
      <c r="O12" s="21"/>
      <c r="P12" s="21"/>
      <c r="Q12" s="21" t="s">
        <v>139</v>
      </c>
      <c r="R12" s="19" t="s">
        <v>140</v>
      </c>
      <c r="S12" s="19" t="s">
        <v>127</v>
      </c>
      <c r="T12" s="19" t="s">
        <v>70</v>
      </c>
      <c r="U12" s="20">
        <v>45901</v>
      </c>
      <c r="V12" s="20"/>
      <c r="W12" s="21" t="s">
        <v>142</v>
      </c>
      <c r="X12" s="19" t="s">
        <v>143</v>
      </c>
      <c r="Y12" s="21" t="str">
        <f>VLOOKUP(X12,'Axe 2 Règles de gestion'!$D$2:$F$30,3, FALSE)</f>
        <v>L'agent bénéficie des dispositions applicables aux agents ouvriers affiliés pour l'entretien de formation.</v>
      </c>
      <c r="Z12" s="19" t="s">
        <v>105</v>
      </c>
      <c r="AA12" s="21" t="str">
        <f>VLOOKUP(Z12,'Axe 2 Règles de gestion'!$D$2:$F$30,3, FALSE)</f>
        <v>L'entretien de formation vise à déterminer les besoins en formation de l'agent au vu des objectifs qui lui sont fixés et de son projet professionnel.</v>
      </c>
      <c r="AB12" s="19" t="s">
        <v>106</v>
      </c>
      <c r="AC12" s="21" t="str">
        <f>VLOOKUP(AB12,'Axe 2 Règles de gestion'!$D$2:$F$30,3, FALSE)</f>
        <v>L'entretien de formation complète l'entretien d'évaluation dont il suit la périodicité, et peut lui être associé.</v>
      </c>
      <c r="AD12" s="19" t="s">
        <v>107</v>
      </c>
      <c r="AE12" s="21" t="str">
        <f>VLOOKUP(AD12,'Axe 2 Règles de gestion'!$D$2:$F$30,3, FALSE)</f>
        <v>Avant l'entretien, l'agent peut consulter le service chargé de la formation.</v>
      </c>
      <c r="AF12" s="19" t="s">
        <v>108</v>
      </c>
      <c r="AG12" s="21" t="str">
        <f>VLOOKUP(AF12,'Axe 2 Règles de gestion'!$D$2:$F$30,3, FALSE)</f>
        <v>L'entretien de formation est conduit par le supérieur hiérarchique de l'agent.</v>
      </c>
      <c r="AH12" s="19" t="s">
        <v>109</v>
      </c>
      <c r="AI12" s="21" t="str">
        <f>VLOOKUP(AH12,'Axe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J12" s="19" t="s">
        <v>110</v>
      </c>
      <c r="AK12" s="21" t="str">
        <f>VLOOKUP(AJ12,'Axe 2 Règles de gestion'!$D$2:$F$30,3, FALSE)</f>
        <v>L'entretien permet à l'agent de présenter, le cas échéant, les demandes de préparation concours, validation des acquis de l'expérience, bilan de compétences et période de professionnalisation.</v>
      </c>
      <c r="AL12" s="19" t="s">
        <v>111</v>
      </c>
      <c r="AM12" s="21" t="str">
        <f>VLOOKUP(AL12,'Axe 2 Règles de gestion'!$D$2:$F$30,3, FALSE)</f>
        <v>Un compte rendu de l'entretien est établi sous la responsabilité du supérieur hiérarchique.</v>
      </c>
      <c r="AN12" s="19" t="s">
        <v>112</v>
      </c>
      <c r="AO12" s="21" t="str">
        <f>VLOOKUP(AN12,'Axe 2 Règles de gestion'!$D$2:$F$30,3, FALSE)</f>
        <v>Le compte rendu contient les objectifs de formation proposés à l'agent.</v>
      </c>
      <c r="AP12" s="19" t="s">
        <v>113</v>
      </c>
      <c r="AQ12" s="21" t="str">
        <f>VLOOKUP(AP12,'Axe 2 Règles de gestion'!$D$2:$F$30,3, FALSE)</f>
        <v>L'agent reçoit la communication du compte rendu et peut y ajouter ses observations.</v>
      </c>
      <c r="AR12" s="19" t="s">
        <v>114</v>
      </c>
      <c r="AS12" s="21" t="str">
        <f>VLOOKUP(AR12,'Axe 2 Règles de gestion'!$D$2:$F$30,3, FALSE)</f>
        <v>Le compte rendu ainsi qu'une fiche retraçant les actions de formation de l'agent en tant que participant ou formateur sont versés à son dossier.</v>
      </c>
      <c r="AT12" s="19" t="s">
        <v>116</v>
      </c>
      <c r="AU12" s="21" t="str">
        <f>VLOOKUP(AT12,'Axe 2 Règles de gestion'!$D$2:$F$30,3, FALSE)</f>
        <v>L'agent est informé par son supérieur hiérarchique des suites données à son entretien de formation.</v>
      </c>
      <c r="AV12" s="19" t="s">
        <v>117</v>
      </c>
      <c r="AW12" s="21" t="str">
        <f>VLOOKUP(AV12,'Axe 2 Règles de gestion'!$D$2:$F$30,3, FALSE)</f>
        <v>Les refus opposés aux demandes de formation présentées à l'occasion de l'entretien de formation sont motivés.</v>
      </c>
      <c r="AX12" s="19" t="s">
        <v>96</v>
      </c>
      <c r="AY12" s="21" t="str">
        <f>VLOOKUP(AX12,'Axe 2 Règles de gestion'!$D$2:$F$30,3, FALSE)</f>
        <v>L'agent doit être en activité.</v>
      </c>
      <c r="AZ12" s="19" t="s">
        <v>118</v>
      </c>
      <c r="BA12" s="21" t="str">
        <f>VLOOKUP(AZ12,'Axe 2 Règles de gestion'!$D$2:$F$30,3, FALSE)</f>
        <v>La date de l'entretien de formation doit être postérieure ou égale à la date de début du lien juridique.</v>
      </c>
      <c r="BB12" s="19" t="s">
        <v>141</v>
      </c>
      <c r="BC12" s="21"/>
    </row>
    <row r="13" spans="1:55" ht="29" x14ac:dyDescent="0.35">
      <c r="A13" s="13" t="s">
        <v>56</v>
      </c>
      <c r="B13" s="13" t="s">
        <v>57</v>
      </c>
      <c r="C13" s="14">
        <v>43880.715277777781</v>
      </c>
      <c r="D13" s="13" t="s">
        <v>58</v>
      </c>
      <c r="E13" s="15" t="s">
        <v>59</v>
      </c>
      <c r="F13" s="13" t="s">
        <v>60</v>
      </c>
      <c r="G13" s="15" t="s">
        <v>61</v>
      </c>
      <c r="H13" s="13" t="s">
        <v>62</v>
      </c>
      <c r="I13" s="15" t="s">
        <v>61</v>
      </c>
      <c r="J13" s="15" t="s">
        <v>63</v>
      </c>
      <c r="K13" s="15" t="s">
        <v>64</v>
      </c>
      <c r="L13" s="13" t="s">
        <v>65</v>
      </c>
      <c r="M13" s="15" t="s">
        <v>61</v>
      </c>
      <c r="N13" s="13" t="s">
        <v>66</v>
      </c>
      <c r="O13" s="15"/>
      <c r="P13" s="15"/>
      <c r="Q13" s="15" t="s">
        <v>145</v>
      </c>
      <c r="R13" s="13" t="s">
        <v>146</v>
      </c>
      <c r="S13" s="13" t="s">
        <v>127</v>
      </c>
      <c r="T13" s="13" t="s">
        <v>128</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row>
    <row r="14" spans="1:55" x14ac:dyDescent="0.35">
      <c r="C14" s="16"/>
      <c r="U14" s="16"/>
      <c r="V14" s="16"/>
    </row>
    <row r="15" spans="1:55" x14ac:dyDescent="0.35">
      <c r="C15" s="16"/>
      <c r="U15" s="16"/>
      <c r="V15" s="16"/>
    </row>
    <row r="16" spans="1:55"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sheetData>
  <autoFilter ref="A1:OJ13" xr:uid="{2E13CE32-75B7-49EF-950C-4F73E147CE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477B1-A40C-4A29-98DF-86771B0AFF70}">
  <dimension ref="A1:Y63"/>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147</v>
      </c>
      <c r="X1" s="10" t="s">
        <v>54</v>
      </c>
      <c r="Y1" s="10" t="s">
        <v>55</v>
      </c>
    </row>
    <row r="2" spans="1:25" ht="29" x14ac:dyDescent="0.35">
      <c r="A2" s="13" t="s">
        <v>56</v>
      </c>
      <c r="B2" s="13" t="s">
        <v>57</v>
      </c>
      <c r="C2" s="14">
        <v>43880.711111111108</v>
      </c>
      <c r="D2" s="13" t="s">
        <v>58</v>
      </c>
      <c r="E2" s="15" t="s">
        <v>59</v>
      </c>
      <c r="F2" s="13" t="s">
        <v>60</v>
      </c>
      <c r="G2" s="15" t="s">
        <v>61</v>
      </c>
      <c r="H2" s="13" t="s">
        <v>62</v>
      </c>
      <c r="I2" s="15" t="s">
        <v>61</v>
      </c>
      <c r="J2" s="15" t="s">
        <v>63</v>
      </c>
      <c r="K2" s="15" t="s">
        <v>64</v>
      </c>
      <c r="L2" s="13" t="s">
        <v>65</v>
      </c>
      <c r="M2" s="15" t="s">
        <v>61</v>
      </c>
      <c r="N2" s="13" t="s">
        <v>66</v>
      </c>
      <c r="O2" s="15"/>
      <c r="P2" s="15"/>
      <c r="Q2" s="15" t="s">
        <v>67</v>
      </c>
      <c r="R2" s="13" t="s">
        <v>68</v>
      </c>
      <c r="S2" s="13" t="s">
        <v>69</v>
      </c>
      <c r="T2" s="13" t="s">
        <v>70</v>
      </c>
      <c r="U2" s="14">
        <v>40725</v>
      </c>
      <c r="V2" s="14"/>
      <c r="W2" s="15"/>
      <c r="X2" s="13"/>
      <c r="Y2" s="13"/>
    </row>
    <row r="3" spans="1:25" ht="29" x14ac:dyDescent="0.35">
      <c r="A3" s="13" t="s">
        <v>56</v>
      </c>
      <c r="B3" s="13" t="s">
        <v>57</v>
      </c>
      <c r="C3" s="14">
        <v>43880.712500000001</v>
      </c>
      <c r="D3" s="13" t="s">
        <v>58</v>
      </c>
      <c r="E3" s="15" t="s">
        <v>59</v>
      </c>
      <c r="F3" s="13" t="s">
        <v>60</v>
      </c>
      <c r="G3" s="15" t="s">
        <v>61</v>
      </c>
      <c r="H3" s="13" t="s">
        <v>62</v>
      </c>
      <c r="I3" s="15" t="s">
        <v>61</v>
      </c>
      <c r="J3" s="15" t="s">
        <v>63</v>
      </c>
      <c r="K3" s="15" t="s">
        <v>64</v>
      </c>
      <c r="L3" s="13" t="s">
        <v>65</v>
      </c>
      <c r="M3" s="15" t="s">
        <v>61</v>
      </c>
      <c r="N3" s="13" t="s">
        <v>66</v>
      </c>
      <c r="O3" s="15"/>
      <c r="P3" s="15"/>
      <c r="Q3" s="15" t="s">
        <v>100</v>
      </c>
      <c r="R3" s="13" t="s">
        <v>101</v>
      </c>
      <c r="S3" s="13" t="s">
        <v>69</v>
      </c>
      <c r="T3" s="13" t="s">
        <v>70</v>
      </c>
      <c r="U3" s="14">
        <v>40725</v>
      </c>
      <c r="V3" s="14"/>
      <c r="W3" s="15"/>
      <c r="X3" s="13"/>
      <c r="Y3" s="13"/>
    </row>
    <row r="4" spans="1:25" ht="29" x14ac:dyDescent="0.35">
      <c r="A4" s="13" t="s">
        <v>56</v>
      </c>
      <c r="B4" s="13" t="s">
        <v>57</v>
      </c>
      <c r="C4" s="14">
        <v>43880.712500000001</v>
      </c>
      <c r="D4" s="13" t="s">
        <v>58</v>
      </c>
      <c r="E4" s="15" t="s">
        <v>59</v>
      </c>
      <c r="F4" s="13" t="s">
        <v>60</v>
      </c>
      <c r="G4" s="15" t="s">
        <v>61</v>
      </c>
      <c r="H4" s="13" t="s">
        <v>62</v>
      </c>
      <c r="I4" s="15" t="s">
        <v>61</v>
      </c>
      <c r="J4" s="15" t="s">
        <v>63</v>
      </c>
      <c r="K4" s="15" t="s">
        <v>64</v>
      </c>
      <c r="L4" s="13" t="s">
        <v>65</v>
      </c>
      <c r="M4" s="15" t="s">
        <v>61</v>
      </c>
      <c r="N4" s="13" t="s">
        <v>66</v>
      </c>
      <c r="O4" s="15"/>
      <c r="P4" s="15"/>
      <c r="Q4" s="15" t="s">
        <v>120</v>
      </c>
      <c r="R4" s="13" t="s">
        <v>121</v>
      </c>
      <c r="S4" s="13" t="s">
        <v>69</v>
      </c>
      <c r="T4" s="13" t="s">
        <v>70</v>
      </c>
      <c r="U4" s="14">
        <v>40725</v>
      </c>
      <c r="V4" s="14"/>
      <c r="W4" s="15"/>
      <c r="X4" s="13"/>
      <c r="Y4" s="13"/>
    </row>
    <row r="5" spans="1:25" ht="29" x14ac:dyDescent="0.35">
      <c r="A5" s="13" t="s">
        <v>56</v>
      </c>
      <c r="B5" s="13" t="s">
        <v>57</v>
      </c>
      <c r="C5" s="14">
        <v>43880.713888888888</v>
      </c>
      <c r="D5" s="13" t="s">
        <v>58</v>
      </c>
      <c r="E5" s="15" t="s">
        <v>59</v>
      </c>
      <c r="F5" s="13" t="s">
        <v>60</v>
      </c>
      <c r="G5" s="15" t="s">
        <v>61</v>
      </c>
      <c r="H5" s="13" t="s">
        <v>62</v>
      </c>
      <c r="I5" s="15" t="s">
        <v>61</v>
      </c>
      <c r="J5" s="15" t="s">
        <v>63</v>
      </c>
      <c r="K5" s="15" t="s">
        <v>64</v>
      </c>
      <c r="L5" s="13" t="s">
        <v>65</v>
      </c>
      <c r="M5" s="15" t="s">
        <v>61</v>
      </c>
      <c r="N5" s="13" t="s">
        <v>66</v>
      </c>
      <c r="O5" s="15"/>
      <c r="P5" s="15"/>
      <c r="Q5" s="15" t="s">
        <v>122</v>
      </c>
      <c r="R5" s="13" t="s">
        <v>123</v>
      </c>
      <c r="S5" s="13" t="s">
        <v>69</v>
      </c>
      <c r="T5" s="13" t="s">
        <v>70</v>
      </c>
      <c r="U5" s="14">
        <v>40725</v>
      </c>
      <c r="V5" s="14"/>
      <c r="W5" s="15"/>
      <c r="X5" s="13"/>
      <c r="Y5" s="13"/>
    </row>
    <row r="6" spans="1:25" ht="29" x14ac:dyDescent="0.35">
      <c r="A6" s="13" t="s">
        <v>56</v>
      </c>
      <c r="B6" s="13" t="s">
        <v>57</v>
      </c>
      <c r="C6" s="14">
        <v>43880.71597222222</v>
      </c>
      <c r="D6" s="13" t="s">
        <v>58</v>
      </c>
      <c r="E6" s="15" t="s">
        <v>59</v>
      </c>
      <c r="F6" s="13" t="s">
        <v>60</v>
      </c>
      <c r="G6" s="15" t="s">
        <v>61</v>
      </c>
      <c r="H6" s="13" t="s">
        <v>62</v>
      </c>
      <c r="I6" s="15" t="s">
        <v>61</v>
      </c>
      <c r="J6" s="15" t="s">
        <v>63</v>
      </c>
      <c r="K6" s="15" t="s">
        <v>64</v>
      </c>
      <c r="L6" s="13" t="s">
        <v>65</v>
      </c>
      <c r="M6" s="15" t="s">
        <v>61</v>
      </c>
      <c r="N6" s="13" t="s">
        <v>66</v>
      </c>
      <c r="O6" s="15"/>
      <c r="P6" s="15"/>
      <c r="Q6" s="15" t="s">
        <v>125</v>
      </c>
      <c r="R6" s="13" t="s">
        <v>126</v>
      </c>
      <c r="S6" s="13" t="s">
        <v>127</v>
      </c>
      <c r="T6" s="13" t="s">
        <v>128</v>
      </c>
      <c r="U6" s="14">
        <v>40725</v>
      </c>
      <c r="V6" s="14"/>
      <c r="W6" s="15"/>
      <c r="X6" s="13"/>
      <c r="Y6" s="13"/>
    </row>
    <row r="7" spans="1:25" ht="29" x14ac:dyDescent="0.35">
      <c r="A7" s="13" t="s">
        <v>56</v>
      </c>
      <c r="B7" s="13" t="s">
        <v>57</v>
      </c>
      <c r="C7" s="14">
        <v>43880.71597222222</v>
      </c>
      <c r="D7" s="13" t="s">
        <v>58</v>
      </c>
      <c r="E7" s="15" t="s">
        <v>59</v>
      </c>
      <c r="F7" s="13" t="s">
        <v>60</v>
      </c>
      <c r="G7" s="15" t="s">
        <v>61</v>
      </c>
      <c r="H7" s="13" t="s">
        <v>62</v>
      </c>
      <c r="I7" s="15" t="s">
        <v>61</v>
      </c>
      <c r="J7" s="15" t="s">
        <v>63</v>
      </c>
      <c r="K7" s="15" t="s">
        <v>64</v>
      </c>
      <c r="L7" s="13" t="s">
        <v>65</v>
      </c>
      <c r="M7" s="15" t="s">
        <v>61</v>
      </c>
      <c r="N7" s="13" t="s">
        <v>66</v>
      </c>
      <c r="O7" s="15"/>
      <c r="P7" s="15"/>
      <c r="Q7" s="15" t="s">
        <v>129</v>
      </c>
      <c r="R7" s="13" t="s">
        <v>130</v>
      </c>
      <c r="S7" s="13" t="s">
        <v>127</v>
      </c>
      <c r="T7" s="13" t="s">
        <v>128</v>
      </c>
      <c r="U7" s="14">
        <v>40725</v>
      </c>
      <c r="V7" s="14"/>
      <c r="W7" s="15"/>
      <c r="X7" s="13"/>
      <c r="Y7" s="13"/>
    </row>
    <row r="8" spans="1:25" ht="43.5" x14ac:dyDescent="0.35">
      <c r="A8" s="13" t="s">
        <v>56</v>
      </c>
      <c r="B8" s="13" t="s">
        <v>57</v>
      </c>
      <c r="C8" s="14">
        <v>43880.716666666667</v>
      </c>
      <c r="D8" s="13" t="s">
        <v>58</v>
      </c>
      <c r="E8" s="15" t="s">
        <v>59</v>
      </c>
      <c r="F8" s="13" t="s">
        <v>60</v>
      </c>
      <c r="G8" s="15" t="s">
        <v>61</v>
      </c>
      <c r="H8" s="13" t="s">
        <v>62</v>
      </c>
      <c r="I8" s="15" t="s">
        <v>61</v>
      </c>
      <c r="J8" s="15" t="s">
        <v>63</v>
      </c>
      <c r="K8" s="15" t="s">
        <v>64</v>
      </c>
      <c r="L8" s="13" t="s">
        <v>65</v>
      </c>
      <c r="M8" s="15" t="s">
        <v>61</v>
      </c>
      <c r="N8" s="13" t="s">
        <v>66</v>
      </c>
      <c r="O8" s="15"/>
      <c r="P8" s="15"/>
      <c r="Q8" s="15" t="s">
        <v>131</v>
      </c>
      <c r="R8" s="13" t="s">
        <v>132</v>
      </c>
      <c r="S8" s="13" t="s">
        <v>127</v>
      </c>
      <c r="T8" s="13" t="s">
        <v>128</v>
      </c>
      <c r="U8" s="14">
        <v>40725</v>
      </c>
      <c r="V8" s="14"/>
      <c r="W8" s="15"/>
      <c r="X8" s="13"/>
      <c r="Y8" s="13"/>
    </row>
    <row r="9" spans="1:25" ht="29" x14ac:dyDescent="0.35">
      <c r="A9" s="13" t="s">
        <v>56</v>
      </c>
      <c r="B9" s="13" t="s">
        <v>57</v>
      </c>
      <c r="C9" s="14">
        <v>43880.716666666667</v>
      </c>
      <c r="D9" s="13" t="s">
        <v>58</v>
      </c>
      <c r="E9" s="15" t="s">
        <v>59</v>
      </c>
      <c r="F9" s="13" t="s">
        <v>60</v>
      </c>
      <c r="G9" s="15" t="s">
        <v>61</v>
      </c>
      <c r="H9" s="13" t="s">
        <v>62</v>
      </c>
      <c r="I9" s="15" t="s">
        <v>61</v>
      </c>
      <c r="J9" s="15" t="s">
        <v>63</v>
      </c>
      <c r="K9" s="15" t="s">
        <v>64</v>
      </c>
      <c r="L9" s="13" t="s">
        <v>65</v>
      </c>
      <c r="M9" s="15" t="s">
        <v>61</v>
      </c>
      <c r="N9" s="13" t="s">
        <v>66</v>
      </c>
      <c r="O9" s="15"/>
      <c r="P9" s="15"/>
      <c r="Q9" s="15" t="s">
        <v>133</v>
      </c>
      <c r="R9" s="13" t="s">
        <v>134</v>
      </c>
      <c r="S9" s="13" t="s">
        <v>127</v>
      </c>
      <c r="T9" s="13" t="s">
        <v>128</v>
      </c>
      <c r="U9" s="14">
        <v>40725</v>
      </c>
      <c r="V9" s="14"/>
      <c r="W9" s="15"/>
      <c r="X9" s="13"/>
      <c r="Y9" s="13"/>
    </row>
    <row r="10" spans="1:25" ht="43.5" x14ac:dyDescent="0.35">
      <c r="A10" s="13" t="s">
        <v>56</v>
      </c>
      <c r="B10" s="13" t="s">
        <v>57</v>
      </c>
      <c r="C10" s="14">
        <v>43880.714583333334</v>
      </c>
      <c r="D10" s="13" t="s">
        <v>58</v>
      </c>
      <c r="E10" s="15" t="s">
        <v>59</v>
      </c>
      <c r="F10" s="13" t="s">
        <v>60</v>
      </c>
      <c r="G10" s="15" t="s">
        <v>61</v>
      </c>
      <c r="H10" s="13" t="s">
        <v>62</v>
      </c>
      <c r="I10" s="15" t="s">
        <v>61</v>
      </c>
      <c r="J10" s="15" t="s">
        <v>63</v>
      </c>
      <c r="K10" s="15" t="s">
        <v>64</v>
      </c>
      <c r="L10" s="13" t="s">
        <v>65</v>
      </c>
      <c r="M10" s="15" t="s">
        <v>61</v>
      </c>
      <c r="N10" s="13" t="s">
        <v>66</v>
      </c>
      <c r="O10" s="15"/>
      <c r="P10" s="15"/>
      <c r="Q10" s="15" t="s">
        <v>135</v>
      </c>
      <c r="R10" s="13" t="s">
        <v>136</v>
      </c>
      <c r="S10" s="13" t="s">
        <v>127</v>
      </c>
      <c r="T10" s="13" t="s">
        <v>128</v>
      </c>
      <c r="U10" s="14">
        <v>40725</v>
      </c>
      <c r="V10" s="14"/>
      <c r="W10" s="15"/>
      <c r="X10" s="13"/>
      <c r="Y10" s="13"/>
    </row>
    <row r="11" spans="1:25" s="22" customFormat="1" ht="43.5" x14ac:dyDescent="0.35">
      <c r="A11" s="19" t="s">
        <v>137</v>
      </c>
      <c r="B11" s="19" t="s">
        <v>138</v>
      </c>
      <c r="C11" s="20">
        <v>45995.629166666666</v>
      </c>
      <c r="D11" s="19" t="s">
        <v>58</v>
      </c>
      <c r="E11" s="21" t="s">
        <v>59</v>
      </c>
      <c r="F11" s="19" t="s">
        <v>60</v>
      </c>
      <c r="G11" s="21" t="s">
        <v>61</v>
      </c>
      <c r="H11" s="19" t="s">
        <v>62</v>
      </c>
      <c r="I11" s="21" t="s">
        <v>61</v>
      </c>
      <c r="J11" s="21" t="s">
        <v>63</v>
      </c>
      <c r="K11" s="21" t="s">
        <v>64</v>
      </c>
      <c r="L11" s="19" t="s">
        <v>65</v>
      </c>
      <c r="M11" s="21" t="s">
        <v>61</v>
      </c>
      <c r="N11" s="19" t="s">
        <v>66</v>
      </c>
      <c r="O11" s="21"/>
      <c r="P11" s="21"/>
      <c r="Q11" s="21" t="s">
        <v>139</v>
      </c>
      <c r="R11" s="19" t="s">
        <v>140</v>
      </c>
      <c r="S11" s="19" t="s">
        <v>127</v>
      </c>
      <c r="T11" s="19" t="s">
        <v>128</v>
      </c>
      <c r="U11" s="20">
        <v>40725</v>
      </c>
      <c r="V11" s="20">
        <v>45900</v>
      </c>
      <c r="W11" s="21"/>
      <c r="X11" s="19" t="s">
        <v>141</v>
      </c>
      <c r="Y11" s="19"/>
    </row>
    <row r="12" spans="1:25" s="22" customFormat="1" ht="43.5" x14ac:dyDescent="0.35">
      <c r="A12" s="19" t="s">
        <v>137</v>
      </c>
      <c r="B12" s="19" t="s">
        <v>57</v>
      </c>
      <c r="C12" s="20">
        <v>45995.629166666666</v>
      </c>
      <c r="D12" s="19" t="s">
        <v>58</v>
      </c>
      <c r="E12" s="21" t="s">
        <v>59</v>
      </c>
      <c r="F12" s="19" t="s">
        <v>60</v>
      </c>
      <c r="G12" s="21" t="s">
        <v>61</v>
      </c>
      <c r="H12" s="19" t="s">
        <v>62</v>
      </c>
      <c r="I12" s="21" t="s">
        <v>61</v>
      </c>
      <c r="J12" s="21" t="s">
        <v>63</v>
      </c>
      <c r="K12" s="21" t="s">
        <v>64</v>
      </c>
      <c r="L12" s="19" t="s">
        <v>65</v>
      </c>
      <c r="M12" s="21" t="s">
        <v>61</v>
      </c>
      <c r="N12" s="19" t="s">
        <v>66</v>
      </c>
      <c r="O12" s="21"/>
      <c r="P12" s="21"/>
      <c r="Q12" s="21" t="s">
        <v>139</v>
      </c>
      <c r="R12" s="19" t="s">
        <v>140</v>
      </c>
      <c r="S12" s="19" t="s">
        <v>127</v>
      </c>
      <c r="T12" s="19" t="s">
        <v>70</v>
      </c>
      <c r="U12" s="20">
        <v>45901</v>
      </c>
      <c r="V12" s="20"/>
      <c r="W12" s="21"/>
      <c r="X12" s="19" t="s">
        <v>141</v>
      </c>
      <c r="Y12" s="19"/>
    </row>
    <row r="13" spans="1:25" ht="29" x14ac:dyDescent="0.35">
      <c r="A13" s="13" t="s">
        <v>56</v>
      </c>
      <c r="B13" s="13" t="s">
        <v>57</v>
      </c>
      <c r="C13" s="14">
        <v>43880.715277777781</v>
      </c>
      <c r="D13" s="13" t="s">
        <v>58</v>
      </c>
      <c r="E13" s="15" t="s">
        <v>59</v>
      </c>
      <c r="F13" s="13" t="s">
        <v>60</v>
      </c>
      <c r="G13" s="15" t="s">
        <v>61</v>
      </c>
      <c r="H13" s="13" t="s">
        <v>62</v>
      </c>
      <c r="I13" s="15" t="s">
        <v>61</v>
      </c>
      <c r="J13" s="15" t="s">
        <v>63</v>
      </c>
      <c r="K13" s="15" t="s">
        <v>64</v>
      </c>
      <c r="L13" s="13" t="s">
        <v>65</v>
      </c>
      <c r="M13" s="15" t="s">
        <v>61</v>
      </c>
      <c r="N13" s="13" t="s">
        <v>66</v>
      </c>
      <c r="O13" s="15"/>
      <c r="P13" s="15"/>
      <c r="Q13" s="15" t="s">
        <v>145</v>
      </c>
      <c r="R13" s="13" t="s">
        <v>146</v>
      </c>
      <c r="S13" s="13" t="s">
        <v>127</v>
      </c>
      <c r="T13" s="13" t="s">
        <v>128</v>
      </c>
      <c r="U13" s="14">
        <v>40725</v>
      </c>
      <c r="V13" s="14"/>
      <c r="W13" s="15"/>
      <c r="X13" s="13"/>
      <c r="Y13" s="13"/>
    </row>
    <row r="14" spans="1:25" x14ac:dyDescent="0.35">
      <c r="C14" s="16"/>
      <c r="U14" s="16"/>
      <c r="V14" s="16"/>
    </row>
    <row r="15" spans="1:25" x14ac:dyDescent="0.35">
      <c r="C15" s="16"/>
      <c r="U15" s="16"/>
      <c r="V15" s="16"/>
    </row>
    <row r="16" spans="1:25" x14ac:dyDescent="0.35">
      <c r="C16" s="16"/>
      <c r="U16" s="16"/>
      <c r="V16" s="16"/>
    </row>
    <row r="17" spans="3:22" x14ac:dyDescent="0.35">
      <c r="C17" s="16"/>
      <c r="U17" s="16"/>
      <c r="V17" s="16"/>
    </row>
    <row r="18" spans="3:22" x14ac:dyDescent="0.35">
      <c r="C18" s="16"/>
      <c r="U18" s="16"/>
      <c r="V18" s="16"/>
    </row>
    <row r="19" spans="3:22" x14ac:dyDescent="0.35">
      <c r="C19" s="16"/>
      <c r="U19" s="16"/>
      <c r="V19" s="16"/>
    </row>
    <row r="20" spans="3:22" x14ac:dyDescent="0.35">
      <c r="C20" s="16"/>
      <c r="U20" s="16"/>
      <c r="V20" s="16"/>
    </row>
    <row r="21" spans="3:22" x14ac:dyDescent="0.35">
      <c r="C21" s="16"/>
      <c r="U21" s="16"/>
      <c r="V21" s="16"/>
    </row>
    <row r="22" spans="3:22" x14ac:dyDescent="0.35">
      <c r="C22" s="16"/>
      <c r="U22" s="16"/>
      <c r="V22" s="16"/>
    </row>
    <row r="23" spans="3:22" x14ac:dyDescent="0.35">
      <c r="C23" s="16"/>
      <c r="U23" s="16"/>
      <c r="V23" s="16"/>
    </row>
    <row r="24" spans="3:22" x14ac:dyDescent="0.35">
      <c r="C24" s="16"/>
      <c r="U24" s="16"/>
      <c r="V24" s="16"/>
    </row>
    <row r="25" spans="3:22" x14ac:dyDescent="0.35">
      <c r="C25" s="16"/>
      <c r="U25" s="16"/>
      <c r="V25" s="16"/>
    </row>
    <row r="26" spans="3:22" x14ac:dyDescent="0.35">
      <c r="C26" s="16"/>
      <c r="U26" s="16"/>
      <c r="V26" s="16"/>
    </row>
    <row r="27" spans="3:22" x14ac:dyDescent="0.35">
      <c r="C27" s="16"/>
      <c r="U27" s="16"/>
      <c r="V27" s="16"/>
    </row>
    <row r="28" spans="3:22" x14ac:dyDescent="0.35">
      <c r="C28" s="16"/>
      <c r="U28" s="16"/>
      <c r="V28" s="16"/>
    </row>
    <row r="29" spans="3:22" x14ac:dyDescent="0.35">
      <c r="C29" s="16"/>
      <c r="U29" s="16"/>
      <c r="V29" s="16"/>
    </row>
    <row r="30" spans="3:22" x14ac:dyDescent="0.35">
      <c r="C30" s="16"/>
      <c r="U30" s="16"/>
      <c r="V30" s="16"/>
    </row>
    <row r="31" spans="3:22" x14ac:dyDescent="0.35">
      <c r="C31" s="16"/>
      <c r="U31" s="16"/>
      <c r="V31" s="16"/>
    </row>
    <row r="32" spans="3:22"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sheetData>
  <autoFilter ref="A1:OJ1" xr:uid="{048477B1-A40C-4A29-98DF-86771B0AFF7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4BDD-02CD-44AC-906D-DB066BE006B2}">
  <dimension ref="A1:AO1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148</v>
      </c>
      <c r="X1" s="10" t="s">
        <v>149</v>
      </c>
      <c r="Y1" s="10" t="s">
        <v>150</v>
      </c>
      <c r="Z1" s="10" t="s">
        <v>151</v>
      </c>
      <c r="AA1" s="10" t="s">
        <v>152</v>
      </c>
      <c r="AB1" s="10" t="s">
        <v>153</v>
      </c>
      <c r="AC1" s="10" t="s">
        <v>154</v>
      </c>
      <c r="AD1" s="10" t="s">
        <v>155</v>
      </c>
      <c r="AE1" s="10" t="s">
        <v>156</v>
      </c>
      <c r="AF1" s="10" t="s">
        <v>157</v>
      </c>
      <c r="AG1" s="10" t="s">
        <v>158</v>
      </c>
      <c r="AH1" s="10" t="s">
        <v>159</v>
      </c>
      <c r="AI1" s="10" t="s">
        <v>160</v>
      </c>
      <c r="AJ1" s="10" t="s">
        <v>161</v>
      </c>
      <c r="AK1" s="10" t="s">
        <v>162</v>
      </c>
      <c r="AL1" s="10" t="s">
        <v>163</v>
      </c>
      <c r="AM1" s="10" t="s">
        <v>164</v>
      </c>
      <c r="AN1" s="10" t="s">
        <v>54</v>
      </c>
      <c r="AO1" s="10" t="s">
        <v>55</v>
      </c>
    </row>
    <row r="2" spans="1:41" ht="29" x14ac:dyDescent="0.35">
      <c r="A2" s="13" t="s">
        <v>56</v>
      </c>
      <c r="B2" s="13" t="s">
        <v>57</v>
      </c>
      <c r="C2" s="14">
        <v>43880.711111111108</v>
      </c>
      <c r="D2" s="13" t="s">
        <v>58</v>
      </c>
      <c r="E2" s="15" t="s">
        <v>59</v>
      </c>
      <c r="F2" s="13" t="s">
        <v>60</v>
      </c>
      <c r="G2" s="15" t="s">
        <v>61</v>
      </c>
      <c r="H2" s="13" t="s">
        <v>62</v>
      </c>
      <c r="I2" s="15" t="s">
        <v>61</v>
      </c>
      <c r="J2" s="15" t="s">
        <v>63</v>
      </c>
      <c r="K2" s="15" t="s">
        <v>64</v>
      </c>
      <c r="L2" s="13" t="s">
        <v>65</v>
      </c>
      <c r="M2" s="15" t="s">
        <v>61</v>
      </c>
      <c r="N2" s="13" t="s">
        <v>66</v>
      </c>
      <c r="O2" s="15"/>
      <c r="P2" s="15"/>
      <c r="Q2" s="15" t="s">
        <v>67</v>
      </c>
      <c r="R2" s="13" t="s">
        <v>68</v>
      </c>
      <c r="S2" s="13" t="s">
        <v>69</v>
      </c>
      <c r="T2" s="13" t="s">
        <v>70</v>
      </c>
      <c r="U2" s="14">
        <v>40725</v>
      </c>
      <c r="V2" s="14"/>
      <c r="W2" s="15"/>
      <c r="X2" s="15"/>
      <c r="Y2" s="13"/>
      <c r="Z2" s="15"/>
      <c r="AA2" s="15"/>
      <c r="AB2" s="15"/>
      <c r="AC2" s="13"/>
      <c r="AD2" s="15"/>
      <c r="AE2" s="15"/>
      <c r="AF2" s="15"/>
      <c r="AG2" s="13"/>
      <c r="AH2" s="15"/>
      <c r="AI2" s="15"/>
      <c r="AJ2" s="15"/>
      <c r="AK2" s="13"/>
      <c r="AL2" s="15"/>
      <c r="AM2" s="15"/>
      <c r="AN2" s="13"/>
      <c r="AO2" s="13"/>
    </row>
    <row r="3" spans="1:41" ht="29" x14ac:dyDescent="0.35">
      <c r="A3" s="13" t="s">
        <v>56</v>
      </c>
      <c r="B3" s="13" t="s">
        <v>57</v>
      </c>
      <c r="C3" s="14">
        <v>43880.712500000001</v>
      </c>
      <c r="D3" s="13" t="s">
        <v>58</v>
      </c>
      <c r="E3" s="15" t="s">
        <v>59</v>
      </c>
      <c r="F3" s="13" t="s">
        <v>60</v>
      </c>
      <c r="G3" s="15" t="s">
        <v>61</v>
      </c>
      <c r="H3" s="13" t="s">
        <v>62</v>
      </c>
      <c r="I3" s="15" t="s">
        <v>61</v>
      </c>
      <c r="J3" s="15" t="s">
        <v>63</v>
      </c>
      <c r="K3" s="15" t="s">
        <v>64</v>
      </c>
      <c r="L3" s="13" t="s">
        <v>65</v>
      </c>
      <c r="M3" s="15" t="s">
        <v>61</v>
      </c>
      <c r="N3" s="13" t="s">
        <v>66</v>
      </c>
      <c r="O3" s="15"/>
      <c r="P3" s="15"/>
      <c r="Q3" s="15" t="s">
        <v>100</v>
      </c>
      <c r="R3" s="13" t="s">
        <v>101</v>
      </c>
      <c r="S3" s="13" t="s">
        <v>69</v>
      </c>
      <c r="T3" s="13" t="s">
        <v>70</v>
      </c>
      <c r="U3" s="14">
        <v>40725</v>
      </c>
      <c r="V3" s="14"/>
      <c r="W3" s="15"/>
      <c r="X3" s="15"/>
      <c r="Y3" s="13"/>
      <c r="Z3" s="15"/>
      <c r="AA3" s="15"/>
      <c r="AB3" s="15"/>
      <c r="AC3" s="13"/>
      <c r="AD3" s="15"/>
      <c r="AE3" s="15"/>
      <c r="AF3" s="15"/>
      <c r="AG3" s="13"/>
      <c r="AH3" s="15"/>
      <c r="AI3" s="15"/>
      <c r="AJ3" s="15"/>
      <c r="AK3" s="13"/>
      <c r="AL3" s="15"/>
      <c r="AM3" s="15"/>
      <c r="AN3" s="13"/>
      <c r="AO3" s="13"/>
    </row>
    <row r="4" spans="1:41" ht="29" x14ac:dyDescent="0.35">
      <c r="A4" s="13" t="s">
        <v>56</v>
      </c>
      <c r="B4" s="13" t="s">
        <v>57</v>
      </c>
      <c r="C4" s="14">
        <v>43880.712500000001</v>
      </c>
      <c r="D4" s="13" t="s">
        <v>58</v>
      </c>
      <c r="E4" s="15" t="s">
        <v>59</v>
      </c>
      <c r="F4" s="13" t="s">
        <v>60</v>
      </c>
      <c r="G4" s="15" t="s">
        <v>61</v>
      </c>
      <c r="H4" s="13" t="s">
        <v>62</v>
      </c>
      <c r="I4" s="15" t="s">
        <v>61</v>
      </c>
      <c r="J4" s="15" t="s">
        <v>63</v>
      </c>
      <c r="K4" s="15" t="s">
        <v>64</v>
      </c>
      <c r="L4" s="13" t="s">
        <v>65</v>
      </c>
      <c r="M4" s="15" t="s">
        <v>61</v>
      </c>
      <c r="N4" s="13" t="s">
        <v>66</v>
      </c>
      <c r="O4" s="15"/>
      <c r="P4" s="15"/>
      <c r="Q4" s="15" t="s">
        <v>120</v>
      </c>
      <c r="R4" s="13" t="s">
        <v>121</v>
      </c>
      <c r="S4" s="13" t="s">
        <v>69</v>
      </c>
      <c r="T4" s="13" t="s">
        <v>70</v>
      </c>
      <c r="U4" s="14">
        <v>40725</v>
      </c>
      <c r="V4" s="14"/>
      <c r="W4" s="15"/>
      <c r="X4" s="15"/>
      <c r="Y4" s="13"/>
      <c r="Z4" s="15"/>
      <c r="AA4" s="15"/>
      <c r="AB4" s="15"/>
      <c r="AC4" s="13"/>
      <c r="AD4" s="15"/>
      <c r="AE4" s="15"/>
      <c r="AF4" s="15"/>
      <c r="AG4" s="13"/>
      <c r="AH4" s="15"/>
      <c r="AI4" s="15"/>
      <c r="AJ4" s="15"/>
      <c r="AK4" s="13"/>
      <c r="AL4" s="15"/>
      <c r="AM4" s="15"/>
      <c r="AN4" s="13"/>
      <c r="AO4" s="13"/>
    </row>
    <row r="5" spans="1:41" ht="29" x14ac:dyDescent="0.35">
      <c r="A5" s="13" t="s">
        <v>56</v>
      </c>
      <c r="B5" s="13" t="s">
        <v>57</v>
      </c>
      <c r="C5" s="14">
        <v>43880.713888888888</v>
      </c>
      <c r="D5" s="13" t="s">
        <v>58</v>
      </c>
      <c r="E5" s="15" t="s">
        <v>59</v>
      </c>
      <c r="F5" s="13" t="s">
        <v>60</v>
      </c>
      <c r="G5" s="15" t="s">
        <v>61</v>
      </c>
      <c r="H5" s="13" t="s">
        <v>62</v>
      </c>
      <c r="I5" s="15" t="s">
        <v>61</v>
      </c>
      <c r="J5" s="15" t="s">
        <v>63</v>
      </c>
      <c r="K5" s="15" t="s">
        <v>64</v>
      </c>
      <c r="L5" s="13" t="s">
        <v>65</v>
      </c>
      <c r="M5" s="15" t="s">
        <v>61</v>
      </c>
      <c r="N5" s="13" t="s">
        <v>66</v>
      </c>
      <c r="O5" s="15"/>
      <c r="P5" s="15"/>
      <c r="Q5" s="15" t="s">
        <v>122</v>
      </c>
      <c r="R5" s="13" t="s">
        <v>123</v>
      </c>
      <c r="S5" s="13" t="s">
        <v>69</v>
      </c>
      <c r="T5" s="13" t="s">
        <v>70</v>
      </c>
      <c r="U5" s="14">
        <v>40725</v>
      </c>
      <c r="V5" s="14"/>
      <c r="W5" s="15"/>
      <c r="X5" s="15"/>
      <c r="Y5" s="13"/>
      <c r="Z5" s="15"/>
      <c r="AA5" s="15"/>
      <c r="AB5" s="15"/>
      <c r="AC5" s="13"/>
      <c r="AD5" s="15"/>
      <c r="AE5" s="15"/>
      <c r="AF5" s="15"/>
      <c r="AG5" s="13"/>
      <c r="AH5" s="15"/>
      <c r="AI5" s="15"/>
      <c r="AJ5" s="15"/>
      <c r="AK5" s="13"/>
      <c r="AL5" s="15"/>
      <c r="AM5" s="15"/>
      <c r="AN5" s="13"/>
      <c r="AO5" s="13"/>
    </row>
    <row r="6" spans="1:41" ht="29" x14ac:dyDescent="0.35">
      <c r="A6" s="13" t="s">
        <v>56</v>
      </c>
      <c r="B6" s="13" t="s">
        <v>57</v>
      </c>
      <c r="C6" s="14">
        <v>43880.71597222222</v>
      </c>
      <c r="D6" s="13" t="s">
        <v>58</v>
      </c>
      <c r="E6" s="15" t="s">
        <v>59</v>
      </c>
      <c r="F6" s="13" t="s">
        <v>60</v>
      </c>
      <c r="G6" s="15" t="s">
        <v>61</v>
      </c>
      <c r="H6" s="13" t="s">
        <v>62</v>
      </c>
      <c r="I6" s="15" t="s">
        <v>61</v>
      </c>
      <c r="J6" s="15" t="s">
        <v>63</v>
      </c>
      <c r="K6" s="15" t="s">
        <v>64</v>
      </c>
      <c r="L6" s="13" t="s">
        <v>65</v>
      </c>
      <c r="M6" s="15" t="s">
        <v>61</v>
      </c>
      <c r="N6" s="13" t="s">
        <v>66</v>
      </c>
      <c r="O6" s="15"/>
      <c r="P6" s="15"/>
      <c r="Q6" s="15" t="s">
        <v>125</v>
      </c>
      <c r="R6" s="13" t="s">
        <v>126</v>
      </c>
      <c r="S6" s="13" t="s">
        <v>127</v>
      </c>
      <c r="T6" s="13" t="s">
        <v>128</v>
      </c>
      <c r="U6" s="14">
        <v>40725</v>
      </c>
      <c r="V6" s="14"/>
      <c r="W6" s="15"/>
      <c r="X6" s="15"/>
      <c r="Y6" s="13"/>
      <c r="Z6" s="15"/>
      <c r="AA6" s="15"/>
      <c r="AB6" s="15"/>
      <c r="AC6" s="13"/>
      <c r="AD6" s="15"/>
      <c r="AE6" s="15"/>
      <c r="AF6" s="15"/>
      <c r="AG6" s="13"/>
      <c r="AH6" s="15"/>
      <c r="AI6" s="15"/>
      <c r="AJ6" s="15"/>
      <c r="AK6" s="13"/>
      <c r="AL6" s="15"/>
      <c r="AM6" s="15"/>
      <c r="AN6" s="13"/>
      <c r="AO6" s="13"/>
    </row>
    <row r="7" spans="1:41" ht="29" x14ac:dyDescent="0.35">
      <c r="A7" s="13" t="s">
        <v>56</v>
      </c>
      <c r="B7" s="13" t="s">
        <v>57</v>
      </c>
      <c r="C7" s="14">
        <v>43880.71597222222</v>
      </c>
      <c r="D7" s="13" t="s">
        <v>58</v>
      </c>
      <c r="E7" s="15" t="s">
        <v>59</v>
      </c>
      <c r="F7" s="13" t="s">
        <v>60</v>
      </c>
      <c r="G7" s="15" t="s">
        <v>61</v>
      </c>
      <c r="H7" s="13" t="s">
        <v>62</v>
      </c>
      <c r="I7" s="15" t="s">
        <v>61</v>
      </c>
      <c r="J7" s="15" t="s">
        <v>63</v>
      </c>
      <c r="K7" s="15" t="s">
        <v>64</v>
      </c>
      <c r="L7" s="13" t="s">
        <v>65</v>
      </c>
      <c r="M7" s="15" t="s">
        <v>61</v>
      </c>
      <c r="N7" s="13" t="s">
        <v>66</v>
      </c>
      <c r="O7" s="15"/>
      <c r="P7" s="15"/>
      <c r="Q7" s="15" t="s">
        <v>129</v>
      </c>
      <c r="R7" s="13" t="s">
        <v>130</v>
      </c>
      <c r="S7" s="13" t="s">
        <v>127</v>
      </c>
      <c r="T7" s="13" t="s">
        <v>128</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56</v>
      </c>
      <c r="B8" s="13" t="s">
        <v>57</v>
      </c>
      <c r="C8" s="14">
        <v>43880.716666666667</v>
      </c>
      <c r="D8" s="13" t="s">
        <v>58</v>
      </c>
      <c r="E8" s="15" t="s">
        <v>59</v>
      </c>
      <c r="F8" s="13" t="s">
        <v>60</v>
      </c>
      <c r="G8" s="15" t="s">
        <v>61</v>
      </c>
      <c r="H8" s="13" t="s">
        <v>62</v>
      </c>
      <c r="I8" s="15" t="s">
        <v>61</v>
      </c>
      <c r="J8" s="15" t="s">
        <v>63</v>
      </c>
      <c r="K8" s="15" t="s">
        <v>64</v>
      </c>
      <c r="L8" s="13" t="s">
        <v>65</v>
      </c>
      <c r="M8" s="15" t="s">
        <v>61</v>
      </c>
      <c r="N8" s="13" t="s">
        <v>66</v>
      </c>
      <c r="O8" s="15"/>
      <c r="P8" s="15"/>
      <c r="Q8" s="15" t="s">
        <v>131</v>
      </c>
      <c r="R8" s="13" t="s">
        <v>132</v>
      </c>
      <c r="S8" s="13" t="s">
        <v>127</v>
      </c>
      <c r="T8" s="13" t="s">
        <v>128</v>
      </c>
      <c r="U8" s="14">
        <v>40725</v>
      </c>
      <c r="V8" s="14"/>
      <c r="W8" s="15"/>
      <c r="X8" s="15"/>
      <c r="Y8" s="13"/>
      <c r="Z8" s="15"/>
      <c r="AA8" s="15"/>
      <c r="AB8" s="15"/>
      <c r="AC8" s="13"/>
      <c r="AD8" s="15"/>
      <c r="AE8" s="15"/>
      <c r="AF8" s="15"/>
      <c r="AG8" s="13"/>
      <c r="AH8" s="15"/>
      <c r="AI8" s="15"/>
      <c r="AJ8" s="15"/>
      <c r="AK8" s="13"/>
      <c r="AL8" s="15"/>
      <c r="AM8" s="15"/>
      <c r="AN8" s="13"/>
      <c r="AO8" s="13"/>
    </row>
    <row r="9" spans="1:41" ht="29" x14ac:dyDescent="0.35">
      <c r="A9" s="13" t="s">
        <v>56</v>
      </c>
      <c r="B9" s="13" t="s">
        <v>57</v>
      </c>
      <c r="C9" s="14">
        <v>43880.716666666667</v>
      </c>
      <c r="D9" s="13" t="s">
        <v>58</v>
      </c>
      <c r="E9" s="15" t="s">
        <v>59</v>
      </c>
      <c r="F9" s="13" t="s">
        <v>60</v>
      </c>
      <c r="G9" s="15" t="s">
        <v>61</v>
      </c>
      <c r="H9" s="13" t="s">
        <v>62</v>
      </c>
      <c r="I9" s="15" t="s">
        <v>61</v>
      </c>
      <c r="J9" s="15" t="s">
        <v>63</v>
      </c>
      <c r="K9" s="15" t="s">
        <v>64</v>
      </c>
      <c r="L9" s="13" t="s">
        <v>65</v>
      </c>
      <c r="M9" s="15" t="s">
        <v>61</v>
      </c>
      <c r="N9" s="13" t="s">
        <v>66</v>
      </c>
      <c r="O9" s="15"/>
      <c r="P9" s="15"/>
      <c r="Q9" s="15" t="s">
        <v>133</v>
      </c>
      <c r="R9" s="13" t="s">
        <v>134</v>
      </c>
      <c r="S9" s="13" t="s">
        <v>127</v>
      </c>
      <c r="T9" s="13" t="s">
        <v>128</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56</v>
      </c>
      <c r="B10" s="13" t="s">
        <v>57</v>
      </c>
      <c r="C10" s="14">
        <v>43880.714583333334</v>
      </c>
      <c r="D10" s="13" t="s">
        <v>58</v>
      </c>
      <c r="E10" s="15" t="s">
        <v>59</v>
      </c>
      <c r="F10" s="13" t="s">
        <v>60</v>
      </c>
      <c r="G10" s="15" t="s">
        <v>61</v>
      </c>
      <c r="H10" s="13" t="s">
        <v>62</v>
      </c>
      <c r="I10" s="15" t="s">
        <v>61</v>
      </c>
      <c r="J10" s="15" t="s">
        <v>63</v>
      </c>
      <c r="K10" s="15" t="s">
        <v>64</v>
      </c>
      <c r="L10" s="13" t="s">
        <v>65</v>
      </c>
      <c r="M10" s="15" t="s">
        <v>61</v>
      </c>
      <c r="N10" s="13" t="s">
        <v>66</v>
      </c>
      <c r="O10" s="15"/>
      <c r="P10" s="15"/>
      <c r="Q10" s="15" t="s">
        <v>135</v>
      </c>
      <c r="R10" s="13" t="s">
        <v>136</v>
      </c>
      <c r="S10" s="13" t="s">
        <v>127</v>
      </c>
      <c r="T10" s="13" t="s">
        <v>128</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137</v>
      </c>
      <c r="B11" s="13" t="s">
        <v>138</v>
      </c>
      <c r="C11" s="14">
        <v>45995.629166666666</v>
      </c>
      <c r="D11" s="13" t="s">
        <v>58</v>
      </c>
      <c r="E11" s="15" t="s">
        <v>59</v>
      </c>
      <c r="F11" s="13" t="s">
        <v>60</v>
      </c>
      <c r="G11" s="15" t="s">
        <v>61</v>
      </c>
      <c r="H11" s="13" t="s">
        <v>62</v>
      </c>
      <c r="I11" s="15" t="s">
        <v>61</v>
      </c>
      <c r="J11" s="15" t="s">
        <v>63</v>
      </c>
      <c r="K11" s="15" t="s">
        <v>64</v>
      </c>
      <c r="L11" s="13" t="s">
        <v>65</v>
      </c>
      <c r="M11" s="15" t="s">
        <v>61</v>
      </c>
      <c r="N11" s="13" t="s">
        <v>66</v>
      </c>
      <c r="O11" s="15"/>
      <c r="P11" s="15"/>
      <c r="Q11" s="15" t="s">
        <v>139</v>
      </c>
      <c r="R11" s="13" t="s">
        <v>140</v>
      </c>
      <c r="S11" s="13" t="s">
        <v>127</v>
      </c>
      <c r="T11" s="13" t="s">
        <v>128</v>
      </c>
      <c r="U11" s="14">
        <v>40725</v>
      </c>
      <c r="V11" s="14">
        <v>45900</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137</v>
      </c>
      <c r="B12" s="13" t="s">
        <v>57</v>
      </c>
      <c r="C12" s="14">
        <v>45995.629166666666</v>
      </c>
      <c r="D12" s="13" t="s">
        <v>58</v>
      </c>
      <c r="E12" s="15" t="s">
        <v>59</v>
      </c>
      <c r="F12" s="13" t="s">
        <v>60</v>
      </c>
      <c r="G12" s="15" t="s">
        <v>61</v>
      </c>
      <c r="H12" s="13" t="s">
        <v>62</v>
      </c>
      <c r="I12" s="15" t="s">
        <v>61</v>
      </c>
      <c r="J12" s="15" t="s">
        <v>63</v>
      </c>
      <c r="K12" s="15" t="s">
        <v>64</v>
      </c>
      <c r="L12" s="13" t="s">
        <v>65</v>
      </c>
      <c r="M12" s="15" t="s">
        <v>61</v>
      </c>
      <c r="N12" s="13" t="s">
        <v>66</v>
      </c>
      <c r="O12" s="15"/>
      <c r="P12" s="15"/>
      <c r="Q12" s="15" t="s">
        <v>139</v>
      </c>
      <c r="R12" s="13" t="s">
        <v>140</v>
      </c>
      <c r="S12" s="13" t="s">
        <v>127</v>
      </c>
      <c r="T12" s="13" t="s">
        <v>70</v>
      </c>
      <c r="U12" s="14">
        <v>45901</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56</v>
      </c>
      <c r="B13" s="13" t="s">
        <v>57</v>
      </c>
      <c r="C13" s="14">
        <v>43880.715277777781</v>
      </c>
      <c r="D13" s="13" t="s">
        <v>58</v>
      </c>
      <c r="E13" s="15" t="s">
        <v>59</v>
      </c>
      <c r="F13" s="13" t="s">
        <v>60</v>
      </c>
      <c r="G13" s="15" t="s">
        <v>61</v>
      </c>
      <c r="H13" s="13" t="s">
        <v>62</v>
      </c>
      <c r="I13" s="15" t="s">
        <v>61</v>
      </c>
      <c r="J13" s="15" t="s">
        <v>63</v>
      </c>
      <c r="K13" s="15" t="s">
        <v>64</v>
      </c>
      <c r="L13" s="13" t="s">
        <v>65</v>
      </c>
      <c r="M13" s="15" t="s">
        <v>61</v>
      </c>
      <c r="N13" s="13" t="s">
        <v>66</v>
      </c>
      <c r="O13" s="15"/>
      <c r="P13" s="15"/>
      <c r="Q13" s="15" t="s">
        <v>145</v>
      </c>
      <c r="R13" s="13" t="s">
        <v>146</v>
      </c>
      <c r="S13" s="13" t="s">
        <v>127</v>
      </c>
      <c r="T13" s="13" t="s">
        <v>128</v>
      </c>
      <c r="U13" s="14">
        <v>40725</v>
      </c>
      <c r="V13" s="14"/>
      <c r="W13" s="15"/>
      <c r="X13" s="15"/>
      <c r="Y13" s="13"/>
      <c r="Z13" s="15"/>
      <c r="AA13" s="15"/>
      <c r="AB13" s="15"/>
      <c r="AC13" s="13"/>
      <c r="AD13" s="15"/>
      <c r="AE13" s="15"/>
      <c r="AF13" s="15"/>
      <c r="AG13" s="13"/>
      <c r="AH13" s="15"/>
      <c r="AI13" s="15"/>
      <c r="AJ13" s="15"/>
      <c r="AK13" s="13"/>
      <c r="AL13" s="15"/>
      <c r="AM13" s="15"/>
      <c r="AN13" s="13"/>
      <c r="AO13" s="13"/>
    </row>
  </sheetData>
  <autoFilter ref="A1:AS1" xr:uid="{97034BDD-02CD-44AC-906D-DB066BE006B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18DB-0B4C-4879-9A62-169D11FB8BA7}">
  <dimension ref="A1:U30"/>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165</v>
      </c>
      <c r="E1" s="10" t="s">
        <v>166</v>
      </c>
      <c r="F1" s="10" t="s">
        <v>167</v>
      </c>
      <c r="G1" s="10" t="s">
        <v>168</v>
      </c>
      <c r="H1" s="11" t="s">
        <v>21</v>
      </c>
      <c r="I1" s="11" t="s">
        <v>22</v>
      </c>
      <c r="J1" s="10" t="s">
        <v>169</v>
      </c>
      <c r="K1" s="10" t="s">
        <v>170</v>
      </c>
      <c r="L1" s="10" t="s">
        <v>171</v>
      </c>
      <c r="M1" s="10" t="s">
        <v>164</v>
      </c>
      <c r="N1" s="10" t="s">
        <v>172</v>
      </c>
      <c r="O1" s="10" t="s">
        <v>173</v>
      </c>
      <c r="P1" s="10" t="s">
        <v>174</v>
      </c>
      <c r="Q1" s="10" t="s">
        <v>175</v>
      </c>
      <c r="R1" s="10" t="s">
        <v>54</v>
      </c>
      <c r="S1" s="10" t="s">
        <v>55</v>
      </c>
      <c r="T1" s="10" t="s">
        <v>176</v>
      </c>
      <c r="U1" s="10" t="s">
        <v>177</v>
      </c>
    </row>
    <row r="2" spans="1:21" ht="87" x14ac:dyDescent="0.35">
      <c r="A2" s="13" t="s">
        <v>56</v>
      </c>
      <c r="B2" s="13" t="s">
        <v>57</v>
      </c>
      <c r="C2" s="14">
        <v>43881.62222222222</v>
      </c>
      <c r="D2" s="13" t="s">
        <v>96</v>
      </c>
      <c r="E2" s="13" t="s">
        <v>169</v>
      </c>
      <c r="F2" s="15" t="s">
        <v>97</v>
      </c>
      <c r="G2" s="13" t="s">
        <v>178</v>
      </c>
      <c r="H2" s="14">
        <v>40725</v>
      </c>
      <c r="I2" s="14"/>
      <c r="J2" s="15"/>
      <c r="K2" s="15" t="s">
        <v>179</v>
      </c>
      <c r="L2" s="13" t="s">
        <v>180</v>
      </c>
      <c r="M2" s="15"/>
      <c r="N2" s="13" t="s">
        <v>181</v>
      </c>
      <c r="O2" s="13"/>
      <c r="P2" s="13"/>
      <c r="Q2" s="13"/>
      <c r="R2" s="13"/>
      <c r="S2" s="13"/>
      <c r="T2" s="13" t="s">
        <v>182</v>
      </c>
      <c r="U2" s="15" t="s">
        <v>97</v>
      </c>
    </row>
    <row r="3" spans="1:21" ht="43.5" x14ac:dyDescent="0.35">
      <c r="A3" s="13" t="s">
        <v>56</v>
      </c>
      <c r="B3" s="13" t="s">
        <v>57</v>
      </c>
      <c r="C3" s="14">
        <v>43880.631249999999</v>
      </c>
      <c r="D3" s="13" t="s">
        <v>98</v>
      </c>
      <c r="E3" s="13" t="s">
        <v>183</v>
      </c>
      <c r="F3" s="15" t="s">
        <v>99</v>
      </c>
      <c r="G3" s="13"/>
      <c r="H3" s="14">
        <v>40725</v>
      </c>
      <c r="I3" s="14"/>
      <c r="J3" s="15"/>
      <c r="K3" s="15" t="s">
        <v>184</v>
      </c>
      <c r="L3" s="13" t="s">
        <v>180</v>
      </c>
      <c r="M3" s="15"/>
      <c r="N3" s="13"/>
      <c r="O3" s="13" t="s">
        <v>185</v>
      </c>
      <c r="P3" s="13"/>
      <c r="Q3" s="13"/>
      <c r="R3" s="13"/>
      <c r="S3" s="13"/>
      <c r="T3" s="13"/>
      <c r="U3" s="15"/>
    </row>
    <row r="4" spans="1:21" ht="43.5" x14ac:dyDescent="0.35">
      <c r="A4" s="13" t="s">
        <v>56</v>
      </c>
      <c r="B4" s="13" t="s">
        <v>57</v>
      </c>
      <c r="C4" s="14">
        <v>43880.634027777778</v>
      </c>
      <c r="D4" s="13" t="s">
        <v>118</v>
      </c>
      <c r="E4" s="13" t="s">
        <v>183</v>
      </c>
      <c r="F4" s="15" t="s">
        <v>119</v>
      </c>
      <c r="G4" s="13"/>
      <c r="H4" s="14">
        <v>40725</v>
      </c>
      <c r="I4" s="14"/>
      <c r="J4" s="15"/>
      <c r="K4" s="15" t="s">
        <v>186</v>
      </c>
      <c r="L4" s="13" t="s">
        <v>180</v>
      </c>
      <c r="M4" s="15"/>
      <c r="N4" s="13"/>
      <c r="O4" s="13" t="s">
        <v>187</v>
      </c>
      <c r="P4" s="13"/>
      <c r="Q4" s="13"/>
      <c r="R4" s="13"/>
      <c r="S4" s="13"/>
      <c r="T4" s="13"/>
      <c r="U4" s="15"/>
    </row>
    <row r="5" spans="1:21" ht="58" x14ac:dyDescent="0.35">
      <c r="A5" s="13" t="s">
        <v>56</v>
      </c>
      <c r="B5" s="13" t="s">
        <v>57</v>
      </c>
      <c r="C5" s="14">
        <v>43880.636805555558</v>
      </c>
      <c r="D5" s="13" t="s">
        <v>72</v>
      </c>
      <c r="E5" s="13" t="s">
        <v>188</v>
      </c>
      <c r="F5" s="15" t="s">
        <v>73</v>
      </c>
      <c r="G5" s="13" t="s">
        <v>189</v>
      </c>
      <c r="H5" s="14">
        <v>40725</v>
      </c>
      <c r="I5" s="14"/>
      <c r="J5" s="15"/>
      <c r="K5" s="15"/>
      <c r="L5" s="13" t="s">
        <v>190</v>
      </c>
      <c r="M5" s="15"/>
      <c r="N5" s="13"/>
      <c r="O5" s="13"/>
      <c r="P5" s="13" t="s">
        <v>185</v>
      </c>
      <c r="Q5" s="13"/>
      <c r="R5" s="13"/>
      <c r="S5" s="13"/>
      <c r="T5" s="13" t="s">
        <v>182</v>
      </c>
      <c r="U5" s="15" t="s">
        <v>73</v>
      </c>
    </row>
    <row r="6" spans="1:21" ht="43.5" x14ac:dyDescent="0.35">
      <c r="A6" s="13" t="s">
        <v>56</v>
      </c>
      <c r="B6" s="13" t="s">
        <v>57</v>
      </c>
      <c r="C6" s="14">
        <v>43880.638194444444</v>
      </c>
      <c r="D6" s="13" t="s">
        <v>74</v>
      </c>
      <c r="E6" s="13" t="s">
        <v>188</v>
      </c>
      <c r="F6" s="15" t="s">
        <v>75</v>
      </c>
      <c r="G6" s="13" t="s">
        <v>189</v>
      </c>
      <c r="H6" s="14">
        <v>40725</v>
      </c>
      <c r="I6" s="14"/>
      <c r="J6" s="15"/>
      <c r="K6" s="15"/>
      <c r="L6" s="13" t="s">
        <v>190</v>
      </c>
      <c r="M6" s="15"/>
      <c r="N6" s="13"/>
      <c r="O6" s="13"/>
      <c r="P6" s="13" t="s">
        <v>185</v>
      </c>
      <c r="Q6" s="13"/>
      <c r="R6" s="13"/>
      <c r="S6" s="13"/>
      <c r="T6" s="13" t="s">
        <v>182</v>
      </c>
      <c r="U6" s="15" t="s">
        <v>75</v>
      </c>
    </row>
    <row r="7" spans="1:21" ht="29" x14ac:dyDescent="0.35">
      <c r="A7" s="13" t="s">
        <v>56</v>
      </c>
      <c r="B7" s="13" t="s">
        <v>57</v>
      </c>
      <c r="C7" s="14">
        <v>43880.63958333333</v>
      </c>
      <c r="D7" s="13" t="s">
        <v>76</v>
      </c>
      <c r="E7" s="13" t="s">
        <v>188</v>
      </c>
      <c r="F7" s="15" t="s">
        <v>77</v>
      </c>
      <c r="G7" s="13" t="s">
        <v>189</v>
      </c>
      <c r="H7" s="14">
        <v>40725</v>
      </c>
      <c r="I7" s="14"/>
      <c r="J7" s="15"/>
      <c r="K7" s="15"/>
      <c r="L7" s="13" t="s">
        <v>190</v>
      </c>
      <c r="M7" s="15"/>
      <c r="N7" s="13"/>
      <c r="O7" s="13"/>
      <c r="P7" s="13" t="s">
        <v>185</v>
      </c>
      <c r="Q7" s="13"/>
      <c r="R7" s="13"/>
      <c r="S7" s="13"/>
      <c r="T7" s="13" t="s">
        <v>182</v>
      </c>
      <c r="U7" s="15" t="s">
        <v>77</v>
      </c>
    </row>
    <row r="8" spans="1:21" ht="29" x14ac:dyDescent="0.35">
      <c r="A8" s="13" t="s">
        <v>56</v>
      </c>
      <c r="B8" s="13" t="s">
        <v>57</v>
      </c>
      <c r="C8" s="14">
        <v>43880.664583333331</v>
      </c>
      <c r="D8" s="13" t="s">
        <v>78</v>
      </c>
      <c r="E8" s="13" t="s">
        <v>188</v>
      </c>
      <c r="F8" s="15" t="s">
        <v>79</v>
      </c>
      <c r="G8" s="13" t="s">
        <v>189</v>
      </c>
      <c r="H8" s="14">
        <v>40725</v>
      </c>
      <c r="I8" s="14"/>
      <c r="J8" s="15"/>
      <c r="K8" s="15"/>
      <c r="L8" s="13" t="s">
        <v>190</v>
      </c>
      <c r="M8" s="15"/>
      <c r="N8" s="13"/>
      <c r="O8" s="13"/>
      <c r="P8" s="13" t="s">
        <v>185</v>
      </c>
      <c r="Q8" s="13"/>
      <c r="R8" s="13"/>
      <c r="S8" s="13"/>
      <c r="T8" s="13" t="s">
        <v>182</v>
      </c>
      <c r="U8" s="15" t="s">
        <v>79</v>
      </c>
    </row>
    <row r="9" spans="1:21" ht="87" x14ac:dyDescent="0.35">
      <c r="A9" s="13" t="s">
        <v>56</v>
      </c>
      <c r="B9" s="13" t="s">
        <v>57</v>
      </c>
      <c r="C9" s="14">
        <v>43880.665277777778</v>
      </c>
      <c r="D9" s="13" t="s">
        <v>80</v>
      </c>
      <c r="E9" s="13" t="s">
        <v>188</v>
      </c>
      <c r="F9" s="15" t="s">
        <v>81</v>
      </c>
      <c r="G9" s="13" t="s">
        <v>189</v>
      </c>
      <c r="H9" s="14">
        <v>40725</v>
      </c>
      <c r="I9" s="14"/>
      <c r="J9" s="15"/>
      <c r="K9" s="15"/>
      <c r="L9" s="13" t="s">
        <v>190</v>
      </c>
      <c r="M9" s="15"/>
      <c r="N9" s="13"/>
      <c r="O9" s="13"/>
      <c r="P9" s="13" t="s">
        <v>185</v>
      </c>
      <c r="Q9" s="13"/>
      <c r="R9" s="13"/>
      <c r="S9" s="13"/>
      <c r="T9" s="13" t="s">
        <v>182</v>
      </c>
      <c r="U9" s="15" t="s">
        <v>81</v>
      </c>
    </row>
    <row r="10" spans="1:21" ht="72.5" x14ac:dyDescent="0.35">
      <c r="A10" s="13" t="s">
        <v>56</v>
      </c>
      <c r="B10" s="13" t="s">
        <v>57</v>
      </c>
      <c r="C10" s="14">
        <v>43880.665972222225</v>
      </c>
      <c r="D10" s="13" t="s">
        <v>82</v>
      </c>
      <c r="E10" s="13" t="s">
        <v>188</v>
      </c>
      <c r="F10" s="15" t="s">
        <v>83</v>
      </c>
      <c r="G10" s="13" t="s">
        <v>189</v>
      </c>
      <c r="H10" s="14">
        <v>40725</v>
      </c>
      <c r="I10" s="14"/>
      <c r="J10" s="15"/>
      <c r="K10" s="15"/>
      <c r="L10" s="13" t="s">
        <v>190</v>
      </c>
      <c r="M10" s="15"/>
      <c r="N10" s="13"/>
      <c r="O10" s="13"/>
      <c r="P10" s="13" t="s">
        <v>185</v>
      </c>
      <c r="Q10" s="13"/>
      <c r="R10" s="13"/>
      <c r="S10" s="13"/>
      <c r="T10" s="13" t="s">
        <v>182</v>
      </c>
      <c r="U10" s="15" t="s">
        <v>83</v>
      </c>
    </row>
    <row r="11" spans="1:21" ht="29" x14ac:dyDescent="0.35">
      <c r="A11" s="13" t="s">
        <v>56</v>
      </c>
      <c r="B11" s="13" t="s">
        <v>57</v>
      </c>
      <c r="C11" s="14">
        <v>43880.666666666664</v>
      </c>
      <c r="D11" s="13" t="s">
        <v>84</v>
      </c>
      <c r="E11" s="13" t="s">
        <v>188</v>
      </c>
      <c r="F11" s="15" t="s">
        <v>85</v>
      </c>
      <c r="G11" s="13" t="s">
        <v>189</v>
      </c>
      <c r="H11" s="14">
        <v>40725</v>
      </c>
      <c r="I11" s="14"/>
      <c r="J11" s="15"/>
      <c r="K11" s="15"/>
      <c r="L11" s="13" t="s">
        <v>190</v>
      </c>
      <c r="M11" s="15"/>
      <c r="N11" s="13"/>
      <c r="O11" s="13"/>
      <c r="P11" s="13" t="s">
        <v>185</v>
      </c>
      <c r="Q11" s="13"/>
      <c r="R11" s="13"/>
      <c r="S11" s="13"/>
      <c r="T11" s="13" t="s">
        <v>182</v>
      </c>
      <c r="U11" s="15" t="s">
        <v>85</v>
      </c>
    </row>
    <row r="12" spans="1:21" ht="29" x14ac:dyDescent="0.35">
      <c r="A12" s="13" t="s">
        <v>56</v>
      </c>
      <c r="B12" s="13" t="s">
        <v>57</v>
      </c>
      <c r="C12" s="14">
        <v>43880.667361111111</v>
      </c>
      <c r="D12" s="13" t="s">
        <v>86</v>
      </c>
      <c r="E12" s="13" t="s">
        <v>188</v>
      </c>
      <c r="F12" s="15" t="s">
        <v>87</v>
      </c>
      <c r="G12" s="13" t="s">
        <v>189</v>
      </c>
      <c r="H12" s="14">
        <v>40725</v>
      </c>
      <c r="I12" s="14"/>
      <c r="J12" s="15"/>
      <c r="K12" s="15"/>
      <c r="L12" s="13" t="s">
        <v>190</v>
      </c>
      <c r="M12" s="15"/>
      <c r="N12" s="13"/>
      <c r="O12" s="13"/>
      <c r="P12" s="13" t="s">
        <v>185</v>
      </c>
      <c r="Q12" s="13"/>
      <c r="R12" s="13"/>
      <c r="S12" s="13"/>
      <c r="T12" s="13" t="s">
        <v>182</v>
      </c>
      <c r="U12" s="15" t="s">
        <v>87</v>
      </c>
    </row>
    <row r="13" spans="1:21" ht="29" x14ac:dyDescent="0.35">
      <c r="A13" s="13" t="s">
        <v>56</v>
      </c>
      <c r="B13" s="13" t="s">
        <v>57</v>
      </c>
      <c r="C13" s="14">
        <v>43880.669444444444</v>
      </c>
      <c r="D13" s="13" t="s">
        <v>88</v>
      </c>
      <c r="E13" s="13" t="s">
        <v>188</v>
      </c>
      <c r="F13" s="15" t="s">
        <v>89</v>
      </c>
      <c r="G13" s="13" t="s">
        <v>189</v>
      </c>
      <c r="H13" s="14">
        <v>40725</v>
      </c>
      <c r="I13" s="14"/>
      <c r="J13" s="15"/>
      <c r="K13" s="15"/>
      <c r="L13" s="13" t="s">
        <v>190</v>
      </c>
      <c r="M13" s="15"/>
      <c r="N13" s="13"/>
      <c r="O13" s="13"/>
      <c r="P13" s="13" t="s">
        <v>185</v>
      </c>
      <c r="Q13" s="13"/>
      <c r="R13" s="13"/>
      <c r="S13" s="13"/>
      <c r="T13" s="13" t="s">
        <v>182</v>
      </c>
      <c r="U13" s="15" t="s">
        <v>89</v>
      </c>
    </row>
    <row r="14" spans="1:21" ht="58" x14ac:dyDescent="0.35">
      <c r="A14" s="13" t="s">
        <v>56</v>
      </c>
      <c r="B14" s="13" t="s">
        <v>57</v>
      </c>
      <c r="C14" s="14">
        <v>43880.670138888891</v>
      </c>
      <c r="D14" s="13" t="s">
        <v>90</v>
      </c>
      <c r="E14" s="13" t="s">
        <v>188</v>
      </c>
      <c r="F14" s="15" t="s">
        <v>91</v>
      </c>
      <c r="G14" s="13" t="s">
        <v>189</v>
      </c>
      <c r="H14" s="14">
        <v>40725</v>
      </c>
      <c r="I14" s="14"/>
      <c r="J14" s="15"/>
      <c r="K14" s="15"/>
      <c r="L14" s="13" t="s">
        <v>190</v>
      </c>
      <c r="M14" s="15"/>
      <c r="N14" s="13"/>
      <c r="O14" s="13"/>
      <c r="P14" s="13" t="s">
        <v>185</v>
      </c>
      <c r="Q14" s="13"/>
      <c r="R14" s="13"/>
      <c r="S14" s="13"/>
      <c r="T14" s="13" t="s">
        <v>182</v>
      </c>
      <c r="U14" s="15" t="s">
        <v>91</v>
      </c>
    </row>
    <row r="15" spans="1:21" ht="43.5" x14ac:dyDescent="0.35">
      <c r="A15" s="13" t="s">
        <v>56</v>
      </c>
      <c r="B15" s="13" t="s">
        <v>57</v>
      </c>
      <c r="C15" s="14">
        <v>43880.67083333333</v>
      </c>
      <c r="D15" s="13" t="s">
        <v>92</v>
      </c>
      <c r="E15" s="13" t="s">
        <v>188</v>
      </c>
      <c r="F15" s="15" t="s">
        <v>93</v>
      </c>
      <c r="G15" s="13" t="s">
        <v>189</v>
      </c>
      <c r="H15" s="14">
        <v>40725</v>
      </c>
      <c r="I15" s="14"/>
      <c r="J15" s="15"/>
      <c r="K15" s="15"/>
      <c r="L15" s="13" t="s">
        <v>190</v>
      </c>
      <c r="M15" s="15"/>
      <c r="N15" s="13"/>
      <c r="O15" s="13"/>
      <c r="P15" s="13" t="s">
        <v>185</v>
      </c>
      <c r="Q15" s="13"/>
      <c r="R15" s="13"/>
      <c r="S15" s="13"/>
      <c r="T15" s="13" t="s">
        <v>182</v>
      </c>
      <c r="U15" s="15" t="s">
        <v>93</v>
      </c>
    </row>
    <row r="16" spans="1:21" ht="43.5" x14ac:dyDescent="0.35">
      <c r="A16" s="13" t="s">
        <v>56</v>
      </c>
      <c r="B16" s="13" t="s">
        <v>57</v>
      </c>
      <c r="C16" s="14">
        <v>43880.672222222223</v>
      </c>
      <c r="D16" s="13" t="s">
        <v>94</v>
      </c>
      <c r="E16" s="13" t="s">
        <v>188</v>
      </c>
      <c r="F16" s="15" t="s">
        <v>95</v>
      </c>
      <c r="G16" s="13" t="s">
        <v>189</v>
      </c>
      <c r="H16" s="14">
        <v>40725</v>
      </c>
      <c r="I16" s="14"/>
      <c r="J16" s="15"/>
      <c r="K16" s="15"/>
      <c r="L16" s="13" t="s">
        <v>190</v>
      </c>
      <c r="M16" s="15"/>
      <c r="N16" s="13"/>
      <c r="O16" s="13"/>
      <c r="P16" s="13" t="s">
        <v>185</v>
      </c>
      <c r="Q16" s="13"/>
      <c r="R16" s="13"/>
      <c r="S16" s="13"/>
      <c r="T16" s="13" t="s">
        <v>182</v>
      </c>
      <c r="U16" s="15" t="s">
        <v>95</v>
      </c>
    </row>
    <row r="17" spans="1:21" ht="72.5" x14ac:dyDescent="0.35">
      <c r="A17" s="13" t="s">
        <v>56</v>
      </c>
      <c r="B17" s="13" t="s">
        <v>57</v>
      </c>
      <c r="C17" s="14">
        <v>43880.677777777775</v>
      </c>
      <c r="D17" s="13" t="s">
        <v>103</v>
      </c>
      <c r="E17" s="13" t="s">
        <v>188</v>
      </c>
      <c r="F17" s="15" t="s">
        <v>104</v>
      </c>
      <c r="G17" s="13" t="s">
        <v>191</v>
      </c>
      <c r="H17" s="14">
        <v>40725</v>
      </c>
      <c r="I17" s="14"/>
      <c r="J17" s="15"/>
      <c r="K17" s="15"/>
      <c r="L17" s="13" t="s">
        <v>190</v>
      </c>
      <c r="M17" s="15"/>
      <c r="N17" s="13"/>
      <c r="O17" s="13"/>
      <c r="P17" s="13" t="s">
        <v>187</v>
      </c>
      <c r="Q17" s="13"/>
      <c r="R17" s="13"/>
      <c r="S17" s="13"/>
      <c r="T17" s="13" t="s">
        <v>182</v>
      </c>
      <c r="U17" s="15" t="s">
        <v>104</v>
      </c>
    </row>
    <row r="18" spans="1:21" ht="58" x14ac:dyDescent="0.35">
      <c r="A18" s="13" t="s">
        <v>56</v>
      </c>
      <c r="B18" s="13" t="s">
        <v>57</v>
      </c>
      <c r="C18" s="14">
        <v>43880.681250000001</v>
      </c>
      <c r="D18" s="13" t="s">
        <v>105</v>
      </c>
      <c r="E18" s="13" t="s">
        <v>188</v>
      </c>
      <c r="F18" s="15" t="s">
        <v>73</v>
      </c>
      <c r="G18" s="13" t="s">
        <v>192</v>
      </c>
      <c r="H18" s="14">
        <v>40725</v>
      </c>
      <c r="I18" s="14"/>
      <c r="J18" s="15"/>
      <c r="K18" s="15"/>
      <c r="L18" s="13" t="s">
        <v>190</v>
      </c>
      <c r="M18" s="15"/>
      <c r="N18" s="13"/>
      <c r="O18" s="13"/>
      <c r="P18" s="13" t="s">
        <v>193</v>
      </c>
      <c r="Q18" s="13"/>
      <c r="R18" s="13"/>
      <c r="S18" s="13"/>
      <c r="T18" s="13" t="s">
        <v>182</v>
      </c>
      <c r="U18" s="15" t="s">
        <v>73</v>
      </c>
    </row>
    <row r="19" spans="1:21" ht="43.5" x14ac:dyDescent="0.35">
      <c r="A19" s="13" t="s">
        <v>56</v>
      </c>
      <c r="B19" s="13" t="s">
        <v>57</v>
      </c>
      <c r="C19" s="14">
        <v>43880.680555555555</v>
      </c>
      <c r="D19" s="13" t="s">
        <v>106</v>
      </c>
      <c r="E19" s="13" t="s">
        <v>188</v>
      </c>
      <c r="F19" s="15" t="s">
        <v>75</v>
      </c>
      <c r="G19" s="13" t="s">
        <v>192</v>
      </c>
      <c r="H19" s="14">
        <v>40725</v>
      </c>
      <c r="I19" s="14"/>
      <c r="J19" s="15"/>
      <c r="K19" s="15"/>
      <c r="L19" s="13" t="s">
        <v>190</v>
      </c>
      <c r="M19" s="15"/>
      <c r="N19" s="13"/>
      <c r="O19" s="13"/>
      <c r="P19" s="13" t="s">
        <v>193</v>
      </c>
      <c r="Q19" s="13"/>
      <c r="R19" s="13"/>
      <c r="S19" s="13"/>
      <c r="T19" s="13" t="s">
        <v>182</v>
      </c>
      <c r="U19" s="15" t="s">
        <v>75</v>
      </c>
    </row>
    <row r="20" spans="1:21" ht="29" x14ac:dyDescent="0.35">
      <c r="A20" s="13" t="s">
        <v>56</v>
      </c>
      <c r="B20" s="13" t="s">
        <v>57</v>
      </c>
      <c r="C20" s="14">
        <v>43880.682638888888</v>
      </c>
      <c r="D20" s="13" t="s">
        <v>107</v>
      </c>
      <c r="E20" s="13" t="s">
        <v>188</v>
      </c>
      <c r="F20" s="15" t="s">
        <v>77</v>
      </c>
      <c r="G20" s="13" t="s">
        <v>192</v>
      </c>
      <c r="H20" s="14">
        <v>40725</v>
      </c>
      <c r="I20" s="14"/>
      <c r="J20" s="15"/>
      <c r="K20" s="15"/>
      <c r="L20" s="13" t="s">
        <v>190</v>
      </c>
      <c r="M20" s="15"/>
      <c r="N20" s="13"/>
      <c r="O20" s="13"/>
      <c r="P20" s="13" t="s">
        <v>193</v>
      </c>
      <c r="Q20" s="13"/>
      <c r="R20" s="13"/>
      <c r="S20" s="13"/>
      <c r="T20" s="13" t="s">
        <v>182</v>
      </c>
      <c r="U20" s="15" t="s">
        <v>77</v>
      </c>
    </row>
    <row r="21" spans="1:21" ht="29" x14ac:dyDescent="0.35">
      <c r="A21" s="13" t="s">
        <v>56</v>
      </c>
      <c r="B21" s="13" t="s">
        <v>57</v>
      </c>
      <c r="C21" s="14">
        <v>43880.683333333334</v>
      </c>
      <c r="D21" s="13" t="s">
        <v>108</v>
      </c>
      <c r="E21" s="13" t="s">
        <v>188</v>
      </c>
      <c r="F21" s="15" t="s">
        <v>79</v>
      </c>
      <c r="G21" s="13" t="s">
        <v>192</v>
      </c>
      <c r="H21" s="14">
        <v>40725</v>
      </c>
      <c r="I21" s="14"/>
      <c r="J21" s="15"/>
      <c r="K21" s="15"/>
      <c r="L21" s="13" t="s">
        <v>190</v>
      </c>
      <c r="M21" s="15"/>
      <c r="N21" s="13"/>
      <c r="O21" s="13"/>
      <c r="P21" s="13" t="s">
        <v>193</v>
      </c>
      <c r="Q21" s="13"/>
      <c r="R21" s="13"/>
      <c r="S21" s="13"/>
      <c r="T21" s="13" t="s">
        <v>182</v>
      </c>
      <c r="U21" s="15" t="s">
        <v>79</v>
      </c>
    </row>
    <row r="22" spans="1:21" ht="87" x14ac:dyDescent="0.35">
      <c r="A22" s="13" t="s">
        <v>56</v>
      </c>
      <c r="B22" s="13" t="s">
        <v>57</v>
      </c>
      <c r="C22" s="14">
        <v>43880.68472222222</v>
      </c>
      <c r="D22" s="13" t="s">
        <v>109</v>
      </c>
      <c r="E22" s="13" t="s">
        <v>188</v>
      </c>
      <c r="F22" s="15" t="s">
        <v>81</v>
      </c>
      <c r="G22" s="13" t="s">
        <v>192</v>
      </c>
      <c r="H22" s="14">
        <v>40725</v>
      </c>
      <c r="I22" s="14"/>
      <c r="J22" s="15"/>
      <c r="K22" s="15"/>
      <c r="L22" s="13" t="s">
        <v>190</v>
      </c>
      <c r="M22" s="15"/>
      <c r="N22" s="13"/>
      <c r="O22" s="13"/>
      <c r="P22" s="13" t="s">
        <v>193</v>
      </c>
      <c r="Q22" s="13"/>
      <c r="R22" s="13"/>
      <c r="S22" s="13"/>
      <c r="T22" s="13" t="s">
        <v>182</v>
      </c>
      <c r="U22" s="15" t="s">
        <v>81</v>
      </c>
    </row>
    <row r="23" spans="1:21" ht="72.5" x14ac:dyDescent="0.35">
      <c r="A23" s="13" t="s">
        <v>56</v>
      </c>
      <c r="B23" s="13" t="s">
        <v>57</v>
      </c>
      <c r="C23" s="14">
        <v>43880.686111111114</v>
      </c>
      <c r="D23" s="13" t="s">
        <v>110</v>
      </c>
      <c r="E23" s="13" t="s">
        <v>188</v>
      </c>
      <c r="F23" s="15" t="s">
        <v>83</v>
      </c>
      <c r="G23" s="13" t="s">
        <v>192</v>
      </c>
      <c r="H23" s="14">
        <v>40725</v>
      </c>
      <c r="I23" s="14"/>
      <c r="J23" s="15"/>
      <c r="K23" s="15"/>
      <c r="L23" s="13" t="s">
        <v>190</v>
      </c>
      <c r="M23" s="15"/>
      <c r="N23" s="13"/>
      <c r="O23" s="13"/>
      <c r="P23" s="13" t="s">
        <v>193</v>
      </c>
      <c r="Q23" s="13"/>
      <c r="R23" s="13"/>
      <c r="S23" s="13"/>
      <c r="T23" s="13" t="s">
        <v>182</v>
      </c>
      <c r="U23" s="15" t="s">
        <v>83</v>
      </c>
    </row>
    <row r="24" spans="1:21" ht="29" x14ac:dyDescent="0.35">
      <c r="A24" s="13" t="s">
        <v>56</v>
      </c>
      <c r="B24" s="13" t="s">
        <v>57</v>
      </c>
      <c r="C24" s="14">
        <v>43880.686805555553</v>
      </c>
      <c r="D24" s="13" t="s">
        <v>111</v>
      </c>
      <c r="E24" s="13" t="s">
        <v>188</v>
      </c>
      <c r="F24" s="15" t="s">
        <v>85</v>
      </c>
      <c r="G24" s="13" t="s">
        <v>192</v>
      </c>
      <c r="H24" s="14">
        <v>40725</v>
      </c>
      <c r="I24" s="14"/>
      <c r="J24" s="15"/>
      <c r="K24" s="15"/>
      <c r="L24" s="13" t="s">
        <v>190</v>
      </c>
      <c r="M24" s="15"/>
      <c r="N24" s="13"/>
      <c r="O24" s="13"/>
      <c r="P24" s="13" t="s">
        <v>193</v>
      </c>
      <c r="Q24" s="13"/>
      <c r="R24" s="13"/>
      <c r="S24" s="13"/>
      <c r="T24" s="13" t="s">
        <v>182</v>
      </c>
      <c r="U24" s="15" t="s">
        <v>85</v>
      </c>
    </row>
    <row r="25" spans="1:21" ht="29" x14ac:dyDescent="0.35">
      <c r="A25" s="13" t="s">
        <v>56</v>
      </c>
      <c r="B25" s="13" t="s">
        <v>57</v>
      </c>
      <c r="C25" s="14">
        <v>43880.688194444447</v>
      </c>
      <c r="D25" s="13" t="s">
        <v>112</v>
      </c>
      <c r="E25" s="13" t="s">
        <v>188</v>
      </c>
      <c r="F25" s="15" t="s">
        <v>87</v>
      </c>
      <c r="G25" s="13" t="s">
        <v>192</v>
      </c>
      <c r="H25" s="14">
        <v>40725</v>
      </c>
      <c r="I25" s="14"/>
      <c r="J25" s="15"/>
      <c r="K25" s="15"/>
      <c r="L25" s="13" t="s">
        <v>190</v>
      </c>
      <c r="M25" s="15"/>
      <c r="N25" s="13"/>
      <c r="O25" s="13"/>
      <c r="P25" s="13" t="s">
        <v>193</v>
      </c>
      <c r="Q25" s="13"/>
      <c r="R25" s="13"/>
      <c r="S25" s="13"/>
      <c r="T25" s="13" t="s">
        <v>182</v>
      </c>
      <c r="U25" s="15" t="s">
        <v>87</v>
      </c>
    </row>
    <row r="26" spans="1:21" ht="29" x14ac:dyDescent="0.35">
      <c r="A26" s="13" t="s">
        <v>56</v>
      </c>
      <c r="B26" s="13" t="s">
        <v>57</v>
      </c>
      <c r="C26" s="14">
        <v>43880.688888888886</v>
      </c>
      <c r="D26" s="13" t="s">
        <v>113</v>
      </c>
      <c r="E26" s="13" t="s">
        <v>188</v>
      </c>
      <c r="F26" s="15" t="s">
        <v>89</v>
      </c>
      <c r="G26" s="13" t="s">
        <v>192</v>
      </c>
      <c r="H26" s="14">
        <v>40725</v>
      </c>
      <c r="I26" s="14"/>
      <c r="J26" s="15"/>
      <c r="K26" s="15"/>
      <c r="L26" s="13" t="s">
        <v>190</v>
      </c>
      <c r="M26" s="15"/>
      <c r="N26" s="13"/>
      <c r="O26" s="13"/>
      <c r="P26" s="13" t="s">
        <v>193</v>
      </c>
      <c r="Q26" s="13"/>
      <c r="R26" s="13"/>
      <c r="S26" s="13"/>
      <c r="T26" s="13" t="s">
        <v>182</v>
      </c>
      <c r="U26" s="15" t="s">
        <v>89</v>
      </c>
    </row>
    <row r="27" spans="1:21" ht="58" x14ac:dyDescent="0.35">
      <c r="A27" s="13" t="s">
        <v>56</v>
      </c>
      <c r="B27" s="13" t="s">
        <v>57</v>
      </c>
      <c r="C27" s="14">
        <v>43880.69027777778</v>
      </c>
      <c r="D27" s="13" t="s">
        <v>114</v>
      </c>
      <c r="E27" s="13" t="s">
        <v>188</v>
      </c>
      <c r="F27" s="15" t="s">
        <v>115</v>
      </c>
      <c r="G27" s="13" t="s">
        <v>192</v>
      </c>
      <c r="H27" s="14">
        <v>40725</v>
      </c>
      <c r="I27" s="14"/>
      <c r="J27" s="15"/>
      <c r="K27" s="15"/>
      <c r="L27" s="13" t="s">
        <v>190</v>
      </c>
      <c r="M27" s="15"/>
      <c r="N27" s="13"/>
      <c r="O27" s="13"/>
      <c r="P27" s="13" t="s">
        <v>193</v>
      </c>
      <c r="Q27" s="13"/>
      <c r="R27" s="13"/>
      <c r="S27" s="13"/>
      <c r="T27" s="13" t="s">
        <v>182</v>
      </c>
      <c r="U27" s="15" t="s">
        <v>115</v>
      </c>
    </row>
    <row r="28" spans="1:21" ht="43.5" x14ac:dyDescent="0.35">
      <c r="A28" s="13" t="s">
        <v>56</v>
      </c>
      <c r="B28" s="13" t="s">
        <v>57</v>
      </c>
      <c r="C28" s="14">
        <v>43880.690972222219</v>
      </c>
      <c r="D28" s="13" t="s">
        <v>116</v>
      </c>
      <c r="E28" s="13" t="s">
        <v>188</v>
      </c>
      <c r="F28" s="15" t="s">
        <v>93</v>
      </c>
      <c r="G28" s="13" t="s">
        <v>192</v>
      </c>
      <c r="H28" s="14">
        <v>40725</v>
      </c>
      <c r="I28" s="14"/>
      <c r="J28" s="15"/>
      <c r="K28" s="15"/>
      <c r="L28" s="13" t="s">
        <v>190</v>
      </c>
      <c r="M28" s="15"/>
      <c r="N28" s="13"/>
      <c r="O28" s="13"/>
      <c r="P28" s="13" t="s">
        <v>193</v>
      </c>
      <c r="Q28" s="13"/>
      <c r="R28" s="13"/>
      <c r="S28" s="13"/>
      <c r="T28" s="13" t="s">
        <v>182</v>
      </c>
      <c r="U28" s="15" t="s">
        <v>93</v>
      </c>
    </row>
    <row r="29" spans="1:21" ht="43.5" x14ac:dyDescent="0.35">
      <c r="A29" s="13" t="s">
        <v>56</v>
      </c>
      <c r="B29" s="13" t="s">
        <v>57</v>
      </c>
      <c r="C29" s="14">
        <v>43880.692361111112</v>
      </c>
      <c r="D29" s="13" t="s">
        <v>117</v>
      </c>
      <c r="E29" s="13" t="s">
        <v>188</v>
      </c>
      <c r="F29" s="15" t="s">
        <v>95</v>
      </c>
      <c r="G29" s="13" t="s">
        <v>192</v>
      </c>
      <c r="H29" s="14">
        <v>40725</v>
      </c>
      <c r="I29" s="14"/>
      <c r="J29" s="15"/>
      <c r="K29" s="15"/>
      <c r="L29" s="13" t="s">
        <v>190</v>
      </c>
      <c r="M29" s="15"/>
      <c r="N29" s="13"/>
      <c r="O29" s="13"/>
      <c r="P29" s="13" t="s">
        <v>193</v>
      </c>
      <c r="Q29" s="13"/>
      <c r="R29" s="13"/>
      <c r="S29" s="13"/>
      <c r="T29" s="13" t="s">
        <v>182</v>
      </c>
      <c r="U29" s="15" t="s">
        <v>95</v>
      </c>
    </row>
    <row r="30" spans="1:21" s="22" customFormat="1" ht="43.5" x14ac:dyDescent="0.35">
      <c r="A30" s="19" t="s">
        <v>137</v>
      </c>
      <c r="B30" s="19" t="s">
        <v>57</v>
      </c>
      <c r="C30" s="20">
        <v>45995.625694444447</v>
      </c>
      <c r="D30" s="19" t="s">
        <v>143</v>
      </c>
      <c r="E30" s="19" t="s">
        <v>188</v>
      </c>
      <c r="F30" s="21" t="s">
        <v>144</v>
      </c>
      <c r="G30" s="19" t="s">
        <v>194</v>
      </c>
      <c r="H30" s="20">
        <v>45901</v>
      </c>
      <c r="I30" s="20"/>
      <c r="J30" s="21"/>
      <c r="K30" s="21"/>
      <c r="L30" s="19" t="s">
        <v>190</v>
      </c>
      <c r="M30" s="21"/>
      <c r="N30" s="19"/>
      <c r="O30" s="19"/>
      <c r="P30" s="19" t="s">
        <v>195</v>
      </c>
      <c r="Q30" s="19"/>
      <c r="R30" s="19" t="s">
        <v>141</v>
      </c>
      <c r="S30" s="19"/>
      <c r="T30" s="19" t="s">
        <v>182</v>
      </c>
      <c r="U30" s="21" t="s">
        <v>144</v>
      </c>
    </row>
  </sheetData>
  <autoFilter ref="A1:Z30" xr:uid="{762018DB-0B4C-4879-9A62-169D11FB8B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2026-01-02T10:30:01Z</dcterms:created>
  <dcterms:modified xsi:type="dcterms:W3CDTF">2026-01-02T10:31:44Z</dcterms:modified>
</cp:coreProperties>
</file>